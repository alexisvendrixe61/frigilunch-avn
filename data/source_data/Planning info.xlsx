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ink/ink1.xml" ContentType="application/inkml+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Y:\Operaties\Productie bureau documenten\Element61\"/>
    </mc:Choice>
  </mc:AlternateContent>
  <xr:revisionPtr revIDLastSave="0" documentId="13_ncr:1_{65FFE313-5B5C-4027-B825-86EDA8F22AD6}" xr6:coauthVersionLast="47" xr6:coauthVersionMax="47" xr10:uidLastSave="{00000000-0000-0000-0000-000000000000}"/>
  <bookViews>
    <workbookView xWindow="-120" yWindow="-120" windowWidth="29040" windowHeight="15720" tabRatio="1000" firstSheet="4" activeTab="5" xr2:uid="{C93C217C-5100-4759-854C-1D082FB52D1B}"/>
  </bookViews>
  <sheets>
    <sheet name="machines assemblage" sheetId="1" r:id="rId1"/>
    <sheet name="formaat delen mondini" sheetId="2" r:id="rId2"/>
    <sheet name="machines keuken" sheetId="3" r:id="rId3"/>
    <sheet name="bottle necks" sheetId="4" r:id="rId4"/>
    <sheet name="planning decision tree" sheetId="5" r:id="rId5"/>
    <sheet name="product database" sheetId="6" r:id="rId6"/>
    <sheet name="vergelijker" sheetId="12" r:id="rId7"/>
    <sheet name="opmerkingen voorstel planning" sheetId="10" r:id="rId8"/>
    <sheet name="legende database" sheetId="7" r:id="rId9"/>
    <sheet name="product database (gestopt)" sheetId="9" r:id="rId10"/>
  </sheets>
  <externalReferences>
    <externalReference r:id="rId11"/>
    <externalReference r:id="rId12"/>
    <externalReference r:id="rId13"/>
  </externalReferences>
  <definedNames>
    <definedName name="_xlnm._FilterDatabase" localSheetId="5" hidden="1">'product database'!$A$2:$FQ$2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9" i="6" l="1"/>
  <c r="C609" i="6"/>
  <c r="D609" i="6"/>
  <c r="E609" i="6"/>
  <c r="G609" i="6"/>
  <c r="H609" i="6"/>
  <c r="I609" i="6"/>
  <c r="J609" i="6"/>
  <c r="K609" i="6"/>
  <c r="L609" i="6"/>
  <c r="M609" i="6"/>
  <c r="B610" i="6"/>
  <c r="C610" i="6"/>
  <c r="D610" i="6"/>
  <c r="E610" i="6"/>
  <c r="G610" i="6"/>
  <c r="H610" i="6"/>
  <c r="I610" i="6"/>
  <c r="J610" i="6"/>
  <c r="K610" i="6"/>
  <c r="L610" i="6"/>
  <c r="M610" i="6"/>
  <c r="B611" i="6"/>
  <c r="C611" i="6"/>
  <c r="D611" i="6"/>
  <c r="E611" i="6"/>
  <c r="G611" i="6"/>
  <c r="H611" i="6"/>
  <c r="I611" i="6"/>
  <c r="J611" i="6"/>
  <c r="K611" i="6"/>
  <c r="L611" i="6"/>
  <c r="M611" i="6"/>
  <c r="B612" i="6"/>
  <c r="C612" i="6"/>
  <c r="D612" i="6"/>
  <c r="E612" i="6"/>
  <c r="G612" i="6"/>
  <c r="H612" i="6"/>
  <c r="I612" i="6"/>
  <c r="J612" i="6"/>
  <c r="K612" i="6"/>
  <c r="L612" i="6"/>
  <c r="M612" i="6"/>
  <c r="AN541" i="6"/>
  <c r="BD187" i="6"/>
  <c r="C634" i="6"/>
  <c r="D634" i="6"/>
  <c r="E634" i="6"/>
  <c r="G634" i="6"/>
  <c r="H634" i="6"/>
  <c r="I634" i="6"/>
  <c r="J634" i="6"/>
  <c r="K634" i="6"/>
  <c r="L634" i="6"/>
  <c r="M634" i="6"/>
  <c r="C635" i="6"/>
  <c r="D635" i="6"/>
  <c r="E635" i="6"/>
  <c r="G635" i="6"/>
  <c r="H635" i="6"/>
  <c r="I635" i="6"/>
  <c r="J635" i="6"/>
  <c r="K635" i="6"/>
  <c r="L635" i="6"/>
  <c r="M635" i="6"/>
  <c r="C636" i="6"/>
  <c r="D636" i="6"/>
  <c r="E636" i="6"/>
  <c r="G636" i="6"/>
  <c r="H636" i="6"/>
  <c r="I636" i="6"/>
  <c r="J636" i="6"/>
  <c r="K636" i="6"/>
  <c r="L636" i="6"/>
  <c r="M636" i="6"/>
  <c r="C637" i="6"/>
  <c r="D637" i="6"/>
  <c r="E637" i="6"/>
  <c r="G637" i="6"/>
  <c r="H637" i="6"/>
  <c r="I637" i="6"/>
  <c r="J637" i="6"/>
  <c r="K637" i="6"/>
  <c r="L637" i="6"/>
  <c r="M637" i="6"/>
  <c r="B634" i="6"/>
  <c r="B635" i="6"/>
  <c r="B636" i="6"/>
  <c r="B637" i="6"/>
  <c r="C428" i="6" l="1"/>
  <c r="D428" i="6"/>
  <c r="F428" i="6" s="1"/>
  <c r="E428" i="6"/>
  <c r="G428" i="6"/>
  <c r="H428" i="6"/>
  <c r="I428" i="6"/>
  <c r="J428" i="6"/>
  <c r="K428" i="6"/>
  <c r="L428" i="6"/>
  <c r="M428" i="6"/>
  <c r="C429" i="6"/>
  <c r="D429" i="6"/>
  <c r="F429" i="6" s="1"/>
  <c r="E429" i="6"/>
  <c r="G429" i="6"/>
  <c r="H429" i="6"/>
  <c r="I429" i="6"/>
  <c r="J429" i="6"/>
  <c r="K429" i="6"/>
  <c r="L429" i="6"/>
  <c r="M429" i="6"/>
  <c r="B428" i="6"/>
  <c r="B429" i="6"/>
  <c r="C21" i="12"/>
  <c r="C20" i="12"/>
  <c r="C19" i="12"/>
  <c r="C18" i="12"/>
  <c r="C17" i="12"/>
  <c r="C16" i="12"/>
  <c r="C10" i="12"/>
  <c r="C9" i="12"/>
  <c r="C8" i="12"/>
  <c r="C7" i="12"/>
  <c r="C6" i="12"/>
  <c r="C5" i="12"/>
  <c r="E5" i="12" l="1"/>
  <c r="E6" i="12"/>
  <c r="E7" i="12"/>
  <c r="E8" i="12"/>
  <c r="E9" i="12"/>
  <c r="E10" i="12"/>
  <c r="C365" i="6" l="1"/>
  <c r="D365" i="6"/>
  <c r="F365" i="6" s="1"/>
  <c r="E365" i="6"/>
  <c r="G365" i="6"/>
  <c r="H365" i="6"/>
  <c r="I365" i="6"/>
  <c r="J365" i="6"/>
  <c r="K365" i="6"/>
  <c r="L365" i="6"/>
  <c r="M365" i="6"/>
  <c r="B365" i="6"/>
  <c r="C369" i="6"/>
  <c r="D369" i="6"/>
  <c r="F369" i="6" s="1"/>
  <c r="E369" i="6"/>
  <c r="G369" i="6"/>
  <c r="H369" i="6"/>
  <c r="I369" i="6"/>
  <c r="J369" i="6"/>
  <c r="K369" i="6"/>
  <c r="L369" i="6"/>
  <c r="M369" i="6"/>
  <c r="B369" i="6"/>
  <c r="C183" i="6"/>
  <c r="D183" i="6"/>
  <c r="F183" i="6" s="1"/>
  <c r="E183" i="6"/>
  <c r="G183" i="6"/>
  <c r="H183" i="6"/>
  <c r="I183" i="6"/>
  <c r="J183" i="6"/>
  <c r="K183" i="6"/>
  <c r="L183" i="6"/>
  <c r="M183" i="6"/>
  <c r="B183" i="6"/>
  <c r="C173" i="6"/>
  <c r="D173" i="6"/>
  <c r="F173" i="6" s="1"/>
  <c r="E173" i="6"/>
  <c r="G173" i="6"/>
  <c r="H173" i="6"/>
  <c r="I173" i="6"/>
  <c r="J173" i="6"/>
  <c r="K173" i="6"/>
  <c r="L173" i="6"/>
  <c r="M173" i="6"/>
  <c r="B173" i="6"/>
  <c r="C366" i="6"/>
  <c r="D366" i="6"/>
  <c r="F366" i="6" s="1"/>
  <c r="E366" i="6"/>
  <c r="G366" i="6"/>
  <c r="H366" i="6"/>
  <c r="I366" i="6"/>
  <c r="J366" i="6"/>
  <c r="K366" i="6"/>
  <c r="L366" i="6"/>
  <c r="M366" i="6"/>
  <c r="B366" i="6"/>
  <c r="C364" i="6"/>
  <c r="D364" i="6"/>
  <c r="F364" i="6" s="1"/>
  <c r="E364" i="6"/>
  <c r="G364" i="6"/>
  <c r="H364" i="6"/>
  <c r="I364" i="6"/>
  <c r="J364" i="6"/>
  <c r="K364" i="6"/>
  <c r="L364" i="6"/>
  <c r="M364" i="6"/>
  <c r="C170" i="6"/>
  <c r="D170" i="6"/>
  <c r="F170" i="6" s="1"/>
  <c r="E170" i="6"/>
  <c r="G170" i="6"/>
  <c r="H170" i="6"/>
  <c r="I170" i="6"/>
  <c r="J170" i="6"/>
  <c r="K170" i="6"/>
  <c r="L170" i="6"/>
  <c r="M170" i="6"/>
  <c r="B170" i="6"/>
  <c r="C433" i="6"/>
  <c r="D433" i="6"/>
  <c r="F433" i="6" s="1"/>
  <c r="E433" i="6"/>
  <c r="G433" i="6"/>
  <c r="H433" i="6"/>
  <c r="I433" i="6"/>
  <c r="J433" i="6"/>
  <c r="K433" i="6"/>
  <c r="L433" i="6"/>
  <c r="M433" i="6"/>
  <c r="C434" i="6"/>
  <c r="D434" i="6"/>
  <c r="F434" i="6" s="1"/>
  <c r="E434" i="6"/>
  <c r="G434" i="6"/>
  <c r="H434" i="6"/>
  <c r="I434" i="6"/>
  <c r="J434" i="6"/>
  <c r="K434" i="6"/>
  <c r="L434" i="6"/>
  <c r="M434" i="6"/>
  <c r="C435" i="6"/>
  <c r="D435" i="6"/>
  <c r="F435" i="6" s="1"/>
  <c r="E435" i="6"/>
  <c r="G435" i="6"/>
  <c r="H435" i="6"/>
  <c r="I435" i="6"/>
  <c r="J435" i="6"/>
  <c r="K435" i="6"/>
  <c r="L435" i="6"/>
  <c r="M435" i="6"/>
  <c r="B433" i="6"/>
  <c r="B434" i="6"/>
  <c r="B435" i="6"/>
  <c r="I19" i="6"/>
  <c r="AN542" i="6" l="1"/>
  <c r="AN543" i="6"/>
  <c r="AN544" i="6"/>
  <c r="C541" i="6"/>
  <c r="D541" i="6"/>
  <c r="F541" i="6" s="1"/>
  <c r="E541" i="6"/>
  <c r="G541" i="6"/>
  <c r="H541" i="6"/>
  <c r="I541" i="6"/>
  <c r="J541" i="6"/>
  <c r="K541" i="6"/>
  <c r="L541" i="6"/>
  <c r="M541" i="6"/>
  <c r="C542" i="6"/>
  <c r="D542" i="6"/>
  <c r="F542" i="6" s="1"/>
  <c r="E542" i="6"/>
  <c r="G542" i="6"/>
  <c r="H542" i="6"/>
  <c r="I542" i="6"/>
  <c r="J542" i="6"/>
  <c r="K542" i="6"/>
  <c r="L542" i="6"/>
  <c r="M542" i="6"/>
  <c r="C543" i="6"/>
  <c r="D543" i="6"/>
  <c r="F543" i="6" s="1"/>
  <c r="E543" i="6"/>
  <c r="G543" i="6"/>
  <c r="H543" i="6"/>
  <c r="I543" i="6"/>
  <c r="J543" i="6"/>
  <c r="K543" i="6"/>
  <c r="L543" i="6"/>
  <c r="M543" i="6"/>
  <c r="C544" i="6"/>
  <c r="D544" i="6"/>
  <c r="F544" i="6" s="1"/>
  <c r="E544" i="6"/>
  <c r="G544" i="6"/>
  <c r="H544" i="6"/>
  <c r="I544" i="6"/>
  <c r="J544" i="6"/>
  <c r="K544" i="6"/>
  <c r="L544" i="6"/>
  <c r="M544" i="6"/>
  <c r="B541" i="6"/>
  <c r="B542" i="6"/>
  <c r="B543" i="6"/>
  <c r="B544" i="6"/>
  <c r="AN532" i="6"/>
  <c r="AN533" i="6"/>
  <c r="C532" i="6"/>
  <c r="D532" i="6"/>
  <c r="F532" i="6" s="1"/>
  <c r="E532" i="6"/>
  <c r="G532" i="6"/>
  <c r="H532" i="6"/>
  <c r="I532" i="6"/>
  <c r="J532" i="6"/>
  <c r="K532" i="6"/>
  <c r="L532" i="6"/>
  <c r="M532" i="6"/>
  <c r="C533" i="6"/>
  <c r="D533" i="6"/>
  <c r="F533" i="6" s="1"/>
  <c r="E533" i="6"/>
  <c r="G533" i="6"/>
  <c r="H533" i="6"/>
  <c r="I533" i="6"/>
  <c r="J533" i="6"/>
  <c r="K533" i="6"/>
  <c r="L533" i="6"/>
  <c r="M533" i="6"/>
  <c r="B532" i="6"/>
  <c r="B533" i="6"/>
  <c r="AN524" i="6"/>
  <c r="C524" i="6"/>
  <c r="D524" i="6"/>
  <c r="F524" i="6" s="1"/>
  <c r="E524" i="6"/>
  <c r="G524" i="6"/>
  <c r="H524" i="6"/>
  <c r="I524" i="6"/>
  <c r="J524" i="6"/>
  <c r="K524" i="6"/>
  <c r="L524" i="6"/>
  <c r="M524" i="6"/>
  <c r="B524" i="6"/>
  <c r="BD521" i="6"/>
  <c r="BE521" i="6"/>
  <c r="BF521" i="6"/>
  <c r="BG521" i="6"/>
  <c r="BH521" i="6"/>
  <c r="BI521" i="6"/>
  <c r="BJ521" i="6"/>
  <c r="BK521" i="6"/>
  <c r="BL521" i="6"/>
  <c r="BM521" i="6"/>
  <c r="BN521" i="6"/>
  <c r="BO521" i="6"/>
  <c r="BP521" i="6"/>
  <c r="BD522" i="6"/>
  <c r="BE522" i="6"/>
  <c r="BF522" i="6"/>
  <c r="BG522" i="6"/>
  <c r="BH522" i="6"/>
  <c r="BI522" i="6"/>
  <c r="BJ522" i="6"/>
  <c r="BK522" i="6"/>
  <c r="BL522" i="6"/>
  <c r="BM522" i="6"/>
  <c r="BN522" i="6"/>
  <c r="BO522" i="6"/>
  <c r="BP522" i="6"/>
  <c r="BD523" i="6"/>
  <c r="BE523" i="6"/>
  <c r="BF523" i="6"/>
  <c r="BG523" i="6"/>
  <c r="BH523" i="6"/>
  <c r="BI523" i="6"/>
  <c r="BJ523" i="6"/>
  <c r="BK523" i="6"/>
  <c r="BL523" i="6"/>
  <c r="BM523" i="6"/>
  <c r="BN523" i="6"/>
  <c r="BO523" i="6"/>
  <c r="BP523" i="6"/>
  <c r="BF517" i="6"/>
  <c r="BG517" i="6"/>
  <c r="BH517" i="6"/>
  <c r="BI517" i="6"/>
  <c r="BJ517" i="6"/>
  <c r="BK517" i="6"/>
  <c r="BL517" i="6"/>
  <c r="BM517" i="6"/>
  <c r="BN517" i="6"/>
  <c r="BO517" i="6"/>
  <c r="BP517" i="6"/>
  <c r="BF518" i="6"/>
  <c r="BG518" i="6"/>
  <c r="BH518" i="6"/>
  <c r="BI518" i="6"/>
  <c r="BJ518" i="6"/>
  <c r="BK518" i="6"/>
  <c r="BL518" i="6"/>
  <c r="BM518" i="6"/>
  <c r="BN518" i="6"/>
  <c r="BO518" i="6"/>
  <c r="BP518" i="6"/>
  <c r="BF519" i="6"/>
  <c r="BG519" i="6"/>
  <c r="BH519" i="6"/>
  <c r="BI519" i="6"/>
  <c r="BJ519" i="6"/>
  <c r="BK519" i="6"/>
  <c r="BL519" i="6"/>
  <c r="BM519" i="6"/>
  <c r="BN519" i="6"/>
  <c r="BO519" i="6"/>
  <c r="BP519" i="6"/>
  <c r="BE517" i="6"/>
  <c r="BE518" i="6"/>
  <c r="BE519" i="6"/>
  <c r="BD518" i="6"/>
  <c r="BD519" i="6"/>
  <c r="BD517" i="6"/>
  <c r="AN521" i="6"/>
  <c r="AN522" i="6"/>
  <c r="AN523" i="6"/>
  <c r="C522" i="6"/>
  <c r="D522" i="6"/>
  <c r="F522" i="6" s="1"/>
  <c r="E522" i="6"/>
  <c r="G522" i="6"/>
  <c r="H522" i="6"/>
  <c r="I522" i="6"/>
  <c r="J522" i="6"/>
  <c r="K522" i="6"/>
  <c r="L522" i="6"/>
  <c r="M522" i="6"/>
  <c r="C523" i="6"/>
  <c r="D523" i="6"/>
  <c r="F523" i="6" s="1"/>
  <c r="E523" i="6"/>
  <c r="G523" i="6"/>
  <c r="H523" i="6"/>
  <c r="I523" i="6"/>
  <c r="J523" i="6"/>
  <c r="K523" i="6"/>
  <c r="L523" i="6"/>
  <c r="M523" i="6"/>
  <c r="B522" i="6"/>
  <c r="B523"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5" i="6"/>
  <c r="M526" i="6"/>
  <c r="M527" i="6"/>
  <c r="M528" i="6"/>
  <c r="M529" i="6"/>
  <c r="M530" i="6"/>
  <c r="M531" i="6"/>
  <c r="M534" i="6"/>
  <c r="M535" i="6"/>
  <c r="M536" i="6"/>
  <c r="M537" i="6"/>
  <c r="M538" i="6"/>
  <c r="M539" i="6"/>
  <c r="M540" i="6"/>
  <c r="M545" i="6"/>
  <c r="M546" i="6"/>
  <c r="M547" i="6"/>
  <c r="M548" i="6"/>
  <c r="M549" i="6"/>
  <c r="M550" i="6"/>
  <c r="M551" i="6"/>
  <c r="M552" i="6"/>
  <c r="M553" i="6"/>
  <c r="M479" i="6"/>
  <c r="C521" i="6"/>
  <c r="D521" i="6"/>
  <c r="F521" i="6" s="1"/>
  <c r="E521" i="6"/>
  <c r="G521" i="6"/>
  <c r="H521" i="6"/>
  <c r="I521" i="6"/>
  <c r="J521" i="6"/>
  <c r="K521" i="6"/>
  <c r="L521" i="6"/>
  <c r="B521" i="6"/>
  <c r="AN519" i="6"/>
  <c r="C519" i="6"/>
  <c r="D519" i="6"/>
  <c r="F519" i="6" s="1"/>
  <c r="E519" i="6"/>
  <c r="G519" i="6"/>
  <c r="H519" i="6"/>
  <c r="I519" i="6"/>
  <c r="J519" i="6"/>
  <c r="K519" i="6"/>
  <c r="L519" i="6"/>
  <c r="B519" i="6"/>
  <c r="AN517" i="6"/>
  <c r="AN518" i="6"/>
  <c r="C517" i="6"/>
  <c r="D517" i="6"/>
  <c r="F517" i="6" s="1"/>
  <c r="E517" i="6"/>
  <c r="G517" i="6"/>
  <c r="H517" i="6"/>
  <c r="I517" i="6"/>
  <c r="J517" i="6"/>
  <c r="K517" i="6"/>
  <c r="L517" i="6"/>
  <c r="C518" i="6"/>
  <c r="D518" i="6"/>
  <c r="F518" i="6" s="1"/>
  <c r="E518" i="6"/>
  <c r="G518" i="6"/>
  <c r="H518" i="6"/>
  <c r="I518" i="6"/>
  <c r="J518" i="6"/>
  <c r="K518" i="6"/>
  <c r="L518" i="6"/>
  <c r="B517" i="6"/>
  <c r="B518" i="6"/>
  <c r="AN515" i="6"/>
  <c r="C515" i="6"/>
  <c r="D515" i="6"/>
  <c r="F515" i="6" s="1"/>
  <c r="E515" i="6"/>
  <c r="G515" i="6"/>
  <c r="H515" i="6"/>
  <c r="I515" i="6"/>
  <c r="J515" i="6"/>
  <c r="K515" i="6"/>
  <c r="L515" i="6"/>
  <c r="B515" i="6"/>
  <c r="AN512" i="6"/>
  <c r="C512" i="6"/>
  <c r="D512" i="6"/>
  <c r="F512" i="6" s="1"/>
  <c r="E512" i="6"/>
  <c r="G512" i="6"/>
  <c r="H512" i="6"/>
  <c r="I512" i="6"/>
  <c r="J512" i="6"/>
  <c r="K512" i="6"/>
  <c r="L512" i="6"/>
  <c r="B512" i="6"/>
  <c r="AN71" i="6"/>
  <c r="AN72" i="6"/>
  <c r="AN73" i="6"/>
  <c r="AN74" i="6"/>
  <c r="AN75" i="6"/>
  <c r="AN76" i="6"/>
  <c r="AN77" i="6"/>
  <c r="AN78" i="6"/>
  <c r="AN79" i="6"/>
  <c r="AN80" i="6"/>
  <c r="AN81" i="6"/>
  <c r="AN82" i="6"/>
  <c r="AN83" i="6"/>
  <c r="AN57" i="6"/>
  <c r="AN58" i="6"/>
  <c r="AN59" i="6"/>
  <c r="AN60" i="6"/>
  <c r="AN61" i="6"/>
  <c r="AN62" i="6"/>
  <c r="AN63" i="6"/>
  <c r="AN64" i="6"/>
  <c r="AN65" i="6"/>
  <c r="AN66" i="6"/>
  <c r="AN67" i="6"/>
  <c r="AN68" i="6"/>
  <c r="AN69" i="6"/>
  <c r="AN70" i="6"/>
  <c r="AN43" i="6"/>
  <c r="AN44" i="6"/>
  <c r="AN45" i="6"/>
  <c r="AN46" i="6"/>
  <c r="AN47" i="6"/>
  <c r="AN48" i="6"/>
  <c r="AN49" i="6"/>
  <c r="AN50" i="6"/>
  <c r="AN51" i="6"/>
  <c r="AN52" i="6"/>
  <c r="AN53" i="6"/>
  <c r="AN54" i="6"/>
  <c r="AN55" i="6"/>
  <c r="AN56" i="6"/>
  <c r="AN26" i="6"/>
  <c r="AN27" i="6"/>
  <c r="AN28" i="6"/>
  <c r="AN29" i="6"/>
  <c r="AN30" i="6"/>
  <c r="AN31" i="6"/>
  <c r="AN32" i="6"/>
  <c r="AN33" i="6"/>
  <c r="AN34" i="6"/>
  <c r="AN35" i="6"/>
  <c r="AN36" i="6"/>
  <c r="AN37" i="6"/>
  <c r="AN38" i="6"/>
  <c r="AN39" i="6"/>
  <c r="AN40" i="6"/>
  <c r="AN41" i="6"/>
  <c r="AN42" i="6"/>
  <c r="AN12" i="6"/>
  <c r="AN13" i="6"/>
  <c r="AN14" i="6"/>
  <c r="AN15" i="6"/>
  <c r="AN16" i="6"/>
  <c r="AN17" i="6"/>
  <c r="AN18" i="6"/>
  <c r="AN19" i="6"/>
  <c r="AN20" i="6"/>
  <c r="AN21" i="6"/>
  <c r="AN22" i="6"/>
  <c r="AN23" i="6"/>
  <c r="AN24" i="6"/>
  <c r="AN25" i="6"/>
  <c r="AN11" i="6"/>
  <c r="AN10" i="6"/>
  <c r="AN9" i="6"/>
  <c r="AN8" i="6"/>
  <c r="AN7" i="6"/>
  <c r="AN6" i="6"/>
  <c r="AN4" i="6"/>
  <c r="AN3" i="6"/>
  <c r="AN507" i="6"/>
  <c r="AN508" i="6"/>
  <c r="AN509" i="6"/>
  <c r="AN510" i="6"/>
  <c r="AN511" i="6"/>
  <c r="AN513" i="6"/>
  <c r="AN514" i="6"/>
  <c r="AN516" i="6"/>
  <c r="AN502" i="6"/>
  <c r="AN503" i="6"/>
  <c r="AN504" i="6"/>
  <c r="AN505" i="6"/>
  <c r="AN506" i="6"/>
  <c r="AN499" i="6"/>
  <c r="AN500" i="6"/>
  <c r="C502" i="6"/>
  <c r="D502" i="6"/>
  <c r="F502" i="6" s="1"/>
  <c r="E502" i="6"/>
  <c r="G502" i="6"/>
  <c r="H502" i="6"/>
  <c r="I502" i="6"/>
  <c r="J502" i="6"/>
  <c r="K502" i="6"/>
  <c r="L502" i="6"/>
  <c r="C503" i="6"/>
  <c r="D503" i="6"/>
  <c r="F503" i="6" s="1"/>
  <c r="E503" i="6"/>
  <c r="G503" i="6"/>
  <c r="H503" i="6"/>
  <c r="I503" i="6"/>
  <c r="J503" i="6"/>
  <c r="K503" i="6"/>
  <c r="L503" i="6"/>
  <c r="B502" i="6"/>
  <c r="B503" i="6"/>
  <c r="AN639" i="6"/>
  <c r="AN638" i="6"/>
  <c r="C638" i="6"/>
  <c r="D638" i="6"/>
  <c r="E638" i="6"/>
  <c r="G638" i="6"/>
  <c r="H638" i="6"/>
  <c r="I638" i="6"/>
  <c r="J638" i="6"/>
  <c r="K638" i="6"/>
  <c r="L638" i="6"/>
  <c r="M638" i="6"/>
  <c r="C639" i="6"/>
  <c r="D639" i="6"/>
  <c r="E639" i="6"/>
  <c r="G639" i="6"/>
  <c r="H639" i="6"/>
  <c r="I639" i="6"/>
  <c r="J639" i="6"/>
  <c r="K639" i="6"/>
  <c r="L639" i="6"/>
  <c r="M639" i="6"/>
  <c r="B638" i="6"/>
  <c r="B639" i="6"/>
  <c r="C67" i="6"/>
  <c r="D67" i="6"/>
  <c r="F67" i="6" s="1"/>
  <c r="E67" i="6"/>
  <c r="G67" i="6"/>
  <c r="H67" i="6"/>
  <c r="I67" i="6"/>
  <c r="J67" i="6"/>
  <c r="K67" i="6"/>
  <c r="L67" i="6"/>
  <c r="M67" i="6"/>
  <c r="C66" i="6"/>
  <c r="D66" i="6"/>
  <c r="B67" i="6"/>
  <c r="C20" i="6"/>
  <c r="D20" i="6"/>
  <c r="F20" i="6" s="1"/>
  <c r="E20" i="6"/>
  <c r="G20" i="6"/>
  <c r="H20" i="6"/>
  <c r="J20" i="6"/>
  <c r="K20" i="6"/>
  <c r="L20" i="6"/>
  <c r="B20" i="6"/>
  <c r="C607" i="6"/>
  <c r="D607" i="6"/>
  <c r="E607" i="6"/>
  <c r="G607" i="6"/>
  <c r="H607" i="6"/>
  <c r="I607" i="6"/>
  <c r="J607" i="6"/>
  <c r="K607" i="6"/>
  <c r="L607" i="6"/>
  <c r="M607" i="6"/>
  <c r="C608" i="6"/>
  <c r="D608" i="6"/>
  <c r="E608" i="6"/>
  <c r="G608" i="6"/>
  <c r="H608" i="6"/>
  <c r="I608" i="6"/>
  <c r="J608" i="6"/>
  <c r="K608" i="6"/>
  <c r="L608" i="6"/>
  <c r="M608" i="6"/>
  <c r="B607" i="6"/>
  <c r="B608" i="6"/>
  <c r="C606" i="6" l="1"/>
  <c r="C613" i="6"/>
  <c r="D613" i="6"/>
  <c r="E613" i="6"/>
  <c r="G613" i="6"/>
  <c r="H613" i="6"/>
  <c r="I613" i="6"/>
  <c r="J613" i="6"/>
  <c r="K613" i="6"/>
  <c r="L613" i="6"/>
  <c r="M613" i="6"/>
  <c r="C614" i="6"/>
  <c r="D614" i="6"/>
  <c r="E614" i="6"/>
  <c r="G614" i="6"/>
  <c r="H614" i="6"/>
  <c r="I614" i="6"/>
  <c r="J614" i="6"/>
  <c r="K614" i="6"/>
  <c r="L614" i="6"/>
  <c r="M614" i="6"/>
  <c r="C615" i="6"/>
  <c r="D615" i="6"/>
  <c r="E615" i="6"/>
  <c r="G615" i="6"/>
  <c r="H615" i="6"/>
  <c r="I615" i="6"/>
  <c r="J615" i="6"/>
  <c r="K615" i="6"/>
  <c r="L615" i="6"/>
  <c r="M615" i="6"/>
  <c r="C616" i="6"/>
  <c r="D616" i="6"/>
  <c r="E616" i="6"/>
  <c r="G616" i="6"/>
  <c r="H616" i="6"/>
  <c r="I616" i="6"/>
  <c r="J616" i="6"/>
  <c r="K616" i="6"/>
  <c r="L616" i="6"/>
  <c r="M616" i="6"/>
  <c r="C617" i="6"/>
  <c r="D617" i="6"/>
  <c r="E617" i="6"/>
  <c r="G617" i="6"/>
  <c r="H617" i="6"/>
  <c r="I617" i="6"/>
  <c r="J617" i="6"/>
  <c r="K617" i="6"/>
  <c r="L617" i="6"/>
  <c r="M617" i="6"/>
  <c r="C618" i="6"/>
  <c r="D618" i="6"/>
  <c r="E618" i="6"/>
  <c r="G618" i="6"/>
  <c r="H618" i="6"/>
  <c r="I618" i="6"/>
  <c r="J618" i="6"/>
  <c r="K618" i="6"/>
  <c r="L618" i="6"/>
  <c r="M618" i="6"/>
  <c r="C619" i="6"/>
  <c r="D619" i="6"/>
  <c r="E619" i="6"/>
  <c r="G619" i="6"/>
  <c r="H619" i="6"/>
  <c r="I619" i="6"/>
  <c r="J619" i="6"/>
  <c r="K619" i="6"/>
  <c r="L619" i="6"/>
  <c r="M619" i="6"/>
  <c r="C620" i="6"/>
  <c r="D620" i="6"/>
  <c r="E620" i="6"/>
  <c r="G620" i="6"/>
  <c r="H620" i="6"/>
  <c r="I620" i="6"/>
  <c r="J620" i="6"/>
  <c r="K620" i="6"/>
  <c r="L620" i="6"/>
  <c r="M620" i="6"/>
  <c r="B613" i="6"/>
  <c r="B614" i="6"/>
  <c r="B615" i="6"/>
  <c r="B616" i="6"/>
  <c r="B617" i="6"/>
  <c r="B618" i="6"/>
  <c r="B619" i="6"/>
  <c r="B620" i="6"/>
  <c r="C633" i="6"/>
  <c r="BO6" i="9"/>
  <c r="BN6" i="9"/>
  <c r="BM6" i="9"/>
  <c r="BL6" i="9"/>
  <c r="BK6" i="9"/>
  <c r="BJ6" i="9"/>
  <c r="BI6" i="9"/>
  <c r="BH6" i="9"/>
  <c r="BG6" i="9"/>
  <c r="BF6" i="9"/>
  <c r="BE6" i="9"/>
  <c r="BD6" i="9"/>
  <c r="BC6" i="9"/>
  <c r="AN6" i="9"/>
  <c r="M6" i="9"/>
  <c r="L6" i="9"/>
  <c r="K6" i="9"/>
  <c r="J6" i="9"/>
  <c r="I6" i="9"/>
  <c r="H6" i="9"/>
  <c r="G6" i="9"/>
  <c r="E6" i="9"/>
  <c r="D6" i="9"/>
  <c r="F6" i="9" s="1"/>
  <c r="C6" i="9"/>
  <c r="B6" i="9"/>
  <c r="BO5" i="9"/>
  <c r="BN5" i="9"/>
  <c r="BM5" i="9"/>
  <c r="BL5" i="9"/>
  <c r="BK5" i="9"/>
  <c r="BJ5" i="9"/>
  <c r="BI5" i="9"/>
  <c r="BH5" i="9"/>
  <c r="BG5" i="9"/>
  <c r="BF5" i="9"/>
  <c r="BE5" i="9"/>
  <c r="BD5" i="9"/>
  <c r="BC5" i="9"/>
  <c r="AN5" i="9"/>
  <c r="M5" i="9"/>
  <c r="L5" i="9"/>
  <c r="K5" i="9"/>
  <c r="J5" i="9"/>
  <c r="I5" i="9"/>
  <c r="H5" i="9"/>
  <c r="G5" i="9"/>
  <c r="E5" i="9"/>
  <c r="D5" i="9"/>
  <c r="F5" i="9" s="1"/>
  <c r="C5" i="9"/>
  <c r="B5" i="9"/>
  <c r="BD45" i="6"/>
  <c r="AN439" i="6"/>
  <c r="AN438" i="6"/>
  <c r="BO4" i="9" l="1"/>
  <c r="BN4" i="9"/>
  <c r="BM4" i="9"/>
  <c r="BL4" i="9"/>
  <c r="BK4" i="9"/>
  <c r="BJ4" i="9"/>
  <c r="BI4" i="9"/>
  <c r="BH4" i="9"/>
  <c r="BG4" i="9"/>
  <c r="BF4" i="9"/>
  <c r="BE4" i="9"/>
  <c r="BD4" i="9"/>
  <c r="BC4" i="9"/>
  <c r="AN4" i="9"/>
  <c r="M4" i="9"/>
  <c r="L4" i="9"/>
  <c r="K4" i="9"/>
  <c r="J4" i="9"/>
  <c r="I4" i="9"/>
  <c r="H4" i="9"/>
  <c r="G4" i="9"/>
  <c r="E4" i="9"/>
  <c r="D4" i="9"/>
  <c r="F4" i="9" s="1"/>
  <c r="C4" i="9"/>
  <c r="B4" i="9"/>
  <c r="BO3" i="9"/>
  <c r="BN3" i="9"/>
  <c r="BM3" i="9"/>
  <c r="BL3" i="9"/>
  <c r="BK3" i="9"/>
  <c r="BJ3" i="9"/>
  <c r="BI3" i="9"/>
  <c r="BH3" i="9"/>
  <c r="BG3" i="9"/>
  <c r="BF3" i="9"/>
  <c r="BE3" i="9"/>
  <c r="BD3" i="9"/>
  <c r="BC3" i="9"/>
  <c r="AN3" i="9"/>
  <c r="M3" i="9"/>
  <c r="L3" i="9"/>
  <c r="K3" i="9"/>
  <c r="J3" i="9"/>
  <c r="I3" i="9"/>
  <c r="H3" i="9"/>
  <c r="G3" i="9"/>
  <c r="E3" i="9"/>
  <c r="D3" i="9"/>
  <c r="F3" i="9" s="1"/>
  <c r="C3" i="9"/>
  <c r="B3" i="9"/>
  <c r="G34" i="6" l="1"/>
  <c r="I633" i="6" l="1"/>
  <c r="I632" i="6"/>
  <c r="I631" i="6"/>
  <c r="I630" i="6"/>
  <c r="I629" i="6"/>
  <c r="I628" i="6"/>
  <c r="I627" i="6"/>
  <c r="I626" i="6"/>
  <c r="I625" i="6"/>
  <c r="I624" i="6"/>
  <c r="I623" i="6"/>
  <c r="I622" i="6"/>
  <c r="I621"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0" i="6"/>
  <c r="I539" i="6"/>
  <c r="I538" i="6"/>
  <c r="I537" i="6"/>
  <c r="I536" i="6"/>
  <c r="I535" i="6"/>
  <c r="I534" i="6"/>
  <c r="I531" i="6"/>
  <c r="I530" i="6"/>
  <c r="I529" i="6"/>
  <c r="I528" i="6"/>
  <c r="I527" i="6"/>
  <c r="I526" i="6"/>
  <c r="I525" i="6"/>
  <c r="I520" i="6"/>
  <c r="I516" i="6"/>
  <c r="I514" i="6"/>
  <c r="I513" i="6"/>
  <c r="I511" i="6"/>
  <c r="I510" i="6"/>
  <c r="I509" i="6"/>
  <c r="I508" i="6"/>
  <c r="I507" i="6"/>
  <c r="I506" i="6"/>
  <c r="I505" i="6"/>
  <c r="I504"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2" i="6"/>
  <c r="I431" i="6"/>
  <c r="I430"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8" i="6"/>
  <c r="I367"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2" i="6"/>
  <c r="I181" i="6"/>
  <c r="I180" i="6"/>
  <c r="I179" i="6"/>
  <c r="I178" i="6"/>
  <c r="I177" i="6"/>
  <c r="I176" i="6"/>
  <c r="I175" i="6"/>
  <c r="I174" i="6"/>
  <c r="I172" i="6"/>
  <c r="I171"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18" i="6"/>
  <c r="I17" i="6"/>
  <c r="I16" i="6"/>
  <c r="I15" i="6"/>
  <c r="I14" i="6"/>
  <c r="I13" i="6"/>
  <c r="I12" i="6"/>
  <c r="I11" i="6"/>
  <c r="I10" i="6"/>
  <c r="I9" i="6"/>
  <c r="I8" i="6"/>
  <c r="I7" i="6"/>
  <c r="I6" i="6"/>
  <c r="I5" i="6"/>
  <c r="I4" i="6"/>
  <c r="I3" i="6"/>
  <c r="H631" i="6"/>
  <c r="BD60" i="6"/>
  <c r="BE60" i="6"/>
  <c r="BF60" i="6"/>
  <c r="BG60" i="6"/>
  <c r="BH60" i="6"/>
  <c r="BI60" i="6"/>
  <c r="BJ60" i="6"/>
  <c r="BK60" i="6"/>
  <c r="BL60" i="6"/>
  <c r="BM60" i="6"/>
  <c r="BN60" i="6"/>
  <c r="BO60" i="6"/>
  <c r="BP60" i="6"/>
  <c r="BD61" i="6"/>
  <c r="BE61" i="6"/>
  <c r="BF61" i="6"/>
  <c r="BG61" i="6"/>
  <c r="BH61" i="6"/>
  <c r="BI61" i="6"/>
  <c r="BJ61" i="6"/>
  <c r="BK61" i="6"/>
  <c r="BL61" i="6"/>
  <c r="BM61" i="6"/>
  <c r="BN61" i="6"/>
  <c r="BO61" i="6"/>
  <c r="BP61" i="6"/>
  <c r="BD62" i="6"/>
  <c r="BE62" i="6"/>
  <c r="BF62" i="6"/>
  <c r="BG62" i="6"/>
  <c r="BH62" i="6"/>
  <c r="BI62" i="6"/>
  <c r="BJ62" i="6"/>
  <c r="BK62" i="6"/>
  <c r="BL62" i="6"/>
  <c r="BM62" i="6"/>
  <c r="BN62" i="6"/>
  <c r="BO62" i="6"/>
  <c r="BP62" i="6"/>
  <c r="BD63" i="6"/>
  <c r="BE63" i="6"/>
  <c r="BF63" i="6"/>
  <c r="BG63" i="6"/>
  <c r="BH63" i="6"/>
  <c r="BI63" i="6"/>
  <c r="BJ63" i="6"/>
  <c r="BK63" i="6"/>
  <c r="BL63" i="6"/>
  <c r="BM63" i="6"/>
  <c r="BN63" i="6"/>
  <c r="BO63" i="6"/>
  <c r="BP63" i="6"/>
  <c r="BD64" i="6"/>
  <c r="BE64" i="6"/>
  <c r="BF64" i="6"/>
  <c r="BG64" i="6"/>
  <c r="BH64" i="6"/>
  <c r="BI64" i="6"/>
  <c r="BJ64" i="6"/>
  <c r="BK64" i="6"/>
  <c r="BL64" i="6"/>
  <c r="BM64" i="6"/>
  <c r="BN64" i="6"/>
  <c r="BO64" i="6"/>
  <c r="BP64" i="6"/>
  <c r="BD65" i="6"/>
  <c r="BE65" i="6"/>
  <c r="BF65" i="6"/>
  <c r="BG65" i="6"/>
  <c r="BH65" i="6"/>
  <c r="BI65" i="6"/>
  <c r="BJ65" i="6"/>
  <c r="BK65" i="6"/>
  <c r="BL65" i="6"/>
  <c r="BM65" i="6"/>
  <c r="BN65" i="6"/>
  <c r="BO65" i="6"/>
  <c r="BP65" i="6"/>
  <c r="BD66" i="6"/>
  <c r="BE66" i="6"/>
  <c r="BF66" i="6"/>
  <c r="BG66" i="6"/>
  <c r="BH66" i="6"/>
  <c r="BI66" i="6"/>
  <c r="BJ66" i="6"/>
  <c r="BK66" i="6"/>
  <c r="BL66" i="6"/>
  <c r="BM66" i="6"/>
  <c r="BN66" i="6"/>
  <c r="BO66" i="6"/>
  <c r="BP66" i="6"/>
  <c r="BD68" i="6"/>
  <c r="BE68" i="6"/>
  <c r="BF68" i="6"/>
  <c r="BG68" i="6"/>
  <c r="BH68" i="6"/>
  <c r="BI68" i="6"/>
  <c r="BJ68" i="6"/>
  <c r="BK68" i="6"/>
  <c r="BL68" i="6"/>
  <c r="BM68" i="6"/>
  <c r="BN68" i="6"/>
  <c r="BO68" i="6"/>
  <c r="BP68" i="6"/>
  <c r="BD69" i="6"/>
  <c r="BE69" i="6"/>
  <c r="BF69" i="6"/>
  <c r="BG69" i="6"/>
  <c r="BH69" i="6"/>
  <c r="BI69" i="6"/>
  <c r="BJ69" i="6"/>
  <c r="BK69" i="6"/>
  <c r="BL69" i="6"/>
  <c r="BM69" i="6"/>
  <c r="BN69" i="6"/>
  <c r="BO69" i="6"/>
  <c r="BP69" i="6"/>
  <c r="BD70" i="6"/>
  <c r="BE70" i="6"/>
  <c r="BF70" i="6"/>
  <c r="BG70" i="6"/>
  <c r="BH70" i="6"/>
  <c r="BI70" i="6"/>
  <c r="BJ70" i="6"/>
  <c r="BK70" i="6"/>
  <c r="BL70" i="6"/>
  <c r="BM70" i="6"/>
  <c r="BN70" i="6"/>
  <c r="BO70" i="6"/>
  <c r="BP70" i="6"/>
  <c r="BD71" i="6"/>
  <c r="BE71" i="6"/>
  <c r="BF71" i="6"/>
  <c r="BG71" i="6"/>
  <c r="BH71" i="6"/>
  <c r="BI71" i="6"/>
  <c r="BJ71" i="6"/>
  <c r="BK71" i="6"/>
  <c r="BL71" i="6"/>
  <c r="BM71" i="6"/>
  <c r="BN71" i="6"/>
  <c r="BO71" i="6"/>
  <c r="BP71" i="6"/>
  <c r="BD72" i="6"/>
  <c r="BE72" i="6"/>
  <c r="BF72" i="6"/>
  <c r="BG72" i="6"/>
  <c r="BH72" i="6"/>
  <c r="BI72" i="6"/>
  <c r="BJ72" i="6"/>
  <c r="BK72" i="6"/>
  <c r="BL72" i="6"/>
  <c r="BM72" i="6"/>
  <c r="BN72" i="6"/>
  <c r="BO72" i="6"/>
  <c r="BP72" i="6"/>
  <c r="BD73" i="6"/>
  <c r="BE73" i="6"/>
  <c r="BF73" i="6"/>
  <c r="BG73" i="6"/>
  <c r="BH73" i="6"/>
  <c r="BI73" i="6"/>
  <c r="BJ73" i="6"/>
  <c r="BK73" i="6"/>
  <c r="BL73" i="6"/>
  <c r="BM73" i="6"/>
  <c r="BN73" i="6"/>
  <c r="BO73" i="6"/>
  <c r="BP73" i="6"/>
  <c r="BD74" i="6"/>
  <c r="BE74" i="6"/>
  <c r="BF74" i="6"/>
  <c r="BG74" i="6"/>
  <c r="BH74" i="6"/>
  <c r="BI74" i="6"/>
  <c r="BJ74" i="6"/>
  <c r="BK74" i="6"/>
  <c r="BL74" i="6"/>
  <c r="BM74" i="6"/>
  <c r="BN74" i="6"/>
  <c r="BO74" i="6"/>
  <c r="BP74" i="6"/>
  <c r="BD75" i="6"/>
  <c r="BE75" i="6"/>
  <c r="BF75" i="6"/>
  <c r="BG75" i="6"/>
  <c r="BH75" i="6"/>
  <c r="BI75" i="6"/>
  <c r="BJ75" i="6"/>
  <c r="BK75" i="6"/>
  <c r="BL75" i="6"/>
  <c r="BM75" i="6"/>
  <c r="BN75" i="6"/>
  <c r="BO75" i="6"/>
  <c r="BP75" i="6"/>
  <c r="BD76" i="6"/>
  <c r="BE76" i="6"/>
  <c r="BF76" i="6"/>
  <c r="BG76" i="6"/>
  <c r="BH76" i="6"/>
  <c r="BI76" i="6"/>
  <c r="BJ76" i="6"/>
  <c r="BK76" i="6"/>
  <c r="BL76" i="6"/>
  <c r="BM76" i="6"/>
  <c r="BN76" i="6"/>
  <c r="BO76" i="6"/>
  <c r="BP76" i="6"/>
  <c r="BD77" i="6"/>
  <c r="BE77" i="6"/>
  <c r="BF77" i="6"/>
  <c r="BG77" i="6"/>
  <c r="BH77" i="6"/>
  <c r="BI77" i="6"/>
  <c r="BJ77" i="6"/>
  <c r="BK77" i="6"/>
  <c r="BL77" i="6"/>
  <c r="BM77" i="6"/>
  <c r="BN77" i="6"/>
  <c r="BO77" i="6"/>
  <c r="BP77" i="6"/>
  <c r="BD78" i="6"/>
  <c r="BE78" i="6"/>
  <c r="BF78" i="6"/>
  <c r="BG78" i="6"/>
  <c r="BH78" i="6"/>
  <c r="BI78" i="6"/>
  <c r="BJ78" i="6"/>
  <c r="BK78" i="6"/>
  <c r="BL78" i="6"/>
  <c r="BM78" i="6"/>
  <c r="BN78" i="6"/>
  <c r="BO78" i="6"/>
  <c r="BP78" i="6"/>
  <c r="BD79" i="6"/>
  <c r="BE79" i="6"/>
  <c r="BF79" i="6"/>
  <c r="BG79" i="6"/>
  <c r="BH79" i="6"/>
  <c r="BI79" i="6"/>
  <c r="BJ79" i="6"/>
  <c r="BK79" i="6"/>
  <c r="BL79" i="6"/>
  <c r="BM79" i="6"/>
  <c r="BN79" i="6"/>
  <c r="BO79" i="6"/>
  <c r="BP79" i="6"/>
  <c r="BD80" i="6"/>
  <c r="BE80" i="6"/>
  <c r="BF80" i="6"/>
  <c r="BG80" i="6"/>
  <c r="BH80" i="6"/>
  <c r="BI80" i="6"/>
  <c r="BJ80" i="6"/>
  <c r="BK80" i="6"/>
  <c r="BL80" i="6"/>
  <c r="BM80" i="6"/>
  <c r="BN80" i="6"/>
  <c r="BO80" i="6"/>
  <c r="BP80" i="6"/>
  <c r="BD81" i="6"/>
  <c r="BE81" i="6"/>
  <c r="BF81" i="6"/>
  <c r="BG81" i="6"/>
  <c r="BH81" i="6"/>
  <c r="BI81" i="6"/>
  <c r="BJ81" i="6"/>
  <c r="BK81" i="6"/>
  <c r="BL81" i="6"/>
  <c r="BM81" i="6"/>
  <c r="BN81" i="6"/>
  <c r="BO81" i="6"/>
  <c r="BP81" i="6"/>
  <c r="BD82" i="6"/>
  <c r="BE82" i="6"/>
  <c r="BF82" i="6"/>
  <c r="BG82" i="6"/>
  <c r="BH82" i="6"/>
  <c r="BI82" i="6"/>
  <c r="BJ82" i="6"/>
  <c r="BK82" i="6"/>
  <c r="BL82" i="6"/>
  <c r="BM82" i="6"/>
  <c r="BN82" i="6"/>
  <c r="BO82" i="6"/>
  <c r="BP82" i="6"/>
  <c r="BD83" i="6"/>
  <c r="BE83" i="6"/>
  <c r="BF83" i="6"/>
  <c r="BG83" i="6"/>
  <c r="BH83" i="6"/>
  <c r="BI83" i="6"/>
  <c r="BJ83" i="6"/>
  <c r="BK83" i="6"/>
  <c r="BL83" i="6"/>
  <c r="BM83" i="6"/>
  <c r="BN83" i="6"/>
  <c r="BO83" i="6"/>
  <c r="BP83" i="6"/>
  <c r="BD84" i="6"/>
  <c r="BE84" i="6"/>
  <c r="BF84" i="6"/>
  <c r="BG84" i="6"/>
  <c r="BH84" i="6"/>
  <c r="BI84" i="6"/>
  <c r="BJ84" i="6"/>
  <c r="BK84" i="6"/>
  <c r="BL84" i="6"/>
  <c r="BM84" i="6"/>
  <c r="BN84" i="6"/>
  <c r="BO84" i="6"/>
  <c r="BP84" i="6"/>
  <c r="BD85" i="6"/>
  <c r="BE85" i="6"/>
  <c r="BF85" i="6"/>
  <c r="BG85" i="6"/>
  <c r="BH85" i="6"/>
  <c r="BI85" i="6"/>
  <c r="BJ85" i="6"/>
  <c r="BK85" i="6"/>
  <c r="BL85" i="6"/>
  <c r="BM85" i="6"/>
  <c r="BN85" i="6"/>
  <c r="BO85" i="6"/>
  <c r="BP85" i="6"/>
  <c r="BD86" i="6"/>
  <c r="BE86" i="6"/>
  <c r="BF86" i="6"/>
  <c r="BG86" i="6"/>
  <c r="BH86" i="6"/>
  <c r="BI86" i="6"/>
  <c r="BJ86" i="6"/>
  <c r="BK86" i="6"/>
  <c r="BL86" i="6"/>
  <c r="BM86" i="6"/>
  <c r="BN86" i="6"/>
  <c r="BO86" i="6"/>
  <c r="BP86" i="6"/>
  <c r="BD87" i="6"/>
  <c r="BE87" i="6"/>
  <c r="BF87" i="6"/>
  <c r="BG87" i="6"/>
  <c r="BH87" i="6"/>
  <c r="BI87" i="6"/>
  <c r="BJ87" i="6"/>
  <c r="BK87" i="6"/>
  <c r="BL87" i="6"/>
  <c r="BM87" i="6"/>
  <c r="BN87" i="6"/>
  <c r="BO87" i="6"/>
  <c r="BP87" i="6"/>
  <c r="BD88" i="6"/>
  <c r="BE88" i="6"/>
  <c r="BF88" i="6"/>
  <c r="BG88" i="6"/>
  <c r="BH88" i="6"/>
  <c r="BI88" i="6"/>
  <c r="BJ88" i="6"/>
  <c r="BK88" i="6"/>
  <c r="BL88" i="6"/>
  <c r="BM88" i="6"/>
  <c r="BN88" i="6"/>
  <c r="BO88" i="6"/>
  <c r="BP88" i="6"/>
  <c r="BD89" i="6"/>
  <c r="BE89" i="6"/>
  <c r="BF89" i="6"/>
  <c r="BG89" i="6"/>
  <c r="BH89" i="6"/>
  <c r="BI89" i="6"/>
  <c r="BJ89" i="6"/>
  <c r="BK89" i="6"/>
  <c r="BL89" i="6"/>
  <c r="BM89" i="6"/>
  <c r="BN89" i="6"/>
  <c r="BO89" i="6"/>
  <c r="BP89" i="6"/>
  <c r="BD90" i="6"/>
  <c r="BE90" i="6"/>
  <c r="BF90" i="6"/>
  <c r="BG90" i="6"/>
  <c r="BH90" i="6"/>
  <c r="BI90" i="6"/>
  <c r="BJ90" i="6"/>
  <c r="BK90" i="6"/>
  <c r="BL90" i="6"/>
  <c r="BM90" i="6"/>
  <c r="BN90" i="6"/>
  <c r="BO90" i="6"/>
  <c r="BP90" i="6"/>
  <c r="BD91" i="6"/>
  <c r="BE91" i="6"/>
  <c r="BF91" i="6"/>
  <c r="BG91" i="6"/>
  <c r="BH91" i="6"/>
  <c r="BI91" i="6"/>
  <c r="BJ91" i="6"/>
  <c r="BK91" i="6"/>
  <c r="BL91" i="6"/>
  <c r="BM91" i="6"/>
  <c r="BN91" i="6"/>
  <c r="BO91" i="6"/>
  <c r="BP91" i="6"/>
  <c r="BD92" i="6"/>
  <c r="BE92" i="6"/>
  <c r="BF92" i="6"/>
  <c r="BG92" i="6"/>
  <c r="BH92" i="6"/>
  <c r="BI92" i="6"/>
  <c r="BJ92" i="6"/>
  <c r="BK92" i="6"/>
  <c r="BL92" i="6"/>
  <c r="BM92" i="6"/>
  <c r="BN92" i="6"/>
  <c r="BO92" i="6"/>
  <c r="BP92" i="6"/>
  <c r="BD93" i="6"/>
  <c r="BE93" i="6"/>
  <c r="BF93" i="6"/>
  <c r="BG93" i="6"/>
  <c r="BH93" i="6"/>
  <c r="BI93" i="6"/>
  <c r="BJ93" i="6"/>
  <c r="BK93" i="6"/>
  <c r="BL93" i="6"/>
  <c r="BM93" i="6"/>
  <c r="BN93" i="6"/>
  <c r="BO93" i="6"/>
  <c r="BP93" i="6"/>
  <c r="BD94" i="6"/>
  <c r="BE94" i="6"/>
  <c r="BF94" i="6"/>
  <c r="BG94" i="6"/>
  <c r="BH94" i="6"/>
  <c r="BI94" i="6"/>
  <c r="BJ94" i="6"/>
  <c r="BK94" i="6"/>
  <c r="BL94" i="6"/>
  <c r="BM94" i="6"/>
  <c r="BN94" i="6"/>
  <c r="BO94" i="6"/>
  <c r="BP94" i="6"/>
  <c r="BD95" i="6"/>
  <c r="BE95" i="6"/>
  <c r="BF95" i="6"/>
  <c r="BG95" i="6"/>
  <c r="BH95" i="6"/>
  <c r="BI95" i="6"/>
  <c r="BJ95" i="6"/>
  <c r="BK95" i="6"/>
  <c r="BL95" i="6"/>
  <c r="BM95" i="6"/>
  <c r="BN95" i="6"/>
  <c r="BO95" i="6"/>
  <c r="BP95" i="6"/>
  <c r="BD96" i="6"/>
  <c r="BE96" i="6"/>
  <c r="BF96" i="6"/>
  <c r="BG96" i="6"/>
  <c r="BH96" i="6"/>
  <c r="BI96" i="6"/>
  <c r="BJ96" i="6"/>
  <c r="BK96" i="6"/>
  <c r="BL96" i="6"/>
  <c r="BM96" i="6"/>
  <c r="BN96" i="6"/>
  <c r="BO96" i="6"/>
  <c r="BP96" i="6"/>
  <c r="BD97" i="6"/>
  <c r="BE97" i="6"/>
  <c r="BF97" i="6"/>
  <c r="BG97" i="6"/>
  <c r="BH97" i="6"/>
  <c r="BI97" i="6"/>
  <c r="BJ97" i="6"/>
  <c r="BK97" i="6"/>
  <c r="BL97" i="6"/>
  <c r="BM97" i="6"/>
  <c r="BN97" i="6"/>
  <c r="BO97" i="6"/>
  <c r="BP97" i="6"/>
  <c r="BD98" i="6"/>
  <c r="BE98" i="6"/>
  <c r="BF98" i="6"/>
  <c r="BG98" i="6"/>
  <c r="BH98" i="6"/>
  <c r="BI98" i="6"/>
  <c r="BJ98" i="6"/>
  <c r="BK98" i="6"/>
  <c r="BL98" i="6"/>
  <c r="BM98" i="6"/>
  <c r="BN98" i="6"/>
  <c r="BO98" i="6"/>
  <c r="BP98" i="6"/>
  <c r="BD99" i="6"/>
  <c r="BE99" i="6"/>
  <c r="BF99" i="6"/>
  <c r="BG99" i="6"/>
  <c r="BH99" i="6"/>
  <c r="BI99" i="6"/>
  <c r="BJ99" i="6"/>
  <c r="BK99" i="6"/>
  <c r="BL99" i="6"/>
  <c r="BM99" i="6"/>
  <c r="BN99" i="6"/>
  <c r="BO99" i="6"/>
  <c r="BP99" i="6"/>
  <c r="BD100" i="6"/>
  <c r="BE100" i="6"/>
  <c r="BF100" i="6"/>
  <c r="BG100" i="6"/>
  <c r="BH100" i="6"/>
  <c r="BI100" i="6"/>
  <c r="BJ100" i="6"/>
  <c r="BK100" i="6"/>
  <c r="BL100" i="6"/>
  <c r="BM100" i="6"/>
  <c r="BN100" i="6"/>
  <c r="BO100" i="6"/>
  <c r="BP100" i="6"/>
  <c r="BD101" i="6"/>
  <c r="BE101" i="6"/>
  <c r="BF101" i="6"/>
  <c r="BG101" i="6"/>
  <c r="BH101" i="6"/>
  <c r="BI101" i="6"/>
  <c r="BJ101" i="6"/>
  <c r="BK101" i="6"/>
  <c r="BL101" i="6"/>
  <c r="BM101" i="6"/>
  <c r="BN101" i="6"/>
  <c r="BO101" i="6"/>
  <c r="BP101" i="6"/>
  <c r="BD102" i="6"/>
  <c r="BE102" i="6"/>
  <c r="BF102" i="6"/>
  <c r="BG102" i="6"/>
  <c r="BH102" i="6"/>
  <c r="BI102" i="6"/>
  <c r="BJ102" i="6"/>
  <c r="BK102" i="6"/>
  <c r="BL102" i="6"/>
  <c r="BM102" i="6"/>
  <c r="BN102" i="6"/>
  <c r="BO102" i="6"/>
  <c r="BP102" i="6"/>
  <c r="BD103" i="6"/>
  <c r="BE103" i="6"/>
  <c r="BF103" i="6"/>
  <c r="BG103" i="6"/>
  <c r="BH103" i="6"/>
  <c r="BI103" i="6"/>
  <c r="BJ103" i="6"/>
  <c r="BK103" i="6"/>
  <c r="BL103" i="6"/>
  <c r="BM103" i="6"/>
  <c r="BN103" i="6"/>
  <c r="BO103" i="6"/>
  <c r="BP103" i="6"/>
  <c r="BD104" i="6"/>
  <c r="BE104" i="6"/>
  <c r="BF104" i="6"/>
  <c r="BG104" i="6"/>
  <c r="BH104" i="6"/>
  <c r="BI104" i="6"/>
  <c r="BJ104" i="6"/>
  <c r="BK104" i="6"/>
  <c r="BL104" i="6"/>
  <c r="BM104" i="6"/>
  <c r="BN104" i="6"/>
  <c r="BO104" i="6"/>
  <c r="BP104" i="6"/>
  <c r="BD105" i="6"/>
  <c r="BE105" i="6"/>
  <c r="BF105" i="6"/>
  <c r="BG105" i="6"/>
  <c r="BH105" i="6"/>
  <c r="BI105" i="6"/>
  <c r="BJ105" i="6"/>
  <c r="BK105" i="6"/>
  <c r="BL105" i="6"/>
  <c r="BM105" i="6"/>
  <c r="BN105" i="6"/>
  <c r="BO105" i="6"/>
  <c r="BP105" i="6"/>
  <c r="BD106" i="6"/>
  <c r="BE106" i="6"/>
  <c r="BF106" i="6"/>
  <c r="BG106" i="6"/>
  <c r="BH106" i="6"/>
  <c r="BI106" i="6"/>
  <c r="BJ106" i="6"/>
  <c r="BK106" i="6"/>
  <c r="BL106" i="6"/>
  <c r="BM106" i="6"/>
  <c r="BN106" i="6"/>
  <c r="BO106" i="6"/>
  <c r="BP106" i="6"/>
  <c r="BD107" i="6"/>
  <c r="BE107" i="6"/>
  <c r="BF107" i="6"/>
  <c r="BG107" i="6"/>
  <c r="BH107" i="6"/>
  <c r="BI107" i="6"/>
  <c r="BJ107" i="6"/>
  <c r="BK107" i="6"/>
  <c r="BL107" i="6"/>
  <c r="BM107" i="6"/>
  <c r="BN107" i="6"/>
  <c r="BO107" i="6"/>
  <c r="BP107" i="6"/>
  <c r="BD108" i="6"/>
  <c r="BE108" i="6"/>
  <c r="BF108" i="6"/>
  <c r="BG108" i="6"/>
  <c r="BH108" i="6"/>
  <c r="BI108" i="6"/>
  <c r="BJ108" i="6"/>
  <c r="BK108" i="6"/>
  <c r="BL108" i="6"/>
  <c r="BM108" i="6"/>
  <c r="BN108" i="6"/>
  <c r="BO108" i="6"/>
  <c r="BP108" i="6"/>
  <c r="BD109" i="6"/>
  <c r="BE109" i="6"/>
  <c r="BF109" i="6"/>
  <c r="BG109" i="6"/>
  <c r="BH109" i="6"/>
  <c r="BI109" i="6"/>
  <c r="BJ109" i="6"/>
  <c r="BK109" i="6"/>
  <c r="BL109" i="6"/>
  <c r="BM109" i="6"/>
  <c r="BN109" i="6"/>
  <c r="BO109" i="6"/>
  <c r="BP109" i="6"/>
  <c r="BD110" i="6"/>
  <c r="BE110" i="6"/>
  <c r="BF110" i="6"/>
  <c r="BG110" i="6"/>
  <c r="BH110" i="6"/>
  <c r="BI110" i="6"/>
  <c r="BJ110" i="6"/>
  <c r="BK110" i="6"/>
  <c r="BL110" i="6"/>
  <c r="BM110" i="6"/>
  <c r="BN110" i="6"/>
  <c r="BO110" i="6"/>
  <c r="BP110" i="6"/>
  <c r="BD111" i="6"/>
  <c r="BE111" i="6"/>
  <c r="BF111" i="6"/>
  <c r="BG111" i="6"/>
  <c r="BH111" i="6"/>
  <c r="BI111" i="6"/>
  <c r="BJ111" i="6"/>
  <c r="BK111" i="6"/>
  <c r="BL111" i="6"/>
  <c r="BM111" i="6"/>
  <c r="BN111" i="6"/>
  <c r="BO111" i="6"/>
  <c r="BP111" i="6"/>
  <c r="BD112" i="6"/>
  <c r="BE112" i="6"/>
  <c r="BF112" i="6"/>
  <c r="BG112" i="6"/>
  <c r="BH112" i="6"/>
  <c r="BI112" i="6"/>
  <c r="BJ112" i="6"/>
  <c r="BK112" i="6"/>
  <c r="BL112" i="6"/>
  <c r="BM112" i="6"/>
  <c r="BN112" i="6"/>
  <c r="BO112" i="6"/>
  <c r="BP112" i="6"/>
  <c r="BD113" i="6"/>
  <c r="BE113" i="6"/>
  <c r="BF113" i="6"/>
  <c r="BG113" i="6"/>
  <c r="BH113" i="6"/>
  <c r="BI113" i="6"/>
  <c r="BJ113" i="6"/>
  <c r="BK113" i="6"/>
  <c r="BL113" i="6"/>
  <c r="BM113" i="6"/>
  <c r="BN113" i="6"/>
  <c r="BO113" i="6"/>
  <c r="BP113" i="6"/>
  <c r="BD114" i="6"/>
  <c r="BE114" i="6"/>
  <c r="BF114" i="6"/>
  <c r="BG114" i="6"/>
  <c r="BH114" i="6"/>
  <c r="BI114" i="6"/>
  <c r="BJ114" i="6"/>
  <c r="BK114" i="6"/>
  <c r="BL114" i="6"/>
  <c r="BM114" i="6"/>
  <c r="BN114" i="6"/>
  <c r="BO114" i="6"/>
  <c r="BP114" i="6"/>
  <c r="BD115" i="6"/>
  <c r="BE115" i="6"/>
  <c r="BF115" i="6"/>
  <c r="BG115" i="6"/>
  <c r="BH115" i="6"/>
  <c r="BI115" i="6"/>
  <c r="BJ115" i="6"/>
  <c r="BK115" i="6"/>
  <c r="BL115" i="6"/>
  <c r="BM115" i="6"/>
  <c r="BN115" i="6"/>
  <c r="BO115" i="6"/>
  <c r="BP115" i="6"/>
  <c r="BD116" i="6"/>
  <c r="BE116" i="6"/>
  <c r="BF116" i="6"/>
  <c r="BG116" i="6"/>
  <c r="BH116" i="6"/>
  <c r="BI116" i="6"/>
  <c r="BJ116" i="6"/>
  <c r="BK116" i="6"/>
  <c r="BL116" i="6"/>
  <c r="BM116" i="6"/>
  <c r="BN116" i="6"/>
  <c r="BO116" i="6"/>
  <c r="BP116" i="6"/>
  <c r="BD117" i="6"/>
  <c r="BE117" i="6"/>
  <c r="BF117" i="6"/>
  <c r="BG117" i="6"/>
  <c r="BH117" i="6"/>
  <c r="BI117" i="6"/>
  <c r="BJ117" i="6"/>
  <c r="BK117" i="6"/>
  <c r="BL117" i="6"/>
  <c r="BM117" i="6"/>
  <c r="BN117" i="6"/>
  <c r="BO117" i="6"/>
  <c r="BP117" i="6"/>
  <c r="BD118" i="6"/>
  <c r="BE118" i="6"/>
  <c r="BF118" i="6"/>
  <c r="BG118" i="6"/>
  <c r="BH118" i="6"/>
  <c r="BI118" i="6"/>
  <c r="BJ118" i="6"/>
  <c r="BK118" i="6"/>
  <c r="BL118" i="6"/>
  <c r="BM118" i="6"/>
  <c r="BN118" i="6"/>
  <c r="BO118" i="6"/>
  <c r="BP118" i="6"/>
  <c r="BD119" i="6"/>
  <c r="BE119" i="6"/>
  <c r="BF119" i="6"/>
  <c r="BG119" i="6"/>
  <c r="BH119" i="6"/>
  <c r="BI119" i="6"/>
  <c r="BJ119" i="6"/>
  <c r="BK119" i="6"/>
  <c r="BL119" i="6"/>
  <c r="BM119" i="6"/>
  <c r="BN119" i="6"/>
  <c r="BO119" i="6"/>
  <c r="BP119" i="6"/>
  <c r="BD120" i="6"/>
  <c r="BE120" i="6"/>
  <c r="BF120" i="6"/>
  <c r="BG120" i="6"/>
  <c r="BH120" i="6"/>
  <c r="BI120" i="6"/>
  <c r="BJ120" i="6"/>
  <c r="BK120" i="6"/>
  <c r="BL120" i="6"/>
  <c r="BM120" i="6"/>
  <c r="BN120" i="6"/>
  <c r="BO120" i="6"/>
  <c r="BP120" i="6"/>
  <c r="BD121" i="6"/>
  <c r="BE121" i="6"/>
  <c r="BF121" i="6"/>
  <c r="BG121" i="6"/>
  <c r="BH121" i="6"/>
  <c r="BI121" i="6"/>
  <c r="BJ121" i="6"/>
  <c r="BK121" i="6"/>
  <c r="BL121" i="6"/>
  <c r="BM121" i="6"/>
  <c r="BN121" i="6"/>
  <c r="BO121" i="6"/>
  <c r="BP121" i="6"/>
  <c r="BD122" i="6"/>
  <c r="BE122" i="6"/>
  <c r="BF122" i="6"/>
  <c r="BG122" i="6"/>
  <c r="BH122" i="6"/>
  <c r="BI122" i="6"/>
  <c r="BJ122" i="6"/>
  <c r="BK122" i="6"/>
  <c r="BL122" i="6"/>
  <c r="BM122" i="6"/>
  <c r="BN122" i="6"/>
  <c r="BO122" i="6"/>
  <c r="BP122" i="6"/>
  <c r="BD123" i="6"/>
  <c r="BE123" i="6"/>
  <c r="BF123" i="6"/>
  <c r="BG123" i="6"/>
  <c r="BH123" i="6"/>
  <c r="BI123" i="6"/>
  <c r="BJ123" i="6"/>
  <c r="BK123" i="6"/>
  <c r="BL123" i="6"/>
  <c r="BM123" i="6"/>
  <c r="BN123" i="6"/>
  <c r="BO123" i="6"/>
  <c r="BP123" i="6"/>
  <c r="BD124" i="6"/>
  <c r="BE124" i="6"/>
  <c r="BF124" i="6"/>
  <c r="BG124" i="6"/>
  <c r="BH124" i="6"/>
  <c r="BI124" i="6"/>
  <c r="BJ124" i="6"/>
  <c r="BK124" i="6"/>
  <c r="BL124" i="6"/>
  <c r="BM124" i="6"/>
  <c r="BN124" i="6"/>
  <c r="BO124" i="6"/>
  <c r="BP124" i="6"/>
  <c r="BD125" i="6"/>
  <c r="BE125" i="6"/>
  <c r="BF125" i="6"/>
  <c r="BG125" i="6"/>
  <c r="BH125" i="6"/>
  <c r="BI125" i="6"/>
  <c r="BJ125" i="6"/>
  <c r="BK125" i="6"/>
  <c r="BL125" i="6"/>
  <c r="BM125" i="6"/>
  <c r="BN125" i="6"/>
  <c r="BO125" i="6"/>
  <c r="BP125" i="6"/>
  <c r="BD126" i="6"/>
  <c r="BE126" i="6"/>
  <c r="BF126" i="6"/>
  <c r="BG126" i="6"/>
  <c r="BH126" i="6"/>
  <c r="BI126" i="6"/>
  <c r="BJ126" i="6"/>
  <c r="BK126" i="6"/>
  <c r="BL126" i="6"/>
  <c r="BM126" i="6"/>
  <c r="BN126" i="6"/>
  <c r="BO126" i="6"/>
  <c r="BP126" i="6"/>
  <c r="BD127" i="6"/>
  <c r="BE127" i="6"/>
  <c r="BF127" i="6"/>
  <c r="BG127" i="6"/>
  <c r="BH127" i="6"/>
  <c r="BI127" i="6"/>
  <c r="BJ127" i="6"/>
  <c r="BK127" i="6"/>
  <c r="BL127" i="6"/>
  <c r="BM127" i="6"/>
  <c r="BN127" i="6"/>
  <c r="BO127" i="6"/>
  <c r="BP127" i="6"/>
  <c r="BD128" i="6"/>
  <c r="BE128" i="6"/>
  <c r="BF128" i="6"/>
  <c r="BG128" i="6"/>
  <c r="BH128" i="6"/>
  <c r="BI128" i="6"/>
  <c r="BJ128" i="6"/>
  <c r="BK128" i="6"/>
  <c r="BL128" i="6"/>
  <c r="BM128" i="6"/>
  <c r="BN128" i="6"/>
  <c r="BO128" i="6"/>
  <c r="BP128" i="6"/>
  <c r="BD129" i="6"/>
  <c r="BE129" i="6"/>
  <c r="BF129" i="6"/>
  <c r="BG129" i="6"/>
  <c r="BH129" i="6"/>
  <c r="BI129" i="6"/>
  <c r="BJ129" i="6"/>
  <c r="BK129" i="6"/>
  <c r="BL129" i="6"/>
  <c r="BM129" i="6"/>
  <c r="BN129" i="6"/>
  <c r="BO129" i="6"/>
  <c r="BP129" i="6"/>
  <c r="BD130" i="6"/>
  <c r="BE130" i="6"/>
  <c r="BF130" i="6"/>
  <c r="BG130" i="6"/>
  <c r="BH130" i="6"/>
  <c r="BI130" i="6"/>
  <c r="BJ130" i="6"/>
  <c r="BK130" i="6"/>
  <c r="BL130" i="6"/>
  <c r="BM130" i="6"/>
  <c r="BN130" i="6"/>
  <c r="BO130" i="6"/>
  <c r="BP130" i="6"/>
  <c r="BD131" i="6"/>
  <c r="BE131" i="6"/>
  <c r="BF131" i="6"/>
  <c r="BG131" i="6"/>
  <c r="BH131" i="6"/>
  <c r="BI131" i="6"/>
  <c r="BJ131" i="6"/>
  <c r="BK131" i="6"/>
  <c r="BL131" i="6"/>
  <c r="BM131" i="6"/>
  <c r="BN131" i="6"/>
  <c r="BO131" i="6"/>
  <c r="BP131" i="6"/>
  <c r="BD132" i="6"/>
  <c r="BE132" i="6"/>
  <c r="BF132" i="6"/>
  <c r="BG132" i="6"/>
  <c r="BH132" i="6"/>
  <c r="BI132" i="6"/>
  <c r="BJ132" i="6"/>
  <c r="BK132" i="6"/>
  <c r="BL132" i="6"/>
  <c r="BM132" i="6"/>
  <c r="BN132" i="6"/>
  <c r="BO132" i="6"/>
  <c r="BP132" i="6"/>
  <c r="BD133" i="6"/>
  <c r="BE133" i="6"/>
  <c r="BF133" i="6"/>
  <c r="BG133" i="6"/>
  <c r="BH133" i="6"/>
  <c r="BI133" i="6"/>
  <c r="BJ133" i="6"/>
  <c r="BK133" i="6"/>
  <c r="BL133" i="6"/>
  <c r="BM133" i="6"/>
  <c r="BN133" i="6"/>
  <c r="BO133" i="6"/>
  <c r="BP133" i="6"/>
  <c r="BD134" i="6"/>
  <c r="BE134" i="6"/>
  <c r="BF134" i="6"/>
  <c r="BG134" i="6"/>
  <c r="BH134" i="6"/>
  <c r="BI134" i="6"/>
  <c r="BJ134" i="6"/>
  <c r="BK134" i="6"/>
  <c r="BL134" i="6"/>
  <c r="BM134" i="6"/>
  <c r="BN134" i="6"/>
  <c r="BO134" i="6"/>
  <c r="BP134" i="6"/>
  <c r="BD135" i="6"/>
  <c r="BE135" i="6"/>
  <c r="BF135" i="6"/>
  <c r="BG135" i="6"/>
  <c r="BH135" i="6"/>
  <c r="BI135" i="6"/>
  <c r="BJ135" i="6"/>
  <c r="BK135" i="6"/>
  <c r="BL135" i="6"/>
  <c r="BM135" i="6"/>
  <c r="BN135" i="6"/>
  <c r="BO135" i="6"/>
  <c r="BP135" i="6"/>
  <c r="BD136" i="6"/>
  <c r="BE136" i="6"/>
  <c r="BF136" i="6"/>
  <c r="BG136" i="6"/>
  <c r="BH136" i="6"/>
  <c r="BI136" i="6"/>
  <c r="BJ136" i="6"/>
  <c r="BK136" i="6"/>
  <c r="BL136" i="6"/>
  <c r="BM136" i="6"/>
  <c r="BN136" i="6"/>
  <c r="BO136" i="6"/>
  <c r="BP136" i="6"/>
  <c r="BD137" i="6"/>
  <c r="BE137" i="6"/>
  <c r="BF137" i="6"/>
  <c r="BG137" i="6"/>
  <c r="BH137" i="6"/>
  <c r="BI137" i="6"/>
  <c r="BJ137" i="6"/>
  <c r="BK137" i="6"/>
  <c r="BL137" i="6"/>
  <c r="BM137" i="6"/>
  <c r="BN137" i="6"/>
  <c r="BO137" i="6"/>
  <c r="BP137" i="6"/>
  <c r="BD138" i="6"/>
  <c r="BE138" i="6"/>
  <c r="BF138" i="6"/>
  <c r="BG138" i="6"/>
  <c r="BH138" i="6"/>
  <c r="BI138" i="6"/>
  <c r="BJ138" i="6"/>
  <c r="BK138" i="6"/>
  <c r="BL138" i="6"/>
  <c r="BM138" i="6"/>
  <c r="BN138" i="6"/>
  <c r="BO138" i="6"/>
  <c r="BP138" i="6"/>
  <c r="BD139" i="6"/>
  <c r="BE139" i="6"/>
  <c r="BF139" i="6"/>
  <c r="BG139" i="6"/>
  <c r="BH139" i="6"/>
  <c r="BI139" i="6"/>
  <c r="BJ139" i="6"/>
  <c r="BK139" i="6"/>
  <c r="BL139" i="6"/>
  <c r="BM139" i="6"/>
  <c r="BN139" i="6"/>
  <c r="BO139" i="6"/>
  <c r="BP139" i="6"/>
  <c r="BD140" i="6"/>
  <c r="BE140" i="6"/>
  <c r="BF140" i="6"/>
  <c r="BG140" i="6"/>
  <c r="BH140" i="6"/>
  <c r="BI140" i="6"/>
  <c r="BJ140" i="6"/>
  <c r="BK140" i="6"/>
  <c r="BL140" i="6"/>
  <c r="BM140" i="6"/>
  <c r="BN140" i="6"/>
  <c r="BO140" i="6"/>
  <c r="BP140" i="6"/>
  <c r="BD141" i="6"/>
  <c r="BE141" i="6"/>
  <c r="BF141" i="6"/>
  <c r="BG141" i="6"/>
  <c r="BH141" i="6"/>
  <c r="BI141" i="6"/>
  <c r="BJ141" i="6"/>
  <c r="BK141" i="6"/>
  <c r="BL141" i="6"/>
  <c r="BM141" i="6"/>
  <c r="BN141" i="6"/>
  <c r="BO141" i="6"/>
  <c r="BP141" i="6"/>
  <c r="BD142" i="6"/>
  <c r="BE142" i="6"/>
  <c r="BF142" i="6"/>
  <c r="BG142" i="6"/>
  <c r="BH142" i="6"/>
  <c r="BI142" i="6"/>
  <c r="BJ142" i="6"/>
  <c r="BK142" i="6"/>
  <c r="BL142" i="6"/>
  <c r="BM142" i="6"/>
  <c r="BN142" i="6"/>
  <c r="BO142" i="6"/>
  <c r="BP142" i="6"/>
  <c r="BD143" i="6"/>
  <c r="BE143" i="6"/>
  <c r="BF143" i="6"/>
  <c r="BG143" i="6"/>
  <c r="BH143" i="6"/>
  <c r="BI143" i="6"/>
  <c r="BJ143" i="6"/>
  <c r="BK143" i="6"/>
  <c r="BL143" i="6"/>
  <c r="BM143" i="6"/>
  <c r="BN143" i="6"/>
  <c r="BO143" i="6"/>
  <c r="BP143" i="6"/>
  <c r="BD144" i="6"/>
  <c r="BE144" i="6"/>
  <c r="BF144" i="6"/>
  <c r="BG144" i="6"/>
  <c r="BH144" i="6"/>
  <c r="BI144" i="6"/>
  <c r="BJ144" i="6"/>
  <c r="BK144" i="6"/>
  <c r="BL144" i="6"/>
  <c r="BM144" i="6"/>
  <c r="BN144" i="6"/>
  <c r="BO144" i="6"/>
  <c r="BP144" i="6"/>
  <c r="BD145" i="6"/>
  <c r="BE145" i="6"/>
  <c r="BF145" i="6"/>
  <c r="BG145" i="6"/>
  <c r="BH145" i="6"/>
  <c r="BI145" i="6"/>
  <c r="BJ145" i="6"/>
  <c r="BK145" i="6"/>
  <c r="BL145" i="6"/>
  <c r="BM145" i="6"/>
  <c r="BN145" i="6"/>
  <c r="BO145" i="6"/>
  <c r="BP145" i="6"/>
  <c r="BD146" i="6"/>
  <c r="BE146" i="6"/>
  <c r="BF146" i="6"/>
  <c r="BG146" i="6"/>
  <c r="BH146" i="6"/>
  <c r="BI146" i="6"/>
  <c r="BJ146" i="6"/>
  <c r="BK146" i="6"/>
  <c r="BL146" i="6"/>
  <c r="BM146" i="6"/>
  <c r="BN146" i="6"/>
  <c r="BO146" i="6"/>
  <c r="BP146" i="6"/>
  <c r="BD147" i="6"/>
  <c r="BE147" i="6"/>
  <c r="BF147" i="6"/>
  <c r="BG147" i="6"/>
  <c r="BH147" i="6"/>
  <c r="BI147" i="6"/>
  <c r="BJ147" i="6"/>
  <c r="BK147" i="6"/>
  <c r="BL147" i="6"/>
  <c r="BM147" i="6"/>
  <c r="BN147" i="6"/>
  <c r="BO147" i="6"/>
  <c r="BP147" i="6"/>
  <c r="BD148" i="6"/>
  <c r="BE148" i="6"/>
  <c r="BF148" i="6"/>
  <c r="BG148" i="6"/>
  <c r="BH148" i="6"/>
  <c r="BI148" i="6"/>
  <c r="BJ148" i="6"/>
  <c r="BK148" i="6"/>
  <c r="BL148" i="6"/>
  <c r="BM148" i="6"/>
  <c r="BN148" i="6"/>
  <c r="BO148" i="6"/>
  <c r="BP148" i="6"/>
  <c r="BD149" i="6"/>
  <c r="BE149" i="6"/>
  <c r="BF149" i="6"/>
  <c r="BG149" i="6"/>
  <c r="BH149" i="6"/>
  <c r="BI149" i="6"/>
  <c r="BJ149" i="6"/>
  <c r="BK149" i="6"/>
  <c r="BL149" i="6"/>
  <c r="BM149" i="6"/>
  <c r="BN149" i="6"/>
  <c r="BO149" i="6"/>
  <c r="BP149" i="6"/>
  <c r="BD150" i="6"/>
  <c r="BE150" i="6"/>
  <c r="BF150" i="6"/>
  <c r="BG150" i="6"/>
  <c r="BH150" i="6"/>
  <c r="BI150" i="6"/>
  <c r="BJ150" i="6"/>
  <c r="BK150" i="6"/>
  <c r="BL150" i="6"/>
  <c r="BM150" i="6"/>
  <c r="BN150" i="6"/>
  <c r="BO150" i="6"/>
  <c r="BP150" i="6"/>
  <c r="BD151" i="6"/>
  <c r="BE151" i="6"/>
  <c r="BF151" i="6"/>
  <c r="BG151" i="6"/>
  <c r="BH151" i="6"/>
  <c r="BI151" i="6"/>
  <c r="BJ151" i="6"/>
  <c r="BK151" i="6"/>
  <c r="BL151" i="6"/>
  <c r="BM151" i="6"/>
  <c r="BN151" i="6"/>
  <c r="BO151" i="6"/>
  <c r="BP151" i="6"/>
  <c r="BD152" i="6"/>
  <c r="BE152" i="6"/>
  <c r="BF152" i="6"/>
  <c r="BG152" i="6"/>
  <c r="BH152" i="6"/>
  <c r="BI152" i="6"/>
  <c r="BJ152" i="6"/>
  <c r="BK152" i="6"/>
  <c r="BL152" i="6"/>
  <c r="BM152" i="6"/>
  <c r="BN152" i="6"/>
  <c r="BO152" i="6"/>
  <c r="BP152" i="6"/>
  <c r="BD153" i="6"/>
  <c r="BE153" i="6"/>
  <c r="BF153" i="6"/>
  <c r="BG153" i="6"/>
  <c r="BH153" i="6"/>
  <c r="BI153" i="6"/>
  <c r="BJ153" i="6"/>
  <c r="BK153" i="6"/>
  <c r="BL153" i="6"/>
  <c r="BM153" i="6"/>
  <c r="BN153" i="6"/>
  <c r="BO153" i="6"/>
  <c r="BP153" i="6"/>
  <c r="BD154" i="6"/>
  <c r="BE154" i="6"/>
  <c r="BF154" i="6"/>
  <c r="BG154" i="6"/>
  <c r="BH154" i="6"/>
  <c r="BI154" i="6"/>
  <c r="BJ154" i="6"/>
  <c r="BK154" i="6"/>
  <c r="BL154" i="6"/>
  <c r="BM154" i="6"/>
  <c r="BN154" i="6"/>
  <c r="BO154" i="6"/>
  <c r="BP154" i="6"/>
  <c r="BD155" i="6"/>
  <c r="BE155" i="6"/>
  <c r="BF155" i="6"/>
  <c r="BG155" i="6"/>
  <c r="BH155" i="6"/>
  <c r="BI155" i="6"/>
  <c r="BJ155" i="6"/>
  <c r="BK155" i="6"/>
  <c r="BL155" i="6"/>
  <c r="BM155" i="6"/>
  <c r="BN155" i="6"/>
  <c r="BO155" i="6"/>
  <c r="BP155" i="6"/>
  <c r="BD156" i="6"/>
  <c r="BE156" i="6"/>
  <c r="BF156" i="6"/>
  <c r="BG156" i="6"/>
  <c r="BH156" i="6"/>
  <c r="BI156" i="6"/>
  <c r="BJ156" i="6"/>
  <c r="BK156" i="6"/>
  <c r="BL156" i="6"/>
  <c r="BM156" i="6"/>
  <c r="BN156" i="6"/>
  <c r="BO156" i="6"/>
  <c r="BP156" i="6"/>
  <c r="BD157" i="6"/>
  <c r="BE157" i="6"/>
  <c r="BF157" i="6"/>
  <c r="BG157" i="6"/>
  <c r="BH157" i="6"/>
  <c r="BI157" i="6"/>
  <c r="BJ157" i="6"/>
  <c r="BK157" i="6"/>
  <c r="BL157" i="6"/>
  <c r="BM157" i="6"/>
  <c r="BN157" i="6"/>
  <c r="BO157" i="6"/>
  <c r="BP157" i="6"/>
  <c r="BD158" i="6"/>
  <c r="BE158" i="6"/>
  <c r="BF158" i="6"/>
  <c r="BG158" i="6"/>
  <c r="BH158" i="6"/>
  <c r="BI158" i="6"/>
  <c r="BJ158" i="6"/>
  <c r="BK158" i="6"/>
  <c r="BL158" i="6"/>
  <c r="BM158" i="6"/>
  <c r="BN158" i="6"/>
  <c r="BO158" i="6"/>
  <c r="BP158" i="6"/>
  <c r="BD159" i="6"/>
  <c r="BE159" i="6"/>
  <c r="BF159" i="6"/>
  <c r="BG159" i="6"/>
  <c r="BH159" i="6"/>
  <c r="BI159" i="6"/>
  <c r="BJ159" i="6"/>
  <c r="BK159" i="6"/>
  <c r="BL159" i="6"/>
  <c r="BM159" i="6"/>
  <c r="BN159" i="6"/>
  <c r="BO159" i="6"/>
  <c r="BP159" i="6"/>
  <c r="BD160" i="6"/>
  <c r="BE160" i="6"/>
  <c r="BF160" i="6"/>
  <c r="BG160" i="6"/>
  <c r="BH160" i="6"/>
  <c r="BI160" i="6"/>
  <c r="BJ160" i="6"/>
  <c r="BK160" i="6"/>
  <c r="BL160" i="6"/>
  <c r="BM160" i="6"/>
  <c r="BN160" i="6"/>
  <c r="BO160" i="6"/>
  <c r="BP160" i="6"/>
  <c r="BD161" i="6"/>
  <c r="BE161" i="6"/>
  <c r="BF161" i="6"/>
  <c r="BG161" i="6"/>
  <c r="BH161" i="6"/>
  <c r="BI161" i="6"/>
  <c r="BJ161" i="6"/>
  <c r="BK161" i="6"/>
  <c r="BL161" i="6"/>
  <c r="BM161" i="6"/>
  <c r="BN161" i="6"/>
  <c r="BO161" i="6"/>
  <c r="BP161" i="6"/>
  <c r="BD162" i="6"/>
  <c r="BE162" i="6"/>
  <c r="BF162" i="6"/>
  <c r="BG162" i="6"/>
  <c r="BH162" i="6"/>
  <c r="BI162" i="6"/>
  <c r="BJ162" i="6"/>
  <c r="BK162" i="6"/>
  <c r="BL162" i="6"/>
  <c r="BM162" i="6"/>
  <c r="BN162" i="6"/>
  <c r="BO162" i="6"/>
  <c r="BP162" i="6"/>
  <c r="BD163" i="6"/>
  <c r="BE163" i="6"/>
  <c r="BF163" i="6"/>
  <c r="BG163" i="6"/>
  <c r="BH163" i="6"/>
  <c r="BI163" i="6"/>
  <c r="BJ163" i="6"/>
  <c r="BK163" i="6"/>
  <c r="BL163" i="6"/>
  <c r="BM163" i="6"/>
  <c r="BN163" i="6"/>
  <c r="BO163" i="6"/>
  <c r="BP163" i="6"/>
  <c r="BD164" i="6"/>
  <c r="BE164" i="6"/>
  <c r="BF164" i="6"/>
  <c r="BG164" i="6"/>
  <c r="BH164" i="6"/>
  <c r="BI164" i="6"/>
  <c r="BJ164" i="6"/>
  <c r="BK164" i="6"/>
  <c r="BL164" i="6"/>
  <c r="BM164" i="6"/>
  <c r="BN164" i="6"/>
  <c r="BO164" i="6"/>
  <c r="BP164" i="6"/>
  <c r="BD165" i="6"/>
  <c r="BE165" i="6"/>
  <c r="BF165" i="6"/>
  <c r="BG165" i="6"/>
  <c r="BH165" i="6"/>
  <c r="BI165" i="6"/>
  <c r="BJ165" i="6"/>
  <c r="BK165" i="6"/>
  <c r="BL165" i="6"/>
  <c r="BM165" i="6"/>
  <c r="BN165" i="6"/>
  <c r="BO165" i="6"/>
  <c r="BP165" i="6"/>
  <c r="BD166" i="6"/>
  <c r="BE166" i="6"/>
  <c r="BF166" i="6"/>
  <c r="BG166" i="6"/>
  <c r="BH166" i="6"/>
  <c r="BI166" i="6"/>
  <c r="BJ166" i="6"/>
  <c r="BK166" i="6"/>
  <c r="BL166" i="6"/>
  <c r="BM166" i="6"/>
  <c r="BN166" i="6"/>
  <c r="BO166" i="6"/>
  <c r="BP166" i="6"/>
  <c r="BD167" i="6"/>
  <c r="BE167" i="6"/>
  <c r="BF167" i="6"/>
  <c r="BG167" i="6"/>
  <c r="BH167" i="6"/>
  <c r="BI167" i="6"/>
  <c r="BJ167" i="6"/>
  <c r="BK167" i="6"/>
  <c r="BL167" i="6"/>
  <c r="BM167" i="6"/>
  <c r="BN167" i="6"/>
  <c r="BO167" i="6"/>
  <c r="BP167" i="6"/>
  <c r="BD168" i="6"/>
  <c r="BE168" i="6"/>
  <c r="BF168" i="6"/>
  <c r="BG168" i="6"/>
  <c r="BH168" i="6"/>
  <c r="BI168" i="6"/>
  <c r="BJ168" i="6"/>
  <c r="BK168" i="6"/>
  <c r="BL168" i="6"/>
  <c r="BM168" i="6"/>
  <c r="BN168" i="6"/>
  <c r="BO168" i="6"/>
  <c r="BP168" i="6"/>
  <c r="BD169" i="6"/>
  <c r="BE169" i="6"/>
  <c r="BF169" i="6"/>
  <c r="BG169" i="6"/>
  <c r="BH169" i="6"/>
  <c r="BI169" i="6"/>
  <c r="BJ169" i="6"/>
  <c r="BK169" i="6"/>
  <c r="BL169" i="6"/>
  <c r="BM169" i="6"/>
  <c r="BN169" i="6"/>
  <c r="BO169" i="6"/>
  <c r="BP169" i="6"/>
  <c r="BD171" i="6"/>
  <c r="BE171" i="6"/>
  <c r="BF171" i="6"/>
  <c r="BG171" i="6"/>
  <c r="BH171" i="6"/>
  <c r="BI171" i="6"/>
  <c r="BJ171" i="6"/>
  <c r="BK171" i="6"/>
  <c r="BL171" i="6"/>
  <c r="BM171" i="6"/>
  <c r="BN171" i="6"/>
  <c r="BO171" i="6"/>
  <c r="BP171" i="6"/>
  <c r="BD172" i="6"/>
  <c r="BE172" i="6"/>
  <c r="BF172" i="6"/>
  <c r="BG172" i="6"/>
  <c r="BH172" i="6"/>
  <c r="BI172" i="6"/>
  <c r="BJ172" i="6"/>
  <c r="BK172" i="6"/>
  <c r="BL172" i="6"/>
  <c r="BM172" i="6"/>
  <c r="BN172" i="6"/>
  <c r="BO172" i="6"/>
  <c r="BP172" i="6"/>
  <c r="BD174" i="6"/>
  <c r="BE174" i="6"/>
  <c r="BF174" i="6"/>
  <c r="BG174" i="6"/>
  <c r="BH174" i="6"/>
  <c r="BI174" i="6"/>
  <c r="BJ174" i="6"/>
  <c r="BK174" i="6"/>
  <c r="BL174" i="6"/>
  <c r="BM174" i="6"/>
  <c r="BN174" i="6"/>
  <c r="BO174" i="6"/>
  <c r="BP174" i="6"/>
  <c r="BD175" i="6"/>
  <c r="BE175" i="6"/>
  <c r="BF175" i="6"/>
  <c r="BG175" i="6"/>
  <c r="BH175" i="6"/>
  <c r="BI175" i="6"/>
  <c r="BJ175" i="6"/>
  <c r="BK175" i="6"/>
  <c r="BL175" i="6"/>
  <c r="BM175" i="6"/>
  <c r="BN175" i="6"/>
  <c r="BO175" i="6"/>
  <c r="BP175" i="6"/>
  <c r="BD176" i="6"/>
  <c r="BE176" i="6"/>
  <c r="BF176" i="6"/>
  <c r="BG176" i="6"/>
  <c r="BH176" i="6"/>
  <c r="BI176" i="6"/>
  <c r="BJ176" i="6"/>
  <c r="BK176" i="6"/>
  <c r="BL176" i="6"/>
  <c r="BM176" i="6"/>
  <c r="BN176" i="6"/>
  <c r="BO176" i="6"/>
  <c r="BP176" i="6"/>
  <c r="BD177" i="6"/>
  <c r="BE177" i="6"/>
  <c r="BF177" i="6"/>
  <c r="BG177" i="6"/>
  <c r="BH177" i="6"/>
  <c r="BI177" i="6"/>
  <c r="BJ177" i="6"/>
  <c r="BK177" i="6"/>
  <c r="BL177" i="6"/>
  <c r="BM177" i="6"/>
  <c r="BN177" i="6"/>
  <c r="BO177" i="6"/>
  <c r="BP177" i="6"/>
  <c r="BD178" i="6"/>
  <c r="BE178" i="6"/>
  <c r="BF178" i="6"/>
  <c r="BG178" i="6"/>
  <c r="BH178" i="6"/>
  <c r="BI178" i="6"/>
  <c r="BJ178" i="6"/>
  <c r="BK178" i="6"/>
  <c r="BL178" i="6"/>
  <c r="BM178" i="6"/>
  <c r="BN178" i="6"/>
  <c r="BO178" i="6"/>
  <c r="BP178" i="6"/>
  <c r="BD179" i="6"/>
  <c r="BE179" i="6"/>
  <c r="BF179" i="6"/>
  <c r="BG179" i="6"/>
  <c r="BH179" i="6"/>
  <c r="BI179" i="6"/>
  <c r="BJ179" i="6"/>
  <c r="BK179" i="6"/>
  <c r="BL179" i="6"/>
  <c r="BM179" i="6"/>
  <c r="BN179" i="6"/>
  <c r="BO179" i="6"/>
  <c r="BP179" i="6"/>
  <c r="BD180" i="6"/>
  <c r="BE180" i="6"/>
  <c r="BF180" i="6"/>
  <c r="BG180" i="6"/>
  <c r="BH180" i="6"/>
  <c r="BI180" i="6"/>
  <c r="BJ180" i="6"/>
  <c r="BK180" i="6"/>
  <c r="BL180" i="6"/>
  <c r="BM180" i="6"/>
  <c r="BN180" i="6"/>
  <c r="BO180" i="6"/>
  <c r="BP180" i="6"/>
  <c r="BD181" i="6"/>
  <c r="BE181" i="6"/>
  <c r="BF181" i="6"/>
  <c r="BG181" i="6"/>
  <c r="BH181" i="6"/>
  <c r="BI181" i="6"/>
  <c r="BJ181" i="6"/>
  <c r="BK181" i="6"/>
  <c r="BL181" i="6"/>
  <c r="BM181" i="6"/>
  <c r="BN181" i="6"/>
  <c r="BO181" i="6"/>
  <c r="BP181" i="6"/>
  <c r="BD182" i="6"/>
  <c r="BE182" i="6"/>
  <c r="BF182" i="6"/>
  <c r="BG182" i="6"/>
  <c r="BH182" i="6"/>
  <c r="BI182" i="6"/>
  <c r="BJ182" i="6"/>
  <c r="BK182" i="6"/>
  <c r="BL182" i="6"/>
  <c r="BM182" i="6"/>
  <c r="BN182" i="6"/>
  <c r="BO182" i="6"/>
  <c r="BP182" i="6"/>
  <c r="BD184" i="6"/>
  <c r="BE184" i="6"/>
  <c r="BF184" i="6"/>
  <c r="BG184" i="6"/>
  <c r="BH184" i="6"/>
  <c r="BI184" i="6"/>
  <c r="BJ184" i="6"/>
  <c r="BK184" i="6"/>
  <c r="BL184" i="6"/>
  <c r="BM184" i="6"/>
  <c r="BN184" i="6"/>
  <c r="BO184" i="6"/>
  <c r="BP184" i="6"/>
  <c r="BD185" i="6"/>
  <c r="BE185" i="6"/>
  <c r="BF185" i="6"/>
  <c r="BG185" i="6"/>
  <c r="BH185" i="6"/>
  <c r="BI185" i="6"/>
  <c r="BJ185" i="6"/>
  <c r="BK185" i="6"/>
  <c r="BL185" i="6"/>
  <c r="BM185" i="6"/>
  <c r="BN185" i="6"/>
  <c r="BO185" i="6"/>
  <c r="BP185" i="6"/>
  <c r="BD186" i="6"/>
  <c r="BE186" i="6"/>
  <c r="BF186" i="6"/>
  <c r="BG186" i="6"/>
  <c r="BH186" i="6"/>
  <c r="BI186" i="6"/>
  <c r="BJ186" i="6"/>
  <c r="BK186" i="6"/>
  <c r="BL186" i="6"/>
  <c r="BM186" i="6"/>
  <c r="BN186" i="6"/>
  <c r="BO186" i="6"/>
  <c r="BP186" i="6"/>
  <c r="BE187" i="6"/>
  <c r="BF187" i="6"/>
  <c r="BG187" i="6"/>
  <c r="BH187" i="6"/>
  <c r="BI187" i="6"/>
  <c r="BJ187" i="6"/>
  <c r="BK187" i="6"/>
  <c r="BL187" i="6"/>
  <c r="BM187" i="6"/>
  <c r="BN187" i="6"/>
  <c r="BO187" i="6"/>
  <c r="BP187" i="6"/>
  <c r="BD188" i="6"/>
  <c r="BE188" i="6"/>
  <c r="BF188" i="6"/>
  <c r="BG188" i="6"/>
  <c r="BH188" i="6"/>
  <c r="BI188" i="6"/>
  <c r="BJ188" i="6"/>
  <c r="BK188" i="6"/>
  <c r="BL188" i="6"/>
  <c r="BM188" i="6"/>
  <c r="BN188" i="6"/>
  <c r="BO188" i="6"/>
  <c r="BP188" i="6"/>
  <c r="BD189" i="6"/>
  <c r="BE189" i="6"/>
  <c r="BF189" i="6"/>
  <c r="BG189" i="6"/>
  <c r="BH189" i="6"/>
  <c r="BI189" i="6"/>
  <c r="BJ189" i="6"/>
  <c r="BK189" i="6"/>
  <c r="BL189" i="6"/>
  <c r="BM189" i="6"/>
  <c r="BN189" i="6"/>
  <c r="BO189" i="6"/>
  <c r="BP189" i="6"/>
  <c r="BD190" i="6"/>
  <c r="BE190" i="6"/>
  <c r="BF190" i="6"/>
  <c r="BG190" i="6"/>
  <c r="BH190" i="6"/>
  <c r="BI190" i="6"/>
  <c r="BJ190" i="6"/>
  <c r="BK190" i="6"/>
  <c r="BL190" i="6"/>
  <c r="BM190" i="6"/>
  <c r="BN190" i="6"/>
  <c r="BO190" i="6"/>
  <c r="BP190" i="6"/>
  <c r="BD191" i="6"/>
  <c r="BE191" i="6"/>
  <c r="BF191" i="6"/>
  <c r="BG191" i="6"/>
  <c r="BH191" i="6"/>
  <c r="BI191" i="6"/>
  <c r="BJ191" i="6"/>
  <c r="BK191" i="6"/>
  <c r="BL191" i="6"/>
  <c r="BM191" i="6"/>
  <c r="BN191" i="6"/>
  <c r="BO191" i="6"/>
  <c r="BP191" i="6"/>
  <c r="BD192" i="6"/>
  <c r="BE192" i="6"/>
  <c r="BF192" i="6"/>
  <c r="BG192" i="6"/>
  <c r="BH192" i="6"/>
  <c r="BI192" i="6"/>
  <c r="BJ192" i="6"/>
  <c r="BK192" i="6"/>
  <c r="BL192" i="6"/>
  <c r="BM192" i="6"/>
  <c r="BN192" i="6"/>
  <c r="BO192" i="6"/>
  <c r="BP192" i="6"/>
  <c r="BD193" i="6"/>
  <c r="BE193" i="6"/>
  <c r="BF193" i="6"/>
  <c r="BG193" i="6"/>
  <c r="BH193" i="6"/>
  <c r="BI193" i="6"/>
  <c r="BJ193" i="6"/>
  <c r="BK193" i="6"/>
  <c r="BL193" i="6"/>
  <c r="BM193" i="6"/>
  <c r="BN193" i="6"/>
  <c r="BO193" i="6"/>
  <c r="BP193" i="6"/>
  <c r="BD194" i="6"/>
  <c r="BE194" i="6"/>
  <c r="BF194" i="6"/>
  <c r="BG194" i="6"/>
  <c r="BH194" i="6"/>
  <c r="BI194" i="6"/>
  <c r="BJ194" i="6"/>
  <c r="BK194" i="6"/>
  <c r="BL194" i="6"/>
  <c r="BM194" i="6"/>
  <c r="BN194" i="6"/>
  <c r="BO194" i="6"/>
  <c r="BP194" i="6"/>
  <c r="BD195" i="6"/>
  <c r="BE195" i="6"/>
  <c r="BF195" i="6"/>
  <c r="BG195" i="6"/>
  <c r="BH195" i="6"/>
  <c r="BI195" i="6"/>
  <c r="BJ195" i="6"/>
  <c r="BK195" i="6"/>
  <c r="BL195" i="6"/>
  <c r="BM195" i="6"/>
  <c r="BN195" i="6"/>
  <c r="BO195" i="6"/>
  <c r="BP195" i="6"/>
  <c r="BD196" i="6"/>
  <c r="BE196" i="6"/>
  <c r="BF196" i="6"/>
  <c r="BG196" i="6"/>
  <c r="BH196" i="6"/>
  <c r="BI196" i="6"/>
  <c r="BJ196" i="6"/>
  <c r="BK196" i="6"/>
  <c r="BL196" i="6"/>
  <c r="BM196" i="6"/>
  <c r="BN196" i="6"/>
  <c r="BO196" i="6"/>
  <c r="BP196" i="6"/>
  <c r="BD197" i="6"/>
  <c r="BE197" i="6"/>
  <c r="BF197" i="6"/>
  <c r="BG197" i="6"/>
  <c r="BH197" i="6"/>
  <c r="BI197" i="6"/>
  <c r="BJ197" i="6"/>
  <c r="BK197" i="6"/>
  <c r="BL197" i="6"/>
  <c r="BM197" i="6"/>
  <c r="BN197" i="6"/>
  <c r="BO197" i="6"/>
  <c r="BP197" i="6"/>
  <c r="BD198" i="6"/>
  <c r="BE198" i="6"/>
  <c r="BF198" i="6"/>
  <c r="BG198" i="6"/>
  <c r="BH198" i="6"/>
  <c r="BI198" i="6"/>
  <c r="BJ198" i="6"/>
  <c r="BK198" i="6"/>
  <c r="BL198" i="6"/>
  <c r="BM198" i="6"/>
  <c r="BN198" i="6"/>
  <c r="BO198" i="6"/>
  <c r="BP198" i="6"/>
  <c r="BD199" i="6"/>
  <c r="BE199" i="6"/>
  <c r="BF199" i="6"/>
  <c r="BG199" i="6"/>
  <c r="BH199" i="6"/>
  <c r="BI199" i="6"/>
  <c r="BJ199" i="6"/>
  <c r="BK199" i="6"/>
  <c r="BL199" i="6"/>
  <c r="BM199" i="6"/>
  <c r="BN199" i="6"/>
  <c r="BO199" i="6"/>
  <c r="BP199" i="6"/>
  <c r="BD200" i="6"/>
  <c r="BE200" i="6"/>
  <c r="BF200" i="6"/>
  <c r="BG200" i="6"/>
  <c r="BH200" i="6"/>
  <c r="BI200" i="6"/>
  <c r="BJ200" i="6"/>
  <c r="BK200" i="6"/>
  <c r="BL200" i="6"/>
  <c r="BM200" i="6"/>
  <c r="BN200" i="6"/>
  <c r="BO200" i="6"/>
  <c r="BP200" i="6"/>
  <c r="BD201" i="6"/>
  <c r="BE201" i="6"/>
  <c r="BF201" i="6"/>
  <c r="BG201" i="6"/>
  <c r="BH201" i="6"/>
  <c r="BI201" i="6"/>
  <c r="BJ201" i="6"/>
  <c r="BK201" i="6"/>
  <c r="BL201" i="6"/>
  <c r="BM201" i="6"/>
  <c r="BN201" i="6"/>
  <c r="BO201" i="6"/>
  <c r="BP201" i="6"/>
  <c r="BD202" i="6"/>
  <c r="BE202" i="6"/>
  <c r="BF202" i="6"/>
  <c r="BG202" i="6"/>
  <c r="BH202" i="6"/>
  <c r="BI202" i="6"/>
  <c r="BJ202" i="6"/>
  <c r="BK202" i="6"/>
  <c r="BL202" i="6"/>
  <c r="BM202" i="6"/>
  <c r="BN202" i="6"/>
  <c r="BO202" i="6"/>
  <c r="BP202" i="6"/>
  <c r="BD203" i="6"/>
  <c r="BE203" i="6"/>
  <c r="BF203" i="6"/>
  <c r="BG203" i="6"/>
  <c r="BH203" i="6"/>
  <c r="BI203" i="6"/>
  <c r="BJ203" i="6"/>
  <c r="BK203" i="6"/>
  <c r="BL203" i="6"/>
  <c r="BM203" i="6"/>
  <c r="BN203" i="6"/>
  <c r="BO203" i="6"/>
  <c r="BP203" i="6"/>
  <c r="BD204" i="6"/>
  <c r="BE204" i="6"/>
  <c r="BF204" i="6"/>
  <c r="BG204" i="6"/>
  <c r="BH204" i="6"/>
  <c r="BI204" i="6"/>
  <c r="BJ204" i="6"/>
  <c r="BK204" i="6"/>
  <c r="BL204" i="6"/>
  <c r="BM204" i="6"/>
  <c r="BN204" i="6"/>
  <c r="BO204" i="6"/>
  <c r="BP204" i="6"/>
  <c r="BD205" i="6"/>
  <c r="BE205" i="6"/>
  <c r="BF205" i="6"/>
  <c r="BG205" i="6"/>
  <c r="BH205" i="6"/>
  <c r="BI205" i="6"/>
  <c r="BJ205" i="6"/>
  <c r="BK205" i="6"/>
  <c r="BL205" i="6"/>
  <c r="BM205" i="6"/>
  <c r="BN205" i="6"/>
  <c r="BO205" i="6"/>
  <c r="BP205" i="6"/>
  <c r="BD206" i="6"/>
  <c r="BE206" i="6"/>
  <c r="BF206" i="6"/>
  <c r="BG206" i="6"/>
  <c r="BH206" i="6"/>
  <c r="BI206" i="6"/>
  <c r="BJ206" i="6"/>
  <c r="BK206" i="6"/>
  <c r="BL206" i="6"/>
  <c r="BM206" i="6"/>
  <c r="BN206" i="6"/>
  <c r="BO206" i="6"/>
  <c r="BP206" i="6"/>
  <c r="BD207" i="6"/>
  <c r="BE207" i="6"/>
  <c r="BF207" i="6"/>
  <c r="BG207" i="6"/>
  <c r="BH207" i="6"/>
  <c r="BI207" i="6"/>
  <c r="BJ207" i="6"/>
  <c r="BK207" i="6"/>
  <c r="BL207" i="6"/>
  <c r="BM207" i="6"/>
  <c r="BN207" i="6"/>
  <c r="BO207" i="6"/>
  <c r="BP207" i="6"/>
  <c r="BD208" i="6"/>
  <c r="BE208" i="6"/>
  <c r="BF208" i="6"/>
  <c r="BG208" i="6"/>
  <c r="BH208" i="6"/>
  <c r="BI208" i="6"/>
  <c r="BJ208" i="6"/>
  <c r="BK208" i="6"/>
  <c r="BL208" i="6"/>
  <c r="BM208" i="6"/>
  <c r="BN208" i="6"/>
  <c r="BO208" i="6"/>
  <c r="BP208" i="6"/>
  <c r="BD209" i="6"/>
  <c r="BE209" i="6"/>
  <c r="BF209" i="6"/>
  <c r="BG209" i="6"/>
  <c r="BH209" i="6"/>
  <c r="BI209" i="6"/>
  <c r="BJ209" i="6"/>
  <c r="BK209" i="6"/>
  <c r="BL209" i="6"/>
  <c r="BM209" i="6"/>
  <c r="BN209" i="6"/>
  <c r="BO209" i="6"/>
  <c r="BP209" i="6"/>
  <c r="BD210" i="6"/>
  <c r="BE210" i="6"/>
  <c r="BF210" i="6"/>
  <c r="BG210" i="6"/>
  <c r="BH210" i="6"/>
  <c r="BI210" i="6"/>
  <c r="BJ210" i="6"/>
  <c r="BK210" i="6"/>
  <c r="BL210" i="6"/>
  <c r="BM210" i="6"/>
  <c r="BN210" i="6"/>
  <c r="BO210" i="6"/>
  <c r="BP210" i="6"/>
  <c r="BD211" i="6"/>
  <c r="BE211" i="6"/>
  <c r="BF211" i="6"/>
  <c r="BG211" i="6"/>
  <c r="BH211" i="6"/>
  <c r="BI211" i="6"/>
  <c r="BJ211" i="6"/>
  <c r="BK211" i="6"/>
  <c r="BL211" i="6"/>
  <c r="BM211" i="6"/>
  <c r="BN211" i="6"/>
  <c r="BO211" i="6"/>
  <c r="BP211" i="6"/>
  <c r="BD212" i="6"/>
  <c r="BE212" i="6"/>
  <c r="BF212" i="6"/>
  <c r="BG212" i="6"/>
  <c r="BH212" i="6"/>
  <c r="BI212" i="6"/>
  <c r="BJ212" i="6"/>
  <c r="BK212" i="6"/>
  <c r="BL212" i="6"/>
  <c r="BM212" i="6"/>
  <c r="BN212" i="6"/>
  <c r="BO212" i="6"/>
  <c r="BP212" i="6"/>
  <c r="BD213" i="6"/>
  <c r="BE213" i="6"/>
  <c r="BF213" i="6"/>
  <c r="BG213" i="6"/>
  <c r="BH213" i="6"/>
  <c r="BI213" i="6"/>
  <c r="BJ213" i="6"/>
  <c r="BK213" i="6"/>
  <c r="BL213" i="6"/>
  <c r="BM213" i="6"/>
  <c r="BN213" i="6"/>
  <c r="BO213" i="6"/>
  <c r="BP213" i="6"/>
  <c r="BD214" i="6"/>
  <c r="BE214" i="6"/>
  <c r="BF214" i="6"/>
  <c r="BG214" i="6"/>
  <c r="BH214" i="6"/>
  <c r="BI214" i="6"/>
  <c r="BJ214" i="6"/>
  <c r="BK214" i="6"/>
  <c r="BL214" i="6"/>
  <c r="BM214" i="6"/>
  <c r="BN214" i="6"/>
  <c r="BO214" i="6"/>
  <c r="BP214" i="6"/>
  <c r="BD215" i="6"/>
  <c r="BE215" i="6"/>
  <c r="BF215" i="6"/>
  <c r="BG215" i="6"/>
  <c r="BH215" i="6"/>
  <c r="BI215" i="6"/>
  <c r="BJ215" i="6"/>
  <c r="BK215" i="6"/>
  <c r="BL215" i="6"/>
  <c r="BM215" i="6"/>
  <c r="BN215" i="6"/>
  <c r="BO215" i="6"/>
  <c r="BP215" i="6"/>
  <c r="BD216" i="6"/>
  <c r="BE216" i="6"/>
  <c r="BF216" i="6"/>
  <c r="BG216" i="6"/>
  <c r="BH216" i="6"/>
  <c r="BI216" i="6"/>
  <c r="BJ216" i="6"/>
  <c r="BK216" i="6"/>
  <c r="BL216" i="6"/>
  <c r="BM216" i="6"/>
  <c r="BN216" i="6"/>
  <c r="BO216" i="6"/>
  <c r="BP216" i="6"/>
  <c r="BD217" i="6"/>
  <c r="BE217" i="6"/>
  <c r="BF217" i="6"/>
  <c r="BG217" i="6"/>
  <c r="BH217" i="6"/>
  <c r="BI217" i="6"/>
  <c r="BJ217" i="6"/>
  <c r="BK217" i="6"/>
  <c r="BL217" i="6"/>
  <c r="BM217" i="6"/>
  <c r="BN217" i="6"/>
  <c r="BO217" i="6"/>
  <c r="BP217" i="6"/>
  <c r="BD218" i="6"/>
  <c r="BE218" i="6"/>
  <c r="BF218" i="6"/>
  <c r="BG218" i="6"/>
  <c r="BH218" i="6"/>
  <c r="BI218" i="6"/>
  <c r="BJ218" i="6"/>
  <c r="BK218" i="6"/>
  <c r="BL218" i="6"/>
  <c r="BM218" i="6"/>
  <c r="BN218" i="6"/>
  <c r="BO218" i="6"/>
  <c r="BP218" i="6"/>
  <c r="BD219" i="6"/>
  <c r="BE219" i="6"/>
  <c r="BF219" i="6"/>
  <c r="BG219" i="6"/>
  <c r="BH219" i="6"/>
  <c r="BI219" i="6"/>
  <c r="BJ219" i="6"/>
  <c r="BK219" i="6"/>
  <c r="BL219" i="6"/>
  <c r="BM219" i="6"/>
  <c r="BN219" i="6"/>
  <c r="BO219" i="6"/>
  <c r="BP219" i="6"/>
  <c r="BD220" i="6"/>
  <c r="BE220" i="6"/>
  <c r="BF220" i="6"/>
  <c r="BG220" i="6"/>
  <c r="BH220" i="6"/>
  <c r="BI220" i="6"/>
  <c r="BJ220" i="6"/>
  <c r="BK220" i="6"/>
  <c r="BL220" i="6"/>
  <c r="BM220" i="6"/>
  <c r="BN220" i="6"/>
  <c r="BO220" i="6"/>
  <c r="BP220" i="6"/>
  <c r="BD221" i="6"/>
  <c r="BE221" i="6"/>
  <c r="BF221" i="6"/>
  <c r="BG221" i="6"/>
  <c r="BH221" i="6"/>
  <c r="BI221" i="6"/>
  <c r="BJ221" i="6"/>
  <c r="BK221" i="6"/>
  <c r="BL221" i="6"/>
  <c r="BM221" i="6"/>
  <c r="BN221" i="6"/>
  <c r="BO221" i="6"/>
  <c r="BP221" i="6"/>
  <c r="BD222" i="6"/>
  <c r="BE222" i="6"/>
  <c r="BF222" i="6"/>
  <c r="BG222" i="6"/>
  <c r="BH222" i="6"/>
  <c r="BI222" i="6"/>
  <c r="BJ222" i="6"/>
  <c r="BK222" i="6"/>
  <c r="BL222" i="6"/>
  <c r="BM222" i="6"/>
  <c r="BN222" i="6"/>
  <c r="BO222" i="6"/>
  <c r="BP222" i="6"/>
  <c r="BD223" i="6"/>
  <c r="BE223" i="6"/>
  <c r="BF223" i="6"/>
  <c r="BG223" i="6"/>
  <c r="BH223" i="6"/>
  <c r="BI223" i="6"/>
  <c r="BJ223" i="6"/>
  <c r="BK223" i="6"/>
  <c r="BL223" i="6"/>
  <c r="BM223" i="6"/>
  <c r="BN223" i="6"/>
  <c r="BO223" i="6"/>
  <c r="BP223" i="6"/>
  <c r="BD224" i="6"/>
  <c r="BE224" i="6"/>
  <c r="BF224" i="6"/>
  <c r="BG224" i="6"/>
  <c r="BH224" i="6"/>
  <c r="BI224" i="6"/>
  <c r="BJ224" i="6"/>
  <c r="BK224" i="6"/>
  <c r="BL224" i="6"/>
  <c r="BM224" i="6"/>
  <c r="BN224" i="6"/>
  <c r="BO224" i="6"/>
  <c r="BP224" i="6"/>
  <c r="BD225" i="6"/>
  <c r="BE225" i="6"/>
  <c r="BF225" i="6"/>
  <c r="BG225" i="6"/>
  <c r="BH225" i="6"/>
  <c r="BI225" i="6"/>
  <c r="BJ225" i="6"/>
  <c r="BK225" i="6"/>
  <c r="BL225" i="6"/>
  <c r="BM225" i="6"/>
  <c r="BN225" i="6"/>
  <c r="BO225" i="6"/>
  <c r="BP225" i="6"/>
  <c r="BD226" i="6"/>
  <c r="BE226" i="6"/>
  <c r="BF226" i="6"/>
  <c r="BG226" i="6"/>
  <c r="BH226" i="6"/>
  <c r="BI226" i="6"/>
  <c r="BJ226" i="6"/>
  <c r="BK226" i="6"/>
  <c r="BL226" i="6"/>
  <c r="BM226" i="6"/>
  <c r="BN226" i="6"/>
  <c r="BO226" i="6"/>
  <c r="BP226" i="6"/>
  <c r="BD227" i="6"/>
  <c r="BE227" i="6"/>
  <c r="BF227" i="6"/>
  <c r="BG227" i="6"/>
  <c r="BH227" i="6"/>
  <c r="BI227" i="6"/>
  <c r="BJ227" i="6"/>
  <c r="BK227" i="6"/>
  <c r="BL227" i="6"/>
  <c r="BM227" i="6"/>
  <c r="BN227" i="6"/>
  <c r="BO227" i="6"/>
  <c r="BP227" i="6"/>
  <c r="BD228" i="6"/>
  <c r="BE228" i="6"/>
  <c r="BF228" i="6"/>
  <c r="BG228" i="6"/>
  <c r="BH228" i="6"/>
  <c r="BI228" i="6"/>
  <c r="BJ228" i="6"/>
  <c r="BK228" i="6"/>
  <c r="BL228" i="6"/>
  <c r="BM228" i="6"/>
  <c r="BN228" i="6"/>
  <c r="BO228" i="6"/>
  <c r="BP228" i="6"/>
  <c r="BD229" i="6"/>
  <c r="BE229" i="6"/>
  <c r="BF229" i="6"/>
  <c r="BG229" i="6"/>
  <c r="BH229" i="6"/>
  <c r="BI229" i="6"/>
  <c r="BJ229" i="6"/>
  <c r="BK229" i="6"/>
  <c r="BL229" i="6"/>
  <c r="BM229" i="6"/>
  <c r="BN229" i="6"/>
  <c r="BO229" i="6"/>
  <c r="BP229" i="6"/>
  <c r="BD230" i="6"/>
  <c r="BE230" i="6"/>
  <c r="BF230" i="6"/>
  <c r="BG230" i="6"/>
  <c r="BH230" i="6"/>
  <c r="BI230" i="6"/>
  <c r="BJ230" i="6"/>
  <c r="BK230" i="6"/>
  <c r="BL230" i="6"/>
  <c r="BM230" i="6"/>
  <c r="BN230" i="6"/>
  <c r="BO230" i="6"/>
  <c r="BP230" i="6"/>
  <c r="BD231" i="6"/>
  <c r="BE231" i="6"/>
  <c r="BF231" i="6"/>
  <c r="BG231" i="6"/>
  <c r="BH231" i="6"/>
  <c r="BI231" i="6"/>
  <c r="BJ231" i="6"/>
  <c r="BK231" i="6"/>
  <c r="BL231" i="6"/>
  <c r="BM231" i="6"/>
  <c r="BN231" i="6"/>
  <c r="BO231" i="6"/>
  <c r="BP231" i="6"/>
  <c r="BD232" i="6"/>
  <c r="BE232" i="6"/>
  <c r="BF232" i="6"/>
  <c r="BG232" i="6"/>
  <c r="BH232" i="6"/>
  <c r="BI232" i="6"/>
  <c r="BJ232" i="6"/>
  <c r="BK232" i="6"/>
  <c r="BL232" i="6"/>
  <c r="BM232" i="6"/>
  <c r="BN232" i="6"/>
  <c r="BO232" i="6"/>
  <c r="BP232" i="6"/>
  <c r="BD233" i="6"/>
  <c r="BE233" i="6"/>
  <c r="BF233" i="6"/>
  <c r="BG233" i="6"/>
  <c r="BH233" i="6"/>
  <c r="BI233" i="6"/>
  <c r="BJ233" i="6"/>
  <c r="BK233" i="6"/>
  <c r="BL233" i="6"/>
  <c r="BM233" i="6"/>
  <c r="BN233" i="6"/>
  <c r="BO233" i="6"/>
  <c r="BP233" i="6"/>
  <c r="BD234" i="6"/>
  <c r="BE234" i="6"/>
  <c r="BF234" i="6"/>
  <c r="BG234" i="6"/>
  <c r="BH234" i="6"/>
  <c r="BI234" i="6"/>
  <c r="BJ234" i="6"/>
  <c r="BK234" i="6"/>
  <c r="BL234" i="6"/>
  <c r="BM234" i="6"/>
  <c r="BN234" i="6"/>
  <c r="BO234" i="6"/>
  <c r="BP234" i="6"/>
  <c r="BD235" i="6"/>
  <c r="BE235" i="6"/>
  <c r="BF235" i="6"/>
  <c r="BG235" i="6"/>
  <c r="BH235" i="6"/>
  <c r="BI235" i="6"/>
  <c r="BJ235" i="6"/>
  <c r="BK235" i="6"/>
  <c r="BL235" i="6"/>
  <c r="BM235" i="6"/>
  <c r="BN235" i="6"/>
  <c r="BO235" i="6"/>
  <c r="BP235" i="6"/>
  <c r="BD236" i="6"/>
  <c r="BE236" i="6"/>
  <c r="BF236" i="6"/>
  <c r="BG236" i="6"/>
  <c r="BH236" i="6"/>
  <c r="BI236" i="6"/>
  <c r="BJ236" i="6"/>
  <c r="BK236" i="6"/>
  <c r="BL236" i="6"/>
  <c r="BM236" i="6"/>
  <c r="BN236" i="6"/>
  <c r="BO236" i="6"/>
  <c r="BP236" i="6"/>
  <c r="BD237" i="6"/>
  <c r="BE237" i="6"/>
  <c r="BF237" i="6"/>
  <c r="BG237" i="6"/>
  <c r="BH237" i="6"/>
  <c r="BI237" i="6"/>
  <c r="BJ237" i="6"/>
  <c r="BK237" i="6"/>
  <c r="BL237" i="6"/>
  <c r="BM237" i="6"/>
  <c r="BN237" i="6"/>
  <c r="BO237" i="6"/>
  <c r="BP237" i="6"/>
  <c r="BD238" i="6"/>
  <c r="BE238" i="6"/>
  <c r="BF238" i="6"/>
  <c r="BG238" i="6"/>
  <c r="BH238" i="6"/>
  <c r="BI238" i="6"/>
  <c r="BJ238" i="6"/>
  <c r="BK238" i="6"/>
  <c r="BL238" i="6"/>
  <c r="BM238" i="6"/>
  <c r="BN238" i="6"/>
  <c r="BO238" i="6"/>
  <c r="BP238" i="6"/>
  <c r="BD239" i="6"/>
  <c r="BE239" i="6"/>
  <c r="BF239" i="6"/>
  <c r="BG239" i="6"/>
  <c r="BH239" i="6"/>
  <c r="BI239" i="6"/>
  <c r="BJ239" i="6"/>
  <c r="BK239" i="6"/>
  <c r="BL239" i="6"/>
  <c r="BM239" i="6"/>
  <c r="BN239" i="6"/>
  <c r="BO239" i="6"/>
  <c r="BP239" i="6"/>
  <c r="BD240" i="6"/>
  <c r="BE240" i="6"/>
  <c r="BF240" i="6"/>
  <c r="BG240" i="6"/>
  <c r="BH240" i="6"/>
  <c r="BI240" i="6"/>
  <c r="BJ240" i="6"/>
  <c r="BK240" i="6"/>
  <c r="BL240" i="6"/>
  <c r="BM240" i="6"/>
  <c r="BN240" i="6"/>
  <c r="BO240" i="6"/>
  <c r="BP240" i="6"/>
  <c r="BD241" i="6"/>
  <c r="BE241" i="6"/>
  <c r="BF241" i="6"/>
  <c r="BG241" i="6"/>
  <c r="BH241" i="6"/>
  <c r="BI241" i="6"/>
  <c r="BJ241" i="6"/>
  <c r="BK241" i="6"/>
  <c r="BL241" i="6"/>
  <c r="BM241" i="6"/>
  <c r="BN241" i="6"/>
  <c r="BO241" i="6"/>
  <c r="BP241" i="6"/>
  <c r="BD242" i="6"/>
  <c r="BE242" i="6"/>
  <c r="BF242" i="6"/>
  <c r="BG242" i="6"/>
  <c r="BH242" i="6"/>
  <c r="BI242" i="6"/>
  <c r="BJ242" i="6"/>
  <c r="BK242" i="6"/>
  <c r="BL242" i="6"/>
  <c r="BM242" i="6"/>
  <c r="BN242" i="6"/>
  <c r="BO242" i="6"/>
  <c r="BP242" i="6"/>
  <c r="BD243" i="6"/>
  <c r="BE243" i="6"/>
  <c r="BF243" i="6"/>
  <c r="BG243" i="6"/>
  <c r="BH243" i="6"/>
  <c r="BI243" i="6"/>
  <c r="BJ243" i="6"/>
  <c r="BK243" i="6"/>
  <c r="BL243" i="6"/>
  <c r="BM243" i="6"/>
  <c r="BN243" i="6"/>
  <c r="BO243" i="6"/>
  <c r="BP243" i="6"/>
  <c r="BD244" i="6"/>
  <c r="BE244" i="6"/>
  <c r="BF244" i="6"/>
  <c r="BG244" i="6"/>
  <c r="BH244" i="6"/>
  <c r="BI244" i="6"/>
  <c r="BJ244" i="6"/>
  <c r="BK244" i="6"/>
  <c r="BL244" i="6"/>
  <c r="BM244" i="6"/>
  <c r="BN244" i="6"/>
  <c r="BO244" i="6"/>
  <c r="BP244" i="6"/>
  <c r="BD245" i="6"/>
  <c r="BE245" i="6"/>
  <c r="BF245" i="6"/>
  <c r="BG245" i="6"/>
  <c r="BH245" i="6"/>
  <c r="BI245" i="6"/>
  <c r="BJ245" i="6"/>
  <c r="BK245" i="6"/>
  <c r="BL245" i="6"/>
  <c r="BM245" i="6"/>
  <c r="BN245" i="6"/>
  <c r="BO245" i="6"/>
  <c r="BP245" i="6"/>
  <c r="BD246" i="6"/>
  <c r="BE246" i="6"/>
  <c r="BF246" i="6"/>
  <c r="BG246" i="6"/>
  <c r="BH246" i="6"/>
  <c r="BI246" i="6"/>
  <c r="BJ246" i="6"/>
  <c r="BK246" i="6"/>
  <c r="BL246" i="6"/>
  <c r="BM246" i="6"/>
  <c r="BN246" i="6"/>
  <c r="BO246" i="6"/>
  <c r="BP246" i="6"/>
  <c r="BD247" i="6"/>
  <c r="BE247" i="6"/>
  <c r="BF247" i="6"/>
  <c r="BG247" i="6"/>
  <c r="BH247" i="6"/>
  <c r="BI247" i="6"/>
  <c r="BJ247" i="6"/>
  <c r="BK247" i="6"/>
  <c r="BL247" i="6"/>
  <c r="BM247" i="6"/>
  <c r="BN247" i="6"/>
  <c r="BO247" i="6"/>
  <c r="BP247" i="6"/>
  <c r="BD248" i="6"/>
  <c r="BE248" i="6"/>
  <c r="BF248" i="6"/>
  <c r="BG248" i="6"/>
  <c r="BH248" i="6"/>
  <c r="BI248" i="6"/>
  <c r="BJ248" i="6"/>
  <c r="BK248" i="6"/>
  <c r="BL248" i="6"/>
  <c r="BM248" i="6"/>
  <c r="BN248" i="6"/>
  <c r="BO248" i="6"/>
  <c r="BP248" i="6"/>
  <c r="BD249" i="6"/>
  <c r="BE249" i="6"/>
  <c r="BF249" i="6"/>
  <c r="BG249" i="6"/>
  <c r="BH249" i="6"/>
  <c r="BI249" i="6"/>
  <c r="BJ249" i="6"/>
  <c r="BK249" i="6"/>
  <c r="BL249" i="6"/>
  <c r="BM249" i="6"/>
  <c r="BN249" i="6"/>
  <c r="BO249" i="6"/>
  <c r="BP249" i="6"/>
  <c r="BD250" i="6"/>
  <c r="BE250" i="6"/>
  <c r="BF250" i="6"/>
  <c r="BG250" i="6"/>
  <c r="BH250" i="6"/>
  <c r="BI250" i="6"/>
  <c r="BJ250" i="6"/>
  <c r="BK250" i="6"/>
  <c r="BL250" i="6"/>
  <c r="BM250" i="6"/>
  <c r="BN250" i="6"/>
  <c r="BO250" i="6"/>
  <c r="BP250" i="6"/>
  <c r="BD251" i="6"/>
  <c r="BE251" i="6"/>
  <c r="BF251" i="6"/>
  <c r="BG251" i="6"/>
  <c r="BH251" i="6"/>
  <c r="BI251" i="6"/>
  <c r="BJ251" i="6"/>
  <c r="BK251" i="6"/>
  <c r="BL251" i="6"/>
  <c r="BM251" i="6"/>
  <c r="BN251" i="6"/>
  <c r="BO251" i="6"/>
  <c r="BP251" i="6"/>
  <c r="BD252" i="6"/>
  <c r="BE252" i="6"/>
  <c r="BF252" i="6"/>
  <c r="BG252" i="6"/>
  <c r="BH252" i="6"/>
  <c r="BI252" i="6"/>
  <c r="BJ252" i="6"/>
  <c r="BK252" i="6"/>
  <c r="BL252" i="6"/>
  <c r="BM252" i="6"/>
  <c r="BN252" i="6"/>
  <c r="BO252" i="6"/>
  <c r="BP252" i="6"/>
  <c r="BD253" i="6"/>
  <c r="BE253" i="6"/>
  <c r="BF253" i="6"/>
  <c r="BG253" i="6"/>
  <c r="BH253" i="6"/>
  <c r="BI253" i="6"/>
  <c r="BJ253" i="6"/>
  <c r="BK253" i="6"/>
  <c r="BL253" i="6"/>
  <c r="BM253" i="6"/>
  <c r="BN253" i="6"/>
  <c r="BO253" i="6"/>
  <c r="BP253" i="6"/>
  <c r="BD254" i="6"/>
  <c r="BE254" i="6"/>
  <c r="BF254" i="6"/>
  <c r="BG254" i="6"/>
  <c r="BH254" i="6"/>
  <c r="BI254" i="6"/>
  <c r="BJ254" i="6"/>
  <c r="BK254" i="6"/>
  <c r="BL254" i="6"/>
  <c r="BM254" i="6"/>
  <c r="BN254" i="6"/>
  <c r="BO254" i="6"/>
  <c r="BP254" i="6"/>
  <c r="BD255" i="6"/>
  <c r="BE255" i="6"/>
  <c r="BF255" i="6"/>
  <c r="BG255" i="6"/>
  <c r="BH255" i="6"/>
  <c r="BI255" i="6"/>
  <c r="BJ255" i="6"/>
  <c r="BK255" i="6"/>
  <c r="BL255" i="6"/>
  <c r="BM255" i="6"/>
  <c r="BN255" i="6"/>
  <c r="BO255" i="6"/>
  <c r="BP255" i="6"/>
  <c r="BD256" i="6"/>
  <c r="BE256" i="6"/>
  <c r="BF256" i="6"/>
  <c r="BG256" i="6"/>
  <c r="BH256" i="6"/>
  <c r="BI256" i="6"/>
  <c r="BJ256" i="6"/>
  <c r="BK256" i="6"/>
  <c r="BL256" i="6"/>
  <c r="BM256" i="6"/>
  <c r="BN256" i="6"/>
  <c r="BO256" i="6"/>
  <c r="BP256" i="6"/>
  <c r="BD257" i="6"/>
  <c r="BE257" i="6"/>
  <c r="BF257" i="6"/>
  <c r="BG257" i="6"/>
  <c r="BH257" i="6"/>
  <c r="BI257" i="6"/>
  <c r="BJ257" i="6"/>
  <c r="BK257" i="6"/>
  <c r="BL257" i="6"/>
  <c r="BM257" i="6"/>
  <c r="BN257" i="6"/>
  <c r="BO257" i="6"/>
  <c r="BP257" i="6"/>
  <c r="BD258" i="6"/>
  <c r="BE258" i="6"/>
  <c r="BF258" i="6"/>
  <c r="BG258" i="6"/>
  <c r="BH258" i="6"/>
  <c r="BI258" i="6"/>
  <c r="BJ258" i="6"/>
  <c r="BK258" i="6"/>
  <c r="BL258" i="6"/>
  <c r="BM258" i="6"/>
  <c r="BN258" i="6"/>
  <c r="BO258" i="6"/>
  <c r="BP258" i="6"/>
  <c r="BD259" i="6"/>
  <c r="BE259" i="6"/>
  <c r="BF259" i="6"/>
  <c r="BG259" i="6"/>
  <c r="BH259" i="6"/>
  <c r="BI259" i="6"/>
  <c r="BJ259" i="6"/>
  <c r="BK259" i="6"/>
  <c r="BL259" i="6"/>
  <c r="BM259" i="6"/>
  <c r="BN259" i="6"/>
  <c r="BO259" i="6"/>
  <c r="BP259" i="6"/>
  <c r="BD260" i="6"/>
  <c r="BE260" i="6"/>
  <c r="BF260" i="6"/>
  <c r="BG260" i="6"/>
  <c r="BH260" i="6"/>
  <c r="BI260" i="6"/>
  <c r="BJ260" i="6"/>
  <c r="BK260" i="6"/>
  <c r="BL260" i="6"/>
  <c r="BM260" i="6"/>
  <c r="BN260" i="6"/>
  <c r="BO260" i="6"/>
  <c r="BP260" i="6"/>
  <c r="BD261" i="6"/>
  <c r="BE261" i="6"/>
  <c r="BF261" i="6"/>
  <c r="BG261" i="6"/>
  <c r="BH261" i="6"/>
  <c r="BI261" i="6"/>
  <c r="BJ261" i="6"/>
  <c r="BK261" i="6"/>
  <c r="BL261" i="6"/>
  <c r="BM261" i="6"/>
  <c r="BN261" i="6"/>
  <c r="BO261" i="6"/>
  <c r="BP261" i="6"/>
  <c r="BD262" i="6"/>
  <c r="BE262" i="6"/>
  <c r="BF262" i="6"/>
  <c r="BG262" i="6"/>
  <c r="BH262" i="6"/>
  <c r="BI262" i="6"/>
  <c r="BJ262" i="6"/>
  <c r="BK262" i="6"/>
  <c r="BL262" i="6"/>
  <c r="BM262" i="6"/>
  <c r="BN262" i="6"/>
  <c r="BO262" i="6"/>
  <c r="BP262" i="6"/>
  <c r="BD263" i="6"/>
  <c r="BE263" i="6"/>
  <c r="BF263" i="6"/>
  <c r="BG263" i="6"/>
  <c r="BH263" i="6"/>
  <c r="BI263" i="6"/>
  <c r="BJ263" i="6"/>
  <c r="BK263" i="6"/>
  <c r="BL263" i="6"/>
  <c r="BM263" i="6"/>
  <c r="BN263" i="6"/>
  <c r="BO263" i="6"/>
  <c r="BP263" i="6"/>
  <c r="BD264" i="6"/>
  <c r="BE264" i="6"/>
  <c r="BF264" i="6"/>
  <c r="BG264" i="6"/>
  <c r="BH264" i="6"/>
  <c r="BI264" i="6"/>
  <c r="BJ264" i="6"/>
  <c r="BK264" i="6"/>
  <c r="BL264" i="6"/>
  <c r="BM264" i="6"/>
  <c r="BN264" i="6"/>
  <c r="BO264" i="6"/>
  <c r="BP264" i="6"/>
  <c r="BD265" i="6"/>
  <c r="BE265" i="6"/>
  <c r="BF265" i="6"/>
  <c r="BG265" i="6"/>
  <c r="BH265" i="6"/>
  <c r="BI265" i="6"/>
  <c r="BJ265" i="6"/>
  <c r="BK265" i="6"/>
  <c r="BL265" i="6"/>
  <c r="BM265" i="6"/>
  <c r="BN265" i="6"/>
  <c r="BO265" i="6"/>
  <c r="BP265" i="6"/>
  <c r="BD266" i="6"/>
  <c r="BE266" i="6"/>
  <c r="BF266" i="6"/>
  <c r="BG266" i="6"/>
  <c r="BH266" i="6"/>
  <c r="BI266" i="6"/>
  <c r="BJ266" i="6"/>
  <c r="BK266" i="6"/>
  <c r="BL266" i="6"/>
  <c r="BM266" i="6"/>
  <c r="BN266" i="6"/>
  <c r="BO266" i="6"/>
  <c r="BP266" i="6"/>
  <c r="BD267" i="6"/>
  <c r="BE267" i="6"/>
  <c r="BF267" i="6"/>
  <c r="BG267" i="6"/>
  <c r="BH267" i="6"/>
  <c r="BI267" i="6"/>
  <c r="BJ267" i="6"/>
  <c r="BK267" i="6"/>
  <c r="BL267" i="6"/>
  <c r="BM267" i="6"/>
  <c r="BN267" i="6"/>
  <c r="BO267" i="6"/>
  <c r="BP267" i="6"/>
  <c r="BD268" i="6"/>
  <c r="BE268" i="6"/>
  <c r="BF268" i="6"/>
  <c r="BG268" i="6"/>
  <c r="BH268" i="6"/>
  <c r="BI268" i="6"/>
  <c r="BJ268" i="6"/>
  <c r="BK268" i="6"/>
  <c r="BL268" i="6"/>
  <c r="BM268" i="6"/>
  <c r="BN268" i="6"/>
  <c r="BO268" i="6"/>
  <c r="BP268" i="6"/>
  <c r="BD269" i="6"/>
  <c r="BE269" i="6"/>
  <c r="BF269" i="6"/>
  <c r="BG269" i="6"/>
  <c r="BH269" i="6"/>
  <c r="BI269" i="6"/>
  <c r="BJ269" i="6"/>
  <c r="BK269" i="6"/>
  <c r="BL269" i="6"/>
  <c r="BM269" i="6"/>
  <c r="BN269" i="6"/>
  <c r="BO269" i="6"/>
  <c r="BP269" i="6"/>
  <c r="BD270" i="6"/>
  <c r="BE270" i="6"/>
  <c r="BF270" i="6"/>
  <c r="BG270" i="6"/>
  <c r="BH270" i="6"/>
  <c r="BI270" i="6"/>
  <c r="BJ270" i="6"/>
  <c r="BK270" i="6"/>
  <c r="BL270" i="6"/>
  <c r="BM270" i="6"/>
  <c r="BN270" i="6"/>
  <c r="BO270" i="6"/>
  <c r="BP270" i="6"/>
  <c r="BD271" i="6"/>
  <c r="BE271" i="6"/>
  <c r="BF271" i="6"/>
  <c r="BG271" i="6"/>
  <c r="BH271" i="6"/>
  <c r="BI271" i="6"/>
  <c r="BJ271" i="6"/>
  <c r="BK271" i="6"/>
  <c r="BL271" i="6"/>
  <c r="BM271" i="6"/>
  <c r="BN271" i="6"/>
  <c r="BO271" i="6"/>
  <c r="BP271" i="6"/>
  <c r="BD272" i="6"/>
  <c r="BE272" i="6"/>
  <c r="BF272" i="6"/>
  <c r="BG272" i="6"/>
  <c r="BH272" i="6"/>
  <c r="BI272" i="6"/>
  <c r="BJ272" i="6"/>
  <c r="BK272" i="6"/>
  <c r="BL272" i="6"/>
  <c r="BM272" i="6"/>
  <c r="BN272" i="6"/>
  <c r="BO272" i="6"/>
  <c r="BP272" i="6"/>
  <c r="BD273" i="6"/>
  <c r="BE273" i="6"/>
  <c r="BF273" i="6"/>
  <c r="BG273" i="6"/>
  <c r="BH273" i="6"/>
  <c r="BI273" i="6"/>
  <c r="BJ273" i="6"/>
  <c r="BK273" i="6"/>
  <c r="BL273" i="6"/>
  <c r="BM273" i="6"/>
  <c r="BN273" i="6"/>
  <c r="BO273" i="6"/>
  <c r="BP273" i="6"/>
  <c r="BD274" i="6"/>
  <c r="BE274" i="6"/>
  <c r="BF274" i="6"/>
  <c r="BG274" i="6"/>
  <c r="BH274" i="6"/>
  <c r="BI274" i="6"/>
  <c r="BJ274" i="6"/>
  <c r="BK274" i="6"/>
  <c r="BL274" i="6"/>
  <c r="BM274" i="6"/>
  <c r="BN274" i="6"/>
  <c r="BO274" i="6"/>
  <c r="BP274" i="6"/>
  <c r="BD275" i="6"/>
  <c r="BE275" i="6"/>
  <c r="BF275" i="6"/>
  <c r="BG275" i="6"/>
  <c r="BH275" i="6"/>
  <c r="BI275" i="6"/>
  <c r="BJ275" i="6"/>
  <c r="BK275" i="6"/>
  <c r="BL275" i="6"/>
  <c r="BM275" i="6"/>
  <c r="BN275" i="6"/>
  <c r="BO275" i="6"/>
  <c r="BP275" i="6"/>
  <c r="BD276" i="6"/>
  <c r="BE276" i="6"/>
  <c r="BF276" i="6"/>
  <c r="BG276" i="6"/>
  <c r="BH276" i="6"/>
  <c r="BI276" i="6"/>
  <c r="BJ276" i="6"/>
  <c r="BK276" i="6"/>
  <c r="BL276" i="6"/>
  <c r="BM276" i="6"/>
  <c r="BN276" i="6"/>
  <c r="BO276" i="6"/>
  <c r="BP276" i="6"/>
  <c r="BD277" i="6"/>
  <c r="BE277" i="6"/>
  <c r="BF277" i="6"/>
  <c r="BG277" i="6"/>
  <c r="BH277" i="6"/>
  <c r="BI277" i="6"/>
  <c r="BJ277" i="6"/>
  <c r="BK277" i="6"/>
  <c r="BL277" i="6"/>
  <c r="BM277" i="6"/>
  <c r="BN277" i="6"/>
  <c r="BO277" i="6"/>
  <c r="BP277" i="6"/>
  <c r="BD278" i="6"/>
  <c r="BE278" i="6"/>
  <c r="BF278" i="6"/>
  <c r="BG278" i="6"/>
  <c r="BH278" i="6"/>
  <c r="BI278" i="6"/>
  <c r="BJ278" i="6"/>
  <c r="BK278" i="6"/>
  <c r="BL278" i="6"/>
  <c r="BM278" i="6"/>
  <c r="BN278" i="6"/>
  <c r="BO278" i="6"/>
  <c r="BP278" i="6"/>
  <c r="BD279" i="6"/>
  <c r="BE279" i="6"/>
  <c r="BF279" i="6"/>
  <c r="BG279" i="6"/>
  <c r="BH279" i="6"/>
  <c r="BI279" i="6"/>
  <c r="BJ279" i="6"/>
  <c r="BK279" i="6"/>
  <c r="BL279" i="6"/>
  <c r="BM279" i="6"/>
  <c r="BN279" i="6"/>
  <c r="BO279" i="6"/>
  <c r="BP279" i="6"/>
  <c r="BD280" i="6"/>
  <c r="BE280" i="6"/>
  <c r="BF280" i="6"/>
  <c r="BG280" i="6"/>
  <c r="BH280" i="6"/>
  <c r="BI280" i="6"/>
  <c r="BJ280" i="6"/>
  <c r="BK280" i="6"/>
  <c r="BL280" i="6"/>
  <c r="BM280" i="6"/>
  <c r="BN280" i="6"/>
  <c r="BO280" i="6"/>
  <c r="BP280" i="6"/>
  <c r="BD281" i="6"/>
  <c r="BE281" i="6"/>
  <c r="BF281" i="6"/>
  <c r="BG281" i="6"/>
  <c r="BH281" i="6"/>
  <c r="BI281" i="6"/>
  <c r="BJ281" i="6"/>
  <c r="BK281" i="6"/>
  <c r="BL281" i="6"/>
  <c r="BM281" i="6"/>
  <c r="BN281" i="6"/>
  <c r="BO281" i="6"/>
  <c r="BP281" i="6"/>
  <c r="BD282" i="6"/>
  <c r="BE282" i="6"/>
  <c r="BF282" i="6"/>
  <c r="BG282" i="6"/>
  <c r="BH282" i="6"/>
  <c r="BI282" i="6"/>
  <c r="BJ282" i="6"/>
  <c r="BK282" i="6"/>
  <c r="BL282" i="6"/>
  <c r="BM282" i="6"/>
  <c r="BN282" i="6"/>
  <c r="BO282" i="6"/>
  <c r="BP282" i="6"/>
  <c r="BD283" i="6"/>
  <c r="BE283" i="6"/>
  <c r="BF283" i="6"/>
  <c r="BG283" i="6"/>
  <c r="BH283" i="6"/>
  <c r="BI283" i="6"/>
  <c r="BJ283" i="6"/>
  <c r="BK283" i="6"/>
  <c r="BL283" i="6"/>
  <c r="BM283" i="6"/>
  <c r="BN283" i="6"/>
  <c r="BO283" i="6"/>
  <c r="BP283" i="6"/>
  <c r="BD284" i="6"/>
  <c r="BE284" i="6"/>
  <c r="BF284" i="6"/>
  <c r="BG284" i="6"/>
  <c r="BH284" i="6"/>
  <c r="BI284" i="6"/>
  <c r="BJ284" i="6"/>
  <c r="BK284" i="6"/>
  <c r="BL284" i="6"/>
  <c r="BM284" i="6"/>
  <c r="BN284" i="6"/>
  <c r="BO284" i="6"/>
  <c r="BP284" i="6"/>
  <c r="BD285" i="6"/>
  <c r="BE285" i="6"/>
  <c r="BF285" i="6"/>
  <c r="BG285" i="6"/>
  <c r="BH285" i="6"/>
  <c r="BI285" i="6"/>
  <c r="BJ285" i="6"/>
  <c r="BK285" i="6"/>
  <c r="BL285" i="6"/>
  <c r="BM285" i="6"/>
  <c r="BN285" i="6"/>
  <c r="BO285" i="6"/>
  <c r="BP285" i="6"/>
  <c r="BD286" i="6"/>
  <c r="BE286" i="6"/>
  <c r="BF286" i="6"/>
  <c r="BG286" i="6"/>
  <c r="BH286" i="6"/>
  <c r="BI286" i="6"/>
  <c r="BJ286" i="6"/>
  <c r="BK286" i="6"/>
  <c r="BL286" i="6"/>
  <c r="BM286" i="6"/>
  <c r="BN286" i="6"/>
  <c r="BO286" i="6"/>
  <c r="BP286" i="6"/>
  <c r="BD287" i="6"/>
  <c r="BE287" i="6"/>
  <c r="BF287" i="6"/>
  <c r="BG287" i="6"/>
  <c r="BH287" i="6"/>
  <c r="BI287" i="6"/>
  <c r="BJ287" i="6"/>
  <c r="BK287" i="6"/>
  <c r="BL287" i="6"/>
  <c r="BM287" i="6"/>
  <c r="BN287" i="6"/>
  <c r="BO287" i="6"/>
  <c r="BP287" i="6"/>
  <c r="BD288" i="6"/>
  <c r="BE288" i="6"/>
  <c r="BF288" i="6"/>
  <c r="BG288" i="6"/>
  <c r="BH288" i="6"/>
  <c r="BI288" i="6"/>
  <c r="BJ288" i="6"/>
  <c r="BK288" i="6"/>
  <c r="BL288" i="6"/>
  <c r="BM288" i="6"/>
  <c r="BN288" i="6"/>
  <c r="BO288" i="6"/>
  <c r="BP288" i="6"/>
  <c r="BD289" i="6"/>
  <c r="BE289" i="6"/>
  <c r="BF289" i="6"/>
  <c r="BG289" i="6"/>
  <c r="BH289" i="6"/>
  <c r="BI289" i="6"/>
  <c r="BJ289" i="6"/>
  <c r="BK289" i="6"/>
  <c r="BL289" i="6"/>
  <c r="BM289" i="6"/>
  <c r="BN289" i="6"/>
  <c r="BO289" i="6"/>
  <c r="BP289" i="6"/>
  <c r="BD290" i="6"/>
  <c r="BE290" i="6"/>
  <c r="BF290" i="6"/>
  <c r="BG290" i="6"/>
  <c r="BH290" i="6"/>
  <c r="BI290" i="6"/>
  <c r="BJ290" i="6"/>
  <c r="BK290" i="6"/>
  <c r="BL290" i="6"/>
  <c r="BM290" i="6"/>
  <c r="BN290" i="6"/>
  <c r="BO290" i="6"/>
  <c r="BP290" i="6"/>
  <c r="BD291" i="6"/>
  <c r="BE291" i="6"/>
  <c r="BF291" i="6"/>
  <c r="BG291" i="6"/>
  <c r="BH291" i="6"/>
  <c r="BI291" i="6"/>
  <c r="BJ291" i="6"/>
  <c r="BK291" i="6"/>
  <c r="BL291" i="6"/>
  <c r="BM291" i="6"/>
  <c r="BN291" i="6"/>
  <c r="BO291" i="6"/>
  <c r="BP291" i="6"/>
  <c r="BD292" i="6"/>
  <c r="BE292" i="6"/>
  <c r="BF292" i="6"/>
  <c r="BG292" i="6"/>
  <c r="BH292" i="6"/>
  <c r="BI292" i="6"/>
  <c r="BJ292" i="6"/>
  <c r="BK292" i="6"/>
  <c r="BL292" i="6"/>
  <c r="BM292" i="6"/>
  <c r="BN292" i="6"/>
  <c r="BO292" i="6"/>
  <c r="BP292" i="6"/>
  <c r="BD293" i="6"/>
  <c r="BE293" i="6"/>
  <c r="BF293" i="6"/>
  <c r="BG293" i="6"/>
  <c r="BH293" i="6"/>
  <c r="BI293" i="6"/>
  <c r="BJ293" i="6"/>
  <c r="BK293" i="6"/>
  <c r="BL293" i="6"/>
  <c r="BM293" i="6"/>
  <c r="BN293" i="6"/>
  <c r="BO293" i="6"/>
  <c r="BP293" i="6"/>
  <c r="BD294" i="6"/>
  <c r="BE294" i="6"/>
  <c r="BF294" i="6"/>
  <c r="BG294" i="6"/>
  <c r="BH294" i="6"/>
  <c r="BI294" i="6"/>
  <c r="BJ294" i="6"/>
  <c r="BK294" i="6"/>
  <c r="BL294" i="6"/>
  <c r="BM294" i="6"/>
  <c r="BN294" i="6"/>
  <c r="BO294" i="6"/>
  <c r="BP294" i="6"/>
  <c r="BD295" i="6"/>
  <c r="BE295" i="6"/>
  <c r="BF295" i="6"/>
  <c r="BG295" i="6"/>
  <c r="BH295" i="6"/>
  <c r="BI295" i="6"/>
  <c r="BJ295" i="6"/>
  <c r="BK295" i="6"/>
  <c r="BL295" i="6"/>
  <c r="BM295" i="6"/>
  <c r="BN295" i="6"/>
  <c r="BO295" i="6"/>
  <c r="BP295" i="6"/>
  <c r="BD296" i="6"/>
  <c r="BE296" i="6"/>
  <c r="BF296" i="6"/>
  <c r="BG296" i="6"/>
  <c r="BH296" i="6"/>
  <c r="BI296" i="6"/>
  <c r="BJ296" i="6"/>
  <c r="BK296" i="6"/>
  <c r="BL296" i="6"/>
  <c r="BM296" i="6"/>
  <c r="BN296" i="6"/>
  <c r="BO296" i="6"/>
  <c r="BP296" i="6"/>
  <c r="BD297" i="6"/>
  <c r="BE297" i="6"/>
  <c r="BF297" i="6"/>
  <c r="BG297" i="6"/>
  <c r="BH297" i="6"/>
  <c r="BI297" i="6"/>
  <c r="BJ297" i="6"/>
  <c r="BK297" i="6"/>
  <c r="BL297" i="6"/>
  <c r="BM297" i="6"/>
  <c r="BN297" i="6"/>
  <c r="BO297" i="6"/>
  <c r="BP297" i="6"/>
  <c r="BD298" i="6"/>
  <c r="BE298" i="6"/>
  <c r="BF298" i="6"/>
  <c r="BG298" i="6"/>
  <c r="BH298" i="6"/>
  <c r="BI298" i="6"/>
  <c r="BJ298" i="6"/>
  <c r="BK298" i="6"/>
  <c r="BL298" i="6"/>
  <c r="BM298" i="6"/>
  <c r="BN298" i="6"/>
  <c r="BO298" i="6"/>
  <c r="BP298" i="6"/>
  <c r="BD299" i="6"/>
  <c r="BE299" i="6"/>
  <c r="BF299" i="6"/>
  <c r="BG299" i="6"/>
  <c r="BH299" i="6"/>
  <c r="BI299" i="6"/>
  <c r="BJ299" i="6"/>
  <c r="BK299" i="6"/>
  <c r="BL299" i="6"/>
  <c r="BM299" i="6"/>
  <c r="BN299" i="6"/>
  <c r="BO299" i="6"/>
  <c r="BP299" i="6"/>
  <c r="BD300" i="6"/>
  <c r="BE300" i="6"/>
  <c r="BF300" i="6"/>
  <c r="BG300" i="6"/>
  <c r="BH300" i="6"/>
  <c r="BI300" i="6"/>
  <c r="BJ300" i="6"/>
  <c r="BK300" i="6"/>
  <c r="BL300" i="6"/>
  <c r="BM300" i="6"/>
  <c r="BN300" i="6"/>
  <c r="BO300" i="6"/>
  <c r="BP300" i="6"/>
  <c r="BD301" i="6"/>
  <c r="BE301" i="6"/>
  <c r="BF301" i="6"/>
  <c r="BG301" i="6"/>
  <c r="BH301" i="6"/>
  <c r="BI301" i="6"/>
  <c r="BJ301" i="6"/>
  <c r="BK301" i="6"/>
  <c r="BL301" i="6"/>
  <c r="BM301" i="6"/>
  <c r="BN301" i="6"/>
  <c r="BO301" i="6"/>
  <c r="BP301" i="6"/>
  <c r="BD302" i="6"/>
  <c r="BE302" i="6"/>
  <c r="BF302" i="6"/>
  <c r="BG302" i="6"/>
  <c r="BH302" i="6"/>
  <c r="BI302" i="6"/>
  <c r="BJ302" i="6"/>
  <c r="BK302" i="6"/>
  <c r="BL302" i="6"/>
  <c r="BM302" i="6"/>
  <c r="BN302" i="6"/>
  <c r="BO302" i="6"/>
  <c r="BP302" i="6"/>
  <c r="BD303" i="6"/>
  <c r="BE303" i="6"/>
  <c r="BF303" i="6"/>
  <c r="BG303" i="6"/>
  <c r="BH303" i="6"/>
  <c r="BI303" i="6"/>
  <c r="BJ303" i="6"/>
  <c r="BK303" i="6"/>
  <c r="BL303" i="6"/>
  <c r="BM303" i="6"/>
  <c r="BN303" i="6"/>
  <c r="BO303" i="6"/>
  <c r="BP303" i="6"/>
  <c r="BD304" i="6"/>
  <c r="BE304" i="6"/>
  <c r="BF304" i="6"/>
  <c r="BG304" i="6"/>
  <c r="BH304" i="6"/>
  <c r="BI304" i="6"/>
  <c r="BJ304" i="6"/>
  <c r="BK304" i="6"/>
  <c r="BL304" i="6"/>
  <c r="BM304" i="6"/>
  <c r="BN304" i="6"/>
  <c r="BO304" i="6"/>
  <c r="BP304" i="6"/>
  <c r="BD305" i="6"/>
  <c r="BE305" i="6"/>
  <c r="BF305" i="6"/>
  <c r="BG305" i="6"/>
  <c r="BH305" i="6"/>
  <c r="BI305" i="6"/>
  <c r="BJ305" i="6"/>
  <c r="BK305" i="6"/>
  <c r="BL305" i="6"/>
  <c r="BM305" i="6"/>
  <c r="BN305" i="6"/>
  <c r="BO305" i="6"/>
  <c r="BP305" i="6"/>
  <c r="BD306" i="6"/>
  <c r="BE306" i="6"/>
  <c r="BF306" i="6"/>
  <c r="BG306" i="6"/>
  <c r="BH306" i="6"/>
  <c r="BI306" i="6"/>
  <c r="BJ306" i="6"/>
  <c r="BK306" i="6"/>
  <c r="BL306" i="6"/>
  <c r="BM306" i="6"/>
  <c r="BN306" i="6"/>
  <c r="BO306" i="6"/>
  <c r="BP306" i="6"/>
  <c r="BD307" i="6"/>
  <c r="BE307" i="6"/>
  <c r="BF307" i="6"/>
  <c r="BG307" i="6"/>
  <c r="BH307" i="6"/>
  <c r="BI307" i="6"/>
  <c r="BJ307" i="6"/>
  <c r="BK307" i="6"/>
  <c r="BL307" i="6"/>
  <c r="BM307" i="6"/>
  <c r="BN307" i="6"/>
  <c r="BO307" i="6"/>
  <c r="BP307" i="6"/>
  <c r="BD308" i="6"/>
  <c r="BE308" i="6"/>
  <c r="BF308" i="6"/>
  <c r="BG308" i="6"/>
  <c r="BH308" i="6"/>
  <c r="BI308" i="6"/>
  <c r="BJ308" i="6"/>
  <c r="BK308" i="6"/>
  <c r="BL308" i="6"/>
  <c r="BM308" i="6"/>
  <c r="BN308" i="6"/>
  <c r="BO308" i="6"/>
  <c r="BP308" i="6"/>
  <c r="BD309" i="6"/>
  <c r="BE309" i="6"/>
  <c r="BF309" i="6"/>
  <c r="BG309" i="6"/>
  <c r="BH309" i="6"/>
  <c r="BI309" i="6"/>
  <c r="BJ309" i="6"/>
  <c r="BK309" i="6"/>
  <c r="BL309" i="6"/>
  <c r="BM309" i="6"/>
  <c r="BN309" i="6"/>
  <c r="BO309" i="6"/>
  <c r="BP309" i="6"/>
  <c r="BD310" i="6"/>
  <c r="BE310" i="6"/>
  <c r="BF310" i="6"/>
  <c r="BG310" i="6"/>
  <c r="BH310" i="6"/>
  <c r="BI310" i="6"/>
  <c r="BJ310" i="6"/>
  <c r="BK310" i="6"/>
  <c r="BL310" i="6"/>
  <c r="BM310" i="6"/>
  <c r="BN310" i="6"/>
  <c r="BO310" i="6"/>
  <c r="BP310" i="6"/>
  <c r="BD311" i="6"/>
  <c r="BE311" i="6"/>
  <c r="BF311" i="6"/>
  <c r="BG311" i="6"/>
  <c r="BH311" i="6"/>
  <c r="BI311" i="6"/>
  <c r="BJ311" i="6"/>
  <c r="BK311" i="6"/>
  <c r="BL311" i="6"/>
  <c r="BM311" i="6"/>
  <c r="BN311" i="6"/>
  <c r="BO311" i="6"/>
  <c r="BP311" i="6"/>
  <c r="BD312" i="6"/>
  <c r="BE312" i="6"/>
  <c r="BF312" i="6"/>
  <c r="BG312" i="6"/>
  <c r="BH312" i="6"/>
  <c r="BI312" i="6"/>
  <c r="BJ312" i="6"/>
  <c r="BK312" i="6"/>
  <c r="BL312" i="6"/>
  <c r="BM312" i="6"/>
  <c r="BN312" i="6"/>
  <c r="BO312" i="6"/>
  <c r="BP312" i="6"/>
  <c r="BD313" i="6"/>
  <c r="BE313" i="6"/>
  <c r="BF313" i="6"/>
  <c r="BG313" i="6"/>
  <c r="BH313" i="6"/>
  <c r="BI313" i="6"/>
  <c r="BJ313" i="6"/>
  <c r="BK313" i="6"/>
  <c r="BL313" i="6"/>
  <c r="BM313" i="6"/>
  <c r="BN313" i="6"/>
  <c r="BO313" i="6"/>
  <c r="BP313" i="6"/>
  <c r="BD314" i="6"/>
  <c r="BE314" i="6"/>
  <c r="BF314" i="6"/>
  <c r="BG314" i="6"/>
  <c r="BH314" i="6"/>
  <c r="BI314" i="6"/>
  <c r="BJ314" i="6"/>
  <c r="BK314" i="6"/>
  <c r="BL314" i="6"/>
  <c r="BM314" i="6"/>
  <c r="BN314" i="6"/>
  <c r="BO314" i="6"/>
  <c r="BP314" i="6"/>
  <c r="BD315" i="6"/>
  <c r="BE315" i="6"/>
  <c r="BF315" i="6"/>
  <c r="BG315" i="6"/>
  <c r="BH315" i="6"/>
  <c r="BI315" i="6"/>
  <c r="BJ315" i="6"/>
  <c r="BK315" i="6"/>
  <c r="BL315" i="6"/>
  <c r="BM315" i="6"/>
  <c r="BN315" i="6"/>
  <c r="BO315" i="6"/>
  <c r="BP315" i="6"/>
  <c r="BD316" i="6"/>
  <c r="BE316" i="6"/>
  <c r="BF316" i="6"/>
  <c r="BG316" i="6"/>
  <c r="BH316" i="6"/>
  <c r="BI316" i="6"/>
  <c r="BJ316" i="6"/>
  <c r="BK316" i="6"/>
  <c r="BL316" i="6"/>
  <c r="BM316" i="6"/>
  <c r="BN316" i="6"/>
  <c r="BO316" i="6"/>
  <c r="BP316" i="6"/>
  <c r="BD317" i="6"/>
  <c r="BE317" i="6"/>
  <c r="BF317" i="6"/>
  <c r="BG317" i="6"/>
  <c r="BH317" i="6"/>
  <c r="BI317" i="6"/>
  <c r="BJ317" i="6"/>
  <c r="BK317" i="6"/>
  <c r="BL317" i="6"/>
  <c r="BM317" i="6"/>
  <c r="BN317" i="6"/>
  <c r="BO317" i="6"/>
  <c r="BP317" i="6"/>
  <c r="BD318" i="6"/>
  <c r="BE318" i="6"/>
  <c r="BF318" i="6"/>
  <c r="BG318" i="6"/>
  <c r="BH318" i="6"/>
  <c r="BI318" i="6"/>
  <c r="BJ318" i="6"/>
  <c r="BK318" i="6"/>
  <c r="BL318" i="6"/>
  <c r="BM318" i="6"/>
  <c r="BN318" i="6"/>
  <c r="BO318" i="6"/>
  <c r="BP318" i="6"/>
  <c r="BD319" i="6"/>
  <c r="BE319" i="6"/>
  <c r="BF319" i="6"/>
  <c r="BG319" i="6"/>
  <c r="BH319" i="6"/>
  <c r="BI319" i="6"/>
  <c r="BJ319" i="6"/>
  <c r="BK319" i="6"/>
  <c r="BL319" i="6"/>
  <c r="BM319" i="6"/>
  <c r="BN319" i="6"/>
  <c r="BO319" i="6"/>
  <c r="BP319" i="6"/>
  <c r="BD320" i="6"/>
  <c r="BE320" i="6"/>
  <c r="BF320" i="6"/>
  <c r="BG320" i="6"/>
  <c r="BH320" i="6"/>
  <c r="BI320" i="6"/>
  <c r="BJ320" i="6"/>
  <c r="BK320" i="6"/>
  <c r="BL320" i="6"/>
  <c r="BM320" i="6"/>
  <c r="BN320" i="6"/>
  <c r="BO320" i="6"/>
  <c r="BP320" i="6"/>
  <c r="BD321" i="6"/>
  <c r="BE321" i="6"/>
  <c r="BF321" i="6"/>
  <c r="BG321" i="6"/>
  <c r="BH321" i="6"/>
  <c r="BI321" i="6"/>
  <c r="BJ321" i="6"/>
  <c r="BK321" i="6"/>
  <c r="BL321" i="6"/>
  <c r="BM321" i="6"/>
  <c r="BN321" i="6"/>
  <c r="BO321" i="6"/>
  <c r="BP321" i="6"/>
  <c r="BD322" i="6"/>
  <c r="BE322" i="6"/>
  <c r="BF322" i="6"/>
  <c r="BG322" i="6"/>
  <c r="BH322" i="6"/>
  <c r="BI322" i="6"/>
  <c r="BJ322" i="6"/>
  <c r="BK322" i="6"/>
  <c r="BL322" i="6"/>
  <c r="BM322" i="6"/>
  <c r="BN322" i="6"/>
  <c r="BO322" i="6"/>
  <c r="BP322" i="6"/>
  <c r="BD323" i="6"/>
  <c r="BE323" i="6"/>
  <c r="BF323" i="6"/>
  <c r="BG323" i="6"/>
  <c r="BH323" i="6"/>
  <c r="BI323" i="6"/>
  <c r="BJ323" i="6"/>
  <c r="BK323" i="6"/>
  <c r="BL323" i="6"/>
  <c r="BM323" i="6"/>
  <c r="BN323" i="6"/>
  <c r="BO323" i="6"/>
  <c r="BP323" i="6"/>
  <c r="BD324" i="6"/>
  <c r="BE324" i="6"/>
  <c r="BF324" i="6"/>
  <c r="BG324" i="6"/>
  <c r="BH324" i="6"/>
  <c r="BI324" i="6"/>
  <c r="BJ324" i="6"/>
  <c r="BK324" i="6"/>
  <c r="BL324" i="6"/>
  <c r="BM324" i="6"/>
  <c r="BN324" i="6"/>
  <c r="BO324" i="6"/>
  <c r="BP324" i="6"/>
  <c r="BD325" i="6"/>
  <c r="BE325" i="6"/>
  <c r="BF325" i="6"/>
  <c r="BG325" i="6"/>
  <c r="BH325" i="6"/>
  <c r="BI325" i="6"/>
  <c r="BJ325" i="6"/>
  <c r="BK325" i="6"/>
  <c r="BL325" i="6"/>
  <c r="BM325" i="6"/>
  <c r="BN325" i="6"/>
  <c r="BO325" i="6"/>
  <c r="BP325" i="6"/>
  <c r="BD326" i="6"/>
  <c r="BE326" i="6"/>
  <c r="BF326" i="6"/>
  <c r="BG326" i="6"/>
  <c r="BH326" i="6"/>
  <c r="BI326" i="6"/>
  <c r="BJ326" i="6"/>
  <c r="BK326" i="6"/>
  <c r="BL326" i="6"/>
  <c r="BM326" i="6"/>
  <c r="BN326" i="6"/>
  <c r="BO326" i="6"/>
  <c r="BP326" i="6"/>
  <c r="BD327" i="6"/>
  <c r="BE327" i="6"/>
  <c r="BF327" i="6"/>
  <c r="BG327" i="6"/>
  <c r="BH327" i="6"/>
  <c r="BI327" i="6"/>
  <c r="BJ327" i="6"/>
  <c r="BK327" i="6"/>
  <c r="BL327" i="6"/>
  <c r="BM327" i="6"/>
  <c r="BN327" i="6"/>
  <c r="BO327" i="6"/>
  <c r="BP327" i="6"/>
  <c r="BD328" i="6"/>
  <c r="BE328" i="6"/>
  <c r="BF328" i="6"/>
  <c r="BG328" i="6"/>
  <c r="BH328" i="6"/>
  <c r="BI328" i="6"/>
  <c r="BJ328" i="6"/>
  <c r="BK328" i="6"/>
  <c r="BL328" i="6"/>
  <c r="BM328" i="6"/>
  <c r="BN328" i="6"/>
  <c r="BO328" i="6"/>
  <c r="BP328" i="6"/>
  <c r="BD329" i="6"/>
  <c r="BE329" i="6"/>
  <c r="BF329" i="6"/>
  <c r="BG329" i="6"/>
  <c r="BH329" i="6"/>
  <c r="BI329" i="6"/>
  <c r="BJ329" i="6"/>
  <c r="BK329" i="6"/>
  <c r="BL329" i="6"/>
  <c r="BM329" i="6"/>
  <c r="BN329" i="6"/>
  <c r="BO329" i="6"/>
  <c r="BP329" i="6"/>
  <c r="BD330" i="6"/>
  <c r="BE330" i="6"/>
  <c r="BF330" i="6"/>
  <c r="BG330" i="6"/>
  <c r="BH330" i="6"/>
  <c r="BI330" i="6"/>
  <c r="BJ330" i="6"/>
  <c r="BK330" i="6"/>
  <c r="BL330" i="6"/>
  <c r="BM330" i="6"/>
  <c r="BN330" i="6"/>
  <c r="BO330" i="6"/>
  <c r="BP330" i="6"/>
  <c r="BD331" i="6"/>
  <c r="BE331" i="6"/>
  <c r="BF331" i="6"/>
  <c r="BG331" i="6"/>
  <c r="BH331" i="6"/>
  <c r="BI331" i="6"/>
  <c r="BJ331" i="6"/>
  <c r="BK331" i="6"/>
  <c r="BL331" i="6"/>
  <c r="BM331" i="6"/>
  <c r="BN331" i="6"/>
  <c r="BO331" i="6"/>
  <c r="BP331" i="6"/>
  <c r="BD332" i="6"/>
  <c r="BE332" i="6"/>
  <c r="BF332" i="6"/>
  <c r="BG332" i="6"/>
  <c r="BH332" i="6"/>
  <c r="BI332" i="6"/>
  <c r="BJ332" i="6"/>
  <c r="BK332" i="6"/>
  <c r="BL332" i="6"/>
  <c r="BM332" i="6"/>
  <c r="BN332" i="6"/>
  <c r="BO332" i="6"/>
  <c r="BP332" i="6"/>
  <c r="BD333" i="6"/>
  <c r="BE333" i="6"/>
  <c r="BF333" i="6"/>
  <c r="BG333" i="6"/>
  <c r="BH333" i="6"/>
  <c r="BI333" i="6"/>
  <c r="BJ333" i="6"/>
  <c r="BK333" i="6"/>
  <c r="BL333" i="6"/>
  <c r="BM333" i="6"/>
  <c r="BN333" i="6"/>
  <c r="BO333" i="6"/>
  <c r="BP333" i="6"/>
  <c r="BD334" i="6"/>
  <c r="BE334" i="6"/>
  <c r="BF334" i="6"/>
  <c r="BG334" i="6"/>
  <c r="BH334" i="6"/>
  <c r="BI334" i="6"/>
  <c r="BJ334" i="6"/>
  <c r="BK334" i="6"/>
  <c r="BL334" i="6"/>
  <c r="BM334" i="6"/>
  <c r="BN334" i="6"/>
  <c r="BO334" i="6"/>
  <c r="BP334" i="6"/>
  <c r="BD335" i="6"/>
  <c r="BE335" i="6"/>
  <c r="BF335" i="6"/>
  <c r="BG335" i="6"/>
  <c r="BH335" i="6"/>
  <c r="BI335" i="6"/>
  <c r="BJ335" i="6"/>
  <c r="BK335" i="6"/>
  <c r="BL335" i="6"/>
  <c r="BM335" i="6"/>
  <c r="BN335" i="6"/>
  <c r="BO335" i="6"/>
  <c r="BP335" i="6"/>
  <c r="BD336" i="6"/>
  <c r="BE336" i="6"/>
  <c r="BF336" i="6"/>
  <c r="BG336" i="6"/>
  <c r="BH336" i="6"/>
  <c r="BI336" i="6"/>
  <c r="BJ336" i="6"/>
  <c r="BK336" i="6"/>
  <c r="BL336" i="6"/>
  <c r="BM336" i="6"/>
  <c r="BN336" i="6"/>
  <c r="BO336" i="6"/>
  <c r="BP336" i="6"/>
  <c r="BD337" i="6"/>
  <c r="BE337" i="6"/>
  <c r="BF337" i="6"/>
  <c r="BG337" i="6"/>
  <c r="BH337" i="6"/>
  <c r="BI337" i="6"/>
  <c r="BJ337" i="6"/>
  <c r="BK337" i="6"/>
  <c r="BL337" i="6"/>
  <c r="BM337" i="6"/>
  <c r="BN337" i="6"/>
  <c r="BO337" i="6"/>
  <c r="BP337" i="6"/>
  <c r="BD338" i="6"/>
  <c r="BE338" i="6"/>
  <c r="BF338" i="6"/>
  <c r="BG338" i="6"/>
  <c r="BH338" i="6"/>
  <c r="BI338" i="6"/>
  <c r="BJ338" i="6"/>
  <c r="BK338" i="6"/>
  <c r="BL338" i="6"/>
  <c r="BM338" i="6"/>
  <c r="BN338" i="6"/>
  <c r="BO338" i="6"/>
  <c r="BP338" i="6"/>
  <c r="BD339" i="6"/>
  <c r="BE339" i="6"/>
  <c r="BF339" i="6"/>
  <c r="BG339" i="6"/>
  <c r="BH339" i="6"/>
  <c r="BI339" i="6"/>
  <c r="BJ339" i="6"/>
  <c r="BK339" i="6"/>
  <c r="BL339" i="6"/>
  <c r="BM339" i="6"/>
  <c r="BN339" i="6"/>
  <c r="BO339" i="6"/>
  <c r="BP339" i="6"/>
  <c r="BD340" i="6"/>
  <c r="BE340" i="6"/>
  <c r="BF340" i="6"/>
  <c r="BG340" i="6"/>
  <c r="BH340" i="6"/>
  <c r="BI340" i="6"/>
  <c r="BJ340" i="6"/>
  <c r="BK340" i="6"/>
  <c r="BL340" i="6"/>
  <c r="BM340" i="6"/>
  <c r="BN340" i="6"/>
  <c r="BO340" i="6"/>
  <c r="BP340" i="6"/>
  <c r="BD341" i="6"/>
  <c r="BE341" i="6"/>
  <c r="BF341" i="6"/>
  <c r="BG341" i="6"/>
  <c r="BH341" i="6"/>
  <c r="BI341" i="6"/>
  <c r="BJ341" i="6"/>
  <c r="BK341" i="6"/>
  <c r="BL341" i="6"/>
  <c r="BM341" i="6"/>
  <c r="BN341" i="6"/>
  <c r="BO341" i="6"/>
  <c r="BP341" i="6"/>
  <c r="BD342" i="6"/>
  <c r="BE342" i="6"/>
  <c r="BF342" i="6"/>
  <c r="BG342" i="6"/>
  <c r="BH342" i="6"/>
  <c r="BI342" i="6"/>
  <c r="BJ342" i="6"/>
  <c r="BK342" i="6"/>
  <c r="BL342" i="6"/>
  <c r="BM342" i="6"/>
  <c r="BN342" i="6"/>
  <c r="BO342" i="6"/>
  <c r="BP342" i="6"/>
  <c r="BD343" i="6"/>
  <c r="BE343" i="6"/>
  <c r="BF343" i="6"/>
  <c r="BG343" i="6"/>
  <c r="BH343" i="6"/>
  <c r="BI343" i="6"/>
  <c r="BJ343" i="6"/>
  <c r="BK343" i="6"/>
  <c r="BL343" i="6"/>
  <c r="BM343" i="6"/>
  <c r="BN343" i="6"/>
  <c r="BO343" i="6"/>
  <c r="BP343" i="6"/>
  <c r="BD344" i="6"/>
  <c r="BE344" i="6"/>
  <c r="BF344" i="6"/>
  <c r="BG344" i="6"/>
  <c r="BH344" i="6"/>
  <c r="BI344" i="6"/>
  <c r="BJ344" i="6"/>
  <c r="BK344" i="6"/>
  <c r="BL344" i="6"/>
  <c r="BM344" i="6"/>
  <c r="BN344" i="6"/>
  <c r="BO344" i="6"/>
  <c r="BP344" i="6"/>
  <c r="BD345" i="6"/>
  <c r="BE345" i="6"/>
  <c r="BF345" i="6"/>
  <c r="BG345" i="6"/>
  <c r="BH345" i="6"/>
  <c r="BI345" i="6"/>
  <c r="BJ345" i="6"/>
  <c r="BK345" i="6"/>
  <c r="BL345" i="6"/>
  <c r="BM345" i="6"/>
  <c r="BN345" i="6"/>
  <c r="BO345" i="6"/>
  <c r="BP345" i="6"/>
  <c r="BD346" i="6"/>
  <c r="BE346" i="6"/>
  <c r="BF346" i="6"/>
  <c r="BG346" i="6"/>
  <c r="BH346" i="6"/>
  <c r="BI346" i="6"/>
  <c r="BJ346" i="6"/>
  <c r="BK346" i="6"/>
  <c r="BL346" i="6"/>
  <c r="BM346" i="6"/>
  <c r="BN346" i="6"/>
  <c r="BO346" i="6"/>
  <c r="BP346" i="6"/>
  <c r="BD347" i="6"/>
  <c r="BE347" i="6"/>
  <c r="BF347" i="6"/>
  <c r="BG347" i="6"/>
  <c r="BH347" i="6"/>
  <c r="BI347" i="6"/>
  <c r="BJ347" i="6"/>
  <c r="BK347" i="6"/>
  <c r="BL347" i="6"/>
  <c r="BM347" i="6"/>
  <c r="BN347" i="6"/>
  <c r="BO347" i="6"/>
  <c r="BP347" i="6"/>
  <c r="BD348" i="6"/>
  <c r="BE348" i="6"/>
  <c r="BF348" i="6"/>
  <c r="BG348" i="6"/>
  <c r="BH348" i="6"/>
  <c r="BI348" i="6"/>
  <c r="BJ348" i="6"/>
  <c r="BK348" i="6"/>
  <c r="BL348" i="6"/>
  <c r="BM348" i="6"/>
  <c r="BN348" i="6"/>
  <c r="BO348" i="6"/>
  <c r="BP348" i="6"/>
  <c r="BD349" i="6"/>
  <c r="BE349" i="6"/>
  <c r="BF349" i="6"/>
  <c r="BG349" i="6"/>
  <c r="BH349" i="6"/>
  <c r="BI349" i="6"/>
  <c r="BJ349" i="6"/>
  <c r="BK349" i="6"/>
  <c r="BL349" i="6"/>
  <c r="BM349" i="6"/>
  <c r="BN349" i="6"/>
  <c r="BO349" i="6"/>
  <c r="BP349" i="6"/>
  <c r="BD350" i="6"/>
  <c r="BE350" i="6"/>
  <c r="BF350" i="6"/>
  <c r="BG350" i="6"/>
  <c r="BH350" i="6"/>
  <c r="BI350" i="6"/>
  <c r="BJ350" i="6"/>
  <c r="BK350" i="6"/>
  <c r="BL350" i="6"/>
  <c r="BM350" i="6"/>
  <c r="BN350" i="6"/>
  <c r="BO350" i="6"/>
  <c r="BP350" i="6"/>
  <c r="BD351" i="6"/>
  <c r="BE351" i="6"/>
  <c r="BF351" i="6"/>
  <c r="BG351" i="6"/>
  <c r="BH351" i="6"/>
  <c r="BI351" i="6"/>
  <c r="BJ351" i="6"/>
  <c r="BK351" i="6"/>
  <c r="BL351" i="6"/>
  <c r="BM351" i="6"/>
  <c r="BN351" i="6"/>
  <c r="BO351" i="6"/>
  <c r="BP351" i="6"/>
  <c r="BD352" i="6"/>
  <c r="BE352" i="6"/>
  <c r="BF352" i="6"/>
  <c r="BG352" i="6"/>
  <c r="BH352" i="6"/>
  <c r="BI352" i="6"/>
  <c r="BJ352" i="6"/>
  <c r="BK352" i="6"/>
  <c r="BL352" i="6"/>
  <c r="BM352" i="6"/>
  <c r="BN352" i="6"/>
  <c r="BO352" i="6"/>
  <c r="BP352" i="6"/>
  <c r="BD353" i="6"/>
  <c r="BE353" i="6"/>
  <c r="BF353" i="6"/>
  <c r="BG353" i="6"/>
  <c r="BH353" i="6"/>
  <c r="BI353" i="6"/>
  <c r="BJ353" i="6"/>
  <c r="BK353" i="6"/>
  <c r="BL353" i="6"/>
  <c r="BM353" i="6"/>
  <c r="BN353" i="6"/>
  <c r="BO353" i="6"/>
  <c r="BP353" i="6"/>
  <c r="BD354" i="6"/>
  <c r="BE354" i="6"/>
  <c r="BF354" i="6"/>
  <c r="BG354" i="6"/>
  <c r="BH354" i="6"/>
  <c r="BI354" i="6"/>
  <c r="BJ354" i="6"/>
  <c r="BK354" i="6"/>
  <c r="BL354" i="6"/>
  <c r="BM354" i="6"/>
  <c r="BN354" i="6"/>
  <c r="BO354" i="6"/>
  <c r="BP354" i="6"/>
  <c r="BD355" i="6"/>
  <c r="BE355" i="6"/>
  <c r="BF355" i="6"/>
  <c r="BG355" i="6"/>
  <c r="BH355" i="6"/>
  <c r="BI355" i="6"/>
  <c r="BJ355" i="6"/>
  <c r="BK355" i="6"/>
  <c r="BL355" i="6"/>
  <c r="BM355" i="6"/>
  <c r="BN355" i="6"/>
  <c r="BO355" i="6"/>
  <c r="BP355" i="6"/>
  <c r="BD356" i="6"/>
  <c r="BE356" i="6"/>
  <c r="BF356" i="6"/>
  <c r="BG356" i="6"/>
  <c r="BH356" i="6"/>
  <c r="BI356" i="6"/>
  <c r="BJ356" i="6"/>
  <c r="BK356" i="6"/>
  <c r="BL356" i="6"/>
  <c r="BM356" i="6"/>
  <c r="BN356" i="6"/>
  <c r="BO356" i="6"/>
  <c r="BP356" i="6"/>
  <c r="BD357" i="6"/>
  <c r="BE357" i="6"/>
  <c r="BF357" i="6"/>
  <c r="BG357" i="6"/>
  <c r="BH357" i="6"/>
  <c r="BI357" i="6"/>
  <c r="BJ357" i="6"/>
  <c r="BK357" i="6"/>
  <c r="BL357" i="6"/>
  <c r="BM357" i="6"/>
  <c r="BN357" i="6"/>
  <c r="BO357" i="6"/>
  <c r="BP357" i="6"/>
  <c r="BD358" i="6"/>
  <c r="BE358" i="6"/>
  <c r="BF358" i="6"/>
  <c r="BG358" i="6"/>
  <c r="BH358" i="6"/>
  <c r="BI358" i="6"/>
  <c r="BJ358" i="6"/>
  <c r="BK358" i="6"/>
  <c r="BL358" i="6"/>
  <c r="BM358" i="6"/>
  <c r="BN358" i="6"/>
  <c r="BO358" i="6"/>
  <c r="BP358" i="6"/>
  <c r="BD359" i="6"/>
  <c r="BE359" i="6"/>
  <c r="BF359" i="6"/>
  <c r="BG359" i="6"/>
  <c r="BH359" i="6"/>
  <c r="BI359" i="6"/>
  <c r="BJ359" i="6"/>
  <c r="BK359" i="6"/>
  <c r="BL359" i="6"/>
  <c r="BM359" i="6"/>
  <c r="BN359" i="6"/>
  <c r="BO359" i="6"/>
  <c r="BP359" i="6"/>
  <c r="BD360" i="6"/>
  <c r="BE360" i="6"/>
  <c r="BF360" i="6"/>
  <c r="BG360" i="6"/>
  <c r="BH360" i="6"/>
  <c r="BI360" i="6"/>
  <c r="BJ360" i="6"/>
  <c r="BK360" i="6"/>
  <c r="BL360" i="6"/>
  <c r="BM360" i="6"/>
  <c r="BN360" i="6"/>
  <c r="BO360" i="6"/>
  <c r="BP360" i="6"/>
  <c r="BD361" i="6"/>
  <c r="BE361" i="6"/>
  <c r="BF361" i="6"/>
  <c r="BG361" i="6"/>
  <c r="BH361" i="6"/>
  <c r="BI361" i="6"/>
  <c r="BJ361" i="6"/>
  <c r="BK361" i="6"/>
  <c r="BL361" i="6"/>
  <c r="BM361" i="6"/>
  <c r="BN361" i="6"/>
  <c r="BO361" i="6"/>
  <c r="BP361" i="6"/>
  <c r="BD362" i="6"/>
  <c r="BE362" i="6"/>
  <c r="BF362" i="6"/>
  <c r="BG362" i="6"/>
  <c r="BH362" i="6"/>
  <c r="BI362" i="6"/>
  <c r="BJ362" i="6"/>
  <c r="BK362" i="6"/>
  <c r="BL362" i="6"/>
  <c r="BM362" i="6"/>
  <c r="BN362" i="6"/>
  <c r="BO362" i="6"/>
  <c r="BP362" i="6"/>
  <c r="BD363" i="6"/>
  <c r="BE363" i="6"/>
  <c r="BF363" i="6"/>
  <c r="BG363" i="6"/>
  <c r="BH363" i="6"/>
  <c r="BI363" i="6"/>
  <c r="BJ363" i="6"/>
  <c r="BK363" i="6"/>
  <c r="BL363" i="6"/>
  <c r="BM363" i="6"/>
  <c r="BN363" i="6"/>
  <c r="BO363" i="6"/>
  <c r="BP363" i="6"/>
  <c r="BD364" i="6"/>
  <c r="BE364" i="6"/>
  <c r="BF364" i="6"/>
  <c r="BG364" i="6"/>
  <c r="BH364" i="6"/>
  <c r="BI364" i="6"/>
  <c r="BJ364" i="6"/>
  <c r="BK364" i="6"/>
  <c r="BL364" i="6"/>
  <c r="BM364" i="6"/>
  <c r="BN364" i="6"/>
  <c r="BO364" i="6"/>
  <c r="BP364" i="6"/>
  <c r="BD367" i="6"/>
  <c r="BE367" i="6"/>
  <c r="BF367" i="6"/>
  <c r="BG367" i="6"/>
  <c r="BH367" i="6"/>
  <c r="BI367" i="6"/>
  <c r="BJ367" i="6"/>
  <c r="BK367" i="6"/>
  <c r="BL367" i="6"/>
  <c r="BM367" i="6"/>
  <c r="BN367" i="6"/>
  <c r="BO367" i="6"/>
  <c r="BP367" i="6"/>
  <c r="BD368" i="6"/>
  <c r="BE368" i="6"/>
  <c r="BF368" i="6"/>
  <c r="BG368" i="6"/>
  <c r="BH368" i="6"/>
  <c r="BI368" i="6"/>
  <c r="BJ368" i="6"/>
  <c r="BK368" i="6"/>
  <c r="BL368" i="6"/>
  <c r="BM368" i="6"/>
  <c r="BN368" i="6"/>
  <c r="BO368" i="6"/>
  <c r="BP368" i="6"/>
  <c r="BD370" i="6"/>
  <c r="BE370" i="6"/>
  <c r="BF370" i="6"/>
  <c r="BG370" i="6"/>
  <c r="BH370" i="6"/>
  <c r="BI370" i="6"/>
  <c r="BJ370" i="6"/>
  <c r="BK370" i="6"/>
  <c r="BL370" i="6"/>
  <c r="BM370" i="6"/>
  <c r="BN370" i="6"/>
  <c r="BO370" i="6"/>
  <c r="BP370" i="6"/>
  <c r="BD371" i="6"/>
  <c r="BE371" i="6"/>
  <c r="BF371" i="6"/>
  <c r="BG371" i="6"/>
  <c r="BH371" i="6"/>
  <c r="BI371" i="6"/>
  <c r="BJ371" i="6"/>
  <c r="BK371" i="6"/>
  <c r="BL371" i="6"/>
  <c r="BM371" i="6"/>
  <c r="BN371" i="6"/>
  <c r="BO371" i="6"/>
  <c r="BP371" i="6"/>
  <c r="BD372" i="6"/>
  <c r="BE372" i="6"/>
  <c r="BF372" i="6"/>
  <c r="BG372" i="6"/>
  <c r="BH372" i="6"/>
  <c r="BI372" i="6"/>
  <c r="BJ372" i="6"/>
  <c r="BK372" i="6"/>
  <c r="BL372" i="6"/>
  <c r="BM372" i="6"/>
  <c r="BN372" i="6"/>
  <c r="BO372" i="6"/>
  <c r="BP372" i="6"/>
  <c r="BD373" i="6"/>
  <c r="BE373" i="6"/>
  <c r="BF373" i="6"/>
  <c r="BG373" i="6"/>
  <c r="BH373" i="6"/>
  <c r="BI373" i="6"/>
  <c r="BJ373" i="6"/>
  <c r="BK373" i="6"/>
  <c r="BL373" i="6"/>
  <c r="BM373" i="6"/>
  <c r="BN373" i="6"/>
  <c r="BO373" i="6"/>
  <c r="BP373" i="6"/>
  <c r="BD374" i="6"/>
  <c r="BE374" i="6"/>
  <c r="BF374" i="6"/>
  <c r="BG374" i="6"/>
  <c r="BH374" i="6"/>
  <c r="BI374" i="6"/>
  <c r="BJ374" i="6"/>
  <c r="BK374" i="6"/>
  <c r="BL374" i="6"/>
  <c r="BM374" i="6"/>
  <c r="BN374" i="6"/>
  <c r="BO374" i="6"/>
  <c r="BP374" i="6"/>
  <c r="BD375" i="6"/>
  <c r="BE375" i="6"/>
  <c r="BF375" i="6"/>
  <c r="BG375" i="6"/>
  <c r="BH375" i="6"/>
  <c r="BI375" i="6"/>
  <c r="BJ375" i="6"/>
  <c r="BK375" i="6"/>
  <c r="BL375" i="6"/>
  <c r="BM375" i="6"/>
  <c r="BN375" i="6"/>
  <c r="BO375" i="6"/>
  <c r="BP375" i="6"/>
  <c r="BD376" i="6"/>
  <c r="BE376" i="6"/>
  <c r="BF376" i="6"/>
  <c r="BG376" i="6"/>
  <c r="BH376" i="6"/>
  <c r="BI376" i="6"/>
  <c r="BJ376" i="6"/>
  <c r="BK376" i="6"/>
  <c r="BL376" i="6"/>
  <c r="BM376" i="6"/>
  <c r="BN376" i="6"/>
  <c r="BO376" i="6"/>
  <c r="BP376" i="6"/>
  <c r="BD377" i="6"/>
  <c r="BE377" i="6"/>
  <c r="BF377" i="6"/>
  <c r="BG377" i="6"/>
  <c r="BH377" i="6"/>
  <c r="BI377" i="6"/>
  <c r="BJ377" i="6"/>
  <c r="BK377" i="6"/>
  <c r="BL377" i="6"/>
  <c r="BM377" i="6"/>
  <c r="BN377" i="6"/>
  <c r="BO377" i="6"/>
  <c r="BP377" i="6"/>
  <c r="BD378" i="6"/>
  <c r="BE378" i="6"/>
  <c r="BF378" i="6"/>
  <c r="BG378" i="6"/>
  <c r="BH378" i="6"/>
  <c r="BI378" i="6"/>
  <c r="BJ378" i="6"/>
  <c r="BK378" i="6"/>
  <c r="BL378" i="6"/>
  <c r="BM378" i="6"/>
  <c r="BN378" i="6"/>
  <c r="BO378" i="6"/>
  <c r="BP378" i="6"/>
  <c r="BD379" i="6"/>
  <c r="BE379" i="6"/>
  <c r="BF379" i="6"/>
  <c r="BG379" i="6"/>
  <c r="BH379" i="6"/>
  <c r="BI379" i="6"/>
  <c r="BJ379" i="6"/>
  <c r="BK379" i="6"/>
  <c r="BL379" i="6"/>
  <c r="BM379" i="6"/>
  <c r="BN379" i="6"/>
  <c r="BO379" i="6"/>
  <c r="BP379" i="6"/>
  <c r="BD380" i="6"/>
  <c r="BE380" i="6"/>
  <c r="BF380" i="6"/>
  <c r="BG380" i="6"/>
  <c r="BH380" i="6"/>
  <c r="BI380" i="6"/>
  <c r="BJ380" i="6"/>
  <c r="BK380" i="6"/>
  <c r="BL380" i="6"/>
  <c r="BM380" i="6"/>
  <c r="BN380" i="6"/>
  <c r="BO380" i="6"/>
  <c r="BP380" i="6"/>
  <c r="BD381" i="6"/>
  <c r="BE381" i="6"/>
  <c r="BF381" i="6"/>
  <c r="BG381" i="6"/>
  <c r="BH381" i="6"/>
  <c r="BI381" i="6"/>
  <c r="BJ381" i="6"/>
  <c r="BK381" i="6"/>
  <c r="BL381" i="6"/>
  <c r="BM381" i="6"/>
  <c r="BN381" i="6"/>
  <c r="BO381" i="6"/>
  <c r="BP381" i="6"/>
  <c r="BD382" i="6"/>
  <c r="BE382" i="6"/>
  <c r="BF382" i="6"/>
  <c r="BG382" i="6"/>
  <c r="BH382" i="6"/>
  <c r="BI382" i="6"/>
  <c r="BJ382" i="6"/>
  <c r="BK382" i="6"/>
  <c r="BL382" i="6"/>
  <c r="BM382" i="6"/>
  <c r="BN382" i="6"/>
  <c r="BO382" i="6"/>
  <c r="BP382" i="6"/>
  <c r="BD383" i="6"/>
  <c r="BE383" i="6"/>
  <c r="BF383" i="6"/>
  <c r="BG383" i="6"/>
  <c r="BH383" i="6"/>
  <c r="BI383" i="6"/>
  <c r="BJ383" i="6"/>
  <c r="BK383" i="6"/>
  <c r="BL383" i="6"/>
  <c r="BM383" i="6"/>
  <c r="BN383" i="6"/>
  <c r="BO383" i="6"/>
  <c r="BP383" i="6"/>
  <c r="BD384" i="6"/>
  <c r="BE384" i="6"/>
  <c r="BF384" i="6"/>
  <c r="BG384" i="6"/>
  <c r="BH384" i="6"/>
  <c r="BI384" i="6"/>
  <c r="BJ384" i="6"/>
  <c r="BK384" i="6"/>
  <c r="BL384" i="6"/>
  <c r="BM384" i="6"/>
  <c r="BN384" i="6"/>
  <c r="BO384" i="6"/>
  <c r="BP384" i="6"/>
  <c r="BD385" i="6"/>
  <c r="BE385" i="6"/>
  <c r="BF385" i="6"/>
  <c r="BG385" i="6"/>
  <c r="BH385" i="6"/>
  <c r="BI385" i="6"/>
  <c r="BJ385" i="6"/>
  <c r="BK385" i="6"/>
  <c r="BL385" i="6"/>
  <c r="BM385" i="6"/>
  <c r="BN385" i="6"/>
  <c r="BO385" i="6"/>
  <c r="BP385" i="6"/>
  <c r="BD386" i="6"/>
  <c r="BE386" i="6"/>
  <c r="BF386" i="6"/>
  <c r="BG386" i="6"/>
  <c r="BH386" i="6"/>
  <c r="BI386" i="6"/>
  <c r="BJ386" i="6"/>
  <c r="BK386" i="6"/>
  <c r="BL386" i="6"/>
  <c r="BM386" i="6"/>
  <c r="BN386" i="6"/>
  <c r="BO386" i="6"/>
  <c r="BP386" i="6"/>
  <c r="BD387" i="6"/>
  <c r="BE387" i="6"/>
  <c r="BF387" i="6"/>
  <c r="BG387" i="6"/>
  <c r="BH387" i="6"/>
  <c r="BI387" i="6"/>
  <c r="BJ387" i="6"/>
  <c r="BK387" i="6"/>
  <c r="BL387" i="6"/>
  <c r="BM387" i="6"/>
  <c r="BN387" i="6"/>
  <c r="BO387" i="6"/>
  <c r="BP387" i="6"/>
  <c r="BD388" i="6"/>
  <c r="BE388" i="6"/>
  <c r="BF388" i="6"/>
  <c r="BG388" i="6"/>
  <c r="BH388" i="6"/>
  <c r="BI388" i="6"/>
  <c r="BJ388" i="6"/>
  <c r="BK388" i="6"/>
  <c r="BL388" i="6"/>
  <c r="BM388" i="6"/>
  <c r="BN388" i="6"/>
  <c r="BO388" i="6"/>
  <c r="BP388" i="6"/>
  <c r="BD389" i="6"/>
  <c r="BE389" i="6"/>
  <c r="BF389" i="6"/>
  <c r="BG389" i="6"/>
  <c r="BH389" i="6"/>
  <c r="BI389" i="6"/>
  <c r="BJ389" i="6"/>
  <c r="BK389" i="6"/>
  <c r="BL389" i="6"/>
  <c r="BM389" i="6"/>
  <c r="BN389" i="6"/>
  <c r="BO389" i="6"/>
  <c r="BP389" i="6"/>
  <c r="BD390" i="6"/>
  <c r="BE390" i="6"/>
  <c r="BF390" i="6"/>
  <c r="BG390" i="6"/>
  <c r="BH390" i="6"/>
  <c r="BI390" i="6"/>
  <c r="BJ390" i="6"/>
  <c r="BK390" i="6"/>
  <c r="BL390" i="6"/>
  <c r="BM390" i="6"/>
  <c r="BN390" i="6"/>
  <c r="BO390" i="6"/>
  <c r="BP390" i="6"/>
  <c r="BD391" i="6"/>
  <c r="BE391" i="6"/>
  <c r="BF391" i="6"/>
  <c r="BG391" i="6"/>
  <c r="BH391" i="6"/>
  <c r="BI391" i="6"/>
  <c r="BJ391" i="6"/>
  <c r="BK391" i="6"/>
  <c r="BL391" i="6"/>
  <c r="BM391" i="6"/>
  <c r="BN391" i="6"/>
  <c r="BO391" i="6"/>
  <c r="BP391" i="6"/>
  <c r="BD392" i="6"/>
  <c r="BE392" i="6"/>
  <c r="BF392" i="6"/>
  <c r="BG392" i="6"/>
  <c r="BH392" i="6"/>
  <c r="BI392" i="6"/>
  <c r="BJ392" i="6"/>
  <c r="BK392" i="6"/>
  <c r="BL392" i="6"/>
  <c r="BM392" i="6"/>
  <c r="BN392" i="6"/>
  <c r="BO392" i="6"/>
  <c r="BP392" i="6"/>
  <c r="BD393" i="6"/>
  <c r="BE393" i="6"/>
  <c r="BF393" i="6"/>
  <c r="BG393" i="6"/>
  <c r="BH393" i="6"/>
  <c r="BI393" i="6"/>
  <c r="BJ393" i="6"/>
  <c r="BK393" i="6"/>
  <c r="BL393" i="6"/>
  <c r="BM393" i="6"/>
  <c r="BN393" i="6"/>
  <c r="BO393" i="6"/>
  <c r="BP393" i="6"/>
  <c r="BD394" i="6"/>
  <c r="BE394" i="6"/>
  <c r="BF394" i="6"/>
  <c r="BG394" i="6"/>
  <c r="BH394" i="6"/>
  <c r="BI394" i="6"/>
  <c r="BJ394" i="6"/>
  <c r="BK394" i="6"/>
  <c r="BL394" i="6"/>
  <c r="BM394" i="6"/>
  <c r="BN394" i="6"/>
  <c r="BO394" i="6"/>
  <c r="BP394" i="6"/>
  <c r="BD395" i="6"/>
  <c r="BE395" i="6"/>
  <c r="BF395" i="6"/>
  <c r="BG395" i="6"/>
  <c r="BH395" i="6"/>
  <c r="BI395" i="6"/>
  <c r="BJ395" i="6"/>
  <c r="BK395" i="6"/>
  <c r="BL395" i="6"/>
  <c r="BM395" i="6"/>
  <c r="BN395" i="6"/>
  <c r="BO395" i="6"/>
  <c r="BP395" i="6"/>
  <c r="BD396" i="6"/>
  <c r="BE396" i="6"/>
  <c r="BF396" i="6"/>
  <c r="BG396" i="6"/>
  <c r="BH396" i="6"/>
  <c r="BI396" i="6"/>
  <c r="BJ396" i="6"/>
  <c r="BK396" i="6"/>
  <c r="BL396" i="6"/>
  <c r="BM396" i="6"/>
  <c r="BN396" i="6"/>
  <c r="BO396" i="6"/>
  <c r="BP396" i="6"/>
  <c r="BD397" i="6"/>
  <c r="BE397" i="6"/>
  <c r="BF397" i="6"/>
  <c r="BG397" i="6"/>
  <c r="BH397" i="6"/>
  <c r="BI397" i="6"/>
  <c r="BJ397" i="6"/>
  <c r="BK397" i="6"/>
  <c r="BL397" i="6"/>
  <c r="BM397" i="6"/>
  <c r="BN397" i="6"/>
  <c r="BO397" i="6"/>
  <c r="BP397" i="6"/>
  <c r="BD398" i="6"/>
  <c r="BE398" i="6"/>
  <c r="BF398" i="6"/>
  <c r="BG398" i="6"/>
  <c r="BH398" i="6"/>
  <c r="BI398" i="6"/>
  <c r="BJ398" i="6"/>
  <c r="BK398" i="6"/>
  <c r="BL398" i="6"/>
  <c r="BM398" i="6"/>
  <c r="BN398" i="6"/>
  <c r="BO398" i="6"/>
  <c r="BP398" i="6"/>
  <c r="BD399" i="6"/>
  <c r="BE399" i="6"/>
  <c r="BF399" i="6"/>
  <c r="BG399" i="6"/>
  <c r="BH399" i="6"/>
  <c r="BI399" i="6"/>
  <c r="BJ399" i="6"/>
  <c r="BK399" i="6"/>
  <c r="BL399" i="6"/>
  <c r="BM399" i="6"/>
  <c r="BN399" i="6"/>
  <c r="BO399" i="6"/>
  <c r="BP399" i="6"/>
  <c r="BD400" i="6"/>
  <c r="BE400" i="6"/>
  <c r="BF400" i="6"/>
  <c r="BG400" i="6"/>
  <c r="BH400" i="6"/>
  <c r="BI400" i="6"/>
  <c r="BJ400" i="6"/>
  <c r="BK400" i="6"/>
  <c r="BL400" i="6"/>
  <c r="BM400" i="6"/>
  <c r="BN400" i="6"/>
  <c r="BO400" i="6"/>
  <c r="BP400" i="6"/>
  <c r="BD401" i="6"/>
  <c r="BE401" i="6"/>
  <c r="BF401" i="6"/>
  <c r="BG401" i="6"/>
  <c r="BH401" i="6"/>
  <c r="BI401" i="6"/>
  <c r="BJ401" i="6"/>
  <c r="BK401" i="6"/>
  <c r="BL401" i="6"/>
  <c r="BM401" i="6"/>
  <c r="BN401" i="6"/>
  <c r="BO401" i="6"/>
  <c r="BP401" i="6"/>
  <c r="BD402" i="6"/>
  <c r="BE402" i="6"/>
  <c r="BF402" i="6"/>
  <c r="BG402" i="6"/>
  <c r="BH402" i="6"/>
  <c r="BI402" i="6"/>
  <c r="BJ402" i="6"/>
  <c r="BK402" i="6"/>
  <c r="BL402" i="6"/>
  <c r="BM402" i="6"/>
  <c r="BN402" i="6"/>
  <c r="BO402" i="6"/>
  <c r="BP402" i="6"/>
  <c r="BD403" i="6"/>
  <c r="BE403" i="6"/>
  <c r="BF403" i="6"/>
  <c r="BG403" i="6"/>
  <c r="BH403" i="6"/>
  <c r="BI403" i="6"/>
  <c r="BJ403" i="6"/>
  <c r="BK403" i="6"/>
  <c r="BL403" i="6"/>
  <c r="BM403" i="6"/>
  <c r="BN403" i="6"/>
  <c r="BO403" i="6"/>
  <c r="BP403" i="6"/>
  <c r="BD404" i="6"/>
  <c r="BE404" i="6"/>
  <c r="BF404" i="6"/>
  <c r="BG404" i="6"/>
  <c r="BH404" i="6"/>
  <c r="BI404" i="6"/>
  <c r="BJ404" i="6"/>
  <c r="BK404" i="6"/>
  <c r="BL404" i="6"/>
  <c r="BM404" i="6"/>
  <c r="BN404" i="6"/>
  <c r="BO404" i="6"/>
  <c r="BP404" i="6"/>
  <c r="BD405" i="6"/>
  <c r="BE405" i="6"/>
  <c r="BF405" i="6"/>
  <c r="BG405" i="6"/>
  <c r="BH405" i="6"/>
  <c r="BI405" i="6"/>
  <c r="BJ405" i="6"/>
  <c r="BK405" i="6"/>
  <c r="BL405" i="6"/>
  <c r="BM405" i="6"/>
  <c r="BN405" i="6"/>
  <c r="BO405" i="6"/>
  <c r="BP405" i="6"/>
  <c r="BD406" i="6"/>
  <c r="BE406" i="6"/>
  <c r="BF406" i="6"/>
  <c r="BG406" i="6"/>
  <c r="BH406" i="6"/>
  <c r="BI406" i="6"/>
  <c r="BJ406" i="6"/>
  <c r="BK406" i="6"/>
  <c r="BL406" i="6"/>
  <c r="BM406" i="6"/>
  <c r="BN406" i="6"/>
  <c r="BO406" i="6"/>
  <c r="BP406" i="6"/>
  <c r="BD407" i="6"/>
  <c r="BE407" i="6"/>
  <c r="BF407" i="6"/>
  <c r="BG407" i="6"/>
  <c r="BH407" i="6"/>
  <c r="BI407" i="6"/>
  <c r="BJ407" i="6"/>
  <c r="BK407" i="6"/>
  <c r="BL407" i="6"/>
  <c r="BM407" i="6"/>
  <c r="BN407" i="6"/>
  <c r="BO407" i="6"/>
  <c r="BP407" i="6"/>
  <c r="BD408" i="6"/>
  <c r="BE408" i="6"/>
  <c r="BF408" i="6"/>
  <c r="BG408" i="6"/>
  <c r="BH408" i="6"/>
  <c r="BI408" i="6"/>
  <c r="BJ408" i="6"/>
  <c r="BK408" i="6"/>
  <c r="BL408" i="6"/>
  <c r="BM408" i="6"/>
  <c r="BN408" i="6"/>
  <c r="BO408" i="6"/>
  <c r="BP408" i="6"/>
  <c r="BD409" i="6"/>
  <c r="BE409" i="6"/>
  <c r="BF409" i="6"/>
  <c r="BG409" i="6"/>
  <c r="BH409" i="6"/>
  <c r="BI409" i="6"/>
  <c r="BJ409" i="6"/>
  <c r="BK409" i="6"/>
  <c r="BL409" i="6"/>
  <c r="BM409" i="6"/>
  <c r="BN409" i="6"/>
  <c r="BO409" i="6"/>
  <c r="BP409" i="6"/>
  <c r="BD410" i="6"/>
  <c r="BE410" i="6"/>
  <c r="BF410" i="6"/>
  <c r="BG410" i="6"/>
  <c r="BH410" i="6"/>
  <c r="BI410" i="6"/>
  <c r="BJ410" i="6"/>
  <c r="BK410" i="6"/>
  <c r="BL410" i="6"/>
  <c r="BM410" i="6"/>
  <c r="BN410" i="6"/>
  <c r="BO410" i="6"/>
  <c r="BP410" i="6"/>
  <c r="BD411" i="6"/>
  <c r="BE411" i="6"/>
  <c r="BF411" i="6"/>
  <c r="BG411" i="6"/>
  <c r="BH411" i="6"/>
  <c r="BI411" i="6"/>
  <c r="BJ411" i="6"/>
  <c r="BK411" i="6"/>
  <c r="BL411" i="6"/>
  <c r="BM411" i="6"/>
  <c r="BN411" i="6"/>
  <c r="BO411" i="6"/>
  <c r="BP411" i="6"/>
  <c r="BD412" i="6"/>
  <c r="BE412" i="6"/>
  <c r="BF412" i="6"/>
  <c r="BG412" i="6"/>
  <c r="BH412" i="6"/>
  <c r="BI412" i="6"/>
  <c r="BJ412" i="6"/>
  <c r="BK412" i="6"/>
  <c r="BL412" i="6"/>
  <c r="BM412" i="6"/>
  <c r="BN412" i="6"/>
  <c r="BO412" i="6"/>
  <c r="BP412" i="6"/>
  <c r="BD413" i="6"/>
  <c r="BE413" i="6"/>
  <c r="BF413" i="6"/>
  <c r="BG413" i="6"/>
  <c r="BH413" i="6"/>
  <c r="BI413" i="6"/>
  <c r="BJ413" i="6"/>
  <c r="BK413" i="6"/>
  <c r="BL413" i="6"/>
  <c r="BM413" i="6"/>
  <c r="BN413" i="6"/>
  <c r="BO413" i="6"/>
  <c r="BP413" i="6"/>
  <c r="BD414" i="6"/>
  <c r="BE414" i="6"/>
  <c r="BF414" i="6"/>
  <c r="BG414" i="6"/>
  <c r="BH414" i="6"/>
  <c r="BI414" i="6"/>
  <c r="BJ414" i="6"/>
  <c r="BK414" i="6"/>
  <c r="BL414" i="6"/>
  <c r="BM414" i="6"/>
  <c r="BN414" i="6"/>
  <c r="BO414" i="6"/>
  <c r="BP414" i="6"/>
  <c r="BD415" i="6"/>
  <c r="BE415" i="6"/>
  <c r="BF415" i="6"/>
  <c r="BG415" i="6"/>
  <c r="BH415" i="6"/>
  <c r="BI415" i="6"/>
  <c r="BJ415" i="6"/>
  <c r="BK415" i="6"/>
  <c r="BL415" i="6"/>
  <c r="BM415" i="6"/>
  <c r="BN415" i="6"/>
  <c r="BO415" i="6"/>
  <c r="BP415" i="6"/>
  <c r="BD416" i="6"/>
  <c r="BE416" i="6"/>
  <c r="BF416" i="6"/>
  <c r="BG416" i="6"/>
  <c r="BH416" i="6"/>
  <c r="BI416" i="6"/>
  <c r="BJ416" i="6"/>
  <c r="BK416" i="6"/>
  <c r="BL416" i="6"/>
  <c r="BM416" i="6"/>
  <c r="BN416" i="6"/>
  <c r="BO416" i="6"/>
  <c r="BP416" i="6"/>
  <c r="BD417" i="6"/>
  <c r="BE417" i="6"/>
  <c r="BF417" i="6"/>
  <c r="BG417" i="6"/>
  <c r="BH417" i="6"/>
  <c r="BI417" i="6"/>
  <c r="BJ417" i="6"/>
  <c r="BK417" i="6"/>
  <c r="BL417" i="6"/>
  <c r="BM417" i="6"/>
  <c r="BN417" i="6"/>
  <c r="BO417" i="6"/>
  <c r="BP417" i="6"/>
  <c r="BD418" i="6"/>
  <c r="BE418" i="6"/>
  <c r="BF418" i="6"/>
  <c r="BG418" i="6"/>
  <c r="BH418" i="6"/>
  <c r="BI418" i="6"/>
  <c r="BJ418" i="6"/>
  <c r="BK418" i="6"/>
  <c r="BL418" i="6"/>
  <c r="BM418" i="6"/>
  <c r="BN418" i="6"/>
  <c r="BO418" i="6"/>
  <c r="BP418" i="6"/>
  <c r="BD419" i="6"/>
  <c r="BE419" i="6"/>
  <c r="BF419" i="6"/>
  <c r="BG419" i="6"/>
  <c r="BH419" i="6"/>
  <c r="BI419" i="6"/>
  <c r="BJ419" i="6"/>
  <c r="BK419" i="6"/>
  <c r="BL419" i="6"/>
  <c r="BM419" i="6"/>
  <c r="BN419" i="6"/>
  <c r="BO419" i="6"/>
  <c r="BP419" i="6"/>
  <c r="BD420" i="6"/>
  <c r="BE420" i="6"/>
  <c r="BF420" i="6"/>
  <c r="BG420" i="6"/>
  <c r="BH420" i="6"/>
  <c r="BI420" i="6"/>
  <c r="BJ420" i="6"/>
  <c r="BK420" i="6"/>
  <c r="BL420" i="6"/>
  <c r="BM420" i="6"/>
  <c r="BN420" i="6"/>
  <c r="BO420" i="6"/>
  <c r="BP420" i="6"/>
  <c r="BD421" i="6"/>
  <c r="BE421" i="6"/>
  <c r="BF421" i="6"/>
  <c r="BG421" i="6"/>
  <c r="BH421" i="6"/>
  <c r="BI421" i="6"/>
  <c r="BJ421" i="6"/>
  <c r="BK421" i="6"/>
  <c r="BL421" i="6"/>
  <c r="BM421" i="6"/>
  <c r="BN421" i="6"/>
  <c r="BO421" i="6"/>
  <c r="BP421" i="6"/>
  <c r="BD422" i="6"/>
  <c r="BE422" i="6"/>
  <c r="BF422" i="6"/>
  <c r="BG422" i="6"/>
  <c r="BH422" i="6"/>
  <c r="BI422" i="6"/>
  <c r="BJ422" i="6"/>
  <c r="BK422" i="6"/>
  <c r="BL422" i="6"/>
  <c r="BM422" i="6"/>
  <c r="BN422" i="6"/>
  <c r="BO422" i="6"/>
  <c r="BP422" i="6"/>
  <c r="BD423" i="6"/>
  <c r="BE423" i="6"/>
  <c r="BF423" i="6"/>
  <c r="BG423" i="6"/>
  <c r="BH423" i="6"/>
  <c r="BI423" i="6"/>
  <c r="BJ423" i="6"/>
  <c r="BK423" i="6"/>
  <c r="BL423" i="6"/>
  <c r="BM423" i="6"/>
  <c r="BN423" i="6"/>
  <c r="BO423" i="6"/>
  <c r="BP423" i="6"/>
  <c r="BD424" i="6"/>
  <c r="BE424" i="6"/>
  <c r="BF424" i="6"/>
  <c r="BG424" i="6"/>
  <c r="BH424" i="6"/>
  <c r="BI424" i="6"/>
  <c r="BJ424" i="6"/>
  <c r="BK424" i="6"/>
  <c r="BL424" i="6"/>
  <c r="BM424" i="6"/>
  <c r="BN424" i="6"/>
  <c r="BO424" i="6"/>
  <c r="BP424" i="6"/>
  <c r="BD425" i="6"/>
  <c r="BE425" i="6"/>
  <c r="BF425" i="6"/>
  <c r="BG425" i="6"/>
  <c r="BH425" i="6"/>
  <c r="BI425" i="6"/>
  <c r="BJ425" i="6"/>
  <c r="BK425" i="6"/>
  <c r="BL425" i="6"/>
  <c r="BM425" i="6"/>
  <c r="BN425" i="6"/>
  <c r="BO425" i="6"/>
  <c r="BP425" i="6"/>
  <c r="BD426" i="6"/>
  <c r="BE426" i="6"/>
  <c r="BF426" i="6"/>
  <c r="BG426" i="6"/>
  <c r="BH426" i="6"/>
  <c r="BI426" i="6"/>
  <c r="BJ426" i="6"/>
  <c r="BK426" i="6"/>
  <c r="BL426" i="6"/>
  <c r="BM426" i="6"/>
  <c r="BN426" i="6"/>
  <c r="BO426" i="6"/>
  <c r="BP426" i="6"/>
  <c r="BD427" i="6"/>
  <c r="BE427" i="6"/>
  <c r="BF427" i="6"/>
  <c r="BG427" i="6"/>
  <c r="BH427" i="6"/>
  <c r="BI427" i="6"/>
  <c r="BJ427" i="6"/>
  <c r="BK427" i="6"/>
  <c r="BL427" i="6"/>
  <c r="BM427" i="6"/>
  <c r="BN427" i="6"/>
  <c r="BO427" i="6"/>
  <c r="BP427" i="6"/>
  <c r="BD430" i="6"/>
  <c r="BE430" i="6"/>
  <c r="BF430" i="6"/>
  <c r="BG430" i="6"/>
  <c r="BH430" i="6"/>
  <c r="BI430" i="6"/>
  <c r="BJ430" i="6"/>
  <c r="BK430" i="6"/>
  <c r="BL430" i="6"/>
  <c r="BM430" i="6"/>
  <c r="BN430" i="6"/>
  <c r="BO430" i="6"/>
  <c r="BP430" i="6"/>
  <c r="BD431" i="6"/>
  <c r="BE431" i="6"/>
  <c r="BF431" i="6"/>
  <c r="BG431" i="6"/>
  <c r="BH431" i="6"/>
  <c r="BI431" i="6"/>
  <c r="BJ431" i="6"/>
  <c r="BK431" i="6"/>
  <c r="BL431" i="6"/>
  <c r="BM431" i="6"/>
  <c r="BN431" i="6"/>
  <c r="BO431" i="6"/>
  <c r="BP431" i="6"/>
  <c r="BD432" i="6"/>
  <c r="BE432" i="6"/>
  <c r="BF432" i="6"/>
  <c r="BG432" i="6"/>
  <c r="BH432" i="6"/>
  <c r="BI432" i="6"/>
  <c r="BJ432" i="6"/>
  <c r="BK432" i="6"/>
  <c r="BL432" i="6"/>
  <c r="BM432" i="6"/>
  <c r="BN432" i="6"/>
  <c r="BO432" i="6"/>
  <c r="BP432" i="6"/>
  <c r="BD436" i="6"/>
  <c r="BE436" i="6"/>
  <c r="BF436" i="6"/>
  <c r="BG436" i="6"/>
  <c r="BH436" i="6"/>
  <c r="BI436" i="6"/>
  <c r="BJ436" i="6"/>
  <c r="BK436" i="6"/>
  <c r="BL436" i="6"/>
  <c r="BM436" i="6"/>
  <c r="BN436" i="6"/>
  <c r="BO436" i="6"/>
  <c r="BP436" i="6"/>
  <c r="BD437" i="6"/>
  <c r="BE437" i="6"/>
  <c r="BF437" i="6"/>
  <c r="BG437" i="6"/>
  <c r="BH437" i="6"/>
  <c r="BI437" i="6"/>
  <c r="BJ437" i="6"/>
  <c r="BK437" i="6"/>
  <c r="BL437" i="6"/>
  <c r="BM437" i="6"/>
  <c r="BN437" i="6"/>
  <c r="BO437" i="6"/>
  <c r="BP437" i="6"/>
  <c r="BD438" i="6"/>
  <c r="BE438" i="6"/>
  <c r="BF438" i="6"/>
  <c r="BG438" i="6"/>
  <c r="BH438" i="6"/>
  <c r="BI438" i="6"/>
  <c r="BJ438" i="6"/>
  <c r="BK438" i="6"/>
  <c r="BL438" i="6"/>
  <c r="BM438" i="6"/>
  <c r="BN438" i="6"/>
  <c r="BO438" i="6"/>
  <c r="BP438" i="6"/>
  <c r="BD439" i="6"/>
  <c r="BE439" i="6"/>
  <c r="BF439" i="6"/>
  <c r="BG439" i="6"/>
  <c r="BH439" i="6"/>
  <c r="BI439" i="6"/>
  <c r="BJ439" i="6"/>
  <c r="BK439" i="6"/>
  <c r="BL439" i="6"/>
  <c r="BM439" i="6"/>
  <c r="BN439" i="6"/>
  <c r="BO439" i="6"/>
  <c r="BP439" i="6"/>
  <c r="BD440" i="6"/>
  <c r="BE440" i="6"/>
  <c r="BF440" i="6"/>
  <c r="BG440" i="6"/>
  <c r="BH440" i="6"/>
  <c r="BI440" i="6"/>
  <c r="BJ440" i="6"/>
  <c r="BK440" i="6"/>
  <c r="BL440" i="6"/>
  <c r="BM440" i="6"/>
  <c r="BN440" i="6"/>
  <c r="BO440" i="6"/>
  <c r="BP440" i="6"/>
  <c r="BD441" i="6"/>
  <c r="BE441" i="6"/>
  <c r="BF441" i="6"/>
  <c r="BG441" i="6"/>
  <c r="BH441" i="6"/>
  <c r="BI441" i="6"/>
  <c r="BJ441" i="6"/>
  <c r="BK441" i="6"/>
  <c r="BL441" i="6"/>
  <c r="BM441" i="6"/>
  <c r="BN441" i="6"/>
  <c r="BO441" i="6"/>
  <c r="BP441" i="6"/>
  <c r="BD442" i="6"/>
  <c r="BE442" i="6"/>
  <c r="BF442" i="6"/>
  <c r="BG442" i="6"/>
  <c r="BH442" i="6"/>
  <c r="BI442" i="6"/>
  <c r="BJ442" i="6"/>
  <c r="BK442" i="6"/>
  <c r="BL442" i="6"/>
  <c r="BM442" i="6"/>
  <c r="BN442" i="6"/>
  <c r="BO442" i="6"/>
  <c r="BP442" i="6"/>
  <c r="BD443" i="6"/>
  <c r="BE443" i="6"/>
  <c r="BF443" i="6"/>
  <c r="BG443" i="6"/>
  <c r="BH443" i="6"/>
  <c r="BI443" i="6"/>
  <c r="BJ443" i="6"/>
  <c r="BK443" i="6"/>
  <c r="BL443" i="6"/>
  <c r="BM443" i="6"/>
  <c r="BN443" i="6"/>
  <c r="BO443" i="6"/>
  <c r="BP443" i="6"/>
  <c r="BD444" i="6"/>
  <c r="BE444" i="6"/>
  <c r="BF444" i="6"/>
  <c r="BG444" i="6"/>
  <c r="BH444" i="6"/>
  <c r="BI444" i="6"/>
  <c r="BJ444" i="6"/>
  <c r="BK444" i="6"/>
  <c r="BL444" i="6"/>
  <c r="BM444" i="6"/>
  <c r="BN444" i="6"/>
  <c r="BO444" i="6"/>
  <c r="BP444" i="6"/>
  <c r="BD445" i="6"/>
  <c r="BE445" i="6"/>
  <c r="BF445" i="6"/>
  <c r="BG445" i="6"/>
  <c r="BH445" i="6"/>
  <c r="BI445" i="6"/>
  <c r="BJ445" i="6"/>
  <c r="BK445" i="6"/>
  <c r="BL445" i="6"/>
  <c r="BM445" i="6"/>
  <c r="BN445" i="6"/>
  <c r="BO445" i="6"/>
  <c r="BP445" i="6"/>
  <c r="BD446" i="6"/>
  <c r="BE446" i="6"/>
  <c r="BF446" i="6"/>
  <c r="BG446" i="6"/>
  <c r="BH446" i="6"/>
  <c r="BI446" i="6"/>
  <c r="BJ446" i="6"/>
  <c r="BK446" i="6"/>
  <c r="BL446" i="6"/>
  <c r="BM446" i="6"/>
  <c r="BN446" i="6"/>
  <c r="BO446" i="6"/>
  <c r="BP446" i="6"/>
  <c r="BD447" i="6"/>
  <c r="BE447" i="6"/>
  <c r="BF447" i="6"/>
  <c r="BG447" i="6"/>
  <c r="BH447" i="6"/>
  <c r="BI447" i="6"/>
  <c r="BJ447" i="6"/>
  <c r="BK447" i="6"/>
  <c r="BL447" i="6"/>
  <c r="BM447" i="6"/>
  <c r="BN447" i="6"/>
  <c r="BO447" i="6"/>
  <c r="BP447" i="6"/>
  <c r="BD448" i="6"/>
  <c r="BE448" i="6"/>
  <c r="BF448" i="6"/>
  <c r="BG448" i="6"/>
  <c r="BH448" i="6"/>
  <c r="BI448" i="6"/>
  <c r="BJ448" i="6"/>
  <c r="BK448" i="6"/>
  <c r="BL448" i="6"/>
  <c r="BM448" i="6"/>
  <c r="BN448" i="6"/>
  <c r="BO448" i="6"/>
  <c r="BP448" i="6"/>
  <c r="BD449" i="6"/>
  <c r="BE449" i="6"/>
  <c r="BF449" i="6"/>
  <c r="BG449" i="6"/>
  <c r="BH449" i="6"/>
  <c r="BI449" i="6"/>
  <c r="BJ449" i="6"/>
  <c r="BK449" i="6"/>
  <c r="BL449" i="6"/>
  <c r="BM449" i="6"/>
  <c r="BN449" i="6"/>
  <c r="BO449" i="6"/>
  <c r="BP449" i="6"/>
  <c r="BD450" i="6"/>
  <c r="BE450" i="6"/>
  <c r="BF450" i="6"/>
  <c r="BG450" i="6"/>
  <c r="BH450" i="6"/>
  <c r="BI450" i="6"/>
  <c r="BJ450" i="6"/>
  <c r="BK450" i="6"/>
  <c r="BL450" i="6"/>
  <c r="BM450" i="6"/>
  <c r="BN450" i="6"/>
  <c r="BO450" i="6"/>
  <c r="BP450" i="6"/>
  <c r="BD451" i="6"/>
  <c r="BE451" i="6"/>
  <c r="BF451" i="6"/>
  <c r="BG451" i="6"/>
  <c r="BH451" i="6"/>
  <c r="BI451" i="6"/>
  <c r="BJ451" i="6"/>
  <c r="BK451" i="6"/>
  <c r="BL451" i="6"/>
  <c r="BM451" i="6"/>
  <c r="BN451" i="6"/>
  <c r="BO451" i="6"/>
  <c r="BP451" i="6"/>
  <c r="BD452" i="6"/>
  <c r="BE452" i="6"/>
  <c r="BF452" i="6"/>
  <c r="BG452" i="6"/>
  <c r="BH452" i="6"/>
  <c r="BI452" i="6"/>
  <c r="BJ452" i="6"/>
  <c r="BK452" i="6"/>
  <c r="BL452" i="6"/>
  <c r="BM452" i="6"/>
  <c r="BN452" i="6"/>
  <c r="BO452" i="6"/>
  <c r="BP452" i="6"/>
  <c r="BD453" i="6"/>
  <c r="BE453" i="6"/>
  <c r="BF453" i="6"/>
  <c r="BG453" i="6"/>
  <c r="BH453" i="6"/>
  <c r="BI453" i="6"/>
  <c r="BJ453" i="6"/>
  <c r="BK453" i="6"/>
  <c r="BL453" i="6"/>
  <c r="BM453" i="6"/>
  <c r="BN453" i="6"/>
  <c r="BO453" i="6"/>
  <c r="BP453" i="6"/>
  <c r="BD454" i="6"/>
  <c r="BE454" i="6"/>
  <c r="BF454" i="6"/>
  <c r="BG454" i="6"/>
  <c r="BH454" i="6"/>
  <c r="BI454" i="6"/>
  <c r="BJ454" i="6"/>
  <c r="BK454" i="6"/>
  <c r="BL454" i="6"/>
  <c r="BM454" i="6"/>
  <c r="BN454" i="6"/>
  <c r="BO454" i="6"/>
  <c r="BP454" i="6"/>
  <c r="BD455" i="6"/>
  <c r="BE455" i="6"/>
  <c r="BF455" i="6"/>
  <c r="BG455" i="6"/>
  <c r="BH455" i="6"/>
  <c r="BI455" i="6"/>
  <c r="BJ455" i="6"/>
  <c r="BK455" i="6"/>
  <c r="BL455" i="6"/>
  <c r="BM455" i="6"/>
  <c r="BN455" i="6"/>
  <c r="BO455" i="6"/>
  <c r="BP455" i="6"/>
  <c r="BD456" i="6"/>
  <c r="BE456" i="6"/>
  <c r="BF456" i="6"/>
  <c r="BG456" i="6"/>
  <c r="BH456" i="6"/>
  <c r="BI456" i="6"/>
  <c r="BJ456" i="6"/>
  <c r="BK456" i="6"/>
  <c r="BL456" i="6"/>
  <c r="BM456" i="6"/>
  <c r="BN456" i="6"/>
  <c r="BO456" i="6"/>
  <c r="BP456" i="6"/>
  <c r="BD457" i="6"/>
  <c r="BE457" i="6"/>
  <c r="BF457" i="6"/>
  <c r="BG457" i="6"/>
  <c r="BH457" i="6"/>
  <c r="BI457" i="6"/>
  <c r="BJ457" i="6"/>
  <c r="BK457" i="6"/>
  <c r="BL457" i="6"/>
  <c r="BM457" i="6"/>
  <c r="BN457" i="6"/>
  <c r="BO457" i="6"/>
  <c r="BP457" i="6"/>
  <c r="BD458" i="6"/>
  <c r="BE458" i="6"/>
  <c r="BF458" i="6"/>
  <c r="BG458" i="6"/>
  <c r="BH458" i="6"/>
  <c r="BI458" i="6"/>
  <c r="BJ458" i="6"/>
  <c r="BK458" i="6"/>
  <c r="BL458" i="6"/>
  <c r="BM458" i="6"/>
  <c r="BN458" i="6"/>
  <c r="BO458" i="6"/>
  <c r="BP458" i="6"/>
  <c r="BD459" i="6"/>
  <c r="BE459" i="6"/>
  <c r="BF459" i="6"/>
  <c r="BG459" i="6"/>
  <c r="BH459" i="6"/>
  <c r="BI459" i="6"/>
  <c r="BJ459" i="6"/>
  <c r="BK459" i="6"/>
  <c r="BL459" i="6"/>
  <c r="BM459" i="6"/>
  <c r="BN459" i="6"/>
  <c r="BO459" i="6"/>
  <c r="BP459" i="6"/>
  <c r="BD460" i="6"/>
  <c r="BE460" i="6"/>
  <c r="BF460" i="6"/>
  <c r="BG460" i="6"/>
  <c r="BH460" i="6"/>
  <c r="BI460" i="6"/>
  <c r="BJ460" i="6"/>
  <c r="BK460" i="6"/>
  <c r="BL460" i="6"/>
  <c r="BM460" i="6"/>
  <c r="BN460" i="6"/>
  <c r="BO460" i="6"/>
  <c r="BP460" i="6"/>
  <c r="BD461" i="6"/>
  <c r="BE461" i="6"/>
  <c r="BF461" i="6"/>
  <c r="BG461" i="6"/>
  <c r="BH461" i="6"/>
  <c r="BI461" i="6"/>
  <c r="BJ461" i="6"/>
  <c r="BK461" i="6"/>
  <c r="BL461" i="6"/>
  <c r="BM461" i="6"/>
  <c r="BN461" i="6"/>
  <c r="BO461" i="6"/>
  <c r="BP461" i="6"/>
  <c r="BD462" i="6"/>
  <c r="BE462" i="6"/>
  <c r="BF462" i="6"/>
  <c r="BG462" i="6"/>
  <c r="BH462" i="6"/>
  <c r="BI462" i="6"/>
  <c r="BJ462" i="6"/>
  <c r="BK462" i="6"/>
  <c r="BL462" i="6"/>
  <c r="BM462" i="6"/>
  <c r="BN462" i="6"/>
  <c r="BO462" i="6"/>
  <c r="BP462" i="6"/>
  <c r="BD463" i="6"/>
  <c r="BE463" i="6"/>
  <c r="BF463" i="6"/>
  <c r="BG463" i="6"/>
  <c r="BH463" i="6"/>
  <c r="BI463" i="6"/>
  <c r="BJ463" i="6"/>
  <c r="BK463" i="6"/>
  <c r="BL463" i="6"/>
  <c r="BM463" i="6"/>
  <c r="BN463" i="6"/>
  <c r="BO463" i="6"/>
  <c r="BP463" i="6"/>
  <c r="BD464" i="6"/>
  <c r="BE464" i="6"/>
  <c r="BF464" i="6"/>
  <c r="BG464" i="6"/>
  <c r="BH464" i="6"/>
  <c r="BI464" i="6"/>
  <c r="BJ464" i="6"/>
  <c r="BK464" i="6"/>
  <c r="BL464" i="6"/>
  <c r="BM464" i="6"/>
  <c r="BN464" i="6"/>
  <c r="BO464" i="6"/>
  <c r="BP464" i="6"/>
  <c r="BD465" i="6"/>
  <c r="BE465" i="6"/>
  <c r="BF465" i="6"/>
  <c r="BG465" i="6"/>
  <c r="BH465" i="6"/>
  <c r="BI465" i="6"/>
  <c r="BJ465" i="6"/>
  <c r="BK465" i="6"/>
  <c r="BL465" i="6"/>
  <c r="BM465" i="6"/>
  <c r="BN465" i="6"/>
  <c r="BO465" i="6"/>
  <c r="BP465" i="6"/>
  <c r="BD466" i="6"/>
  <c r="BE466" i="6"/>
  <c r="BF466" i="6"/>
  <c r="BG466" i="6"/>
  <c r="BH466" i="6"/>
  <c r="BI466" i="6"/>
  <c r="BJ466" i="6"/>
  <c r="BK466" i="6"/>
  <c r="BL466" i="6"/>
  <c r="BM466" i="6"/>
  <c r="BN466" i="6"/>
  <c r="BO466" i="6"/>
  <c r="BP466" i="6"/>
  <c r="BD467" i="6"/>
  <c r="BE467" i="6"/>
  <c r="BF467" i="6"/>
  <c r="BG467" i="6"/>
  <c r="BH467" i="6"/>
  <c r="BI467" i="6"/>
  <c r="BJ467" i="6"/>
  <c r="BK467" i="6"/>
  <c r="BL467" i="6"/>
  <c r="BM467" i="6"/>
  <c r="BN467" i="6"/>
  <c r="BO467" i="6"/>
  <c r="BP467" i="6"/>
  <c r="BD468" i="6"/>
  <c r="BE468" i="6"/>
  <c r="BF468" i="6"/>
  <c r="BG468" i="6"/>
  <c r="BH468" i="6"/>
  <c r="BI468" i="6"/>
  <c r="BJ468" i="6"/>
  <c r="BK468" i="6"/>
  <c r="BL468" i="6"/>
  <c r="BM468" i="6"/>
  <c r="BN468" i="6"/>
  <c r="BO468" i="6"/>
  <c r="BP468" i="6"/>
  <c r="BD469" i="6"/>
  <c r="BE469" i="6"/>
  <c r="BF469" i="6"/>
  <c r="BG469" i="6"/>
  <c r="BH469" i="6"/>
  <c r="BI469" i="6"/>
  <c r="BJ469" i="6"/>
  <c r="BK469" i="6"/>
  <c r="BL469" i="6"/>
  <c r="BM469" i="6"/>
  <c r="BN469" i="6"/>
  <c r="BO469" i="6"/>
  <c r="BP469" i="6"/>
  <c r="BD470" i="6"/>
  <c r="BE470" i="6"/>
  <c r="BF470" i="6"/>
  <c r="BG470" i="6"/>
  <c r="BH470" i="6"/>
  <c r="BI470" i="6"/>
  <c r="BJ470" i="6"/>
  <c r="BK470" i="6"/>
  <c r="BL470" i="6"/>
  <c r="BM470" i="6"/>
  <c r="BN470" i="6"/>
  <c r="BO470" i="6"/>
  <c r="BP470" i="6"/>
  <c r="BD471" i="6"/>
  <c r="BE471" i="6"/>
  <c r="BF471" i="6"/>
  <c r="BG471" i="6"/>
  <c r="BH471" i="6"/>
  <c r="BI471" i="6"/>
  <c r="BJ471" i="6"/>
  <c r="BK471" i="6"/>
  <c r="BL471" i="6"/>
  <c r="BM471" i="6"/>
  <c r="BN471" i="6"/>
  <c r="BO471" i="6"/>
  <c r="BP471" i="6"/>
  <c r="BD472" i="6"/>
  <c r="BE472" i="6"/>
  <c r="BF472" i="6"/>
  <c r="BG472" i="6"/>
  <c r="BH472" i="6"/>
  <c r="BI472" i="6"/>
  <c r="BJ472" i="6"/>
  <c r="BK472" i="6"/>
  <c r="BL472" i="6"/>
  <c r="BM472" i="6"/>
  <c r="BN472" i="6"/>
  <c r="BO472" i="6"/>
  <c r="BP472" i="6"/>
  <c r="BD473" i="6"/>
  <c r="BE473" i="6"/>
  <c r="BF473" i="6"/>
  <c r="BG473" i="6"/>
  <c r="BH473" i="6"/>
  <c r="BI473" i="6"/>
  <c r="BJ473" i="6"/>
  <c r="BK473" i="6"/>
  <c r="BL473" i="6"/>
  <c r="BM473" i="6"/>
  <c r="BN473" i="6"/>
  <c r="BO473" i="6"/>
  <c r="BP473" i="6"/>
  <c r="BD474" i="6"/>
  <c r="BE474" i="6"/>
  <c r="BF474" i="6"/>
  <c r="BG474" i="6"/>
  <c r="BH474" i="6"/>
  <c r="BI474" i="6"/>
  <c r="BJ474" i="6"/>
  <c r="BK474" i="6"/>
  <c r="BL474" i="6"/>
  <c r="BM474" i="6"/>
  <c r="BN474" i="6"/>
  <c r="BO474" i="6"/>
  <c r="BP474" i="6"/>
  <c r="BD475" i="6"/>
  <c r="BE475" i="6"/>
  <c r="BF475" i="6"/>
  <c r="BG475" i="6"/>
  <c r="BH475" i="6"/>
  <c r="BI475" i="6"/>
  <c r="BJ475" i="6"/>
  <c r="BK475" i="6"/>
  <c r="BL475" i="6"/>
  <c r="BM475" i="6"/>
  <c r="BN475" i="6"/>
  <c r="BO475" i="6"/>
  <c r="BP475" i="6"/>
  <c r="BD476" i="6"/>
  <c r="BE476" i="6"/>
  <c r="BF476" i="6"/>
  <c r="BG476" i="6"/>
  <c r="BH476" i="6"/>
  <c r="BI476" i="6"/>
  <c r="BJ476" i="6"/>
  <c r="BK476" i="6"/>
  <c r="BL476" i="6"/>
  <c r="BM476" i="6"/>
  <c r="BN476" i="6"/>
  <c r="BO476" i="6"/>
  <c r="BP476" i="6"/>
  <c r="BD477" i="6"/>
  <c r="BE477" i="6"/>
  <c r="BF477" i="6"/>
  <c r="BG477" i="6"/>
  <c r="BH477" i="6"/>
  <c r="BI477" i="6"/>
  <c r="BJ477" i="6"/>
  <c r="BK477" i="6"/>
  <c r="BL477" i="6"/>
  <c r="BM477" i="6"/>
  <c r="BN477" i="6"/>
  <c r="BO477" i="6"/>
  <c r="BP477" i="6"/>
  <c r="BD478" i="6"/>
  <c r="BE478" i="6"/>
  <c r="BF478" i="6"/>
  <c r="BG478" i="6"/>
  <c r="BH478" i="6"/>
  <c r="BI478" i="6"/>
  <c r="BJ478" i="6"/>
  <c r="BK478" i="6"/>
  <c r="BL478" i="6"/>
  <c r="BM478" i="6"/>
  <c r="BN478" i="6"/>
  <c r="BO478" i="6"/>
  <c r="BP478" i="6"/>
  <c r="BD479" i="6"/>
  <c r="BE479" i="6"/>
  <c r="BF479" i="6"/>
  <c r="BG479" i="6"/>
  <c r="BH479" i="6"/>
  <c r="BI479" i="6"/>
  <c r="BJ479" i="6"/>
  <c r="BK479" i="6"/>
  <c r="BL479" i="6"/>
  <c r="BM479" i="6"/>
  <c r="BN479" i="6"/>
  <c r="BO479" i="6"/>
  <c r="BP479" i="6"/>
  <c r="BD480" i="6"/>
  <c r="BE480" i="6"/>
  <c r="BF480" i="6"/>
  <c r="BG480" i="6"/>
  <c r="BH480" i="6"/>
  <c r="BI480" i="6"/>
  <c r="BJ480" i="6"/>
  <c r="BK480" i="6"/>
  <c r="BL480" i="6"/>
  <c r="BM480" i="6"/>
  <c r="BN480" i="6"/>
  <c r="BO480" i="6"/>
  <c r="BP480" i="6"/>
  <c r="BD481" i="6"/>
  <c r="BE481" i="6"/>
  <c r="BF481" i="6"/>
  <c r="BG481" i="6"/>
  <c r="BH481" i="6"/>
  <c r="BI481" i="6"/>
  <c r="BJ481" i="6"/>
  <c r="BK481" i="6"/>
  <c r="BL481" i="6"/>
  <c r="BM481" i="6"/>
  <c r="BN481" i="6"/>
  <c r="BO481" i="6"/>
  <c r="BP481" i="6"/>
  <c r="BD482" i="6"/>
  <c r="BE482" i="6"/>
  <c r="BF482" i="6"/>
  <c r="BG482" i="6"/>
  <c r="BH482" i="6"/>
  <c r="BI482" i="6"/>
  <c r="BJ482" i="6"/>
  <c r="BK482" i="6"/>
  <c r="BL482" i="6"/>
  <c r="BM482" i="6"/>
  <c r="BN482" i="6"/>
  <c r="BO482" i="6"/>
  <c r="BP482" i="6"/>
  <c r="BD483" i="6"/>
  <c r="BE483" i="6"/>
  <c r="BF483" i="6"/>
  <c r="BG483" i="6"/>
  <c r="BH483" i="6"/>
  <c r="BI483" i="6"/>
  <c r="BJ483" i="6"/>
  <c r="BK483" i="6"/>
  <c r="BL483" i="6"/>
  <c r="BM483" i="6"/>
  <c r="BN483" i="6"/>
  <c r="BO483" i="6"/>
  <c r="BP483" i="6"/>
  <c r="BD484" i="6"/>
  <c r="BE484" i="6"/>
  <c r="BF484" i="6"/>
  <c r="BG484" i="6"/>
  <c r="BH484" i="6"/>
  <c r="BI484" i="6"/>
  <c r="BJ484" i="6"/>
  <c r="BK484" i="6"/>
  <c r="BL484" i="6"/>
  <c r="BM484" i="6"/>
  <c r="BN484" i="6"/>
  <c r="BO484" i="6"/>
  <c r="BP484" i="6"/>
  <c r="BD485" i="6"/>
  <c r="BE485" i="6"/>
  <c r="BF485" i="6"/>
  <c r="BG485" i="6"/>
  <c r="BH485" i="6"/>
  <c r="BI485" i="6"/>
  <c r="BJ485" i="6"/>
  <c r="BK485" i="6"/>
  <c r="BL485" i="6"/>
  <c r="BM485" i="6"/>
  <c r="BN485" i="6"/>
  <c r="BO485" i="6"/>
  <c r="BP485" i="6"/>
  <c r="BD486" i="6"/>
  <c r="BE486" i="6"/>
  <c r="BF486" i="6"/>
  <c r="BG486" i="6"/>
  <c r="BH486" i="6"/>
  <c r="BI486" i="6"/>
  <c r="BJ486" i="6"/>
  <c r="BK486" i="6"/>
  <c r="BL486" i="6"/>
  <c r="BM486" i="6"/>
  <c r="BN486" i="6"/>
  <c r="BO486" i="6"/>
  <c r="BP486" i="6"/>
  <c r="BD487" i="6"/>
  <c r="BE487" i="6"/>
  <c r="BF487" i="6"/>
  <c r="BG487" i="6"/>
  <c r="BH487" i="6"/>
  <c r="BI487" i="6"/>
  <c r="BJ487" i="6"/>
  <c r="BK487" i="6"/>
  <c r="BL487" i="6"/>
  <c r="BM487" i="6"/>
  <c r="BN487" i="6"/>
  <c r="BO487" i="6"/>
  <c r="BP487" i="6"/>
  <c r="BD488" i="6"/>
  <c r="BE488" i="6"/>
  <c r="BF488" i="6"/>
  <c r="BG488" i="6"/>
  <c r="BH488" i="6"/>
  <c r="BI488" i="6"/>
  <c r="BJ488" i="6"/>
  <c r="BK488" i="6"/>
  <c r="BL488" i="6"/>
  <c r="BM488" i="6"/>
  <c r="BN488" i="6"/>
  <c r="BO488" i="6"/>
  <c r="BP488" i="6"/>
  <c r="BD489" i="6"/>
  <c r="BE489" i="6"/>
  <c r="BF489" i="6"/>
  <c r="BG489" i="6"/>
  <c r="BH489" i="6"/>
  <c r="BI489" i="6"/>
  <c r="BJ489" i="6"/>
  <c r="BK489" i="6"/>
  <c r="BL489" i="6"/>
  <c r="BM489" i="6"/>
  <c r="BN489" i="6"/>
  <c r="BO489" i="6"/>
  <c r="BP489" i="6"/>
  <c r="BD490" i="6"/>
  <c r="BE490" i="6"/>
  <c r="BF490" i="6"/>
  <c r="BG490" i="6"/>
  <c r="BH490" i="6"/>
  <c r="BI490" i="6"/>
  <c r="BJ490" i="6"/>
  <c r="BK490" i="6"/>
  <c r="BL490" i="6"/>
  <c r="BM490" i="6"/>
  <c r="BN490" i="6"/>
  <c r="BO490" i="6"/>
  <c r="BP490" i="6"/>
  <c r="BD491" i="6"/>
  <c r="BE491" i="6"/>
  <c r="BF491" i="6"/>
  <c r="BG491" i="6"/>
  <c r="BH491" i="6"/>
  <c r="BI491" i="6"/>
  <c r="BJ491" i="6"/>
  <c r="BK491" i="6"/>
  <c r="BL491" i="6"/>
  <c r="BM491" i="6"/>
  <c r="BN491" i="6"/>
  <c r="BO491" i="6"/>
  <c r="BP491" i="6"/>
  <c r="BD492" i="6"/>
  <c r="BE492" i="6"/>
  <c r="BF492" i="6"/>
  <c r="BG492" i="6"/>
  <c r="BH492" i="6"/>
  <c r="BI492" i="6"/>
  <c r="BJ492" i="6"/>
  <c r="BK492" i="6"/>
  <c r="BL492" i="6"/>
  <c r="BM492" i="6"/>
  <c r="BN492" i="6"/>
  <c r="BO492" i="6"/>
  <c r="BP492" i="6"/>
  <c r="BD493" i="6"/>
  <c r="BE493" i="6"/>
  <c r="BF493" i="6"/>
  <c r="BG493" i="6"/>
  <c r="BH493" i="6"/>
  <c r="BI493" i="6"/>
  <c r="BJ493" i="6"/>
  <c r="BK493" i="6"/>
  <c r="BL493" i="6"/>
  <c r="BM493" i="6"/>
  <c r="BN493" i="6"/>
  <c r="BO493" i="6"/>
  <c r="BP493" i="6"/>
  <c r="BD494" i="6"/>
  <c r="BE494" i="6"/>
  <c r="BF494" i="6"/>
  <c r="BG494" i="6"/>
  <c r="BH494" i="6"/>
  <c r="BI494" i="6"/>
  <c r="BJ494" i="6"/>
  <c r="BK494" i="6"/>
  <c r="BL494" i="6"/>
  <c r="BM494" i="6"/>
  <c r="BN494" i="6"/>
  <c r="BO494" i="6"/>
  <c r="BP494" i="6"/>
  <c r="BD495" i="6"/>
  <c r="BE495" i="6"/>
  <c r="BF495" i="6"/>
  <c r="BG495" i="6"/>
  <c r="BH495" i="6"/>
  <c r="BI495" i="6"/>
  <c r="BJ495" i="6"/>
  <c r="BK495" i="6"/>
  <c r="BL495" i="6"/>
  <c r="BM495" i="6"/>
  <c r="BN495" i="6"/>
  <c r="BO495" i="6"/>
  <c r="BP495" i="6"/>
  <c r="BD496" i="6"/>
  <c r="BE496" i="6"/>
  <c r="BF496" i="6"/>
  <c r="BG496" i="6"/>
  <c r="BH496" i="6"/>
  <c r="BI496" i="6"/>
  <c r="BJ496" i="6"/>
  <c r="BK496" i="6"/>
  <c r="BL496" i="6"/>
  <c r="BM496" i="6"/>
  <c r="BN496" i="6"/>
  <c r="BO496" i="6"/>
  <c r="BP496" i="6"/>
  <c r="BD497" i="6"/>
  <c r="BE497" i="6"/>
  <c r="BF497" i="6"/>
  <c r="BG497" i="6"/>
  <c r="BH497" i="6"/>
  <c r="BI497" i="6"/>
  <c r="BJ497" i="6"/>
  <c r="BK497" i="6"/>
  <c r="BL497" i="6"/>
  <c r="BM497" i="6"/>
  <c r="BN497" i="6"/>
  <c r="BO497" i="6"/>
  <c r="BP497" i="6"/>
  <c r="BD498" i="6"/>
  <c r="BE498" i="6"/>
  <c r="BF498" i="6"/>
  <c r="BG498" i="6"/>
  <c r="BH498" i="6"/>
  <c r="BI498" i="6"/>
  <c r="BJ498" i="6"/>
  <c r="BK498" i="6"/>
  <c r="BL498" i="6"/>
  <c r="BM498" i="6"/>
  <c r="BN498" i="6"/>
  <c r="BO498" i="6"/>
  <c r="BP498" i="6"/>
  <c r="BD499" i="6"/>
  <c r="BE499" i="6"/>
  <c r="BF499" i="6"/>
  <c r="BG499" i="6"/>
  <c r="BH499" i="6"/>
  <c r="BI499" i="6"/>
  <c r="BJ499" i="6"/>
  <c r="BK499" i="6"/>
  <c r="BL499" i="6"/>
  <c r="BM499" i="6"/>
  <c r="BN499" i="6"/>
  <c r="BO499" i="6"/>
  <c r="BP499" i="6"/>
  <c r="BD500" i="6"/>
  <c r="BE500" i="6"/>
  <c r="BF500" i="6"/>
  <c r="BG500" i="6"/>
  <c r="BH500" i="6"/>
  <c r="BI500" i="6"/>
  <c r="BJ500" i="6"/>
  <c r="BK500" i="6"/>
  <c r="BL500" i="6"/>
  <c r="BM500" i="6"/>
  <c r="BN500" i="6"/>
  <c r="BO500" i="6"/>
  <c r="BP500" i="6"/>
  <c r="BD501" i="6"/>
  <c r="BE501" i="6"/>
  <c r="BF501" i="6"/>
  <c r="BG501" i="6"/>
  <c r="BH501" i="6"/>
  <c r="BI501" i="6"/>
  <c r="BJ501" i="6"/>
  <c r="BK501" i="6"/>
  <c r="BL501" i="6"/>
  <c r="BM501" i="6"/>
  <c r="BN501" i="6"/>
  <c r="BO501" i="6"/>
  <c r="BP501" i="6"/>
  <c r="BD504" i="6"/>
  <c r="BE504" i="6"/>
  <c r="BF504" i="6"/>
  <c r="BG504" i="6"/>
  <c r="BH504" i="6"/>
  <c r="BI504" i="6"/>
  <c r="BJ504" i="6"/>
  <c r="BK504" i="6"/>
  <c r="BL504" i="6"/>
  <c r="BM504" i="6"/>
  <c r="BN504" i="6"/>
  <c r="BO504" i="6"/>
  <c r="BP504" i="6"/>
  <c r="BD505" i="6"/>
  <c r="BE505" i="6"/>
  <c r="BF505" i="6"/>
  <c r="BG505" i="6"/>
  <c r="BH505" i="6"/>
  <c r="BI505" i="6"/>
  <c r="BJ505" i="6"/>
  <c r="BK505" i="6"/>
  <c r="BL505" i="6"/>
  <c r="BM505" i="6"/>
  <c r="BN505" i="6"/>
  <c r="BO505" i="6"/>
  <c r="BP505" i="6"/>
  <c r="BD506" i="6"/>
  <c r="BE506" i="6"/>
  <c r="BF506" i="6"/>
  <c r="BG506" i="6"/>
  <c r="BH506" i="6"/>
  <c r="BI506" i="6"/>
  <c r="BJ506" i="6"/>
  <c r="BK506" i="6"/>
  <c r="BL506" i="6"/>
  <c r="BM506" i="6"/>
  <c r="BN506" i="6"/>
  <c r="BO506" i="6"/>
  <c r="BP506" i="6"/>
  <c r="BD507" i="6"/>
  <c r="BE507" i="6"/>
  <c r="BF507" i="6"/>
  <c r="BG507" i="6"/>
  <c r="BH507" i="6"/>
  <c r="BI507" i="6"/>
  <c r="BJ507" i="6"/>
  <c r="BK507" i="6"/>
  <c r="BL507" i="6"/>
  <c r="BM507" i="6"/>
  <c r="BN507" i="6"/>
  <c r="BO507" i="6"/>
  <c r="BP507" i="6"/>
  <c r="BD508" i="6"/>
  <c r="BE508" i="6"/>
  <c r="BF508" i="6"/>
  <c r="BG508" i="6"/>
  <c r="BH508" i="6"/>
  <c r="BI508" i="6"/>
  <c r="BJ508" i="6"/>
  <c r="BK508" i="6"/>
  <c r="BL508" i="6"/>
  <c r="BM508" i="6"/>
  <c r="BN508" i="6"/>
  <c r="BO508" i="6"/>
  <c r="BP508" i="6"/>
  <c r="BD509" i="6"/>
  <c r="BE509" i="6"/>
  <c r="BF509" i="6"/>
  <c r="BG509" i="6"/>
  <c r="BH509" i="6"/>
  <c r="BI509" i="6"/>
  <c r="BJ509" i="6"/>
  <c r="BK509" i="6"/>
  <c r="BL509" i="6"/>
  <c r="BM509" i="6"/>
  <c r="BN509" i="6"/>
  <c r="BO509" i="6"/>
  <c r="BP509" i="6"/>
  <c r="BD510" i="6"/>
  <c r="BE510" i="6"/>
  <c r="BF510" i="6"/>
  <c r="BG510" i="6"/>
  <c r="BH510" i="6"/>
  <c r="BI510" i="6"/>
  <c r="BJ510" i="6"/>
  <c r="BK510" i="6"/>
  <c r="BL510" i="6"/>
  <c r="BM510" i="6"/>
  <c r="BN510" i="6"/>
  <c r="BO510" i="6"/>
  <c r="BP510" i="6"/>
  <c r="BD511" i="6"/>
  <c r="BE511" i="6"/>
  <c r="BF511" i="6"/>
  <c r="BG511" i="6"/>
  <c r="BH511" i="6"/>
  <c r="BI511" i="6"/>
  <c r="BJ511" i="6"/>
  <c r="BK511" i="6"/>
  <c r="BL511" i="6"/>
  <c r="BM511" i="6"/>
  <c r="BN511" i="6"/>
  <c r="BO511" i="6"/>
  <c r="BP511" i="6"/>
  <c r="BD513" i="6"/>
  <c r="BE513" i="6"/>
  <c r="BF513" i="6"/>
  <c r="BG513" i="6"/>
  <c r="BH513" i="6"/>
  <c r="BI513" i="6"/>
  <c r="BJ513" i="6"/>
  <c r="BK513" i="6"/>
  <c r="BL513" i="6"/>
  <c r="BM513" i="6"/>
  <c r="BN513" i="6"/>
  <c r="BO513" i="6"/>
  <c r="BP513" i="6"/>
  <c r="BD514" i="6"/>
  <c r="BE514" i="6"/>
  <c r="BF514" i="6"/>
  <c r="BG514" i="6"/>
  <c r="BH514" i="6"/>
  <c r="BI514" i="6"/>
  <c r="BJ514" i="6"/>
  <c r="BK514" i="6"/>
  <c r="BL514" i="6"/>
  <c r="BM514" i="6"/>
  <c r="BN514" i="6"/>
  <c r="BO514" i="6"/>
  <c r="BP514" i="6"/>
  <c r="BD516" i="6"/>
  <c r="BE516" i="6"/>
  <c r="BF516" i="6"/>
  <c r="BG516" i="6"/>
  <c r="BH516" i="6"/>
  <c r="BI516" i="6"/>
  <c r="BJ516" i="6"/>
  <c r="BK516" i="6"/>
  <c r="BL516" i="6"/>
  <c r="BM516" i="6"/>
  <c r="BN516" i="6"/>
  <c r="BO516" i="6"/>
  <c r="BP516" i="6"/>
  <c r="BD520" i="6"/>
  <c r="BE520" i="6"/>
  <c r="BF520" i="6"/>
  <c r="BG520" i="6"/>
  <c r="BH520" i="6"/>
  <c r="BI520" i="6"/>
  <c r="BJ520" i="6"/>
  <c r="BK520" i="6"/>
  <c r="BL520" i="6"/>
  <c r="BM520" i="6"/>
  <c r="BN520" i="6"/>
  <c r="BO520" i="6"/>
  <c r="BP520" i="6"/>
  <c r="BD525" i="6"/>
  <c r="BE525" i="6"/>
  <c r="BF525" i="6"/>
  <c r="BG525" i="6"/>
  <c r="BH525" i="6"/>
  <c r="BI525" i="6"/>
  <c r="BJ525" i="6"/>
  <c r="BK525" i="6"/>
  <c r="BL525" i="6"/>
  <c r="BM525" i="6"/>
  <c r="BN525" i="6"/>
  <c r="BO525" i="6"/>
  <c r="BP525" i="6"/>
  <c r="BD526" i="6"/>
  <c r="BE526" i="6"/>
  <c r="BF526" i="6"/>
  <c r="BG526" i="6"/>
  <c r="BH526" i="6"/>
  <c r="BI526" i="6"/>
  <c r="BJ526" i="6"/>
  <c r="BK526" i="6"/>
  <c r="BL526" i="6"/>
  <c r="BM526" i="6"/>
  <c r="BN526" i="6"/>
  <c r="BO526" i="6"/>
  <c r="BP526" i="6"/>
  <c r="BD527" i="6"/>
  <c r="BE527" i="6"/>
  <c r="BF527" i="6"/>
  <c r="BG527" i="6"/>
  <c r="BH527" i="6"/>
  <c r="BI527" i="6"/>
  <c r="BJ527" i="6"/>
  <c r="BK527" i="6"/>
  <c r="BL527" i="6"/>
  <c r="BM527" i="6"/>
  <c r="BN527" i="6"/>
  <c r="BO527" i="6"/>
  <c r="BP527" i="6"/>
  <c r="BD528" i="6"/>
  <c r="BE528" i="6"/>
  <c r="BF528" i="6"/>
  <c r="BG528" i="6"/>
  <c r="BH528" i="6"/>
  <c r="BI528" i="6"/>
  <c r="BJ528" i="6"/>
  <c r="BK528" i="6"/>
  <c r="BL528" i="6"/>
  <c r="BM528" i="6"/>
  <c r="BN528" i="6"/>
  <c r="BO528" i="6"/>
  <c r="BP528" i="6"/>
  <c r="BD529" i="6"/>
  <c r="BE529" i="6"/>
  <c r="BF529" i="6"/>
  <c r="BG529" i="6"/>
  <c r="BH529" i="6"/>
  <c r="BI529" i="6"/>
  <c r="BJ529" i="6"/>
  <c r="BK529" i="6"/>
  <c r="BL529" i="6"/>
  <c r="BM529" i="6"/>
  <c r="BN529" i="6"/>
  <c r="BO529" i="6"/>
  <c r="BP529" i="6"/>
  <c r="BD530" i="6"/>
  <c r="BE530" i="6"/>
  <c r="BF530" i="6"/>
  <c r="BG530" i="6"/>
  <c r="BH530" i="6"/>
  <c r="BI530" i="6"/>
  <c r="BJ530" i="6"/>
  <c r="BK530" i="6"/>
  <c r="BL530" i="6"/>
  <c r="BM530" i="6"/>
  <c r="BN530" i="6"/>
  <c r="BO530" i="6"/>
  <c r="BP530" i="6"/>
  <c r="BD531" i="6"/>
  <c r="BE531" i="6"/>
  <c r="BF531" i="6"/>
  <c r="BG531" i="6"/>
  <c r="BH531" i="6"/>
  <c r="BI531" i="6"/>
  <c r="BJ531" i="6"/>
  <c r="BK531" i="6"/>
  <c r="BL531" i="6"/>
  <c r="BM531" i="6"/>
  <c r="BN531" i="6"/>
  <c r="BO531" i="6"/>
  <c r="BP531" i="6"/>
  <c r="BD534" i="6"/>
  <c r="BE534" i="6"/>
  <c r="BF534" i="6"/>
  <c r="BG534" i="6"/>
  <c r="BH534" i="6"/>
  <c r="BI534" i="6"/>
  <c r="BJ534" i="6"/>
  <c r="BK534" i="6"/>
  <c r="BL534" i="6"/>
  <c r="BM534" i="6"/>
  <c r="BN534" i="6"/>
  <c r="BO534" i="6"/>
  <c r="BP534" i="6"/>
  <c r="BD535" i="6"/>
  <c r="BE535" i="6"/>
  <c r="BF535" i="6"/>
  <c r="BG535" i="6"/>
  <c r="BH535" i="6"/>
  <c r="BI535" i="6"/>
  <c r="BJ535" i="6"/>
  <c r="BK535" i="6"/>
  <c r="BL535" i="6"/>
  <c r="BM535" i="6"/>
  <c r="BN535" i="6"/>
  <c r="BO535" i="6"/>
  <c r="BP535" i="6"/>
  <c r="BD536" i="6"/>
  <c r="BE536" i="6"/>
  <c r="BF536" i="6"/>
  <c r="BG536" i="6"/>
  <c r="BH536" i="6"/>
  <c r="BI536" i="6"/>
  <c r="BJ536" i="6"/>
  <c r="BK536" i="6"/>
  <c r="BL536" i="6"/>
  <c r="BM536" i="6"/>
  <c r="BN536" i="6"/>
  <c r="BO536" i="6"/>
  <c r="BP536" i="6"/>
  <c r="BD537" i="6"/>
  <c r="BE537" i="6"/>
  <c r="BF537" i="6"/>
  <c r="BG537" i="6"/>
  <c r="BH537" i="6"/>
  <c r="BI537" i="6"/>
  <c r="BJ537" i="6"/>
  <c r="BK537" i="6"/>
  <c r="BL537" i="6"/>
  <c r="BM537" i="6"/>
  <c r="BN537" i="6"/>
  <c r="BO537" i="6"/>
  <c r="BP537" i="6"/>
  <c r="BD538" i="6"/>
  <c r="BE538" i="6"/>
  <c r="BF538" i="6"/>
  <c r="BG538" i="6"/>
  <c r="BH538" i="6"/>
  <c r="BI538" i="6"/>
  <c r="BJ538" i="6"/>
  <c r="BK538" i="6"/>
  <c r="BL538" i="6"/>
  <c r="BM538" i="6"/>
  <c r="BN538" i="6"/>
  <c r="BO538" i="6"/>
  <c r="BP538" i="6"/>
  <c r="BD539" i="6"/>
  <c r="BE539" i="6"/>
  <c r="BF539" i="6"/>
  <c r="BG539" i="6"/>
  <c r="BH539" i="6"/>
  <c r="BI539" i="6"/>
  <c r="BJ539" i="6"/>
  <c r="BK539" i="6"/>
  <c r="BL539" i="6"/>
  <c r="BM539" i="6"/>
  <c r="BN539" i="6"/>
  <c r="BO539" i="6"/>
  <c r="BP539" i="6"/>
  <c r="BD540" i="6"/>
  <c r="BE540" i="6"/>
  <c r="BF540" i="6"/>
  <c r="BG540" i="6"/>
  <c r="BH540" i="6"/>
  <c r="BI540" i="6"/>
  <c r="BJ540" i="6"/>
  <c r="BK540" i="6"/>
  <c r="BL540" i="6"/>
  <c r="BM540" i="6"/>
  <c r="BN540" i="6"/>
  <c r="BO540" i="6"/>
  <c r="BP540" i="6"/>
  <c r="BD545" i="6"/>
  <c r="BE545" i="6"/>
  <c r="BF545" i="6"/>
  <c r="BG545" i="6"/>
  <c r="BH545" i="6"/>
  <c r="BI545" i="6"/>
  <c r="BJ545" i="6"/>
  <c r="BK545" i="6"/>
  <c r="BL545" i="6"/>
  <c r="BM545" i="6"/>
  <c r="BN545" i="6"/>
  <c r="BO545" i="6"/>
  <c r="BP545" i="6"/>
  <c r="BD546" i="6"/>
  <c r="BE546" i="6"/>
  <c r="BF546" i="6"/>
  <c r="BG546" i="6"/>
  <c r="BH546" i="6"/>
  <c r="BI546" i="6"/>
  <c r="BJ546" i="6"/>
  <c r="BK546" i="6"/>
  <c r="BL546" i="6"/>
  <c r="BM546" i="6"/>
  <c r="BN546" i="6"/>
  <c r="BO546" i="6"/>
  <c r="BP546" i="6"/>
  <c r="BD547" i="6"/>
  <c r="BE547" i="6"/>
  <c r="BF547" i="6"/>
  <c r="BG547" i="6"/>
  <c r="BH547" i="6"/>
  <c r="BI547" i="6"/>
  <c r="BJ547" i="6"/>
  <c r="BK547" i="6"/>
  <c r="BL547" i="6"/>
  <c r="BM547" i="6"/>
  <c r="BN547" i="6"/>
  <c r="BO547" i="6"/>
  <c r="BP547" i="6"/>
  <c r="BD548" i="6"/>
  <c r="BE548" i="6"/>
  <c r="BF548" i="6"/>
  <c r="BG548" i="6"/>
  <c r="BH548" i="6"/>
  <c r="BI548" i="6"/>
  <c r="BJ548" i="6"/>
  <c r="BK548" i="6"/>
  <c r="BL548" i="6"/>
  <c r="BM548" i="6"/>
  <c r="BN548" i="6"/>
  <c r="BO548" i="6"/>
  <c r="BP548" i="6"/>
  <c r="BD549" i="6"/>
  <c r="BE549" i="6"/>
  <c r="BF549" i="6"/>
  <c r="BG549" i="6"/>
  <c r="BH549" i="6"/>
  <c r="BI549" i="6"/>
  <c r="BJ549" i="6"/>
  <c r="BK549" i="6"/>
  <c r="BL549" i="6"/>
  <c r="BM549" i="6"/>
  <c r="BN549" i="6"/>
  <c r="BO549" i="6"/>
  <c r="BP549" i="6"/>
  <c r="BD550" i="6"/>
  <c r="BE550" i="6"/>
  <c r="BF550" i="6"/>
  <c r="BG550" i="6"/>
  <c r="BH550" i="6"/>
  <c r="BI550" i="6"/>
  <c r="BJ550" i="6"/>
  <c r="BK550" i="6"/>
  <c r="BL550" i="6"/>
  <c r="BM550" i="6"/>
  <c r="BN550" i="6"/>
  <c r="BO550" i="6"/>
  <c r="BP550" i="6"/>
  <c r="BD551" i="6"/>
  <c r="BE551" i="6"/>
  <c r="BF551" i="6"/>
  <c r="BG551" i="6"/>
  <c r="BH551" i="6"/>
  <c r="BI551" i="6"/>
  <c r="BJ551" i="6"/>
  <c r="BK551" i="6"/>
  <c r="BL551" i="6"/>
  <c r="BM551" i="6"/>
  <c r="BN551" i="6"/>
  <c r="BO551" i="6"/>
  <c r="BP551" i="6"/>
  <c r="BD552" i="6"/>
  <c r="BE552" i="6"/>
  <c r="BF552" i="6"/>
  <c r="BG552" i="6"/>
  <c r="BH552" i="6"/>
  <c r="BI552" i="6"/>
  <c r="BJ552" i="6"/>
  <c r="BK552" i="6"/>
  <c r="BL552" i="6"/>
  <c r="BM552" i="6"/>
  <c r="BN552" i="6"/>
  <c r="BO552" i="6"/>
  <c r="BP552" i="6"/>
  <c r="BD553" i="6"/>
  <c r="BE553" i="6"/>
  <c r="BF553" i="6"/>
  <c r="BG553" i="6"/>
  <c r="BH553" i="6"/>
  <c r="BI553" i="6"/>
  <c r="BJ553" i="6"/>
  <c r="BK553" i="6"/>
  <c r="BL553" i="6"/>
  <c r="BM553" i="6"/>
  <c r="BN553" i="6"/>
  <c r="BO553" i="6"/>
  <c r="BP553" i="6"/>
  <c r="BD554" i="6"/>
  <c r="BE554" i="6"/>
  <c r="BF554" i="6"/>
  <c r="BG554" i="6"/>
  <c r="BH554" i="6"/>
  <c r="BI554" i="6"/>
  <c r="BJ554" i="6"/>
  <c r="BK554" i="6"/>
  <c r="BL554" i="6"/>
  <c r="BM554" i="6"/>
  <c r="BN554" i="6"/>
  <c r="BO554" i="6"/>
  <c r="BP554" i="6"/>
  <c r="BD555" i="6"/>
  <c r="BE555" i="6"/>
  <c r="BF555" i="6"/>
  <c r="BG555" i="6"/>
  <c r="BH555" i="6"/>
  <c r="BI555" i="6"/>
  <c r="BJ555" i="6"/>
  <c r="BK555" i="6"/>
  <c r="BL555" i="6"/>
  <c r="BM555" i="6"/>
  <c r="BN555" i="6"/>
  <c r="BO555" i="6"/>
  <c r="BP555" i="6"/>
  <c r="BD556" i="6"/>
  <c r="BE556" i="6"/>
  <c r="BF556" i="6"/>
  <c r="BG556" i="6"/>
  <c r="BH556" i="6"/>
  <c r="BI556" i="6"/>
  <c r="BJ556" i="6"/>
  <c r="BK556" i="6"/>
  <c r="BL556" i="6"/>
  <c r="BM556" i="6"/>
  <c r="BN556" i="6"/>
  <c r="BO556" i="6"/>
  <c r="BP556" i="6"/>
  <c r="BD557" i="6"/>
  <c r="BE557" i="6"/>
  <c r="BF557" i="6"/>
  <c r="BG557" i="6"/>
  <c r="BH557" i="6"/>
  <c r="BI557" i="6"/>
  <c r="BJ557" i="6"/>
  <c r="BK557" i="6"/>
  <c r="BL557" i="6"/>
  <c r="BM557" i="6"/>
  <c r="BN557" i="6"/>
  <c r="BO557" i="6"/>
  <c r="BP557" i="6"/>
  <c r="BD558" i="6"/>
  <c r="BE558" i="6"/>
  <c r="BF558" i="6"/>
  <c r="BG558" i="6"/>
  <c r="BH558" i="6"/>
  <c r="BI558" i="6"/>
  <c r="BJ558" i="6"/>
  <c r="BK558" i="6"/>
  <c r="BL558" i="6"/>
  <c r="BM558" i="6"/>
  <c r="BN558" i="6"/>
  <c r="BO558" i="6"/>
  <c r="BP558" i="6"/>
  <c r="BD559" i="6"/>
  <c r="BE559" i="6"/>
  <c r="BF559" i="6"/>
  <c r="BG559" i="6"/>
  <c r="BH559" i="6"/>
  <c r="BI559" i="6"/>
  <c r="BJ559" i="6"/>
  <c r="BK559" i="6"/>
  <c r="BL559" i="6"/>
  <c r="BM559" i="6"/>
  <c r="BN559" i="6"/>
  <c r="BO559" i="6"/>
  <c r="BP559" i="6"/>
  <c r="BD560" i="6"/>
  <c r="BE560" i="6"/>
  <c r="BF560" i="6"/>
  <c r="BG560" i="6"/>
  <c r="BH560" i="6"/>
  <c r="BI560" i="6"/>
  <c r="BJ560" i="6"/>
  <c r="BK560" i="6"/>
  <c r="BL560" i="6"/>
  <c r="BM560" i="6"/>
  <c r="BN560" i="6"/>
  <c r="BO560" i="6"/>
  <c r="BP560" i="6"/>
  <c r="BD561" i="6"/>
  <c r="BE561" i="6"/>
  <c r="BF561" i="6"/>
  <c r="BG561" i="6"/>
  <c r="BH561" i="6"/>
  <c r="BI561" i="6"/>
  <c r="BJ561" i="6"/>
  <c r="BK561" i="6"/>
  <c r="BL561" i="6"/>
  <c r="BM561" i="6"/>
  <c r="BN561" i="6"/>
  <c r="BO561" i="6"/>
  <c r="BP561" i="6"/>
  <c r="BD562" i="6"/>
  <c r="BE562" i="6"/>
  <c r="BF562" i="6"/>
  <c r="BG562" i="6"/>
  <c r="BH562" i="6"/>
  <c r="BI562" i="6"/>
  <c r="BJ562" i="6"/>
  <c r="BK562" i="6"/>
  <c r="BL562" i="6"/>
  <c r="BM562" i="6"/>
  <c r="BN562" i="6"/>
  <c r="BO562" i="6"/>
  <c r="BP562" i="6"/>
  <c r="BD563" i="6"/>
  <c r="BE563" i="6"/>
  <c r="BF563" i="6"/>
  <c r="BG563" i="6"/>
  <c r="BH563" i="6"/>
  <c r="BI563" i="6"/>
  <c r="BJ563" i="6"/>
  <c r="BK563" i="6"/>
  <c r="BL563" i="6"/>
  <c r="BM563" i="6"/>
  <c r="BN563" i="6"/>
  <c r="BO563" i="6"/>
  <c r="BP563" i="6"/>
  <c r="BD564" i="6"/>
  <c r="BE564" i="6"/>
  <c r="BF564" i="6"/>
  <c r="BG564" i="6"/>
  <c r="BH564" i="6"/>
  <c r="BI564" i="6"/>
  <c r="BJ564" i="6"/>
  <c r="BK564" i="6"/>
  <c r="BL564" i="6"/>
  <c r="BM564" i="6"/>
  <c r="BN564" i="6"/>
  <c r="BO564" i="6"/>
  <c r="BP564" i="6"/>
  <c r="BD565" i="6"/>
  <c r="BE565" i="6"/>
  <c r="BF565" i="6"/>
  <c r="BG565" i="6"/>
  <c r="BH565" i="6"/>
  <c r="BI565" i="6"/>
  <c r="BJ565" i="6"/>
  <c r="BK565" i="6"/>
  <c r="BL565" i="6"/>
  <c r="BM565" i="6"/>
  <c r="BN565" i="6"/>
  <c r="BO565" i="6"/>
  <c r="BP565" i="6"/>
  <c r="BD566" i="6"/>
  <c r="BE566" i="6"/>
  <c r="BF566" i="6"/>
  <c r="BG566" i="6"/>
  <c r="BH566" i="6"/>
  <c r="BI566" i="6"/>
  <c r="BJ566" i="6"/>
  <c r="BK566" i="6"/>
  <c r="BL566" i="6"/>
  <c r="BM566" i="6"/>
  <c r="BN566" i="6"/>
  <c r="BO566" i="6"/>
  <c r="BP566" i="6"/>
  <c r="BD567" i="6"/>
  <c r="BE567" i="6"/>
  <c r="BF567" i="6"/>
  <c r="BG567" i="6"/>
  <c r="BH567" i="6"/>
  <c r="BI567" i="6"/>
  <c r="BJ567" i="6"/>
  <c r="BK567" i="6"/>
  <c r="BL567" i="6"/>
  <c r="BM567" i="6"/>
  <c r="BN567" i="6"/>
  <c r="BO567" i="6"/>
  <c r="BP567" i="6"/>
  <c r="BD568" i="6"/>
  <c r="BE568" i="6"/>
  <c r="BF568" i="6"/>
  <c r="BG568" i="6"/>
  <c r="BH568" i="6"/>
  <c r="BI568" i="6"/>
  <c r="BJ568" i="6"/>
  <c r="BK568" i="6"/>
  <c r="BL568" i="6"/>
  <c r="BM568" i="6"/>
  <c r="BN568" i="6"/>
  <c r="BO568" i="6"/>
  <c r="BP568" i="6"/>
  <c r="BD569" i="6"/>
  <c r="BE569" i="6"/>
  <c r="BF569" i="6"/>
  <c r="BG569" i="6"/>
  <c r="BH569" i="6"/>
  <c r="BI569" i="6"/>
  <c r="BJ569" i="6"/>
  <c r="BK569" i="6"/>
  <c r="BL569" i="6"/>
  <c r="BM569" i="6"/>
  <c r="BN569" i="6"/>
  <c r="BO569" i="6"/>
  <c r="BP569" i="6"/>
  <c r="BD570" i="6"/>
  <c r="BE570" i="6"/>
  <c r="BF570" i="6"/>
  <c r="BG570" i="6"/>
  <c r="BH570" i="6"/>
  <c r="BI570" i="6"/>
  <c r="BJ570" i="6"/>
  <c r="BK570" i="6"/>
  <c r="BL570" i="6"/>
  <c r="BM570" i="6"/>
  <c r="BN570" i="6"/>
  <c r="BO570" i="6"/>
  <c r="BP570" i="6"/>
  <c r="BD571" i="6"/>
  <c r="BE571" i="6"/>
  <c r="BF571" i="6"/>
  <c r="BG571" i="6"/>
  <c r="BH571" i="6"/>
  <c r="BI571" i="6"/>
  <c r="BJ571" i="6"/>
  <c r="BK571" i="6"/>
  <c r="BL571" i="6"/>
  <c r="BM571" i="6"/>
  <c r="BN571" i="6"/>
  <c r="BO571" i="6"/>
  <c r="BP571" i="6"/>
  <c r="BD572" i="6"/>
  <c r="BE572" i="6"/>
  <c r="BF572" i="6"/>
  <c r="BG572" i="6"/>
  <c r="BH572" i="6"/>
  <c r="BI572" i="6"/>
  <c r="BJ572" i="6"/>
  <c r="BK572" i="6"/>
  <c r="BL572" i="6"/>
  <c r="BM572" i="6"/>
  <c r="BN572" i="6"/>
  <c r="BO572" i="6"/>
  <c r="BP572" i="6"/>
  <c r="BD573" i="6"/>
  <c r="BE573" i="6"/>
  <c r="BF573" i="6"/>
  <c r="BG573" i="6"/>
  <c r="BH573" i="6"/>
  <c r="BI573" i="6"/>
  <c r="BJ573" i="6"/>
  <c r="BK573" i="6"/>
  <c r="BL573" i="6"/>
  <c r="BM573" i="6"/>
  <c r="BN573" i="6"/>
  <c r="BO573" i="6"/>
  <c r="BP573" i="6"/>
  <c r="BD574" i="6"/>
  <c r="BE574" i="6"/>
  <c r="BF574" i="6"/>
  <c r="BG574" i="6"/>
  <c r="BH574" i="6"/>
  <c r="BI574" i="6"/>
  <c r="BJ574" i="6"/>
  <c r="BK574" i="6"/>
  <c r="BL574" i="6"/>
  <c r="BM574" i="6"/>
  <c r="BN574" i="6"/>
  <c r="BO574" i="6"/>
  <c r="BP574" i="6"/>
  <c r="BD575" i="6"/>
  <c r="BE575" i="6"/>
  <c r="BF575" i="6"/>
  <c r="BG575" i="6"/>
  <c r="BH575" i="6"/>
  <c r="BI575" i="6"/>
  <c r="BJ575" i="6"/>
  <c r="BK575" i="6"/>
  <c r="BL575" i="6"/>
  <c r="BM575" i="6"/>
  <c r="BN575" i="6"/>
  <c r="BO575" i="6"/>
  <c r="BP575" i="6"/>
  <c r="BD576" i="6"/>
  <c r="BE576" i="6"/>
  <c r="BF576" i="6"/>
  <c r="BG576" i="6"/>
  <c r="BH576" i="6"/>
  <c r="BI576" i="6"/>
  <c r="BJ576" i="6"/>
  <c r="BK576" i="6"/>
  <c r="BL576" i="6"/>
  <c r="BM576" i="6"/>
  <c r="BN576" i="6"/>
  <c r="BO576" i="6"/>
  <c r="BP576" i="6"/>
  <c r="BD577" i="6"/>
  <c r="BE577" i="6"/>
  <c r="BF577" i="6"/>
  <c r="BG577" i="6"/>
  <c r="BH577" i="6"/>
  <c r="BI577" i="6"/>
  <c r="BJ577" i="6"/>
  <c r="BK577" i="6"/>
  <c r="BL577" i="6"/>
  <c r="BM577" i="6"/>
  <c r="BN577" i="6"/>
  <c r="BO577" i="6"/>
  <c r="BP577" i="6"/>
  <c r="BD578" i="6"/>
  <c r="BE578" i="6"/>
  <c r="BF578" i="6"/>
  <c r="BG578" i="6"/>
  <c r="BH578" i="6"/>
  <c r="BI578" i="6"/>
  <c r="BJ578" i="6"/>
  <c r="BK578" i="6"/>
  <c r="BL578" i="6"/>
  <c r="BM578" i="6"/>
  <c r="BN578" i="6"/>
  <c r="BO578" i="6"/>
  <c r="BP578" i="6"/>
  <c r="BD579" i="6"/>
  <c r="BE579" i="6"/>
  <c r="BF579" i="6"/>
  <c r="BG579" i="6"/>
  <c r="BH579" i="6"/>
  <c r="BI579" i="6"/>
  <c r="BJ579" i="6"/>
  <c r="BK579" i="6"/>
  <c r="BL579" i="6"/>
  <c r="BM579" i="6"/>
  <c r="BN579" i="6"/>
  <c r="BO579" i="6"/>
  <c r="BP579" i="6"/>
  <c r="BD580" i="6"/>
  <c r="BE580" i="6"/>
  <c r="BF580" i="6"/>
  <c r="BG580" i="6"/>
  <c r="BH580" i="6"/>
  <c r="BI580" i="6"/>
  <c r="BJ580" i="6"/>
  <c r="BK580" i="6"/>
  <c r="BL580" i="6"/>
  <c r="BM580" i="6"/>
  <c r="BN580" i="6"/>
  <c r="BO580" i="6"/>
  <c r="BP580" i="6"/>
  <c r="BD581" i="6"/>
  <c r="BE581" i="6"/>
  <c r="BF581" i="6"/>
  <c r="BG581" i="6"/>
  <c r="BH581" i="6"/>
  <c r="BI581" i="6"/>
  <c r="BJ581" i="6"/>
  <c r="BK581" i="6"/>
  <c r="BL581" i="6"/>
  <c r="BM581" i="6"/>
  <c r="BN581" i="6"/>
  <c r="BO581" i="6"/>
  <c r="BP581" i="6"/>
  <c r="BD582" i="6"/>
  <c r="BE582" i="6"/>
  <c r="BF582" i="6"/>
  <c r="BG582" i="6"/>
  <c r="BH582" i="6"/>
  <c r="BI582" i="6"/>
  <c r="BJ582" i="6"/>
  <c r="BK582" i="6"/>
  <c r="BL582" i="6"/>
  <c r="BM582" i="6"/>
  <c r="BN582" i="6"/>
  <c r="BO582" i="6"/>
  <c r="BP582" i="6"/>
  <c r="BD583" i="6"/>
  <c r="BE583" i="6"/>
  <c r="BF583" i="6"/>
  <c r="BG583" i="6"/>
  <c r="BH583" i="6"/>
  <c r="BI583" i="6"/>
  <c r="BJ583" i="6"/>
  <c r="BK583" i="6"/>
  <c r="BL583" i="6"/>
  <c r="BM583" i="6"/>
  <c r="BN583" i="6"/>
  <c r="BO583" i="6"/>
  <c r="BP583" i="6"/>
  <c r="BD584" i="6"/>
  <c r="BE584" i="6"/>
  <c r="BF584" i="6"/>
  <c r="BG584" i="6"/>
  <c r="BH584" i="6"/>
  <c r="BI584" i="6"/>
  <c r="BJ584" i="6"/>
  <c r="BK584" i="6"/>
  <c r="BL584" i="6"/>
  <c r="BM584" i="6"/>
  <c r="BN584" i="6"/>
  <c r="BO584" i="6"/>
  <c r="BP584" i="6"/>
  <c r="BD585" i="6"/>
  <c r="BE585" i="6"/>
  <c r="BF585" i="6"/>
  <c r="BG585" i="6"/>
  <c r="BH585" i="6"/>
  <c r="BI585" i="6"/>
  <c r="BJ585" i="6"/>
  <c r="BK585" i="6"/>
  <c r="BL585" i="6"/>
  <c r="BM585" i="6"/>
  <c r="BN585" i="6"/>
  <c r="BO585" i="6"/>
  <c r="BP585" i="6"/>
  <c r="BD586" i="6"/>
  <c r="BE586" i="6"/>
  <c r="BF586" i="6"/>
  <c r="BG586" i="6"/>
  <c r="BH586" i="6"/>
  <c r="BI586" i="6"/>
  <c r="BJ586" i="6"/>
  <c r="BK586" i="6"/>
  <c r="BL586" i="6"/>
  <c r="BM586" i="6"/>
  <c r="BN586" i="6"/>
  <c r="BO586" i="6"/>
  <c r="BP586" i="6"/>
  <c r="BD587" i="6"/>
  <c r="BE587" i="6"/>
  <c r="BF587" i="6"/>
  <c r="BG587" i="6"/>
  <c r="BH587" i="6"/>
  <c r="BI587" i="6"/>
  <c r="BJ587" i="6"/>
  <c r="BK587" i="6"/>
  <c r="BL587" i="6"/>
  <c r="BM587" i="6"/>
  <c r="BN587" i="6"/>
  <c r="BO587" i="6"/>
  <c r="BP587" i="6"/>
  <c r="BD588" i="6"/>
  <c r="BE588" i="6"/>
  <c r="BF588" i="6"/>
  <c r="BG588" i="6"/>
  <c r="BH588" i="6"/>
  <c r="BI588" i="6"/>
  <c r="BJ588" i="6"/>
  <c r="BK588" i="6"/>
  <c r="BL588" i="6"/>
  <c r="BM588" i="6"/>
  <c r="BN588" i="6"/>
  <c r="BO588" i="6"/>
  <c r="BP588" i="6"/>
  <c r="BD589" i="6"/>
  <c r="BE589" i="6"/>
  <c r="BF589" i="6"/>
  <c r="BG589" i="6"/>
  <c r="BH589" i="6"/>
  <c r="BI589" i="6"/>
  <c r="BJ589" i="6"/>
  <c r="BK589" i="6"/>
  <c r="BL589" i="6"/>
  <c r="BM589" i="6"/>
  <c r="BN589" i="6"/>
  <c r="BO589" i="6"/>
  <c r="BP589" i="6"/>
  <c r="BD590" i="6"/>
  <c r="BE590" i="6"/>
  <c r="BF590" i="6"/>
  <c r="BG590" i="6"/>
  <c r="BH590" i="6"/>
  <c r="BI590" i="6"/>
  <c r="BJ590" i="6"/>
  <c r="BK590" i="6"/>
  <c r="BL590" i="6"/>
  <c r="BM590" i="6"/>
  <c r="BN590" i="6"/>
  <c r="BO590" i="6"/>
  <c r="BP590" i="6"/>
  <c r="BD591" i="6"/>
  <c r="BE591" i="6"/>
  <c r="BF591" i="6"/>
  <c r="BG591" i="6"/>
  <c r="BH591" i="6"/>
  <c r="BI591" i="6"/>
  <c r="BJ591" i="6"/>
  <c r="BK591" i="6"/>
  <c r="BL591" i="6"/>
  <c r="BM591" i="6"/>
  <c r="BN591" i="6"/>
  <c r="BO591" i="6"/>
  <c r="BP591" i="6"/>
  <c r="BD592" i="6"/>
  <c r="BE592" i="6"/>
  <c r="BF592" i="6"/>
  <c r="BG592" i="6"/>
  <c r="BH592" i="6"/>
  <c r="BI592" i="6"/>
  <c r="BJ592" i="6"/>
  <c r="BK592" i="6"/>
  <c r="BL592" i="6"/>
  <c r="BM592" i="6"/>
  <c r="BN592" i="6"/>
  <c r="BO592" i="6"/>
  <c r="BP592" i="6"/>
  <c r="BD593" i="6"/>
  <c r="BE593" i="6"/>
  <c r="BF593" i="6"/>
  <c r="BG593" i="6"/>
  <c r="BH593" i="6"/>
  <c r="BI593" i="6"/>
  <c r="BJ593" i="6"/>
  <c r="BK593" i="6"/>
  <c r="BL593" i="6"/>
  <c r="BM593" i="6"/>
  <c r="BN593" i="6"/>
  <c r="BO593" i="6"/>
  <c r="BP593" i="6"/>
  <c r="BD594" i="6"/>
  <c r="BE594" i="6"/>
  <c r="BF594" i="6"/>
  <c r="BG594" i="6"/>
  <c r="BH594" i="6"/>
  <c r="BI594" i="6"/>
  <c r="BJ594" i="6"/>
  <c r="BK594" i="6"/>
  <c r="BL594" i="6"/>
  <c r="BM594" i="6"/>
  <c r="BN594" i="6"/>
  <c r="BO594" i="6"/>
  <c r="BP594" i="6"/>
  <c r="BD595" i="6"/>
  <c r="BE595" i="6"/>
  <c r="BF595" i="6"/>
  <c r="BG595" i="6"/>
  <c r="BH595" i="6"/>
  <c r="BI595" i="6"/>
  <c r="BJ595" i="6"/>
  <c r="BK595" i="6"/>
  <c r="BL595" i="6"/>
  <c r="BM595" i="6"/>
  <c r="BN595" i="6"/>
  <c r="BO595" i="6"/>
  <c r="BP595" i="6"/>
  <c r="BD596" i="6"/>
  <c r="BE596" i="6"/>
  <c r="BF596" i="6"/>
  <c r="BG596" i="6"/>
  <c r="BH596" i="6"/>
  <c r="BI596" i="6"/>
  <c r="BJ596" i="6"/>
  <c r="BK596" i="6"/>
  <c r="BL596" i="6"/>
  <c r="BM596" i="6"/>
  <c r="BN596" i="6"/>
  <c r="BO596" i="6"/>
  <c r="BP596" i="6"/>
  <c r="BD597" i="6"/>
  <c r="BE597" i="6"/>
  <c r="BF597" i="6"/>
  <c r="BG597" i="6"/>
  <c r="BH597" i="6"/>
  <c r="BI597" i="6"/>
  <c r="BJ597" i="6"/>
  <c r="BK597" i="6"/>
  <c r="BL597" i="6"/>
  <c r="BM597" i="6"/>
  <c r="BN597" i="6"/>
  <c r="BO597" i="6"/>
  <c r="BP597" i="6"/>
  <c r="BD598" i="6"/>
  <c r="BE598" i="6"/>
  <c r="BF598" i="6"/>
  <c r="BG598" i="6"/>
  <c r="BH598" i="6"/>
  <c r="BI598" i="6"/>
  <c r="BJ598" i="6"/>
  <c r="BK598" i="6"/>
  <c r="BL598" i="6"/>
  <c r="BM598" i="6"/>
  <c r="BN598" i="6"/>
  <c r="BO598" i="6"/>
  <c r="BP598" i="6"/>
  <c r="BD599" i="6"/>
  <c r="BE599" i="6"/>
  <c r="BF599" i="6"/>
  <c r="BG599" i="6"/>
  <c r="BH599" i="6"/>
  <c r="BI599" i="6"/>
  <c r="BJ599" i="6"/>
  <c r="BK599" i="6"/>
  <c r="BL599" i="6"/>
  <c r="BM599" i="6"/>
  <c r="BN599" i="6"/>
  <c r="BO599" i="6"/>
  <c r="BP599" i="6"/>
  <c r="BD600" i="6"/>
  <c r="BE600" i="6"/>
  <c r="BF600" i="6"/>
  <c r="BG600" i="6"/>
  <c r="BH600" i="6"/>
  <c r="BI600" i="6"/>
  <c r="BJ600" i="6"/>
  <c r="BK600" i="6"/>
  <c r="BL600" i="6"/>
  <c r="BM600" i="6"/>
  <c r="BN600" i="6"/>
  <c r="BO600" i="6"/>
  <c r="BP600" i="6"/>
  <c r="BD601" i="6"/>
  <c r="BE601" i="6"/>
  <c r="BF601" i="6"/>
  <c r="BG601" i="6"/>
  <c r="BH601" i="6"/>
  <c r="BI601" i="6"/>
  <c r="BJ601" i="6"/>
  <c r="BK601" i="6"/>
  <c r="BL601" i="6"/>
  <c r="BM601" i="6"/>
  <c r="BN601" i="6"/>
  <c r="BO601" i="6"/>
  <c r="BP601" i="6"/>
  <c r="BD602" i="6"/>
  <c r="BE602" i="6"/>
  <c r="BF602" i="6"/>
  <c r="BG602" i="6"/>
  <c r="BH602" i="6"/>
  <c r="BI602" i="6"/>
  <c r="BJ602" i="6"/>
  <c r="BK602" i="6"/>
  <c r="BL602" i="6"/>
  <c r="BM602" i="6"/>
  <c r="BN602" i="6"/>
  <c r="BO602" i="6"/>
  <c r="BP602" i="6"/>
  <c r="BD603" i="6"/>
  <c r="BE603" i="6"/>
  <c r="BF603" i="6"/>
  <c r="BG603" i="6"/>
  <c r="BH603" i="6"/>
  <c r="BI603" i="6"/>
  <c r="BJ603" i="6"/>
  <c r="BK603" i="6"/>
  <c r="BL603" i="6"/>
  <c r="BM603" i="6"/>
  <c r="BN603" i="6"/>
  <c r="BO603" i="6"/>
  <c r="BP603" i="6"/>
  <c r="BD604" i="6"/>
  <c r="BE604" i="6"/>
  <c r="BF604" i="6"/>
  <c r="BG604" i="6"/>
  <c r="BH604" i="6"/>
  <c r="BI604" i="6"/>
  <c r="BJ604" i="6"/>
  <c r="BK604" i="6"/>
  <c r="BL604" i="6"/>
  <c r="BM604" i="6"/>
  <c r="BN604" i="6"/>
  <c r="BO604" i="6"/>
  <c r="BP604" i="6"/>
  <c r="BD605" i="6"/>
  <c r="BE605" i="6"/>
  <c r="BF605" i="6"/>
  <c r="BG605" i="6"/>
  <c r="BH605" i="6"/>
  <c r="BI605" i="6"/>
  <c r="BJ605" i="6"/>
  <c r="BK605" i="6"/>
  <c r="BL605" i="6"/>
  <c r="BM605" i="6"/>
  <c r="BN605" i="6"/>
  <c r="BO605" i="6"/>
  <c r="BP605" i="6"/>
  <c r="BD606" i="6"/>
  <c r="BE606" i="6"/>
  <c r="BF606" i="6"/>
  <c r="BG606" i="6"/>
  <c r="BH606" i="6"/>
  <c r="BI606" i="6"/>
  <c r="BJ606" i="6"/>
  <c r="BK606" i="6"/>
  <c r="BL606" i="6"/>
  <c r="BM606" i="6"/>
  <c r="BN606" i="6"/>
  <c r="BO606" i="6"/>
  <c r="BP606" i="6"/>
  <c r="BD621" i="6"/>
  <c r="BE621" i="6"/>
  <c r="BF621" i="6"/>
  <c r="BG621" i="6"/>
  <c r="BH621" i="6"/>
  <c r="BI621" i="6"/>
  <c r="BJ621" i="6"/>
  <c r="BK621" i="6"/>
  <c r="BL621" i="6"/>
  <c r="BM621" i="6"/>
  <c r="BN621" i="6"/>
  <c r="BO621" i="6"/>
  <c r="BP621" i="6"/>
  <c r="BD622" i="6"/>
  <c r="BE622" i="6"/>
  <c r="BF622" i="6"/>
  <c r="BG622" i="6"/>
  <c r="BH622" i="6"/>
  <c r="BI622" i="6"/>
  <c r="BJ622" i="6"/>
  <c r="BK622" i="6"/>
  <c r="BL622" i="6"/>
  <c r="BM622" i="6"/>
  <c r="BN622" i="6"/>
  <c r="BO622" i="6"/>
  <c r="BP622" i="6"/>
  <c r="BD623" i="6"/>
  <c r="BE623" i="6"/>
  <c r="BF623" i="6"/>
  <c r="BG623" i="6"/>
  <c r="BH623" i="6"/>
  <c r="BI623" i="6"/>
  <c r="BJ623" i="6"/>
  <c r="BK623" i="6"/>
  <c r="BL623" i="6"/>
  <c r="BM623" i="6"/>
  <c r="BN623" i="6"/>
  <c r="BO623" i="6"/>
  <c r="BP623" i="6"/>
  <c r="BD624" i="6"/>
  <c r="BE624" i="6"/>
  <c r="BF624" i="6"/>
  <c r="BG624" i="6"/>
  <c r="BH624" i="6"/>
  <c r="BI624" i="6"/>
  <c r="BJ624" i="6"/>
  <c r="BK624" i="6"/>
  <c r="BL624" i="6"/>
  <c r="BM624" i="6"/>
  <c r="BN624" i="6"/>
  <c r="BO624" i="6"/>
  <c r="BP624" i="6"/>
  <c r="BD625" i="6"/>
  <c r="BE625" i="6"/>
  <c r="BF625" i="6"/>
  <c r="BG625" i="6"/>
  <c r="BH625" i="6"/>
  <c r="BI625" i="6"/>
  <c r="BJ625" i="6"/>
  <c r="BK625" i="6"/>
  <c r="BL625" i="6"/>
  <c r="BM625" i="6"/>
  <c r="BN625" i="6"/>
  <c r="BO625" i="6"/>
  <c r="BP625" i="6"/>
  <c r="BD626" i="6"/>
  <c r="BE626" i="6"/>
  <c r="BF626" i="6"/>
  <c r="BG626" i="6"/>
  <c r="BH626" i="6"/>
  <c r="BI626" i="6"/>
  <c r="BJ626" i="6"/>
  <c r="BK626" i="6"/>
  <c r="BL626" i="6"/>
  <c r="BM626" i="6"/>
  <c r="BN626" i="6"/>
  <c r="BO626" i="6"/>
  <c r="BP626" i="6"/>
  <c r="BD627" i="6"/>
  <c r="BE627" i="6"/>
  <c r="BF627" i="6"/>
  <c r="BG627" i="6"/>
  <c r="BH627" i="6"/>
  <c r="BI627" i="6"/>
  <c r="BJ627" i="6"/>
  <c r="BK627" i="6"/>
  <c r="BL627" i="6"/>
  <c r="BM627" i="6"/>
  <c r="BN627" i="6"/>
  <c r="BO627" i="6"/>
  <c r="BP627" i="6"/>
  <c r="BD628" i="6"/>
  <c r="BE628" i="6"/>
  <c r="BF628" i="6"/>
  <c r="BG628" i="6"/>
  <c r="BH628" i="6"/>
  <c r="BI628" i="6"/>
  <c r="BJ628" i="6"/>
  <c r="BK628" i="6"/>
  <c r="BL628" i="6"/>
  <c r="BM628" i="6"/>
  <c r="BN628" i="6"/>
  <c r="BO628" i="6"/>
  <c r="BP628" i="6"/>
  <c r="BD629" i="6"/>
  <c r="BE629" i="6"/>
  <c r="BF629" i="6"/>
  <c r="BG629" i="6"/>
  <c r="BH629" i="6"/>
  <c r="BI629" i="6"/>
  <c r="BJ629" i="6"/>
  <c r="BK629" i="6"/>
  <c r="BL629" i="6"/>
  <c r="BM629" i="6"/>
  <c r="BN629" i="6"/>
  <c r="BO629" i="6"/>
  <c r="BP629" i="6"/>
  <c r="BD630" i="6"/>
  <c r="BE630" i="6"/>
  <c r="BF630" i="6"/>
  <c r="BG630" i="6"/>
  <c r="BH630" i="6"/>
  <c r="BI630" i="6"/>
  <c r="BJ630" i="6"/>
  <c r="BK630" i="6"/>
  <c r="BL630" i="6"/>
  <c r="BM630" i="6"/>
  <c r="BN630" i="6"/>
  <c r="BO630" i="6"/>
  <c r="BP630" i="6"/>
  <c r="BD631" i="6"/>
  <c r="BE631" i="6"/>
  <c r="BF631" i="6"/>
  <c r="BG631" i="6"/>
  <c r="BH631" i="6"/>
  <c r="BI631" i="6"/>
  <c r="BJ631" i="6"/>
  <c r="BK631" i="6"/>
  <c r="BL631" i="6"/>
  <c r="BM631" i="6"/>
  <c r="BN631" i="6"/>
  <c r="BO631" i="6"/>
  <c r="BP631" i="6"/>
  <c r="BD632" i="6"/>
  <c r="BE632" i="6"/>
  <c r="BF632" i="6"/>
  <c r="BG632" i="6"/>
  <c r="BH632" i="6"/>
  <c r="BI632" i="6"/>
  <c r="BJ632" i="6"/>
  <c r="BK632" i="6"/>
  <c r="BL632" i="6"/>
  <c r="BM632" i="6"/>
  <c r="BN632" i="6"/>
  <c r="BO632" i="6"/>
  <c r="BP632" i="6"/>
  <c r="BD633" i="6"/>
  <c r="BE633" i="6"/>
  <c r="BF633" i="6"/>
  <c r="BG633" i="6"/>
  <c r="BH633" i="6"/>
  <c r="BI633" i="6"/>
  <c r="BJ633" i="6"/>
  <c r="BK633" i="6"/>
  <c r="BL633" i="6"/>
  <c r="BM633" i="6"/>
  <c r="BN633" i="6"/>
  <c r="BO633" i="6"/>
  <c r="BP633" i="6"/>
  <c r="BD9" i="6"/>
  <c r="BE9" i="6"/>
  <c r="BF9" i="6"/>
  <c r="BG9" i="6"/>
  <c r="BH9" i="6"/>
  <c r="BI9" i="6"/>
  <c r="BJ9" i="6"/>
  <c r="BK9" i="6"/>
  <c r="BL9" i="6"/>
  <c r="BM9" i="6"/>
  <c r="BN9" i="6"/>
  <c r="BO9" i="6"/>
  <c r="BP9" i="6"/>
  <c r="BD10" i="6"/>
  <c r="BE10" i="6"/>
  <c r="BF10" i="6"/>
  <c r="BG10" i="6"/>
  <c r="BH10" i="6"/>
  <c r="BI10" i="6"/>
  <c r="BJ10" i="6"/>
  <c r="BK10" i="6"/>
  <c r="BL10" i="6"/>
  <c r="BM10" i="6"/>
  <c r="BN10" i="6"/>
  <c r="BO10" i="6"/>
  <c r="BP10" i="6"/>
  <c r="BD11" i="6"/>
  <c r="BE11" i="6"/>
  <c r="BF11" i="6"/>
  <c r="BG11" i="6"/>
  <c r="BH11" i="6"/>
  <c r="BI11" i="6"/>
  <c r="BJ11" i="6"/>
  <c r="BK11" i="6"/>
  <c r="BL11" i="6"/>
  <c r="BM11" i="6"/>
  <c r="BN11" i="6"/>
  <c r="BO11" i="6"/>
  <c r="BP11" i="6"/>
  <c r="BD12" i="6"/>
  <c r="BE12" i="6"/>
  <c r="BF12" i="6"/>
  <c r="BG12" i="6"/>
  <c r="BH12" i="6"/>
  <c r="BI12" i="6"/>
  <c r="BJ12" i="6"/>
  <c r="BK12" i="6"/>
  <c r="BL12" i="6"/>
  <c r="BM12" i="6"/>
  <c r="BN12" i="6"/>
  <c r="BO12" i="6"/>
  <c r="BP12" i="6"/>
  <c r="BD13" i="6"/>
  <c r="BE13" i="6"/>
  <c r="BF13" i="6"/>
  <c r="BG13" i="6"/>
  <c r="BH13" i="6"/>
  <c r="BI13" i="6"/>
  <c r="BJ13" i="6"/>
  <c r="BK13" i="6"/>
  <c r="BL13" i="6"/>
  <c r="BM13" i="6"/>
  <c r="BN13" i="6"/>
  <c r="BO13" i="6"/>
  <c r="BP13" i="6"/>
  <c r="BD14" i="6"/>
  <c r="BE14" i="6"/>
  <c r="BF14" i="6"/>
  <c r="BG14" i="6"/>
  <c r="BH14" i="6"/>
  <c r="BI14" i="6"/>
  <c r="BJ14" i="6"/>
  <c r="BK14" i="6"/>
  <c r="BL14" i="6"/>
  <c r="BM14" i="6"/>
  <c r="BN14" i="6"/>
  <c r="BO14" i="6"/>
  <c r="BP14" i="6"/>
  <c r="BD15" i="6"/>
  <c r="BE15" i="6"/>
  <c r="BF15" i="6"/>
  <c r="BG15" i="6"/>
  <c r="BH15" i="6"/>
  <c r="BI15" i="6"/>
  <c r="BJ15" i="6"/>
  <c r="BK15" i="6"/>
  <c r="BL15" i="6"/>
  <c r="BM15" i="6"/>
  <c r="BN15" i="6"/>
  <c r="BO15" i="6"/>
  <c r="BP15" i="6"/>
  <c r="BD16" i="6"/>
  <c r="BE16" i="6"/>
  <c r="BF16" i="6"/>
  <c r="BG16" i="6"/>
  <c r="BH16" i="6"/>
  <c r="BI16" i="6"/>
  <c r="BJ16" i="6"/>
  <c r="BK16" i="6"/>
  <c r="BL16" i="6"/>
  <c r="BM16" i="6"/>
  <c r="BN16" i="6"/>
  <c r="BO16" i="6"/>
  <c r="BP16" i="6"/>
  <c r="BD17" i="6"/>
  <c r="BE17" i="6"/>
  <c r="BF17" i="6"/>
  <c r="BG17" i="6"/>
  <c r="BH17" i="6"/>
  <c r="BI17" i="6"/>
  <c r="BJ17" i="6"/>
  <c r="BK17" i="6"/>
  <c r="BL17" i="6"/>
  <c r="BM17" i="6"/>
  <c r="BN17" i="6"/>
  <c r="BO17" i="6"/>
  <c r="BP17" i="6"/>
  <c r="BD18" i="6"/>
  <c r="BE18" i="6"/>
  <c r="BF18" i="6"/>
  <c r="BG18" i="6"/>
  <c r="BH18" i="6"/>
  <c r="BI18" i="6"/>
  <c r="BJ18" i="6"/>
  <c r="BK18" i="6"/>
  <c r="BL18" i="6"/>
  <c r="BM18" i="6"/>
  <c r="BN18" i="6"/>
  <c r="BO18" i="6"/>
  <c r="BP18" i="6"/>
  <c r="BD19" i="6"/>
  <c r="BE19" i="6"/>
  <c r="BF19" i="6"/>
  <c r="BG19" i="6"/>
  <c r="BH19" i="6"/>
  <c r="BI19" i="6"/>
  <c r="BJ19" i="6"/>
  <c r="BK19" i="6"/>
  <c r="BL19" i="6"/>
  <c r="BM19" i="6"/>
  <c r="BN19" i="6"/>
  <c r="BO19" i="6"/>
  <c r="BP19" i="6"/>
  <c r="BD21" i="6"/>
  <c r="BE21" i="6"/>
  <c r="BF21" i="6"/>
  <c r="BG21" i="6"/>
  <c r="BH21" i="6"/>
  <c r="BI21" i="6"/>
  <c r="BJ21" i="6"/>
  <c r="BK21" i="6"/>
  <c r="BL21" i="6"/>
  <c r="BM21" i="6"/>
  <c r="BN21" i="6"/>
  <c r="BO21" i="6"/>
  <c r="BP21" i="6"/>
  <c r="BD22" i="6"/>
  <c r="BE22" i="6"/>
  <c r="BF22" i="6"/>
  <c r="BG22" i="6"/>
  <c r="BH22" i="6"/>
  <c r="BI22" i="6"/>
  <c r="BJ22" i="6"/>
  <c r="BK22" i="6"/>
  <c r="BL22" i="6"/>
  <c r="BM22" i="6"/>
  <c r="BN22" i="6"/>
  <c r="BO22" i="6"/>
  <c r="BP22" i="6"/>
  <c r="BD23" i="6"/>
  <c r="BE23" i="6"/>
  <c r="BF23" i="6"/>
  <c r="BG23" i="6"/>
  <c r="BH23" i="6"/>
  <c r="BI23" i="6"/>
  <c r="BJ23" i="6"/>
  <c r="BK23" i="6"/>
  <c r="BL23" i="6"/>
  <c r="BM23" i="6"/>
  <c r="BN23" i="6"/>
  <c r="BO23" i="6"/>
  <c r="BP23" i="6"/>
  <c r="BD24" i="6"/>
  <c r="BE24" i="6"/>
  <c r="BF24" i="6"/>
  <c r="BG24" i="6"/>
  <c r="BH24" i="6"/>
  <c r="BI24" i="6"/>
  <c r="BJ24" i="6"/>
  <c r="BK24" i="6"/>
  <c r="BL24" i="6"/>
  <c r="BM24" i="6"/>
  <c r="BN24" i="6"/>
  <c r="BO24" i="6"/>
  <c r="BP24" i="6"/>
  <c r="BD25" i="6"/>
  <c r="BE25" i="6"/>
  <c r="BF25" i="6"/>
  <c r="BG25" i="6"/>
  <c r="BH25" i="6"/>
  <c r="BI25" i="6"/>
  <c r="BJ25" i="6"/>
  <c r="BK25" i="6"/>
  <c r="BL25" i="6"/>
  <c r="BM25" i="6"/>
  <c r="BN25" i="6"/>
  <c r="BO25" i="6"/>
  <c r="BP25" i="6"/>
  <c r="BD26" i="6"/>
  <c r="BE26" i="6"/>
  <c r="BF26" i="6"/>
  <c r="BG26" i="6"/>
  <c r="BH26" i="6"/>
  <c r="BI26" i="6"/>
  <c r="BJ26" i="6"/>
  <c r="BK26" i="6"/>
  <c r="BL26" i="6"/>
  <c r="BM26" i="6"/>
  <c r="BN26" i="6"/>
  <c r="BO26" i="6"/>
  <c r="BP26" i="6"/>
  <c r="BD27" i="6"/>
  <c r="BE27" i="6"/>
  <c r="BF27" i="6"/>
  <c r="BG27" i="6"/>
  <c r="BH27" i="6"/>
  <c r="BI27" i="6"/>
  <c r="BJ27" i="6"/>
  <c r="BK27" i="6"/>
  <c r="BL27" i="6"/>
  <c r="BM27" i="6"/>
  <c r="BN27" i="6"/>
  <c r="BO27" i="6"/>
  <c r="BP27" i="6"/>
  <c r="BD28" i="6"/>
  <c r="BE28" i="6"/>
  <c r="BF28" i="6"/>
  <c r="BG28" i="6"/>
  <c r="BH28" i="6"/>
  <c r="BI28" i="6"/>
  <c r="BJ28" i="6"/>
  <c r="BK28" i="6"/>
  <c r="BL28" i="6"/>
  <c r="BM28" i="6"/>
  <c r="BN28" i="6"/>
  <c r="BO28" i="6"/>
  <c r="BP28" i="6"/>
  <c r="BD29" i="6"/>
  <c r="BE29" i="6"/>
  <c r="BF29" i="6"/>
  <c r="BG29" i="6"/>
  <c r="BH29" i="6"/>
  <c r="BI29" i="6"/>
  <c r="BJ29" i="6"/>
  <c r="BK29" i="6"/>
  <c r="BL29" i="6"/>
  <c r="BM29" i="6"/>
  <c r="BN29" i="6"/>
  <c r="BO29" i="6"/>
  <c r="BP29" i="6"/>
  <c r="BD30" i="6"/>
  <c r="BE30" i="6"/>
  <c r="BF30" i="6"/>
  <c r="BG30" i="6"/>
  <c r="BH30" i="6"/>
  <c r="BI30" i="6"/>
  <c r="BJ30" i="6"/>
  <c r="BK30" i="6"/>
  <c r="BL30" i="6"/>
  <c r="BM30" i="6"/>
  <c r="BN30" i="6"/>
  <c r="BO30" i="6"/>
  <c r="BP30" i="6"/>
  <c r="BD31" i="6"/>
  <c r="BE31" i="6"/>
  <c r="BF31" i="6"/>
  <c r="BG31" i="6"/>
  <c r="BH31" i="6"/>
  <c r="BI31" i="6"/>
  <c r="BJ31" i="6"/>
  <c r="BK31" i="6"/>
  <c r="BL31" i="6"/>
  <c r="BM31" i="6"/>
  <c r="BN31" i="6"/>
  <c r="BO31" i="6"/>
  <c r="BP31" i="6"/>
  <c r="BD32" i="6"/>
  <c r="BE32" i="6"/>
  <c r="BF32" i="6"/>
  <c r="BG32" i="6"/>
  <c r="BH32" i="6"/>
  <c r="BI32" i="6"/>
  <c r="BJ32" i="6"/>
  <c r="BK32" i="6"/>
  <c r="BL32" i="6"/>
  <c r="BM32" i="6"/>
  <c r="BN32" i="6"/>
  <c r="BO32" i="6"/>
  <c r="BP32" i="6"/>
  <c r="BD33" i="6"/>
  <c r="BE33" i="6"/>
  <c r="BF33" i="6"/>
  <c r="BG33" i="6"/>
  <c r="BH33" i="6"/>
  <c r="BI33" i="6"/>
  <c r="BJ33" i="6"/>
  <c r="BK33" i="6"/>
  <c r="BL33" i="6"/>
  <c r="BM33" i="6"/>
  <c r="BN33" i="6"/>
  <c r="BO33" i="6"/>
  <c r="BP33" i="6"/>
  <c r="BD34" i="6"/>
  <c r="BE34" i="6"/>
  <c r="BF34" i="6"/>
  <c r="BG34" i="6"/>
  <c r="BH34" i="6"/>
  <c r="BI34" i="6"/>
  <c r="BJ34" i="6"/>
  <c r="BK34" i="6"/>
  <c r="BL34" i="6"/>
  <c r="BM34" i="6"/>
  <c r="BN34" i="6"/>
  <c r="BO34" i="6"/>
  <c r="BP34" i="6"/>
  <c r="BD35" i="6"/>
  <c r="BE35" i="6"/>
  <c r="BF35" i="6"/>
  <c r="BG35" i="6"/>
  <c r="BH35" i="6"/>
  <c r="BI35" i="6"/>
  <c r="BJ35" i="6"/>
  <c r="BK35" i="6"/>
  <c r="BL35" i="6"/>
  <c r="BM35" i="6"/>
  <c r="BN35" i="6"/>
  <c r="BO35" i="6"/>
  <c r="BP35" i="6"/>
  <c r="BD36" i="6"/>
  <c r="BE36" i="6"/>
  <c r="BF36" i="6"/>
  <c r="BG36" i="6"/>
  <c r="BH36" i="6"/>
  <c r="BI36" i="6"/>
  <c r="BJ36" i="6"/>
  <c r="BK36" i="6"/>
  <c r="BL36" i="6"/>
  <c r="BM36" i="6"/>
  <c r="BN36" i="6"/>
  <c r="BO36" i="6"/>
  <c r="BP36" i="6"/>
  <c r="BD37" i="6"/>
  <c r="BE37" i="6"/>
  <c r="BF37" i="6"/>
  <c r="BG37" i="6"/>
  <c r="BH37" i="6"/>
  <c r="BI37" i="6"/>
  <c r="BJ37" i="6"/>
  <c r="BK37" i="6"/>
  <c r="BL37" i="6"/>
  <c r="BM37" i="6"/>
  <c r="BN37" i="6"/>
  <c r="BO37" i="6"/>
  <c r="BP37" i="6"/>
  <c r="BD38" i="6"/>
  <c r="BE38" i="6"/>
  <c r="BF38" i="6"/>
  <c r="BG38" i="6"/>
  <c r="BH38" i="6"/>
  <c r="BI38" i="6"/>
  <c r="BJ38" i="6"/>
  <c r="BK38" i="6"/>
  <c r="BL38" i="6"/>
  <c r="BM38" i="6"/>
  <c r="BN38" i="6"/>
  <c r="BO38" i="6"/>
  <c r="BP38" i="6"/>
  <c r="BD39" i="6"/>
  <c r="BE39" i="6"/>
  <c r="BF39" i="6"/>
  <c r="BG39" i="6"/>
  <c r="BH39" i="6"/>
  <c r="BI39" i="6"/>
  <c r="BJ39" i="6"/>
  <c r="BK39" i="6"/>
  <c r="BL39" i="6"/>
  <c r="BM39" i="6"/>
  <c r="BN39" i="6"/>
  <c r="BO39" i="6"/>
  <c r="BP39" i="6"/>
  <c r="BD40" i="6"/>
  <c r="BE40" i="6"/>
  <c r="BF40" i="6"/>
  <c r="BG40" i="6"/>
  <c r="BH40" i="6"/>
  <c r="BI40" i="6"/>
  <c r="BJ40" i="6"/>
  <c r="BK40" i="6"/>
  <c r="BL40" i="6"/>
  <c r="BM40" i="6"/>
  <c r="BN40" i="6"/>
  <c r="BO40" i="6"/>
  <c r="BP40" i="6"/>
  <c r="BD41" i="6"/>
  <c r="BE41" i="6"/>
  <c r="BF41" i="6"/>
  <c r="BG41" i="6"/>
  <c r="BH41" i="6"/>
  <c r="BI41" i="6"/>
  <c r="BJ41" i="6"/>
  <c r="BK41" i="6"/>
  <c r="BL41" i="6"/>
  <c r="BM41" i="6"/>
  <c r="BN41" i="6"/>
  <c r="BO41" i="6"/>
  <c r="BP41" i="6"/>
  <c r="BD42" i="6"/>
  <c r="BE42" i="6"/>
  <c r="BF42" i="6"/>
  <c r="BG42" i="6"/>
  <c r="BH42" i="6"/>
  <c r="BI42" i="6"/>
  <c r="BJ42" i="6"/>
  <c r="BK42" i="6"/>
  <c r="BL42" i="6"/>
  <c r="BM42" i="6"/>
  <c r="BN42" i="6"/>
  <c r="BO42" i="6"/>
  <c r="BP42" i="6"/>
  <c r="BD43" i="6"/>
  <c r="BE43" i="6"/>
  <c r="BF43" i="6"/>
  <c r="BG43" i="6"/>
  <c r="BH43" i="6"/>
  <c r="BI43" i="6"/>
  <c r="BJ43" i="6"/>
  <c r="BK43" i="6"/>
  <c r="BL43" i="6"/>
  <c r="BM43" i="6"/>
  <c r="BN43" i="6"/>
  <c r="BO43" i="6"/>
  <c r="BP43" i="6"/>
  <c r="BD44" i="6"/>
  <c r="BE44" i="6"/>
  <c r="BF44" i="6"/>
  <c r="BG44" i="6"/>
  <c r="BH44" i="6"/>
  <c r="BI44" i="6"/>
  <c r="BJ44" i="6"/>
  <c r="BK44" i="6"/>
  <c r="BL44" i="6"/>
  <c r="BM44" i="6"/>
  <c r="BN44" i="6"/>
  <c r="BO44" i="6"/>
  <c r="BP44" i="6"/>
  <c r="BE45" i="6"/>
  <c r="BF45" i="6"/>
  <c r="BG45" i="6"/>
  <c r="BH45" i="6"/>
  <c r="BI45" i="6"/>
  <c r="BJ45" i="6"/>
  <c r="BK45" i="6"/>
  <c r="BL45" i="6"/>
  <c r="BM45" i="6"/>
  <c r="BN45" i="6"/>
  <c r="BO45" i="6"/>
  <c r="BP45" i="6"/>
  <c r="BD46" i="6"/>
  <c r="BE46" i="6"/>
  <c r="BF46" i="6"/>
  <c r="BG46" i="6"/>
  <c r="BH46" i="6"/>
  <c r="BI46" i="6"/>
  <c r="BJ46" i="6"/>
  <c r="BK46" i="6"/>
  <c r="BL46" i="6"/>
  <c r="BM46" i="6"/>
  <c r="BN46" i="6"/>
  <c r="BO46" i="6"/>
  <c r="BP46" i="6"/>
  <c r="BD47" i="6"/>
  <c r="BE47" i="6"/>
  <c r="BF47" i="6"/>
  <c r="BG47" i="6"/>
  <c r="BH47" i="6"/>
  <c r="BI47" i="6"/>
  <c r="BJ47" i="6"/>
  <c r="BK47" i="6"/>
  <c r="BL47" i="6"/>
  <c r="BM47" i="6"/>
  <c r="BN47" i="6"/>
  <c r="BO47" i="6"/>
  <c r="BP47" i="6"/>
  <c r="BD48" i="6"/>
  <c r="BE48" i="6"/>
  <c r="BF48" i="6"/>
  <c r="BG48" i="6"/>
  <c r="BH48" i="6"/>
  <c r="BI48" i="6"/>
  <c r="BJ48" i="6"/>
  <c r="BK48" i="6"/>
  <c r="BL48" i="6"/>
  <c r="BM48" i="6"/>
  <c r="BN48" i="6"/>
  <c r="BO48" i="6"/>
  <c r="BP48" i="6"/>
  <c r="BD49" i="6"/>
  <c r="BE49" i="6"/>
  <c r="BF49" i="6"/>
  <c r="BG49" i="6"/>
  <c r="BH49" i="6"/>
  <c r="BI49" i="6"/>
  <c r="BJ49" i="6"/>
  <c r="BK49" i="6"/>
  <c r="BL49" i="6"/>
  <c r="BM49" i="6"/>
  <c r="BN49" i="6"/>
  <c r="BO49" i="6"/>
  <c r="BP49" i="6"/>
  <c r="BD50" i="6"/>
  <c r="BE50" i="6"/>
  <c r="BF50" i="6"/>
  <c r="BG50" i="6"/>
  <c r="BH50" i="6"/>
  <c r="BI50" i="6"/>
  <c r="BJ50" i="6"/>
  <c r="BK50" i="6"/>
  <c r="BL50" i="6"/>
  <c r="BM50" i="6"/>
  <c r="BN50" i="6"/>
  <c r="BO50" i="6"/>
  <c r="BP50" i="6"/>
  <c r="BD51" i="6"/>
  <c r="BE51" i="6"/>
  <c r="BF51" i="6"/>
  <c r="BG51" i="6"/>
  <c r="BH51" i="6"/>
  <c r="BI51" i="6"/>
  <c r="BJ51" i="6"/>
  <c r="BK51" i="6"/>
  <c r="BL51" i="6"/>
  <c r="BM51" i="6"/>
  <c r="BN51" i="6"/>
  <c r="BO51" i="6"/>
  <c r="BP51" i="6"/>
  <c r="BD52" i="6"/>
  <c r="BE52" i="6"/>
  <c r="BF52" i="6"/>
  <c r="BG52" i="6"/>
  <c r="BH52" i="6"/>
  <c r="BI52" i="6"/>
  <c r="BJ52" i="6"/>
  <c r="BK52" i="6"/>
  <c r="BL52" i="6"/>
  <c r="BM52" i="6"/>
  <c r="BN52" i="6"/>
  <c r="BO52" i="6"/>
  <c r="BP52" i="6"/>
  <c r="BD53" i="6"/>
  <c r="BE53" i="6"/>
  <c r="BF53" i="6"/>
  <c r="BG53" i="6"/>
  <c r="BH53" i="6"/>
  <c r="BI53" i="6"/>
  <c r="BJ53" i="6"/>
  <c r="BK53" i="6"/>
  <c r="BL53" i="6"/>
  <c r="BM53" i="6"/>
  <c r="BN53" i="6"/>
  <c r="BO53" i="6"/>
  <c r="BP53" i="6"/>
  <c r="BD54" i="6"/>
  <c r="BE54" i="6"/>
  <c r="BF54" i="6"/>
  <c r="BG54" i="6"/>
  <c r="BH54" i="6"/>
  <c r="BI54" i="6"/>
  <c r="BJ54" i="6"/>
  <c r="BK54" i="6"/>
  <c r="BL54" i="6"/>
  <c r="BM54" i="6"/>
  <c r="BN54" i="6"/>
  <c r="BO54" i="6"/>
  <c r="BP54" i="6"/>
  <c r="BD55" i="6"/>
  <c r="BE55" i="6"/>
  <c r="BF55" i="6"/>
  <c r="BG55" i="6"/>
  <c r="BH55" i="6"/>
  <c r="BI55" i="6"/>
  <c r="BJ55" i="6"/>
  <c r="BK55" i="6"/>
  <c r="BL55" i="6"/>
  <c r="BM55" i="6"/>
  <c r="BN55" i="6"/>
  <c r="BO55" i="6"/>
  <c r="BP55" i="6"/>
  <c r="BD56" i="6"/>
  <c r="BE56" i="6"/>
  <c r="BF56" i="6"/>
  <c r="BG56" i="6"/>
  <c r="BH56" i="6"/>
  <c r="BI56" i="6"/>
  <c r="BJ56" i="6"/>
  <c r="BK56" i="6"/>
  <c r="BL56" i="6"/>
  <c r="BM56" i="6"/>
  <c r="BN56" i="6"/>
  <c r="BO56" i="6"/>
  <c r="BP56" i="6"/>
  <c r="BD57" i="6"/>
  <c r="BE57" i="6"/>
  <c r="BF57" i="6"/>
  <c r="BG57" i="6"/>
  <c r="BH57" i="6"/>
  <c r="BI57" i="6"/>
  <c r="BJ57" i="6"/>
  <c r="BK57" i="6"/>
  <c r="BL57" i="6"/>
  <c r="BM57" i="6"/>
  <c r="BN57" i="6"/>
  <c r="BO57" i="6"/>
  <c r="BP57" i="6"/>
  <c r="BD58" i="6"/>
  <c r="BE58" i="6"/>
  <c r="BF58" i="6"/>
  <c r="BG58" i="6"/>
  <c r="BH58" i="6"/>
  <c r="BI58" i="6"/>
  <c r="BJ58" i="6"/>
  <c r="BK58" i="6"/>
  <c r="BL58" i="6"/>
  <c r="BM58" i="6"/>
  <c r="BN58" i="6"/>
  <c r="BO58" i="6"/>
  <c r="BP58" i="6"/>
  <c r="BD59" i="6"/>
  <c r="BE59" i="6"/>
  <c r="BF59" i="6"/>
  <c r="BG59" i="6"/>
  <c r="BH59" i="6"/>
  <c r="BI59" i="6"/>
  <c r="BJ59" i="6"/>
  <c r="BK59" i="6"/>
  <c r="BL59" i="6"/>
  <c r="BM59" i="6"/>
  <c r="BN59" i="6"/>
  <c r="BO59" i="6"/>
  <c r="BP59" i="6"/>
  <c r="BD6" i="6"/>
  <c r="BE6" i="6"/>
  <c r="BF6" i="6"/>
  <c r="BG6" i="6"/>
  <c r="BH6" i="6"/>
  <c r="BI6" i="6"/>
  <c r="BJ6" i="6"/>
  <c r="BK6" i="6"/>
  <c r="BL6" i="6"/>
  <c r="BM6" i="6"/>
  <c r="BN6" i="6"/>
  <c r="BO6" i="6"/>
  <c r="BP6" i="6"/>
  <c r="BD7" i="6"/>
  <c r="BE7" i="6"/>
  <c r="BF7" i="6"/>
  <c r="BG7" i="6"/>
  <c r="BH7" i="6"/>
  <c r="BI7" i="6"/>
  <c r="BJ7" i="6"/>
  <c r="BK7" i="6"/>
  <c r="BL7" i="6"/>
  <c r="BM7" i="6"/>
  <c r="BN7" i="6"/>
  <c r="BO7" i="6"/>
  <c r="BP7" i="6"/>
  <c r="BD8" i="6"/>
  <c r="BE8" i="6"/>
  <c r="BF8" i="6"/>
  <c r="BG8" i="6"/>
  <c r="BH8" i="6"/>
  <c r="BI8" i="6"/>
  <c r="BJ8" i="6"/>
  <c r="BK8" i="6"/>
  <c r="BL8" i="6"/>
  <c r="BM8" i="6"/>
  <c r="BN8" i="6"/>
  <c r="BO8" i="6"/>
  <c r="BP8" i="6"/>
  <c r="BD5" i="6"/>
  <c r="BE5" i="6"/>
  <c r="BF5" i="6"/>
  <c r="BG5" i="6"/>
  <c r="BH5" i="6"/>
  <c r="BI5" i="6"/>
  <c r="BJ5" i="6"/>
  <c r="BK5" i="6"/>
  <c r="BL5" i="6"/>
  <c r="BM5" i="6"/>
  <c r="BN5" i="6"/>
  <c r="BO5" i="6"/>
  <c r="BP5" i="6"/>
  <c r="BD4" i="6"/>
  <c r="BE4" i="6"/>
  <c r="BF4" i="6"/>
  <c r="BG4" i="6"/>
  <c r="BH4" i="6"/>
  <c r="BI4" i="6"/>
  <c r="BJ4" i="6"/>
  <c r="BK4" i="6"/>
  <c r="BL4" i="6"/>
  <c r="BM4" i="6"/>
  <c r="BN4" i="6"/>
  <c r="BO4" i="6"/>
  <c r="BP4" i="6"/>
  <c r="BP3" i="6"/>
  <c r="BO3" i="6"/>
  <c r="BN3" i="6"/>
  <c r="BM3" i="6"/>
  <c r="BL3" i="6"/>
  <c r="BK3" i="6"/>
  <c r="BJ3" i="6"/>
  <c r="BI3" i="6"/>
  <c r="BH3" i="6"/>
  <c r="BG3" i="6"/>
  <c r="BF3" i="6"/>
  <c r="BE3" i="6"/>
  <c r="BD3" i="6"/>
  <c r="G584" i="6" l="1"/>
  <c r="G585" i="6"/>
  <c r="G586" i="6"/>
  <c r="G587" i="6"/>
  <c r="G588" i="6"/>
  <c r="G589" i="6"/>
  <c r="G590" i="6"/>
  <c r="G591" i="6"/>
  <c r="G592" i="6"/>
  <c r="G593" i="6"/>
  <c r="G594" i="6"/>
  <c r="G595" i="6"/>
  <c r="G596" i="6"/>
  <c r="G597" i="6"/>
  <c r="G598" i="6"/>
  <c r="G599" i="6"/>
  <c r="G600" i="6"/>
  <c r="G601" i="6"/>
  <c r="G602" i="6"/>
  <c r="G603" i="6"/>
  <c r="G604" i="6"/>
  <c r="G605" i="6"/>
  <c r="G606" i="6"/>
  <c r="G621" i="6"/>
  <c r="G622" i="6"/>
  <c r="G623" i="6"/>
  <c r="G624" i="6"/>
  <c r="G625" i="6"/>
  <c r="G626" i="6"/>
  <c r="G627" i="6"/>
  <c r="G628" i="6"/>
  <c r="G629" i="6"/>
  <c r="G630" i="6"/>
  <c r="G631" i="6"/>
  <c r="G632" i="6"/>
  <c r="G633" i="6"/>
  <c r="G583" i="6"/>
  <c r="G573" i="6"/>
  <c r="G574" i="6"/>
  <c r="G575" i="6"/>
  <c r="G576" i="6"/>
  <c r="G577" i="6"/>
  <c r="G578" i="6"/>
  <c r="G579" i="6"/>
  <c r="G580" i="6"/>
  <c r="G581" i="6"/>
  <c r="G582" i="6"/>
  <c r="G572" i="6"/>
  <c r="AN573" i="6"/>
  <c r="AN574" i="6"/>
  <c r="AN575" i="6"/>
  <c r="AN576" i="6"/>
  <c r="AN577" i="6"/>
  <c r="AN578" i="6"/>
  <c r="AN579" i="6"/>
  <c r="AN580" i="6"/>
  <c r="AN581" i="6"/>
  <c r="AN582" i="6"/>
  <c r="AN572" i="6"/>
  <c r="AN568" i="6"/>
  <c r="AN569" i="6"/>
  <c r="AN570" i="6"/>
  <c r="AN561" i="6"/>
  <c r="AN562" i="6"/>
  <c r="AN563" i="6"/>
  <c r="AN564" i="6"/>
  <c r="AN565" i="6"/>
  <c r="AN566" i="6"/>
  <c r="AN567" i="6"/>
  <c r="AN571" i="6"/>
  <c r="G540"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AN560" i="6"/>
  <c r="AN540" i="6"/>
  <c r="AN545" i="6"/>
  <c r="AN546" i="6"/>
  <c r="AN547" i="6"/>
  <c r="AN548" i="6"/>
  <c r="AN549" i="6"/>
  <c r="AN550" i="6"/>
  <c r="AN551" i="6"/>
  <c r="AN552" i="6"/>
  <c r="AN553" i="6"/>
  <c r="AN554" i="6"/>
  <c r="AN555" i="6"/>
  <c r="AN556" i="6"/>
  <c r="AN557" i="6"/>
  <c r="AN558" i="6"/>
  <c r="AN559" i="6"/>
  <c r="AN539" i="6"/>
  <c r="G539" i="6"/>
  <c r="AN443" i="6"/>
  <c r="AN444" i="6"/>
  <c r="AN445" i="6"/>
  <c r="AN446" i="6"/>
  <c r="AN447" i="6"/>
  <c r="AN448" i="6"/>
  <c r="AN449" i="6"/>
  <c r="AN450" i="6"/>
  <c r="AN451" i="6"/>
  <c r="AN452" i="6"/>
  <c r="AN453" i="6"/>
  <c r="AN454" i="6"/>
  <c r="AN455" i="6"/>
  <c r="AN456" i="6"/>
  <c r="AN457" i="6"/>
  <c r="AN458" i="6"/>
  <c r="AN459" i="6"/>
  <c r="AN460" i="6"/>
  <c r="AN461" i="6"/>
  <c r="AN462" i="6"/>
  <c r="AN463" i="6"/>
  <c r="AN464" i="6"/>
  <c r="AN465" i="6"/>
  <c r="AN466" i="6"/>
  <c r="AN467" i="6"/>
  <c r="AN468" i="6"/>
  <c r="AN469" i="6"/>
  <c r="AN470" i="6"/>
  <c r="AN471" i="6"/>
  <c r="AN472" i="6"/>
  <c r="AN473" i="6"/>
  <c r="AN474" i="6"/>
  <c r="AN475" i="6"/>
  <c r="AN476" i="6"/>
  <c r="AN477" i="6"/>
  <c r="AN478" i="6"/>
  <c r="AN479" i="6"/>
  <c r="AN480" i="6"/>
  <c r="AN481" i="6"/>
  <c r="AN482" i="6"/>
  <c r="AN483" i="6"/>
  <c r="AN484" i="6"/>
  <c r="AN485" i="6"/>
  <c r="AN486" i="6"/>
  <c r="AN487" i="6"/>
  <c r="AN488" i="6"/>
  <c r="AN489" i="6"/>
  <c r="AN490" i="6"/>
  <c r="AN491" i="6"/>
  <c r="AN492" i="6"/>
  <c r="AN493" i="6"/>
  <c r="AN494" i="6"/>
  <c r="AN495" i="6"/>
  <c r="AN496" i="6"/>
  <c r="AN497" i="6"/>
  <c r="AN498" i="6"/>
  <c r="AN501" i="6"/>
  <c r="AN520" i="6"/>
  <c r="AN525" i="6"/>
  <c r="AN526" i="6"/>
  <c r="AN527" i="6"/>
  <c r="AN528" i="6"/>
  <c r="AN529" i="6"/>
  <c r="AN530" i="6"/>
  <c r="AN531" i="6"/>
  <c r="AN534" i="6"/>
  <c r="AN535" i="6"/>
  <c r="AN536" i="6"/>
  <c r="AN537" i="6"/>
  <c r="AN538" i="6"/>
  <c r="AN442" i="6"/>
  <c r="AN157" i="6"/>
  <c r="AN158" i="6"/>
  <c r="AN159" i="6"/>
  <c r="AN160" i="6"/>
  <c r="AN161" i="6"/>
  <c r="AN162" i="6"/>
  <c r="AN163" i="6"/>
  <c r="AN164" i="6"/>
  <c r="AN165" i="6"/>
  <c r="AN166" i="6"/>
  <c r="AN167" i="6"/>
  <c r="AN168" i="6"/>
  <c r="AN169" i="6"/>
  <c r="AN171" i="6"/>
  <c r="AN172" i="6"/>
  <c r="AN174" i="6"/>
  <c r="AN175" i="6"/>
  <c r="AN176" i="6"/>
  <c r="AN177" i="6"/>
  <c r="AN178" i="6"/>
  <c r="AN179" i="6"/>
  <c r="AN180" i="6"/>
  <c r="AN181" i="6"/>
  <c r="AN182" i="6"/>
  <c r="AN184" i="6"/>
  <c r="AN185" i="6"/>
  <c r="AN186" i="6"/>
  <c r="AN187" i="6"/>
  <c r="AN188" i="6"/>
  <c r="AN189" i="6"/>
  <c r="AN190" i="6"/>
  <c r="AN191" i="6"/>
  <c r="AN192" i="6"/>
  <c r="AN193" i="6"/>
  <c r="AN194" i="6"/>
  <c r="AN195" i="6"/>
  <c r="AN196" i="6"/>
  <c r="AN197" i="6"/>
  <c r="AN198" i="6"/>
  <c r="AN199" i="6"/>
  <c r="AN200" i="6"/>
  <c r="AN201" i="6"/>
  <c r="AN202" i="6"/>
  <c r="AN203" i="6"/>
  <c r="AN204" i="6"/>
  <c r="AN205" i="6"/>
  <c r="AN206" i="6"/>
  <c r="AN207" i="6"/>
  <c r="AN208" i="6"/>
  <c r="AN209" i="6"/>
  <c r="AN210" i="6"/>
  <c r="AN211" i="6"/>
  <c r="AN212" i="6"/>
  <c r="AN213" i="6"/>
  <c r="AN214" i="6"/>
  <c r="AN215" i="6"/>
  <c r="AN216" i="6"/>
  <c r="AN217" i="6"/>
  <c r="AN218" i="6"/>
  <c r="AN219" i="6"/>
  <c r="AN220" i="6"/>
  <c r="AN221" i="6"/>
  <c r="AN222" i="6"/>
  <c r="AN223" i="6"/>
  <c r="AN224" i="6"/>
  <c r="AN225" i="6"/>
  <c r="AN226" i="6"/>
  <c r="AN227" i="6"/>
  <c r="AN228" i="6"/>
  <c r="AN229" i="6"/>
  <c r="AN230" i="6"/>
  <c r="AN231" i="6"/>
  <c r="AN232" i="6"/>
  <c r="AN233" i="6"/>
  <c r="AN234" i="6"/>
  <c r="AN235" i="6"/>
  <c r="AN236" i="6"/>
  <c r="AN237" i="6"/>
  <c r="AN238" i="6"/>
  <c r="AN239" i="6"/>
  <c r="AN240" i="6"/>
  <c r="AN241" i="6"/>
  <c r="AN242" i="6"/>
  <c r="AN243" i="6"/>
  <c r="AN244" i="6"/>
  <c r="AN245" i="6"/>
  <c r="AN246" i="6"/>
  <c r="AN247" i="6"/>
  <c r="AN248" i="6"/>
  <c r="AN249" i="6"/>
  <c r="AN250" i="6"/>
  <c r="AN251" i="6"/>
  <c r="AN252" i="6"/>
  <c r="AN253" i="6"/>
  <c r="AN254" i="6"/>
  <c r="AN255" i="6"/>
  <c r="AN256" i="6"/>
  <c r="AN257" i="6"/>
  <c r="AN258" i="6"/>
  <c r="AN259" i="6"/>
  <c r="AN260" i="6"/>
  <c r="AN261" i="6"/>
  <c r="AN262" i="6"/>
  <c r="AN263" i="6"/>
  <c r="AN264" i="6"/>
  <c r="AN265" i="6"/>
  <c r="AN266" i="6"/>
  <c r="AN267" i="6"/>
  <c r="AN268" i="6"/>
  <c r="AN269" i="6"/>
  <c r="AN270" i="6"/>
  <c r="AN271" i="6"/>
  <c r="AN272" i="6"/>
  <c r="AN273" i="6"/>
  <c r="AN274" i="6"/>
  <c r="AN275" i="6"/>
  <c r="AN276" i="6"/>
  <c r="AN277" i="6"/>
  <c r="AN278" i="6"/>
  <c r="AN279" i="6"/>
  <c r="AN280" i="6"/>
  <c r="AN281" i="6"/>
  <c r="AN282" i="6"/>
  <c r="AN283" i="6"/>
  <c r="AN284" i="6"/>
  <c r="AN285" i="6"/>
  <c r="AN286" i="6"/>
  <c r="AN287" i="6"/>
  <c r="AN288" i="6"/>
  <c r="AN289" i="6"/>
  <c r="AN290" i="6"/>
  <c r="AN291" i="6"/>
  <c r="AN292" i="6"/>
  <c r="AN293" i="6"/>
  <c r="AN294" i="6"/>
  <c r="AN295" i="6"/>
  <c r="AN296" i="6"/>
  <c r="AN297" i="6"/>
  <c r="AN298" i="6"/>
  <c r="AN299" i="6"/>
  <c r="AN300" i="6"/>
  <c r="AN301" i="6"/>
  <c r="AN302" i="6"/>
  <c r="AN303" i="6"/>
  <c r="AN304" i="6"/>
  <c r="AN305" i="6"/>
  <c r="AN306" i="6"/>
  <c r="AN307" i="6"/>
  <c r="AN308" i="6"/>
  <c r="AN309" i="6"/>
  <c r="AN310" i="6"/>
  <c r="AN311" i="6"/>
  <c r="AN312" i="6"/>
  <c r="AN313" i="6"/>
  <c r="AN314" i="6"/>
  <c r="AN315" i="6"/>
  <c r="AN316" i="6"/>
  <c r="AN317" i="6"/>
  <c r="AN318" i="6"/>
  <c r="AN319" i="6"/>
  <c r="AN320" i="6"/>
  <c r="AN321" i="6"/>
  <c r="AN322" i="6"/>
  <c r="AN323" i="6"/>
  <c r="AN324" i="6"/>
  <c r="AN325" i="6"/>
  <c r="AN326" i="6"/>
  <c r="AN327" i="6"/>
  <c r="AN328" i="6"/>
  <c r="AN329" i="6"/>
  <c r="AN330" i="6"/>
  <c r="AN331" i="6"/>
  <c r="AN332" i="6"/>
  <c r="AN333" i="6"/>
  <c r="AN334" i="6"/>
  <c r="AN335" i="6"/>
  <c r="AN336" i="6"/>
  <c r="AN337" i="6"/>
  <c r="AN338" i="6"/>
  <c r="AN339" i="6"/>
  <c r="AN340" i="6"/>
  <c r="AN341" i="6"/>
  <c r="AN342" i="6"/>
  <c r="AN343" i="6"/>
  <c r="AN344" i="6"/>
  <c r="AN345" i="6"/>
  <c r="AN346" i="6"/>
  <c r="AN347" i="6"/>
  <c r="AN348" i="6"/>
  <c r="AN349" i="6"/>
  <c r="AN350" i="6"/>
  <c r="AN351" i="6"/>
  <c r="AN352" i="6"/>
  <c r="AN353" i="6"/>
  <c r="AN354" i="6"/>
  <c r="AN355" i="6"/>
  <c r="AN356" i="6"/>
  <c r="AN357" i="6"/>
  <c r="AN358" i="6"/>
  <c r="AN359" i="6"/>
  <c r="AN360" i="6"/>
  <c r="AN361" i="6"/>
  <c r="AN362" i="6"/>
  <c r="AN363" i="6"/>
  <c r="AN364" i="6"/>
  <c r="AN367" i="6"/>
  <c r="AN368" i="6"/>
  <c r="AN370" i="6"/>
  <c r="AN371" i="6"/>
  <c r="AN372" i="6"/>
  <c r="AN373" i="6"/>
  <c r="AN374" i="6"/>
  <c r="AN375" i="6"/>
  <c r="AN376" i="6"/>
  <c r="AN377" i="6"/>
  <c r="AN378" i="6"/>
  <c r="AN379" i="6"/>
  <c r="AN380" i="6"/>
  <c r="AN381" i="6"/>
  <c r="AN382" i="6"/>
  <c r="AN383" i="6"/>
  <c r="AN384" i="6"/>
  <c r="AN385" i="6"/>
  <c r="AN386" i="6"/>
  <c r="AN387" i="6"/>
  <c r="AN388" i="6"/>
  <c r="AN389" i="6"/>
  <c r="AN390" i="6"/>
  <c r="AN391" i="6"/>
  <c r="AN392" i="6"/>
  <c r="AN393" i="6"/>
  <c r="AN394" i="6"/>
  <c r="AN395" i="6"/>
  <c r="AN396" i="6"/>
  <c r="AN397" i="6"/>
  <c r="AN398" i="6"/>
  <c r="AN399" i="6"/>
  <c r="AN400" i="6"/>
  <c r="AN401" i="6"/>
  <c r="AN402" i="6"/>
  <c r="AN403" i="6"/>
  <c r="AN404" i="6"/>
  <c r="AN405" i="6"/>
  <c r="AN406" i="6"/>
  <c r="AN407" i="6"/>
  <c r="AN408" i="6"/>
  <c r="AN409" i="6"/>
  <c r="AN410" i="6"/>
  <c r="AN411" i="6"/>
  <c r="AN412" i="6"/>
  <c r="AN413" i="6"/>
  <c r="AN414" i="6"/>
  <c r="AN415" i="6"/>
  <c r="AN416" i="6"/>
  <c r="AN417" i="6"/>
  <c r="AN418" i="6"/>
  <c r="AN419" i="6"/>
  <c r="AN420" i="6"/>
  <c r="AN421" i="6"/>
  <c r="AN422" i="6"/>
  <c r="AN423" i="6"/>
  <c r="AN424" i="6"/>
  <c r="AN425" i="6"/>
  <c r="AN426" i="6"/>
  <c r="AN427" i="6"/>
  <c r="AN430" i="6"/>
  <c r="AN431" i="6"/>
  <c r="AN432" i="6"/>
  <c r="AN436" i="6"/>
  <c r="AN437" i="6"/>
  <c r="AN440" i="6"/>
  <c r="AN441" i="6"/>
  <c r="AN156" i="6"/>
  <c r="AN84" i="6"/>
  <c r="AN85" i="6"/>
  <c r="AN86" i="6"/>
  <c r="AN87" i="6"/>
  <c r="AN88" i="6"/>
  <c r="AN89" i="6"/>
  <c r="AN90" i="6"/>
  <c r="AN91" i="6"/>
  <c r="AN92" i="6"/>
  <c r="AN93" i="6"/>
  <c r="AN94" i="6"/>
  <c r="AN95" i="6"/>
  <c r="AN96" i="6"/>
  <c r="AN97" i="6"/>
  <c r="AN98" i="6"/>
  <c r="AN99" i="6"/>
  <c r="AN100" i="6"/>
  <c r="AN101" i="6"/>
  <c r="AN102" i="6"/>
  <c r="AN103" i="6"/>
  <c r="AN104" i="6"/>
  <c r="AN105" i="6"/>
  <c r="AN106" i="6"/>
  <c r="AN107" i="6"/>
  <c r="AN108" i="6"/>
  <c r="AN109" i="6"/>
  <c r="AN110" i="6"/>
  <c r="AN111" i="6"/>
  <c r="AN112" i="6"/>
  <c r="AN113" i="6"/>
  <c r="AN114" i="6"/>
  <c r="AN115" i="6"/>
  <c r="AN116" i="6"/>
  <c r="AN117" i="6"/>
  <c r="AN118" i="6"/>
  <c r="AN119" i="6"/>
  <c r="AN120" i="6"/>
  <c r="AN121" i="6"/>
  <c r="AN122" i="6"/>
  <c r="AN123" i="6"/>
  <c r="AN124" i="6"/>
  <c r="AN125" i="6"/>
  <c r="AN126" i="6"/>
  <c r="AN127" i="6"/>
  <c r="AN128" i="6"/>
  <c r="AN129" i="6"/>
  <c r="AN130" i="6"/>
  <c r="AN131" i="6"/>
  <c r="AN132" i="6"/>
  <c r="AN133" i="6"/>
  <c r="AN134" i="6"/>
  <c r="AN135" i="6"/>
  <c r="AN136" i="6"/>
  <c r="AN137" i="6"/>
  <c r="AN138" i="6"/>
  <c r="AN139" i="6"/>
  <c r="AN140" i="6"/>
  <c r="AN141" i="6"/>
  <c r="AN142" i="6"/>
  <c r="AN143" i="6"/>
  <c r="AN144" i="6"/>
  <c r="AN145" i="6"/>
  <c r="AN146" i="6"/>
  <c r="AN147" i="6"/>
  <c r="AN148" i="6"/>
  <c r="AN149" i="6"/>
  <c r="AN150" i="6"/>
  <c r="AN151" i="6"/>
  <c r="AN152" i="6"/>
  <c r="AN153" i="6"/>
  <c r="AN154" i="6"/>
  <c r="AN155" i="6"/>
  <c r="AN5"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4" i="6"/>
  <c r="G505" i="6"/>
  <c r="G506" i="6"/>
  <c r="G507" i="6"/>
  <c r="G508" i="6"/>
  <c r="G509" i="6"/>
  <c r="G510" i="6"/>
  <c r="G511" i="6"/>
  <c r="G513" i="6"/>
  <c r="G514" i="6"/>
  <c r="G516" i="6"/>
  <c r="G520" i="6"/>
  <c r="G525" i="6"/>
  <c r="G526" i="6"/>
  <c r="G527" i="6"/>
  <c r="G528" i="6"/>
  <c r="G529" i="6"/>
  <c r="G530" i="6"/>
  <c r="G531" i="6"/>
  <c r="G534" i="6"/>
  <c r="G535" i="6"/>
  <c r="G536" i="6"/>
  <c r="G537" i="6"/>
  <c r="G538" i="6"/>
  <c r="G442" i="6"/>
  <c r="G157" i="6"/>
  <c r="G158" i="6"/>
  <c r="G159" i="6"/>
  <c r="G160" i="6"/>
  <c r="G161" i="6"/>
  <c r="G162" i="6"/>
  <c r="G163" i="6"/>
  <c r="G164" i="6"/>
  <c r="G165" i="6"/>
  <c r="G166" i="6"/>
  <c r="G167" i="6"/>
  <c r="G168" i="6"/>
  <c r="G169" i="6"/>
  <c r="G171" i="6"/>
  <c r="G172" i="6"/>
  <c r="G174" i="6"/>
  <c r="G175" i="6"/>
  <c r="G176" i="6"/>
  <c r="G177" i="6"/>
  <c r="G178" i="6"/>
  <c r="G179" i="6"/>
  <c r="G180" i="6"/>
  <c r="G181" i="6"/>
  <c r="G182"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7" i="6"/>
  <c r="G368"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30" i="6"/>
  <c r="G431" i="6"/>
  <c r="G432" i="6"/>
  <c r="G436" i="6"/>
  <c r="G437" i="6"/>
  <c r="G438" i="6"/>
  <c r="G439" i="6"/>
  <c r="G440" i="6"/>
  <c r="G441" i="6"/>
  <c r="G156" i="6"/>
  <c r="G4" i="6"/>
  <c r="G5" i="6"/>
  <c r="G6" i="6"/>
  <c r="G7" i="6"/>
  <c r="G8" i="6"/>
  <c r="G9" i="6"/>
  <c r="G10" i="6"/>
  <c r="G11" i="6"/>
  <c r="G12" i="6"/>
  <c r="G13" i="6"/>
  <c r="G14" i="6"/>
  <c r="G15" i="6"/>
  <c r="G16" i="6"/>
  <c r="G17" i="6"/>
  <c r="G18" i="6"/>
  <c r="G19" i="6"/>
  <c r="G21" i="6"/>
  <c r="G22" i="6"/>
  <c r="G23" i="6"/>
  <c r="G24" i="6"/>
  <c r="G25" i="6"/>
  <c r="G26" i="6"/>
  <c r="G27" i="6"/>
  <c r="G28" i="6"/>
  <c r="G29" i="6"/>
  <c r="G30" i="6"/>
  <c r="G31" i="6"/>
  <c r="G32" i="6"/>
  <c r="G33"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3" i="6" l="1"/>
  <c r="B31" i="6" l="1"/>
  <c r="C31" i="6"/>
  <c r="D31" i="6"/>
  <c r="F31" i="6" s="1"/>
  <c r="E31" i="6"/>
  <c r="H31" i="6"/>
  <c r="J31" i="6"/>
  <c r="K31" i="6"/>
  <c r="L31" i="6"/>
  <c r="M31" i="6"/>
  <c r="B32" i="6"/>
  <c r="C32" i="6"/>
  <c r="D32" i="6"/>
  <c r="F32" i="6" s="1"/>
  <c r="E32" i="6"/>
  <c r="H32" i="6"/>
  <c r="J32" i="6"/>
  <c r="K32" i="6"/>
  <c r="L32" i="6"/>
  <c r="M32" i="6"/>
  <c r="B33" i="6"/>
  <c r="C33" i="6"/>
  <c r="D33" i="6"/>
  <c r="F33" i="6" s="1"/>
  <c r="E33" i="6"/>
  <c r="H33" i="6"/>
  <c r="J33" i="6"/>
  <c r="K33" i="6"/>
  <c r="L33" i="6"/>
  <c r="M33" i="6"/>
  <c r="B34" i="6"/>
  <c r="C34" i="6"/>
  <c r="D34" i="6"/>
  <c r="F34" i="6" s="1"/>
  <c r="E34" i="6"/>
  <c r="H34" i="6"/>
  <c r="J34" i="6"/>
  <c r="K34" i="6"/>
  <c r="L34" i="6"/>
  <c r="M34" i="6"/>
  <c r="B35" i="6"/>
  <c r="C35" i="6"/>
  <c r="D35" i="6"/>
  <c r="F35" i="6" s="1"/>
  <c r="E35" i="6"/>
  <c r="H35" i="6"/>
  <c r="J35" i="6"/>
  <c r="K35" i="6"/>
  <c r="L35" i="6"/>
  <c r="M35" i="6"/>
  <c r="B36" i="6"/>
  <c r="C36" i="6"/>
  <c r="D36" i="6"/>
  <c r="F36" i="6" s="1"/>
  <c r="E36" i="6"/>
  <c r="H36" i="6"/>
  <c r="J36" i="6"/>
  <c r="K36" i="6"/>
  <c r="L36" i="6"/>
  <c r="M36" i="6"/>
  <c r="B37" i="6"/>
  <c r="C37" i="6"/>
  <c r="D37" i="6"/>
  <c r="F37" i="6" s="1"/>
  <c r="E37" i="6"/>
  <c r="H37" i="6"/>
  <c r="J37" i="6"/>
  <c r="K37" i="6"/>
  <c r="L37" i="6"/>
  <c r="M37" i="6"/>
  <c r="B38" i="6"/>
  <c r="C38" i="6"/>
  <c r="D38" i="6"/>
  <c r="F38" i="6" s="1"/>
  <c r="E38" i="6"/>
  <c r="H38" i="6"/>
  <c r="J38" i="6"/>
  <c r="K38" i="6"/>
  <c r="L38" i="6"/>
  <c r="M38" i="6"/>
  <c r="B39" i="6"/>
  <c r="C39" i="6"/>
  <c r="D39" i="6"/>
  <c r="F39" i="6" s="1"/>
  <c r="E39" i="6"/>
  <c r="H39" i="6"/>
  <c r="J39" i="6"/>
  <c r="K39" i="6"/>
  <c r="L39" i="6"/>
  <c r="M39" i="6"/>
  <c r="B40" i="6"/>
  <c r="C40" i="6"/>
  <c r="D40" i="6"/>
  <c r="F40" i="6" s="1"/>
  <c r="E40" i="6"/>
  <c r="H40" i="6"/>
  <c r="J40" i="6"/>
  <c r="K40" i="6"/>
  <c r="L40" i="6"/>
  <c r="M40" i="6"/>
  <c r="B41" i="6"/>
  <c r="C41" i="6"/>
  <c r="D41" i="6"/>
  <c r="F41" i="6" s="1"/>
  <c r="E41" i="6"/>
  <c r="H41" i="6"/>
  <c r="J41" i="6"/>
  <c r="K41" i="6"/>
  <c r="L41" i="6"/>
  <c r="M41" i="6"/>
  <c r="B42" i="6"/>
  <c r="C42" i="6"/>
  <c r="D42" i="6"/>
  <c r="F42" i="6" s="1"/>
  <c r="E42" i="6"/>
  <c r="H42" i="6"/>
  <c r="J42" i="6"/>
  <c r="K42" i="6"/>
  <c r="L42" i="6"/>
  <c r="M42" i="6"/>
  <c r="B43" i="6"/>
  <c r="C43" i="6"/>
  <c r="D43" i="6"/>
  <c r="F43" i="6" s="1"/>
  <c r="E43" i="6"/>
  <c r="H43" i="6"/>
  <c r="J43" i="6"/>
  <c r="K43" i="6"/>
  <c r="L43" i="6"/>
  <c r="M43" i="6"/>
  <c r="B44" i="6"/>
  <c r="C44" i="6"/>
  <c r="D44" i="6"/>
  <c r="F44" i="6" s="1"/>
  <c r="E44" i="6"/>
  <c r="H44" i="6"/>
  <c r="J44" i="6"/>
  <c r="K44" i="6"/>
  <c r="L44" i="6"/>
  <c r="M44" i="6"/>
  <c r="B45" i="6"/>
  <c r="C45" i="6"/>
  <c r="D45" i="6"/>
  <c r="F45" i="6" s="1"/>
  <c r="E45" i="6"/>
  <c r="H45" i="6"/>
  <c r="J45" i="6"/>
  <c r="K45" i="6"/>
  <c r="L45" i="6"/>
  <c r="M45" i="6"/>
  <c r="B46" i="6"/>
  <c r="C46" i="6"/>
  <c r="D46" i="6"/>
  <c r="F46" i="6" s="1"/>
  <c r="E46" i="6"/>
  <c r="H46" i="6"/>
  <c r="J46" i="6"/>
  <c r="K46" i="6"/>
  <c r="L46" i="6"/>
  <c r="M46" i="6"/>
  <c r="B47" i="6"/>
  <c r="C47" i="6"/>
  <c r="D47" i="6"/>
  <c r="F47" i="6" s="1"/>
  <c r="E47" i="6"/>
  <c r="H47" i="6"/>
  <c r="J47" i="6"/>
  <c r="K47" i="6"/>
  <c r="L47" i="6"/>
  <c r="M47" i="6"/>
  <c r="B48" i="6"/>
  <c r="C48" i="6"/>
  <c r="D48" i="6"/>
  <c r="F48" i="6" s="1"/>
  <c r="E48" i="6"/>
  <c r="H48" i="6"/>
  <c r="J48" i="6"/>
  <c r="K48" i="6"/>
  <c r="L48" i="6"/>
  <c r="M48" i="6"/>
  <c r="B49" i="6"/>
  <c r="C49" i="6"/>
  <c r="D49" i="6"/>
  <c r="F49" i="6" s="1"/>
  <c r="E49" i="6"/>
  <c r="H49" i="6"/>
  <c r="J49" i="6"/>
  <c r="K49" i="6"/>
  <c r="L49" i="6"/>
  <c r="M49" i="6"/>
  <c r="B50" i="6"/>
  <c r="C50" i="6"/>
  <c r="D50" i="6"/>
  <c r="F50" i="6" s="1"/>
  <c r="E50" i="6"/>
  <c r="H50" i="6"/>
  <c r="J50" i="6"/>
  <c r="K50" i="6"/>
  <c r="L50" i="6"/>
  <c r="M50" i="6"/>
  <c r="B51" i="6"/>
  <c r="C51" i="6"/>
  <c r="D51" i="6"/>
  <c r="F51" i="6" s="1"/>
  <c r="E51" i="6"/>
  <c r="H51" i="6"/>
  <c r="J51" i="6"/>
  <c r="K51" i="6"/>
  <c r="L51" i="6"/>
  <c r="M51" i="6"/>
  <c r="B52" i="6"/>
  <c r="C52" i="6"/>
  <c r="D52" i="6"/>
  <c r="F52" i="6" s="1"/>
  <c r="E52" i="6"/>
  <c r="H52" i="6"/>
  <c r="J52" i="6"/>
  <c r="K52" i="6"/>
  <c r="L52" i="6"/>
  <c r="M52" i="6"/>
  <c r="B53" i="6"/>
  <c r="C53" i="6"/>
  <c r="D53" i="6"/>
  <c r="F53" i="6" s="1"/>
  <c r="E53" i="6"/>
  <c r="H53" i="6"/>
  <c r="J53" i="6"/>
  <c r="K53" i="6"/>
  <c r="L53" i="6"/>
  <c r="M53" i="6"/>
  <c r="B54" i="6"/>
  <c r="C54" i="6"/>
  <c r="D54" i="6"/>
  <c r="F54" i="6" s="1"/>
  <c r="E54" i="6"/>
  <c r="H54" i="6"/>
  <c r="J54" i="6"/>
  <c r="K54" i="6"/>
  <c r="L54" i="6"/>
  <c r="M54" i="6"/>
  <c r="B55" i="6"/>
  <c r="C55" i="6"/>
  <c r="D55" i="6"/>
  <c r="F55" i="6" s="1"/>
  <c r="E55" i="6"/>
  <c r="H55" i="6"/>
  <c r="J55" i="6"/>
  <c r="K55" i="6"/>
  <c r="L55" i="6"/>
  <c r="M55" i="6"/>
  <c r="B56" i="6"/>
  <c r="C56" i="6"/>
  <c r="D56" i="6"/>
  <c r="F56" i="6" s="1"/>
  <c r="E56" i="6"/>
  <c r="H56" i="6"/>
  <c r="J56" i="6"/>
  <c r="K56" i="6"/>
  <c r="L56" i="6"/>
  <c r="M56" i="6"/>
  <c r="B57" i="6"/>
  <c r="C57" i="6"/>
  <c r="D57" i="6"/>
  <c r="F57" i="6" s="1"/>
  <c r="E57" i="6"/>
  <c r="H57" i="6"/>
  <c r="J57" i="6"/>
  <c r="K57" i="6"/>
  <c r="L57" i="6"/>
  <c r="M57" i="6"/>
  <c r="B58" i="6"/>
  <c r="C58" i="6"/>
  <c r="D58" i="6"/>
  <c r="F58" i="6" s="1"/>
  <c r="E58" i="6"/>
  <c r="H58" i="6"/>
  <c r="J58" i="6"/>
  <c r="K58" i="6"/>
  <c r="L58" i="6"/>
  <c r="M58" i="6"/>
  <c r="B59" i="6"/>
  <c r="C59" i="6"/>
  <c r="D59" i="6"/>
  <c r="F59" i="6" s="1"/>
  <c r="E59" i="6"/>
  <c r="H59" i="6"/>
  <c r="J59" i="6"/>
  <c r="K59" i="6"/>
  <c r="L59" i="6"/>
  <c r="M59" i="6"/>
  <c r="B60" i="6"/>
  <c r="C60" i="6"/>
  <c r="D60" i="6"/>
  <c r="F60" i="6" s="1"/>
  <c r="E60" i="6"/>
  <c r="H60" i="6"/>
  <c r="J60" i="6"/>
  <c r="K60" i="6"/>
  <c r="L60" i="6"/>
  <c r="M60" i="6"/>
  <c r="B61" i="6"/>
  <c r="C61" i="6"/>
  <c r="D61" i="6"/>
  <c r="F61" i="6" s="1"/>
  <c r="E61" i="6"/>
  <c r="H61" i="6"/>
  <c r="J61" i="6"/>
  <c r="K61" i="6"/>
  <c r="L61" i="6"/>
  <c r="M61" i="6"/>
  <c r="B62" i="6"/>
  <c r="C62" i="6"/>
  <c r="D62" i="6"/>
  <c r="F62" i="6" s="1"/>
  <c r="E62" i="6"/>
  <c r="H62" i="6"/>
  <c r="J62" i="6"/>
  <c r="K62" i="6"/>
  <c r="L62" i="6"/>
  <c r="M62" i="6"/>
  <c r="B63" i="6"/>
  <c r="C63" i="6"/>
  <c r="D63" i="6"/>
  <c r="F63" i="6" s="1"/>
  <c r="E63" i="6"/>
  <c r="H63" i="6"/>
  <c r="J63" i="6"/>
  <c r="K63" i="6"/>
  <c r="L63" i="6"/>
  <c r="M63" i="6"/>
  <c r="B64" i="6"/>
  <c r="C64" i="6"/>
  <c r="D64" i="6"/>
  <c r="F64" i="6" s="1"/>
  <c r="E64" i="6"/>
  <c r="H64" i="6"/>
  <c r="J64" i="6"/>
  <c r="K64" i="6"/>
  <c r="L64" i="6"/>
  <c r="M64" i="6"/>
  <c r="B65" i="6"/>
  <c r="C65" i="6"/>
  <c r="D65" i="6"/>
  <c r="F65" i="6" s="1"/>
  <c r="E65" i="6"/>
  <c r="H65" i="6"/>
  <c r="J65" i="6"/>
  <c r="K65" i="6"/>
  <c r="L65" i="6"/>
  <c r="M65" i="6"/>
  <c r="B66" i="6"/>
  <c r="F66" i="6"/>
  <c r="E66" i="6"/>
  <c r="H66" i="6"/>
  <c r="J66" i="6"/>
  <c r="K66" i="6"/>
  <c r="L66" i="6"/>
  <c r="M66" i="6"/>
  <c r="B68" i="6"/>
  <c r="C68" i="6"/>
  <c r="D68" i="6"/>
  <c r="F68" i="6" s="1"/>
  <c r="E68" i="6"/>
  <c r="H68" i="6"/>
  <c r="J68" i="6"/>
  <c r="K68" i="6"/>
  <c r="L68" i="6"/>
  <c r="M68" i="6"/>
  <c r="B69" i="6"/>
  <c r="C69" i="6"/>
  <c r="D69" i="6"/>
  <c r="F69" i="6" s="1"/>
  <c r="E69" i="6"/>
  <c r="H69" i="6"/>
  <c r="J69" i="6"/>
  <c r="K69" i="6"/>
  <c r="L69" i="6"/>
  <c r="M69" i="6"/>
  <c r="B71" i="6"/>
  <c r="C71" i="6"/>
  <c r="D71" i="6"/>
  <c r="F71" i="6" s="1"/>
  <c r="E71" i="6"/>
  <c r="H71" i="6"/>
  <c r="J71" i="6"/>
  <c r="K71" i="6"/>
  <c r="L71" i="6"/>
  <c r="M71" i="6"/>
  <c r="B72" i="6"/>
  <c r="C72" i="6"/>
  <c r="D72" i="6"/>
  <c r="F72" i="6" s="1"/>
  <c r="E72" i="6"/>
  <c r="H72" i="6"/>
  <c r="J72" i="6"/>
  <c r="K72" i="6"/>
  <c r="L72" i="6"/>
  <c r="M72" i="6"/>
  <c r="B73" i="6"/>
  <c r="C73" i="6"/>
  <c r="D73" i="6"/>
  <c r="F73" i="6" s="1"/>
  <c r="E73" i="6"/>
  <c r="H73" i="6"/>
  <c r="J73" i="6"/>
  <c r="K73" i="6"/>
  <c r="L73" i="6"/>
  <c r="M73" i="6"/>
  <c r="B74" i="6"/>
  <c r="C74" i="6"/>
  <c r="D74" i="6"/>
  <c r="F74" i="6" s="1"/>
  <c r="E74" i="6"/>
  <c r="H74" i="6"/>
  <c r="J74" i="6"/>
  <c r="K74" i="6"/>
  <c r="L74" i="6"/>
  <c r="M74" i="6"/>
  <c r="B75" i="6"/>
  <c r="C75" i="6"/>
  <c r="D75" i="6"/>
  <c r="F75" i="6" s="1"/>
  <c r="E75" i="6"/>
  <c r="H75" i="6"/>
  <c r="J75" i="6"/>
  <c r="K75" i="6"/>
  <c r="L75" i="6"/>
  <c r="M75" i="6"/>
  <c r="B76" i="6"/>
  <c r="C76" i="6"/>
  <c r="D76" i="6"/>
  <c r="F76" i="6" s="1"/>
  <c r="E76" i="6"/>
  <c r="H76" i="6"/>
  <c r="J76" i="6"/>
  <c r="K76" i="6"/>
  <c r="L76" i="6"/>
  <c r="M76" i="6"/>
  <c r="B77" i="6"/>
  <c r="C77" i="6"/>
  <c r="D77" i="6"/>
  <c r="F77" i="6" s="1"/>
  <c r="E77" i="6"/>
  <c r="H77" i="6"/>
  <c r="J77" i="6"/>
  <c r="K77" i="6"/>
  <c r="L77" i="6"/>
  <c r="M77" i="6"/>
  <c r="B78" i="6"/>
  <c r="C78" i="6"/>
  <c r="D78" i="6"/>
  <c r="F78" i="6" s="1"/>
  <c r="E78" i="6"/>
  <c r="H78" i="6"/>
  <c r="J78" i="6"/>
  <c r="K78" i="6"/>
  <c r="L78" i="6"/>
  <c r="M78" i="6"/>
  <c r="B79" i="6"/>
  <c r="C79" i="6"/>
  <c r="D79" i="6"/>
  <c r="F79" i="6" s="1"/>
  <c r="E79" i="6"/>
  <c r="H79" i="6"/>
  <c r="J79" i="6"/>
  <c r="K79" i="6"/>
  <c r="L79" i="6"/>
  <c r="M79" i="6"/>
  <c r="B80" i="6"/>
  <c r="C80" i="6"/>
  <c r="D80" i="6"/>
  <c r="F80" i="6" s="1"/>
  <c r="E80" i="6"/>
  <c r="H80" i="6"/>
  <c r="J80" i="6"/>
  <c r="K80" i="6"/>
  <c r="L80" i="6"/>
  <c r="M80" i="6"/>
  <c r="B81" i="6"/>
  <c r="C81" i="6"/>
  <c r="D81" i="6"/>
  <c r="F81" i="6" s="1"/>
  <c r="E81" i="6"/>
  <c r="H81" i="6"/>
  <c r="J81" i="6"/>
  <c r="K81" i="6"/>
  <c r="L81" i="6"/>
  <c r="M81" i="6"/>
  <c r="B82" i="6"/>
  <c r="C82" i="6"/>
  <c r="D82" i="6"/>
  <c r="F82" i="6" s="1"/>
  <c r="E82" i="6"/>
  <c r="H82" i="6"/>
  <c r="J82" i="6"/>
  <c r="K82" i="6"/>
  <c r="L82" i="6"/>
  <c r="M82" i="6"/>
  <c r="B83" i="6"/>
  <c r="C83" i="6"/>
  <c r="D83" i="6"/>
  <c r="F83" i="6" s="1"/>
  <c r="E83" i="6"/>
  <c r="H83" i="6"/>
  <c r="J83" i="6"/>
  <c r="K83" i="6"/>
  <c r="L83" i="6"/>
  <c r="M83" i="6"/>
  <c r="B84" i="6"/>
  <c r="C84" i="6"/>
  <c r="D84" i="6"/>
  <c r="F84" i="6" s="1"/>
  <c r="E84" i="6"/>
  <c r="H84" i="6"/>
  <c r="J84" i="6"/>
  <c r="K84" i="6"/>
  <c r="L84" i="6"/>
  <c r="M84" i="6"/>
  <c r="B85" i="6"/>
  <c r="C85" i="6"/>
  <c r="D85" i="6"/>
  <c r="F85" i="6" s="1"/>
  <c r="E85" i="6"/>
  <c r="H85" i="6"/>
  <c r="J85" i="6"/>
  <c r="K85" i="6"/>
  <c r="L85" i="6"/>
  <c r="M85" i="6"/>
  <c r="B86" i="6"/>
  <c r="C86" i="6"/>
  <c r="D86" i="6"/>
  <c r="F86" i="6" s="1"/>
  <c r="E86" i="6"/>
  <c r="H86" i="6"/>
  <c r="J86" i="6"/>
  <c r="K86" i="6"/>
  <c r="L86" i="6"/>
  <c r="M86" i="6"/>
  <c r="B87" i="6"/>
  <c r="C87" i="6"/>
  <c r="D87" i="6"/>
  <c r="F87" i="6" s="1"/>
  <c r="E87" i="6"/>
  <c r="H87" i="6"/>
  <c r="J87" i="6"/>
  <c r="K87" i="6"/>
  <c r="L87" i="6"/>
  <c r="M87" i="6"/>
  <c r="B88" i="6"/>
  <c r="C88" i="6"/>
  <c r="D88" i="6"/>
  <c r="F88" i="6" s="1"/>
  <c r="E88" i="6"/>
  <c r="H88" i="6"/>
  <c r="J88" i="6"/>
  <c r="K88" i="6"/>
  <c r="L88" i="6"/>
  <c r="M88" i="6"/>
  <c r="B89" i="6"/>
  <c r="C89" i="6"/>
  <c r="D89" i="6"/>
  <c r="F89" i="6" s="1"/>
  <c r="E89" i="6"/>
  <c r="H89" i="6"/>
  <c r="J89" i="6"/>
  <c r="K89" i="6"/>
  <c r="L89" i="6"/>
  <c r="M89" i="6"/>
  <c r="B90" i="6"/>
  <c r="C90" i="6"/>
  <c r="D90" i="6"/>
  <c r="F90" i="6" s="1"/>
  <c r="E90" i="6"/>
  <c r="H90" i="6"/>
  <c r="J90" i="6"/>
  <c r="K90" i="6"/>
  <c r="L90" i="6"/>
  <c r="M90" i="6"/>
  <c r="B91" i="6"/>
  <c r="C91" i="6"/>
  <c r="D91" i="6"/>
  <c r="F91" i="6" s="1"/>
  <c r="E91" i="6"/>
  <c r="H91" i="6"/>
  <c r="J91" i="6"/>
  <c r="K91" i="6"/>
  <c r="L91" i="6"/>
  <c r="M91" i="6"/>
  <c r="B92" i="6"/>
  <c r="C92" i="6"/>
  <c r="D92" i="6"/>
  <c r="F92" i="6" s="1"/>
  <c r="E92" i="6"/>
  <c r="H92" i="6"/>
  <c r="J92" i="6"/>
  <c r="K92" i="6"/>
  <c r="L92" i="6"/>
  <c r="M92" i="6"/>
  <c r="B93" i="6"/>
  <c r="C93" i="6"/>
  <c r="D93" i="6"/>
  <c r="F93" i="6" s="1"/>
  <c r="E93" i="6"/>
  <c r="H93" i="6"/>
  <c r="J93" i="6"/>
  <c r="K93" i="6"/>
  <c r="L93" i="6"/>
  <c r="M93" i="6"/>
  <c r="B94" i="6"/>
  <c r="C94" i="6"/>
  <c r="D94" i="6"/>
  <c r="F94" i="6" s="1"/>
  <c r="E94" i="6"/>
  <c r="H94" i="6"/>
  <c r="J94" i="6"/>
  <c r="K94" i="6"/>
  <c r="L94" i="6"/>
  <c r="M94" i="6"/>
  <c r="B95" i="6"/>
  <c r="C95" i="6"/>
  <c r="D95" i="6"/>
  <c r="F95" i="6" s="1"/>
  <c r="E95" i="6"/>
  <c r="H95" i="6"/>
  <c r="J95" i="6"/>
  <c r="K95" i="6"/>
  <c r="L95" i="6"/>
  <c r="M95" i="6"/>
  <c r="B96" i="6"/>
  <c r="C96" i="6"/>
  <c r="D96" i="6"/>
  <c r="F96" i="6" s="1"/>
  <c r="E96" i="6"/>
  <c r="H96" i="6"/>
  <c r="J96" i="6"/>
  <c r="K96" i="6"/>
  <c r="L96" i="6"/>
  <c r="M96" i="6"/>
  <c r="B97" i="6"/>
  <c r="C97" i="6"/>
  <c r="D97" i="6"/>
  <c r="F97" i="6" s="1"/>
  <c r="E97" i="6"/>
  <c r="H97" i="6"/>
  <c r="J97" i="6"/>
  <c r="K97" i="6"/>
  <c r="L97" i="6"/>
  <c r="M97" i="6"/>
  <c r="B98" i="6"/>
  <c r="C98" i="6"/>
  <c r="D98" i="6"/>
  <c r="F98" i="6" s="1"/>
  <c r="E98" i="6"/>
  <c r="H98" i="6"/>
  <c r="J98" i="6"/>
  <c r="K98" i="6"/>
  <c r="L98" i="6"/>
  <c r="M98" i="6"/>
  <c r="B99" i="6"/>
  <c r="C99" i="6"/>
  <c r="D99" i="6"/>
  <c r="F99" i="6" s="1"/>
  <c r="E99" i="6"/>
  <c r="H99" i="6"/>
  <c r="J99" i="6"/>
  <c r="K99" i="6"/>
  <c r="L99" i="6"/>
  <c r="M99" i="6"/>
  <c r="B100" i="6"/>
  <c r="C100" i="6"/>
  <c r="D100" i="6"/>
  <c r="F100" i="6" s="1"/>
  <c r="E100" i="6"/>
  <c r="H100" i="6"/>
  <c r="J100" i="6"/>
  <c r="K100" i="6"/>
  <c r="L100" i="6"/>
  <c r="M100" i="6"/>
  <c r="B101" i="6"/>
  <c r="C101" i="6"/>
  <c r="D101" i="6"/>
  <c r="F101" i="6" s="1"/>
  <c r="E101" i="6"/>
  <c r="H101" i="6"/>
  <c r="J101" i="6"/>
  <c r="K101" i="6"/>
  <c r="L101" i="6"/>
  <c r="M101" i="6"/>
  <c r="B102" i="6"/>
  <c r="C102" i="6"/>
  <c r="D102" i="6"/>
  <c r="F102" i="6" s="1"/>
  <c r="E102" i="6"/>
  <c r="H102" i="6"/>
  <c r="J102" i="6"/>
  <c r="K102" i="6"/>
  <c r="L102" i="6"/>
  <c r="M102" i="6"/>
  <c r="B103" i="6"/>
  <c r="C103" i="6"/>
  <c r="D103" i="6"/>
  <c r="F103" i="6" s="1"/>
  <c r="E103" i="6"/>
  <c r="H103" i="6"/>
  <c r="J103" i="6"/>
  <c r="K103" i="6"/>
  <c r="L103" i="6"/>
  <c r="M103" i="6"/>
  <c r="B104" i="6"/>
  <c r="C104" i="6"/>
  <c r="D104" i="6"/>
  <c r="F104" i="6" s="1"/>
  <c r="E104" i="6"/>
  <c r="H104" i="6"/>
  <c r="J104" i="6"/>
  <c r="K104" i="6"/>
  <c r="L104" i="6"/>
  <c r="M104" i="6"/>
  <c r="B105" i="6"/>
  <c r="C105" i="6"/>
  <c r="D105" i="6"/>
  <c r="F105" i="6" s="1"/>
  <c r="E105" i="6"/>
  <c r="H105" i="6"/>
  <c r="J105" i="6"/>
  <c r="K105" i="6"/>
  <c r="L105" i="6"/>
  <c r="M105" i="6"/>
  <c r="B106" i="6"/>
  <c r="C106" i="6"/>
  <c r="D106" i="6"/>
  <c r="F106" i="6" s="1"/>
  <c r="E106" i="6"/>
  <c r="H106" i="6"/>
  <c r="J106" i="6"/>
  <c r="K106" i="6"/>
  <c r="L106" i="6"/>
  <c r="M106" i="6"/>
  <c r="B107" i="6"/>
  <c r="C107" i="6"/>
  <c r="D107" i="6"/>
  <c r="F107" i="6" s="1"/>
  <c r="E107" i="6"/>
  <c r="H107" i="6"/>
  <c r="J107" i="6"/>
  <c r="K107" i="6"/>
  <c r="L107" i="6"/>
  <c r="M107" i="6"/>
  <c r="B108" i="6"/>
  <c r="C108" i="6"/>
  <c r="D108" i="6"/>
  <c r="F108" i="6" s="1"/>
  <c r="E108" i="6"/>
  <c r="H108" i="6"/>
  <c r="J108" i="6"/>
  <c r="K108" i="6"/>
  <c r="L108" i="6"/>
  <c r="M108" i="6"/>
  <c r="B109" i="6"/>
  <c r="C109" i="6"/>
  <c r="D109" i="6"/>
  <c r="F109" i="6" s="1"/>
  <c r="E109" i="6"/>
  <c r="H109" i="6"/>
  <c r="J109" i="6"/>
  <c r="K109" i="6"/>
  <c r="L109" i="6"/>
  <c r="M109" i="6"/>
  <c r="B110" i="6"/>
  <c r="C110" i="6"/>
  <c r="D110" i="6"/>
  <c r="F110" i="6" s="1"/>
  <c r="E110" i="6"/>
  <c r="H110" i="6"/>
  <c r="J110" i="6"/>
  <c r="K110" i="6"/>
  <c r="L110" i="6"/>
  <c r="M110" i="6"/>
  <c r="B111" i="6"/>
  <c r="C111" i="6"/>
  <c r="D111" i="6"/>
  <c r="F111" i="6" s="1"/>
  <c r="E111" i="6"/>
  <c r="H111" i="6"/>
  <c r="J111" i="6"/>
  <c r="K111" i="6"/>
  <c r="L111" i="6"/>
  <c r="M111" i="6"/>
  <c r="B112" i="6"/>
  <c r="C112" i="6"/>
  <c r="D112" i="6"/>
  <c r="F112" i="6" s="1"/>
  <c r="E112" i="6"/>
  <c r="H112" i="6"/>
  <c r="J112" i="6"/>
  <c r="K112" i="6"/>
  <c r="L112" i="6"/>
  <c r="M112" i="6"/>
  <c r="B113" i="6"/>
  <c r="C113" i="6"/>
  <c r="D113" i="6"/>
  <c r="F113" i="6" s="1"/>
  <c r="E113" i="6"/>
  <c r="H113" i="6"/>
  <c r="J113" i="6"/>
  <c r="K113" i="6"/>
  <c r="L113" i="6"/>
  <c r="M113" i="6"/>
  <c r="B114" i="6"/>
  <c r="C114" i="6"/>
  <c r="D114" i="6"/>
  <c r="F114" i="6" s="1"/>
  <c r="E114" i="6"/>
  <c r="H114" i="6"/>
  <c r="J114" i="6"/>
  <c r="K114" i="6"/>
  <c r="L114" i="6"/>
  <c r="M114" i="6"/>
  <c r="B115" i="6"/>
  <c r="C115" i="6"/>
  <c r="D115" i="6"/>
  <c r="F115" i="6" s="1"/>
  <c r="E115" i="6"/>
  <c r="H115" i="6"/>
  <c r="J115" i="6"/>
  <c r="K115" i="6"/>
  <c r="L115" i="6"/>
  <c r="M115" i="6"/>
  <c r="B116" i="6"/>
  <c r="C116" i="6"/>
  <c r="D116" i="6"/>
  <c r="F116" i="6" s="1"/>
  <c r="E116" i="6"/>
  <c r="H116" i="6"/>
  <c r="J116" i="6"/>
  <c r="K116" i="6"/>
  <c r="L116" i="6"/>
  <c r="M116" i="6"/>
  <c r="B117" i="6"/>
  <c r="C117" i="6"/>
  <c r="D117" i="6"/>
  <c r="F117" i="6" s="1"/>
  <c r="E117" i="6"/>
  <c r="H117" i="6"/>
  <c r="J117" i="6"/>
  <c r="K117" i="6"/>
  <c r="L117" i="6"/>
  <c r="M117" i="6"/>
  <c r="B118" i="6"/>
  <c r="C118" i="6"/>
  <c r="D118" i="6"/>
  <c r="F118" i="6" s="1"/>
  <c r="E118" i="6"/>
  <c r="H118" i="6"/>
  <c r="J118" i="6"/>
  <c r="K118" i="6"/>
  <c r="L118" i="6"/>
  <c r="M118" i="6"/>
  <c r="B119" i="6"/>
  <c r="C119" i="6"/>
  <c r="D119" i="6"/>
  <c r="F119" i="6" s="1"/>
  <c r="E119" i="6"/>
  <c r="H119" i="6"/>
  <c r="J119" i="6"/>
  <c r="K119" i="6"/>
  <c r="L119" i="6"/>
  <c r="M119" i="6"/>
  <c r="B120" i="6"/>
  <c r="C120" i="6"/>
  <c r="D120" i="6"/>
  <c r="F120" i="6" s="1"/>
  <c r="E120" i="6"/>
  <c r="H120" i="6"/>
  <c r="J120" i="6"/>
  <c r="K120" i="6"/>
  <c r="L120" i="6"/>
  <c r="M120" i="6"/>
  <c r="B121" i="6"/>
  <c r="C121" i="6"/>
  <c r="D121" i="6"/>
  <c r="F121" i="6" s="1"/>
  <c r="E121" i="6"/>
  <c r="H121" i="6"/>
  <c r="J121" i="6"/>
  <c r="K121" i="6"/>
  <c r="L121" i="6"/>
  <c r="M121" i="6"/>
  <c r="B122" i="6"/>
  <c r="C122" i="6"/>
  <c r="D122" i="6"/>
  <c r="F122" i="6" s="1"/>
  <c r="E122" i="6"/>
  <c r="H122" i="6"/>
  <c r="J122" i="6"/>
  <c r="K122" i="6"/>
  <c r="L122" i="6"/>
  <c r="M122" i="6"/>
  <c r="B123" i="6"/>
  <c r="C123" i="6"/>
  <c r="D123" i="6"/>
  <c r="F123" i="6" s="1"/>
  <c r="E123" i="6"/>
  <c r="H123" i="6"/>
  <c r="J123" i="6"/>
  <c r="K123" i="6"/>
  <c r="L123" i="6"/>
  <c r="M123" i="6"/>
  <c r="B124" i="6"/>
  <c r="C124" i="6"/>
  <c r="D124" i="6"/>
  <c r="F124" i="6" s="1"/>
  <c r="E124" i="6"/>
  <c r="H124" i="6"/>
  <c r="J124" i="6"/>
  <c r="K124" i="6"/>
  <c r="L124" i="6"/>
  <c r="M124" i="6"/>
  <c r="B125" i="6"/>
  <c r="C125" i="6"/>
  <c r="D125" i="6"/>
  <c r="F125" i="6" s="1"/>
  <c r="E125" i="6"/>
  <c r="H125" i="6"/>
  <c r="J125" i="6"/>
  <c r="K125" i="6"/>
  <c r="L125" i="6"/>
  <c r="M125" i="6"/>
  <c r="B126" i="6"/>
  <c r="C126" i="6"/>
  <c r="D126" i="6"/>
  <c r="F126" i="6" s="1"/>
  <c r="E126" i="6"/>
  <c r="H126" i="6"/>
  <c r="J126" i="6"/>
  <c r="K126" i="6"/>
  <c r="L126" i="6"/>
  <c r="M126" i="6"/>
  <c r="B127" i="6"/>
  <c r="C127" i="6"/>
  <c r="D127" i="6"/>
  <c r="F127" i="6" s="1"/>
  <c r="E127" i="6"/>
  <c r="H127" i="6"/>
  <c r="J127" i="6"/>
  <c r="K127" i="6"/>
  <c r="L127" i="6"/>
  <c r="M127" i="6"/>
  <c r="B128" i="6"/>
  <c r="C128" i="6"/>
  <c r="D128" i="6"/>
  <c r="F128" i="6" s="1"/>
  <c r="E128" i="6"/>
  <c r="H128" i="6"/>
  <c r="J128" i="6"/>
  <c r="K128" i="6"/>
  <c r="L128" i="6"/>
  <c r="M128" i="6"/>
  <c r="B129" i="6"/>
  <c r="C129" i="6"/>
  <c r="D129" i="6"/>
  <c r="F129" i="6" s="1"/>
  <c r="E129" i="6"/>
  <c r="H129" i="6"/>
  <c r="J129" i="6"/>
  <c r="K129" i="6"/>
  <c r="L129" i="6"/>
  <c r="M129" i="6"/>
  <c r="B130" i="6"/>
  <c r="C130" i="6"/>
  <c r="D130" i="6"/>
  <c r="F130" i="6" s="1"/>
  <c r="E130" i="6"/>
  <c r="H130" i="6"/>
  <c r="J130" i="6"/>
  <c r="K130" i="6"/>
  <c r="L130" i="6"/>
  <c r="M130" i="6"/>
  <c r="B131" i="6"/>
  <c r="C131" i="6"/>
  <c r="D131" i="6"/>
  <c r="F131" i="6" s="1"/>
  <c r="E131" i="6"/>
  <c r="H131" i="6"/>
  <c r="J131" i="6"/>
  <c r="K131" i="6"/>
  <c r="L131" i="6"/>
  <c r="M131" i="6"/>
  <c r="B132" i="6"/>
  <c r="C132" i="6"/>
  <c r="D132" i="6"/>
  <c r="F132" i="6" s="1"/>
  <c r="E132" i="6"/>
  <c r="H132" i="6"/>
  <c r="J132" i="6"/>
  <c r="K132" i="6"/>
  <c r="L132" i="6"/>
  <c r="M132" i="6"/>
  <c r="B133" i="6"/>
  <c r="C133" i="6"/>
  <c r="D133" i="6"/>
  <c r="F133" i="6" s="1"/>
  <c r="E133" i="6"/>
  <c r="H133" i="6"/>
  <c r="J133" i="6"/>
  <c r="K133" i="6"/>
  <c r="L133" i="6"/>
  <c r="M133" i="6"/>
  <c r="B134" i="6"/>
  <c r="C134" i="6"/>
  <c r="D134" i="6"/>
  <c r="F134" i="6" s="1"/>
  <c r="E134" i="6"/>
  <c r="H134" i="6"/>
  <c r="J134" i="6"/>
  <c r="K134" i="6"/>
  <c r="L134" i="6"/>
  <c r="M134" i="6"/>
  <c r="B135" i="6"/>
  <c r="C135" i="6"/>
  <c r="D135" i="6"/>
  <c r="F135" i="6" s="1"/>
  <c r="E135" i="6"/>
  <c r="H135" i="6"/>
  <c r="J135" i="6"/>
  <c r="K135" i="6"/>
  <c r="L135" i="6"/>
  <c r="M135" i="6"/>
  <c r="B136" i="6"/>
  <c r="C136" i="6"/>
  <c r="D136" i="6"/>
  <c r="F136" i="6" s="1"/>
  <c r="E136" i="6"/>
  <c r="H136" i="6"/>
  <c r="J136" i="6"/>
  <c r="K136" i="6"/>
  <c r="L136" i="6"/>
  <c r="M136" i="6"/>
  <c r="B137" i="6"/>
  <c r="C137" i="6"/>
  <c r="D137" i="6"/>
  <c r="F137" i="6" s="1"/>
  <c r="E137" i="6"/>
  <c r="H137" i="6"/>
  <c r="J137" i="6"/>
  <c r="K137" i="6"/>
  <c r="L137" i="6"/>
  <c r="M137" i="6"/>
  <c r="B138" i="6"/>
  <c r="C138" i="6"/>
  <c r="D138" i="6"/>
  <c r="F138" i="6" s="1"/>
  <c r="E138" i="6"/>
  <c r="H138" i="6"/>
  <c r="J138" i="6"/>
  <c r="K138" i="6"/>
  <c r="L138" i="6"/>
  <c r="M138" i="6"/>
  <c r="B139" i="6"/>
  <c r="C139" i="6"/>
  <c r="D139" i="6"/>
  <c r="F139" i="6" s="1"/>
  <c r="E139" i="6"/>
  <c r="H139" i="6"/>
  <c r="J139" i="6"/>
  <c r="K139" i="6"/>
  <c r="L139" i="6"/>
  <c r="M139" i="6"/>
  <c r="B140" i="6"/>
  <c r="C140" i="6"/>
  <c r="D140" i="6"/>
  <c r="F140" i="6" s="1"/>
  <c r="E140" i="6"/>
  <c r="H140" i="6"/>
  <c r="J140" i="6"/>
  <c r="K140" i="6"/>
  <c r="L140" i="6"/>
  <c r="M140" i="6"/>
  <c r="B141" i="6"/>
  <c r="C141" i="6"/>
  <c r="D141" i="6"/>
  <c r="F141" i="6" s="1"/>
  <c r="E141" i="6"/>
  <c r="H141" i="6"/>
  <c r="J141" i="6"/>
  <c r="K141" i="6"/>
  <c r="L141" i="6"/>
  <c r="M141" i="6"/>
  <c r="B142" i="6"/>
  <c r="C142" i="6"/>
  <c r="D142" i="6"/>
  <c r="F142" i="6" s="1"/>
  <c r="E142" i="6"/>
  <c r="H142" i="6"/>
  <c r="J142" i="6"/>
  <c r="K142" i="6"/>
  <c r="L142" i="6"/>
  <c r="M142" i="6"/>
  <c r="B143" i="6"/>
  <c r="C143" i="6"/>
  <c r="D143" i="6"/>
  <c r="F143" i="6" s="1"/>
  <c r="E143" i="6"/>
  <c r="H143" i="6"/>
  <c r="J143" i="6"/>
  <c r="K143" i="6"/>
  <c r="L143" i="6"/>
  <c r="M143" i="6"/>
  <c r="B144" i="6"/>
  <c r="C144" i="6"/>
  <c r="D144" i="6"/>
  <c r="F144" i="6" s="1"/>
  <c r="E144" i="6"/>
  <c r="H144" i="6"/>
  <c r="J144" i="6"/>
  <c r="K144" i="6"/>
  <c r="L144" i="6"/>
  <c r="M144" i="6"/>
  <c r="B145" i="6"/>
  <c r="C145" i="6"/>
  <c r="D145" i="6"/>
  <c r="F145" i="6" s="1"/>
  <c r="E145" i="6"/>
  <c r="H145" i="6"/>
  <c r="J145" i="6"/>
  <c r="K145" i="6"/>
  <c r="L145" i="6"/>
  <c r="M145" i="6"/>
  <c r="B146" i="6"/>
  <c r="C146" i="6"/>
  <c r="D146" i="6"/>
  <c r="F146" i="6" s="1"/>
  <c r="E146" i="6"/>
  <c r="H146" i="6"/>
  <c r="J146" i="6"/>
  <c r="K146" i="6"/>
  <c r="L146" i="6"/>
  <c r="M146" i="6"/>
  <c r="B147" i="6"/>
  <c r="C147" i="6"/>
  <c r="D147" i="6"/>
  <c r="F147" i="6" s="1"/>
  <c r="E147" i="6"/>
  <c r="H147" i="6"/>
  <c r="J147" i="6"/>
  <c r="K147" i="6"/>
  <c r="L147" i="6"/>
  <c r="M147" i="6"/>
  <c r="B148" i="6"/>
  <c r="C148" i="6"/>
  <c r="D148" i="6"/>
  <c r="F148" i="6" s="1"/>
  <c r="E148" i="6"/>
  <c r="H148" i="6"/>
  <c r="J148" i="6"/>
  <c r="K148" i="6"/>
  <c r="L148" i="6"/>
  <c r="M148" i="6"/>
  <c r="B149" i="6"/>
  <c r="C149" i="6"/>
  <c r="D149" i="6"/>
  <c r="F149" i="6" s="1"/>
  <c r="E149" i="6"/>
  <c r="H149" i="6"/>
  <c r="J149" i="6"/>
  <c r="K149" i="6"/>
  <c r="L149" i="6"/>
  <c r="M149" i="6"/>
  <c r="B150" i="6"/>
  <c r="C150" i="6"/>
  <c r="D150" i="6"/>
  <c r="F150" i="6" s="1"/>
  <c r="E150" i="6"/>
  <c r="H150" i="6"/>
  <c r="J150" i="6"/>
  <c r="K150" i="6"/>
  <c r="L150" i="6"/>
  <c r="M150" i="6"/>
  <c r="B151" i="6"/>
  <c r="C151" i="6"/>
  <c r="D151" i="6"/>
  <c r="F151" i="6" s="1"/>
  <c r="E151" i="6"/>
  <c r="H151" i="6"/>
  <c r="J151" i="6"/>
  <c r="K151" i="6"/>
  <c r="L151" i="6"/>
  <c r="M151" i="6"/>
  <c r="B152" i="6"/>
  <c r="C152" i="6"/>
  <c r="D152" i="6"/>
  <c r="F152" i="6" s="1"/>
  <c r="E152" i="6"/>
  <c r="H152" i="6"/>
  <c r="J152" i="6"/>
  <c r="K152" i="6"/>
  <c r="L152" i="6"/>
  <c r="M152" i="6"/>
  <c r="B153" i="6"/>
  <c r="C153" i="6"/>
  <c r="D153" i="6"/>
  <c r="F153" i="6" s="1"/>
  <c r="E153" i="6"/>
  <c r="H153" i="6"/>
  <c r="J153" i="6"/>
  <c r="K153" i="6"/>
  <c r="L153" i="6"/>
  <c r="M153" i="6"/>
  <c r="B154" i="6"/>
  <c r="C154" i="6"/>
  <c r="D154" i="6"/>
  <c r="F154" i="6" s="1"/>
  <c r="E154" i="6"/>
  <c r="H154" i="6"/>
  <c r="J154" i="6"/>
  <c r="K154" i="6"/>
  <c r="L154" i="6"/>
  <c r="M154" i="6"/>
  <c r="B155" i="6"/>
  <c r="C155" i="6"/>
  <c r="D155" i="6"/>
  <c r="F155" i="6" s="1"/>
  <c r="E155" i="6"/>
  <c r="H155" i="6"/>
  <c r="J155" i="6"/>
  <c r="K155" i="6"/>
  <c r="L155" i="6"/>
  <c r="M155" i="6"/>
  <c r="B157" i="6"/>
  <c r="C157" i="6"/>
  <c r="D157" i="6"/>
  <c r="F157" i="6" s="1"/>
  <c r="E157" i="6"/>
  <c r="H157" i="6"/>
  <c r="J157" i="6"/>
  <c r="K157" i="6"/>
  <c r="L157" i="6"/>
  <c r="M157" i="6"/>
  <c r="B158" i="6"/>
  <c r="C158" i="6"/>
  <c r="D158" i="6"/>
  <c r="F158" i="6" s="1"/>
  <c r="E158" i="6"/>
  <c r="H158" i="6"/>
  <c r="J158" i="6"/>
  <c r="K158" i="6"/>
  <c r="L158" i="6"/>
  <c r="M158" i="6"/>
  <c r="B159" i="6"/>
  <c r="C159" i="6"/>
  <c r="D159" i="6"/>
  <c r="F159" i="6" s="1"/>
  <c r="E159" i="6"/>
  <c r="H159" i="6"/>
  <c r="J159" i="6"/>
  <c r="K159" i="6"/>
  <c r="L159" i="6"/>
  <c r="M159" i="6"/>
  <c r="B160" i="6"/>
  <c r="C160" i="6"/>
  <c r="D160" i="6"/>
  <c r="F160" i="6" s="1"/>
  <c r="E160" i="6"/>
  <c r="H160" i="6"/>
  <c r="J160" i="6"/>
  <c r="K160" i="6"/>
  <c r="L160" i="6"/>
  <c r="M160" i="6"/>
  <c r="B161" i="6"/>
  <c r="C161" i="6"/>
  <c r="D161" i="6"/>
  <c r="F161" i="6" s="1"/>
  <c r="E161" i="6"/>
  <c r="H161" i="6"/>
  <c r="J161" i="6"/>
  <c r="K161" i="6"/>
  <c r="L161" i="6"/>
  <c r="M161" i="6"/>
  <c r="B162" i="6"/>
  <c r="C162" i="6"/>
  <c r="D162" i="6"/>
  <c r="F162" i="6" s="1"/>
  <c r="E162" i="6"/>
  <c r="H162" i="6"/>
  <c r="J162" i="6"/>
  <c r="K162" i="6"/>
  <c r="L162" i="6"/>
  <c r="M162" i="6"/>
  <c r="B163" i="6"/>
  <c r="C163" i="6"/>
  <c r="D163" i="6"/>
  <c r="F163" i="6" s="1"/>
  <c r="E163" i="6"/>
  <c r="H163" i="6"/>
  <c r="J163" i="6"/>
  <c r="K163" i="6"/>
  <c r="L163" i="6"/>
  <c r="M163" i="6"/>
  <c r="B164" i="6"/>
  <c r="C164" i="6"/>
  <c r="D164" i="6"/>
  <c r="F164" i="6" s="1"/>
  <c r="E164" i="6"/>
  <c r="H164" i="6"/>
  <c r="J164" i="6"/>
  <c r="K164" i="6"/>
  <c r="L164" i="6"/>
  <c r="M164" i="6"/>
  <c r="B165" i="6"/>
  <c r="C165" i="6"/>
  <c r="D165" i="6"/>
  <c r="F165" i="6" s="1"/>
  <c r="E165" i="6"/>
  <c r="H165" i="6"/>
  <c r="J165" i="6"/>
  <c r="K165" i="6"/>
  <c r="L165" i="6"/>
  <c r="M165" i="6"/>
  <c r="B166" i="6"/>
  <c r="C166" i="6"/>
  <c r="D166" i="6"/>
  <c r="F166" i="6" s="1"/>
  <c r="E166" i="6"/>
  <c r="H166" i="6"/>
  <c r="J166" i="6"/>
  <c r="K166" i="6"/>
  <c r="L166" i="6"/>
  <c r="M166" i="6"/>
  <c r="B167" i="6"/>
  <c r="C167" i="6"/>
  <c r="D167" i="6"/>
  <c r="F167" i="6" s="1"/>
  <c r="E167" i="6"/>
  <c r="H167" i="6"/>
  <c r="J167" i="6"/>
  <c r="K167" i="6"/>
  <c r="L167" i="6"/>
  <c r="M167" i="6"/>
  <c r="B168" i="6"/>
  <c r="C168" i="6"/>
  <c r="D168" i="6"/>
  <c r="F168" i="6" s="1"/>
  <c r="E168" i="6"/>
  <c r="H168" i="6"/>
  <c r="J168" i="6"/>
  <c r="K168" i="6"/>
  <c r="L168" i="6"/>
  <c r="M168" i="6"/>
  <c r="B169" i="6"/>
  <c r="C169" i="6"/>
  <c r="D169" i="6"/>
  <c r="F169" i="6" s="1"/>
  <c r="E169" i="6"/>
  <c r="H169" i="6"/>
  <c r="J169" i="6"/>
  <c r="K169" i="6"/>
  <c r="L169" i="6"/>
  <c r="M169" i="6"/>
  <c r="B171" i="6"/>
  <c r="C171" i="6"/>
  <c r="D171" i="6"/>
  <c r="F171" i="6" s="1"/>
  <c r="E171" i="6"/>
  <c r="H171" i="6"/>
  <c r="J171" i="6"/>
  <c r="K171" i="6"/>
  <c r="L171" i="6"/>
  <c r="M171" i="6"/>
  <c r="B172" i="6"/>
  <c r="C172" i="6"/>
  <c r="D172" i="6"/>
  <c r="F172" i="6" s="1"/>
  <c r="E172" i="6"/>
  <c r="H172" i="6"/>
  <c r="J172" i="6"/>
  <c r="K172" i="6"/>
  <c r="L172" i="6"/>
  <c r="M172" i="6"/>
  <c r="B174" i="6"/>
  <c r="C174" i="6"/>
  <c r="D174" i="6"/>
  <c r="F174" i="6" s="1"/>
  <c r="E174" i="6"/>
  <c r="H174" i="6"/>
  <c r="J174" i="6"/>
  <c r="K174" i="6"/>
  <c r="L174" i="6"/>
  <c r="M174" i="6"/>
  <c r="B175" i="6"/>
  <c r="C175" i="6"/>
  <c r="D175" i="6"/>
  <c r="F175" i="6" s="1"/>
  <c r="E175" i="6"/>
  <c r="H175" i="6"/>
  <c r="J175" i="6"/>
  <c r="K175" i="6"/>
  <c r="L175" i="6"/>
  <c r="M175" i="6"/>
  <c r="B176" i="6"/>
  <c r="C176" i="6"/>
  <c r="D176" i="6"/>
  <c r="F176" i="6" s="1"/>
  <c r="E176" i="6"/>
  <c r="H176" i="6"/>
  <c r="J176" i="6"/>
  <c r="K176" i="6"/>
  <c r="L176" i="6"/>
  <c r="M176" i="6"/>
  <c r="B177" i="6"/>
  <c r="C177" i="6"/>
  <c r="D177" i="6"/>
  <c r="F177" i="6" s="1"/>
  <c r="E177" i="6"/>
  <c r="H177" i="6"/>
  <c r="J177" i="6"/>
  <c r="K177" i="6"/>
  <c r="L177" i="6"/>
  <c r="M177" i="6"/>
  <c r="B178" i="6"/>
  <c r="C178" i="6"/>
  <c r="D178" i="6"/>
  <c r="F178" i="6" s="1"/>
  <c r="E178" i="6"/>
  <c r="H178" i="6"/>
  <c r="J178" i="6"/>
  <c r="K178" i="6"/>
  <c r="L178" i="6"/>
  <c r="M178" i="6"/>
  <c r="B179" i="6"/>
  <c r="C179" i="6"/>
  <c r="D179" i="6"/>
  <c r="F179" i="6" s="1"/>
  <c r="E179" i="6"/>
  <c r="H179" i="6"/>
  <c r="J179" i="6"/>
  <c r="K179" i="6"/>
  <c r="L179" i="6"/>
  <c r="M179" i="6"/>
  <c r="B180" i="6"/>
  <c r="C180" i="6"/>
  <c r="D180" i="6"/>
  <c r="F180" i="6" s="1"/>
  <c r="E180" i="6"/>
  <c r="H180" i="6"/>
  <c r="J180" i="6"/>
  <c r="K180" i="6"/>
  <c r="L180" i="6"/>
  <c r="M180" i="6"/>
  <c r="B181" i="6"/>
  <c r="C181" i="6"/>
  <c r="D181" i="6"/>
  <c r="F181" i="6" s="1"/>
  <c r="E181" i="6"/>
  <c r="H181" i="6"/>
  <c r="J181" i="6"/>
  <c r="K181" i="6"/>
  <c r="L181" i="6"/>
  <c r="M181" i="6"/>
  <c r="B182" i="6"/>
  <c r="C182" i="6"/>
  <c r="D182" i="6"/>
  <c r="F182" i="6" s="1"/>
  <c r="E182" i="6"/>
  <c r="H182" i="6"/>
  <c r="J182" i="6"/>
  <c r="K182" i="6"/>
  <c r="L182" i="6"/>
  <c r="M182" i="6"/>
  <c r="B184" i="6"/>
  <c r="C184" i="6"/>
  <c r="D184" i="6"/>
  <c r="F184" i="6" s="1"/>
  <c r="E184" i="6"/>
  <c r="H184" i="6"/>
  <c r="J184" i="6"/>
  <c r="K184" i="6"/>
  <c r="L184" i="6"/>
  <c r="M184" i="6"/>
  <c r="B185" i="6"/>
  <c r="C185" i="6"/>
  <c r="D185" i="6"/>
  <c r="F185" i="6" s="1"/>
  <c r="E185" i="6"/>
  <c r="H185" i="6"/>
  <c r="J185" i="6"/>
  <c r="K185" i="6"/>
  <c r="L185" i="6"/>
  <c r="M185" i="6"/>
  <c r="B186" i="6"/>
  <c r="C186" i="6"/>
  <c r="D186" i="6"/>
  <c r="F186" i="6" s="1"/>
  <c r="E186" i="6"/>
  <c r="H186" i="6"/>
  <c r="J186" i="6"/>
  <c r="K186" i="6"/>
  <c r="L186" i="6"/>
  <c r="M186" i="6"/>
  <c r="B187" i="6"/>
  <c r="C187" i="6"/>
  <c r="D187" i="6"/>
  <c r="F187" i="6" s="1"/>
  <c r="E187" i="6"/>
  <c r="H187" i="6"/>
  <c r="J187" i="6"/>
  <c r="K187" i="6"/>
  <c r="L187" i="6"/>
  <c r="M187" i="6"/>
  <c r="B188" i="6"/>
  <c r="C188" i="6"/>
  <c r="D188" i="6"/>
  <c r="F188" i="6" s="1"/>
  <c r="E188" i="6"/>
  <c r="H188" i="6"/>
  <c r="J188" i="6"/>
  <c r="K188" i="6"/>
  <c r="L188" i="6"/>
  <c r="M188" i="6"/>
  <c r="B189" i="6"/>
  <c r="C189" i="6"/>
  <c r="D189" i="6"/>
  <c r="F189" i="6" s="1"/>
  <c r="E189" i="6"/>
  <c r="H189" i="6"/>
  <c r="J189" i="6"/>
  <c r="K189" i="6"/>
  <c r="L189" i="6"/>
  <c r="M189" i="6"/>
  <c r="B190" i="6"/>
  <c r="C190" i="6"/>
  <c r="D190" i="6"/>
  <c r="F190" i="6" s="1"/>
  <c r="E190" i="6"/>
  <c r="H190" i="6"/>
  <c r="J190" i="6"/>
  <c r="K190" i="6"/>
  <c r="L190" i="6"/>
  <c r="M190" i="6"/>
  <c r="B191" i="6"/>
  <c r="C191" i="6"/>
  <c r="D191" i="6"/>
  <c r="F191" i="6" s="1"/>
  <c r="E191" i="6"/>
  <c r="H191" i="6"/>
  <c r="J191" i="6"/>
  <c r="K191" i="6"/>
  <c r="L191" i="6"/>
  <c r="M191" i="6"/>
  <c r="B192" i="6"/>
  <c r="C192" i="6"/>
  <c r="D192" i="6"/>
  <c r="F192" i="6" s="1"/>
  <c r="E192" i="6"/>
  <c r="H192" i="6"/>
  <c r="J192" i="6"/>
  <c r="K192" i="6"/>
  <c r="L192" i="6"/>
  <c r="M192" i="6"/>
  <c r="B193" i="6"/>
  <c r="C193" i="6"/>
  <c r="D193" i="6"/>
  <c r="F193" i="6" s="1"/>
  <c r="E193" i="6"/>
  <c r="H193" i="6"/>
  <c r="J193" i="6"/>
  <c r="K193" i="6"/>
  <c r="L193" i="6"/>
  <c r="M193" i="6"/>
  <c r="B194" i="6"/>
  <c r="C194" i="6"/>
  <c r="D194" i="6"/>
  <c r="F194" i="6" s="1"/>
  <c r="E194" i="6"/>
  <c r="H194" i="6"/>
  <c r="J194" i="6"/>
  <c r="K194" i="6"/>
  <c r="L194" i="6"/>
  <c r="M194" i="6"/>
  <c r="B195" i="6"/>
  <c r="C195" i="6"/>
  <c r="D195" i="6"/>
  <c r="F195" i="6" s="1"/>
  <c r="E195" i="6"/>
  <c r="H195" i="6"/>
  <c r="J195" i="6"/>
  <c r="K195" i="6"/>
  <c r="L195" i="6"/>
  <c r="M195" i="6"/>
  <c r="B196" i="6"/>
  <c r="C196" i="6"/>
  <c r="D196" i="6"/>
  <c r="F196" i="6" s="1"/>
  <c r="E196" i="6"/>
  <c r="H196" i="6"/>
  <c r="J196" i="6"/>
  <c r="K196" i="6"/>
  <c r="L196" i="6"/>
  <c r="M196" i="6"/>
  <c r="B197" i="6"/>
  <c r="C197" i="6"/>
  <c r="D197" i="6"/>
  <c r="F197" i="6" s="1"/>
  <c r="E197" i="6"/>
  <c r="H197" i="6"/>
  <c r="J197" i="6"/>
  <c r="K197" i="6"/>
  <c r="L197" i="6"/>
  <c r="M197" i="6"/>
  <c r="B198" i="6"/>
  <c r="C198" i="6"/>
  <c r="D198" i="6"/>
  <c r="F198" i="6" s="1"/>
  <c r="E198" i="6"/>
  <c r="H198" i="6"/>
  <c r="J198" i="6"/>
  <c r="K198" i="6"/>
  <c r="L198" i="6"/>
  <c r="M198" i="6"/>
  <c r="B199" i="6"/>
  <c r="C199" i="6"/>
  <c r="D199" i="6"/>
  <c r="F199" i="6" s="1"/>
  <c r="E199" i="6"/>
  <c r="H199" i="6"/>
  <c r="J199" i="6"/>
  <c r="K199" i="6"/>
  <c r="L199" i="6"/>
  <c r="M199" i="6"/>
  <c r="B200" i="6"/>
  <c r="C200" i="6"/>
  <c r="D200" i="6"/>
  <c r="F200" i="6" s="1"/>
  <c r="E200" i="6"/>
  <c r="H200" i="6"/>
  <c r="J200" i="6"/>
  <c r="K200" i="6"/>
  <c r="L200" i="6"/>
  <c r="M200" i="6"/>
  <c r="B201" i="6"/>
  <c r="C201" i="6"/>
  <c r="D201" i="6"/>
  <c r="F201" i="6" s="1"/>
  <c r="E201" i="6"/>
  <c r="H201" i="6"/>
  <c r="J201" i="6"/>
  <c r="K201" i="6"/>
  <c r="L201" i="6"/>
  <c r="M201" i="6"/>
  <c r="B202" i="6"/>
  <c r="C202" i="6"/>
  <c r="D202" i="6"/>
  <c r="F202" i="6" s="1"/>
  <c r="E202" i="6"/>
  <c r="H202" i="6"/>
  <c r="J202" i="6"/>
  <c r="K202" i="6"/>
  <c r="L202" i="6"/>
  <c r="M202" i="6"/>
  <c r="B203" i="6"/>
  <c r="C203" i="6"/>
  <c r="D203" i="6"/>
  <c r="F203" i="6" s="1"/>
  <c r="E203" i="6"/>
  <c r="H203" i="6"/>
  <c r="J203" i="6"/>
  <c r="K203" i="6"/>
  <c r="L203" i="6"/>
  <c r="M203" i="6"/>
  <c r="B204" i="6"/>
  <c r="C204" i="6"/>
  <c r="D204" i="6"/>
  <c r="F204" i="6" s="1"/>
  <c r="E204" i="6"/>
  <c r="H204" i="6"/>
  <c r="J204" i="6"/>
  <c r="K204" i="6"/>
  <c r="L204" i="6"/>
  <c r="M204" i="6"/>
  <c r="B205" i="6"/>
  <c r="C205" i="6"/>
  <c r="D205" i="6"/>
  <c r="F205" i="6" s="1"/>
  <c r="E205" i="6"/>
  <c r="H205" i="6"/>
  <c r="J205" i="6"/>
  <c r="K205" i="6"/>
  <c r="L205" i="6"/>
  <c r="M205" i="6"/>
  <c r="B206" i="6"/>
  <c r="C206" i="6"/>
  <c r="D206" i="6"/>
  <c r="F206" i="6" s="1"/>
  <c r="E206" i="6"/>
  <c r="H206" i="6"/>
  <c r="J206" i="6"/>
  <c r="K206" i="6"/>
  <c r="L206" i="6"/>
  <c r="M206" i="6"/>
  <c r="B207" i="6"/>
  <c r="C207" i="6"/>
  <c r="D207" i="6"/>
  <c r="F207" i="6" s="1"/>
  <c r="E207" i="6"/>
  <c r="H207" i="6"/>
  <c r="J207" i="6"/>
  <c r="K207" i="6"/>
  <c r="L207" i="6"/>
  <c r="M207" i="6"/>
  <c r="B208" i="6"/>
  <c r="C208" i="6"/>
  <c r="D208" i="6"/>
  <c r="F208" i="6" s="1"/>
  <c r="E208" i="6"/>
  <c r="H208" i="6"/>
  <c r="J208" i="6"/>
  <c r="K208" i="6"/>
  <c r="L208" i="6"/>
  <c r="M208" i="6"/>
  <c r="B209" i="6"/>
  <c r="C209" i="6"/>
  <c r="D209" i="6"/>
  <c r="F209" i="6" s="1"/>
  <c r="E209" i="6"/>
  <c r="H209" i="6"/>
  <c r="J209" i="6"/>
  <c r="K209" i="6"/>
  <c r="L209" i="6"/>
  <c r="M209" i="6"/>
  <c r="B210" i="6"/>
  <c r="C210" i="6"/>
  <c r="D210" i="6"/>
  <c r="F210" i="6" s="1"/>
  <c r="E210" i="6"/>
  <c r="H210" i="6"/>
  <c r="J210" i="6"/>
  <c r="K210" i="6"/>
  <c r="L210" i="6"/>
  <c r="M210" i="6"/>
  <c r="B211" i="6"/>
  <c r="C211" i="6"/>
  <c r="D211" i="6"/>
  <c r="F211" i="6" s="1"/>
  <c r="E211" i="6"/>
  <c r="H211" i="6"/>
  <c r="J211" i="6"/>
  <c r="K211" i="6"/>
  <c r="L211" i="6"/>
  <c r="M211" i="6"/>
  <c r="B212" i="6"/>
  <c r="C212" i="6"/>
  <c r="D212" i="6"/>
  <c r="F212" i="6" s="1"/>
  <c r="E212" i="6"/>
  <c r="H212" i="6"/>
  <c r="J212" i="6"/>
  <c r="K212" i="6"/>
  <c r="L212" i="6"/>
  <c r="M212" i="6"/>
  <c r="B213" i="6"/>
  <c r="C213" i="6"/>
  <c r="D213" i="6"/>
  <c r="F213" i="6" s="1"/>
  <c r="E213" i="6"/>
  <c r="H213" i="6"/>
  <c r="J213" i="6"/>
  <c r="K213" i="6"/>
  <c r="L213" i="6"/>
  <c r="M213" i="6"/>
  <c r="B214" i="6"/>
  <c r="C214" i="6"/>
  <c r="D214" i="6"/>
  <c r="F214" i="6" s="1"/>
  <c r="E214" i="6"/>
  <c r="H214" i="6"/>
  <c r="J214" i="6"/>
  <c r="K214" i="6"/>
  <c r="L214" i="6"/>
  <c r="M214" i="6"/>
  <c r="B215" i="6"/>
  <c r="C215" i="6"/>
  <c r="D215" i="6"/>
  <c r="F215" i="6" s="1"/>
  <c r="E215" i="6"/>
  <c r="H215" i="6"/>
  <c r="J215" i="6"/>
  <c r="K215" i="6"/>
  <c r="L215" i="6"/>
  <c r="M215" i="6"/>
  <c r="B216" i="6"/>
  <c r="C216" i="6"/>
  <c r="D216" i="6"/>
  <c r="F216" i="6" s="1"/>
  <c r="E216" i="6"/>
  <c r="H216" i="6"/>
  <c r="J216" i="6"/>
  <c r="K216" i="6"/>
  <c r="L216" i="6"/>
  <c r="M216" i="6"/>
  <c r="B217" i="6"/>
  <c r="C217" i="6"/>
  <c r="D217" i="6"/>
  <c r="F217" i="6" s="1"/>
  <c r="E217" i="6"/>
  <c r="H217" i="6"/>
  <c r="J217" i="6"/>
  <c r="K217" i="6"/>
  <c r="L217" i="6"/>
  <c r="M217" i="6"/>
  <c r="B218" i="6"/>
  <c r="C218" i="6"/>
  <c r="D218" i="6"/>
  <c r="F218" i="6" s="1"/>
  <c r="E218" i="6"/>
  <c r="H218" i="6"/>
  <c r="J218" i="6"/>
  <c r="K218" i="6"/>
  <c r="L218" i="6"/>
  <c r="M218" i="6"/>
  <c r="B219" i="6"/>
  <c r="C219" i="6"/>
  <c r="D219" i="6"/>
  <c r="F219" i="6" s="1"/>
  <c r="E219" i="6"/>
  <c r="H219" i="6"/>
  <c r="J219" i="6"/>
  <c r="K219" i="6"/>
  <c r="L219" i="6"/>
  <c r="M219" i="6"/>
  <c r="B220" i="6"/>
  <c r="C220" i="6"/>
  <c r="D220" i="6"/>
  <c r="F220" i="6" s="1"/>
  <c r="E220" i="6"/>
  <c r="H220" i="6"/>
  <c r="J220" i="6"/>
  <c r="K220" i="6"/>
  <c r="L220" i="6"/>
  <c r="M220" i="6"/>
  <c r="B221" i="6"/>
  <c r="C221" i="6"/>
  <c r="D221" i="6"/>
  <c r="F221" i="6" s="1"/>
  <c r="E221" i="6"/>
  <c r="H221" i="6"/>
  <c r="J221" i="6"/>
  <c r="K221" i="6"/>
  <c r="L221" i="6"/>
  <c r="M221" i="6"/>
  <c r="B222" i="6"/>
  <c r="C222" i="6"/>
  <c r="D222" i="6"/>
  <c r="F222" i="6" s="1"/>
  <c r="E222" i="6"/>
  <c r="H222" i="6"/>
  <c r="J222" i="6"/>
  <c r="K222" i="6"/>
  <c r="L222" i="6"/>
  <c r="M222" i="6"/>
  <c r="B223" i="6"/>
  <c r="C223" i="6"/>
  <c r="D223" i="6"/>
  <c r="F223" i="6" s="1"/>
  <c r="E223" i="6"/>
  <c r="H223" i="6"/>
  <c r="J223" i="6"/>
  <c r="K223" i="6"/>
  <c r="L223" i="6"/>
  <c r="M223" i="6"/>
  <c r="B224" i="6"/>
  <c r="C224" i="6"/>
  <c r="D224" i="6"/>
  <c r="F224" i="6" s="1"/>
  <c r="E224" i="6"/>
  <c r="H224" i="6"/>
  <c r="J224" i="6"/>
  <c r="K224" i="6"/>
  <c r="L224" i="6"/>
  <c r="M224" i="6"/>
  <c r="B225" i="6"/>
  <c r="C225" i="6"/>
  <c r="D225" i="6"/>
  <c r="F225" i="6" s="1"/>
  <c r="E225" i="6"/>
  <c r="H225" i="6"/>
  <c r="J225" i="6"/>
  <c r="K225" i="6"/>
  <c r="L225" i="6"/>
  <c r="M225" i="6"/>
  <c r="B226" i="6"/>
  <c r="C226" i="6"/>
  <c r="D226" i="6"/>
  <c r="F226" i="6" s="1"/>
  <c r="E226" i="6"/>
  <c r="H226" i="6"/>
  <c r="J226" i="6"/>
  <c r="K226" i="6"/>
  <c r="L226" i="6"/>
  <c r="M226" i="6"/>
  <c r="B227" i="6"/>
  <c r="C227" i="6"/>
  <c r="D227" i="6"/>
  <c r="F227" i="6" s="1"/>
  <c r="E227" i="6"/>
  <c r="H227" i="6"/>
  <c r="J227" i="6"/>
  <c r="K227" i="6"/>
  <c r="L227" i="6"/>
  <c r="M227" i="6"/>
  <c r="B228" i="6"/>
  <c r="C228" i="6"/>
  <c r="D228" i="6"/>
  <c r="F228" i="6" s="1"/>
  <c r="E228" i="6"/>
  <c r="H228" i="6"/>
  <c r="J228" i="6"/>
  <c r="K228" i="6"/>
  <c r="L228" i="6"/>
  <c r="M228" i="6"/>
  <c r="B229" i="6"/>
  <c r="C229" i="6"/>
  <c r="D229" i="6"/>
  <c r="F229" i="6" s="1"/>
  <c r="E229" i="6"/>
  <c r="H229" i="6"/>
  <c r="J229" i="6"/>
  <c r="K229" i="6"/>
  <c r="L229" i="6"/>
  <c r="M229" i="6"/>
  <c r="B230" i="6"/>
  <c r="C230" i="6"/>
  <c r="D230" i="6"/>
  <c r="F230" i="6" s="1"/>
  <c r="E230" i="6"/>
  <c r="H230" i="6"/>
  <c r="J230" i="6"/>
  <c r="K230" i="6"/>
  <c r="L230" i="6"/>
  <c r="M230" i="6"/>
  <c r="B231" i="6"/>
  <c r="C231" i="6"/>
  <c r="D231" i="6"/>
  <c r="F231" i="6" s="1"/>
  <c r="E231" i="6"/>
  <c r="H231" i="6"/>
  <c r="J231" i="6"/>
  <c r="K231" i="6"/>
  <c r="L231" i="6"/>
  <c r="M231" i="6"/>
  <c r="B232" i="6"/>
  <c r="C232" i="6"/>
  <c r="D232" i="6"/>
  <c r="F232" i="6" s="1"/>
  <c r="E232" i="6"/>
  <c r="H232" i="6"/>
  <c r="J232" i="6"/>
  <c r="K232" i="6"/>
  <c r="L232" i="6"/>
  <c r="M232" i="6"/>
  <c r="B233" i="6"/>
  <c r="C233" i="6"/>
  <c r="D233" i="6"/>
  <c r="F233" i="6" s="1"/>
  <c r="E233" i="6"/>
  <c r="H233" i="6"/>
  <c r="J233" i="6"/>
  <c r="K233" i="6"/>
  <c r="L233" i="6"/>
  <c r="M233" i="6"/>
  <c r="B234" i="6"/>
  <c r="C234" i="6"/>
  <c r="D234" i="6"/>
  <c r="F234" i="6" s="1"/>
  <c r="E234" i="6"/>
  <c r="H234" i="6"/>
  <c r="J234" i="6"/>
  <c r="K234" i="6"/>
  <c r="L234" i="6"/>
  <c r="M234" i="6"/>
  <c r="B235" i="6"/>
  <c r="C235" i="6"/>
  <c r="D235" i="6"/>
  <c r="F235" i="6" s="1"/>
  <c r="E235" i="6"/>
  <c r="H235" i="6"/>
  <c r="J235" i="6"/>
  <c r="K235" i="6"/>
  <c r="L235" i="6"/>
  <c r="M235" i="6"/>
  <c r="B236" i="6"/>
  <c r="C236" i="6"/>
  <c r="D236" i="6"/>
  <c r="F236" i="6" s="1"/>
  <c r="E236" i="6"/>
  <c r="H236" i="6"/>
  <c r="J236" i="6"/>
  <c r="K236" i="6"/>
  <c r="L236" i="6"/>
  <c r="M236" i="6"/>
  <c r="B237" i="6"/>
  <c r="C237" i="6"/>
  <c r="D237" i="6"/>
  <c r="F237" i="6" s="1"/>
  <c r="E237" i="6"/>
  <c r="H237" i="6"/>
  <c r="J237" i="6"/>
  <c r="K237" i="6"/>
  <c r="L237" i="6"/>
  <c r="M237" i="6"/>
  <c r="B238" i="6"/>
  <c r="C238" i="6"/>
  <c r="D238" i="6"/>
  <c r="F238" i="6" s="1"/>
  <c r="E238" i="6"/>
  <c r="H238" i="6"/>
  <c r="J238" i="6"/>
  <c r="K238" i="6"/>
  <c r="L238" i="6"/>
  <c r="M238" i="6"/>
  <c r="B239" i="6"/>
  <c r="C239" i="6"/>
  <c r="D239" i="6"/>
  <c r="F239" i="6" s="1"/>
  <c r="E239" i="6"/>
  <c r="H239" i="6"/>
  <c r="J239" i="6"/>
  <c r="K239" i="6"/>
  <c r="L239" i="6"/>
  <c r="M239" i="6"/>
  <c r="B240" i="6"/>
  <c r="C240" i="6"/>
  <c r="D240" i="6"/>
  <c r="F240" i="6" s="1"/>
  <c r="E240" i="6"/>
  <c r="H240" i="6"/>
  <c r="J240" i="6"/>
  <c r="K240" i="6"/>
  <c r="L240" i="6"/>
  <c r="M240" i="6"/>
  <c r="B241" i="6"/>
  <c r="C241" i="6"/>
  <c r="D241" i="6"/>
  <c r="F241" i="6" s="1"/>
  <c r="E241" i="6"/>
  <c r="H241" i="6"/>
  <c r="J241" i="6"/>
  <c r="K241" i="6"/>
  <c r="L241" i="6"/>
  <c r="M241" i="6"/>
  <c r="B242" i="6"/>
  <c r="C242" i="6"/>
  <c r="D242" i="6"/>
  <c r="F242" i="6" s="1"/>
  <c r="E242" i="6"/>
  <c r="H242" i="6"/>
  <c r="J242" i="6"/>
  <c r="K242" i="6"/>
  <c r="L242" i="6"/>
  <c r="M242" i="6"/>
  <c r="B243" i="6"/>
  <c r="C243" i="6"/>
  <c r="D243" i="6"/>
  <c r="F243" i="6" s="1"/>
  <c r="E243" i="6"/>
  <c r="H243" i="6"/>
  <c r="J243" i="6"/>
  <c r="K243" i="6"/>
  <c r="L243" i="6"/>
  <c r="M243" i="6"/>
  <c r="B244" i="6"/>
  <c r="C244" i="6"/>
  <c r="D244" i="6"/>
  <c r="F244" i="6" s="1"/>
  <c r="E244" i="6"/>
  <c r="H244" i="6"/>
  <c r="J244" i="6"/>
  <c r="K244" i="6"/>
  <c r="L244" i="6"/>
  <c r="M244" i="6"/>
  <c r="B245" i="6"/>
  <c r="C245" i="6"/>
  <c r="D245" i="6"/>
  <c r="F245" i="6" s="1"/>
  <c r="E245" i="6"/>
  <c r="H245" i="6"/>
  <c r="J245" i="6"/>
  <c r="K245" i="6"/>
  <c r="L245" i="6"/>
  <c r="M245" i="6"/>
  <c r="B246" i="6"/>
  <c r="C246" i="6"/>
  <c r="D246" i="6"/>
  <c r="F246" i="6" s="1"/>
  <c r="E246" i="6"/>
  <c r="H246" i="6"/>
  <c r="J246" i="6"/>
  <c r="K246" i="6"/>
  <c r="L246" i="6"/>
  <c r="M246" i="6"/>
  <c r="B247" i="6"/>
  <c r="C247" i="6"/>
  <c r="D247" i="6"/>
  <c r="F247" i="6" s="1"/>
  <c r="E247" i="6"/>
  <c r="H247" i="6"/>
  <c r="J247" i="6"/>
  <c r="K247" i="6"/>
  <c r="L247" i="6"/>
  <c r="M247" i="6"/>
  <c r="B248" i="6"/>
  <c r="C248" i="6"/>
  <c r="D248" i="6"/>
  <c r="F248" i="6" s="1"/>
  <c r="E248" i="6"/>
  <c r="H248" i="6"/>
  <c r="J248" i="6"/>
  <c r="K248" i="6"/>
  <c r="L248" i="6"/>
  <c r="M248" i="6"/>
  <c r="B249" i="6"/>
  <c r="C249" i="6"/>
  <c r="D249" i="6"/>
  <c r="F249" i="6" s="1"/>
  <c r="E249" i="6"/>
  <c r="H249" i="6"/>
  <c r="J249" i="6"/>
  <c r="K249" i="6"/>
  <c r="L249" i="6"/>
  <c r="M249" i="6"/>
  <c r="B250" i="6"/>
  <c r="C250" i="6"/>
  <c r="D250" i="6"/>
  <c r="F250" i="6" s="1"/>
  <c r="E250" i="6"/>
  <c r="H250" i="6"/>
  <c r="J250" i="6"/>
  <c r="K250" i="6"/>
  <c r="L250" i="6"/>
  <c r="M250" i="6"/>
  <c r="B251" i="6"/>
  <c r="C251" i="6"/>
  <c r="D251" i="6"/>
  <c r="F251" i="6" s="1"/>
  <c r="E251" i="6"/>
  <c r="H251" i="6"/>
  <c r="J251" i="6"/>
  <c r="K251" i="6"/>
  <c r="L251" i="6"/>
  <c r="M251" i="6"/>
  <c r="B252" i="6"/>
  <c r="C252" i="6"/>
  <c r="D252" i="6"/>
  <c r="F252" i="6" s="1"/>
  <c r="E252" i="6"/>
  <c r="H252" i="6"/>
  <c r="J252" i="6"/>
  <c r="K252" i="6"/>
  <c r="L252" i="6"/>
  <c r="M252" i="6"/>
  <c r="B253" i="6"/>
  <c r="C253" i="6"/>
  <c r="D253" i="6"/>
  <c r="F253" i="6" s="1"/>
  <c r="E253" i="6"/>
  <c r="H253" i="6"/>
  <c r="J253" i="6"/>
  <c r="K253" i="6"/>
  <c r="L253" i="6"/>
  <c r="M253" i="6"/>
  <c r="B254" i="6"/>
  <c r="C254" i="6"/>
  <c r="D254" i="6"/>
  <c r="F254" i="6" s="1"/>
  <c r="E254" i="6"/>
  <c r="H254" i="6"/>
  <c r="J254" i="6"/>
  <c r="K254" i="6"/>
  <c r="L254" i="6"/>
  <c r="M254" i="6"/>
  <c r="B255" i="6"/>
  <c r="C255" i="6"/>
  <c r="D255" i="6"/>
  <c r="F255" i="6" s="1"/>
  <c r="E255" i="6"/>
  <c r="H255" i="6"/>
  <c r="J255" i="6"/>
  <c r="K255" i="6"/>
  <c r="L255" i="6"/>
  <c r="M255" i="6"/>
  <c r="B256" i="6"/>
  <c r="C256" i="6"/>
  <c r="D256" i="6"/>
  <c r="F256" i="6" s="1"/>
  <c r="E256" i="6"/>
  <c r="H256" i="6"/>
  <c r="J256" i="6"/>
  <c r="K256" i="6"/>
  <c r="L256" i="6"/>
  <c r="M256" i="6"/>
  <c r="B257" i="6"/>
  <c r="C257" i="6"/>
  <c r="D257" i="6"/>
  <c r="F257" i="6" s="1"/>
  <c r="E257" i="6"/>
  <c r="H257" i="6"/>
  <c r="J257" i="6"/>
  <c r="K257" i="6"/>
  <c r="L257" i="6"/>
  <c r="M257" i="6"/>
  <c r="B258" i="6"/>
  <c r="C258" i="6"/>
  <c r="D258" i="6"/>
  <c r="F258" i="6" s="1"/>
  <c r="E258" i="6"/>
  <c r="H258" i="6"/>
  <c r="J258" i="6"/>
  <c r="K258" i="6"/>
  <c r="L258" i="6"/>
  <c r="M258" i="6"/>
  <c r="B259" i="6"/>
  <c r="C259" i="6"/>
  <c r="D259" i="6"/>
  <c r="F259" i="6" s="1"/>
  <c r="E259" i="6"/>
  <c r="H259" i="6"/>
  <c r="J259" i="6"/>
  <c r="K259" i="6"/>
  <c r="L259" i="6"/>
  <c r="M259" i="6"/>
  <c r="B260" i="6"/>
  <c r="C260" i="6"/>
  <c r="D260" i="6"/>
  <c r="F260" i="6" s="1"/>
  <c r="E260" i="6"/>
  <c r="H260" i="6"/>
  <c r="J260" i="6"/>
  <c r="K260" i="6"/>
  <c r="L260" i="6"/>
  <c r="M260" i="6"/>
  <c r="B261" i="6"/>
  <c r="C261" i="6"/>
  <c r="D261" i="6"/>
  <c r="F261" i="6" s="1"/>
  <c r="E261" i="6"/>
  <c r="H261" i="6"/>
  <c r="J261" i="6"/>
  <c r="K261" i="6"/>
  <c r="L261" i="6"/>
  <c r="M261" i="6"/>
  <c r="B262" i="6"/>
  <c r="C262" i="6"/>
  <c r="D262" i="6"/>
  <c r="F262" i="6" s="1"/>
  <c r="E262" i="6"/>
  <c r="H262" i="6"/>
  <c r="J262" i="6"/>
  <c r="K262" i="6"/>
  <c r="L262" i="6"/>
  <c r="M262" i="6"/>
  <c r="B263" i="6"/>
  <c r="C263" i="6"/>
  <c r="D263" i="6"/>
  <c r="F263" i="6" s="1"/>
  <c r="E263" i="6"/>
  <c r="H263" i="6"/>
  <c r="J263" i="6"/>
  <c r="K263" i="6"/>
  <c r="L263" i="6"/>
  <c r="M263" i="6"/>
  <c r="B264" i="6"/>
  <c r="C264" i="6"/>
  <c r="D264" i="6"/>
  <c r="F264" i="6" s="1"/>
  <c r="E264" i="6"/>
  <c r="H264" i="6"/>
  <c r="J264" i="6"/>
  <c r="K264" i="6"/>
  <c r="L264" i="6"/>
  <c r="M264" i="6"/>
  <c r="B265" i="6"/>
  <c r="C265" i="6"/>
  <c r="D265" i="6"/>
  <c r="F265" i="6" s="1"/>
  <c r="E265" i="6"/>
  <c r="H265" i="6"/>
  <c r="J265" i="6"/>
  <c r="K265" i="6"/>
  <c r="L265" i="6"/>
  <c r="M265" i="6"/>
  <c r="B266" i="6"/>
  <c r="C266" i="6"/>
  <c r="D266" i="6"/>
  <c r="F266" i="6" s="1"/>
  <c r="E266" i="6"/>
  <c r="H266" i="6"/>
  <c r="J266" i="6"/>
  <c r="K266" i="6"/>
  <c r="L266" i="6"/>
  <c r="M266" i="6"/>
  <c r="B267" i="6"/>
  <c r="C267" i="6"/>
  <c r="D267" i="6"/>
  <c r="F267" i="6" s="1"/>
  <c r="E267" i="6"/>
  <c r="H267" i="6"/>
  <c r="J267" i="6"/>
  <c r="K267" i="6"/>
  <c r="L267" i="6"/>
  <c r="M267" i="6"/>
  <c r="B268" i="6"/>
  <c r="C268" i="6"/>
  <c r="D268" i="6"/>
  <c r="F268" i="6" s="1"/>
  <c r="E268" i="6"/>
  <c r="H268" i="6"/>
  <c r="J268" i="6"/>
  <c r="K268" i="6"/>
  <c r="L268" i="6"/>
  <c r="M268" i="6"/>
  <c r="B269" i="6"/>
  <c r="C269" i="6"/>
  <c r="D269" i="6"/>
  <c r="F269" i="6" s="1"/>
  <c r="E269" i="6"/>
  <c r="H269" i="6"/>
  <c r="J269" i="6"/>
  <c r="K269" i="6"/>
  <c r="L269" i="6"/>
  <c r="M269" i="6"/>
  <c r="B270" i="6"/>
  <c r="C270" i="6"/>
  <c r="D270" i="6"/>
  <c r="F270" i="6" s="1"/>
  <c r="E270" i="6"/>
  <c r="H270" i="6"/>
  <c r="J270" i="6"/>
  <c r="K270" i="6"/>
  <c r="L270" i="6"/>
  <c r="M270" i="6"/>
  <c r="B271" i="6"/>
  <c r="C271" i="6"/>
  <c r="D271" i="6"/>
  <c r="F271" i="6" s="1"/>
  <c r="E271" i="6"/>
  <c r="H271" i="6"/>
  <c r="J271" i="6"/>
  <c r="K271" i="6"/>
  <c r="L271" i="6"/>
  <c r="M271" i="6"/>
  <c r="B272" i="6"/>
  <c r="C272" i="6"/>
  <c r="D272" i="6"/>
  <c r="F272" i="6" s="1"/>
  <c r="E272" i="6"/>
  <c r="H272" i="6"/>
  <c r="J272" i="6"/>
  <c r="K272" i="6"/>
  <c r="L272" i="6"/>
  <c r="M272" i="6"/>
  <c r="B273" i="6"/>
  <c r="C273" i="6"/>
  <c r="D273" i="6"/>
  <c r="F273" i="6" s="1"/>
  <c r="E273" i="6"/>
  <c r="H273" i="6"/>
  <c r="J273" i="6"/>
  <c r="K273" i="6"/>
  <c r="L273" i="6"/>
  <c r="M273" i="6"/>
  <c r="B274" i="6"/>
  <c r="C274" i="6"/>
  <c r="D274" i="6"/>
  <c r="F274" i="6" s="1"/>
  <c r="E274" i="6"/>
  <c r="H274" i="6"/>
  <c r="J274" i="6"/>
  <c r="K274" i="6"/>
  <c r="L274" i="6"/>
  <c r="M274" i="6"/>
  <c r="B275" i="6"/>
  <c r="C275" i="6"/>
  <c r="D275" i="6"/>
  <c r="F275" i="6" s="1"/>
  <c r="E275" i="6"/>
  <c r="H275" i="6"/>
  <c r="J275" i="6"/>
  <c r="K275" i="6"/>
  <c r="L275" i="6"/>
  <c r="M275" i="6"/>
  <c r="B276" i="6"/>
  <c r="C276" i="6"/>
  <c r="D276" i="6"/>
  <c r="F276" i="6" s="1"/>
  <c r="E276" i="6"/>
  <c r="H276" i="6"/>
  <c r="J276" i="6"/>
  <c r="K276" i="6"/>
  <c r="L276" i="6"/>
  <c r="M276" i="6"/>
  <c r="B277" i="6"/>
  <c r="C277" i="6"/>
  <c r="D277" i="6"/>
  <c r="F277" i="6" s="1"/>
  <c r="E277" i="6"/>
  <c r="H277" i="6"/>
  <c r="J277" i="6"/>
  <c r="K277" i="6"/>
  <c r="L277" i="6"/>
  <c r="M277" i="6"/>
  <c r="B278" i="6"/>
  <c r="C278" i="6"/>
  <c r="D278" i="6"/>
  <c r="F278" i="6" s="1"/>
  <c r="E278" i="6"/>
  <c r="H278" i="6"/>
  <c r="J278" i="6"/>
  <c r="K278" i="6"/>
  <c r="L278" i="6"/>
  <c r="M278" i="6"/>
  <c r="B279" i="6"/>
  <c r="C279" i="6"/>
  <c r="D279" i="6"/>
  <c r="F279" i="6" s="1"/>
  <c r="E279" i="6"/>
  <c r="H279" i="6"/>
  <c r="J279" i="6"/>
  <c r="K279" i="6"/>
  <c r="L279" i="6"/>
  <c r="M279" i="6"/>
  <c r="B280" i="6"/>
  <c r="C280" i="6"/>
  <c r="D280" i="6"/>
  <c r="F280" i="6" s="1"/>
  <c r="E280" i="6"/>
  <c r="H280" i="6"/>
  <c r="J280" i="6"/>
  <c r="K280" i="6"/>
  <c r="L280" i="6"/>
  <c r="M280" i="6"/>
  <c r="B281" i="6"/>
  <c r="C281" i="6"/>
  <c r="D281" i="6"/>
  <c r="F281" i="6" s="1"/>
  <c r="E281" i="6"/>
  <c r="H281" i="6"/>
  <c r="J281" i="6"/>
  <c r="K281" i="6"/>
  <c r="L281" i="6"/>
  <c r="M281" i="6"/>
  <c r="B282" i="6"/>
  <c r="C282" i="6"/>
  <c r="D282" i="6"/>
  <c r="F282" i="6" s="1"/>
  <c r="E282" i="6"/>
  <c r="H282" i="6"/>
  <c r="J282" i="6"/>
  <c r="K282" i="6"/>
  <c r="L282" i="6"/>
  <c r="M282" i="6"/>
  <c r="B283" i="6"/>
  <c r="C283" i="6"/>
  <c r="D283" i="6"/>
  <c r="F283" i="6" s="1"/>
  <c r="E283" i="6"/>
  <c r="H283" i="6"/>
  <c r="J283" i="6"/>
  <c r="K283" i="6"/>
  <c r="L283" i="6"/>
  <c r="M283" i="6"/>
  <c r="B284" i="6"/>
  <c r="C284" i="6"/>
  <c r="D284" i="6"/>
  <c r="F284" i="6" s="1"/>
  <c r="E284" i="6"/>
  <c r="H284" i="6"/>
  <c r="J284" i="6"/>
  <c r="K284" i="6"/>
  <c r="L284" i="6"/>
  <c r="M284" i="6"/>
  <c r="B285" i="6"/>
  <c r="C285" i="6"/>
  <c r="D285" i="6"/>
  <c r="F285" i="6" s="1"/>
  <c r="E285" i="6"/>
  <c r="H285" i="6"/>
  <c r="J285" i="6"/>
  <c r="K285" i="6"/>
  <c r="L285" i="6"/>
  <c r="M285" i="6"/>
  <c r="B286" i="6"/>
  <c r="C286" i="6"/>
  <c r="D286" i="6"/>
  <c r="F286" i="6" s="1"/>
  <c r="E286" i="6"/>
  <c r="H286" i="6"/>
  <c r="J286" i="6"/>
  <c r="K286" i="6"/>
  <c r="L286" i="6"/>
  <c r="M286" i="6"/>
  <c r="B287" i="6"/>
  <c r="C287" i="6"/>
  <c r="D287" i="6"/>
  <c r="F287" i="6" s="1"/>
  <c r="E287" i="6"/>
  <c r="H287" i="6"/>
  <c r="J287" i="6"/>
  <c r="K287" i="6"/>
  <c r="L287" i="6"/>
  <c r="M287" i="6"/>
  <c r="B288" i="6"/>
  <c r="C288" i="6"/>
  <c r="D288" i="6"/>
  <c r="F288" i="6" s="1"/>
  <c r="E288" i="6"/>
  <c r="H288" i="6"/>
  <c r="J288" i="6"/>
  <c r="K288" i="6"/>
  <c r="L288" i="6"/>
  <c r="M288" i="6"/>
  <c r="B289" i="6"/>
  <c r="C289" i="6"/>
  <c r="D289" i="6"/>
  <c r="F289" i="6" s="1"/>
  <c r="E289" i="6"/>
  <c r="H289" i="6"/>
  <c r="J289" i="6"/>
  <c r="K289" i="6"/>
  <c r="L289" i="6"/>
  <c r="M289" i="6"/>
  <c r="B290" i="6"/>
  <c r="C290" i="6"/>
  <c r="D290" i="6"/>
  <c r="F290" i="6" s="1"/>
  <c r="E290" i="6"/>
  <c r="H290" i="6"/>
  <c r="J290" i="6"/>
  <c r="K290" i="6"/>
  <c r="L290" i="6"/>
  <c r="M290" i="6"/>
  <c r="B291" i="6"/>
  <c r="C291" i="6"/>
  <c r="D291" i="6"/>
  <c r="F291" i="6" s="1"/>
  <c r="E291" i="6"/>
  <c r="H291" i="6"/>
  <c r="J291" i="6"/>
  <c r="K291" i="6"/>
  <c r="L291" i="6"/>
  <c r="M291" i="6"/>
  <c r="B292" i="6"/>
  <c r="C292" i="6"/>
  <c r="D292" i="6"/>
  <c r="F292" i="6" s="1"/>
  <c r="E292" i="6"/>
  <c r="H292" i="6"/>
  <c r="J292" i="6"/>
  <c r="K292" i="6"/>
  <c r="L292" i="6"/>
  <c r="M292" i="6"/>
  <c r="B293" i="6"/>
  <c r="C293" i="6"/>
  <c r="D293" i="6"/>
  <c r="F293" i="6" s="1"/>
  <c r="E293" i="6"/>
  <c r="H293" i="6"/>
  <c r="J293" i="6"/>
  <c r="K293" i="6"/>
  <c r="L293" i="6"/>
  <c r="M293" i="6"/>
  <c r="B294" i="6"/>
  <c r="C294" i="6"/>
  <c r="D294" i="6"/>
  <c r="F294" i="6" s="1"/>
  <c r="E294" i="6"/>
  <c r="H294" i="6"/>
  <c r="J294" i="6"/>
  <c r="K294" i="6"/>
  <c r="L294" i="6"/>
  <c r="M294" i="6"/>
  <c r="B295" i="6"/>
  <c r="C295" i="6"/>
  <c r="D295" i="6"/>
  <c r="F295" i="6" s="1"/>
  <c r="E295" i="6"/>
  <c r="H295" i="6"/>
  <c r="J295" i="6"/>
  <c r="K295" i="6"/>
  <c r="L295" i="6"/>
  <c r="M295" i="6"/>
  <c r="B296" i="6"/>
  <c r="C296" i="6"/>
  <c r="D296" i="6"/>
  <c r="F296" i="6" s="1"/>
  <c r="E296" i="6"/>
  <c r="H296" i="6"/>
  <c r="J296" i="6"/>
  <c r="K296" i="6"/>
  <c r="L296" i="6"/>
  <c r="M296" i="6"/>
  <c r="B297" i="6"/>
  <c r="C297" i="6"/>
  <c r="D297" i="6"/>
  <c r="F297" i="6" s="1"/>
  <c r="E297" i="6"/>
  <c r="H297" i="6"/>
  <c r="J297" i="6"/>
  <c r="K297" i="6"/>
  <c r="L297" i="6"/>
  <c r="M297" i="6"/>
  <c r="B298" i="6"/>
  <c r="C298" i="6"/>
  <c r="D298" i="6"/>
  <c r="F298" i="6" s="1"/>
  <c r="E298" i="6"/>
  <c r="H298" i="6"/>
  <c r="J298" i="6"/>
  <c r="K298" i="6"/>
  <c r="L298" i="6"/>
  <c r="M298" i="6"/>
  <c r="B299" i="6"/>
  <c r="C299" i="6"/>
  <c r="D299" i="6"/>
  <c r="F299" i="6" s="1"/>
  <c r="E299" i="6"/>
  <c r="H299" i="6"/>
  <c r="J299" i="6"/>
  <c r="K299" i="6"/>
  <c r="L299" i="6"/>
  <c r="M299" i="6"/>
  <c r="B300" i="6"/>
  <c r="C300" i="6"/>
  <c r="D300" i="6"/>
  <c r="F300" i="6" s="1"/>
  <c r="E300" i="6"/>
  <c r="H300" i="6"/>
  <c r="J300" i="6"/>
  <c r="K300" i="6"/>
  <c r="L300" i="6"/>
  <c r="M300" i="6"/>
  <c r="B301" i="6"/>
  <c r="C301" i="6"/>
  <c r="D301" i="6"/>
  <c r="F301" i="6" s="1"/>
  <c r="E301" i="6"/>
  <c r="H301" i="6"/>
  <c r="J301" i="6"/>
  <c r="K301" i="6"/>
  <c r="L301" i="6"/>
  <c r="M301" i="6"/>
  <c r="B302" i="6"/>
  <c r="C302" i="6"/>
  <c r="D302" i="6"/>
  <c r="F302" i="6" s="1"/>
  <c r="E302" i="6"/>
  <c r="H302" i="6"/>
  <c r="J302" i="6"/>
  <c r="K302" i="6"/>
  <c r="L302" i="6"/>
  <c r="M302" i="6"/>
  <c r="B303" i="6"/>
  <c r="C303" i="6"/>
  <c r="D303" i="6"/>
  <c r="F303" i="6" s="1"/>
  <c r="E303" i="6"/>
  <c r="H303" i="6"/>
  <c r="J303" i="6"/>
  <c r="K303" i="6"/>
  <c r="L303" i="6"/>
  <c r="M303" i="6"/>
  <c r="B304" i="6"/>
  <c r="C304" i="6"/>
  <c r="D304" i="6"/>
  <c r="F304" i="6" s="1"/>
  <c r="E304" i="6"/>
  <c r="H304" i="6"/>
  <c r="J304" i="6"/>
  <c r="K304" i="6"/>
  <c r="L304" i="6"/>
  <c r="M304" i="6"/>
  <c r="B305" i="6"/>
  <c r="C305" i="6"/>
  <c r="D305" i="6"/>
  <c r="F305" i="6" s="1"/>
  <c r="E305" i="6"/>
  <c r="H305" i="6"/>
  <c r="J305" i="6"/>
  <c r="K305" i="6"/>
  <c r="L305" i="6"/>
  <c r="M305" i="6"/>
  <c r="B306" i="6"/>
  <c r="C306" i="6"/>
  <c r="D306" i="6"/>
  <c r="F306" i="6" s="1"/>
  <c r="E306" i="6"/>
  <c r="H306" i="6"/>
  <c r="J306" i="6"/>
  <c r="K306" i="6"/>
  <c r="L306" i="6"/>
  <c r="M306" i="6"/>
  <c r="B307" i="6"/>
  <c r="C307" i="6"/>
  <c r="D307" i="6"/>
  <c r="F307" i="6" s="1"/>
  <c r="E307" i="6"/>
  <c r="H307" i="6"/>
  <c r="J307" i="6"/>
  <c r="K307" i="6"/>
  <c r="L307" i="6"/>
  <c r="M307" i="6"/>
  <c r="B308" i="6"/>
  <c r="C308" i="6"/>
  <c r="D308" i="6"/>
  <c r="F308" i="6" s="1"/>
  <c r="E308" i="6"/>
  <c r="H308" i="6"/>
  <c r="J308" i="6"/>
  <c r="K308" i="6"/>
  <c r="L308" i="6"/>
  <c r="M308" i="6"/>
  <c r="B309" i="6"/>
  <c r="C309" i="6"/>
  <c r="D309" i="6"/>
  <c r="F309" i="6" s="1"/>
  <c r="E309" i="6"/>
  <c r="H309" i="6"/>
  <c r="J309" i="6"/>
  <c r="K309" i="6"/>
  <c r="L309" i="6"/>
  <c r="M309" i="6"/>
  <c r="B310" i="6"/>
  <c r="C310" i="6"/>
  <c r="D310" i="6"/>
  <c r="F310" i="6" s="1"/>
  <c r="E310" i="6"/>
  <c r="H310" i="6"/>
  <c r="J310" i="6"/>
  <c r="K310" i="6"/>
  <c r="L310" i="6"/>
  <c r="M310" i="6"/>
  <c r="B311" i="6"/>
  <c r="C311" i="6"/>
  <c r="D311" i="6"/>
  <c r="F311" i="6" s="1"/>
  <c r="E311" i="6"/>
  <c r="H311" i="6"/>
  <c r="J311" i="6"/>
  <c r="K311" i="6"/>
  <c r="L311" i="6"/>
  <c r="M311" i="6"/>
  <c r="B312" i="6"/>
  <c r="C312" i="6"/>
  <c r="D312" i="6"/>
  <c r="F312" i="6" s="1"/>
  <c r="E312" i="6"/>
  <c r="H312" i="6"/>
  <c r="J312" i="6"/>
  <c r="K312" i="6"/>
  <c r="L312" i="6"/>
  <c r="M312" i="6"/>
  <c r="B313" i="6"/>
  <c r="C313" i="6"/>
  <c r="D313" i="6"/>
  <c r="F313" i="6" s="1"/>
  <c r="E313" i="6"/>
  <c r="H313" i="6"/>
  <c r="J313" i="6"/>
  <c r="K313" i="6"/>
  <c r="L313" i="6"/>
  <c r="M313" i="6"/>
  <c r="B314" i="6"/>
  <c r="C314" i="6"/>
  <c r="D314" i="6"/>
  <c r="F314" i="6" s="1"/>
  <c r="E314" i="6"/>
  <c r="H314" i="6"/>
  <c r="J314" i="6"/>
  <c r="K314" i="6"/>
  <c r="L314" i="6"/>
  <c r="M314" i="6"/>
  <c r="B315" i="6"/>
  <c r="C315" i="6"/>
  <c r="D315" i="6"/>
  <c r="F315" i="6" s="1"/>
  <c r="E315" i="6"/>
  <c r="H315" i="6"/>
  <c r="J315" i="6"/>
  <c r="K315" i="6"/>
  <c r="L315" i="6"/>
  <c r="M315" i="6"/>
  <c r="B316" i="6"/>
  <c r="C316" i="6"/>
  <c r="D316" i="6"/>
  <c r="F316" i="6" s="1"/>
  <c r="E316" i="6"/>
  <c r="H316" i="6"/>
  <c r="J316" i="6"/>
  <c r="K316" i="6"/>
  <c r="L316" i="6"/>
  <c r="M316" i="6"/>
  <c r="B317" i="6"/>
  <c r="C317" i="6"/>
  <c r="D317" i="6"/>
  <c r="F317" i="6" s="1"/>
  <c r="E317" i="6"/>
  <c r="H317" i="6"/>
  <c r="J317" i="6"/>
  <c r="K317" i="6"/>
  <c r="L317" i="6"/>
  <c r="M317" i="6"/>
  <c r="B318" i="6"/>
  <c r="C318" i="6"/>
  <c r="D318" i="6"/>
  <c r="F318" i="6" s="1"/>
  <c r="E318" i="6"/>
  <c r="H318" i="6"/>
  <c r="J318" i="6"/>
  <c r="K318" i="6"/>
  <c r="L318" i="6"/>
  <c r="M318" i="6"/>
  <c r="B319" i="6"/>
  <c r="C319" i="6"/>
  <c r="D319" i="6"/>
  <c r="F319" i="6" s="1"/>
  <c r="E319" i="6"/>
  <c r="H319" i="6"/>
  <c r="J319" i="6"/>
  <c r="K319" i="6"/>
  <c r="L319" i="6"/>
  <c r="M319" i="6"/>
  <c r="B320" i="6"/>
  <c r="C320" i="6"/>
  <c r="D320" i="6"/>
  <c r="F320" i="6" s="1"/>
  <c r="E320" i="6"/>
  <c r="H320" i="6"/>
  <c r="J320" i="6"/>
  <c r="K320" i="6"/>
  <c r="L320" i="6"/>
  <c r="M320" i="6"/>
  <c r="B321" i="6"/>
  <c r="C321" i="6"/>
  <c r="D321" i="6"/>
  <c r="F321" i="6" s="1"/>
  <c r="E321" i="6"/>
  <c r="H321" i="6"/>
  <c r="J321" i="6"/>
  <c r="K321" i="6"/>
  <c r="L321" i="6"/>
  <c r="M321" i="6"/>
  <c r="B322" i="6"/>
  <c r="C322" i="6"/>
  <c r="D322" i="6"/>
  <c r="F322" i="6" s="1"/>
  <c r="E322" i="6"/>
  <c r="H322" i="6"/>
  <c r="J322" i="6"/>
  <c r="K322" i="6"/>
  <c r="L322" i="6"/>
  <c r="M322" i="6"/>
  <c r="B323" i="6"/>
  <c r="C323" i="6"/>
  <c r="D323" i="6"/>
  <c r="F323" i="6" s="1"/>
  <c r="E323" i="6"/>
  <c r="H323" i="6"/>
  <c r="J323" i="6"/>
  <c r="K323" i="6"/>
  <c r="L323" i="6"/>
  <c r="M323" i="6"/>
  <c r="B324" i="6"/>
  <c r="C324" i="6"/>
  <c r="D324" i="6"/>
  <c r="F324" i="6" s="1"/>
  <c r="E324" i="6"/>
  <c r="H324" i="6"/>
  <c r="J324" i="6"/>
  <c r="K324" i="6"/>
  <c r="L324" i="6"/>
  <c r="M324" i="6"/>
  <c r="B325" i="6"/>
  <c r="C325" i="6"/>
  <c r="D325" i="6"/>
  <c r="F325" i="6" s="1"/>
  <c r="E325" i="6"/>
  <c r="H325" i="6"/>
  <c r="J325" i="6"/>
  <c r="K325" i="6"/>
  <c r="L325" i="6"/>
  <c r="M325" i="6"/>
  <c r="B326" i="6"/>
  <c r="C326" i="6"/>
  <c r="D326" i="6"/>
  <c r="F326" i="6" s="1"/>
  <c r="E326" i="6"/>
  <c r="H326" i="6"/>
  <c r="J326" i="6"/>
  <c r="K326" i="6"/>
  <c r="L326" i="6"/>
  <c r="M326" i="6"/>
  <c r="B327" i="6"/>
  <c r="C327" i="6"/>
  <c r="D327" i="6"/>
  <c r="F327" i="6" s="1"/>
  <c r="E327" i="6"/>
  <c r="H327" i="6"/>
  <c r="J327" i="6"/>
  <c r="K327" i="6"/>
  <c r="L327" i="6"/>
  <c r="M327" i="6"/>
  <c r="B328" i="6"/>
  <c r="C328" i="6"/>
  <c r="D328" i="6"/>
  <c r="F328" i="6" s="1"/>
  <c r="E328" i="6"/>
  <c r="H328" i="6"/>
  <c r="J328" i="6"/>
  <c r="K328" i="6"/>
  <c r="L328" i="6"/>
  <c r="M328" i="6"/>
  <c r="B329" i="6"/>
  <c r="C329" i="6"/>
  <c r="D329" i="6"/>
  <c r="F329" i="6" s="1"/>
  <c r="E329" i="6"/>
  <c r="H329" i="6"/>
  <c r="J329" i="6"/>
  <c r="K329" i="6"/>
  <c r="L329" i="6"/>
  <c r="M329" i="6"/>
  <c r="B330" i="6"/>
  <c r="C330" i="6"/>
  <c r="D330" i="6"/>
  <c r="F330" i="6" s="1"/>
  <c r="E330" i="6"/>
  <c r="H330" i="6"/>
  <c r="J330" i="6"/>
  <c r="K330" i="6"/>
  <c r="L330" i="6"/>
  <c r="M330" i="6"/>
  <c r="B331" i="6"/>
  <c r="C331" i="6"/>
  <c r="D331" i="6"/>
  <c r="F331" i="6" s="1"/>
  <c r="E331" i="6"/>
  <c r="H331" i="6"/>
  <c r="J331" i="6"/>
  <c r="K331" i="6"/>
  <c r="L331" i="6"/>
  <c r="M331" i="6"/>
  <c r="B332" i="6"/>
  <c r="C332" i="6"/>
  <c r="D332" i="6"/>
  <c r="F332" i="6" s="1"/>
  <c r="E332" i="6"/>
  <c r="H332" i="6"/>
  <c r="J332" i="6"/>
  <c r="K332" i="6"/>
  <c r="L332" i="6"/>
  <c r="M332" i="6"/>
  <c r="B333" i="6"/>
  <c r="C333" i="6"/>
  <c r="D333" i="6"/>
  <c r="F333" i="6" s="1"/>
  <c r="E333" i="6"/>
  <c r="H333" i="6"/>
  <c r="J333" i="6"/>
  <c r="K333" i="6"/>
  <c r="L333" i="6"/>
  <c r="M333" i="6"/>
  <c r="B334" i="6"/>
  <c r="C334" i="6"/>
  <c r="D334" i="6"/>
  <c r="F334" i="6" s="1"/>
  <c r="E334" i="6"/>
  <c r="H334" i="6"/>
  <c r="J334" i="6"/>
  <c r="K334" i="6"/>
  <c r="L334" i="6"/>
  <c r="M334" i="6"/>
  <c r="B335" i="6"/>
  <c r="C335" i="6"/>
  <c r="D335" i="6"/>
  <c r="F335" i="6" s="1"/>
  <c r="E335" i="6"/>
  <c r="H335" i="6"/>
  <c r="J335" i="6"/>
  <c r="K335" i="6"/>
  <c r="L335" i="6"/>
  <c r="M335" i="6"/>
  <c r="B336" i="6"/>
  <c r="C336" i="6"/>
  <c r="D336" i="6"/>
  <c r="F336" i="6" s="1"/>
  <c r="E336" i="6"/>
  <c r="H336" i="6"/>
  <c r="J336" i="6"/>
  <c r="K336" i="6"/>
  <c r="L336" i="6"/>
  <c r="M336" i="6"/>
  <c r="B337" i="6"/>
  <c r="C337" i="6"/>
  <c r="D337" i="6"/>
  <c r="F337" i="6" s="1"/>
  <c r="E337" i="6"/>
  <c r="H337" i="6"/>
  <c r="J337" i="6"/>
  <c r="K337" i="6"/>
  <c r="L337" i="6"/>
  <c r="M337" i="6"/>
  <c r="B338" i="6"/>
  <c r="C338" i="6"/>
  <c r="D338" i="6"/>
  <c r="F338" i="6" s="1"/>
  <c r="E338" i="6"/>
  <c r="H338" i="6"/>
  <c r="J338" i="6"/>
  <c r="K338" i="6"/>
  <c r="L338" i="6"/>
  <c r="M338" i="6"/>
  <c r="B339" i="6"/>
  <c r="C339" i="6"/>
  <c r="D339" i="6"/>
  <c r="F339" i="6" s="1"/>
  <c r="E339" i="6"/>
  <c r="H339" i="6"/>
  <c r="J339" i="6"/>
  <c r="K339" i="6"/>
  <c r="L339" i="6"/>
  <c r="M339" i="6"/>
  <c r="B340" i="6"/>
  <c r="C340" i="6"/>
  <c r="D340" i="6"/>
  <c r="F340" i="6" s="1"/>
  <c r="E340" i="6"/>
  <c r="H340" i="6"/>
  <c r="J340" i="6"/>
  <c r="K340" i="6"/>
  <c r="L340" i="6"/>
  <c r="M340" i="6"/>
  <c r="B341" i="6"/>
  <c r="C341" i="6"/>
  <c r="D341" i="6"/>
  <c r="F341" i="6" s="1"/>
  <c r="E341" i="6"/>
  <c r="H341" i="6"/>
  <c r="J341" i="6"/>
  <c r="K341" i="6"/>
  <c r="L341" i="6"/>
  <c r="M341" i="6"/>
  <c r="B342" i="6"/>
  <c r="C342" i="6"/>
  <c r="D342" i="6"/>
  <c r="F342" i="6" s="1"/>
  <c r="E342" i="6"/>
  <c r="H342" i="6"/>
  <c r="J342" i="6"/>
  <c r="K342" i="6"/>
  <c r="L342" i="6"/>
  <c r="M342" i="6"/>
  <c r="B343" i="6"/>
  <c r="C343" i="6"/>
  <c r="D343" i="6"/>
  <c r="F343" i="6" s="1"/>
  <c r="E343" i="6"/>
  <c r="H343" i="6"/>
  <c r="J343" i="6"/>
  <c r="K343" i="6"/>
  <c r="L343" i="6"/>
  <c r="M343" i="6"/>
  <c r="B344" i="6"/>
  <c r="C344" i="6"/>
  <c r="D344" i="6"/>
  <c r="F344" i="6" s="1"/>
  <c r="E344" i="6"/>
  <c r="H344" i="6"/>
  <c r="J344" i="6"/>
  <c r="K344" i="6"/>
  <c r="L344" i="6"/>
  <c r="M344" i="6"/>
  <c r="B345" i="6"/>
  <c r="C345" i="6"/>
  <c r="D345" i="6"/>
  <c r="F345" i="6" s="1"/>
  <c r="E345" i="6"/>
  <c r="H345" i="6"/>
  <c r="J345" i="6"/>
  <c r="K345" i="6"/>
  <c r="L345" i="6"/>
  <c r="M345" i="6"/>
  <c r="B346" i="6"/>
  <c r="C346" i="6"/>
  <c r="D346" i="6"/>
  <c r="F346" i="6" s="1"/>
  <c r="E346" i="6"/>
  <c r="H346" i="6"/>
  <c r="J346" i="6"/>
  <c r="K346" i="6"/>
  <c r="L346" i="6"/>
  <c r="M346" i="6"/>
  <c r="B347" i="6"/>
  <c r="C347" i="6"/>
  <c r="D347" i="6"/>
  <c r="F347" i="6" s="1"/>
  <c r="E347" i="6"/>
  <c r="H347" i="6"/>
  <c r="J347" i="6"/>
  <c r="K347" i="6"/>
  <c r="L347" i="6"/>
  <c r="M347" i="6"/>
  <c r="B348" i="6"/>
  <c r="C348" i="6"/>
  <c r="D348" i="6"/>
  <c r="F348" i="6" s="1"/>
  <c r="E348" i="6"/>
  <c r="H348" i="6"/>
  <c r="J348" i="6"/>
  <c r="K348" i="6"/>
  <c r="L348" i="6"/>
  <c r="M348" i="6"/>
  <c r="B349" i="6"/>
  <c r="C349" i="6"/>
  <c r="D349" i="6"/>
  <c r="F349" i="6" s="1"/>
  <c r="E349" i="6"/>
  <c r="H349" i="6"/>
  <c r="J349" i="6"/>
  <c r="K349" i="6"/>
  <c r="L349" i="6"/>
  <c r="M349" i="6"/>
  <c r="B350" i="6"/>
  <c r="C350" i="6"/>
  <c r="D350" i="6"/>
  <c r="F350" i="6" s="1"/>
  <c r="E350" i="6"/>
  <c r="H350" i="6"/>
  <c r="J350" i="6"/>
  <c r="K350" i="6"/>
  <c r="L350" i="6"/>
  <c r="M350" i="6"/>
  <c r="B351" i="6"/>
  <c r="C351" i="6"/>
  <c r="D351" i="6"/>
  <c r="F351" i="6" s="1"/>
  <c r="E351" i="6"/>
  <c r="H351" i="6"/>
  <c r="J351" i="6"/>
  <c r="K351" i="6"/>
  <c r="L351" i="6"/>
  <c r="M351" i="6"/>
  <c r="B352" i="6"/>
  <c r="C352" i="6"/>
  <c r="D352" i="6"/>
  <c r="F352" i="6" s="1"/>
  <c r="E352" i="6"/>
  <c r="H352" i="6"/>
  <c r="J352" i="6"/>
  <c r="K352" i="6"/>
  <c r="L352" i="6"/>
  <c r="M352" i="6"/>
  <c r="B353" i="6"/>
  <c r="C353" i="6"/>
  <c r="D353" i="6"/>
  <c r="F353" i="6" s="1"/>
  <c r="E353" i="6"/>
  <c r="H353" i="6"/>
  <c r="J353" i="6"/>
  <c r="K353" i="6"/>
  <c r="L353" i="6"/>
  <c r="M353" i="6"/>
  <c r="B354" i="6"/>
  <c r="C354" i="6"/>
  <c r="D354" i="6"/>
  <c r="F354" i="6" s="1"/>
  <c r="E354" i="6"/>
  <c r="H354" i="6"/>
  <c r="J354" i="6"/>
  <c r="K354" i="6"/>
  <c r="L354" i="6"/>
  <c r="M354" i="6"/>
  <c r="B355" i="6"/>
  <c r="C355" i="6"/>
  <c r="D355" i="6"/>
  <c r="F355" i="6" s="1"/>
  <c r="E355" i="6"/>
  <c r="H355" i="6"/>
  <c r="J355" i="6"/>
  <c r="K355" i="6"/>
  <c r="L355" i="6"/>
  <c r="M355" i="6"/>
  <c r="B356" i="6"/>
  <c r="C356" i="6"/>
  <c r="D356" i="6"/>
  <c r="F356" i="6" s="1"/>
  <c r="E356" i="6"/>
  <c r="H356" i="6"/>
  <c r="J356" i="6"/>
  <c r="K356" i="6"/>
  <c r="L356" i="6"/>
  <c r="M356" i="6"/>
  <c r="B357" i="6"/>
  <c r="C357" i="6"/>
  <c r="D357" i="6"/>
  <c r="F357" i="6" s="1"/>
  <c r="E357" i="6"/>
  <c r="H357" i="6"/>
  <c r="J357" i="6"/>
  <c r="K357" i="6"/>
  <c r="L357" i="6"/>
  <c r="M357" i="6"/>
  <c r="B358" i="6"/>
  <c r="C358" i="6"/>
  <c r="D358" i="6"/>
  <c r="F358" i="6" s="1"/>
  <c r="E358" i="6"/>
  <c r="H358" i="6"/>
  <c r="J358" i="6"/>
  <c r="K358" i="6"/>
  <c r="L358" i="6"/>
  <c r="M358" i="6"/>
  <c r="B359" i="6"/>
  <c r="C359" i="6"/>
  <c r="D359" i="6"/>
  <c r="F359" i="6" s="1"/>
  <c r="E359" i="6"/>
  <c r="H359" i="6"/>
  <c r="J359" i="6"/>
  <c r="K359" i="6"/>
  <c r="L359" i="6"/>
  <c r="M359" i="6"/>
  <c r="B360" i="6"/>
  <c r="C360" i="6"/>
  <c r="D360" i="6"/>
  <c r="F360" i="6" s="1"/>
  <c r="E360" i="6"/>
  <c r="H360" i="6"/>
  <c r="J360" i="6"/>
  <c r="K360" i="6"/>
  <c r="L360" i="6"/>
  <c r="M360" i="6"/>
  <c r="B361" i="6"/>
  <c r="C361" i="6"/>
  <c r="D361" i="6"/>
  <c r="F361" i="6" s="1"/>
  <c r="E361" i="6"/>
  <c r="H361" i="6"/>
  <c r="J361" i="6"/>
  <c r="K361" i="6"/>
  <c r="L361" i="6"/>
  <c r="M361" i="6"/>
  <c r="B362" i="6"/>
  <c r="C362" i="6"/>
  <c r="D362" i="6"/>
  <c r="F362" i="6" s="1"/>
  <c r="E362" i="6"/>
  <c r="H362" i="6"/>
  <c r="J362" i="6"/>
  <c r="K362" i="6"/>
  <c r="L362" i="6"/>
  <c r="M362" i="6"/>
  <c r="B363" i="6"/>
  <c r="C363" i="6"/>
  <c r="D363" i="6"/>
  <c r="F363" i="6" s="1"/>
  <c r="E363" i="6"/>
  <c r="H363" i="6"/>
  <c r="J363" i="6"/>
  <c r="K363" i="6"/>
  <c r="L363" i="6"/>
  <c r="M363" i="6"/>
  <c r="B364" i="6"/>
  <c r="B367" i="6"/>
  <c r="C367" i="6"/>
  <c r="D367" i="6"/>
  <c r="F367" i="6" s="1"/>
  <c r="E367" i="6"/>
  <c r="H367" i="6"/>
  <c r="J367" i="6"/>
  <c r="K367" i="6"/>
  <c r="L367" i="6"/>
  <c r="M367" i="6"/>
  <c r="B368" i="6"/>
  <c r="C368" i="6"/>
  <c r="D368" i="6"/>
  <c r="F368" i="6" s="1"/>
  <c r="E368" i="6"/>
  <c r="H368" i="6"/>
  <c r="J368" i="6"/>
  <c r="K368" i="6"/>
  <c r="L368" i="6"/>
  <c r="M368" i="6"/>
  <c r="B370" i="6"/>
  <c r="C370" i="6"/>
  <c r="D370" i="6"/>
  <c r="F370" i="6" s="1"/>
  <c r="E370" i="6"/>
  <c r="H370" i="6"/>
  <c r="J370" i="6"/>
  <c r="K370" i="6"/>
  <c r="L370" i="6"/>
  <c r="M370" i="6"/>
  <c r="B371" i="6"/>
  <c r="C371" i="6"/>
  <c r="D371" i="6"/>
  <c r="F371" i="6" s="1"/>
  <c r="E371" i="6"/>
  <c r="H371" i="6"/>
  <c r="J371" i="6"/>
  <c r="K371" i="6"/>
  <c r="L371" i="6"/>
  <c r="M371" i="6"/>
  <c r="B372" i="6"/>
  <c r="C372" i="6"/>
  <c r="D372" i="6"/>
  <c r="F372" i="6" s="1"/>
  <c r="E372" i="6"/>
  <c r="H372" i="6"/>
  <c r="J372" i="6"/>
  <c r="K372" i="6"/>
  <c r="L372" i="6"/>
  <c r="M372" i="6"/>
  <c r="B373" i="6"/>
  <c r="C373" i="6"/>
  <c r="D373" i="6"/>
  <c r="F373" i="6" s="1"/>
  <c r="E373" i="6"/>
  <c r="H373" i="6"/>
  <c r="J373" i="6"/>
  <c r="K373" i="6"/>
  <c r="L373" i="6"/>
  <c r="M373" i="6"/>
  <c r="B374" i="6"/>
  <c r="C374" i="6"/>
  <c r="D374" i="6"/>
  <c r="F374" i="6" s="1"/>
  <c r="E374" i="6"/>
  <c r="H374" i="6"/>
  <c r="J374" i="6"/>
  <c r="K374" i="6"/>
  <c r="L374" i="6"/>
  <c r="M374" i="6"/>
  <c r="B375" i="6"/>
  <c r="C375" i="6"/>
  <c r="D375" i="6"/>
  <c r="F375" i="6" s="1"/>
  <c r="E375" i="6"/>
  <c r="H375" i="6"/>
  <c r="J375" i="6"/>
  <c r="K375" i="6"/>
  <c r="L375" i="6"/>
  <c r="M375" i="6"/>
  <c r="B376" i="6"/>
  <c r="C376" i="6"/>
  <c r="D376" i="6"/>
  <c r="F376" i="6" s="1"/>
  <c r="E376" i="6"/>
  <c r="H376" i="6"/>
  <c r="J376" i="6"/>
  <c r="K376" i="6"/>
  <c r="L376" i="6"/>
  <c r="M376" i="6"/>
  <c r="B377" i="6"/>
  <c r="C377" i="6"/>
  <c r="D377" i="6"/>
  <c r="F377" i="6" s="1"/>
  <c r="E377" i="6"/>
  <c r="H377" i="6"/>
  <c r="J377" i="6"/>
  <c r="K377" i="6"/>
  <c r="L377" i="6"/>
  <c r="M377" i="6"/>
  <c r="B378" i="6"/>
  <c r="C378" i="6"/>
  <c r="D378" i="6"/>
  <c r="F378" i="6" s="1"/>
  <c r="E378" i="6"/>
  <c r="H378" i="6"/>
  <c r="J378" i="6"/>
  <c r="K378" i="6"/>
  <c r="L378" i="6"/>
  <c r="M378" i="6"/>
  <c r="B379" i="6"/>
  <c r="C379" i="6"/>
  <c r="D379" i="6"/>
  <c r="F379" i="6" s="1"/>
  <c r="E379" i="6"/>
  <c r="H379" i="6"/>
  <c r="J379" i="6"/>
  <c r="K379" i="6"/>
  <c r="L379" i="6"/>
  <c r="M379" i="6"/>
  <c r="B380" i="6"/>
  <c r="C380" i="6"/>
  <c r="D380" i="6"/>
  <c r="F380" i="6" s="1"/>
  <c r="E380" i="6"/>
  <c r="H380" i="6"/>
  <c r="J380" i="6"/>
  <c r="K380" i="6"/>
  <c r="L380" i="6"/>
  <c r="M380" i="6"/>
  <c r="B381" i="6"/>
  <c r="C381" i="6"/>
  <c r="D381" i="6"/>
  <c r="F381" i="6" s="1"/>
  <c r="E381" i="6"/>
  <c r="H381" i="6"/>
  <c r="J381" i="6"/>
  <c r="K381" i="6"/>
  <c r="L381" i="6"/>
  <c r="M381" i="6"/>
  <c r="B382" i="6"/>
  <c r="C382" i="6"/>
  <c r="D382" i="6"/>
  <c r="F382" i="6" s="1"/>
  <c r="E382" i="6"/>
  <c r="H382" i="6"/>
  <c r="J382" i="6"/>
  <c r="K382" i="6"/>
  <c r="L382" i="6"/>
  <c r="M382" i="6"/>
  <c r="B383" i="6"/>
  <c r="C383" i="6"/>
  <c r="D383" i="6"/>
  <c r="F383" i="6" s="1"/>
  <c r="E383" i="6"/>
  <c r="H383" i="6"/>
  <c r="J383" i="6"/>
  <c r="K383" i="6"/>
  <c r="L383" i="6"/>
  <c r="M383" i="6"/>
  <c r="B384" i="6"/>
  <c r="C384" i="6"/>
  <c r="D384" i="6"/>
  <c r="F384" i="6" s="1"/>
  <c r="E384" i="6"/>
  <c r="H384" i="6"/>
  <c r="J384" i="6"/>
  <c r="K384" i="6"/>
  <c r="L384" i="6"/>
  <c r="M384" i="6"/>
  <c r="B385" i="6"/>
  <c r="C385" i="6"/>
  <c r="D385" i="6"/>
  <c r="F385" i="6" s="1"/>
  <c r="E385" i="6"/>
  <c r="H385" i="6"/>
  <c r="J385" i="6"/>
  <c r="K385" i="6"/>
  <c r="L385" i="6"/>
  <c r="M385" i="6"/>
  <c r="B386" i="6"/>
  <c r="C386" i="6"/>
  <c r="D386" i="6"/>
  <c r="F386" i="6" s="1"/>
  <c r="E386" i="6"/>
  <c r="H386" i="6"/>
  <c r="J386" i="6"/>
  <c r="K386" i="6"/>
  <c r="L386" i="6"/>
  <c r="M386" i="6"/>
  <c r="B387" i="6"/>
  <c r="C387" i="6"/>
  <c r="D387" i="6"/>
  <c r="F387" i="6" s="1"/>
  <c r="E387" i="6"/>
  <c r="H387" i="6"/>
  <c r="J387" i="6"/>
  <c r="K387" i="6"/>
  <c r="L387" i="6"/>
  <c r="M387" i="6"/>
  <c r="B388" i="6"/>
  <c r="C388" i="6"/>
  <c r="D388" i="6"/>
  <c r="F388" i="6" s="1"/>
  <c r="E388" i="6"/>
  <c r="H388" i="6"/>
  <c r="J388" i="6"/>
  <c r="K388" i="6"/>
  <c r="L388" i="6"/>
  <c r="M388" i="6"/>
  <c r="B389" i="6"/>
  <c r="C389" i="6"/>
  <c r="D389" i="6"/>
  <c r="F389" i="6" s="1"/>
  <c r="E389" i="6"/>
  <c r="H389" i="6"/>
  <c r="J389" i="6"/>
  <c r="K389" i="6"/>
  <c r="L389" i="6"/>
  <c r="M389" i="6"/>
  <c r="B390" i="6"/>
  <c r="C390" i="6"/>
  <c r="D390" i="6"/>
  <c r="F390" i="6" s="1"/>
  <c r="E390" i="6"/>
  <c r="H390" i="6"/>
  <c r="J390" i="6"/>
  <c r="K390" i="6"/>
  <c r="L390" i="6"/>
  <c r="M390" i="6"/>
  <c r="B391" i="6"/>
  <c r="C391" i="6"/>
  <c r="D391" i="6"/>
  <c r="F391" i="6" s="1"/>
  <c r="E391" i="6"/>
  <c r="H391" i="6"/>
  <c r="J391" i="6"/>
  <c r="K391" i="6"/>
  <c r="L391" i="6"/>
  <c r="M391" i="6"/>
  <c r="B392" i="6"/>
  <c r="C392" i="6"/>
  <c r="D392" i="6"/>
  <c r="F392" i="6" s="1"/>
  <c r="E392" i="6"/>
  <c r="H392" i="6"/>
  <c r="J392" i="6"/>
  <c r="K392" i="6"/>
  <c r="L392" i="6"/>
  <c r="M392" i="6"/>
  <c r="B393" i="6"/>
  <c r="C393" i="6"/>
  <c r="D393" i="6"/>
  <c r="F393" i="6" s="1"/>
  <c r="E393" i="6"/>
  <c r="H393" i="6"/>
  <c r="J393" i="6"/>
  <c r="K393" i="6"/>
  <c r="L393" i="6"/>
  <c r="M393" i="6"/>
  <c r="B394" i="6"/>
  <c r="C394" i="6"/>
  <c r="D394" i="6"/>
  <c r="F394" i="6" s="1"/>
  <c r="E394" i="6"/>
  <c r="H394" i="6"/>
  <c r="J394" i="6"/>
  <c r="K394" i="6"/>
  <c r="L394" i="6"/>
  <c r="M394" i="6"/>
  <c r="B395" i="6"/>
  <c r="C395" i="6"/>
  <c r="D395" i="6"/>
  <c r="F395" i="6" s="1"/>
  <c r="E395" i="6"/>
  <c r="H395" i="6"/>
  <c r="J395" i="6"/>
  <c r="K395" i="6"/>
  <c r="L395" i="6"/>
  <c r="M395" i="6"/>
  <c r="B396" i="6"/>
  <c r="C396" i="6"/>
  <c r="D396" i="6"/>
  <c r="F396" i="6" s="1"/>
  <c r="E396" i="6"/>
  <c r="H396" i="6"/>
  <c r="J396" i="6"/>
  <c r="K396" i="6"/>
  <c r="L396" i="6"/>
  <c r="M396" i="6"/>
  <c r="B397" i="6"/>
  <c r="C397" i="6"/>
  <c r="D397" i="6"/>
  <c r="F397" i="6" s="1"/>
  <c r="E397" i="6"/>
  <c r="H397" i="6"/>
  <c r="J397" i="6"/>
  <c r="K397" i="6"/>
  <c r="L397" i="6"/>
  <c r="M397" i="6"/>
  <c r="B398" i="6"/>
  <c r="C398" i="6"/>
  <c r="D398" i="6"/>
  <c r="F398" i="6" s="1"/>
  <c r="E398" i="6"/>
  <c r="H398" i="6"/>
  <c r="J398" i="6"/>
  <c r="K398" i="6"/>
  <c r="L398" i="6"/>
  <c r="M398" i="6"/>
  <c r="B399" i="6"/>
  <c r="C399" i="6"/>
  <c r="D399" i="6"/>
  <c r="F399" i="6" s="1"/>
  <c r="E399" i="6"/>
  <c r="H399" i="6"/>
  <c r="J399" i="6"/>
  <c r="K399" i="6"/>
  <c r="L399" i="6"/>
  <c r="M399" i="6"/>
  <c r="B400" i="6"/>
  <c r="C400" i="6"/>
  <c r="D400" i="6"/>
  <c r="F400" i="6" s="1"/>
  <c r="E400" i="6"/>
  <c r="H400" i="6"/>
  <c r="J400" i="6"/>
  <c r="K400" i="6"/>
  <c r="L400" i="6"/>
  <c r="M400" i="6"/>
  <c r="B401" i="6"/>
  <c r="C401" i="6"/>
  <c r="D401" i="6"/>
  <c r="F401" i="6" s="1"/>
  <c r="E401" i="6"/>
  <c r="H401" i="6"/>
  <c r="J401" i="6"/>
  <c r="K401" i="6"/>
  <c r="L401" i="6"/>
  <c r="M401" i="6"/>
  <c r="B402" i="6"/>
  <c r="C402" i="6"/>
  <c r="D402" i="6"/>
  <c r="F402" i="6" s="1"/>
  <c r="E402" i="6"/>
  <c r="H402" i="6"/>
  <c r="J402" i="6"/>
  <c r="K402" i="6"/>
  <c r="L402" i="6"/>
  <c r="M402" i="6"/>
  <c r="B403" i="6"/>
  <c r="C403" i="6"/>
  <c r="D403" i="6"/>
  <c r="F403" i="6" s="1"/>
  <c r="E403" i="6"/>
  <c r="H403" i="6"/>
  <c r="J403" i="6"/>
  <c r="K403" i="6"/>
  <c r="L403" i="6"/>
  <c r="M403" i="6"/>
  <c r="B404" i="6"/>
  <c r="C404" i="6"/>
  <c r="D404" i="6"/>
  <c r="F404" i="6" s="1"/>
  <c r="E404" i="6"/>
  <c r="H404" i="6"/>
  <c r="J404" i="6"/>
  <c r="K404" i="6"/>
  <c r="L404" i="6"/>
  <c r="M404" i="6"/>
  <c r="B405" i="6"/>
  <c r="C405" i="6"/>
  <c r="D405" i="6"/>
  <c r="F405" i="6" s="1"/>
  <c r="E405" i="6"/>
  <c r="H405" i="6"/>
  <c r="J405" i="6"/>
  <c r="K405" i="6"/>
  <c r="L405" i="6"/>
  <c r="M405" i="6"/>
  <c r="B406" i="6"/>
  <c r="C406" i="6"/>
  <c r="D406" i="6"/>
  <c r="F406" i="6" s="1"/>
  <c r="E406" i="6"/>
  <c r="H406" i="6"/>
  <c r="J406" i="6"/>
  <c r="K406" i="6"/>
  <c r="L406" i="6"/>
  <c r="M406" i="6"/>
  <c r="B407" i="6"/>
  <c r="C407" i="6"/>
  <c r="D407" i="6"/>
  <c r="F407" i="6" s="1"/>
  <c r="E407" i="6"/>
  <c r="H407" i="6"/>
  <c r="J407" i="6"/>
  <c r="K407" i="6"/>
  <c r="L407" i="6"/>
  <c r="M407" i="6"/>
  <c r="B408" i="6"/>
  <c r="C408" i="6"/>
  <c r="D408" i="6"/>
  <c r="F408" i="6" s="1"/>
  <c r="E408" i="6"/>
  <c r="H408" i="6"/>
  <c r="J408" i="6"/>
  <c r="K408" i="6"/>
  <c r="L408" i="6"/>
  <c r="M408" i="6"/>
  <c r="B409" i="6"/>
  <c r="C409" i="6"/>
  <c r="D409" i="6"/>
  <c r="F409" i="6" s="1"/>
  <c r="E409" i="6"/>
  <c r="H409" i="6"/>
  <c r="J409" i="6"/>
  <c r="K409" i="6"/>
  <c r="L409" i="6"/>
  <c r="M409" i="6"/>
  <c r="B410" i="6"/>
  <c r="C410" i="6"/>
  <c r="D410" i="6"/>
  <c r="F410" i="6" s="1"/>
  <c r="E410" i="6"/>
  <c r="H410" i="6"/>
  <c r="J410" i="6"/>
  <c r="K410" i="6"/>
  <c r="L410" i="6"/>
  <c r="M410" i="6"/>
  <c r="B411" i="6"/>
  <c r="C411" i="6"/>
  <c r="D411" i="6"/>
  <c r="F411" i="6" s="1"/>
  <c r="E411" i="6"/>
  <c r="H411" i="6"/>
  <c r="J411" i="6"/>
  <c r="K411" i="6"/>
  <c r="L411" i="6"/>
  <c r="M411" i="6"/>
  <c r="B412" i="6"/>
  <c r="C412" i="6"/>
  <c r="D412" i="6"/>
  <c r="F412" i="6" s="1"/>
  <c r="E412" i="6"/>
  <c r="H412" i="6"/>
  <c r="J412" i="6"/>
  <c r="K412" i="6"/>
  <c r="L412" i="6"/>
  <c r="M412" i="6"/>
  <c r="B413" i="6"/>
  <c r="C413" i="6"/>
  <c r="D413" i="6"/>
  <c r="F413" i="6" s="1"/>
  <c r="E413" i="6"/>
  <c r="H413" i="6"/>
  <c r="J413" i="6"/>
  <c r="K413" i="6"/>
  <c r="L413" i="6"/>
  <c r="M413" i="6"/>
  <c r="B414" i="6"/>
  <c r="C414" i="6"/>
  <c r="D414" i="6"/>
  <c r="F414" i="6" s="1"/>
  <c r="E414" i="6"/>
  <c r="H414" i="6"/>
  <c r="J414" i="6"/>
  <c r="K414" i="6"/>
  <c r="L414" i="6"/>
  <c r="M414" i="6"/>
  <c r="B415" i="6"/>
  <c r="C415" i="6"/>
  <c r="D415" i="6"/>
  <c r="F415" i="6" s="1"/>
  <c r="E415" i="6"/>
  <c r="H415" i="6"/>
  <c r="J415" i="6"/>
  <c r="K415" i="6"/>
  <c r="L415" i="6"/>
  <c r="M415" i="6"/>
  <c r="B416" i="6"/>
  <c r="C416" i="6"/>
  <c r="D416" i="6"/>
  <c r="F416" i="6" s="1"/>
  <c r="E416" i="6"/>
  <c r="H416" i="6"/>
  <c r="J416" i="6"/>
  <c r="K416" i="6"/>
  <c r="L416" i="6"/>
  <c r="M416" i="6"/>
  <c r="B417" i="6"/>
  <c r="C417" i="6"/>
  <c r="D417" i="6"/>
  <c r="F417" i="6" s="1"/>
  <c r="E417" i="6"/>
  <c r="H417" i="6"/>
  <c r="J417" i="6"/>
  <c r="K417" i="6"/>
  <c r="L417" i="6"/>
  <c r="M417" i="6"/>
  <c r="B418" i="6"/>
  <c r="C418" i="6"/>
  <c r="D418" i="6"/>
  <c r="F418" i="6" s="1"/>
  <c r="E418" i="6"/>
  <c r="H418" i="6"/>
  <c r="J418" i="6"/>
  <c r="K418" i="6"/>
  <c r="L418" i="6"/>
  <c r="M418" i="6"/>
  <c r="B419" i="6"/>
  <c r="C419" i="6"/>
  <c r="D419" i="6"/>
  <c r="F419" i="6" s="1"/>
  <c r="E419" i="6"/>
  <c r="H419" i="6"/>
  <c r="J419" i="6"/>
  <c r="K419" i="6"/>
  <c r="L419" i="6"/>
  <c r="M419" i="6"/>
  <c r="B420" i="6"/>
  <c r="C420" i="6"/>
  <c r="D420" i="6"/>
  <c r="F420" i="6" s="1"/>
  <c r="E420" i="6"/>
  <c r="H420" i="6"/>
  <c r="J420" i="6"/>
  <c r="K420" i="6"/>
  <c r="L420" i="6"/>
  <c r="M420" i="6"/>
  <c r="B421" i="6"/>
  <c r="C421" i="6"/>
  <c r="D421" i="6"/>
  <c r="F421" i="6" s="1"/>
  <c r="E421" i="6"/>
  <c r="H421" i="6"/>
  <c r="J421" i="6"/>
  <c r="K421" i="6"/>
  <c r="L421" i="6"/>
  <c r="M421" i="6"/>
  <c r="B422" i="6"/>
  <c r="C422" i="6"/>
  <c r="D422" i="6"/>
  <c r="F422" i="6" s="1"/>
  <c r="E422" i="6"/>
  <c r="H422" i="6"/>
  <c r="J422" i="6"/>
  <c r="K422" i="6"/>
  <c r="L422" i="6"/>
  <c r="M422" i="6"/>
  <c r="B423" i="6"/>
  <c r="C423" i="6"/>
  <c r="D423" i="6"/>
  <c r="F423" i="6" s="1"/>
  <c r="E423" i="6"/>
  <c r="H423" i="6"/>
  <c r="J423" i="6"/>
  <c r="K423" i="6"/>
  <c r="L423" i="6"/>
  <c r="M423" i="6"/>
  <c r="B424" i="6"/>
  <c r="C424" i="6"/>
  <c r="D424" i="6"/>
  <c r="F424" i="6" s="1"/>
  <c r="E424" i="6"/>
  <c r="H424" i="6"/>
  <c r="J424" i="6"/>
  <c r="K424" i="6"/>
  <c r="L424" i="6"/>
  <c r="M424" i="6"/>
  <c r="B425" i="6"/>
  <c r="C425" i="6"/>
  <c r="D425" i="6"/>
  <c r="F425" i="6" s="1"/>
  <c r="E425" i="6"/>
  <c r="H425" i="6"/>
  <c r="J425" i="6"/>
  <c r="K425" i="6"/>
  <c r="L425" i="6"/>
  <c r="M425" i="6"/>
  <c r="B426" i="6"/>
  <c r="C426" i="6"/>
  <c r="D426" i="6"/>
  <c r="F426" i="6" s="1"/>
  <c r="E426" i="6"/>
  <c r="H426" i="6"/>
  <c r="J426" i="6"/>
  <c r="K426" i="6"/>
  <c r="L426" i="6"/>
  <c r="M426" i="6"/>
  <c r="B427" i="6"/>
  <c r="C427" i="6"/>
  <c r="D427" i="6"/>
  <c r="F427" i="6" s="1"/>
  <c r="E427" i="6"/>
  <c r="H427" i="6"/>
  <c r="J427" i="6"/>
  <c r="K427" i="6"/>
  <c r="L427" i="6"/>
  <c r="M427" i="6"/>
  <c r="B430" i="6"/>
  <c r="C430" i="6"/>
  <c r="D430" i="6"/>
  <c r="F430" i="6" s="1"/>
  <c r="E430" i="6"/>
  <c r="H430" i="6"/>
  <c r="J430" i="6"/>
  <c r="K430" i="6"/>
  <c r="L430" i="6"/>
  <c r="M430" i="6"/>
  <c r="B431" i="6"/>
  <c r="C431" i="6"/>
  <c r="D431" i="6"/>
  <c r="F431" i="6" s="1"/>
  <c r="E431" i="6"/>
  <c r="H431" i="6"/>
  <c r="J431" i="6"/>
  <c r="K431" i="6"/>
  <c r="L431" i="6"/>
  <c r="M431" i="6"/>
  <c r="B432" i="6"/>
  <c r="C432" i="6"/>
  <c r="D432" i="6"/>
  <c r="F432" i="6" s="1"/>
  <c r="E432" i="6"/>
  <c r="H432" i="6"/>
  <c r="J432" i="6"/>
  <c r="K432" i="6"/>
  <c r="L432" i="6"/>
  <c r="M432" i="6"/>
  <c r="B436" i="6"/>
  <c r="C436" i="6"/>
  <c r="D436" i="6"/>
  <c r="F436" i="6" s="1"/>
  <c r="E436" i="6"/>
  <c r="H436" i="6"/>
  <c r="J436" i="6"/>
  <c r="K436" i="6"/>
  <c r="L436" i="6"/>
  <c r="M436" i="6"/>
  <c r="B437" i="6"/>
  <c r="C437" i="6"/>
  <c r="D437" i="6"/>
  <c r="F437" i="6" s="1"/>
  <c r="E437" i="6"/>
  <c r="H437" i="6"/>
  <c r="J437" i="6"/>
  <c r="K437" i="6"/>
  <c r="L437" i="6"/>
  <c r="M437" i="6"/>
  <c r="B438" i="6"/>
  <c r="C438" i="6"/>
  <c r="D438" i="6"/>
  <c r="F438" i="6" s="1"/>
  <c r="E438" i="6"/>
  <c r="H438" i="6"/>
  <c r="J438" i="6"/>
  <c r="K438" i="6"/>
  <c r="L438" i="6"/>
  <c r="M438" i="6"/>
  <c r="B439" i="6"/>
  <c r="C439" i="6"/>
  <c r="D439" i="6"/>
  <c r="F439" i="6" s="1"/>
  <c r="E439" i="6"/>
  <c r="H439" i="6"/>
  <c r="J439" i="6"/>
  <c r="K439" i="6"/>
  <c r="L439" i="6"/>
  <c r="M439" i="6"/>
  <c r="B440" i="6"/>
  <c r="C440" i="6"/>
  <c r="D440" i="6"/>
  <c r="F440" i="6" s="1"/>
  <c r="E440" i="6"/>
  <c r="H440" i="6"/>
  <c r="J440" i="6"/>
  <c r="K440" i="6"/>
  <c r="L440" i="6"/>
  <c r="M440" i="6"/>
  <c r="B441" i="6"/>
  <c r="C441" i="6"/>
  <c r="D441" i="6"/>
  <c r="F441" i="6" s="1"/>
  <c r="E441" i="6"/>
  <c r="H441" i="6"/>
  <c r="J441" i="6"/>
  <c r="K441" i="6"/>
  <c r="L441" i="6"/>
  <c r="M441" i="6"/>
  <c r="B443" i="6"/>
  <c r="C443" i="6"/>
  <c r="D443" i="6"/>
  <c r="F443" i="6" s="1"/>
  <c r="E443" i="6"/>
  <c r="H443" i="6"/>
  <c r="J443" i="6"/>
  <c r="K443" i="6"/>
  <c r="L443" i="6"/>
  <c r="M443" i="6"/>
  <c r="B444" i="6"/>
  <c r="C444" i="6"/>
  <c r="D444" i="6"/>
  <c r="F444" i="6" s="1"/>
  <c r="E444" i="6"/>
  <c r="H444" i="6"/>
  <c r="J444" i="6"/>
  <c r="K444" i="6"/>
  <c r="L444" i="6"/>
  <c r="M444" i="6"/>
  <c r="B445" i="6"/>
  <c r="C445" i="6"/>
  <c r="D445" i="6"/>
  <c r="F445" i="6" s="1"/>
  <c r="E445" i="6"/>
  <c r="H445" i="6"/>
  <c r="J445" i="6"/>
  <c r="K445" i="6"/>
  <c r="L445" i="6"/>
  <c r="M445" i="6"/>
  <c r="B446" i="6"/>
  <c r="C446" i="6"/>
  <c r="D446" i="6"/>
  <c r="F446" i="6" s="1"/>
  <c r="E446" i="6"/>
  <c r="H446" i="6"/>
  <c r="J446" i="6"/>
  <c r="K446" i="6"/>
  <c r="L446" i="6"/>
  <c r="M446" i="6"/>
  <c r="B447" i="6"/>
  <c r="C447" i="6"/>
  <c r="D447" i="6"/>
  <c r="F447" i="6" s="1"/>
  <c r="E447" i="6"/>
  <c r="H447" i="6"/>
  <c r="J447" i="6"/>
  <c r="K447" i="6"/>
  <c r="L447" i="6"/>
  <c r="M447" i="6"/>
  <c r="B448" i="6"/>
  <c r="C448" i="6"/>
  <c r="D448" i="6"/>
  <c r="F448" i="6" s="1"/>
  <c r="E448" i="6"/>
  <c r="H448" i="6"/>
  <c r="J448" i="6"/>
  <c r="K448" i="6"/>
  <c r="L448" i="6"/>
  <c r="M448" i="6"/>
  <c r="B449" i="6"/>
  <c r="C449" i="6"/>
  <c r="D449" i="6"/>
  <c r="F449" i="6" s="1"/>
  <c r="E449" i="6"/>
  <c r="H449" i="6"/>
  <c r="J449" i="6"/>
  <c r="K449" i="6"/>
  <c r="L449" i="6"/>
  <c r="M449" i="6"/>
  <c r="B450" i="6"/>
  <c r="C450" i="6"/>
  <c r="D450" i="6"/>
  <c r="F450" i="6" s="1"/>
  <c r="E450" i="6"/>
  <c r="H450" i="6"/>
  <c r="J450" i="6"/>
  <c r="K450" i="6"/>
  <c r="L450" i="6"/>
  <c r="M450" i="6"/>
  <c r="B451" i="6"/>
  <c r="C451" i="6"/>
  <c r="D451" i="6"/>
  <c r="F451" i="6" s="1"/>
  <c r="E451" i="6"/>
  <c r="H451" i="6"/>
  <c r="J451" i="6"/>
  <c r="K451" i="6"/>
  <c r="L451" i="6"/>
  <c r="M451" i="6"/>
  <c r="B452" i="6"/>
  <c r="C452" i="6"/>
  <c r="D452" i="6"/>
  <c r="F452" i="6" s="1"/>
  <c r="E452" i="6"/>
  <c r="H452" i="6"/>
  <c r="J452" i="6"/>
  <c r="K452" i="6"/>
  <c r="L452" i="6"/>
  <c r="M452" i="6"/>
  <c r="B453" i="6"/>
  <c r="C453" i="6"/>
  <c r="D453" i="6"/>
  <c r="F453" i="6" s="1"/>
  <c r="E453" i="6"/>
  <c r="H453" i="6"/>
  <c r="J453" i="6"/>
  <c r="K453" i="6"/>
  <c r="L453" i="6"/>
  <c r="M453" i="6"/>
  <c r="B454" i="6"/>
  <c r="C454" i="6"/>
  <c r="D454" i="6"/>
  <c r="F454" i="6" s="1"/>
  <c r="E454" i="6"/>
  <c r="H454" i="6"/>
  <c r="J454" i="6"/>
  <c r="K454" i="6"/>
  <c r="L454" i="6"/>
  <c r="M454" i="6"/>
  <c r="B455" i="6"/>
  <c r="C455" i="6"/>
  <c r="D455" i="6"/>
  <c r="F455" i="6" s="1"/>
  <c r="E455" i="6"/>
  <c r="H455" i="6"/>
  <c r="J455" i="6"/>
  <c r="K455" i="6"/>
  <c r="L455" i="6"/>
  <c r="M455" i="6"/>
  <c r="B456" i="6"/>
  <c r="C456" i="6"/>
  <c r="D456" i="6"/>
  <c r="F456" i="6" s="1"/>
  <c r="E456" i="6"/>
  <c r="H456" i="6"/>
  <c r="J456" i="6"/>
  <c r="K456" i="6"/>
  <c r="L456" i="6"/>
  <c r="M456" i="6"/>
  <c r="B457" i="6"/>
  <c r="C457" i="6"/>
  <c r="D457" i="6"/>
  <c r="F457" i="6" s="1"/>
  <c r="E457" i="6"/>
  <c r="H457" i="6"/>
  <c r="J457" i="6"/>
  <c r="K457" i="6"/>
  <c r="L457" i="6"/>
  <c r="M457" i="6"/>
  <c r="B458" i="6"/>
  <c r="C458" i="6"/>
  <c r="D458" i="6"/>
  <c r="F458" i="6" s="1"/>
  <c r="E458" i="6"/>
  <c r="H458" i="6"/>
  <c r="J458" i="6"/>
  <c r="K458" i="6"/>
  <c r="L458" i="6"/>
  <c r="M458" i="6"/>
  <c r="B459" i="6"/>
  <c r="C459" i="6"/>
  <c r="D459" i="6"/>
  <c r="F459" i="6" s="1"/>
  <c r="E459" i="6"/>
  <c r="H459" i="6"/>
  <c r="J459" i="6"/>
  <c r="K459" i="6"/>
  <c r="L459" i="6"/>
  <c r="M459" i="6"/>
  <c r="B460" i="6"/>
  <c r="C460" i="6"/>
  <c r="D460" i="6"/>
  <c r="F460" i="6" s="1"/>
  <c r="E460" i="6"/>
  <c r="H460" i="6"/>
  <c r="J460" i="6"/>
  <c r="K460" i="6"/>
  <c r="L460" i="6"/>
  <c r="M460" i="6"/>
  <c r="B461" i="6"/>
  <c r="C461" i="6"/>
  <c r="D461" i="6"/>
  <c r="F461" i="6" s="1"/>
  <c r="E461" i="6"/>
  <c r="H461" i="6"/>
  <c r="J461" i="6"/>
  <c r="K461" i="6"/>
  <c r="L461" i="6"/>
  <c r="M461" i="6"/>
  <c r="B462" i="6"/>
  <c r="C462" i="6"/>
  <c r="D462" i="6"/>
  <c r="F462" i="6" s="1"/>
  <c r="E462" i="6"/>
  <c r="H462" i="6"/>
  <c r="J462" i="6"/>
  <c r="K462" i="6"/>
  <c r="L462" i="6"/>
  <c r="M462" i="6"/>
  <c r="B463" i="6"/>
  <c r="C463" i="6"/>
  <c r="D463" i="6"/>
  <c r="F463" i="6" s="1"/>
  <c r="E463" i="6"/>
  <c r="H463" i="6"/>
  <c r="J463" i="6"/>
  <c r="K463" i="6"/>
  <c r="L463" i="6"/>
  <c r="M463" i="6"/>
  <c r="B464" i="6"/>
  <c r="C464" i="6"/>
  <c r="D464" i="6"/>
  <c r="F464" i="6" s="1"/>
  <c r="E464" i="6"/>
  <c r="H464" i="6"/>
  <c r="J464" i="6"/>
  <c r="K464" i="6"/>
  <c r="L464" i="6"/>
  <c r="M464" i="6"/>
  <c r="B465" i="6"/>
  <c r="C465" i="6"/>
  <c r="D465" i="6"/>
  <c r="F465" i="6" s="1"/>
  <c r="E465" i="6"/>
  <c r="H465" i="6"/>
  <c r="J465" i="6"/>
  <c r="K465" i="6"/>
  <c r="L465" i="6"/>
  <c r="M465" i="6"/>
  <c r="B466" i="6"/>
  <c r="C466" i="6"/>
  <c r="D466" i="6"/>
  <c r="F466" i="6" s="1"/>
  <c r="E466" i="6"/>
  <c r="H466" i="6"/>
  <c r="J466" i="6"/>
  <c r="K466" i="6"/>
  <c r="L466" i="6"/>
  <c r="M466" i="6"/>
  <c r="B467" i="6"/>
  <c r="C467" i="6"/>
  <c r="D467" i="6"/>
  <c r="F467" i="6" s="1"/>
  <c r="E467" i="6"/>
  <c r="H467" i="6"/>
  <c r="J467" i="6"/>
  <c r="K467" i="6"/>
  <c r="L467" i="6"/>
  <c r="M467" i="6"/>
  <c r="B468" i="6"/>
  <c r="C468" i="6"/>
  <c r="D468" i="6"/>
  <c r="F468" i="6" s="1"/>
  <c r="E468" i="6"/>
  <c r="H468" i="6"/>
  <c r="J468" i="6"/>
  <c r="K468" i="6"/>
  <c r="L468" i="6"/>
  <c r="M468" i="6"/>
  <c r="B469" i="6"/>
  <c r="C469" i="6"/>
  <c r="D469" i="6"/>
  <c r="F469" i="6" s="1"/>
  <c r="E469" i="6"/>
  <c r="H469" i="6"/>
  <c r="J469" i="6"/>
  <c r="K469" i="6"/>
  <c r="L469" i="6"/>
  <c r="M469" i="6"/>
  <c r="B470" i="6"/>
  <c r="C470" i="6"/>
  <c r="D470" i="6"/>
  <c r="F470" i="6" s="1"/>
  <c r="E470" i="6"/>
  <c r="H470" i="6"/>
  <c r="J470" i="6"/>
  <c r="K470" i="6"/>
  <c r="L470" i="6"/>
  <c r="M470" i="6"/>
  <c r="B471" i="6"/>
  <c r="C471" i="6"/>
  <c r="D471" i="6"/>
  <c r="F471" i="6" s="1"/>
  <c r="E471" i="6"/>
  <c r="H471" i="6"/>
  <c r="J471" i="6"/>
  <c r="K471" i="6"/>
  <c r="L471" i="6"/>
  <c r="M471" i="6"/>
  <c r="B472" i="6"/>
  <c r="C472" i="6"/>
  <c r="D472" i="6"/>
  <c r="F472" i="6" s="1"/>
  <c r="E472" i="6"/>
  <c r="H472" i="6"/>
  <c r="J472" i="6"/>
  <c r="K472" i="6"/>
  <c r="L472" i="6"/>
  <c r="M472" i="6"/>
  <c r="B473" i="6"/>
  <c r="C473" i="6"/>
  <c r="D473" i="6"/>
  <c r="F473" i="6" s="1"/>
  <c r="E473" i="6"/>
  <c r="H473" i="6"/>
  <c r="J473" i="6"/>
  <c r="K473" i="6"/>
  <c r="L473" i="6"/>
  <c r="M473" i="6"/>
  <c r="B474" i="6"/>
  <c r="C474" i="6"/>
  <c r="D474" i="6"/>
  <c r="F474" i="6" s="1"/>
  <c r="E474" i="6"/>
  <c r="H474" i="6"/>
  <c r="J474" i="6"/>
  <c r="K474" i="6"/>
  <c r="L474" i="6"/>
  <c r="M474" i="6"/>
  <c r="B475" i="6"/>
  <c r="C475" i="6"/>
  <c r="D475" i="6"/>
  <c r="F475" i="6" s="1"/>
  <c r="E475" i="6"/>
  <c r="H475" i="6"/>
  <c r="J475" i="6"/>
  <c r="K475" i="6"/>
  <c r="L475" i="6"/>
  <c r="M475" i="6"/>
  <c r="B476" i="6"/>
  <c r="C476" i="6"/>
  <c r="D476" i="6"/>
  <c r="F476" i="6" s="1"/>
  <c r="E476" i="6"/>
  <c r="H476" i="6"/>
  <c r="J476" i="6"/>
  <c r="K476" i="6"/>
  <c r="L476" i="6"/>
  <c r="M476" i="6"/>
  <c r="B477" i="6"/>
  <c r="C477" i="6"/>
  <c r="D477" i="6"/>
  <c r="F477" i="6" s="1"/>
  <c r="E477" i="6"/>
  <c r="H477" i="6"/>
  <c r="J477" i="6"/>
  <c r="K477" i="6"/>
  <c r="L477" i="6"/>
  <c r="M477" i="6"/>
  <c r="B478" i="6"/>
  <c r="C478" i="6"/>
  <c r="D478" i="6"/>
  <c r="F478" i="6" s="1"/>
  <c r="E478" i="6"/>
  <c r="H478" i="6"/>
  <c r="J478" i="6"/>
  <c r="K478" i="6"/>
  <c r="L478" i="6"/>
  <c r="M478" i="6"/>
  <c r="B479" i="6"/>
  <c r="C479" i="6"/>
  <c r="D479" i="6"/>
  <c r="F479" i="6" s="1"/>
  <c r="E479" i="6"/>
  <c r="H479" i="6"/>
  <c r="J479" i="6"/>
  <c r="K479" i="6"/>
  <c r="L479" i="6"/>
  <c r="B480" i="6"/>
  <c r="C480" i="6"/>
  <c r="D480" i="6"/>
  <c r="F480" i="6" s="1"/>
  <c r="E480" i="6"/>
  <c r="H480" i="6"/>
  <c r="J480" i="6"/>
  <c r="K480" i="6"/>
  <c r="L480" i="6"/>
  <c r="B481" i="6"/>
  <c r="C481" i="6"/>
  <c r="D481" i="6"/>
  <c r="F481" i="6" s="1"/>
  <c r="E481" i="6"/>
  <c r="H481" i="6"/>
  <c r="J481" i="6"/>
  <c r="K481" i="6"/>
  <c r="L481" i="6"/>
  <c r="B482" i="6"/>
  <c r="C482" i="6"/>
  <c r="D482" i="6"/>
  <c r="F482" i="6" s="1"/>
  <c r="E482" i="6"/>
  <c r="H482" i="6"/>
  <c r="J482" i="6"/>
  <c r="K482" i="6"/>
  <c r="L482" i="6"/>
  <c r="B483" i="6"/>
  <c r="C483" i="6"/>
  <c r="D483" i="6"/>
  <c r="F483" i="6" s="1"/>
  <c r="E483" i="6"/>
  <c r="H483" i="6"/>
  <c r="J483" i="6"/>
  <c r="K483" i="6"/>
  <c r="L483" i="6"/>
  <c r="B484" i="6"/>
  <c r="C484" i="6"/>
  <c r="D484" i="6"/>
  <c r="F484" i="6" s="1"/>
  <c r="E484" i="6"/>
  <c r="H484" i="6"/>
  <c r="J484" i="6"/>
  <c r="K484" i="6"/>
  <c r="L484" i="6"/>
  <c r="B485" i="6"/>
  <c r="C485" i="6"/>
  <c r="D485" i="6"/>
  <c r="F485" i="6" s="1"/>
  <c r="E485" i="6"/>
  <c r="H485" i="6"/>
  <c r="J485" i="6"/>
  <c r="K485" i="6"/>
  <c r="L485" i="6"/>
  <c r="B486" i="6"/>
  <c r="C486" i="6"/>
  <c r="D486" i="6"/>
  <c r="F486" i="6" s="1"/>
  <c r="E486" i="6"/>
  <c r="H486" i="6"/>
  <c r="J486" i="6"/>
  <c r="K486" i="6"/>
  <c r="L486" i="6"/>
  <c r="B487" i="6"/>
  <c r="C487" i="6"/>
  <c r="D487" i="6"/>
  <c r="F487" i="6" s="1"/>
  <c r="E487" i="6"/>
  <c r="H487" i="6"/>
  <c r="J487" i="6"/>
  <c r="K487" i="6"/>
  <c r="L487" i="6"/>
  <c r="B488" i="6"/>
  <c r="C488" i="6"/>
  <c r="D488" i="6"/>
  <c r="F488" i="6" s="1"/>
  <c r="E488" i="6"/>
  <c r="H488" i="6"/>
  <c r="J488" i="6"/>
  <c r="K488" i="6"/>
  <c r="L488" i="6"/>
  <c r="B489" i="6"/>
  <c r="C489" i="6"/>
  <c r="D489" i="6"/>
  <c r="F489" i="6" s="1"/>
  <c r="E489" i="6"/>
  <c r="H489" i="6"/>
  <c r="J489" i="6"/>
  <c r="K489" i="6"/>
  <c r="L489" i="6"/>
  <c r="B490" i="6"/>
  <c r="C490" i="6"/>
  <c r="D490" i="6"/>
  <c r="F490" i="6" s="1"/>
  <c r="E490" i="6"/>
  <c r="H490" i="6"/>
  <c r="J490" i="6"/>
  <c r="K490" i="6"/>
  <c r="L490" i="6"/>
  <c r="B491" i="6"/>
  <c r="C491" i="6"/>
  <c r="D491" i="6"/>
  <c r="F491" i="6" s="1"/>
  <c r="E491" i="6"/>
  <c r="H491" i="6"/>
  <c r="J491" i="6"/>
  <c r="K491" i="6"/>
  <c r="L491" i="6"/>
  <c r="B492" i="6"/>
  <c r="C492" i="6"/>
  <c r="D492" i="6"/>
  <c r="F492" i="6" s="1"/>
  <c r="E492" i="6"/>
  <c r="H492" i="6"/>
  <c r="J492" i="6"/>
  <c r="K492" i="6"/>
  <c r="L492" i="6"/>
  <c r="B493" i="6"/>
  <c r="C493" i="6"/>
  <c r="D493" i="6"/>
  <c r="F493" i="6" s="1"/>
  <c r="E493" i="6"/>
  <c r="H493" i="6"/>
  <c r="J493" i="6"/>
  <c r="K493" i="6"/>
  <c r="L493" i="6"/>
  <c r="B494" i="6"/>
  <c r="C494" i="6"/>
  <c r="D494" i="6"/>
  <c r="F494" i="6" s="1"/>
  <c r="E494" i="6"/>
  <c r="H494" i="6"/>
  <c r="J494" i="6"/>
  <c r="K494" i="6"/>
  <c r="L494" i="6"/>
  <c r="B495" i="6"/>
  <c r="C495" i="6"/>
  <c r="D495" i="6"/>
  <c r="F495" i="6" s="1"/>
  <c r="E495" i="6"/>
  <c r="H495" i="6"/>
  <c r="J495" i="6"/>
  <c r="K495" i="6"/>
  <c r="L495" i="6"/>
  <c r="B496" i="6"/>
  <c r="C496" i="6"/>
  <c r="D496" i="6"/>
  <c r="F496" i="6" s="1"/>
  <c r="E496" i="6"/>
  <c r="H496" i="6"/>
  <c r="J496" i="6"/>
  <c r="K496" i="6"/>
  <c r="L496" i="6"/>
  <c r="B497" i="6"/>
  <c r="C497" i="6"/>
  <c r="D497" i="6"/>
  <c r="F497" i="6" s="1"/>
  <c r="E497" i="6"/>
  <c r="H497" i="6"/>
  <c r="J497" i="6"/>
  <c r="K497" i="6"/>
  <c r="L497" i="6"/>
  <c r="B498" i="6"/>
  <c r="C498" i="6"/>
  <c r="D498" i="6"/>
  <c r="F498" i="6" s="1"/>
  <c r="E498" i="6"/>
  <c r="H498" i="6"/>
  <c r="J498" i="6"/>
  <c r="K498" i="6"/>
  <c r="L498" i="6"/>
  <c r="B499" i="6"/>
  <c r="C499" i="6"/>
  <c r="D499" i="6"/>
  <c r="F499" i="6" s="1"/>
  <c r="E499" i="6"/>
  <c r="H499" i="6"/>
  <c r="J499" i="6"/>
  <c r="K499" i="6"/>
  <c r="L499" i="6"/>
  <c r="B500" i="6"/>
  <c r="C500" i="6"/>
  <c r="D500" i="6"/>
  <c r="F500" i="6" s="1"/>
  <c r="E500" i="6"/>
  <c r="H500" i="6"/>
  <c r="J500" i="6"/>
  <c r="K500" i="6"/>
  <c r="L500" i="6"/>
  <c r="B501" i="6"/>
  <c r="C501" i="6"/>
  <c r="D501" i="6"/>
  <c r="F501" i="6" s="1"/>
  <c r="E501" i="6"/>
  <c r="H501" i="6"/>
  <c r="J501" i="6"/>
  <c r="K501" i="6"/>
  <c r="L501" i="6"/>
  <c r="B504" i="6"/>
  <c r="C504" i="6"/>
  <c r="D504" i="6"/>
  <c r="F504" i="6" s="1"/>
  <c r="E504" i="6"/>
  <c r="H504" i="6"/>
  <c r="J504" i="6"/>
  <c r="K504" i="6"/>
  <c r="L504" i="6"/>
  <c r="B505" i="6"/>
  <c r="C505" i="6"/>
  <c r="D505" i="6"/>
  <c r="F505" i="6" s="1"/>
  <c r="E505" i="6"/>
  <c r="H505" i="6"/>
  <c r="J505" i="6"/>
  <c r="K505" i="6"/>
  <c r="L505" i="6"/>
  <c r="B506" i="6"/>
  <c r="C506" i="6"/>
  <c r="D506" i="6"/>
  <c r="F506" i="6" s="1"/>
  <c r="E506" i="6"/>
  <c r="H506" i="6"/>
  <c r="J506" i="6"/>
  <c r="K506" i="6"/>
  <c r="L506" i="6"/>
  <c r="B507" i="6"/>
  <c r="C507" i="6"/>
  <c r="D507" i="6"/>
  <c r="F507" i="6" s="1"/>
  <c r="E507" i="6"/>
  <c r="H507" i="6"/>
  <c r="J507" i="6"/>
  <c r="K507" i="6"/>
  <c r="L507" i="6"/>
  <c r="B508" i="6"/>
  <c r="C508" i="6"/>
  <c r="D508" i="6"/>
  <c r="F508" i="6" s="1"/>
  <c r="E508" i="6"/>
  <c r="H508" i="6"/>
  <c r="J508" i="6"/>
  <c r="K508" i="6"/>
  <c r="L508" i="6"/>
  <c r="B509" i="6"/>
  <c r="C509" i="6"/>
  <c r="D509" i="6"/>
  <c r="F509" i="6" s="1"/>
  <c r="E509" i="6"/>
  <c r="H509" i="6"/>
  <c r="J509" i="6"/>
  <c r="K509" i="6"/>
  <c r="L509" i="6"/>
  <c r="B510" i="6"/>
  <c r="C510" i="6"/>
  <c r="D510" i="6"/>
  <c r="F510" i="6" s="1"/>
  <c r="E510" i="6"/>
  <c r="H510" i="6"/>
  <c r="J510" i="6"/>
  <c r="K510" i="6"/>
  <c r="L510" i="6"/>
  <c r="B511" i="6"/>
  <c r="C511" i="6"/>
  <c r="D511" i="6"/>
  <c r="F511" i="6" s="1"/>
  <c r="E511" i="6"/>
  <c r="H511" i="6"/>
  <c r="J511" i="6"/>
  <c r="K511" i="6"/>
  <c r="L511" i="6"/>
  <c r="B513" i="6"/>
  <c r="C513" i="6"/>
  <c r="D513" i="6"/>
  <c r="F513" i="6" s="1"/>
  <c r="E513" i="6"/>
  <c r="H513" i="6"/>
  <c r="J513" i="6"/>
  <c r="K513" i="6"/>
  <c r="L513" i="6"/>
  <c r="B514" i="6"/>
  <c r="C514" i="6"/>
  <c r="D514" i="6"/>
  <c r="F514" i="6" s="1"/>
  <c r="E514" i="6"/>
  <c r="H514" i="6"/>
  <c r="J514" i="6"/>
  <c r="K514" i="6"/>
  <c r="L514" i="6"/>
  <c r="B516" i="6"/>
  <c r="C516" i="6"/>
  <c r="D516" i="6"/>
  <c r="F516" i="6" s="1"/>
  <c r="E516" i="6"/>
  <c r="H516" i="6"/>
  <c r="J516" i="6"/>
  <c r="K516" i="6"/>
  <c r="L516" i="6"/>
  <c r="B520" i="6"/>
  <c r="C520" i="6"/>
  <c r="D520" i="6"/>
  <c r="F520" i="6" s="1"/>
  <c r="E520" i="6"/>
  <c r="H520" i="6"/>
  <c r="J520" i="6"/>
  <c r="K520" i="6"/>
  <c r="L520" i="6"/>
  <c r="B525" i="6"/>
  <c r="C525" i="6"/>
  <c r="D525" i="6"/>
  <c r="F525" i="6" s="1"/>
  <c r="E525" i="6"/>
  <c r="H525" i="6"/>
  <c r="J525" i="6"/>
  <c r="K525" i="6"/>
  <c r="L525" i="6"/>
  <c r="B526" i="6"/>
  <c r="C526" i="6"/>
  <c r="D526" i="6"/>
  <c r="F526" i="6" s="1"/>
  <c r="E526" i="6"/>
  <c r="H526" i="6"/>
  <c r="J526" i="6"/>
  <c r="K526" i="6"/>
  <c r="L526" i="6"/>
  <c r="B527" i="6"/>
  <c r="C527" i="6"/>
  <c r="D527" i="6"/>
  <c r="F527" i="6" s="1"/>
  <c r="E527" i="6"/>
  <c r="H527" i="6"/>
  <c r="J527" i="6"/>
  <c r="K527" i="6"/>
  <c r="L527" i="6"/>
  <c r="B528" i="6"/>
  <c r="C528" i="6"/>
  <c r="D528" i="6"/>
  <c r="F528" i="6" s="1"/>
  <c r="E528" i="6"/>
  <c r="H528" i="6"/>
  <c r="J528" i="6"/>
  <c r="K528" i="6"/>
  <c r="L528" i="6"/>
  <c r="B529" i="6"/>
  <c r="C529" i="6"/>
  <c r="D529" i="6"/>
  <c r="F529" i="6" s="1"/>
  <c r="E529" i="6"/>
  <c r="H529" i="6"/>
  <c r="J529" i="6"/>
  <c r="K529" i="6"/>
  <c r="L529" i="6"/>
  <c r="B530" i="6"/>
  <c r="C530" i="6"/>
  <c r="D530" i="6"/>
  <c r="F530" i="6" s="1"/>
  <c r="E530" i="6"/>
  <c r="H530" i="6"/>
  <c r="J530" i="6"/>
  <c r="K530" i="6"/>
  <c r="L530" i="6"/>
  <c r="B531" i="6"/>
  <c r="C531" i="6"/>
  <c r="D531" i="6"/>
  <c r="F531" i="6" s="1"/>
  <c r="E531" i="6"/>
  <c r="H531" i="6"/>
  <c r="J531" i="6"/>
  <c r="K531" i="6"/>
  <c r="L531" i="6"/>
  <c r="B534" i="6"/>
  <c r="C534" i="6"/>
  <c r="D534" i="6"/>
  <c r="F534" i="6" s="1"/>
  <c r="E534" i="6"/>
  <c r="H534" i="6"/>
  <c r="J534" i="6"/>
  <c r="K534" i="6"/>
  <c r="L534" i="6"/>
  <c r="B535" i="6"/>
  <c r="C535" i="6"/>
  <c r="D535" i="6"/>
  <c r="F535" i="6" s="1"/>
  <c r="E535" i="6"/>
  <c r="H535" i="6"/>
  <c r="J535" i="6"/>
  <c r="K535" i="6"/>
  <c r="L535" i="6"/>
  <c r="B536" i="6"/>
  <c r="C536" i="6"/>
  <c r="D536" i="6"/>
  <c r="F536" i="6" s="1"/>
  <c r="E536" i="6"/>
  <c r="H536" i="6"/>
  <c r="J536" i="6"/>
  <c r="K536" i="6"/>
  <c r="L536" i="6"/>
  <c r="B537" i="6"/>
  <c r="C537" i="6"/>
  <c r="D537" i="6"/>
  <c r="F537" i="6" s="1"/>
  <c r="E537" i="6"/>
  <c r="H537" i="6"/>
  <c r="J537" i="6"/>
  <c r="K537" i="6"/>
  <c r="L537" i="6"/>
  <c r="B538" i="6"/>
  <c r="C538" i="6"/>
  <c r="D538" i="6"/>
  <c r="F538" i="6" s="1"/>
  <c r="E538" i="6"/>
  <c r="H538" i="6"/>
  <c r="J538" i="6"/>
  <c r="K538" i="6"/>
  <c r="L538" i="6"/>
  <c r="B540" i="6"/>
  <c r="C540" i="6"/>
  <c r="D540" i="6"/>
  <c r="F540" i="6" s="1"/>
  <c r="E540" i="6"/>
  <c r="H540" i="6"/>
  <c r="J540" i="6"/>
  <c r="K540" i="6"/>
  <c r="L540" i="6"/>
  <c r="B545" i="6"/>
  <c r="C545" i="6"/>
  <c r="D545" i="6"/>
  <c r="F545" i="6" s="1"/>
  <c r="E545" i="6"/>
  <c r="H545" i="6"/>
  <c r="J545" i="6"/>
  <c r="K545" i="6"/>
  <c r="L545" i="6"/>
  <c r="B546" i="6"/>
  <c r="C546" i="6"/>
  <c r="D546" i="6"/>
  <c r="F546" i="6" s="1"/>
  <c r="E546" i="6"/>
  <c r="H546" i="6"/>
  <c r="J546" i="6"/>
  <c r="K546" i="6"/>
  <c r="L546" i="6"/>
  <c r="B547" i="6"/>
  <c r="C547" i="6"/>
  <c r="D547" i="6"/>
  <c r="F547" i="6" s="1"/>
  <c r="E547" i="6"/>
  <c r="H547" i="6"/>
  <c r="J547" i="6"/>
  <c r="K547" i="6"/>
  <c r="L547" i="6"/>
  <c r="B548" i="6"/>
  <c r="C548" i="6"/>
  <c r="D548" i="6"/>
  <c r="F548" i="6" s="1"/>
  <c r="E548" i="6"/>
  <c r="H548" i="6"/>
  <c r="J548" i="6"/>
  <c r="K548" i="6"/>
  <c r="L548" i="6"/>
  <c r="B549" i="6"/>
  <c r="C549" i="6"/>
  <c r="D549" i="6"/>
  <c r="F549" i="6" s="1"/>
  <c r="E549" i="6"/>
  <c r="H549" i="6"/>
  <c r="J549" i="6"/>
  <c r="K549" i="6"/>
  <c r="L549" i="6"/>
  <c r="B550" i="6"/>
  <c r="C550" i="6"/>
  <c r="D550" i="6"/>
  <c r="F550" i="6" s="1"/>
  <c r="E550" i="6"/>
  <c r="H550" i="6"/>
  <c r="J550" i="6"/>
  <c r="K550" i="6"/>
  <c r="L550" i="6"/>
  <c r="B551" i="6"/>
  <c r="C551" i="6"/>
  <c r="D551" i="6"/>
  <c r="F551" i="6" s="1"/>
  <c r="E551" i="6"/>
  <c r="H551" i="6"/>
  <c r="J551" i="6"/>
  <c r="K551" i="6"/>
  <c r="L551" i="6"/>
  <c r="B552" i="6"/>
  <c r="C552" i="6"/>
  <c r="D552" i="6"/>
  <c r="F552" i="6" s="1"/>
  <c r="E552" i="6"/>
  <c r="H552" i="6"/>
  <c r="J552" i="6"/>
  <c r="K552" i="6"/>
  <c r="L552" i="6"/>
  <c r="B553" i="6"/>
  <c r="C553" i="6"/>
  <c r="D553" i="6"/>
  <c r="F553" i="6" s="1"/>
  <c r="E553" i="6"/>
  <c r="H553" i="6"/>
  <c r="J553" i="6"/>
  <c r="K553" i="6"/>
  <c r="L553" i="6"/>
  <c r="B554" i="6"/>
  <c r="C554" i="6"/>
  <c r="D554" i="6"/>
  <c r="F554" i="6" s="1"/>
  <c r="E554" i="6"/>
  <c r="H554" i="6"/>
  <c r="J554" i="6"/>
  <c r="K554" i="6"/>
  <c r="L554" i="6"/>
  <c r="M554" i="6"/>
  <c r="B555" i="6"/>
  <c r="C555" i="6"/>
  <c r="D555" i="6"/>
  <c r="F555" i="6" s="1"/>
  <c r="E555" i="6"/>
  <c r="H555" i="6"/>
  <c r="J555" i="6"/>
  <c r="K555" i="6"/>
  <c r="L555" i="6"/>
  <c r="M555" i="6"/>
  <c r="B556" i="6"/>
  <c r="C556" i="6"/>
  <c r="D556" i="6"/>
  <c r="F556" i="6" s="1"/>
  <c r="E556" i="6"/>
  <c r="H556" i="6"/>
  <c r="J556" i="6"/>
  <c r="K556" i="6"/>
  <c r="L556" i="6"/>
  <c r="M556" i="6"/>
  <c r="B557" i="6"/>
  <c r="C557" i="6"/>
  <c r="D557" i="6"/>
  <c r="F557" i="6" s="1"/>
  <c r="E557" i="6"/>
  <c r="H557" i="6"/>
  <c r="J557" i="6"/>
  <c r="K557" i="6"/>
  <c r="L557" i="6"/>
  <c r="M557" i="6"/>
  <c r="B558" i="6"/>
  <c r="C558" i="6"/>
  <c r="D558" i="6"/>
  <c r="F558" i="6" s="1"/>
  <c r="E558" i="6"/>
  <c r="H558" i="6"/>
  <c r="J558" i="6"/>
  <c r="K558" i="6"/>
  <c r="L558" i="6"/>
  <c r="M558" i="6"/>
  <c r="B559" i="6"/>
  <c r="C559" i="6"/>
  <c r="D559" i="6"/>
  <c r="F559" i="6" s="1"/>
  <c r="E559" i="6"/>
  <c r="H559" i="6"/>
  <c r="J559" i="6"/>
  <c r="K559" i="6"/>
  <c r="L559" i="6"/>
  <c r="M559" i="6"/>
  <c r="B560" i="6"/>
  <c r="C560" i="6"/>
  <c r="D560" i="6"/>
  <c r="F560" i="6" s="1"/>
  <c r="E560" i="6"/>
  <c r="H560" i="6"/>
  <c r="J560" i="6"/>
  <c r="K560" i="6"/>
  <c r="L560" i="6"/>
  <c r="M560" i="6"/>
  <c r="B561" i="6"/>
  <c r="C561" i="6"/>
  <c r="D561" i="6"/>
  <c r="F561" i="6" s="1"/>
  <c r="E561" i="6"/>
  <c r="H561" i="6"/>
  <c r="J561" i="6"/>
  <c r="K561" i="6"/>
  <c r="L561" i="6"/>
  <c r="M561" i="6"/>
  <c r="B562" i="6"/>
  <c r="C562" i="6"/>
  <c r="D562" i="6"/>
  <c r="F562" i="6" s="1"/>
  <c r="E562" i="6"/>
  <c r="H562" i="6"/>
  <c r="J562" i="6"/>
  <c r="K562" i="6"/>
  <c r="L562" i="6"/>
  <c r="M562" i="6"/>
  <c r="B563" i="6"/>
  <c r="C563" i="6"/>
  <c r="D563" i="6"/>
  <c r="F563" i="6" s="1"/>
  <c r="E563" i="6"/>
  <c r="H563" i="6"/>
  <c r="J563" i="6"/>
  <c r="K563" i="6"/>
  <c r="L563" i="6"/>
  <c r="M563" i="6"/>
  <c r="B564" i="6"/>
  <c r="C564" i="6"/>
  <c r="D564" i="6"/>
  <c r="F564" i="6" s="1"/>
  <c r="E564" i="6"/>
  <c r="H564" i="6"/>
  <c r="J564" i="6"/>
  <c r="K564" i="6"/>
  <c r="L564" i="6"/>
  <c r="M564" i="6"/>
  <c r="B565" i="6"/>
  <c r="C565" i="6"/>
  <c r="D565" i="6"/>
  <c r="F565" i="6" s="1"/>
  <c r="E565" i="6"/>
  <c r="H565" i="6"/>
  <c r="J565" i="6"/>
  <c r="K565" i="6"/>
  <c r="L565" i="6"/>
  <c r="M565" i="6"/>
  <c r="B566" i="6"/>
  <c r="C566" i="6"/>
  <c r="D566" i="6"/>
  <c r="F566" i="6" s="1"/>
  <c r="E566" i="6"/>
  <c r="H566" i="6"/>
  <c r="J566" i="6"/>
  <c r="K566" i="6"/>
  <c r="L566" i="6"/>
  <c r="M566" i="6"/>
  <c r="B567" i="6"/>
  <c r="C567" i="6"/>
  <c r="D567" i="6"/>
  <c r="F567" i="6" s="1"/>
  <c r="E567" i="6"/>
  <c r="H567" i="6"/>
  <c r="J567" i="6"/>
  <c r="K567" i="6"/>
  <c r="L567" i="6"/>
  <c r="M567" i="6"/>
  <c r="B568" i="6"/>
  <c r="C568" i="6"/>
  <c r="D568" i="6"/>
  <c r="F568" i="6" s="1"/>
  <c r="E568" i="6"/>
  <c r="H568" i="6"/>
  <c r="J568" i="6"/>
  <c r="K568" i="6"/>
  <c r="L568" i="6"/>
  <c r="M568" i="6"/>
  <c r="B569" i="6"/>
  <c r="C569" i="6"/>
  <c r="D569" i="6"/>
  <c r="F569" i="6" s="1"/>
  <c r="E569" i="6"/>
  <c r="H569" i="6"/>
  <c r="J569" i="6"/>
  <c r="K569" i="6"/>
  <c r="L569" i="6"/>
  <c r="M569" i="6"/>
  <c r="B570" i="6"/>
  <c r="C570" i="6"/>
  <c r="D570" i="6"/>
  <c r="F570" i="6" s="1"/>
  <c r="E570" i="6"/>
  <c r="H570" i="6"/>
  <c r="J570" i="6"/>
  <c r="K570" i="6"/>
  <c r="L570" i="6"/>
  <c r="M570" i="6"/>
  <c r="B571" i="6"/>
  <c r="C571" i="6"/>
  <c r="D571" i="6"/>
  <c r="F571" i="6" s="1"/>
  <c r="E571" i="6"/>
  <c r="H571" i="6"/>
  <c r="J571" i="6"/>
  <c r="K571" i="6"/>
  <c r="L571" i="6"/>
  <c r="M571" i="6"/>
  <c r="B573" i="6"/>
  <c r="C573" i="6"/>
  <c r="D573" i="6"/>
  <c r="E573" i="6"/>
  <c r="H573" i="6"/>
  <c r="J573" i="6"/>
  <c r="K573" i="6"/>
  <c r="L573" i="6"/>
  <c r="M573" i="6"/>
  <c r="B574" i="6"/>
  <c r="C574" i="6"/>
  <c r="D574" i="6"/>
  <c r="E574" i="6"/>
  <c r="H574" i="6"/>
  <c r="J574" i="6"/>
  <c r="K574" i="6"/>
  <c r="L574" i="6"/>
  <c r="M574" i="6"/>
  <c r="B575" i="6"/>
  <c r="C575" i="6"/>
  <c r="D575" i="6"/>
  <c r="E575" i="6"/>
  <c r="H575" i="6"/>
  <c r="J575" i="6"/>
  <c r="K575" i="6"/>
  <c r="L575" i="6"/>
  <c r="M575" i="6"/>
  <c r="B576" i="6"/>
  <c r="C576" i="6"/>
  <c r="D576" i="6"/>
  <c r="E576" i="6"/>
  <c r="H576" i="6"/>
  <c r="J576" i="6"/>
  <c r="K576" i="6"/>
  <c r="L576" i="6"/>
  <c r="M576" i="6"/>
  <c r="B577" i="6"/>
  <c r="C577" i="6"/>
  <c r="D577" i="6"/>
  <c r="E577" i="6"/>
  <c r="H577" i="6"/>
  <c r="J577" i="6"/>
  <c r="K577" i="6"/>
  <c r="L577" i="6"/>
  <c r="M577" i="6"/>
  <c r="B578" i="6"/>
  <c r="C578" i="6"/>
  <c r="D578" i="6"/>
  <c r="E578" i="6"/>
  <c r="H578" i="6"/>
  <c r="J578" i="6"/>
  <c r="K578" i="6"/>
  <c r="L578" i="6"/>
  <c r="M578" i="6"/>
  <c r="B579" i="6"/>
  <c r="C579" i="6"/>
  <c r="D579" i="6"/>
  <c r="E579" i="6"/>
  <c r="H579" i="6"/>
  <c r="J579" i="6"/>
  <c r="K579" i="6"/>
  <c r="L579" i="6"/>
  <c r="M579" i="6"/>
  <c r="B580" i="6"/>
  <c r="C580" i="6"/>
  <c r="D580" i="6"/>
  <c r="E580" i="6"/>
  <c r="H580" i="6"/>
  <c r="J580" i="6"/>
  <c r="K580" i="6"/>
  <c r="L580" i="6"/>
  <c r="M580" i="6"/>
  <c r="B581" i="6"/>
  <c r="C581" i="6"/>
  <c r="D581" i="6"/>
  <c r="E581" i="6"/>
  <c r="H581" i="6"/>
  <c r="J581" i="6"/>
  <c r="K581" i="6"/>
  <c r="L581" i="6"/>
  <c r="M581" i="6"/>
  <c r="B582" i="6"/>
  <c r="C582" i="6"/>
  <c r="D582" i="6"/>
  <c r="E582" i="6"/>
  <c r="H582" i="6"/>
  <c r="J582" i="6"/>
  <c r="K582" i="6"/>
  <c r="L582" i="6"/>
  <c r="M582" i="6"/>
  <c r="B585" i="6"/>
  <c r="C585" i="6"/>
  <c r="D585" i="6"/>
  <c r="E585" i="6"/>
  <c r="H585" i="6"/>
  <c r="J585" i="6"/>
  <c r="K585" i="6"/>
  <c r="L585" i="6"/>
  <c r="M585" i="6"/>
  <c r="B586" i="6"/>
  <c r="C586" i="6"/>
  <c r="D586" i="6"/>
  <c r="E586" i="6"/>
  <c r="H586" i="6"/>
  <c r="J586" i="6"/>
  <c r="K586" i="6"/>
  <c r="L586" i="6"/>
  <c r="M586" i="6"/>
  <c r="B588" i="6"/>
  <c r="C588" i="6"/>
  <c r="D588" i="6"/>
  <c r="E588" i="6"/>
  <c r="H588" i="6"/>
  <c r="J588" i="6"/>
  <c r="K588" i="6"/>
  <c r="L588" i="6"/>
  <c r="M588" i="6"/>
  <c r="B589" i="6"/>
  <c r="C589" i="6"/>
  <c r="D589" i="6"/>
  <c r="E589" i="6"/>
  <c r="H589" i="6"/>
  <c r="J589" i="6"/>
  <c r="K589" i="6"/>
  <c r="L589" i="6"/>
  <c r="M589" i="6"/>
  <c r="B590" i="6"/>
  <c r="C590" i="6"/>
  <c r="D590" i="6"/>
  <c r="E590" i="6"/>
  <c r="H590" i="6"/>
  <c r="J590" i="6"/>
  <c r="K590" i="6"/>
  <c r="L590" i="6"/>
  <c r="M590" i="6"/>
  <c r="B591" i="6"/>
  <c r="C591" i="6"/>
  <c r="D591" i="6"/>
  <c r="E591" i="6"/>
  <c r="H591" i="6"/>
  <c r="J591" i="6"/>
  <c r="K591" i="6"/>
  <c r="L591" i="6"/>
  <c r="M591" i="6"/>
  <c r="B592" i="6"/>
  <c r="C592" i="6"/>
  <c r="D592" i="6"/>
  <c r="E592" i="6"/>
  <c r="H592" i="6"/>
  <c r="J592" i="6"/>
  <c r="K592" i="6"/>
  <c r="L592" i="6"/>
  <c r="M592" i="6"/>
  <c r="B593" i="6"/>
  <c r="C593" i="6"/>
  <c r="D593" i="6"/>
  <c r="E593" i="6"/>
  <c r="H593" i="6"/>
  <c r="J593" i="6"/>
  <c r="K593" i="6"/>
  <c r="L593" i="6"/>
  <c r="M593" i="6"/>
  <c r="B594" i="6"/>
  <c r="C594" i="6"/>
  <c r="D594" i="6"/>
  <c r="E594" i="6"/>
  <c r="H594" i="6"/>
  <c r="J594" i="6"/>
  <c r="K594" i="6"/>
  <c r="L594" i="6"/>
  <c r="M594" i="6"/>
  <c r="B595" i="6"/>
  <c r="C595" i="6"/>
  <c r="D595" i="6"/>
  <c r="E595" i="6"/>
  <c r="H595" i="6"/>
  <c r="J595" i="6"/>
  <c r="K595" i="6"/>
  <c r="L595" i="6"/>
  <c r="M595" i="6"/>
  <c r="B596" i="6"/>
  <c r="C596" i="6"/>
  <c r="D596" i="6"/>
  <c r="E596" i="6"/>
  <c r="H596" i="6"/>
  <c r="J596" i="6"/>
  <c r="K596" i="6"/>
  <c r="L596" i="6"/>
  <c r="M596" i="6"/>
  <c r="B597" i="6"/>
  <c r="C597" i="6"/>
  <c r="D597" i="6"/>
  <c r="E597" i="6"/>
  <c r="H597" i="6"/>
  <c r="J597" i="6"/>
  <c r="K597" i="6"/>
  <c r="L597" i="6"/>
  <c r="M597" i="6"/>
  <c r="B598" i="6"/>
  <c r="C598" i="6"/>
  <c r="D598" i="6"/>
  <c r="E598" i="6"/>
  <c r="H598" i="6"/>
  <c r="J598" i="6"/>
  <c r="K598" i="6"/>
  <c r="L598" i="6"/>
  <c r="M598" i="6"/>
  <c r="B599" i="6"/>
  <c r="C599" i="6"/>
  <c r="D599" i="6"/>
  <c r="E599" i="6"/>
  <c r="H599" i="6"/>
  <c r="J599" i="6"/>
  <c r="K599" i="6"/>
  <c r="L599" i="6"/>
  <c r="M599" i="6"/>
  <c r="B600" i="6"/>
  <c r="C600" i="6"/>
  <c r="D600" i="6"/>
  <c r="E600" i="6"/>
  <c r="H600" i="6"/>
  <c r="J600" i="6"/>
  <c r="K600" i="6"/>
  <c r="L600" i="6"/>
  <c r="M600" i="6"/>
  <c r="B601" i="6"/>
  <c r="C601" i="6"/>
  <c r="D601" i="6"/>
  <c r="E601" i="6"/>
  <c r="H601" i="6"/>
  <c r="J601" i="6"/>
  <c r="K601" i="6"/>
  <c r="L601" i="6"/>
  <c r="M601" i="6"/>
  <c r="B602" i="6"/>
  <c r="C602" i="6"/>
  <c r="D602" i="6"/>
  <c r="E602" i="6"/>
  <c r="H602" i="6"/>
  <c r="J602" i="6"/>
  <c r="K602" i="6"/>
  <c r="L602" i="6"/>
  <c r="M602" i="6"/>
  <c r="B603" i="6"/>
  <c r="C603" i="6"/>
  <c r="D603" i="6"/>
  <c r="E603" i="6"/>
  <c r="H603" i="6"/>
  <c r="J603" i="6"/>
  <c r="K603" i="6"/>
  <c r="L603" i="6"/>
  <c r="M603" i="6"/>
  <c r="B604" i="6"/>
  <c r="C604" i="6"/>
  <c r="D604" i="6"/>
  <c r="E604" i="6"/>
  <c r="H604" i="6"/>
  <c r="J604" i="6"/>
  <c r="K604" i="6"/>
  <c r="L604" i="6"/>
  <c r="M604" i="6"/>
  <c r="B605" i="6"/>
  <c r="C605" i="6"/>
  <c r="D605" i="6"/>
  <c r="E605" i="6"/>
  <c r="H605" i="6"/>
  <c r="J605" i="6"/>
  <c r="K605" i="6"/>
  <c r="L605" i="6"/>
  <c r="M605" i="6"/>
  <c r="B606" i="6"/>
  <c r="D606" i="6"/>
  <c r="E606" i="6"/>
  <c r="H606" i="6"/>
  <c r="J606" i="6"/>
  <c r="K606" i="6"/>
  <c r="L606" i="6"/>
  <c r="M606" i="6"/>
  <c r="B621" i="6"/>
  <c r="C621" i="6"/>
  <c r="D621" i="6"/>
  <c r="E621" i="6"/>
  <c r="H621" i="6"/>
  <c r="J621" i="6"/>
  <c r="K621" i="6"/>
  <c r="M621" i="6"/>
  <c r="B622" i="6"/>
  <c r="C622" i="6"/>
  <c r="D622" i="6"/>
  <c r="E622" i="6"/>
  <c r="H622" i="6"/>
  <c r="J622" i="6"/>
  <c r="K622" i="6"/>
  <c r="M622" i="6"/>
  <c r="B623" i="6"/>
  <c r="C623" i="6"/>
  <c r="D623" i="6"/>
  <c r="E623" i="6"/>
  <c r="H623" i="6"/>
  <c r="J623" i="6"/>
  <c r="K623" i="6"/>
  <c r="M623" i="6"/>
  <c r="B624" i="6"/>
  <c r="C624" i="6"/>
  <c r="D624" i="6"/>
  <c r="E624" i="6"/>
  <c r="H624" i="6"/>
  <c r="J624" i="6"/>
  <c r="K624" i="6"/>
  <c r="L624" i="6"/>
  <c r="M624" i="6"/>
  <c r="B625" i="6"/>
  <c r="C625" i="6"/>
  <c r="D625" i="6"/>
  <c r="E625" i="6"/>
  <c r="H625" i="6"/>
  <c r="J625" i="6"/>
  <c r="K625" i="6"/>
  <c r="M625" i="6"/>
  <c r="B626" i="6"/>
  <c r="C626" i="6"/>
  <c r="D626" i="6"/>
  <c r="E626" i="6"/>
  <c r="H626" i="6"/>
  <c r="J626" i="6"/>
  <c r="K626" i="6"/>
  <c r="M626" i="6"/>
  <c r="B627" i="6"/>
  <c r="C627" i="6"/>
  <c r="D627" i="6"/>
  <c r="E627" i="6"/>
  <c r="H627" i="6"/>
  <c r="J627" i="6"/>
  <c r="K627" i="6"/>
  <c r="M627" i="6"/>
  <c r="B628" i="6"/>
  <c r="C628" i="6"/>
  <c r="D628" i="6"/>
  <c r="E628" i="6"/>
  <c r="H628" i="6"/>
  <c r="J628" i="6"/>
  <c r="K628" i="6"/>
  <c r="M628" i="6"/>
  <c r="B629" i="6"/>
  <c r="C629" i="6"/>
  <c r="D629" i="6"/>
  <c r="E629" i="6"/>
  <c r="H629" i="6"/>
  <c r="J629" i="6"/>
  <c r="K629" i="6"/>
  <c r="M629" i="6"/>
  <c r="B630" i="6"/>
  <c r="C630" i="6"/>
  <c r="D630" i="6"/>
  <c r="E630" i="6"/>
  <c r="H630" i="6"/>
  <c r="J630" i="6"/>
  <c r="K630" i="6"/>
  <c r="M630" i="6"/>
  <c r="B631" i="6"/>
  <c r="C631" i="6"/>
  <c r="D631" i="6"/>
  <c r="E631" i="6"/>
  <c r="J631" i="6"/>
  <c r="K631" i="6"/>
  <c r="M631" i="6"/>
  <c r="B632" i="6"/>
  <c r="C632" i="6"/>
  <c r="D632" i="6"/>
  <c r="E632" i="6"/>
  <c r="H632" i="6"/>
  <c r="J632" i="6"/>
  <c r="K632" i="6"/>
  <c r="L632" i="6"/>
  <c r="M632" i="6"/>
  <c r="B633" i="6"/>
  <c r="D633" i="6"/>
  <c r="E633" i="6"/>
  <c r="H633" i="6"/>
  <c r="J633" i="6"/>
  <c r="K633" i="6"/>
  <c r="L633" i="6"/>
  <c r="M633" i="6"/>
  <c r="L29" i="6"/>
  <c r="M29" i="6"/>
  <c r="L30" i="6"/>
  <c r="M30" i="6"/>
  <c r="H29" i="6"/>
  <c r="J29" i="6"/>
  <c r="K29" i="6"/>
  <c r="H30" i="6"/>
  <c r="J30" i="6"/>
  <c r="K30" i="6"/>
  <c r="E25" i="6"/>
  <c r="E26" i="6"/>
  <c r="E27" i="6"/>
  <c r="E28" i="6"/>
  <c r="E29" i="6"/>
  <c r="E30" i="6"/>
  <c r="D25" i="6"/>
  <c r="F25" i="6" s="1"/>
  <c r="D26" i="6"/>
  <c r="F26" i="6" s="1"/>
  <c r="D27" i="6"/>
  <c r="F27" i="6" s="1"/>
  <c r="D28" i="6"/>
  <c r="F28" i="6" s="1"/>
  <c r="D29" i="6"/>
  <c r="F29" i="6" s="1"/>
  <c r="D30" i="6"/>
  <c r="F30" i="6" s="1"/>
  <c r="C25" i="6"/>
  <c r="C26" i="6"/>
  <c r="C27" i="6"/>
  <c r="C28" i="6"/>
  <c r="C29" i="6"/>
  <c r="C30" i="6"/>
  <c r="B25" i="6"/>
  <c r="B26" i="6"/>
  <c r="B27" i="6"/>
  <c r="B28" i="6"/>
  <c r="B29" i="6"/>
  <c r="B30" i="6"/>
  <c r="H5" i="6"/>
  <c r="J5" i="6"/>
  <c r="K5" i="6"/>
  <c r="L5" i="6"/>
  <c r="M5" i="6"/>
  <c r="H6" i="6"/>
  <c r="J6" i="6"/>
  <c r="K6" i="6"/>
  <c r="L6" i="6"/>
  <c r="M6" i="6"/>
  <c r="H7" i="6"/>
  <c r="J7" i="6"/>
  <c r="K7" i="6"/>
  <c r="L7" i="6"/>
  <c r="M7" i="6"/>
  <c r="H8" i="6"/>
  <c r="J8" i="6"/>
  <c r="K8" i="6"/>
  <c r="L8" i="6"/>
  <c r="M8" i="6"/>
  <c r="H9" i="6"/>
  <c r="J9" i="6"/>
  <c r="K9" i="6"/>
  <c r="L9" i="6"/>
  <c r="M9" i="6"/>
  <c r="H10" i="6"/>
  <c r="J10" i="6"/>
  <c r="K10" i="6"/>
  <c r="L10" i="6"/>
  <c r="M10" i="6"/>
  <c r="H11" i="6"/>
  <c r="J11" i="6"/>
  <c r="K11" i="6"/>
  <c r="L11" i="6"/>
  <c r="M11" i="6"/>
  <c r="H12" i="6"/>
  <c r="J12" i="6"/>
  <c r="K12" i="6"/>
  <c r="L12" i="6"/>
  <c r="M12" i="6"/>
  <c r="H13" i="6"/>
  <c r="J13" i="6"/>
  <c r="K13" i="6"/>
  <c r="L13" i="6"/>
  <c r="M13" i="6"/>
  <c r="H14" i="6"/>
  <c r="J14" i="6"/>
  <c r="K14" i="6"/>
  <c r="L14" i="6"/>
  <c r="M14" i="6"/>
  <c r="H15" i="6"/>
  <c r="J15" i="6"/>
  <c r="K15" i="6"/>
  <c r="L15" i="6"/>
  <c r="M15" i="6"/>
  <c r="H16" i="6"/>
  <c r="J16" i="6"/>
  <c r="K16" i="6"/>
  <c r="L16" i="6"/>
  <c r="M16" i="6"/>
  <c r="H17" i="6"/>
  <c r="J17" i="6"/>
  <c r="K17" i="6"/>
  <c r="L17" i="6"/>
  <c r="M17" i="6"/>
  <c r="H18" i="6"/>
  <c r="J18" i="6"/>
  <c r="K18" i="6"/>
  <c r="L18" i="6"/>
  <c r="M18" i="6"/>
  <c r="H19" i="6"/>
  <c r="J19" i="6"/>
  <c r="K19" i="6"/>
  <c r="L19" i="6"/>
  <c r="H21" i="6"/>
  <c r="J21" i="6"/>
  <c r="K21" i="6"/>
  <c r="M21" i="6"/>
  <c r="H22" i="6"/>
  <c r="J22" i="6"/>
  <c r="K22" i="6"/>
  <c r="M22" i="6"/>
  <c r="H23" i="6"/>
  <c r="J23" i="6"/>
  <c r="K23" i="6"/>
  <c r="M23" i="6"/>
  <c r="H24" i="6"/>
  <c r="J24" i="6"/>
  <c r="K24" i="6"/>
  <c r="L24" i="6"/>
  <c r="M24" i="6"/>
  <c r="H25" i="6"/>
  <c r="J25" i="6"/>
  <c r="K25" i="6"/>
  <c r="L25" i="6"/>
  <c r="M25" i="6"/>
  <c r="H26" i="6"/>
  <c r="J26" i="6"/>
  <c r="K26" i="6"/>
  <c r="L26" i="6"/>
  <c r="M26" i="6"/>
  <c r="H27" i="6"/>
  <c r="J27" i="6"/>
  <c r="K27" i="6"/>
  <c r="L27" i="6"/>
  <c r="M27" i="6"/>
  <c r="H28" i="6"/>
  <c r="J28" i="6"/>
  <c r="K28" i="6"/>
  <c r="L28" i="6"/>
  <c r="M28" i="6"/>
  <c r="E5" i="6"/>
  <c r="E6" i="6"/>
  <c r="E7" i="6"/>
  <c r="E8" i="6"/>
  <c r="E9" i="6"/>
  <c r="E10" i="6"/>
  <c r="E11" i="6"/>
  <c r="E12" i="6"/>
  <c r="E13" i="6"/>
  <c r="E14" i="6"/>
  <c r="E15" i="6"/>
  <c r="E16" i="6"/>
  <c r="E17" i="6"/>
  <c r="E18" i="6"/>
  <c r="E19" i="6"/>
  <c r="E21" i="6"/>
  <c r="E22" i="6"/>
  <c r="E23" i="6"/>
  <c r="E24" i="6"/>
  <c r="D5" i="6"/>
  <c r="F5" i="6" s="1"/>
  <c r="D6" i="6"/>
  <c r="F6" i="6" s="1"/>
  <c r="D7" i="6"/>
  <c r="F7" i="6" s="1"/>
  <c r="D8" i="6"/>
  <c r="F8" i="6" s="1"/>
  <c r="D9" i="6"/>
  <c r="F9" i="6" s="1"/>
  <c r="D10" i="6"/>
  <c r="F10" i="6" s="1"/>
  <c r="D11" i="6"/>
  <c r="F11" i="6" s="1"/>
  <c r="D12" i="6"/>
  <c r="F12" i="6" s="1"/>
  <c r="D13" i="6"/>
  <c r="F13" i="6" s="1"/>
  <c r="D14" i="6"/>
  <c r="F14" i="6" s="1"/>
  <c r="D15" i="6"/>
  <c r="F15" i="6" s="1"/>
  <c r="D16" i="6"/>
  <c r="F16" i="6" s="1"/>
  <c r="D17" i="6"/>
  <c r="F17" i="6" s="1"/>
  <c r="D18" i="6"/>
  <c r="F18" i="6" s="1"/>
  <c r="D19" i="6"/>
  <c r="F19" i="6" s="1"/>
  <c r="D21" i="6"/>
  <c r="F21" i="6" s="1"/>
  <c r="D22" i="6"/>
  <c r="F22" i="6" s="1"/>
  <c r="D23" i="6"/>
  <c r="F23" i="6" s="1"/>
  <c r="D24" i="6"/>
  <c r="F24" i="6" s="1"/>
  <c r="C5" i="6"/>
  <c r="C6" i="6"/>
  <c r="C7" i="6"/>
  <c r="C8" i="6"/>
  <c r="C9" i="6"/>
  <c r="C10" i="6"/>
  <c r="C11" i="6"/>
  <c r="C12" i="6"/>
  <c r="C13" i="6"/>
  <c r="C14" i="6"/>
  <c r="C15" i="6"/>
  <c r="C16" i="6"/>
  <c r="C17" i="6"/>
  <c r="C18" i="6"/>
  <c r="C19" i="6"/>
  <c r="C21" i="6"/>
  <c r="C22" i="6"/>
  <c r="C23" i="6"/>
  <c r="C24" i="6"/>
  <c r="B5" i="6"/>
  <c r="B6" i="6"/>
  <c r="B7" i="6"/>
  <c r="B8" i="6"/>
  <c r="B9" i="6"/>
  <c r="B10" i="6"/>
  <c r="B11" i="6"/>
  <c r="B12" i="6"/>
  <c r="B13" i="6"/>
  <c r="B14" i="6"/>
  <c r="B15" i="6"/>
  <c r="B16" i="6"/>
  <c r="B17" i="6"/>
  <c r="B18" i="6"/>
  <c r="B19" i="6"/>
  <c r="B21" i="6"/>
  <c r="B22" i="6"/>
  <c r="B23" i="6"/>
  <c r="B24" i="6"/>
  <c r="B4" i="6"/>
  <c r="C4" i="6"/>
  <c r="D4" i="6"/>
  <c r="F4" i="6" s="1"/>
  <c r="E4" i="6"/>
  <c r="H4" i="6"/>
  <c r="J4" i="6"/>
  <c r="K4" i="6"/>
  <c r="L4" i="6"/>
  <c r="M4" i="6"/>
  <c r="M587" i="6"/>
  <c r="L587" i="6"/>
  <c r="M584" i="6"/>
  <c r="L584" i="6"/>
  <c r="M583" i="6"/>
  <c r="L583" i="6"/>
  <c r="M572" i="6"/>
  <c r="L572" i="6"/>
  <c r="L539" i="6"/>
  <c r="M442" i="6"/>
  <c r="L442" i="6"/>
  <c r="M156" i="6"/>
  <c r="L156" i="6"/>
  <c r="M70" i="6"/>
  <c r="L70" i="6"/>
  <c r="K587" i="6"/>
  <c r="J587" i="6"/>
  <c r="H587" i="6"/>
  <c r="K584" i="6"/>
  <c r="J584" i="6"/>
  <c r="H584" i="6"/>
  <c r="K583" i="6"/>
  <c r="J583" i="6"/>
  <c r="H583" i="6"/>
  <c r="K572" i="6"/>
  <c r="J572" i="6"/>
  <c r="H572" i="6"/>
  <c r="K539" i="6"/>
  <c r="J539" i="6"/>
  <c r="H539" i="6"/>
  <c r="K442" i="6"/>
  <c r="J442" i="6"/>
  <c r="H442" i="6"/>
  <c r="K156" i="6"/>
  <c r="J156" i="6"/>
  <c r="H156" i="6"/>
  <c r="K70" i="6"/>
  <c r="J70" i="6"/>
  <c r="H70" i="6"/>
  <c r="E587" i="6"/>
  <c r="E584" i="6"/>
  <c r="E583" i="6"/>
  <c r="E572" i="6"/>
  <c r="E539" i="6"/>
  <c r="E442" i="6"/>
  <c r="E156" i="6"/>
  <c r="E70" i="6"/>
  <c r="D587" i="6"/>
  <c r="D584" i="6"/>
  <c r="D583" i="6"/>
  <c r="D572" i="6"/>
  <c r="D539" i="6"/>
  <c r="F539" i="6" s="1"/>
  <c r="D442" i="6"/>
  <c r="F442" i="6" s="1"/>
  <c r="D156" i="6"/>
  <c r="F156" i="6" s="1"/>
  <c r="D70" i="6"/>
  <c r="F70" i="6" s="1"/>
  <c r="C587" i="6"/>
  <c r="C584" i="6"/>
  <c r="C583" i="6"/>
  <c r="C572" i="6"/>
  <c r="C539" i="6"/>
  <c r="C442" i="6"/>
  <c r="C156" i="6"/>
  <c r="C70" i="6"/>
  <c r="B70" i="6"/>
  <c r="B156" i="6"/>
  <c r="B442" i="6"/>
  <c r="B539" i="6"/>
  <c r="B572" i="6"/>
  <c r="B583" i="6"/>
  <c r="B584" i="6"/>
  <c r="B587" i="6"/>
  <c r="K3" i="6"/>
  <c r="J3" i="6"/>
  <c r="H3" i="6"/>
  <c r="M3" i="6"/>
  <c r="L3" i="6"/>
  <c r="E3" i="6"/>
  <c r="D3" i="6"/>
  <c r="F3" i="6" s="1"/>
  <c r="C3" i="6"/>
  <c r="B3" i="6"/>
  <c r="C2" i="12" l="1"/>
  <c r="C13"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Yvan Debaillie</author>
  </authors>
  <commentList>
    <comment ref="D7" authorId="0" shapeId="0" xr:uid="{1AAE3559-08E5-4152-BB57-99564A1D2B38}">
      <text>
        <r>
          <rPr>
            <b/>
            <sz val="9"/>
            <color indexed="81"/>
            <rFont val="Tahoma"/>
            <family val="2"/>
          </rPr>
          <t>Yvan Debaillie:</t>
        </r>
        <r>
          <rPr>
            <sz val="9"/>
            <color indexed="81"/>
            <rFont val="Tahoma"/>
            <family val="2"/>
          </rPr>
          <t xml:space="preserve">
info Tom 26/03/26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Yvan Debaillie</author>
  </authors>
  <commentList>
    <comment ref="D8" authorId="0" shapeId="0" xr:uid="{8FB1ACDF-CE25-48F1-89EB-F8A852AA1B5C}">
      <text>
        <r>
          <rPr>
            <b/>
            <sz val="9"/>
            <color indexed="81"/>
            <rFont val="Tahoma"/>
            <family val="2"/>
          </rPr>
          <t>Yvan Debaillie:</t>
        </r>
        <r>
          <rPr>
            <sz val="9"/>
            <color indexed="81"/>
            <rFont val="Tahoma"/>
            <family val="2"/>
          </rPr>
          <t xml:space="preserve">
 * alles met etui's
 * DMH 
 * Blue Green</t>
        </r>
      </text>
    </comment>
    <comment ref="F8" authorId="0" shapeId="0" xr:uid="{EEDDE21A-7B45-4FC4-823B-3CC26707AE33}">
      <text>
        <r>
          <rPr>
            <b/>
            <sz val="9"/>
            <color indexed="81"/>
            <rFont val="Tahoma"/>
            <family val="2"/>
          </rPr>
          <t>Yvan Debaillie:</t>
        </r>
        <r>
          <rPr>
            <sz val="9"/>
            <color indexed="81"/>
            <rFont val="Tahoma"/>
            <family val="2"/>
          </rPr>
          <t xml:space="preserve">
 * alles zonder etui's
 * Frieten = 280gr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Yvan Debaillie</author>
  </authors>
  <commentList>
    <comment ref="AA2" authorId="0" shapeId="0" xr:uid="{D4C868F7-4B08-47FF-BB95-80BBEEAC9C39}">
      <text>
        <r>
          <rPr>
            <b/>
            <sz val="9"/>
            <color indexed="81"/>
            <rFont val="Tahoma"/>
            <family val="2"/>
          </rPr>
          <t>Yvan Debaillie:</t>
        </r>
        <r>
          <rPr>
            <sz val="9"/>
            <color indexed="81"/>
            <rFont val="Tahoma"/>
            <family val="2"/>
          </rPr>
          <t xml:space="preserve">
* rundstong dooien</t>
        </r>
      </text>
    </comment>
    <comment ref="I19" authorId="0" shapeId="0" xr:uid="{394FF65C-E0F8-448D-806D-3258D1468E45}">
      <text>
        <r>
          <rPr>
            <b/>
            <sz val="9"/>
            <color indexed="81"/>
            <rFont val="Tahoma"/>
            <family val="2"/>
          </rPr>
          <t>Yvan Debaillie:</t>
        </r>
        <r>
          <rPr>
            <sz val="9"/>
            <color indexed="81"/>
            <rFont val="Tahoma"/>
            <family val="2"/>
          </rPr>
          <t xml:space="preserve">
</t>
        </r>
      </text>
    </comment>
    <comment ref="L21" authorId="0" shapeId="0" xr:uid="{CCCE419F-E299-4900-9189-A43A2254DA99}">
      <text>
        <r>
          <rPr>
            <b/>
            <sz val="9"/>
            <color indexed="81"/>
            <rFont val="Tahoma"/>
            <family val="2"/>
          </rPr>
          <t>Yvan Debaillie:</t>
        </r>
        <r>
          <rPr>
            <sz val="9"/>
            <color indexed="81"/>
            <rFont val="Tahoma"/>
            <family val="2"/>
          </rPr>
          <t xml:space="preserve">
problemen stickers op L1</t>
        </r>
      </text>
    </comment>
    <comment ref="L22" authorId="0" shapeId="0" xr:uid="{24F2FD25-E5AD-466D-875E-98C7A58B8A71}">
      <text>
        <r>
          <rPr>
            <b/>
            <sz val="9"/>
            <color indexed="81"/>
            <rFont val="Tahoma"/>
            <family val="2"/>
          </rPr>
          <t>Yvan Debaillie:</t>
        </r>
        <r>
          <rPr>
            <sz val="9"/>
            <color indexed="81"/>
            <rFont val="Tahoma"/>
            <family val="2"/>
          </rPr>
          <t xml:space="preserve">
problemen stickers op L1</t>
        </r>
      </text>
    </comment>
    <comment ref="L23" authorId="0" shapeId="0" xr:uid="{405DEFEE-94F3-433C-B1CE-203543618091}">
      <text>
        <r>
          <rPr>
            <b/>
            <sz val="9"/>
            <color indexed="81"/>
            <rFont val="Tahoma"/>
            <family val="2"/>
          </rPr>
          <t>Yvan Debaillie:</t>
        </r>
        <r>
          <rPr>
            <sz val="9"/>
            <color indexed="81"/>
            <rFont val="Tahoma"/>
            <family val="2"/>
          </rPr>
          <t xml:space="preserve">
problemen stickers op L1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Yvan Debaillie</author>
  </authors>
  <commentList>
    <comment ref="D20" authorId="0" shapeId="0" xr:uid="{05348DDC-9D38-4BEB-B4C7-C87F8DD7150F}">
      <text>
        <r>
          <rPr>
            <b/>
            <sz val="9"/>
            <color indexed="81"/>
            <rFont val="Tahoma"/>
            <family val="2"/>
          </rPr>
          <t>Yvan Debaillie:</t>
        </r>
        <r>
          <rPr>
            <sz val="9"/>
            <color indexed="81"/>
            <rFont val="Tahoma"/>
            <family val="2"/>
          </rPr>
          <t xml:space="preserve">
CFS producties kunnen op spiraal 1 maar niet op spiraal 2</t>
        </r>
      </text>
    </comment>
    <comment ref="C31" authorId="0" shapeId="0" xr:uid="{FF0B0076-66D1-4B1D-A888-C7E84D8774A1}">
      <text>
        <r>
          <rPr>
            <b/>
            <sz val="9"/>
            <color indexed="81"/>
            <rFont val="Tahoma"/>
            <family val="2"/>
          </rPr>
          <t>Yvan Debaillie:</t>
        </r>
        <r>
          <rPr>
            <sz val="9"/>
            <color indexed="81"/>
            <rFont val="Tahoma"/>
            <family val="2"/>
          </rPr>
          <t xml:space="preserve">
door :
* verse grondstoffen (vb witloof)
* rundstong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Yvan Debaillie</author>
  </authors>
  <commentList>
    <comment ref="AA2" authorId="0" shapeId="0" xr:uid="{331F4571-4BFB-4DFD-BEFE-9C7E427D3162}">
      <text>
        <r>
          <rPr>
            <b/>
            <sz val="9"/>
            <color indexed="81"/>
            <rFont val="Tahoma"/>
            <family val="2"/>
          </rPr>
          <t>Yvan Debaillie:</t>
        </r>
        <r>
          <rPr>
            <sz val="9"/>
            <color indexed="81"/>
            <rFont val="Tahoma"/>
            <family val="2"/>
          </rPr>
          <t xml:space="preserve">
* rundstong dooien</t>
        </r>
      </text>
    </comment>
  </commentList>
</comments>
</file>

<file path=xl/sharedStrings.xml><?xml version="1.0" encoding="utf-8"?>
<sst xmlns="http://schemas.openxmlformats.org/spreadsheetml/2006/main" count="813" uniqueCount="562">
  <si>
    <t>aantal</t>
  </si>
  <si>
    <t>L</t>
  </si>
  <si>
    <t>Leonard</t>
  </si>
  <si>
    <t>K</t>
  </si>
  <si>
    <t>kaas strooier</t>
  </si>
  <si>
    <t>T</t>
  </si>
  <si>
    <t>Turbo</t>
  </si>
  <si>
    <t>M</t>
  </si>
  <si>
    <t>Multifill</t>
  </si>
  <si>
    <t>H</t>
  </si>
  <si>
    <t>Handtmann</t>
  </si>
  <si>
    <t>I</t>
  </si>
  <si>
    <t>L2</t>
  </si>
  <si>
    <t>Multipond</t>
  </si>
  <si>
    <t>CFS</t>
  </si>
  <si>
    <t>CFS dieptrekker</t>
  </si>
  <si>
    <t>L4</t>
  </si>
  <si>
    <t>UK59</t>
  </si>
  <si>
    <t>UK57</t>
  </si>
  <si>
    <t>OB36</t>
  </si>
  <si>
    <t>C2187</t>
  </si>
  <si>
    <t>C2325</t>
  </si>
  <si>
    <t>C2227</t>
  </si>
  <si>
    <t>Machine</t>
  </si>
  <si>
    <t>Gernal</t>
  </si>
  <si>
    <t>opmerking</t>
  </si>
  <si>
    <t>pastakoker</t>
  </si>
  <si>
    <t>Terlet</t>
  </si>
  <si>
    <t>C2208</t>
  </si>
  <si>
    <t>AR-1150</t>
  </si>
  <si>
    <t xml:space="preserve">Isihda </t>
  </si>
  <si>
    <t>Novato</t>
  </si>
  <si>
    <t>8 enkele - 3 dubbele</t>
  </si>
  <si>
    <t>x</t>
  </si>
  <si>
    <t>Aantal</t>
  </si>
  <si>
    <t>Afkorting</t>
  </si>
  <si>
    <t>C2176</t>
  </si>
  <si>
    <t>G</t>
  </si>
  <si>
    <t>GROTE</t>
  </si>
  <si>
    <t>L1 multiweger</t>
  </si>
  <si>
    <t>L2 multiweger</t>
  </si>
  <si>
    <t>UK59kraft</t>
  </si>
  <si>
    <t>=UK59</t>
  </si>
  <si>
    <t>Ham snijmachine</t>
  </si>
  <si>
    <t>1 bovenplaat</t>
  </si>
  <si>
    <t>2 bovenplaten</t>
  </si>
  <si>
    <t>=C2227</t>
  </si>
  <si>
    <t>Iglo producties</t>
  </si>
  <si>
    <t>Info 11/03 (planning week 16) productie dezelfde week of een week vroeger</t>
  </si>
  <si>
    <t>Halal</t>
  </si>
  <si>
    <t>scheiding in Lijn + in tijd (starten met Halal of waar er geen Varken of Alcohol in zit)</t>
  </si>
  <si>
    <t>Kartonnage</t>
  </si>
  <si>
    <t>Starten op maadag met Shrink - op L2 geen vis indien mogelijk ?</t>
  </si>
  <si>
    <t>rijst + pasta</t>
  </si>
  <si>
    <t>Kippebouten</t>
  </si>
  <si>
    <t xml:space="preserve">productie op Di -Wo  : Levering op Donderdag leverings uur nooit gekend </t>
  </si>
  <si>
    <t>Keuken</t>
  </si>
  <si>
    <t>Assemblage</t>
  </si>
  <si>
    <t xml:space="preserve">Algemeen </t>
  </si>
  <si>
    <t>* DMB C2325 : max 4 producties op 1 dag</t>
  </si>
  <si>
    <t>* Gernal : geen pasta of rijst te samen L1 &amp; L2</t>
  </si>
  <si>
    <t>* productie 64226400 - 6426500 - 64226600 40 min ombouw voorzien (info Guy)</t>
  </si>
  <si>
    <t>* productie 800gr op L2 (die van L1 komt)  , moet aan een lagere snelheid max snelheid 34/min</t>
  </si>
  <si>
    <t>* Productie VAT &amp; DMC niet verhogen ifv uren</t>
  </si>
  <si>
    <t>* productie C2176-1A Evolve op L2 : kan op 3200st/min (info 08/09/25)</t>
  </si>
  <si>
    <t>WIP's</t>
  </si>
  <si>
    <t>* opentrekken etuis 1pers : 1000st/4h</t>
  </si>
  <si>
    <t>Berief</t>
  </si>
  <si>
    <t>(kan op L1 etiket 10x10)</t>
  </si>
  <si>
    <t>Order X</t>
  </si>
  <si>
    <t>Bezetting vorig order = of +1 of -1</t>
  </si>
  <si>
    <t>eerst rijst , daarna pasta</t>
  </si>
  <si>
    <t>allergenen = of hoger vorig order</t>
  </si>
  <si>
    <t xml:space="preserve">nieuw recept </t>
  </si>
  <si>
    <t>Sandra - Elisabeth</t>
  </si>
  <si>
    <t>Geen Productie op L2</t>
  </si>
  <si>
    <t>L1 of L2 planning aanpassen</t>
  </si>
  <si>
    <t>standaard 20min</t>
  </si>
  <si>
    <t>standaard 30 min</t>
  </si>
  <si>
    <t>Leonard naar Leonard</t>
  </si>
  <si>
    <t>standaard 40min</t>
  </si>
  <si>
    <t>Bepaal ombouw tijd</t>
  </si>
  <si>
    <t>* 1 bak voorgerolde witloof bevat 60 rollen</t>
  </si>
  <si>
    <t>* DLC bijna zelfde kleine ronde stickers zoals DMC : indien mogelijk aansluitende producties vermijden</t>
  </si>
  <si>
    <t>* eitketten DMC &amp; VAT zonder etiketten op L1 (in WIP) / DMH &amp; Soep kunnen met etiketten op L1</t>
  </si>
  <si>
    <t>* kaasmachine voorrang L1 - extra persoon op L2 indien dubbel gebruik</t>
  </si>
  <si>
    <t>* productie frieten 400gr kan op L1 (info 08/09/25)</t>
  </si>
  <si>
    <t>* productie frieten op 280gr  L2 - waaien weg in spiraal L1 ook met minder ventilatoren (ventilator gebroken op 27/02/25)</t>
  </si>
  <si>
    <t>16 weegschalen</t>
  </si>
  <si>
    <t>* orders met hetzelfde 2nr erin samen produceren (eerst de kleinste plannen) vb 65107400 - 65107300</t>
  </si>
  <si>
    <t>* Productie DMB</t>
  </si>
  <si>
    <t>UK59 en C2187</t>
  </si>
  <si>
    <t xml:space="preserve">Stap 1 </t>
  </si>
  <si>
    <t>* planning manueel</t>
  </si>
  <si>
    <t>* systeem controleert manuele planning</t>
  </si>
  <si>
    <t xml:space="preserve">Stap 2 </t>
  </si>
  <si>
    <t>Stap X</t>
  </si>
  <si>
    <t xml:space="preserve">*controle systeem </t>
  </si>
  <si>
    <t>* Volledige AI planning</t>
  </si>
  <si>
    <t>* invoer automatsch</t>
  </si>
  <si>
    <t>* auto invoer in CSB</t>
  </si>
  <si>
    <t>???????</t>
  </si>
  <si>
    <t>* indien Mep D-1 op gernal : voldoende tijd vrij op Gernal D-1</t>
  </si>
  <si>
    <t>Stap 3 tot  Stap X-1</t>
  </si>
  <si>
    <t>* Bij wijzigingen  - opladen scanners</t>
  </si>
  <si>
    <t>* afwegen kruiden : opladen scanners D-2</t>
  </si>
  <si>
    <t xml:space="preserve">* klaarzetten grondstoffen + droog : opladen scanners D-1 </t>
  </si>
  <si>
    <t>Uitwerken in meerdere stappen</t>
  </si>
  <si>
    <t>niet als 1ste  order v/d dag</t>
  </si>
  <si>
    <t>Sandra / Elisabeth</t>
  </si>
  <si>
    <t>Yvan</t>
  </si>
  <si>
    <t>aanpassen planning</t>
  </si>
  <si>
    <t>Vastleggen planning Week X + 4</t>
  </si>
  <si>
    <t>Week X (Do)</t>
  </si>
  <si>
    <t>Vastleggen wijzigingen Week X+5 en verder</t>
  </si>
  <si>
    <t>Tijdlijn planning opmaken</t>
  </si>
  <si>
    <t>Huidige manier</t>
  </si>
  <si>
    <t>* manuele controle planning</t>
  </si>
  <si>
    <t xml:space="preserve">OPMERKINGEN </t>
  </si>
  <si>
    <t>order verwerking (aanpassingen / nieuwe orders )</t>
  </si>
  <si>
    <t>* manuele planning invoer in CSB</t>
  </si>
  <si>
    <t>naar/van CFS</t>
  </si>
  <si>
    <t>standaard 15 min</t>
  </si>
  <si>
    <t>L1</t>
  </si>
  <si>
    <t>schaal</t>
  </si>
  <si>
    <t>Planning</t>
  </si>
  <si>
    <t>Allergeen</t>
  </si>
  <si>
    <t xml:space="preserve">Spiraal </t>
  </si>
  <si>
    <t>Snelheid L1</t>
  </si>
  <si>
    <t>Snelheid L2</t>
  </si>
  <si>
    <t>MEP D-1</t>
  </si>
  <si>
    <t>kruiscontaminatie  allergenen</t>
  </si>
  <si>
    <t>kapvorm</t>
  </si>
  <si>
    <t>Terlet (4)</t>
  </si>
  <si>
    <t>Berief (3)</t>
  </si>
  <si>
    <t>Aardnoten</t>
  </si>
  <si>
    <t>Schaaldieren</t>
  </si>
  <si>
    <t>Woensdag</t>
  </si>
  <si>
    <t>Maandag</t>
  </si>
  <si>
    <t>Dinsdag</t>
  </si>
  <si>
    <t>Prio Lijn</t>
  </si>
  <si>
    <t>Product Informatie</t>
  </si>
  <si>
    <t>flowpack</t>
  </si>
  <si>
    <t>MEP &gt; D-1</t>
  </si>
  <si>
    <t>Donderdag</t>
  </si>
  <si>
    <t>Vrijdag</t>
  </si>
  <si>
    <t>kop</t>
  </si>
  <si>
    <t>bovenplaat</t>
  </si>
  <si>
    <t>Lijn 1 en lijn 2 tergelijkertijd mogelijk</t>
  </si>
  <si>
    <t xml:space="preserve">Lijn 1 OF lijn 2 </t>
  </si>
  <si>
    <t>moet op lijn 2</t>
  </si>
  <si>
    <t>kraft rond</t>
  </si>
  <si>
    <t xml:space="preserve">* productie apetito moet op L2 - etiketten waaien eraf in spiraal L1 </t>
  </si>
  <si>
    <t>* leesbare overzichtelijke planning (ook op papier!)</t>
  </si>
  <si>
    <t>Week X-1(Vr nm) + Week X (Ma + Di vm)</t>
  </si>
  <si>
    <t>Week X (Vr vm)</t>
  </si>
  <si>
    <t>Week X (Di nm ….. Vr vm)</t>
  </si>
  <si>
    <t>* Verplichte Werkweek : ieder vast personeelslid moet werken, geen EW mogelijk</t>
  </si>
  <si>
    <t>NVT : geen etui</t>
  </si>
  <si>
    <t>Moet op L1</t>
  </si>
  <si>
    <t>Stappen</t>
  </si>
  <si>
    <t>Op welke lijn moet/mag de maaltijd geproduceerd worden?</t>
  </si>
  <si>
    <t>plan datum WEEK Y</t>
  </si>
  <si>
    <t>Naar welke week in de planning kijken we eerst?</t>
  </si>
  <si>
    <t>Rationale</t>
  </si>
  <si>
    <t>Productie-technisch</t>
  </si>
  <si>
    <t>WEEK Y-1</t>
  </si>
  <si>
    <t>Welk type grondstoffen zijn er nodig voor de maaltijd?</t>
  </si>
  <si>
    <t>Niet op maandag of na officiële verlofdag, indien MEP in keuken D-2 of meer, dan nog dagen bijtellen</t>
  </si>
  <si>
    <t>Week Y is de week waarin de productie ten laatste moet plaatsvinden. Als die week niet kan, proberen we de week daarvoor (Y-1) om zeker op tijd klaar te zijn. Als die week ook niet lukt, bespreekt Yvan met Sandra en Elisabeth welke maaltijd er voor welke klant kan verschoven worden, in functie van stock, grondstoffen, hoogdringendheid en eventueel andere overwegingen</t>
  </si>
  <si>
    <t>Enkel grondstoffen nodig die gebruiksklaar zijn (dus geen D-1 of D-meer MEP) of diepvries?</t>
  </si>
  <si>
    <t>Kapvorm = vorig order of leeg (i.e. geen voorafgaand order op moment van inplannen)</t>
  </si>
  <si>
    <t>indien niet gelijk met vorig order: later/vroeger op dezelfde dag of zoek andere datum</t>
  </si>
  <si>
    <t>Is een formaat deel voor mondini dubbel gebruik beschikbaar?</t>
  </si>
  <si>
    <t>Gernal voorrang op L1</t>
  </si>
  <si>
    <t>dan geen rijst of pasta L2</t>
  </si>
  <si>
    <t>Nieuwe Gernal zal dit veranderen</t>
  </si>
  <si>
    <t>als 1ste product opstarten</t>
  </si>
  <si>
    <t>Sate productie op L1</t>
  </si>
  <si>
    <t>saté = bevat pinda. Pindanotenpasta: 11289900. CSB programma 135 geeft overzicht waar dat overal inzit.</t>
  </si>
  <si>
    <t>* indien veel MEP (vb witloof garen) oppassen met sate productie (want dan maar 8h beschikbaar voor  MEP)</t>
  </si>
  <si>
    <t>snap ik niet</t>
  </si>
  <si>
    <t>* Productie blue Nasi : lijnsnelheid op 2500/min instelling lijn 50/min (1 baans) (info Tom 01/07/25)</t>
  </si>
  <si>
    <t>* Productie blue Green Bami : lijnsnelheid op 2000/min instelling lijn 40/min (1 baans) (info Tom 01/07/25)</t>
  </si>
  <si>
    <t>* Thiriet witloof H9 new  geperforeerd omkarton moet via de nieuwe kliklok</t>
  </si>
  <si>
    <t>* pasta niet laten overnachten in spiraal (zetten uit tijdens in vriezen)</t>
  </si>
  <si>
    <t>* purees indien mogelijk als laatste produceren (vriezen zeer moeilijk in - stilstand door temperatuur te hoog)</t>
  </si>
  <si>
    <t>identificatie moeilijk product of halal productie</t>
  </si>
  <si>
    <t>Moeilijk product: bijv. lasagne waar heel veel pompen voor nodig zijn, Iglo BE witloof gratin, Iglo BE aardappel gratin. Bij halal geen varkensvlees op andere lijn</t>
  </si>
  <si>
    <t>dus als eerste productie zetten?</t>
  </si>
  <si>
    <t>1st rijst dan pasta: omwillen van gluten en eieren. Als je eerste pasta zou doen dan meer reinigen/ontsmetten</t>
  </si>
  <si>
    <t>saté op 2 lijnen tegelijkertijd gaat niet want alles met rijst of pasta is en dan is Gernal bottleneck</t>
  </si>
  <si>
    <t>plus1 min1 regel vooral voor L2 want meer maaltijden per shift</t>
  </si>
  <si>
    <t>Gaat over weegschalen aan de assemblagelijn. Als dit een beperking is, aantal weegschalen verhogen?</t>
  </si>
  <si>
    <t>zelfde formaat schaal</t>
  </si>
  <si>
    <t xml:space="preserve">ander formaat schaal </t>
  </si>
  <si>
    <t>* L1 start 6h - L2 start 7h of 6h30 indien nodig</t>
  </si>
  <si>
    <t>* na 8h productie zelfde product moet er gereingingd worden</t>
  </si>
  <si>
    <t>Order met toegewezen nummer komt binnen via Sandra met uiterste productiedatum X. Dat is altijd een vrijdag van de gewenste week waarin productie moet plaatsvinden.</t>
  </si>
  <si>
    <t xml:space="preserve">Yvan gaat altijd eerst L1 vullen, dan L2. L1 (retail lijn) volledig geautomatiseerd, dus alles met etuis, DMH maaltijden en blue green moet op L1.  L2 alles zonder etuis, manueel in omdozen. L2 voor Picard, VAT, DMB, DMC. </t>
  </si>
  <si>
    <t>* kippebouten enkel inplannen op Di-Wo of Vr; worden enkel op maandag of uitzonderlijk donderdag geleverd (donderdag mits andere leverancier).</t>
  </si>
  <si>
    <t>Verduidelijking / opmerking</t>
  </si>
  <si>
    <t>Moet/mag op L2</t>
  </si>
  <si>
    <t>Timing</t>
  </si>
  <si>
    <t>Met wat maken we de maaltijd</t>
  </si>
  <si>
    <t>Productie-technisch - kartonage</t>
  </si>
  <si>
    <t>Productie-technisch kapvorm</t>
  </si>
  <si>
    <t>Formaat deel enkel van belang als we twee dezelfde formaten op 2 lijnen willen draaien</t>
  </si>
  <si>
    <t>R&amp;D en anderen moeten aanwezig zijn dus niet om 6h 's morgens</t>
  </si>
  <si>
    <t>People</t>
  </si>
  <si>
    <t>Productie saté in namiddag want anders ganse dag maar 1 lijn bezet</t>
  </si>
  <si>
    <t>Personeelsbezetting assemblage</t>
  </si>
  <si>
    <t>FTE werkt 8h, Interim moet  minimum 4h werken</t>
  </si>
  <si>
    <t>Van weinig naar meer allergenen; dus van laag risico product naar hoger risico product</t>
  </si>
  <si>
    <t>1 dag =16h, vroegste start L1 is 6h00, vroegste start L2 is 6h30</t>
  </si>
  <si>
    <t>L2 start in principe om 7h00 tenzij vlinder mogelijk. Einde dag is 22h, tenzij vrijdag 20h.</t>
  </si>
  <si>
    <t>CFS vis kan via spiraal L1 / Bofrost CFS kan niet via spiraal L1. DMB moet op L2 wegens vorm schaal en bocht transportband</t>
  </si>
  <si>
    <t>Beperking op L2 Kan worden opgelost met nieuwe KliKlok (en shrinkmachine). L2 en CFS lijn ("L4") kunnen niet tegelijk draaien want gebruiken zelfde spiraal (spiraal 1 van L2). Andere spiraal zit al vol. Dus CFS en L2 moeten na elkaar gepland worden (alterneren).</t>
  </si>
  <si>
    <t>Van hoger naar lager risico kan, maar dan meer intense reiniging nodig (met ontsmetting).</t>
  </si>
  <si>
    <t>Leonhardt in principe op L1, multifill op L2, maar kunnen eigenlijk beide op L1 of L2 gebruikt worden</t>
  </si>
  <si>
    <t>aantal weegschalen max. 16st</t>
  </si>
  <si>
    <t>Toestellen Keuken</t>
  </si>
  <si>
    <t>Toestellen Assemblage</t>
  </si>
  <si>
    <t xml:space="preserve">* H44 moet via nieuwe kliklok , schalen misvormen op oude kliklok </t>
  </si>
  <si>
    <t>2 bovenplaat</t>
  </si>
  <si>
    <t>CFS pomp (1)</t>
  </si>
  <si>
    <t>Multifill (1)</t>
  </si>
  <si>
    <t>Leonard (1)</t>
  </si>
  <si>
    <t>kaasstrooi(1)</t>
  </si>
  <si>
    <t>Ook omgekeerd uiteraard: sate op L2 betekent geen productie van iets anders op L1. Saté wordt nu op L2 gedraaid want etiketten waaien er af op spiraal van L1</t>
  </si>
  <si>
    <t>2 stroom verdeler</t>
  </si>
  <si>
    <t>Handtmann (5)</t>
  </si>
  <si>
    <t>vis verzagen</t>
  </si>
  <si>
    <t>* productie Daesang : tss 6542000 en 64420200 20 min overschakeling ipv 40min zelfde rissoto</t>
  </si>
  <si>
    <t>identiek product</t>
  </si>
  <si>
    <t>66802200 - 66812300</t>
  </si>
  <si>
    <t>66802200 - 66801700</t>
  </si>
  <si>
    <t>Eieren</t>
  </si>
  <si>
    <t>Gluten</t>
  </si>
  <si>
    <t>Lupine</t>
  </si>
  <si>
    <t>Melk</t>
  </si>
  <si>
    <t>Mosterd</t>
  </si>
  <si>
    <t>Noten (schaalvruchten)</t>
  </si>
  <si>
    <t>Selderij</t>
  </si>
  <si>
    <t>Sesamzaad</t>
  </si>
  <si>
    <t>Soja</t>
  </si>
  <si>
    <t>Vis</t>
  </si>
  <si>
    <t>Weekdieren</t>
  </si>
  <si>
    <t>opstart moet</t>
  </si>
  <si>
    <t>rundstong</t>
  </si>
  <si>
    <t>DMB puree</t>
  </si>
  <si>
    <t>afsluit moet</t>
  </si>
  <si>
    <t>opstart kan niet</t>
  </si>
  <si>
    <t>afsluit kan niet</t>
  </si>
  <si>
    <t>Product naam</t>
  </si>
  <si>
    <t>nummer van product</t>
  </si>
  <si>
    <t>= CSB nummer</t>
  </si>
  <si>
    <t>naam van product</t>
  </si>
  <si>
    <t>komt uit analyse lijst &lt;&gt; CSB</t>
  </si>
  <si>
    <t>Schaal</t>
  </si>
  <si>
    <t>Type schaal</t>
  </si>
  <si>
    <t>Kap vorm</t>
  </si>
  <si>
    <t>type kapvorm Etui</t>
  </si>
  <si>
    <t>Karton</t>
  </si>
  <si>
    <t>karton</t>
  </si>
  <si>
    <t>Flowpack</t>
  </si>
  <si>
    <t>Weegschalen</t>
  </si>
  <si>
    <t># weegschalen nodig in assemblage</t>
  </si>
  <si>
    <t>1 = flowpack nodig / 0 = flowpack niet nodig</t>
  </si>
  <si>
    <t>Opmerking</t>
  </si>
  <si>
    <t>product nummer</t>
  </si>
  <si>
    <t>Allergenen</t>
  </si>
  <si>
    <t>Allergenen classificatie in assemblage</t>
  </si>
  <si>
    <t>Assemblage L1</t>
  </si>
  <si>
    <t>Assemblage L2</t>
  </si>
  <si>
    <t>assemblage L1</t>
  </si>
  <si>
    <t>assemblage L2</t>
  </si>
  <si>
    <t># personen nodig in kartonnage</t>
  </si>
  <si>
    <t xml:space="preserve">weegschalen </t>
  </si>
  <si>
    <t># personen nodig in keuken</t>
  </si>
  <si>
    <t>aantal per uur</t>
  </si>
  <si>
    <t>-  laagst  naar  ! ! ! ! ! Hoogst   /   X = saté productie</t>
  </si>
  <si>
    <t>Identiek product</t>
  </si>
  <si>
    <t>nummer van identiek product</t>
  </si>
  <si>
    <t>Oude Kliklok</t>
  </si>
  <si>
    <t>Spiraal</t>
  </si>
  <si>
    <t>type karton</t>
  </si>
  <si>
    <t># personen nodig in assemblage indien productie op L1</t>
  </si>
  <si>
    <t># personen nodig  in assemblage indien productie op L2</t>
  </si>
  <si>
    <t>kan de oude kliklok gebruikt worden</t>
  </si>
  <si>
    <t>productie snelheid op L2</t>
  </si>
  <si>
    <t>productie snelheid op L1</t>
  </si>
  <si>
    <t>voorkeur productie lijn</t>
  </si>
  <si>
    <t>voorkeur spiraal</t>
  </si>
  <si>
    <t xml:space="preserve">1 = voorkeur lijn  /  2 = kan op deze lijn  /  0 =  kan niet op deze lijn </t>
  </si>
  <si>
    <t>Product informatie</t>
  </si>
  <si>
    <t>Opstart moet</t>
  </si>
  <si>
    <t>Opstart kan niet</t>
  </si>
  <si>
    <t>Afsluit moet</t>
  </si>
  <si>
    <t>Afsluit kan niet</t>
  </si>
  <si>
    <t>1 = kan op  maandag / 0 = kan niet op maandag</t>
  </si>
  <si>
    <t>1 = kan op  dinsdag / 0 = kan niet op dinsdag</t>
  </si>
  <si>
    <t>1 = kan op  woensdag / 0 = kan niet op woensdag</t>
  </si>
  <si>
    <t>1 = kan op  donderdag / 0 = kan niet op donderdag</t>
  </si>
  <si>
    <t>1 = kan op  vrijdag / 0 = kan niet op vrijdag</t>
  </si>
  <si>
    <t>productie dag</t>
  </si>
  <si>
    <t xml:space="preserve">mise en place Dag -1 </t>
  </si>
  <si>
    <t xml:space="preserve">mise en place &gt; Dag -1 </t>
  </si>
  <si>
    <t xml:space="preserve">1 = moet / 0 = moet niet </t>
  </si>
  <si>
    <t>1= kan niet / 0 = kan</t>
  </si>
  <si>
    <t>product moet als 1ste v/d dag geproduceerd worden</t>
  </si>
  <si>
    <t>product kan niet als 1ste v/d dag geproduceerd worden</t>
  </si>
  <si>
    <t>product moet als laatste v/d dag geproduceerd worden</t>
  </si>
  <si>
    <t>product kan niet als laatste v/d dag geproduceerd worden</t>
  </si>
  <si>
    <t>KS Menger</t>
  </si>
  <si>
    <t>Stephan mixer kl</t>
  </si>
  <si>
    <t>Stephan mixer gr</t>
  </si>
  <si>
    <t>KS menger</t>
  </si>
  <si>
    <t>Prio</t>
  </si>
  <si>
    <t>Rijst - Pasta koker</t>
  </si>
  <si>
    <t>1 = nodig / 0 = niet nodig</t>
  </si>
  <si>
    <t>Karll Snell menger</t>
  </si>
  <si>
    <t>Kook ketel - vertical roerwerk</t>
  </si>
  <si>
    <t>Kook ketel - horizontaal roerwerk</t>
  </si>
  <si>
    <t>Stephan mixer klein</t>
  </si>
  <si>
    <t>Stephan mixer Groot</t>
  </si>
  <si>
    <t>mixer</t>
  </si>
  <si>
    <t>mixer met 2 messen</t>
  </si>
  <si>
    <t>Kookketel - Verticaal roerwerk</t>
  </si>
  <si>
    <t>Kookketel - Horizontaal roerwerk</t>
  </si>
  <si>
    <t>Karl Snell menger</t>
  </si>
  <si>
    <t>Turbo pomp</t>
  </si>
  <si>
    <t>Rijst - Pasta doseerder</t>
  </si>
  <si>
    <t>Kaas verdeler</t>
  </si>
  <si>
    <t>Saus pomp pneumatisch</t>
  </si>
  <si>
    <t>Saus - puree pomp</t>
  </si>
  <si>
    <t>Hesp snijmachine</t>
  </si>
  <si>
    <t># aantal nodig</t>
  </si>
  <si>
    <t>Handtmann pomp (5)</t>
  </si>
  <si>
    <t>Multipond multihead weger L1</t>
  </si>
  <si>
    <t>Isihida multihead weger L2</t>
  </si>
  <si>
    <t>rollen witloof</t>
  </si>
  <si>
    <t>DMB  pasta</t>
  </si>
  <si>
    <t>Iglo witloof gratin</t>
  </si>
  <si>
    <t>Lipine</t>
  </si>
  <si>
    <t>Kruiscontaminatie           Keuken</t>
  </si>
  <si>
    <t>- = niet aanwezig  /  + = aanwezig  / x  = aanwezig door kruiscontaminatie</t>
  </si>
  <si>
    <t>product heeft  mise en place nodig dag-1</t>
  </si>
  <si>
    <t>product heeft  mise en place nodig &gt;dag-1</t>
  </si>
  <si>
    <t>Multipond (L1)</t>
  </si>
  <si>
    <t>Isihda (L2)</t>
  </si>
  <si>
    <t>L2 : manueel afwegen</t>
  </si>
  <si>
    <t>Product     nummer</t>
  </si>
  <si>
    <t>Personeel</t>
  </si>
  <si>
    <t>KS menger (1)</t>
  </si>
  <si>
    <t>Gernal (1)</t>
  </si>
  <si>
    <t>productnaam uit analyselijst is niet altijd dezelfde als in CSB =&gt; moet geharmoniseerd worden =&gt; CSB moet juist staan</t>
  </si>
  <si>
    <t>in principe geen bottleneck want kan aangeschaft worden indien nodig</t>
  </si>
  <si>
    <t>product met dezelfde 2 nummers</t>
  </si>
  <si>
    <t>performantie kan evenwaardig zijn maar natuurlijk niet volautomatisch</t>
  </si>
  <si>
    <t>aantal dagen MEP niet aangegeven maar blijkt op mogelijke dagen in de week</t>
  </si>
  <si>
    <t>* productiekalender CSB ingeven (feestdagen - weekends - verlof dagen blokkeren) Prog 8311 &amp; Prog 6</t>
  </si>
  <si>
    <t>waar info over vlinder? Wanneer wel en wanneer niet beschikbaar?</t>
  </si>
  <si>
    <t>Prioritisering van klanten - is Fitmeals belangrijker dan DMC? Ranking van (groep van) 6 nummers met prioriteit.</t>
  </si>
  <si>
    <t>verzagen van vis kan ook veel vroeger in principe - is los van lijnbezetting - dus niet onmiddellijk relevant voor planning</t>
  </si>
  <si>
    <t>bottleneck is oplosbaar mits investering - komt bijna nooit voor</t>
  </si>
  <si>
    <t>Ombouwtijd wordt bepaald door reinigingscyclus (altijd na 8h en na tweede shift), verandering van schaal, verandering van machines, verandering van lijn</t>
  </si>
  <si>
    <t>tijdelijk</t>
  </si>
  <si>
    <t>blijft relevant</t>
  </si>
  <si>
    <t>optimalisatie mogelijk? Beter saté op L2 aan lagere snelheid dan géén productie op L2?</t>
  </si>
  <si>
    <t>Combi 2 lijnen moet bekeken worden; totaal over 2 lijnen moet zo weinig mogelijk fluctueren</t>
  </si>
  <si>
    <t>* nacht productie :  inplannen max tot 3h  , afwas was s'morgens net op tijd klaar met reinigen ! (prod 05/05/26)</t>
  </si>
  <si>
    <t>* nacht productie :  na 3 dagen nachtproductie op spiraal - spiraal ledigen en reinigen - max tot 20h produceren om spiraal te kunnen ledigen  + ontdooien + reinigen + invriezen</t>
  </si>
  <si>
    <t>Vlinder is in principe altijd beschikbaar. Alleen zin bij volle dag op L2</t>
  </si>
  <si>
    <t>Kruiscontaminatie (enkel keuken)</t>
  </si>
  <si>
    <t>X=NVT</t>
  </si>
  <si>
    <t>* 64402200 Bof De Kip Auflauf tussen reiniging 40min</t>
  </si>
  <si>
    <t>productie in sleeve</t>
  </si>
  <si>
    <t>1 = voorkeur spiraal   /  0 = kan niet op spiraal / 2= kan op spiraal</t>
  </si>
  <si>
    <t xml:space="preserve">63319800 - 63963500 </t>
  </si>
  <si>
    <t>DMC - DMH - VAT : zelfde pasta + saus</t>
  </si>
  <si>
    <t>63319800 -63562800</t>
  </si>
  <si>
    <t xml:space="preserve">63562800 - 63963500 </t>
  </si>
  <si>
    <t>* veel intrimmers of met nacht productie : 1/2 voor rollen</t>
  </si>
  <si>
    <t>* veel vaste : 1/4 voor rollen</t>
  </si>
  <si>
    <t>* goede mix vast - inrtim : 1/3 voor rollen</t>
  </si>
  <si>
    <t>* witloof voor rollen (producten met witloof rollen)</t>
  </si>
  <si>
    <t>* orders waarvoor verzaagde vis nodig is : zaagorders aanmaken op productie dag (nadien de zaagorders groeperen om te verzagen) - vis order worden manueel ingeven</t>
  </si>
  <si>
    <t>tussen reiniging 50min</t>
  </si>
  <si>
    <t>Kliklok</t>
  </si>
  <si>
    <t>Shrink</t>
  </si>
  <si>
    <t>CPS</t>
  </si>
  <si>
    <t>Hand nipak</t>
  </si>
  <si>
    <t>hebben we de tooling voorradig op de oude kliklok ? 1 = ja / 0 = neen (productie in kooien op L2)</t>
  </si>
  <si>
    <t>oude Kliklok (kooien)</t>
  </si>
  <si>
    <t>* 61694600 ?? Wss gestopt Bof Be Va gebraad Boontjes Puree (kan enkel op Do of Vr (levering VA gebraad op woensdag)</t>
  </si>
  <si>
    <t>kooien inpak kart</t>
  </si>
  <si>
    <t>Rijst : 21603600</t>
  </si>
  <si>
    <t>Puree : 21406200</t>
  </si>
  <si>
    <t>Hertenstoofvlees D-3</t>
  </si>
  <si>
    <t>Spaghetti : 21604400</t>
  </si>
  <si>
    <t>* Dag x planning &gt; 4 vaste weken manueel kunnen vast leggen, programma mag deze dag niet meer wijzigen</t>
  </si>
  <si>
    <t>Grote (2)</t>
  </si>
  <si>
    <t>Leonard(1)</t>
  </si>
  <si>
    <t>Multifill(1)</t>
  </si>
  <si>
    <t>Kaasstrooier(1)</t>
  </si>
  <si>
    <t>Multipond(1)</t>
  </si>
  <si>
    <t>Isidha(1)</t>
  </si>
  <si>
    <t>Grote Slicer(2)</t>
  </si>
  <si>
    <t>CFS pomp(1)</t>
  </si>
  <si>
    <t>Stephan mixer kl(1)</t>
  </si>
  <si>
    <t>Stephan mixer gr(1)</t>
  </si>
  <si>
    <t>Gernal(1)</t>
  </si>
  <si>
    <t>weegschalen (16)</t>
  </si>
  <si>
    <r>
      <t>Turbo</t>
    </r>
    <r>
      <rPr>
        <sz val="6"/>
        <color theme="1"/>
        <rFont val="Arial"/>
        <family val="2"/>
      </rPr>
      <t>(8 enkel -3 dubbel)</t>
    </r>
  </si>
  <si>
    <t xml:space="preserve">  </t>
  </si>
  <si>
    <t>* 67110100 &amp; 67110200 Lidl De pho en thai soep tussen reinigen 50 min</t>
  </si>
  <si>
    <t>Rijst D-1</t>
  </si>
  <si>
    <t>rookworst tht 30</t>
  </si>
  <si>
    <t>63902900 - 6392900</t>
  </si>
  <si>
    <t>Eendenconfit tht 30</t>
  </si>
  <si>
    <t>Geen H11 op oude kliklok</t>
  </si>
  <si>
    <t>Meeting 28/08 :</t>
  </si>
  <si>
    <t>(zie decision tree)</t>
  </si>
  <si>
    <t>Week 35 :</t>
  </si>
  <si>
    <t xml:space="preserve">Week 36 : </t>
  </si>
  <si>
    <t>VAT GEHAKTSCHOTEL MET AUBERGINE EN AARDAPPELSCHIJF</t>
  </si>
  <si>
    <t>kan niet op maandag (database aangevuld)</t>
  </si>
  <si>
    <t>THIRIET WITLOOF HAM KAAS 700G</t>
  </si>
  <si>
    <t>VAT KIPFILET RABARBERCOMPOTE GEBAK AARD BLOKJE</t>
  </si>
  <si>
    <t>samen produceren met 63933700 (database aangevuld)</t>
  </si>
  <si>
    <t>kan niet als opstart (zie database)</t>
  </si>
  <si>
    <t xml:space="preserve">VAT NASI GORENG SPECIAAL MET KIP IN SATESAUS      </t>
  </si>
  <si>
    <t xml:space="preserve"> is een sate product moet als laatste + indien sate kan er niets geproduceerd worden op andere lijn (zie decision tree + datebase aangevuld)</t>
  </si>
  <si>
    <t>is een sate product moet als laatste + indien sate kan er niets geproduceerd worden op andere lijn (zie decision tree + datebase aangevuld)</t>
  </si>
  <si>
    <t>samen produceren met 63960300 (database aangevuld)</t>
  </si>
  <si>
    <t>LIDL DE EW KIPFILET SATE RIJST SOJAB 400G (MIXED)</t>
  </si>
  <si>
    <t>COLR RUNDSTONG MADEIRASAUS 400G</t>
  </si>
  <si>
    <t xml:space="preserve"> kan niet als afsluit productie (zie database)</t>
  </si>
  <si>
    <t>Algemeen :</t>
  </si>
  <si>
    <t>* langer inplannen , zo dicht mogelijk tegen eind uur</t>
  </si>
  <si>
    <t>* zelfde kapvorm zoveel mogelijk aansluitend in plannen</t>
  </si>
  <si>
    <t>* omerkingen orderverwerking</t>
  </si>
  <si>
    <t>* opmerkingen uit analyse lijst</t>
  </si>
  <si>
    <t xml:space="preserve">* kolommen opmerkingen </t>
  </si>
  <si>
    <t>* ombouw in de cel turnover plaatsen (start en eind ombouw is niet nodig)</t>
  </si>
  <si>
    <t>vb  3 producties fitmeals op 3 verschillende dagen in dezelfde week</t>
  </si>
  <si>
    <t>* allergenen niveau X , is het hoogste niveau</t>
  </si>
  <si>
    <t xml:space="preserve">* gestageerd door gedeeld toestel (Gernal) </t>
  </si>
  <si>
    <t>Gernal niet op hetzelfde moment inplannen</t>
  </si>
  <si>
    <t xml:space="preserve">* orders afgewezen </t>
  </si>
  <si>
    <t>alles moet ingepland worden ?</t>
  </si>
  <si>
    <t>* plannen ifv  allergenen assemblage (niet ifv kruiscontaminatie keuken)</t>
  </si>
  <si>
    <t>DMB PUREE 2,25 KG</t>
  </si>
  <si>
    <t>moet als afsluit productie (zie database)</t>
  </si>
  <si>
    <t xml:space="preserve">Algemene plannings wijze : </t>
  </si>
  <si>
    <t xml:space="preserve">stap 1 : </t>
  </si>
  <si>
    <t>Lijn 1 inplannen</t>
  </si>
  <si>
    <t>1.1 kapvormen groeperen</t>
  </si>
  <si>
    <t>1.2 aantal personen nodig</t>
  </si>
  <si>
    <t>Lijn 2 inplannen ifv L1</t>
  </si>
  <si>
    <t>2.2 aantal personen nodig</t>
  </si>
  <si>
    <t>2.3 allergenen oplopend in plannen (zo weinig mogelijk verlagen in niveau)</t>
  </si>
  <si>
    <t>1.3 allergenen oplopend inplannen (zo weinig mogelijk verlagen in niveau)</t>
  </si>
  <si>
    <t>2.1 type karton groeperen (geen kapvorm  van etui )</t>
  </si>
  <si>
    <t>* kolom nummer aanpassen naar plan nummer (werd niet besproken)</t>
  </si>
  <si>
    <t>Stap 2 :</t>
  </si>
  <si>
    <t>Meeting 04/09 :</t>
  </si>
  <si>
    <t>niet samen met 61672200</t>
  </si>
  <si>
    <t>* langer inplannen , zo dicht mogelijk tegen eind uur (ook L2)</t>
  </si>
  <si>
    <t>* aanpassingen Lay-out</t>
  </si>
  <si>
    <t xml:space="preserve">kan niet </t>
  </si>
  <si>
    <t xml:space="preserve">Week 37 </t>
  </si>
  <si>
    <t xml:space="preserve">ombouwen L1 </t>
  </si>
  <si>
    <t xml:space="preserve">Novato - UK59 - Kraft rond - Novato - C1287 - UK59  </t>
  </si>
  <si>
    <t xml:space="preserve">Week 36 </t>
  </si>
  <si>
    <t xml:space="preserve">Novato - UK59 - C1287 - UK59 - Novato - UK59 </t>
  </si>
  <si>
    <t>* kolom hul mat : invullen met assemblage machines</t>
  </si>
  <si>
    <t xml:space="preserve"> database aangevuld + orders met levering begin 2026 (= gestopte producten)</t>
  </si>
  <si>
    <t xml:space="preserve"> om planning te kunnen lezen</t>
  </si>
  <si>
    <t>* kleuren weg</t>
  </si>
  <si>
    <t>* kolom nummer aanpassen naar plan nummer</t>
  </si>
  <si>
    <t>een sate product  als laatste inplannen + indien sate kan er niets geproduceerd worden op andere lijn (zie decision tree)</t>
  </si>
  <si>
    <t>58 afgewezen orders :</t>
  </si>
  <si>
    <t>indien niet genoeg orders op L2  - L2 1 shift inplannen</t>
  </si>
  <si>
    <t>COLR BALLETJES TOMATENSAUS BOONTJES PUREE 500G</t>
  </si>
  <si>
    <t>product prio L1 - prod op L2 :extra inpak werk - enkel als er geen plaats is op L1</t>
  </si>
  <si>
    <t>personeels bezetting 2 personen voor 1h ?</t>
  </si>
  <si>
    <t>prod L2 met sate op L1</t>
  </si>
  <si>
    <t xml:space="preserve">rundstong prod dezelfde dag </t>
  </si>
  <si>
    <t>* Q Arthur mail   :</t>
  </si>
  <si>
    <t>Gernal gebruik ingevuld voor alle producten</t>
  </si>
  <si>
    <t xml:space="preserve">Gernal niet op hetzelfde moment  inplannen : </t>
  </si>
  <si>
    <t>30min</t>
  </si>
  <si>
    <t>reinigings tijd allergenen hoog naar lager  :</t>
  </si>
  <si>
    <t>prod L1 met sate op L2</t>
  </si>
  <si>
    <t>Week 38</t>
  </si>
  <si>
    <t>ombouwen L1</t>
  </si>
  <si>
    <t>Novato - UK59 - Novato - UK59 - Novato - UK59 - C2187 - UK59 - C2187</t>
  </si>
  <si>
    <t>L2 prod tot 19:10, daarna opnieuw om 21:20</t>
  </si>
  <si>
    <t>L2 4 personen nodig voor 1h (21:20 tot 22:20)</t>
  </si>
  <si>
    <t xml:space="preserve">L2 : C2227 - C2187 - C2227 </t>
  </si>
  <si>
    <t>type karton groeperen</t>
  </si>
  <si>
    <t xml:space="preserve">L2 : C2227 - C2325 - C2227 </t>
  </si>
  <si>
    <t>* aanduiding sate prod idem planning</t>
  </si>
  <si>
    <t xml:space="preserve">L2 : C2325 - C2227 - C2325 </t>
  </si>
  <si>
    <t>Week 40</t>
  </si>
  <si>
    <t>Novato - UK59 - Novato  - UK59 - Novato  - C2176 - UK57 - UK59</t>
  </si>
  <si>
    <t>kap vormen groeperen</t>
  </si>
  <si>
    <t>Week 39</t>
  </si>
  <si>
    <t>UK59 - Novato - UK59 - Novato - UK59 - Novato - UK59 - C2187 - Uk59</t>
  </si>
  <si>
    <t>er kan niet zoveel rundstong gedooid worden (hoe aanduiden in database ?)</t>
  </si>
  <si>
    <t xml:space="preserve">teveel witloof op 1 dag </t>
  </si>
  <si>
    <t>niet stoppen met witloof</t>
  </si>
  <si>
    <t>hoe aanduiden in database ?</t>
  </si>
  <si>
    <t>L2 : UK57 - AR1150 - UK57 - C2227</t>
  </si>
  <si>
    <t>geen L2 ingepland enkel vanaf 21:40 ??</t>
  </si>
  <si>
    <t>* producten prio L1 enkel op L2 inplannen indien geen plaats op L1</t>
  </si>
  <si>
    <t>Product</t>
  </si>
  <si>
    <t>Berief 3)</t>
  </si>
  <si>
    <t>Ks Mixer</t>
  </si>
  <si>
    <t>Stephan klein</t>
  </si>
  <si>
    <t>Stephan groot</t>
  </si>
  <si>
    <t>Keuken toestellen</t>
  </si>
  <si>
    <t>Totaal</t>
  </si>
  <si>
    <t>-</t>
  </si>
  <si>
    <t>67110300 - 67110500</t>
  </si>
  <si>
    <t>67110400 - 67110600</t>
  </si>
  <si>
    <t>67110100 - 67110500</t>
  </si>
  <si>
    <t>67110200 - 67110600</t>
  </si>
  <si>
    <t>67110100 - 67110300</t>
  </si>
  <si>
    <t>67110200 - 67110400</t>
  </si>
  <si>
    <t>f</t>
  </si>
  <si>
    <t xml:space="preserve"> </t>
  </si>
  <si>
    <t xml:space="preserve">* opmerkingen uit analyse lijst </t>
  </si>
  <si>
    <t>kap vorm groeperen</t>
  </si>
  <si>
    <t>OK</t>
  </si>
  <si>
    <t>64224100</t>
  </si>
  <si>
    <t>BOF FR WITLOOF HAM KAAS 320G</t>
  </si>
  <si>
    <t>kan niet op maandag (database aangepast)</t>
  </si>
  <si>
    <t>65130200</t>
  </si>
  <si>
    <t>OK als laatste maar DMB's groeperen</t>
  </si>
  <si>
    <t>* Week 45 : fabriek gesloten (aanpassingen productie)</t>
  </si>
  <si>
    <t>Gernal (2)</t>
  </si>
  <si>
    <t>opstarten Prod L2 21h50-22h15</t>
  </si>
  <si>
    <t>Leonard (2)</t>
  </si>
  <si>
    <t>Kliklok L1</t>
  </si>
  <si>
    <t>Kliklok L2</t>
  </si>
  <si>
    <t>Meeting 02/10 :</t>
  </si>
  <si>
    <t>* Gernal : vanaf W46  2 Gernals beschikbaar  - hierdoor kunnen we op L1 &amp; L2 te samen pastas of rijst produceren(database aangepast)</t>
  </si>
  <si>
    <t>* Leonard : vanaf W46 2 leonards beschikbaar (database aangepast)</t>
  </si>
  <si>
    <t>* Kliklok L2 : vanaf W46 kliklok op L2 (kolom toegevoegd in database)</t>
  </si>
  <si>
    <t>niet haalbaar</t>
  </si>
  <si>
    <t>DMH starten om ombouw te vermijden</t>
  </si>
  <si>
    <t>DMH (L2 prod) op L1 &amp; Bof Be (L1 prod) op L2</t>
  </si>
  <si>
    <t>* zelfde kapvorm  aansluitend in plannen</t>
  </si>
  <si>
    <t>63150000</t>
  </si>
  <si>
    <t>LIDL BE AARDAPPELGRATIN 450G</t>
  </si>
  <si>
    <t>als laatste inplannen</t>
  </si>
  <si>
    <t>L1  stop om 13:05 &amp; L2 start om 14:20 ?</t>
  </si>
  <si>
    <t>L1 stop om 19h55 &amp; L2 start om 21h15 ?</t>
  </si>
  <si>
    <t>Handtmann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</si>
</sst>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
      <sz val="9"/>
      <color theme="1"/>
      <name val="Aptos Narrow"/>
      <family val="2"/>
      <scheme val="minor"/>
    </font>
    <font>
      <sz val="8"/>
      <color theme="1"/>
      <name val="Arial"/>
      <family val="2"/>
    </font>
    <font>
      <sz val="8"/>
      <name val="Arial"/>
      <family val="2"/>
    </font>
    <font>
      <sz val="9"/>
      <color theme="1"/>
      <name val="Arial"/>
      <family val="2"/>
    </font>
    <font>
      <b/>
      <sz val="12"/>
      <color theme="1"/>
      <name val="Aptos Narrow"/>
      <family val="2"/>
      <scheme val="minor"/>
    </font>
    <font>
      <sz val="12"/>
      <color theme="1"/>
      <name val="Aptos Narrow"/>
      <family val="2"/>
      <scheme val="minor"/>
    </font>
    <font>
      <sz val="11"/>
      <name val="Aptos Narrow"/>
      <family val="2"/>
      <scheme val="minor"/>
    </font>
    <font>
      <sz val="8"/>
      <color rgb="FFFF0000"/>
      <name val="Arial"/>
      <family val="2"/>
    </font>
    <font>
      <sz val="7"/>
      <color theme="1"/>
      <name val="Arial"/>
      <family val="2"/>
    </font>
    <font>
      <sz val="11"/>
      <color theme="1"/>
      <name val="Arial"/>
      <family val="2"/>
    </font>
    <font>
      <sz val="10"/>
      <color theme="1"/>
      <name val="Arial"/>
      <family val="2"/>
    </font>
    <font>
      <sz val="18"/>
      <color theme="1"/>
      <name val="Arial"/>
      <family val="2"/>
    </font>
    <font>
      <b/>
      <sz val="11"/>
      <color theme="1"/>
      <name val="Arial"/>
      <family val="2"/>
    </font>
    <font>
      <sz val="10"/>
      <color theme="1"/>
      <name val="Aptos Narrow"/>
      <family val="2"/>
      <scheme val="minor"/>
    </font>
    <font>
      <b/>
      <sz val="10"/>
      <color theme="1"/>
      <name val="Arial"/>
      <family val="2"/>
    </font>
    <font>
      <b/>
      <sz val="10"/>
      <color theme="1"/>
      <name val="Aptos Narrow"/>
      <family val="2"/>
      <scheme val="minor"/>
    </font>
    <font>
      <sz val="24"/>
      <color theme="1"/>
      <name val="Arial"/>
      <family val="2"/>
    </font>
    <font>
      <sz val="24"/>
      <color theme="1"/>
      <name val="Aptos Narrow"/>
      <family val="2"/>
      <scheme val="minor"/>
    </font>
    <font>
      <sz val="8"/>
      <name val="Aptos Narrow"/>
      <family val="2"/>
      <scheme val="minor"/>
    </font>
    <font>
      <b/>
      <sz val="14"/>
      <color theme="1"/>
      <name val="Arial"/>
      <family val="2"/>
    </font>
    <font>
      <b/>
      <sz val="18"/>
      <color theme="1"/>
      <name val="Arial"/>
      <family val="2"/>
    </font>
    <font>
      <sz val="6"/>
      <color theme="1"/>
      <name val="Arial"/>
      <family val="2"/>
    </font>
    <font>
      <sz val="11"/>
      <color rgb="FFFF0000"/>
      <name val="Aptos Narrow"/>
      <family val="2"/>
      <scheme val="minor"/>
    </font>
    <font>
      <b/>
      <sz val="14"/>
      <color theme="1"/>
      <name val="Aptos Narrow"/>
      <family val="2"/>
      <scheme val="minor"/>
    </font>
    <font>
      <sz val="8"/>
      <color rgb="FFFF0000"/>
      <name val="Arial"/>
      <family val="2"/>
    </font>
    <font>
      <sz val="8"/>
      <color rgb="FFFF0000"/>
      <name val="Arial"/>
      <family val="2"/>
    </font>
    <font>
      <sz val="8"/>
      <color rgb="FFFF0000"/>
      <name val="Arial"/>
      <family val="2"/>
    </font>
    <font>
      <sz val="11"/>
      <color rgb="FF00B050"/>
      <name val="Aptos Narrow"/>
      <family val="2"/>
      <scheme val="minor"/>
    </font>
    <font>
      <b/>
      <sz val="11"/>
      <color rgb="FF00B050"/>
      <name val="Aptos Narrow"/>
      <family val="2"/>
      <scheme val="minor"/>
    </font>
    <font>
      <b/>
      <sz val="9"/>
      <color theme="1"/>
      <name val="Arial"/>
      <family val="2"/>
    </font>
    <font>
      <b/>
      <sz val="11"/>
      <color rgb="FFFF0000"/>
      <name val="Aptos Narrow"/>
      <family val="2"/>
      <scheme val="minor"/>
    </font>
    <font>
      <b/>
      <sz val="11"/>
      <color rgb="FF92D050"/>
      <name val="Aptos Narrow"/>
      <family val="2"/>
      <scheme val="minor"/>
    </font>
    <font>
      <sz val="6"/>
      <color theme="1"/>
      <name val="Aptos Narrow"/>
      <family val="2"/>
      <scheme val="minor"/>
    </font>
    <font>
      <sz val="6"/>
      <name val="Arial"/>
      <family val="2"/>
    </font>
  </fonts>
  <fills count="28">
    <fill>
      <patternFill patternType="none"/>
    </fill>
    <fill>
      <patternFill patternType="gray125"/>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2F2F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C6EFCE"/>
      </patternFill>
    </fill>
    <fill>
      <patternFill patternType="solid">
        <fgColor rgb="FFC6EFCE"/>
      </patternFill>
    </fill>
    <fill>
      <patternFill patternType="solid">
        <fgColor rgb="FFC6EFCE"/>
      </patternFill>
    </fill>
    <fill>
      <patternFill patternType="solid">
        <fgColor rgb="FFC6EFCE"/>
      </patternFill>
    </fill>
    <fill>
      <patternFill patternType="solid">
        <fgColor rgb="FFC6EFCE"/>
      </patternFill>
    </fill>
    <fill>
      <patternFill patternType="solid">
        <fgColor rgb="FFC6EFCE"/>
      </patternFill>
    </fill>
    <fill>
      <patternFill patternType="solid">
        <fgColor rgb="FFC6EFCE"/>
      </patternFill>
    </fill>
    <fill>
      <patternFill patternType="solid">
        <fgColor rgb="FFC6EFCE"/>
      </patternFill>
    </fill>
    <fill>
      <patternFill patternType="solid">
        <fgColor rgb="FFC6EFCE"/>
      </patternFill>
    </fill>
    <fill>
      <patternFill patternType="solid">
        <fgColor rgb="FFC6EFCE"/>
      </patternFill>
    </fill>
    <fill>
      <patternFill patternType="solid">
        <fgColor rgb="FFC6EFCE"/>
      </patternFill>
    </fill>
    <fill>
      <patternFill patternType="solid">
        <fgColor rgb="FFFFC7CE"/>
      </patternFill>
    </fill>
    <fill>
      <patternFill patternType="none"/>
    </fill>
    <fill>
      <patternFill patternType="solid">
        <fgColor rgb="FFF4B183"/>
      </patternFill>
    </fill>
    <fill>
      <patternFill patternType="solid">
        <fgColor rgb="FFF4B183"/>
      </patternFill>
    </fill>
    <fill>
      <patternFill patternType="none"/>
    </fill>
    <fill>
      <patternFill patternType="solid">
        <fgColor rgb="FFF4B183"/>
      </patternFill>
    </fill>
    <fill>
      <patternFill patternType="none"/>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auto="1"/>
      </left>
      <right style="hair">
        <color auto="1"/>
      </right>
      <top style="medium">
        <color indexed="64"/>
      </top>
      <bottom style="hair">
        <color auto="1"/>
      </bottom>
      <diagonal/>
    </border>
    <border>
      <left style="hair">
        <color auto="1"/>
      </left>
      <right style="hair">
        <color auto="1"/>
      </right>
      <top style="medium">
        <color indexed="64"/>
      </top>
      <bottom style="hair">
        <color auto="1"/>
      </bottom>
      <diagonal/>
    </border>
    <border>
      <left style="hair">
        <color auto="1"/>
      </left>
      <right style="medium">
        <color auto="1"/>
      </right>
      <top style="medium">
        <color indexed="64"/>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medium">
        <color auto="1"/>
      </right>
      <top style="hair">
        <color auto="1"/>
      </top>
      <bottom/>
      <diagonal/>
    </border>
    <border>
      <left/>
      <right style="medium">
        <color indexed="64"/>
      </right>
      <top style="medium">
        <color indexed="64"/>
      </top>
      <bottom style="hair">
        <color auto="1"/>
      </bottom>
      <diagonal/>
    </border>
    <border>
      <left/>
      <right style="medium">
        <color indexed="64"/>
      </right>
      <top style="hair">
        <color auto="1"/>
      </top>
      <bottom/>
      <diagonal/>
    </border>
    <border>
      <left/>
      <right style="medium">
        <color indexed="64"/>
      </right>
      <top style="hair">
        <color auto="1"/>
      </top>
      <bottom style="hair">
        <color auto="1"/>
      </bottom>
      <diagonal/>
    </border>
    <border>
      <left/>
      <right style="hair">
        <color indexed="64"/>
      </right>
      <top/>
      <bottom/>
      <diagonal/>
    </border>
    <border>
      <left style="hair">
        <color indexed="64"/>
      </left>
      <right/>
      <top style="medium">
        <color indexed="64"/>
      </top>
      <bottom style="medium">
        <color indexed="64"/>
      </bottom>
      <diagonal/>
    </border>
    <border>
      <left style="hair">
        <color auto="1"/>
      </left>
      <right/>
      <top style="medium">
        <color indexed="64"/>
      </top>
      <bottom style="hair">
        <color auto="1"/>
      </bottom>
      <diagonal/>
    </border>
    <border>
      <left style="hair">
        <color auto="1"/>
      </left>
      <right/>
      <top style="hair">
        <color auto="1"/>
      </top>
      <bottom style="hair">
        <color auto="1"/>
      </bottom>
      <diagonal/>
    </border>
    <border>
      <left style="hair">
        <color auto="1"/>
      </left>
      <right/>
      <top style="hair">
        <color auto="1"/>
      </top>
      <bottom/>
      <diagonal/>
    </border>
    <border>
      <left/>
      <right style="hair">
        <color auto="1"/>
      </right>
      <top style="hair">
        <color auto="1"/>
      </top>
      <bottom style="hair">
        <color auto="1"/>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thin">
        <color indexed="64"/>
      </top>
      <bottom/>
      <diagonal/>
    </border>
    <border>
      <left style="medium">
        <color indexed="64"/>
      </left>
      <right style="thin">
        <color indexed="64"/>
      </right>
      <top style="hair">
        <color indexed="64"/>
      </top>
      <bottom style="hair">
        <color indexed="64"/>
      </bottom>
      <diagonal/>
    </border>
    <border>
      <left style="hair">
        <color auto="1"/>
      </left>
      <right/>
      <top/>
      <bottom/>
      <diagonal/>
    </border>
    <border>
      <left/>
      <right style="hair">
        <color auto="1"/>
      </right>
      <top/>
      <bottom style="hair">
        <color auto="1"/>
      </bottom>
      <diagonal/>
    </border>
    <border>
      <left style="hair">
        <color auto="1"/>
      </left>
      <right style="medium">
        <color auto="1"/>
      </right>
      <top/>
      <bottom style="hair">
        <color auto="1"/>
      </bottom>
      <diagonal/>
    </border>
    <border>
      <left style="hair">
        <color indexed="64"/>
      </left>
      <right style="thin">
        <color indexed="64"/>
      </right>
      <top style="hair">
        <color indexed="64"/>
      </top>
      <bottom style="hair">
        <color indexed="64"/>
      </bottom>
      <diagonal/>
    </border>
    <border>
      <left style="thin">
        <color indexed="64"/>
      </left>
      <right style="medium">
        <color indexed="64"/>
      </right>
      <top/>
      <bottom style="thin">
        <color indexed="64"/>
      </bottom>
      <diagonal/>
    </border>
    <border>
      <left/>
      <right style="hair">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right/>
      <top style="hair">
        <color auto="1"/>
      </top>
      <bottom style="hair">
        <color auto="1"/>
      </bottom>
      <diagonal/>
    </border>
    <border>
      <left/>
      <right/>
      <top/>
      <bottom style="hair">
        <color auto="1"/>
      </bottom>
      <diagonal/>
    </border>
    <border>
      <left/>
      <right style="thin">
        <color indexed="64"/>
      </right>
      <top/>
      <bottom style="thin">
        <color indexed="64"/>
      </bottom>
      <diagonal/>
    </border>
    <border>
      <left style="medium">
        <color indexed="64"/>
      </left>
      <right/>
      <top style="hair">
        <color auto="1"/>
      </top>
      <bottom style="hair">
        <color indexed="64"/>
      </bottom>
      <diagonal/>
    </border>
    <border>
      <left style="medium">
        <color indexed="64"/>
      </left>
      <right style="hair">
        <color indexed="64"/>
      </right>
      <top/>
      <bottom style="hair">
        <color auto="1"/>
      </bottom>
      <diagonal/>
    </border>
    <border>
      <left style="hair">
        <color indexed="64"/>
      </left>
      <right style="hair">
        <color indexed="64"/>
      </right>
      <top/>
      <bottom style="hair">
        <color auto="1"/>
      </bottom>
      <diagonal/>
    </border>
    <border>
      <left style="hair">
        <color auto="1"/>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s>
  <cellStyleXfs count="1">
    <xf numFmtId="0" fontId="0" fillId="0" borderId="0"/>
  </cellStyleXfs>
  <cellXfs count="245">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quotePrefix="1" applyBorder="1" applyAlignment="1">
      <alignment horizontal="center"/>
    </xf>
    <xf numFmtId="0" fontId="1" fillId="0" borderId="1" xfId="0" applyFont="1" applyBorder="1" applyAlignment="1">
      <alignment horizontal="center"/>
    </xf>
    <xf numFmtId="0" fontId="0" fillId="0" borderId="3" xfId="0"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0" fillId="0" borderId="0" xfId="0" applyAlignment="1">
      <alignment horizontal="left"/>
    </xf>
    <xf numFmtId="14" fontId="0" fillId="0" borderId="0" xfId="0" applyNumberFormat="1" applyAlignment="1">
      <alignment horizontal="center"/>
    </xf>
    <xf numFmtId="0" fontId="5" fillId="0" borderId="0" xfId="0" applyFont="1" applyAlignment="1">
      <alignment horizontal="center"/>
    </xf>
    <xf numFmtId="0" fontId="5" fillId="0" borderId="0" xfId="0" applyFont="1" applyAlignment="1">
      <alignment horizontal="center" vertical="center"/>
    </xf>
    <xf numFmtId="0" fontId="5" fillId="0" borderId="10" xfId="0" applyFont="1" applyBorder="1" applyAlignment="1">
      <alignment horizontal="center" vertical="center" textRotation="90"/>
    </xf>
    <xf numFmtId="0" fontId="5" fillId="0" borderId="11" xfId="0" applyFont="1" applyBorder="1" applyAlignment="1">
      <alignment horizontal="center" vertical="center" textRotation="90"/>
    </xf>
    <xf numFmtId="0" fontId="5" fillId="0" borderId="12" xfId="0" applyFont="1" applyBorder="1" applyAlignment="1">
      <alignment horizontal="center" vertical="center" textRotation="90"/>
    </xf>
    <xf numFmtId="0" fontId="5" fillId="0" borderId="13"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0" fontId="5" fillId="0" borderId="20" xfId="0" applyFont="1" applyBorder="1" applyAlignment="1">
      <alignment horizontal="center"/>
    </xf>
    <xf numFmtId="0" fontId="5" fillId="0" borderId="24" xfId="0" applyFont="1" applyBorder="1" applyAlignment="1">
      <alignment horizontal="center"/>
    </xf>
    <xf numFmtId="0" fontId="5" fillId="0" borderId="22" xfId="0" applyFont="1" applyBorder="1" applyAlignment="1">
      <alignment horizontal="center"/>
    </xf>
    <xf numFmtId="0" fontId="5" fillId="0" borderId="25" xfId="0" applyFont="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left" vertical="top" wrapText="1"/>
    </xf>
    <xf numFmtId="0" fontId="0" fillId="0" borderId="1" xfId="0"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9" fillId="0" borderId="0" xfId="0" applyFont="1" applyAlignment="1">
      <alignment horizontal="left" vertical="top" wrapText="1"/>
    </xf>
    <xf numFmtId="0" fontId="1" fillId="0" borderId="0" xfId="0" applyFont="1" applyAlignment="1">
      <alignment horizontal="left" vertical="center" wrapText="1"/>
    </xf>
    <xf numFmtId="0" fontId="8" fillId="0" borderId="0" xfId="0" applyFont="1" applyAlignment="1">
      <alignment horizontal="left" vertical="top" wrapText="1"/>
    </xf>
    <xf numFmtId="14" fontId="9" fillId="0" borderId="0" xfId="0" applyNumberFormat="1" applyFont="1" applyAlignment="1">
      <alignment horizontal="left" vertical="top" wrapText="1"/>
    </xf>
    <xf numFmtId="0" fontId="0" fillId="0" borderId="1" xfId="0" applyBorder="1" applyAlignment="1">
      <alignment horizontal="center" vertical="center" wrapText="1"/>
    </xf>
    <xf numFmtId="0" fontId="1" fillId="0" borderId="0" xfId="0" applyFont="1" applyAlignment="1">
      <alignment horizontal="left" vertical="top"/>
    </xf>
    <xf numFmtId="0" fontId="0" fillId="0" borderId="0" xfId="0" quotePrefix="1" applyAlignment="1">
      <alignment horizontal="left" vertical="top"/>
    </xf>
    <xf numFmtId="0" fontId="10" fillId="0" borderId="0" xfId="0" applyFont="1" applyAlignment="1">
      <alignment horizontal="left" vertical="top" wrapText="1"/>
    </xf>
    <xf numFmtId="0" fontId="11" fillId="0" borderId="0" xfId="0" applyFont="1" applyAlignment="1">
      <alignment horizontal="center"/>
    </xf>
    <xf numFmtId="0" fontId="5" fillId="0" borderId="0" xfId="0" applyFont="1" applyAlignment="1">
      <alignment horizontal="left"/>
    </xf>
    <xf numFmtId="0" fontId="12" fillId="0" borderId="0" xfId="0" applyFont="1" applyAlignment="1">
      <alignment horizontal="center"/>
    </xf>
    <xf numFmtId="0" fontId="12" fillId="0" borderId="13" xfId="0" applyFont="1" applyBorder="1" applyAlignment="1">
      <alignment horizontal="center"/>
    </xf>
    <xf numFmtId="0" fontId="12" fillId="0" borderId="19" xfId="0" applyFont="1" applyBorder="1" applyAlignment="1">
      <alignment horizontal="center"/>
    </xf>
    <xf numFmtId="0" fontId="5" fillId="0" borderId="26" xfId="0" applyFont="1" applyBorder="1" applyAlignment="1">
      <alignment horizontal="center" vertical="center" textRotation="90"/>
    </xf>
    <xf numFmtId="0" fontId="5" fillId="0" borderId="27" xfId="0" applyFont="1" applyBorder="1" applyAlignment="1">
      <alignment horizontal="center"/>
    </xf>
    <xf numFmtId="0" fontId="5" fillId="0" borderId="28" xfId="0" applyFont="1" applyBorder="1" applyAlignment="1">
      <alignment horizontal="center"/>
    </xf>
    <xf numFmtId="0" fontId="5" fillId="0" borderId="29" xfId="0" applyFont="1" applyBorder="1" applyAlignment="1">
      <alignment horizontal="center"/>
    </xf>
    <xf numFmtId="0" fontId="5" fillId="0" borderId="30" xfId="0" applyFont="1" applyBorder="1" applyAlignment="1">
      <alignment horizontal="center"/>
    </xf>
    <xf numFmtId="0" fontId="12" fillId="0" borderId="31" xfId="0" applyFont="1" applyBorder="1" applyAlignment="1">
      <alignment horizontal="center"/>
    </xf>
    <xf numFmtId="0" fontId="12" fillId="0" borderId="32" xfId="0" applyFont="1" applyBorder="1" applyAlignment="1">
      <alignment horizontal="center"/>
    </xf>
    <xf numFmtId="0" fontId="5" fillId="0" borderId="34" xfId="0" applyFont="1" applyBorder="1" applyAlignment="1">
      <alignment horizontal="center"/>
    </xf>
    <xf numFmtId="1" fontId="6" fillId="0" borderId="34" xfId="0" applyNumberFormat="1" applyFont="1" applyBorder="1" applyAlignment="1">
      <alignment horizontal="center"/>
    </xf>
    <xf numFmtId="0" fontId="5" fillId="0" borderId="35" xfId="0" applyFont="1" applyBorder="1" applyAlignment="1">
      <alignment horizont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5" fillId="0" borderId="38" xfId="0" applyFont="1" applyBorder="1" applyAlignment="1">
      <alignment horizontal="center"/>
    </xf>
    <xf numFmtId="0" fontId="5" fillId="0" borderId="8" xfId="0" applyFont="1" applyBorder="1" applyAlignment="1">
      <alignment horizontal="center" vertical="center" textRotation="90"/>
    </xf>
    <xf numFmtId="0" fontId="6" fillId="0" borderId="3" xfId="0" applyFont="1" applyBorder="1" applyAlignment="1">
      <alignment horizontal="center" vertical="center" textRotation="90"/>
    </xf>
    <xf numFmtId="0" fontId="6" fillId="0" borderId="39" xfId="0" applyFont="1" applyBorder="1" applyAlignment="1">
      <alignment horizontal="center" vertical="center" textRotation="90"/>
    </xf>
    <xf numFmtId="0" fontId="5" fillId="0" borderId="40" xfId="0" applyFont="1" applyBorder="1" applyAlignment="1">
      <alignment horizontal="center" vertical="center" textRotation="90"/>
    </xf>
    <xf numFmtId="0" fontId="13" fillId="0" borderId="0" xfId="0" applyFont="1" applyAlignment="1">
      <alignment horizontal="center" vertical="center"/>
    </xf>
    <xf numFmtId="0" fontId="7" fillId="0" borderId="11" xfId="0" applyFont="1" applyBorder="1" applyAlignment="1">
      <alignment horizontal="center" vertical="center" textRotation="90"/>
    </xf>
    <xf numFmtId="0" fontId="14" fillId="0" borderId="11" xfId="0" applyFont="1" applyBorder="1" applyAlignment="1">
      <alignment horizontal="center" vertical="center" textRotation="90"/>
    </xf>
    <xf numFmtId="0" fontId="13" fillId="0" borderId="11" xfId="0" applyFont="1" applyBorder="1" applyAlignment="1">
      <alignment horizontal="center" vertical="center" textRotation="90"/>
    </xf>
    <xf numFmtId="0" fontId="13" fillId="0" borderId="0" xfId="0" applyFont="1" applyAlignment="1">
      <alignment horizontal="center"/>
    </xf>
    <xf numFmtId="0" fontId="1" fillId="0" borderId="0" xfId="0" applyFont="1" applyAlignment="1">
      <alignment horizontal="center"/>
    </xf>
    <xf numFmtId="0" fontId="14"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0" borderId="0" xfId="0" applyFont="1" applyAlignment="1">
      <alignment horizontal="center"/>
    </xf>
    <xf numFmtId="0" fontId="24" fillId="0" borderId="41" xfId="0" applyFont="1" applyBorder="1" applyAlignment="1">
      <alignment horizontal="center" vertical="center"/>
    </xf>
    <xf numFmtId="0" fontId="13" fillId="0" borderId="45" xfId="0" applyFont="1" applyBorder="1" applyAlignment="1">
      <alignment horizontal="center" vertical="center"/>
    </xf>
    <xf numFmtId="0" fontId="13" fillId="0" borderId="45" xfId="0" quotePrefix="1" applyFont="1" applyBorder="1" applyAlignment="1">
      <alignment horizontal="center" vertical="center"/>
    </xf>
    <xf numFmtId="0" fontId="13" fillId="0" borderId="46" xfId="0" applyFont="1" applyBorder="1" applyAlignment="1">
      <alignment horizontal="center" vertical="center"/>
    </xf>
    <xf numFmtId="0" fontId="0" fillId="0" borderId="46" xfId="0" applyBorder="1" applyAlignment="1">
      <alignment horizontal="center" vertical="center"/>
    </xf>
    <xf numFmtId="0" fontId="13" fillId="0" borderId="46" xfId="0" quotePrefix="1" applyFont="1" applyBorder="1" applyAlignment="1">
      <alignment horizontal="center" vertical="center"/>
    </xf>
    <xf numFmtId="0" fontId="5" fillId="0" borderId="0" xfId="0" quotePrefix="1" applyFont="1" applyAlignment="1">
      <alignment horizontal="center" vertical="center"/>
    </xf>
    <xf numFmtId="0" fontId="13" fillId="0" borderId="47" xfId="0" applyFont="1" applyBorder="1" applyAlignment="1">
      <alignment horizontal="center" vertical="center"/>
    </xf>
    <xf numFmtId="0" fontId="13" fillId="0" borderId="41" xfId="0" applyFont="1" applyBorder="1" applyAlignment="1">
      <alignment horizontal="center" vertical="center"/>
    </xf>
    <xf numFmtId="0" fontId="16" fillId="0" borderId="0" xfId="0" applyFont="1" applyAlignment="1">
      <alignment horizontal="center" vertical="center"/>
    </xf>
    <xf numFmtId="0" fontId="23" fillId="0" borderId="41" xfId="0" applyFont="1" applyBorder="1" applyAlignment="1">
      <alignment horizontal="center" vertical="center"/>
    </xf>
    <xf numFmtId="0" fontId="14" fillId="0" borderId="45" xfId="0" quotePrefix="1" applyFont="1" applyBorder="1" applyAlignment="1">
      <alignment horizontal="center" vertical="center"/>
    </xf>
    <xf numFmtId="0" fontId="14" fillId="0" borderId="46" xfId="0" quotePrefix="1" applyFont="1" applyBorder="1" applyAlignment="1">
      <alignment horizontal="center" vertical="center"/>
    </xf>
    <xf numFmtId="0" fontId="14" fillId="0" borderId="47" xfId="0" quotePrefix="1" applyFont="1" applyBorder="1" applyAlignment="1">
      <alignment horizontal="center" vertical="center"/>
    </xf>
    <xf numFmtId="1" fontId="5" fillId="3" borderId="33" xfId="0" applyNumberFormat="1" applyFont="1" applyFill="1" applyBorder="1" applyAlignment="1">
      <alignment horizontal="center"/>
    </xf>
    <xf numFmtId="0" fontId="5" fillId="3" borderId="34" xfId="0" applyFont="1" applyFill="1" applyBorder="1" applyAlignment="1">
      <alignment horizontal="center"/>
    </xf>
    <xf numFmtId="0" fontId="5" fillId="0" borderId="26" xfId="0" applyFont="1" applyBorder="1" applyAlignment="1">
      <alignment horizontal="center" vertical="center"/>
    </xf>
    <xf numFmtId="0" fontId="5" fillId="5" borderId="17" xfId="0" applyFont="1" applyFill="1" applyBorder="1" applyAlignment="1">
      <alignment horizontal="center"/>
    </xf>
    <xf numFmtId="0" fontId="5" fillId="5" borderId="0" xfId="0" applyFont="1" applyFill="1" applyAlignment="1">
      <alignment horizontal="center"/>
    </xf>
    <xf numFmtId="0" fontId="14" fillId="0" borderId="40" xfId="0" applyFont="1" applyBorder="1" applyAlignment="1">
      <alignment horizontal="center" vertical="center" textRotation="90"/>
    </xf>
    <xf numFmtId="0" fontId="15" fillId="0" borderId="1" xfId="0" applyFont="1" applyBorder="1" applyAlignment="1">
      <alignment horizontal="center" vertical="center"/>
    </xf>
    <xf numFmtId="0" fontId="14" fillId="0" borderId="1" xfId="0" applyFont="1" applyBorder="1" applyAlignment="1">
      <alignment horizontal="center" vertical="center" textRotation="90" wrapText="1"/>
    </xf>
    <xf numFmtId="0" fontId="9" fillId="0" borderId="0" xfId="0" applyFont="1" applyAlignment="1">
      <alignment horizontal="left" vertical="top"/>
    </xf>
    <xf numFmtId="0" fontId="7" fillId="0" borderId="0" xfId="0" applyFont="1" applyAlignment="1">
      <alignment horizontal="center"/>
    </xf>
    <xf numFmtId="0" fontId="4" fillId="0" borderId="0" xfId="0" applyFont="1" applyAlignment="1">
      <alignment horizontal="center"/>
    </xf>
    <xf numFmtId="0" fontId="5" fillId="0" borderId="0" xfId="0" applyFont="1" applyAlignment="1">
      <alignment horizontal="left" vertical="center"/>
    </xf>
    <xf numFmtId="0" fontId="5" fillId="0" borderId="0" xfId="0" applyFont="1" applyAlignment="1">
      <alignment horizontal="left" vertical="top"/>
    </xf>
    <xf numFmtId="0" fontId="13" fillId="0" borderId="0" xfId="0" applyFont="1" applyAlignment="1">
      <alignment horizontal="left" vertical="top"/>
    </xf>
    <xf numFmtId="0" fontId="0" fillId="6" borderId="0" xfId="0" applyFill="1" applyAlignment="1">
      <alignment horizontal="left" vertical="top" wrapText="1"/>
    </xf>
    <xf numFmtId="0" fontId="0" fillId="6" borderId="0" xfId="0" applyFill="1" applyAlignment="1">
      <alignment horizontal="left" vertical="top"/>
    </xf>
    <xf numFmtId="0" fontId="5" fillId="7" borderId="17" xfId="0" applyFont="1" applyFill="1" applyBorder="1" applyAlignment="1">
      <alignment horizontal="center"/>
    </xf>
    <xf numFmtId="0" fontId="5" fillId="7" borderId="0" xfId="0" applyFont="1" applyFill="1" applyAlignment="1">
      <alignment horizontal="center"/>
    </xf>
    <xf numFmtId="0" fontId="0" fillId="0" borderId="0" xfId="0" applyAlignment="1">
      <alignment horizontal="left" vertical="center"/>
    </xf>
    <xf numFmtId="0" fontId="5" fillId="8" borderId="34" xfId="0" applyFont="1" applyFill="1" applyBorder="1" applyAlignment="1">
      <alignment horizontal="center"/>
    </xf>
    <xf numFmtId="0" fontId="5" fillId="0" borderId="49" xfId="0" applyFont="1" applyBorder="1" applyAlignment="1">
      <alignment horizontal="center"/>
    </xf>
    <xf numFmtId="0" fontId="5" fillId="0" borderId="7" xfId="0" applyFont="1" applyBorder="1" applyAlignment="1">
      <alignment horizontal="center" vertical="center" textRotation="90"/>
    </xf>
    <xf numFmtId="0" fontId="6" fillId="0" borderId="50" xfId="0" applyFont="1" applyBorder="1" applyAlignment="1">
      <alignment horizontal="center" vertical="center" textRotation="90"/>
    </xf>
    <xf numFmtId="0" fontId="5" fillId="0" borderId="52" xfId="0" applyFont="1" applyBorder="1" applyAlignment="1">
      <alignment horizontal="center"/>
    </xf>
    <xf numFmtId="0" fontId="5" fillId="0" borderId="53" xfId="0" applyFont="1" applyBorder="1" applyAlignment="1">
      <alignment horizontal="center"/>
    </xf>
    <xf numFmtId="0" fontId="5" fillId="0" borderId="37" xfId="0" applyFont="1" applyBorder="1" applyAlignment="1">
      <alignment horizontal="center"/>
    </xf>
    <xf numFmtId="0" fontId="5" fillId="0" borderId="36" xfId="0" applyFont="1" applyBorder="1" applyAlignment="1">
      <alignment horizontal="center"/>
    </xf>
    <xf numFmtId="0" fontId="5" fillId="0" borderId="49" xfId="0" applyFont="1" applyBorder="1" applyAlignment="1">
      <alignment horizontal="center" vertical="center"/>
    </xf>
    <xf numFmtId="0" fontId="5" fillId="0" borderId="54" xfId="0" applyFont="1" applyBorder="1" applyAlignment="1">
      <alignment horizontal="center"/>
    </xf>
    <xf numFmtId="0" fontId="5" fillId="0" borderId="58" xfId="0" applyFont="1" applyBorder="1" applyAlignment="1">
      <alignment horizontal="center"/>
    </xf>
    <xf numFmtId="0" fontId="12" fillId="0" borderId="16" xfId="0" applyFont="1" applyBorder="1" applyAlignment="1">
      <alignment horizontal="center"/>
    </xf>
    <xf numFmtId="0" fontId="5" fillId="0" borderId="19" xfId="0" applyFont="1" applyBorder="1" applyAlignment="1">
      <alignment horizontal="center"/>
    </xf>
    <xf numFmtId="0" fontId="5" fillId="0" borderId="21" xfId="0" applyFont="1" applyBorder="1" applyAlignment="1">
      <alignment horizontal="center"/>
    </xf>
    <xf numFmtId="0" fontId="5" fillId="0" borderId="23" xfId="0" applyFont="1" applyBorder="1" applyAlignment="1">
      <alignment horizontal="center"/>
    </xf>
    <xf numFmtId="0" fontId="5" fillId="0" borderId="51" xfId="0" applyFont="1" applyBorder="1" applyAlignment="1">
      <alignment horizontal="center"/>
    </xf>
    <xf numFmtId="0" fontId="5" fillId="0" borderId="48" xfId="0" applyFont="1" applyBorder="1" applyAlignment="1">
      <alignment horizontal="center"/>
    </xf>
    <xf numFmtId="0" fontId="9" fillId="0" borderId="0" xfId="0" applyFont="1"/>
    <xf numFmtId="0" fontId="9" fillId="0" borderId="0" xfId="0" applyFont="1" applyAlignment="1">
      <alignment horizontal="left" vertical="center"/>
    </xf>
    <xf numFmtId="0" fontId="5" fillId="9" borderId="34" xfId="0" applyFont="1" applyFill="1" applyBorder="1" applyAlignment="1">
      <alignment horizontal="center"/>
    </xf>
    <xf numFmtId="0" fontId="6" fillId="3" borderId="34" xfId="0" applyFont="1" applyFill="1" applyBorder="1" applyAlignment="1">
      <alignment horizontal="center"/>
    </xf>
    <xf numFmtId="0" fontId="5" fillId="9" borderId="16" xfId="0" applyFont="1" applyFill="1" applyBorder="1" applyAlignment="1">
      <alignment horizontal="center"/>
    </xf>
    <xf numFmtId="0" fontId="5" fillId="9" borderId="17" xfId="0" applyFont="1" applyFill="1" applyBorder="1" applyAlignment="1">
      <alignment horizontal="center"/>
    </xf>
    <xf numFmtId="0" fontId="5" fillId="9" borderId="20" xfId="0" applyFont="1" applyFill="1" applyBorder="1" applyAlignment="1">
      <alignment horizontal="center"/>
    </xf>
    <xf numFmtId="0" fontId="5" fillId="9" borderId="28" xfId="0" applyFont="1" applyFill="1" applyBorder="1" applyAlignment="1">
      <alignment horizontal="center"/>
    </xf>
    <xf numFmtId="0" fontId="5" fillId="9" borderId="24" xfId="0" applyFont="1" applyFill="1" applyBorder="1" applyAlignment="1">
      <alignment horizontal="center"/>
    </xf>
    <xf numFmtId="0" fontId="12" fillId="0" borderId="14" xfId="0" quotePrefix="1" applyFont="1" applyBorder="1" applyAlignment="1">
      <alignment horizontal="center"/>
    </xf>
    <xf numFmtId="0" fontId="12" fillId="0" borderId="17" xfId="0" quotePrefix="1" applyFont="1" applyBorder="1" applyAlignment="1">
      <alignment horizontal="center"/>
    </xf>
    <xf numFmtId="0" fontId="12" fillId="0" borderId="29" xfId="0" applyFont="1" applyBorder="1" applyAlignment="1">
      <alignment horizontal="center"/>
    </xf>
    <xf numFmtId="0" fontId="12" fillId="0" borderId="29" xfId="0" quotePrefix="1" applyFont="1" applyBorder="1" applyAlignment="1">
      <alignment horizontal="center"/>
    </xf>
    <xf numFmtId="0" fontId="12" fillId="0" borderId="20" xfId="0" applyFont="1" applyBorder="1" applyAlignment="1">
      <alignment horizontal="center"/>
    </xf>
    <xf numFmtId="16" fontId="0" fillId="0" borderId="0" xfId="0" applyNumberFormat="1"/>
    <xf numFmtId="0" fontId="5" fillId="0" borderId="0" xfId="0" applyFont="1"/>
    <xf numFmtId="16" fontId="5" fillId="0" borderId="1" xfId="0" applyNumberFormat="1" applyFont="1" applyBorder="1"/>
    <xf numFmtId="0" fontId="26" fillId="0" borderId="0" xfId="0" applyFont="1"/>
    <xf numFmtId="0" fontId="1" fillId="0" borderId="59" xfId="0" applyFont="1" applyBorder="1"/>
    <xf numFmtId="0" fontId="0" fillId="0" borderId="60" xfId="0" applyBorder="1"/>
    <xf numFmtId="0" fontId="0" fillId="0" borderId="61" xfId="0" applyBorder="1"/>
    <xf numFmtId="0" fontId="0" fillId="0" borderId="62" xfId="0" applyBorder="1"/>
    <xf numFmtId="0" fontId="0" fillId="0" borderId="63" xfId="0" applyBorder="1"/>
    <xf numFmtId="0" fontId="0" fillId="0" borderId="56" xfId="0" applyBorder="1"/>
    <xf numFmtId="0" fontId="0" fillId="0" borderId="57" xfId="0" applyBorder="1"/>
    <xf numFmtId="0" fontId="0" fillId="0" borderId="55" xfId="0" applyBorder="1"/>
    <xf numFmtId="0" fontId="0" fillId="9" borderId="0" xfId="0" applyFill="1"/>
    <xf numFmtId="16" fontId="0" fillId="0" borderId="0" xfId="0" applyNumberFormat="1" applyAlignment="1">
      <alignment horizontal="center"/>
    </xf>
    <xf numFmtId="0" fontId="10" fillId="0" borderId="0" xfId="0" applyFont="1"/>
    <xf numFmtId="0" fontId="1" fillId="6" borderId="0" xfId="0" applyFont="1" applyFill="1" applyAlignment="1">
      <alignment horizontal="center"/>
    </xf>
    <xf numFmtId="16" fontId="1" fillId="6" borderId="0" xfId="0" applyNumberFormat="1" applyFont="1" applyFill="1" applyAlignment="1">
      <alignment horizontal="center"/>
    </xf>
    <xf numFmtId="0" fontId="27" fillId="0" borderId="0" xfId="0" applyFont="1"/>
    <xf numFmtId="0" fontId="0" fillId="3" borderId="0" xfId="0" applyFill="1" applyAlignment="1">
      <alignment horizontal="center"/>
    </xf>
    <xf numFmtId="0" fontId="0" fillId="0" borderId="1" xfId="0" applyBorder="1"/>
    <xf numFmtId="0" fontId="5" fillId="10" borderId="13" xfId="0" applyFont="1" applyFill="1" applyBorder="1" applyAlignment="1">
      <alignment horizontal="center"/>
    </xf>
    <xf numFmtId="0" fontId="5" fillId="11" borderId="14" xfId="0" applyFont="1" applyFill="1" applyBorder="1" applyAlignment="1">
      <alignment horizontal="center"/>
    </xf>
    <xf numFmtId="0" fontId="5" fillId="12" borderId="15" xfId="0" applyFont="1" applyFill="1" applyBorder="1" applyAlignment="1">
      <alignment horizontal="center"/>
    </xf>
    <xf numFmtId="0" fontId="5" fillId="13" borderId="16" xfId="0" applyFont="1" applyFill="1" applyBorder="1" applyAlignment="1">
      <alignment horizontal="center"/>
    </xf>
    <xf numFmtId="0" fontId="5" fillId="14" borderId="17" xfId="0" applyFont="1" applyFill="1" applyBorder="1" applyAlignment="1">
      <alignment horizontal="center"/>
    </xf>
    <xf numFmtId="0" fontId="5" fillId="15" borderId="18" xfId="0" applyFont="1" applyFill="1" applyBorder="1" applyAlignment="1">
      <alignment horizontal="center"/>
    </xf>
    <xf numFmtId="0" fontId="5" fillId="16" borderId="19" xfId="0" applyFont="1" applyFill="1" applyBorder="1" applyAlignment="1">
      <alignment horizontal="center"/>
    </xf>
    <xf numFmtId="0" fontId="5" fillId="17" borderId="20" xfId="0" applyFont="1" applyFill="1" applyBorder="1" applyAlignment="1">
      <alignment horizontal="center"/>
    </xf>
    <xf numFmtId="0" fontId="5" fillId="18" borderId="21" xfId="0" applyFont="1" applyFill="1" applyBorder="1" applyAlignment="1">
      <alignment horizontal="center"/>
    </xf>
    <xf numFmtId="0" fontId="5" fillId="21" borderId="16" xfId="0" applyFont="1" applyFill="1" applyBorder="1" applyAlignment="1">
      <alignment horizontal="center"/>
    </xf>
    <xf numFmtId="0" fontId="28" fillId="22" borderId="17" xfId="0" applyFont="1" applyFill="1" applyBorder="1" applyAlignment="1">
      <alignment horizontal="center"/>
    </xf>
    <xf numFmtId="0" fontId="5" fillId="23" borderId="16" xfId="0" applyFont="1" applyFill="1" applyBorder="1" applyAlignment="1">
      <alignment horizontal="center"/>
    </xf>
    <xf numFmtId="0" fontId="5" fillId="24" borderId="17" xfId="0" applyFont="1" applyFill="1" applyBorder="1" applyAlignment="1">
      <alignment horizontal="center"/>
    </xf>
    <xf numFmtId="0" fontId="29" fillId="25" borderId="18" xfId="0" applyFont="1" applyFill="1" applyBorder="1" applyAlignment="1">
      <alignment horizontal="center"/>
    </xf>
    <xf numFmtId="0" fontId="5" fillId="26" borderId="18" xfId="0" applyFont="1" applyFill="1" applyBorder="1" applyAlignment="1">
      <alignment horizontal="center"/>
    </xf>
    <xf numFmtId="0" fontId="5" fillId="3" borderId="16" xfId="0" applyFont="1" applyFill="1" applyBorder="1" applyAlignment="1">
      <alignment horizontal="center"/>
    </xf>
    <xf numFmtId="0" fontId="5" fillId="3" borderId="17" xfId="0" applyFont="1" applyFill="1" applyBorder="1" applyAlignment="1">
      <alignment horizontal="center"/>
    </xf>
    <xf numFmtId="0" fontId="5" fillId="3" borderId="18" xfId="0" applyFont="1" applyFill="1" applyBorder="1" applyAlignment="1">
      <alignment horizontal="center"/>
    </xf>
    <xf numFmtId="0" fontId="30" fillId="27" borderId="0" xfId="0" applyFont="1" applyFill="1" applyAlignment="1">
      <alignment horizontal="center"/>
    </xf>
    <xf numFmtId="0" fontId="5" fillId="20" borderId="28" xfId="0" applyFont="1" applyFill="1" applyBorder="1" applyAlignment="1">
      <alignment horizontal="center"/>
    </xf>
    <xf numFmtId="0" fontId="5" fillId="19" borderId="0" xfId="0" applyFont="1" applyFill="1" applyAlignment="1">
      <alignment horizontal="center"/>
    </xf>
    <xf numFmtId="0" fontId="5" fillId="9" borderId="52" xfId="0" applyFont="1" applyFill="1" applyBorder="1" applyAlignment="1">
      <alignment horizontal="center"/>
    </xf>
    <xf numFmtId="0" fontId="5" fillId="9" borderId="53" xfId="0" applyFont="1" applyFill="1" applyBorder="1" applyAlignment="1">
      <alignment horizontal="center"/>
    </xf>
    <xf numFmtId="0" fontId="5" fillId="9" borderId="18" xfId="0" applyFont="1" applyFill="1" applyBorder="1" applyAlignment="1">
      <alignment horizontal="center"/>
    </xf>
    <xf numFmtId="0" fontId="6" fillId="3" borderId="17" xfId="0" applyFont="1" applyFill="1" applyBorder="1" applyAlignment="1">
      <alignment horizontal="center"/>
    </xf>
    <xf numFmtId="0" fontId="6" fillId="3" borderId="18" xfId="0" applyFont="1" applyFill="1" applyBorder="1" applyAlignment="1">
      <alignment horizontal="center"/>
    </xf>
    <xf numFmtId="0" fontId="6" fillId="3" borderId="16" xfId="0" applyFont="1" applyFill="1" applyBorder="1" applyAlignment="1">
      <alignment horizontal="center"/>
    </xf>
    <xf numFmtId="0" fontId="5" fillId="4" borderId="16" xfId="0" applyFont="1" applyFill="1" applyBorder="1" applyAlignment="1">
      <alignment horizontal="center"/>
    </xf>
    <xf numFmtId="0" fontId="5" fillId="4" borderId="17" xfId="0" applyFont="1" applyFill="1" applyBorder="1" applyAlignment="1">
      <alignment horizontal="center"/>
    </xf>
    <xf numFmtId="0" fontId="5" fillId="4" borderId="18" xfId="0" applyFont="1" applyFill="1" applyBorder="1" applyAlignment="1">
      <alignment horizontal="center"/>
    </xf>
    <xf numFmtId="0" fontId="5" fillId="3" borderId="0" xfId="0" applyFont="1" applyFill="1" applyAlignment="1">
      <alignment horizontal="center"/>
    </xf>
    <xf numFmtId="0" fontId="10" fillId="9" borderId="0" xfId="0" applyFont="1" applyFill="1"/>
    <xf numFmtId="0" fontId="31" fillId="0" borderId="0" xfId="0" applyFont="1"/>
    <xf numFmtId="0" fontId="32" fillId="0" borderId="0" xfId="0" applyFont="1"/>
    <xf numFmtId="0" fontId="6" fillId="13" borderId="16" xfId="0" applyFont="1" applyFill="1" applyBorder="1" applyAlignment="1">
      <alignment horizontal="center"/>
    </xf>
    <xf numFmtId="0" fontId="34" fillId="0" borderId="0" xfId="0" applyFont="1"/>
    <xf numFmtId="0" fontId="35" fillId="0" borderId="0" xfId="0" applyFont="1"/>
    <xf numFmtId="1" fontId="6" fillId="3" borderId="34" xfId="0" applyNumberFormat="1" applyFont="1" applyFill="1" applyBorder="1" applyAlignment="1">
      <alignment horizontal="center"/>
    </xf>
    <xf numFmtId="0" fontId="4" fillId="0" borderId="0" xfId="0" applyFont="1"/>
    <xf numFmtId="0" fontId="37" fillId="0" borderId="50" xfId="0" applyFont="1" applyBorder="1" applyAlignment="1">
      <alignment horizontal="center" vertical="center" textRotation="90"/>
    </xf>
    <xf numFmtId="0" fontId="37" fillId="0" borderId="3" xfId="0" applyFont="1" applyBorder="1" applyAlignment="1">
      <alignment horizontal="center" vertical="center" textRotation="90"/>
    </xf>
    <xf numFmtId="0" fontId="37" fillId="0" borderId="39" xfId="0" applyFont="1" applyBorder="1" applyAlignment="1">
      <alignment horizontal="center" vertical="center" textRotation="90"/>
    </xf>
    <xf numFmtId="0" fontId="25" fillId="0" borderId="49" xfId="0" applyFont="1" applyBorder="1" applyAlignment="1">
      <alignment horizontal="center" vertical="center"/>
    </xf>
    <xf numFmtId="0" fontId="25" fillId="0" borderId="36" xfId="0" applyFont="1" applyBorder="1" applyAlignment="1">
      <alignment horizontal="center" vertical="center"/>
    </xf>
    <xf numFmtId="0" fontId="25" fillId="0" borderId="37" xfId="0" applyFont="1" applyBorder="1" applyAlignment="1">
      <alignment horizontal="center" vertical="center"/>
    </xf>
    <xf numFmtId="0" fontId="25" fillId="4" borderId="49" xfId="0" applyFont="1" applyFill="1" applyBorder="1" applyAlignment="1">
      <alignment horizontal="center" vertical="center"/>
    </xf>
    <xf numFmtId="0" fontId="25" fillId="4" borderId="36" xfId="0" applyFont="1" applyFill="1" applyBorder="1" applyAlignment="1">
      <alignment horizontal="center" vertical="center"/>
    </xf>
    <xf numFmtId="0" fontId="25" fillId="4" borderId="37" xfId="0" applyFont="1" applyFill="1" applyBorder="1" applyAlignment="1">
      <alignment horizontal="center" vertical="center"/>
    </xf>
    <xf numFmtId="0" fontId="25" fillId="0" borderId="0" xfId="0" applyFont="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5" fillId="0" borderId="7" xfId="0" applyFont="1" applyBorder="1" applyAlignment="1">
      <alignment horizontal="center" vertical="center"/>
    </xf>
    <xf numFmtId="0" fontId="36" fillId="0" borderId="8" xfId="0" applyFont="1" applyBorder="1" applyAlignment="1">
      <alignment horizontal="center" vertical="center"/>
    </xf>
    <xf numFmtId="0" fontId="36" fillId="0" borderId="9"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33" fillId="0" borderId="56" xfId="0" applyFont="1" applyBorder="1" applyAlignment="1">
      <alignment horizontal="center" vertical="center"/>
    </xf>
    <xf numFmtId="0" fontId="33" fillId="0" borderId="57" xfId="0" applyFont="1" applyBorder="1" applyAlignment="1">
      <alignment horizontal="center" vertical="center"/>
    </xf>
    <xf numFmtId="0" fontId="1" fillId="0" borderId="57" xfId="0" applyFont="1" applyBorder="1" applyAlignment="1">
      <alignment horizontal="center" vertical="center"/>
    </xf>
    <xf numFmtId="0" fontId="1" fillId="0" borderId="55"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2" borderId="0" xfId="0" applyFont="1" applyFill="1" applyAlignment="1">
      <alignment horizontal="center" vertical="center"/>
    </xf>
    <xf numFmtId="0" fontId="9" fillId="0" borderId="0" xfId="0" applyFont="1" applyAlignment="1">
      <alignment horizontal="left" vertical="top" wrapText="1"/>
    </xf>
    <xf numFmtId="0" fontId="0" fillId="0" borderId="0" xfId="0"/>
    <xf numFmtId="0" fontId="0" fillId="3" borderId="0" xfId="0"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textRotation="90"/>
    </xf>
    <xf numFmtId="0" fontId="13" fillId="0" borderId="1" xfId="0" applyFont="1" applyBorder="1" applyAlignment="1">
      <alignment horizontal="center" vertical="center" textRotation="90"/>
    </xf>
    <xf numFmtId="0" fontId="21" fillId="0" borderId="42" xfId="0" applyFont="1" applyBorder="1" applyAlignment="1">
      <alignment horizontal="center" vertical="center" textRotation="90" wrapText="1"/>
    </xf>
    <xf numFmtId="0" fontId="21" fillId="0" borderId="43" xfId="0" applyFont="1" applyBorder="1" applyAlignment="1">
      <alignment horizontal="center" vertical="center" textRotation="90" wrapText="1"/>
    </xf>
    <xf numFmtId="0" fontId="21" fillId="0" borderId="44" xfId="0" applyFont="1" applyBorder="1" applyAlignment="1">
      <alignment horizontal="center" vertical="center" textRotation="90" wrapText="1"/>
    </xf>
    <xf numFmtId="0" fontId="20" fillId="0" borderId="42" xfId="0" applyFont="1" applyBorder="1" applyAlignment="1">
      <alignment horizontal="center" vertical="center" textRotation="90"/>
    </xf>
    <xf numFmtId="0" fontId="21" fillId="0" borderId="43" xfId="0" applyFont="1" applyBorder="1" applyAlignment="1">
      <alignment horizontal="center" vertical="center" textRotation="90"/>
    </xf>
    <xf numFmtId="0" fontId="21" fillId="0" borderId="44" xfId="0" applyFont="1" applyBorder="1" applyAlignment="1">
      <alignment horizontal="center" vertical="center" textRotation="90"/>
    </xf>
    <xf numFmtId="0" fontId="20" fillId="0" borderId="43" xfId="0" applyFont="1" applyBorder="1" applyAlignment="1">
      <alignment horizontal="center" vertical="center" textRotation="90"/>
    </xf>
    <xf numFmtId="0" fontId="20" fillId="0" borderId="44" xfId="0" applyFont="1" applyBorder="1" applyAlignment="1">
      <alignment horizontal="center" vertical="center" textRotation="90"/>
    </xf>
    <xf numFmtId="0" fontId="20" fillId="0" borderId="42" xfId="0" applyFont="1" applyBorder="1" applyAlignment="1">
      <alignment horizontal="center" vertical="center" textRotation="90" wrapText="1"/>
    </xf>
    <xf numFmtId="0" fontId="20" fillId="0" borderId="43" xfId="0" applyFont="1" applyBorder="1" applyAlignment="1">
      <alignment horizontal="center" vertical="center" textRotation="90" wrapText="1"/>
    </xf>
    <xf numFmtId="0" fontId="20" fillId="0" borderId="44" xfId="0" applyFont="1" applyBorder="1" applyAlignment="1">
      <alignment horizontal="center" vertical="center" textRotation="90" wrapText="1"/>
    </xf>
    <xf numFmtId="0" fontId="7" fillId="0" borderId="56" xfId="0" applyFont="1" applyBorder="1" applyAlignment="1">
      <alignment horizontal="center" vertical="center"/>
    </xf>
    <xf numFmtId="0" fontId="7" fillId="0" borderId="57" xfId="0" applyFont="1" applyBorder="1" applyAlignment="1">
      <alignment horizontal="center" vertical="center"/>
    </xf>
    <xf numFmtId="0" fontId="0" fillId="0" borderId="57" xfId="0" applyBorder="1" applyAlignment="1">
      <alignment horizontal="center" vertical="center"/>
    </xf>
    <xf numFmtId="0" fontId="0" fillId="0" borderId="55" xfId="0" applyBorder="1" applyAlignment="1">
      <alignment horizontal="center" vertical="center"/>
    </xf>
  </cellXfs>
  <cellStyles count="1">
    <cellStyle name="Standaard" xfId="0" builtinId="0"/>
  </cellStyles>
  <dxfs count="15">
    <dxf>
      <font>
        <color auto="1"/>
      </font>
      <fill>
        <patternFill>
          <bgColor rgb="FF00B0F0"/>
        </patternFill>
      </fill>
    </dxf>
    <dxf>
      <font>
        <color auto="1"/>
      </font>
      <fill>
        <patternFill>
          <bgColor rgb="FFFFFF00"/>
        </patternFill>
      </fill>
    </dxf>
    <dxf>
      <font>
        <color auto="1"/>
      </font>
      <fill>
        <patternFill>
          <bgColor theme="0" tint="-0.14996795556505021"/>
        </patternFill>
      </fill>
    </dxf>
    <dxf>
      <font>
        <color auto="1"/>
      </font>
      <fill>
        <patternFill>
          <bgColor rgb="FFFF0000"/>
        </patternFill>
      </fill>
    </dxf>
    <dxf>
      <font>
        <color auto="1"/>
      </font>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auto="1"/>
      </font>
      <fill>
        <patternFill>
          <bgColor rgb="FF00B0F0"/>
        </patternFill>
      </fill>
    </dxf>
    <dxf>
      <font>
        <color auto="1"/>
      </font>
      <fill>
        <patternFill>
          <bgColor rgb="FFFFFF00"/>
        </patternFill>
      </fill>
    </dxf>
    <dxf>
      <font>
        <color auto="1"/>
      </font>
      <fill>
        <patternFill>
          <bgColor theme="0" tint="-0.14996795556505021"/>
        </patternFill>
      </fill>
    </dxf>
    <dxf>
      <font>
        <color auto="1"/>
      </font>
      <fill>
        <patternFill>
          <bgColor rgb="FFFF0000"/>
        </patternFill>
      </fill>
    </dxf>
    <dxf>
      <font>
        <color auto="1"/>
      </font>
      <fill>
        <patternFill>
          <bgColor rgb="FFFF0000"/>
        </patternFill>
      </fill>
    </dxf>
  </dxfs>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1895160</xdr:colOff>
      <xdr:row>1</xdr:row>
      <xdr:rowOff>190020</xdr:rowOff>
    </xdr:from>
    <xdr:to>
      <xdr:col>3</xdr:col>
      <xdr:colOff>1895520</xdr:colOff>
      <xdr:row>1</xdr:row>
      <xdr:rowOff>190380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 name="Inkt 5">
              <a:extLst>
                <a:ext uri="{FF2B5EF4-FFF2-40B4-BE49-F238E27FC236}">
                  <a16:creationId xmlns:a16="http://schemas.microsoft.com/office/drawing/2014/main" id="{93D50A66-667E-E6FB-91B4-A793FC087207}"/>
                </a:ext>
              </a:extLst>
            </xdr14:cNvPr>
            <xdr14:cNvContentPartPr/>
          </xdr14:nvContentPartPr>
          <xdr14:nvPr macro=""/>
          <xdr14:xfrm>
            <a:off x="3114360" y="380520"/>
            <a:ext cx="360" cy="360"/>
          </xdr14:xfrm>
        </xdr:contentPart>
      </mc:Choice>
      <mc:Fallback xmlns="">
        <xdr:pic>
          <xdr:nvPicPr>
            <xdr:cNvPr id="6" name="Inkt 5">
              <a:extLst>
                <a:ext uri="{FF2B5EF4-FFF2-40B4-BE49-F238E27FC236}">
                  <a16:creationId xmlns:a16="http://schemas.microsoft.com/office/drawing/2014/main" id="{93D50A66-667E-E6FB-91B4-A793FC087207}"/>
                </a:ext>
              </a:extLst>
            </xdr:cNvPr>
            <xdr:cNvPicPr/>
          </xdr:nvPicPr>
          <xdr:blipFill>
            <a:blip xmlns:r="http://schemas.openxmlformats.org/officeDocument/2006/relationships" r:embed="rId2"/>
            <a:stretch>
              <a:fillRect/>
            </a:stretch>
          </xdr:blipFill>
          <xdr:spPr>
            <a:xfrm>
              <a:off x="3108240" y="374400"/>
              <a:ext cx="12600" cy="12600"/>
            </a:xfrm>
            <a:prstGeom prst="rect">
              <a:avLst/>
            </a:prstGeom>
          </xdr:spPr>
        </xdr:pic>
      </mc:Fallback>
    </mc:AlternateContent>
    <xdr:clientData/>
  </xdr:twoCellAnchor>
  <xdr:twoCellAnchor>
    <xdr:from>
      <xdr:col>4</xdr:col>
      <xdr:colOff>144117</xdr:colOff>
      <xdr:row>10</xdr:row>
      <xdr:rowOff>174349</xdr:rowOff>
    </xdr:from>
    <xdr:to>
      <xdr:col>4</xdr:col>
      <xdr:colOff>572742</xdr:colOff>
      <xdr:row>11</xdr:row>
      <xdr:rowOff>38929</xdr:rowOff>
    </xdr:to>
    <xdr:sp macro="" textlink="">
      <xdr:nvSpPr>
        <xdr:cNvPr id="43" name="Tekstvak 42">
          <a:extLst>
            <a:ext uri="{FF2B5EF4-FFF2-40B4-BE49-F238E27FC236}">
              <a16:creationId xmlns:a16="http://schemas.microsoft.com/office/drawing/2014/main" id="{07CE0F92-D8F6-4997-93EF-ED8DC42BE639}"/>
            </a:ext>
          </a:extLst>
        </xdr:cNvPr>
        <xdr:cNvSpPr txBox="1"/>
      </xdr:nvSpPr>
      <xdr:spPr>
        <a:xfrm>
          <a:off x="4326834" y="4456458"/>
          <a:ext cx="428625" cy="866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Nee</a:t>
          </a:r>
        </a:p>
      </xdr:txBody>
    </xdr:sp>
    <xdr:clientData/>
  </xdr:twoCellAnchor>
  <xdr:twoCellAnchor>
    <xdr:from>
      <xdr:col>6</xdr:col>
      <xdr:colOff>161925</xdr:colOff>
      <xdr:row>9</xdr:row>
      <xdr:rowOff>0</xdr:rowOff>
    </xdr:from>
    <xdr:to>
      <xdr:col>6</xdr:col>
      <xdr:colOff>590550</xdr:colOff>
      <xdr:row>10</xdr:row>
      <xdr:rowOff>104775</xdr:rowOff>
    </xdr:to>
    <xdr:sp macro="" textlink="">
      <xdr:nvSpPr>
        <xdr:cNvPr id="44" name="Tekstvak 43">
          <a:extLst>
            <a:ext uri="{FF2B5EF4-FFF2-40B4-BE49-F238E27FC236}">
              <a16:creationId xmlns:a16="http://schemas.microsoft.com/office/drawing/2014/main" id="{2280B037-B069-4C2E-BE7E-7082903091CD}"/>
            </a:ext>
          </a:extLst>
        </xdr:cNvPr>
        <xdr:cNvSpPr txBox="1"/>
      </xdr:nvSpPr>
      <xdr:spPr>
        <a:xfrm>
          <a:off x="5924550" y="1943100"/>
          <a:ext cx="4286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Nee</a:t>
          </a:r>
        </a:p>
      </xdr:txBody>
    </xdr:sp>
    <xdr:clientData/>
  </xdr:twoCellAnchor>
  <xdr:twoCellAnchor>
    <xdr:from>
      <xdr:col>4</xdr:col>
      <xdr:colOff>97734</xdr:colOff>
      <xdr:row>10</xdr:row>
      <xdr:rowOff>552036</xdr:rowOff>
    </xdr:from>
    <xdr:to>
      <xdr:col>4</xdr:col>
      <xdr:colOff>659709</xdr:colOff>
      <xdr:row>10</xdr:row>
      <xdr:rowOff>552036</xdr:rowOff>
    </xdr:to>
    <xdr:cxnSp macro="">
      <xdr:nvCxnSpPr>
        <xdr:cNvPr id="46" name="Rechte verbindingslijn met pijl 45">
          <a:extLst>
            <a:ext uri="{FF2B5EF4-FFF2-40B4-BE49-F238E27FC236}">
              <a16:creationId xmlns:a16="http://schemas.microsoft.com/office/drawing/2014/main" id="{B35C7E7F-D714-8806-92AE-7CDA0B06E65E}"/>
            </a:ext>
          </a:extLst>
        </xdr:cNvPr>
        <xdr:cNvCxnSpPr/>
      </xdr:nvCxnSpPr>
      <xdr:spPr>
        <a:xfrm>
          <a:off x="4280451" y="4834145"/>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85725</xdr:colOff>
      <xdr:row>10</xdr:row>
      <xdr:rowOff>492815</xdr:rowOff>
    </xdr:from>
    <xdr:to>
      <xdr:col>6</xdr:col>
      <xdr:colOff>647700</xdr:colOff>
      <xdr:row>10</xdr:row>
      <xdr:rowOff>492815</xdr:rowOff>
    </xdr:to>
    <xdr:cxnSp macro="">
      <xdr:nvCxnSpPr>
        <xdr:cNvPr id="48" name="Rechte verbindingslijn met pijl 47">
          <a:extLst>
            <a:ext uri="{FF2B5EF4-FFF2-40B4-BE49-F238E27FC236}">
              <a16:creationId xmlns:a16="http://schemas.microsoft.com/office/drawing/2014/main" id="{B530A0CB-337B-4A94-B47B-DD9E21536563}"/>
            </a:ext>
          </a:extLst>
        </xdr:cNvPr>
        <xdr:cNvCxnSpPr/>
      </xdr:nvCxnSpPr>
      <xdr:spPr>
        <a:xfrm>
          <a:off x="6827768" y="4774924"/>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88210</xdr:colOff>
      <xdr:row>13</xdr:row>
      <xdr:rowOff>585166</xdr:rowOff>
    </xdr:from>
    <xdr:to>
      <xdr:col>4</xdr:col>
      <xdr:colOff>650185</xdr:colOff>
      <xdr:row>13</xdr:row>
      <xdr:rowOff>585166</xdr:rowOff>
    </xdr:to>
    <xdr:cxnSp macro="">
      <xdr:nvCxnSpPr>
        <xdr:cNvPr id="49" name="Rechte verbindingslijn met pijl 48">
          <a:extLst>
            <a:ext uri="{FF2B5EF4-FFF2-40B4-BE49-F238E27FC236}">
              <a16:creationId xmlns:a16="http://schemas.microsoft.com/office/drawing/2014/main" id="{178BA84A-BA4A-449F-9AD3-B500A1E8C7DC}"/>
            </a:ext>
          </a:extLst>
        </xdr:cNvPr>
        <xdr:cNvCxnSpPr/>
      </xdr:nvCxnSpPr>
      <xdr:spPr>
        <a:xfrm>
          <a:off x="4270927" y="5670688"/>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104775</xdr:colOff>
      <xdr:row>16</xdr:row>
      <xdr:rowOff>104775</xdr:rowOff>
    </xdr:from>
    <xdr:to>
      <xdr:col>4</xdr:col>
      <xdr:colOff>666750</xdr:colOff>
      <xdr:row>16</xdr:row>
      <xdr:rowOff>104775</xdr:rowOff>
    </xdr:to>
    <xdr:cxnSp macro="">
      <xdr:nvCxnSpPr>
        <xdr:cNvPr id="50" name="Rechte verbindingslijn met pijl 49">
          <a:extLst>
            <a:ext uri="{FF2B5EF4-FFF2-40B4-BE49-F238E27FC236}">
              <a16:creationId xmlns:a16="http://schemas.microsoft.com/office/drawing/2014/main" id="{9303555E-3911-47D5-8737-6BFB51D84D38}"/>
            </a:ext>
          </a:extLst>
        </xdr:cNvPr>
        <xdr:cNvCxnSpPr/>
      </xdr:nvCxnSpPr>
      <xdr:spPr>
        <a:xfrm>
          <a:off x="3314700" y="3381375"/>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104775</xdr:colOff>
      <xdr:row>33</xdr:row>
      <xdr:rowOff>104775</xdr:rowOff>
    </xdr:from>
    <xdr:to>
      <xdr:col>4</xdr:col>
      <xdr:colOff>666750</xdr:colOff>
      <xdr:row>33</xdr:row>
      <xdr:rowOff>104775</xdr:rowOff>
    </xdr:to>
    <xdr:cxnSp macro="">
      <xdr:nvCxnSpPr>
        <xdr:cNvPr id="52" name="Rechte verbindingslijn met pijl 51">
          <a:extLst>
            <a:ext uri="{FF2B5EF4-FFF2-40B4-BE49-F238E27FC236}">
              <a16:creationId xmlns:a16="http://schemas.microsoft.com/office/drawing/2014/main" id="{DB16A0B1-8AF7-49C6-8655-43CC4C8E0032}"/>
            </a:ext>
          </a:extLst>
        </xdr:cNvPr>
        <xdr:cNvCxnSpPr/>
      </xdr:nvCxnSpPr>
      <xdr:spPr>
        <a:xfrm>
          <a:off x="3314700" y="3952875"/>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148673</xdr:colOff>
      <xdr:row>37</xdr:row>
      <xdr:rowOff>104775</xdr:rowOff>
    </xdr:from>
    <xdr:to>
      <xdr:col>4</xdr:col>
      <xdr:colOff>710648</xdr:colOff>
      <xdr:row>37</xdr:row>
      <xdr:rowOff>104775</xdr:rowOff>
    </xdr:to>
    <xdr:cxnSp macro="">
      <xdr:nvCxnSpPr>
        <xdr:cNvPr id="53" name="Rechte verbindingslijn met pijl 52">
          <a:extLst>
            <a:ext uri="{FF2B5EF4-FFF2-40B4-BE49-F238E27FC236}">
              <a16:creationId xmlns:a16="http://schemas.microsoft.com/office/drawing/2014/main" id="{6080A4AE-31F2-4658-9A27-62BCA8123F87}"/>
            </a:ext>
          </a:extLst>
        </xdr:cNvPr>
        <xdr:cNvCxnSpPr/>
      </xdr:nvCxnSpPr>
      <xdr:spPr>
        <a:xfrm>
          <a:off x="3395456" y="5836340"/>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94008</xdr:colOff>
      <xdr:row>40</xdr:row>
      <xdr:rowOff>385142</xdr:rowOff>
    </xdr:from>
    <xdr:to>
      <xdr:col>4</xdr:col>
      <xdr:colOff>655983</xdr:colOff>
      <xdr:row>40</xdr:row>
      <xdr:rowOff>385142</xdr:rowOff>
    </xdr:to>
    <xdr:cxnSp macro="">
      <xdr:nvCxnSpPr>
        <xdr:cNvPr id="56" name="Rechte verbindingslijn met pijl 55">
          <a:extLst>
            <a:ext uri="{FF2B5EF4-FFF2-40B4-BE49-F238E27FC236}">
              <a16:creationId xmlns:a16="http://schemas.microsoft.com/office/drawing/2014/main" id="{C583089A-EF42-4A79-BDD0-6977413E4F98}"/>
            </a:ext>
          </a:extLst>
        </xdr:cNvPr>
        <xdr:cNvCxnSpPr/>
      </xdr:nvCxnSpPr>
      <xdr:spPr>
        <a:xfrm>
          <a:off x="4359551" y="12742794"/>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103532</xdr:colOff>
      <xdr:row>43</xdr:row>
      <xdr:rowOff>277467</xdr:rowOff>
    </xdr:from>
    <xdr:to>
      <xdr:col>4</xdr:col>
      <xdr:colOff>665507</xdr:colOff>
      <xdr:row>43</xdr:row>
      <xdr:rowOff>277467</xdr:rowOff>
    </xdr:to>
    <xdr:cxnSp macro="">
      <xdr:nvCxnSpPr>
        <xdr:cNvPr id="57" name="Rechte verbindingslijn met pijl 56">
          <a:extLst>
            <a:ext uri="{FF2B5EF4-FFF2-40B4-BE49-F238E27FC236}">
              <a16:creationId xmlns:a16="http://schemas.microsoft.com/office/drawing/2014/main" id="{9C25590B-69CC-437F-920F-BFD0146DD692}"/>
            </a:ext>
          </a:extLst>
        </xdr:cNvPr>
        <xdr:cNvCxnSpPr/>
      </xdr:nvCxnSpPr>
      <xdr:spPr>
        <a:xfrm>
          <a:off x="4369075" y="13604184"/>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65433</xdr:colOff>
      <xdr:row>43</xdr:row>
      <xdr:rowOff>270427</xdr:rowOff>
    </xdr:from>
    <xdr:to>
      <xdr:col>6</xdr:col>
      <xdr:colOff>627408</xdr:colOff>
      <xdr:row>43</xdr:row>
      <xdr:rowOff>270427</xdr:rowOff>
    </xdr:to>
    <xdr:cxnSp macro="">
      <xdr:nvCxnSpPr>
        <xdr:cNvPr id="58" name="Rechte verbindingslijn met pijl 57">
          <a:extLst>
            <a:ext uri="{FF2B5EF4-FFF2-40B4-BE49-F238E27FC236}">
              <a16:creationId xmlns:a16="http://schemas.microsoft.com/office/drawing/2014/main" id="{1377E00B-0C7A-4F35-BD9E-0521C36F7CFE}"/>
            </a:ext>
          </a:extLst>
        </xdr:cNvPr>
        <xdr:cNvCxnSpPr/>
      </xdr:nvCxnSpPr>
      <xdr:spPr>
        <a:xfrm>
          <a:off x="6890303" y="13597144"/>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xdr:col>
      <xdr:colOff>0</xdr:colOff>
      <xdr:row>11</xdr:row>
      <xdr:rowOff>0</xdr:rowOff>
    </xdr:from>
    <xdr:to>
      <xdr:col>5</xdr:col>
      <xdr:colOff>9524</xdr:colOff>
      <xdr:row>12</xdr:row>
      <xdr:rowOff>1243</xdr:rowOff>
    </xdr:to>
    <xdr:pic>
      <xdr:nvPicPr>
        <xdr:cNvPr id="59" name="Afbeelding 58">
          <a:extLst>
            <a:ext uri="{FF2B5EF4-FFF2-40B4-BE49-F238E27FC236}">
              <a16:creationId xmlns:a16="http://schemas.microsoft.com/office/drawing/2014/main" id="{5ADEF020-BCA2-E275-070F-D440A39ACAB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09925" y="2324100"/>
          <a:ext cx="8096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142875</xdr:colOff>
      <xdr:row>13</xdr:row>
      <xdr:rowOff>248892</xdr:rowOff>
    </xdr:from>
    <xdr:to>
      <xdr:col>4</xdr:col>
      <xdr:colOff>571500</xdr:colOff>
      <xdr:row>13</xdr:row>
      <xdr:rowOff>546652</xdr:rowOff>
    </xdr:to>
    <xdr:sp macro="" textlink="">
      <xdr:nvSpPr>
        <xdr:cNvPr id="61" name="Tekstvak 60">
          <a:extLst>
            <a:ext uri="{FF2B5EF4-FFF2-40B4-BE49-F238E27FC236}">
              <a16:creationId xmlns:a16="http://schemas.microsoft.com/office/drawing/2014/main" id="{AC55835E-9B33-4DF1-9FD0-571AF97DD9D1}"/>
            </a:ext>
          </a:extLst>
        </xdr:cNvPr>
        <xdr:cNvSpPr txBox="1"/>
      </xdr:nvSpPr>
      <xdr:spPr>
        <a:xfrm>
          <a:off x="4325592" y="5334414"/>
          <a:ext cx="428625" cy="297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Nee</a:t>
          </a:r>
        </a:p>
      </xdr:txBody>
    </xdr:sp>
    <xdr:clientData/>
  </xdr:twoCellAnchor>
  <xdr:twoCellAnchor>
    <xdr:from>
      <xdr:col>4</xdr:col>
      <xdr:colOff>171450</xdr:colOff>
      <xdr:row>15</xdr:row>
      <xdr:rowOff>76200</xdr:rowOff>
    </xdr:from>
    <xdr:to>
      <xdr:col>4</xdr:col>
      <xdr:colOff>600075</xdr:colOff>
      <xdr:row>16</xdr:row>
      <xdr:rowOff>180975</xdr:rowOff>
    </xdr:to>
    <xdr:sp macro="" textlink="">
      <xdr:nvSpPr>
        <xdr:cNvPr id="63" name="Tekstvak 62">
          <a:extLst>
            <a:ext uri="{FF2B5EF4-FFF2-40B4-BE49-F238E27FC236}">
              <a16:creationId xmlns:a16="http://schemas.microsoft.com/office/drawing/2014/main" id="{A41B99C3-6C72-4C36-AE73-3A1F45896315}"/>
            </a:ext>
          </a:extLst>
        </xdr:cNvPr>
        <xdr:cNvSpPr txBox="1"/>
      </xdr:nvSpPr>
      <xdr:spPr>
        <a:xfrm>
          <a:off x="3381375" y="3162300"/>
          <a:ext cx="4286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Nee</a:t>
          </a:r>
        </a:p>
      </xdr:txBody>
    </xdr:sp>
    <xdr:clientData/>
  </xdr:twoCellAnchor>
  <xdr:twoCellAnchor>
    <xdr:from>
      <xdr:col>6</xdr:col>
      <xdr:colOff>133350</xdr:colOff>
      <xdr:row>15</xdr:row>
      <xdr:rowOff>0</xdr:rowOff>
    </xdr:from>
    <xdr:to>
      <xdr:col>6</xdr:col>
      <xdr:colOff>561975</xdr:colOff>
      <xdr:row>16</xdr:row>
      <xdr:rowOff>104775</xdr:rowOff>
    </xdr:to>
    <xdr:sp macro="" textlink="">
      <xdr:nvSpPr>
        <xdr:cNvPr id="64" name="Tekstvak 63">
          <a:extLst>
            <a:ext uri="{FF2B5EF4-FFF2-40B4-BE49-F238E27FC236}">
              <a16:creationId xmlns:a16="http://schemas.microsoft.com/office/drawing/2014/main" id="{BF7F399C-5290-4534-8606-8E539B14ED5D}"/>
            </a:ext>
          </a:extLst>
        </xdr:cNvPr>
        <xdr:cNvSpPr txBox="1"/>
      </xdr:nvSpPr>
      <xdr:spPr>
        <a:xfrm>
          <a:off x="5895975" y="3086100"/>
          <a:ext cx="4286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p>
      </xdr:txBody>
    </xdr:sp>
    <xdr:clientData/>
  </xdr:twoCellAnchor>
  <xdr:twoCellAnchor>
    <xdr:from>
      <xdr:col>3</xdr:col>
      <xdr:colOff>942975</xdr:colOff>
      <xdr:row>14</xdr:row>
      <xdr:rowOff>47625</xdr:rowOff>
    </xdr:from>
    <xdr:to>
      <xdr:col>3</xdr:col>
      <xdr:colOff>942975</xdr:colOff>
      <xdr:row>15</xdr:row>
      <xdr:rowOff>152400</xdr:rowOff>
    </xdr:to>
    <xdr:cxnSp macro="">
      <xdr:nvCxnSpPr>
        <xdr:cNvPr id="70" name="Rechte verbindingslijn met pijl 69">
          <a:extLst>
            <a:ext uri="{FF2B5EF4-FFF2-40B4-BE49-F238E27FC236}">
              <a16:creationId xmlns:a16="http://schemas.microsoft.com/office/drawing/2014/main" id="{2F30D61D-6CBC-4370-8977-C1ACCC5DCB65}"/>
            </a:ext>
          </a:extLst>
        </xdr:cNvPr>
        <xdr:cNvCxnSpPr/>
      </xdr:nvCxnSpPr>
      <xdr:spPr>
        <a:xfrm>
          <a:off x="2162175" y="2943225"/>
          <a:ext cx="0" cy="2952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933450</xdr:colOff>
      <xdr:row>11</xdr:row>
      <xdr:rowOff>57150</xdr:rowOff>
    </xdr:from>
    <xdr:to>
      <xdr:col>3</xdr:col>
      <xdr:colOff>933450</xdr:colOff>
      <xdr:row>12</xdr:row>
      <xdr:rowOff>161925</xdr:rowOff>
    </xdr:to>
    <xdr:cxnSp macro="">
      <xdr:nvCxnSpPr>
        <xdr:cNvPr id="76" name="Rechte verbindingslijn met pijl 75">
          <a:extLst>
            <a:ext uri="{FF2B5EF4-FFF2-40B4-BE49-F238E27FC236}">
              <a16:creationId xmlns:a16="http://schemas.microsoft.com/office/drawing/2014/main" id="{1F034495-A85B-4080-BCF9-5B19C31EFC32}"/>
            </a:ext>
          </a:extLst>
        </xdr:cNvPr>
        <xdr:cNvCxnSpPr/>
      </xdr:nvCxnSpPr>
      <xdr:spPr>
        <a:xfrm>
          <a:off x="2152650" y="2381250"/>
          <a:ext cx="0" cy="2952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952501</xdr:colOff>
      <xdr:row>11</xdr:row>
      <xdr:rowOff>57150</xdr:rowOff>
    </xdr:from>
    <xdr:to>
      <xdr:col>5</xdr:col>
      <xdr:colOff>876301</xdr:colOff>
      <xdr:row>12</xdr:row>
      <xdr:rowOff>0</xdr:rowOff>
    </xdr:to>
    <xdr:cxnSp macro="">
      <xdr:nvCxnSpPr>
        <xdr:cNvPr id="88" name="Verbindingslijn: gebogen 87">
          <a:extLst>
            <a:ext uri="{FF2B5EF4-FFF2-40B4-BE49-F238E27FC236}">
              <a16:creationId xmlns:a16="http://schemas.microsoft.com/office/drawing/2014/main" id="{3884B32B-796F-E6FB-BA61-B41B0DA9350D}"/>
            </a:ext>
          </a:extLst>
        </xdr:cNvPr>
        <xdr:cNvCxnSpPr/>
      </xdr:nvCxnSpPr>
      <xdr:spPr>
        <a:xfrm rot="10800000" flipV="1">
          <a:off x="2171701" y="2381250"/>
          <a:ext cx="2714625" cy="133350"/>
        </a:xfrm>
        <a:prstGeom prst="bentConnector3">
          <a:avLst>
            <a:gd name="adj1" fmla="val 526"/>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942975</xdr:colOff>
      <xdr:row>14</xdr:row>
      <xdr:rowOff>38100</xdr:rowOff>
    </xdr:from>
    <xdr:to>
      <xdr:col>5</xdr:col>
      <xdr:colOff>866775</xdr:colOff>
      <xdr:row>14</xdr:row>
      <xdr:rowOff>171450</xdr:rowOff>
    </xdr:to>
    <xdr:cxnSp macro="">
      <xdr:nvCxnSpPr>
        <xdr:cNvPr id="90" name="Verbindingslijn: gebogen 89">
          <a:extLst>
            <a:ext uri="{FF2B5EF4-FFF2-40B4-BE49-F238E27FC236}">
              <a16:creationId xmlns:a16="http://schemas.microsoft.com/office/drawing/2014/main" id="{C039F4D0-D593-4B32-BE2C-9810F3F65B46}"/>
            </a:ext>
          </a:extLst>
        </xdr:cNvPr>
        <xdr:cNvCxnSpPr/>
      </xdr:nvCxnSpPr>
      <xdr:spPr>
        <a:xfrm rot="10800000" flipV="1">
          <a:off x="2162175" y="2933700"/>
          <a:ext cx="2714625" cy="133350"/>
        </a:xfrm>
        <a:prstGeom prst="bentConnector3">
          <a:avLst>
            <a:gd name="adj1" fmla="val 526"/>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561975</xdr:colOff>
      <xdr:row>11</xdr:row>
      <xdr:rowOff>66675</xdr:rowOff>
    </xdr:from>
    <xdr:to>
      <xdr:col>3</xdr:col>
      <xdr:colOff>895350</xdr:colOff>
      <xdr:row>12</xdr:row>
      <xdr:rowOff>171450</xdr:rowOff>
    </xdr:to>
    <xdr:sp macro="" textlink="">
      <xdr:nvSpPr>
        <xdr:cNvPr id="93" name="Tekstvak 92">
          <a:extLst>
            <a:ext uri="{FF2B5EF4-FFF2-40B4-BE49-F238E27FC236}">
              <a16:creationId xmlns:a16="http://schemas.microsoft.com/office/drawing/2014/main" id="{BA8EEEEC-8C4F-400D-8025-D4D2F9ADF378}"/>
            </a:ext>
          </a:extLst>
        </xdr:cNvPr>
        <xdr:cNvSpPr txBox="1"/>
      </xdr:nvSpPr>
      <xdr:spPr>
        <a:xfrm>
          <a:off x="1781175" y="2390775"/>
          <a:ext cx="3333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Ja</a:t>
          </a:r>
        </a:p>
      </xdr:txBody>
    </xdr:sp>
    <xdr:clientData/>
  </xdr:twoCellAnchor>
  <xdr:twoCellAnchor>
    <xdr:from>
      <xdr:col>3</xdr:col>
      <xdr:colOff>561975</xdr:colOff>
      <xdr:row>14</xdr:row>
      <xdr:rowOff>57150</xdr:rowOff>
    </xdr:from>
    <xdr:to>
      <xdr:col>3</xdr:col>
      <xdr:colOff>895350</xdr:colOff>
      <xdr:row>15</xdr:row>
      <xdr:rowOff>161925</xdr:rowOff>
    </xdr:to>
    <xdr:sp macro="" textlink="">
      <xdr:nvSpPr>
        <xdr:cNvPr id="94" name="Tekstvak 93">
          <a:extLst>
            <a:ext uri="{FF2B5EF4-FFF2-40B4-BE49-F238E27FC236}">
              <a16:creationId xmlns:a16="http://schemas.microsoft.com/office/drawing/2014/main" id="{A73CFEA8-090C-4493-A7BC-3056C4734CE8}"/>
            </a:ext>
          </a:extLst>
        </xdr:cNvPr>
        <xdr:cNvSpPr txBox="1"/>
      </xdr:nvSpPr>
      <xdr:spPr>
        <a:xfrm>
          <a:off x="1781175" y="2952750"/>
          <a:ext cx="3333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Ja</a:t>
          </a:r>
        </a:p>
      </xdr:txBody>
    </xdr:sp>
    <xdr:clientData/>
  </xdr:twoCellAnchor>
  <xdr:twoCellAnchor>
    <xdr:from>
      <xdr:col>5</xdr:col>
      <xdr:colOff>933450</xdr:colOff>
      <xdr:row>11</xdr:row>
      <xdr:rowOff>19050</xdr:rowOff>
    </xdr:from>
    <xdr:to>
      <xdr:col>5</xdr:col>
      <xdr:colOff>1266825</xdr:colOff>
      <xdr:row>12</xdr:row>
      <xdr:rowOff>123825</xdr:rowOff>
    </xdr:to>
    <xdr:sp macro="" textlink="">
      <xdr:nvSpPr>
        <xdr:cNvPr id="95" name="Tekstvak 94">
          <a:extLst>
            <a:ext uri="{FF2B5EF4-FFF2-40B4-BE49-F238E27FC236}">
              <a16:creationId xmlns:a16="http://schemas.microsoft.com/office/drawing/2014/main" id="{2E1FDD6A-1AD1-4A4B-84C3-D600D3E16273}"/>
            </a:ext>
          </a:extLst>
        </xdr:cNvPr>
        <xdr:cNvSpPr txBox="1"/>
      </xdr:nvSpPr>
      <xdr:spPr>
        <a:xfrm>
          <a:off x="4943475" y="2343150"/>
          <a:ext cx="3333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Ja</a:t>
          </a:r>
        </a:p>
      </xdr:txBody>
    </xdr:sp>
    <xdr:clientData/>
  </xdr:twoCellAnchor>
  <xdr:twoCellAnchor>
    <xdr:from>
      <xdr:col>5</xdr:col>
      <xdr:colOff>923925</xdr:colOff>
      <xdr:row>14</xdr:row>
      <xdr:rowOff>9525</xdr:rowOff>
    </xdr:from>
    <xdr:to>
      <xdr:col>5</xdr:col>
      <xdr:colOff>1257300</xdr:colOff>
      <xdr:row>15</xdr:row>
      <xdr:rowOff>114300</xdr:rowOff>
    </xdr:to>
    <xdr:sp macro="" textlink="">
      <xdr:nvSpPr>
        <xdr:cNvPr id="96" name="Tekstvak 95">
          <a:extLst>
            <a:ext uri="{FF2B5EF4-FFF2-40B4-BE49-F238E27FC236}">
              <a16:creationId xmlns:a16="http://schemas.microsoft.com/office/drawing/2014/main" id="{CC5D9B88-BA03-4939-9EAA-8E52A8BE807D}"/>
            </a:ext>
          </a:extLst>
        </xdr:cNvPr>
        <xdr:cNvSpPr txBox="1"/>
      </xdr:nvSpPr>
      <xdr:spPr>
        <a:xfrm>
          <a:off x="4933950" y="2905125"/>
          <a:ext cx="3333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Ja</a:t>
          </a:r>
        </a:p>
      </xdr:txBody>
    </xdr:sp>
    <xdr:clientData/>
  </xdr:twoCellAnchor>
  <xdr:twoCellAnchor>
    <xdr:from>
      <xdr:col>3</xdr:col>
      <xdr:colOff>942975</xdr:colOff>
      <xdr:row>17</xdr:row>
      <xdr:rowOff>76200</xdr:rowOff>
    </xdr:from>
    <xdr:to>
      <xdr:col>3</xdr:col>
      <xdr:colOff>942975</xdr:colOff>
      <xdr:row>18</xdr:row>
      <xdr:rowOff>180975</xdr:rowOff>
    </xdr:to>
    <xdr:cxnSp macro="">
      <xdr:nvCxnSpPr>
        <xdr:cNvPr id="3" name="Rechte verbindingslijn met pijl 2">
          <a:extLst>
            <a:ext uri="{FF2B5EF4-FFF2-40B4-BE49-F238E27FC236}">
              <a16:creationId xmlns:a16="http://schemas.microsoft.com/office/drawing/2014/main" id="{FECB5D17-45ED-4F02-B37B-237DDF968703}"/>
            </a:ext>
          </a:extLst>
        </xdr:cNvPr>
        <xdr:cNvCxnSpPr/>
      </xdr:nvCxnSpPr>
      <xdr:spPr>
        <a:xfrm>
          <a:off x="2162175" y="3543300"/>
          <a:ext cx="0" cy="2952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95830</xdr:colOff>
      <xdr:row>19</xdr:row>
      <xdr:rowOff>264215</xdr:rowOff>
    </xdr:from>
    <xdr:to>
      <xdr:col>4</xdr:col>
      <xdr:colOff>657805</xdr:colOff>
      <xdr:row>19</xdr:row>
      <xdr:rowOff>264215</xdr:rowOff>
    </xdr:to>
    <xdr:cxnSp macro="">
      <xdr:nvCxnSpPr>
        <xdr:cNvPr id="7" name="Rechte verbindingslijn met pijl 6">
          <a:extLst>
            <a:ext uri="{FF2B5EF4-FFF2-40B4-BE49-F238E27FC236}">
              <a16:creationId xmlns:a16="http://schemas.microsoft.com/office/drawing/2014/main" id="{BCE76911-4E16-4A33-8521-E06CF79DDE80}"/>
            </a:ext>
          </a:extLst>
        </xdr:cNvPr>
        <xdr:cNvCxnSpPr/>
      </xdr:nvCxnSpPr>
      <xdr:spPr>
        <a:xfrm>
          <a:off x="4484950" y="7381295"/>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161843</xdr:colOff>
      <xdr:row>19</xdr:row>
      <xdr:rowOff>5052</xdr:rowOff>
    </xdr:from>
    <xdr:to>
      <xdr:col>4</xdr:col>
      <xdr:colOff>578459</xdr:colOff>
      <xdr:row>19</xdr:row>
      <xdr:rowOff>304800</xdr:rowOff>
    </xdr:to>
    <xdr:sp macro="" textlink="">
      <xdr:nvSpPr>
        <xdr:cNvPr id="9" name="Tekstvak 8">
          <a:extLst>
            <a:ext uri="{FF2B5EF4-FFF2-40B4-BE49-F238E27FC236}">
              <a16:creationId xmlns:a16="http://schemas.microsoft.com/office/drawing/2014/main" id="{20B6D729-606E-407C-8F91-1C5A01591588}"/>
            </a:ext>
          </a:extLst>
        </xdr:cNvPr>
        <xdr:cNvSpPr txBox="1"/>
      </xdr:nvSpPr>
      <xdr:spPr>
        <a:xfrm>
          <a:off x="4550963" y="7122132"/>
          <a:ext cx="416616" cy="299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Nee</a:t>
          </a:r>
        </a:p>
      </xdr:txBody>
    </xdr:sp>
    <xdr:clientData/>
  </xdr:twoCellAnchor>
  <xdr:twoCellAnchor>
    <xdr:from>
      <xdr:col>3</xdr:col>
      <xdr:colOff>962025</xdr:colOff>
      <xdr:row>17</xdr:row>
      <xdr:rowOff>47625</xdr:rowOff>
    </xdr:from>
    <xdr:to>
      <xdr:col>5</xdr:col>
      <xdr:colOff>885825</xdr:colOff>
      <xdr:row>17</xdr:row>
      <xdr:rowOff>180975</xdr:rowOff>
    </xdr:to>
    <xdr:cxnSp macro="">
      <xdr:nvCxnSpPr>
        <xdr:cNvPr id="10" name="Verbindingslijn: gebogen 9">
          <a:extLst>
            <a:ext uri="{FF2B5EF4-FFF2-40B4-BE49-F238E27FC236}">
              <a16:creationId xmlns:a16="http://schemas.microsoft.com/office/drawing/2014/main" id="{B0DCDD5E-BD44-49CA-9268-82BAFBA5D371}"/>
            </a:ext>
          </a:extLst>
        </xdr:cNvPr>
        <xdr:cNvCxnSpPr/>
      </xdr:nvCxnSpPr>
      <xdr:spPr>
        <a:xfrm rot="10800000" flipV="1">
          <a:off x="2181225" y="3514725"/>
          <a:ext cx="2714625" cy="133350"/>
        </a:xfrm>
        <a:prstGeom prst="bentConnector3">
          <a:avLst>
            <a:gd name="adj1" fmla="val 526"/>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885825</xdr:colOff>
      <xdr:row>17</xdr:row>
      <xdr:rowOff>38100</xdr:rowOff>
    </xdr:from>
    <xdr:to>
      <xdr:col>5</xdr:col>
      <xdr:colOff>1219200</xdr:colOff>
      <xdr:row>18</xdr:row>
      <xdr:rowOff>142875</xdr:rowOff>
    </xdr:to>
    <xdr:sp macro="" textlink="">
      <xdr:nvSpPr>
        <xdr:cNvPr id="12" name="Tekstvak 11">
          <a:extLst>
            <a:ext uri="{FF2B5EF4-FFF2-40B4-BE49-F238E27FC236}">
              <a16:creationId xmlns:a16="http://schemas.microsoft.com/office/drawing/2014/main" id="{3E407F63-40D9-4268-ADB9-F66013E447E3}"/>
            </a:ext>
          </a:extLst>
        </xdr:cNvPr>
        <xdr:cNvSpPr txBox="1"/>
      </xdr:nvSpPr>
      <xdr:spPr>
        <a:xfrm>
          <a:off x="4895850" y="3505200"/>
          <a:ext cx="3333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Ja</a:t>
          </a:r>
        </a:p>
      </xdr:txBody>
    </xdr:sp>
    <xdr:clientData/>
  </xdr:twoCellAnchor>
  <xdr:twoCellAnchor>
    <xdr:from>
      <xdr:col>3</xdr:col>
      <xdr:colOff>998220</xdr:colOff>
      <xdr:row>22</xdr:row>
      <xdr:rowOff>76202</xdr:rowOff>
    </xdr:from>
    <xdr:to>
      <xdr:col>3</xdr:col>
      <xdr:colOff>1016445</xdr:colOff>
      <xdr:row>23</xdr:row>
      <xdr:rowOff>159359</xdr:rowOff>
    </xdr:to>
    <xdr:cxnSp macro="">
      <xdr:nvCxnSpPr>
        <xdr:cNvPr id="13" name="Verbindingslijn: gebogen 12">
          <a:extLst>
            <a:ext uri="{FF2B5EF4-FFF2-40B4-BE49-F238E27FC236}">
              <a16:creationId xmlns:a16="http://schemas.microsoft.com/office/drawing/2014/main" id="{ED8DCD85-99ED-45B2-B601-2F9D0ED836B4}"/>
            </a:ext>
          </a:extLst>
        </xdr:cNvPr>
        <xdr:cNvCxnSpPr/>
      </xdr:nvCxnSpPr>
      <xdr:spPr>
        <a:xfrm rot="16200000" flipH="1">
          <a:off x="3206034" y="8437328"/>
          <a:ext cx="281277" cy="18225"/>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933450</xdr:colOff>
      <xdr:row>8</xdr:row>
      <xdr:rowOff>57150</xdr:rowOff>
    </xdr:from>
    <xdr:to>
      <xdr:col>3</xdr:col>
      <xdr:colOff>933450</xdr:colOff>
      <xdr:row>9</xdr:row>
      <xdr:rowOff>161925</xdr:rowOff>
    </xdr:to>
    <xdr:cxnSp macro="">
      <xdr:nvCxnSpPr>
        <xdr:cNvPr id="4" name="Rechte verbindingslijn met pijl 3">
          <a:extLst>
            <a:ext uri="{FF2B5EF4-FFF2-40B4-BE49-F238E27FC236}">
              <a16:creationId xmlns:a16="http://schemas.microsoft.com/office/drawing/2014/main" id="{A72F6B12-8170-4826-AF2A-1E4D02EE7E65}"/>
            </a:ext>
          </a:extLst>
        </xdr:cNvPr>
        <xdr:cNvCxnSpPr/>
      </xdr:nvCxnSpPr>
      <xdr:spPr>
        <a:xfrm>
          <a:off x="2152650" y="1219200"/>
          <a:ext cx="0" cy="2952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178490</xdr:colOff>
      <xdr:row>7</xdr:row>
      <xdr:rowOff>90280</xdr:rowOff>
    </xdr:from>
    <xdr:to>
      <xdr:col>4</xdr:col>
      <xdr:colOff>607115</xdr:colOff>
      <xdr:row>7</xdr:row>
      <xdr:rowOff>385555</xdr:rowOff>
    </xdr:to>
    <xdr:sp macro="" textlink="">
      <xdr:nvSpPr>
        <xdr:cNvPr id="15" name="Tekstvak 14">
          <a:extLst>
            <a:ext uri="{FF2B5EF4-FFF2-40B4-BE49-F238E27FC236}">
              <a16:creationId xmlns:a16="http://schemas.microsoft.com/office/drawing/2014/main" id="{D174C85D-9400-432B-9BB9-26304923FA45}"/>
            </a:ext>
          </a:extLst>
        </xdr:cNvPr>
        <xdr:cNvSpPr txBox="1"/>
      </xdr:nvSpPr>
      <xdr:spPr>
        <a:xfrm>
          <a:off x="3640620" y="1630845"/>
          <a:ext cx="42862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of</a:t>
          </a:r>
        </a:p>
      </xdr:txBody>
    </xdr:sp>
    <xdr:clientData/>
  </xdr:twoCellAnchor>
  <xdr:twoCellAnchor>
    <xdr:from>
      <xdr:col>4</xdr:col>
      <xdr:colOff>115543</xdr:colOff>
      <xdr:row>7</xdr:row>
      <xdr:rowOff>443120</xdr:rowOff>
    </xdr:from>
    <xdr:to>
      <xdr:col>4</xdr:col>
      <xdr:colOff>677518</xdr:colOff>
      <xdr:row>7</xdr:row>
      <xdr:rowOff>443120</xdr:rowOff>
    </xdr:to>
    <xdr:cxnSp macro="">
      <xdr:nvCxnSpPr>
        <xdr:cNvPr id="16" name="Rechte verbindingslijn met pijl 15">
          <a:extLst>
            <a:ext uri="{FF2B5EF4-FFF2-40B4-BE49-F238E27FC236}">
              <a16:creationId xmlns:a16="http://schemas.microsoft.com/office/drawing/2014/main" id="{DFA09235-D278-49CB-AD39-71EF2B53C5B4}"/>
            </a:ext>
          </a:extLst>
        </xdr:cNvPr>
        <xdr:cNvCxnSpPr/>
      </xdr:nvCxnSpPr>
      <xdr:spPr>
        <a:xfrm>
          <a:off x="3577673" y="1983685"/>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54666</xdr:colOff>
      <xdr:row>7</xdr:row>
      <xdr:rowOff>41413</xdr:rowOff>
    </xdr:from>
    <xdr:to>
      <xdr:col>11</xdr:col>
      <xdr:colOff>530086</xdr:colOff>
      <xdr:row>7</xdr:row>
      <xdr:rowOff>273326</xdr:rowOff>
    </xdr:to>
    <xdr:sp macro="" textlink="">
      <xdr:nvSpPr>
        <xdr:cNvPr id="17" name="Tekstvak 16">
          <a:extLst>
            <a:ext uri="{FF2B5EF4-FFF2-40B4-BE49-F238E27FC236}">
              <a16:creationId xmlns:a16="http://schemas.microsoft.com/office/drawing/2014/main" id="{823B9C35-F16B-47C5-B4F6-4D53EAB384A8}"/>
            </a:ext>
          </a:extLst>
        </xdr:cNvPr>
        <xdr:cNvSpPr txBox="1"/>
      </xdr:nvSpPr>
      <xdr:spPr>
        <a:xfrm>
          <a:off x="17207949" y="1581978"/>
          <a:ext cx="475420" cy="231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p>
      </xdr:txBody>
    </xdr:sp>
    <xdr:clientData/>
  </xdr:twoCellAnchor>
  <xdr:twoCellAnchor>
    <xdr:from>
      <xdr:col>4</xdr:col>
      <xdr:colOff>57150</xdr:colOff>
      <xdr:row>24</xdr:row>
      <xdr:rowOff>104775</xdr:rowOff>
    </xdr:from>
    <xdr:to>
      <xdr:col>4</xdr:col>
      <xdr:colOff>619125</xdr:colOff>
      <xdr:row>24</xdr:row>
      <xdr:rowOff>104775</xdr:rowOff>
    </xdr:to>
    <xdr:cxnSp macro="">
      <xdr:nvCxnSpPr>
        <xdr:cNvPr id="22" name="Rechte verbindingslijn met pijl 21">
          <a:extLst>
            <a:ext uri="{FF2B5EF4-FFF2-40B4-BE49-F238E27FC236}">
              <a16:creationId xmlns:a16="http://schemas.microsoft.com/office/drawing/2014/main" id="{61D2C4F0-C2F7-4797-A0EE-447BE71985A5}"/>
            </a:ext>
          </a:extLst>
        </xdr:cNvPr>
        <xdr:cNvCxnSpPr/>
      </xdr:nvCxnSpPr>
      <xdr:spPr>
        <a:xfrm>
          <a:off x="5819775" y="3933825"/>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66675</xdr:colOff>
      <xdr:row>27</xdr:row>
      <xdr:rowOff>104775</xdr:rowOff>
    </xdr:from>
    <xdr:to>
      <xdr:col>4</xdr:col>
      <xdr:colOff>628650</xdr:colOff>
      <xdr:row>27</xdr:row>
      <xdr:rowOff>104775</xdr:rowOff>
    </xdr:to>
    <xdr:cxnSp macro="">
      <xdr:nvCxnSpPr>
        <xdr:cNvPr id="23" name="Rechte verbindingslijn met pijl 22">
          <a:extLst>
            <a:ext uri="{FF2B5EF4-FFF2-40B4-BE49-F238E27FC236}">
              <a16:creationId xmlns:a16="http://schemas.microsoft.com/office/drawing/2014/main" id="{9E26A601-BCC8-45AD-B659-04E117C8C9E3}"/>
            </a:ext>
          </a:extLst>
        </xdr:cNvPr>
        <xdr:cNvCxnSpPr/>
      </xdr:nvCxnSpPr>
      <xdr:spPr>
        <a:xfrm>
          <a:off x="5829300" y="4124325"/>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76200</xdr:colOff>
      <xdr:row>28</xdr:row>
      <xdr:rowOff>104775</xdr:rowOff>
    </xdr:from>
    <xdr:to>
      <xdr:col>4</xdr:col>
      <xdr:colOff>638175</xdr:colOff>
      <xdr:row>28</xdr:row>
      <xdr:rowOff>104775</xdr:rowOff>
    </xdr:to>
    <xdr:cxnSp macro="">
      <xdr:nvCxnSpPr>
        <xdr:cNvPr id="24" name="Rechte verbindingslijn met pijl 23">
          <a:extLst>
            <a:ext uri="{FF2B5EF4-FFF2-40B4-BE49-F238E27FC236}">
              <a16:creationId xmlns:a16="http://schemas.microsoft.com/office/drawing/2014/main" id="{A07123D3-1D42-43DE-8E20-2E33EE146FEA}"/>
            </a:ext>
          </a:extLst>
        </xdr:cNvPr>
        <xdr:cNvCxnSpPr/>
      </xdr:nvCxnSpPr>
      <xdr:spPr>
        <a:xfrm>
          <a:off x="5838825" y="4314825"/>
          <a:ext cx="561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180975</xdr:colOff>
      <xdr:row>32</xdr:row>
      <xdr:rowOff>57150</xdr:rowOff>
    </xdr:from>
    <xdr:to>
      <xdr:col>4</xdr:col>
      <xdr:colOff>514350</xdr:colOff>
      <xdr:row>33</xdr:row>
      <xdr:rowOff>161925</xdr:rowOff>
    </xdr:to>
    <xdr:sp macro="" textlink="">
      <xdr:nvSpPr>
        <xdr:cNvPr id="28" name="Tekstvak 27">
          <a:extLst>
            <a:ext uri="{FF2B5EF4-FFF2-40B4-BE49-F238E27FC236}">
              <a16:creationId xmlns:a16="http://schemas.microsoft.com/office/drawing/2014/main" id="{15449BCA-EE70-4680-991D-42F77ACA9E21}"/>
            </a:ext>
          </a:extLst>
        </xdr:cNvPr>
        <xdr:cNvSpPr txBox="1"/>
      </xdr:nvSpPr>
      <xdr:spPr>
        <a:xfrm>
          <a:off x="3390900" y="4648200"/>
          <a:ext cx="3333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Ja</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xdr:colOff>
      <xdr:row>119</xdr:row>
      <xdr:rowOff>38101</xdr:rowOff>
    </xdr:from>
    <xdr:to>
      <xdr:col>17</xdr:col>
      <xdr:colOff>115150</xdr:colOff>
      <xdr:row>131</xdr:row>
      <xdr:rowOff>19051</xdr:rowOff>
    </xdr:to>
    <xdr:pic>
      <xdr:nvPicPr>
        <xdr:cNvPr id="2" name="Afbeelding 1">
          <a:extLst>
            <a:ext uri="{FF2B5EF4-FFF2-40B4-BE49-F238E27FC236}">
              <a16:creationId xmlns:a16="http://schemas.microsoft.com/office/drawing/2014/main" id="{1B8A487B-D3A6-1F55-C14E-9B664B709D35}"/>
            </a:ext>
          </a:extLst>
        </xdr:cNvPr>
        <xdr:cNvPicPr>
          <a:picLocks noChangeAspect="1"/>
        </xdr:cNvPicPr>
      </xdr:nvPicPr>
      <xdr:blipFill>
        <a:blip xmlns:r="http://schemas.openxmlformats.org/officeDocument/2006/relationships" r:embed="rId1"/>
        <a:stretch>
          <a:fillRect/>
        </a:stretch>
      </xdr:blipFill>
      <xdr:spPr>
        <a:xfrm>
          <a:off x="5781676" y="22917151"/>
          <a:ext cx="4382349" cy="2266950"/>
        </a:xfrm>
        <a:prstGeom prst="rect">
          <a:avLst/>
        </a:prstGeom>
      </xdr:spPr>
    </xdr:pic>
    <xdr:clientData/>
  </xdr:twoCellAnchor>
  <xdr:twoCellAnchor editAs="oneCell">
    <xdr:from>
      <xdr:col>1</xdr:col>
      <xdr:colOff>609599</xdr:colOff>
      <xdr:row>119</xdr:row>
      <xdr:rowOff>19050</xdr:rowOff>
    </xdr:from>
    <xdr:to>
      <xdr:col>9</xdr:col>
      <xdr:colOff>64272</xdr:colOff>
      <xdr:row>130</xdr:row>
      <xdr:rowOff>180975</xdr:rowOff>
    </xdr:to>
    <xdr:pic>
      <xdr:nvPicPr>
        <xdr:cNvPr id="3" name="Afbeelding 2">
          <a:extLst>
            <a:ext uri="{FF2B5EF4-FFF2-40B4-BE49-F238E27FC236}">
              <a16:creationId xmlns:a16="http://schemas.microsoft.com/office/drawing/2014/main" id="{E1BEEC1E-B54A-2A50-6755-F1BB5EFB5717}"/>
            </a:ext>
          </a:extLst>
        </xdr:cNvPr>
        <xdr:cNvPicPr>
          <a:picLocks noChangeAspect="1"/>
        </xdr:cNvPicPr>
      </xdr:nvPicPr>
      <xdr:blipFill>
        <a:blip xmlns:r="http://schemas.openxmlformats.org/officeDocument/2006/relationships" r:embed="rId2"/>
        <a:stretch>
          <a:fillRect/>
        </a:stretch>
      </xdr:blipFill>
      <xdr:spPr>
        <a:xfrm>
          <a:off x="904874" y="22898100"/>
          <a:ext cx="4331473" cy="22574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Lijsten/Analyselijst.xls" TargetMode="External"/><Relationship Id="rId2" Type="http://schemas.openxmlformats.org/officeDocument/2006/relationships/externalLinkPath" Target="file:///Y:\Operaties\Lijsten\Analyselijst.xls" TargetMode="External"/><Relationship Id="rId1" Type="http://schemas.openxmlformats.org/officeDocument/2006/relationships/externalLinkPath" Target="/Operaties/Lijsten/Analyselijst.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andboek%20Kwaliteit/HANDBOEK.xls" TargetMode="External"/><Relationship Id="rId2" Type="http://schemas.openxmlformats.org/officeDocument/2006/relationships/externalLinkPath" Target="file:///Y:\Handboek%20Kwaliteit\HANDBOEK.xls" TargetMode="External"/><Relationship Id="rId1" Type="http://schemas.openxmlformats.org/officeDocument/2006/relationships/externalLinkPath" Target="/Handboek%20Kwaliteit/HANDBOEK.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Lijsten/Allergenen/Allergenen%20werkblad%20keuken%20vergrendeld%20update%2005.03.xlsm" TargetMode="External"/><Relationship Id="rId2" Type="http://schemas.openxmlformats.org/officeDocument/2006/relationships/externalLinkPath" Target="file:///Y:\Operaties\Lijsten\Allergenen\Allergenen%20werkblad%20keuken%20vergrendeld%20update%2005.03.xlsm" TargetMode="External"/><Relationship Id="rId1" Type="http://schemas.openxmlformats.org/officeDocument/2006/relationships/externalLinkPath" Target="/Operaties/Lijsten/Allergenen/Allergenen%20werkblad%20keuken%20vergrendeld%20update%2005.0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altijden"/>
      <sheetName val="HISTORIEK"/>
      <sheetName val="HISTORIEK tm 2015"/>
      <sheetName val="allergenen"/>
      <sheetName val="berekeningen steamer"/>
      <sheetName val="artikelopbouw"/>
      <sheetName val="Logistieke kost"/>
    </sheetNames>
    <sheetDataSet>
      <sheetData sheetId="0">
        <row r="1">
          <cell r="A1" t="str">
            <v xml:space="preserve">CSB nr
</v>
          </cell>
          <cell r="B1" t="str">
            <v>CSB nr
verpakking</v>
          </cell>
          <cell r="C1" t="str">
            <v>art nr
klant</v>
          </cell>
          <cell r="D1" t="str">
            <v>omschrijving</v>
          </cell>
          <cell r="E1" t="str">
            <v>klant + landcode</v>
          </cell>
          <cell r="F1" t="str">
            <v>type
folie</v>
          </cell>
          <cell r="G1" t="str">
            <v>type
schaal</v>
          </cell>
          <cell r="H1" t="str">
            <v>tht in
dagen</v>
          </cell>
          <cell r="I1" t="str">
            <v>gewicht
in kg</v>
          </cell>
          <cell r="J1" t="str">
            <v>kap
vorm</v>
          </cell>
          <cell r="K1" t="str">
            <v>etiket
maaltijd</v>
          </cell>
          <cell r="L1" t="str">
            <v># per
karton</v>
          </cell>
          <cell r="M1" t="str">
            <v>soort 
karton</v>
          </cell>
          <cell r="N1" t="str">
            <v># karton
/ pallet</v>
          </cell>
          <cell r="O1" t="str">
            <v>Barcode KARTON</v>
          </cell>
          <cell r="P1" t="str">
            <v>hulp
machine</v>
          </cell>
          <cell r="Q1" t="str">
            <v># pers
keuken</v>
          </cell>
          <cell r="R1" t="str">
            <v># pers KRT</v>
          </cell>
          <cell r="S1" t="str">
            <v>opmerkingen
opmerking komt in de planning!</v>
          </cell>
          <cell r="T1" t="str">
            <v>autom. afvullen
#/uur</v>
          </cell>
          <cell r="U1" t="str">
            <v>autom. afvullen
#pers</v>
          </cell>
          <cell r="V1" t="str">
            <v>manueel afvullen
#/uur</v>
          </cell>
          <cell r="W1" t="str">
            <v>manueel afvullen
#pers</v>
          </cell>
          <cell r="X1" t="str">
            <v>overig 3
#/uur</v>
          </cell>
          <cell r="Y1" t="str">
            <v>overig 3
#pers</v>
          </cell>
          <cell r="Z1" t="str">
            <v>logistieke
kost</v>
          </cell>
          <cell r="AA1" t="str">
            <v>aller
geen</v>
          </cell>
          <cell r="AB1" t="str">
            <v>prod
aantal</v>
          </cell>
          <cell r="AC1" t="str">
            <v>steamtijd
per mlt</v>
          </cell>
          <cell r="AD1" t="str">
            <v>FOTO</v>
          </cell>
          <cell r="AE1" t="str">
            <v>spec
okay</v>
          </cell>
          <cell r="AF1" t="str">
            <v>LABO OPMERKING</v>
          </cell>
          <cell r="AG1" t="str">
            <v>max. lijnsnelheid</v>
          </cell>
          <cell r="AH1" t="str">
            <v>Grens automatische afvulling (I)(#st)</v>
          </cell>
          <cell r="AI1">
            <v>2500</v>
          </cell>
          <cell r="AJ1" t="str">
            <v>Varken/alcohol</v>
          </cell>
          <cell r="AK1" t="str">
            <v>Extra reiniging</v>
          </cell>
          <cell r="AL1" t="str">
            <v>max lijnsnelheid</v>
          </cell>
          <cell r="AM1" t="str">
            <v>gepland</v>
          </cell>
          <cell r="AN1" t="str">
            <v>gemiddelde snelheid laatste 5 producties</v>
          </cell>
          <cell r="AO1" t="str">
            <v>verschil geplande snelheid met werkelijke snelheid</v>
          </cell>
          <cell r="AP1" t="str">
            <v>verschil max lijnsnelheid met gepland</v>
          </cell>
        </row>
        <row r="2">
          <cell r="A2">
            <v>60920100</v>
          </cell>
          <cell r="B2" t="str">
            <v>-</v>
          </cell>
          <cell r="C2">
            <v>60920100</v>
          </cell>
          <cell r="D2" t="str">
            <v>DMB KIPPENSOEP 900G</v>
          </cell>
          <cell r="E2" t="str">
            <v>DMB, SOEP</v>
          </cell>
          <cell r="F2" t="str">
            <v>290MM</v>
          </cell>
          <cell r="G2" t="str">
            <v>C2227-1H</v>
          </cell>
          <cell r="H2">
            <v>548</v>
          </cell>
          <cell r="I2">
            <v>0.9</v>
          </cell>
          <cell r="J2" t="str">
            <v>NVT</v>
          </cell>
          <cell r="K2" t="str">
            <v>DELIMEAL HORECA</v>
          </cell>
          <cell r="L2">
            <v>6</v>
          </cell>
          <cell r="M2" t="str">
            <v>DMC X 6</v>
          </cell>
          <cell r="N2">
            <v>110</v>
          </cell>
          <cell r="O2">
            <v>5410953092017</v>
          </cell>
          <cell r="P2" t="str">
            <v>2T</v>
          </cell>
          <cell r="Q2">
            <v>1</v>
          </cell>
          <cell r="R2">
            <v>3</v>
          </cell>
          <cell r="S2" t="str">
            <v>Folie perforeren</v>
          </cell>
          <cell r="T2">
            <v>1750</v>
          </cell>
          <cell r="U2">
            <v>3</v>
          </cell>
          <cell r="V2">
            <v>1750</v>
          </cell>
          <cell r="W2">
            <v>3</v>
          </cell>
          <cell r="X2">
            <v>0</v>
          </cell>
          <cell r="Y2">
            <v>0</v>
          </cell>
          <cell r="Z2">
            <v>0</v>
          </cell>
          <cell r="AA2" t="str">
            <v>! ! !</v>
          </cell>
          <cell r="AB2">
            <v>1200</v>
          </cell>
          <cell r="AC2">
            <v>0</v>
          </cell>
          <cell r="AG2">
            <v>35</v>
          </cell>
          <cell r="AJ2" t="str">
            <v>-</v>
          </cell>
          <cell r="AL2">
            <v>2100</v>
          </cell>
          <cell r="AM2">
            <v>1750</v>
          </cell>
          <cell r="AN2" t="e">
            <v>#VALUE!</v>
          </cell>
          <cell r="AO2" t="e">
            <v>#VALUE!</v>
          </cell>
          <cell r="AP2">
            <v>350</v>
          </cell>
        </row>
        <row r="3">
          <cell r="A3">
            <v>60920200</v>
          </cell>
          <cell r="B3" t="str">
            <v>-</v>
          </cell>
          <cell r="C3">
            <v>60920200</v>
          </cell>
          <cell r="D3" t="str">
            <v>DMB PREISOEP 900G</v>
          </cell>
          <cell r="E3" t="str">
            <v>DMB, SOEP</v>
          </cell>
          <cell r="F3" t="str">
            <v>290MM</v>
          </cell>
          <cell r="G3" t="str">
            <v>C2227-1H</v>
          </cell>
          <cell r="H3">
            <v>548</v>
          </cell>
          <cell r="I3">
            <v>0.9</v>
          </cell>
          <cell r="J3" t="str">
            <v>NVT</v>
          </cell>
          <cell r="K3" t="str">
            <v>DELIMEAL HORECA</v>
          </cell>
          <cell r="L3">
            <v>6</v>
          </cell>
          <cell r="M3" t="str">
            <v>DMC X 6</v>
          </cell>
          <cell r="N3">
            <v>110</v>
          </cell>
          <cell r="O3">
            <v>5410953092024</v>
          </cell>
          <cell r="P3" t="str">
            <v>2T</v>
          </cell>
          <cell r="Q3">
            <v>2</v>
          </cell>
          <cell r="R3">
            <v>3</v>
          </cell>
          <cell r="S3" t="str">
            <v>Folie perforeren</v>
          </cell>
          <cell r="T3">
            <v>1750</v>
          </cell>
          <cell r="U3">
            <v>1</v>
          </cell>
          <cell r="V3">
            <v>1750</v>
          </cell>
          <cell r="W3">
            <v>1</v>
          </cell>
          <cell r="X3">
            <v>0</v>
          </cell>
          <cell r="Y3">
            <v>0</v>
          </cell>
          <cell r="Z3">
            <v>0</v>
          </cell>
          <cell r="AA3" t="str">
            <v>! ! !</v>
          </cell>
          <cell r="AB3">
            <v>1200</v>
          </cell>
          <cell r="AC3">
            <v>0</v>
          </cell>
          <cell r="AG3">
            <v>35</v>
          </cell>
          <cell r="AJ3" t="str">
            <v>-</v>
          </cell>
          <cell r="AL3">
            <v>2100</v>
          </cell>
          <cell r="AM3">
            <v>1750</v>
          </cell>
          <cell r="AN3" t="e">
            <v>#VALUE!</v>
          </cell>
          <cell r="AO3" t="e">
            <v>#VALUE!</v>
          </cell>
          <cell r="AP3">
            <v>350</v>
          </cell>
        </row>
        <row r="4">
          <cell r="A4">
            <v>60920400</v>
          </cell>
          <cell r="B4" t="str">
            <v>-</v>
          </cell>
          <cell r="C4">
            <v>60920400</v>
          </cell>
          <cell r="D4" t="str">
            <v>DMB TOMATENSOEP MET BALLETJES 1000G</v>
          </cell>
          <cell r="E4" t="str">
            <v>DMB, SOEP</v>
          </cell>
          <cell r="F4" t="str">
            <v>290MM</v>
          </cell>
          <cell r="G4" t="str">
            <v>C2227-1H</v>
          </cell>
          <cell r="H4">
            <v>548</v>
          </cell>
          <cell r="I4">
            <v>1</v>
          </cell>
          <cell r="J4" t="str">
            <v>NVT</v>
          </cell>
          <cell r="K4" t="str">
            <v>DELIMEAL HORECA</v>
          </cell>
          <cell r="L4">
            <v>6</v>
          </cell>
          <cell r="M4" t="str">
            <v>DMC X 6</v>
          </cell>
          <cell r="N4">
            <v>110</v>
          </cell>
          <cell r="O4">
            <v>5410953092048</v>
          </cell>
          <cell r="P4" t="str">
            <v>I-2T</v>
          </cell>
          <cell r="Q4">
            <v>2</v>
          </cell>
          <cell r="R4">
            <v>3</v>
          </cell>
          <cell r="S4" t="str">
            <v>Folie perforeren</v>
          </cell>
          <cell r="T4">
            <v>1500</v>
          </cell>
          <cell r="U4">
            <v>3</v>
          </cell>
          <cell r="V4">
            <v>1500</v>
          </cell>
          <cell r="W4">
            <v>3</v>
          </cell>
          <cell r="X4">
            <v>0</v>
          </cell>
          <cell r="Y4">
            <v>0</v>
          </cell>
          <cell r="Z4">
            <v>0</v>
          </cell>
          <cell r="AA4" t="str">
            <v>! ! !</v>
          </cell>
          <cell r="AB4">
            <v>1200</v>
          </cell>
          <cell r="AC4">
            <v>0</v>
          </cell>
          <cell r="AG4">
            <v>30</v>
          </cell>
          <cell r="AJ4" t="str">
            <v>-</v>
          </cell>
          <cell r="AL4">
            <v>1800</v>
          </cell>
          <cell r="AM4">
            <v>1500</v>
          </cell>
          <cell r="AN4" t="e">
            <v>#VALUE!</v>
          </cell>
          <cell r="AO4" t="e">
            <v>#VALUE!</v>
          </cell>
          <cell r="AP4">
            <v>300</v>
          </cell>
        </row>
        <row r="5">
          <cell r="A5">
            <v>60920500</v>
          </cell>
          <cell r="B5" t="str">
            <v>-</v>
          </cell>
          <cell r="C5">
            <v>60920500</v>
          </cell>
          <cell r="D5" t="str">
            <v>DMB ERWTENSOEP MET GEROOKTE SPEKJES 900G</v>
          </cell>
          <cell r="E5" t="str">
            <v>DMB, SOEP</v>
          </cell>
          <cell r="F5" t="str">
            <v>290MM</v>
          </cell>
          <cell r="G5" t="str">
            <v>C2227-1H</v>
          </cell>
          <cell r="H5">
            <v>548</v>
          </cell>
          <cell r="I5">
            <v>0.9</v>
          </cell>
          <cell r="J5" t="str">
            <v>NVT</v>
          </cell>
          <cell r="K5" t="str">
            <v>DELIMEAL HORECA</v>
          </cell>
          <cell r="L5">
            <v>6</v>
          </cell>
          <cell r="M5" t="str">
            <v>DMC X 6</v>
          </cell>
          <cell r="N5">
            <v>110</v>
          </cell>
          <cell r="O5">
            <v>5410953092055</v>
          </cell>
          <cell r="P5" t="str">
            <v>2T</v>
          </cell>
          <cell r="Q5">
            <v>2</v>
          </cell>
          <cell r="R5">
            <v>3</v>
          </cell>
          <cell r="S5" t="str">
            <v>ERWTEN D-1, Folie perforeren</v>
          </cell>
          <cell r="T5">
            <v>1750</v>
          </cell>
          <cell r="U5">
            <v>1</v>
          </cell>
          <cell r="V5">
            <v>1750</v>
          </cell>
          <cell r="W5">
            <v>1</v>
          </cell>
          <cell r="X5">
            <v>0</v>
          </cell>
          <cell r="Y5">
            <v>0</v>
          </cell>
          <cell r="Z5">
            <v>0</v>
          </cell>
          <cell r="AA5" t="str">
            <v>! ! !</v>
          </cell>
          <cell r="AB5">
            <v>1200</v>
          </cell>
          <cell r="AC5">
            <v>0</v>
          </cell>
          <cell r="AG5">
            <v>35</v>
          </cell>
          <cell r="AJ5" t="str">
            <v>V-A</v>
          </cell>
          <cell r="AL5">
            <v>2100</v>
          </cell>
          <cell r="AM5">
            <v>1750</v>
          </cell>
          <cell r="AN5" t="e">
            <v>#VALUE!</v>
          </cell>
          <cell r="AO5" t="e">
            <v>#VALUE!</v>
          </cell>
          <cell r="AP5">
            <v>350</v>
          </cell>
        </row>
        <row r="6">
          <cell r="A6">
            <v>60920600</v>
          </cell>
          <cell r="B6" t="str">
            <v>-</v>
          </cell>
          <cell r="C6">
            <v>60920600</v>
          </cell>
          <cell r="D6" t="str">
            <v>DMB KERVELSOEP 900G</v>
          </cell>
          <cell r="E6" t="str">
            <v>DMB, SOEP</v>
          </cell>
          <cell r="F6" t="str">
            <v>290MM</v>
          </cell>
          <cell r="G6" t="str">
            <v>C2227-1H</v>
          </cell>
          <cell r="H6">
            <v>548</v>
          </cell>
          <cell r="I6">
            <v>0.9</v>
          </cell>
          <cell r="J6" t="str">
            <v>NVT</v>
          </cell>
          <cell r="K6" t="str">
            <v>DELIMEAL HORECA</v>
          </cell>
          <cell r="L6">
            <v>6</v>
          </cell>
          <cell r="M6" t="str">
            <v>DMC X 6</v>
          </cell>
          <cell r="N6">
            <v>110</v>
          </cell>
          <cell r="O6">
            <v>5410953092062</v>
          </cell>
          <cell r="P6" t="str">
            <v>2T</v>
          </cell>
          <cell r="Q6">
            <v>2</v>
          </cell>
          <cell r="R6">
            <v>3</v>
          </cell>
          <cell r="S6" t="str">
            <v>Folie perforeren</v>
          </cell>
          <cell r="T6">
            <v>1750</v>
          </cell>
          <cell r="U6">
            <v>1</v>
          </cell>
          <cell r="V6">
            <v>1750</v>
          </cell>
          <cell r="W6">
            <v>1</v>
          </cell>
          <cell r="X6">
            <v>0</v>
          </cell>
          <cell r="Y6">
            <v>0</v>
          </cell>
          <cell r="Z6">
            <v>0</v>
          </cell>
          <cell r="AA6" t="str">
            <v>! ! !</v>
          </cell>
          <cell r="AB6">
            <v>1200</v>
          </cell>
          <cell r="AC6">
            <v>0</v>
          </cell>
          <cell r="AG6">
            <v>35</v>
          </cell>
          <cell r="AJ6" t="str">
            <v>-</v>
          </cell>
          <cell r="AL6">
            <v>2100</v>
          </cell>
          <cell r="AM6">
            <v>1750</v>
          </cell>
          <cell r="AN6" t="e">
            <v>#VALUE!</v>
          </cell>
          <cell r="AO6" t="e">
            <v>#VALUE!</v>
          </cell>
          <cell r="AP6">
            <v>350</v>
          </cell>
        </row>
        <row r="7">
          <cell r="A7">
            <v>60920700</v>
          </cell>
          <cell r="B7" t="str">
            <v>-</v>
          </cell>
          <cell r="C7">
            <v>60920700</v>
          </cell>
          <cell r="D7" t="str">
            <v>DMB GROENTENSOEP 900G</v>
          </cell>
          <cell r="E7" t="str">
            <v>DMB, SOEP</v>
          </cell>
          <cell r="F7" t="str">
            <v>290MM</v>
          </cell>
          <cell r="G7" t="str">
            <v>C2227-1H</v>
          </cell>
          <cell r="H7">
            <v>548</v>
          </cell>
          <cell r="I7">
            <v>0.9</v>
          </cell>
          <cell r="J7" t="str">
            <v>NVT</v>
          </cell>
          <cell r="K7" t="str">
            <v>DELIMEAL HORECA</v>
          </cell>
          <cell r="L7">
            <v>6</v>
          </cell>
          <cell r="M7" t="str">
            <v>DMC X 6</v>
          </cell>
          <cell r="N7">
            <v>110</v>
          </cell>
          <cell r="O7">
            <v>5410953092079</v>
          </cell>
          <cell r="P7" t="str">
            <v>2T</v>
          </cell>
          <cell r="Q7">
            <v>2</v>
          </cell>
          <cell r="R7">
            <v>3</v>
          </cell>
          <cell r="S7" t="str">
            <v>Folie perforeren</v>
          </cell>
          <cell r="T7">
            <v>1750</v>
          </cell>
          <cell r="U7">
            <v>2</v>
          </cell>
          <cell r="V7">
            <v>1750</v>
          </cell>
          <cell r="W7">
            <v>2</v>
          </cell>
          <cell r="X7">
            <v>0</v>
          </cell>
          <cell r="Y7">
            <v>0</v>
          </cell>
          <cell r="Z7">
            <v>0</v>
          </cell>
          <cell r="AA7" t="str">
            <v>! ! !</v>
          </cell>
          <cell r="AB7">
            <v>1200</v>
          </cell>
          <cell r="AC7">
            <v>0</v>
          </cell>
          <cell r="AG7">
            <v>35</v>
          </cell>
          <cell r="AJ7" t="str">
            <v>-</v>
          </cell>
          <cell r="AL7">
            <v>2100</v>
          </cell>
          <cell r="AM7">
            <v>1750</v>
          </cell>
          <cell r="AN7" t="e">
            <v>#VALUE!</v>
          </cell>
          <cell r="AO7" t="e">
            <v>#VALUE!</v>
          </cell>
          <cell r="AP7">
            <v>350</v>
          </cell>
        </row>
        <row r="8">
          <cell r="A8">
            <v>60920800</v>
          </cell>
          <cell r="B8" t="str">
            <v>-</v>
          </cell>
          <cell r="C8">
            <v>60920800</v>
          </cell>
          <cell r="D8" t="str">
            <v>DMB TOMATENVELOUTE 900G</v>
          </cell>
          <cell r="E8" t="str">
            <v>DMB, SOEP</v>
          </cell>
          <cell r="F8" t="str">
            <v>290MM</v>
          </cell>
          <cell r="G8" t="str">
            <v>C2227-1H</v>
          </cell>
          <cell r="H8">
            <v>548</v>
          </cell>
          <cell r="I8">
            <v>0.9</v>
          </cell>
          <cell r="J8" t="str">
            <v>NVT</v>
          </cell>
          <cell r="K8" t="str">
            <v>DELIMEAL HORECA</v>
          </cell>
          <cell r="L8">
            <v>6</v>
          </cell>
          <cell r="M8" t="str">
            <v>DMC X 6</v>
          </cell>
          <cell r="N8">
            <v>110</v>
          </cell>
          <cell r="O8">
            <v>5410953092086</v>
          </cell>
          <cell r="P8" t="str">
            <v>2T</v>
          </cell>
          <cell r="Q8">
            <v>2</v>
          </cell>
          <cell r="R8">
            <v>3</v>
          </cell>
          <cell r="S8" t="str">
            <v>Folie perforeren</v>
          </cell>
          <cell r="T8">
            <v>1750</v>
          </cell>
          <cell r="U8">
            <v>1</v>
          </cell>
          <cell r="V8">
            <v>1750</v>
          </cell>
          <cell r="W8">
            <v>1</v>
          </cell>
          <cell r="X8">
            <v>0</v>
          </cell>
          <cell r="Y8">
            <v>0</v>
          </cell>
          <cell r="Z8">
            <v>0</v>
          </cell>
          <cell r="AA8" t="str">
            <v>! !</v>
          </cell>
          <cell r="AB8">
            <v>1200</v>
          </cell>
          <cell r="AC8">
            <v>0</v>
          </cell>
          <cell r="AG8">
            <v>35</v>
          </cell>
          <cell r="AJ8" t="str">
            <v>-</v>
          </cell>
          <cell r="AL8">
            <v>2100</v>
          </cell>
          <cell r="AM8">
            <v>1750</v>
          </cell>
          <cell r="AN8" t="e">
            <v>#VALUE!</v>
          </cell>
          <cell r="AO8" t="e">
            <v>#VALUE!</v>
          </cell>
          <cell r="AP8">
            <v>350</v>
          </cell>
        </row>
        <row r="9">
          <cell r="A9">
            <v>60920900</v>
          </cell>
          <cell r="B9" t="str">
            <v>-</v>
          </cell>
          <cell r="C9">
            <v>60920900</v>
          </cell>
          <cell r="D9" t="str">
            <v>DMB POMPOENSOEP 900G</v>
          </cell>
          <cell r="E9" t="str">
            <v>DMB, SOEP</v>
          </cell>
          <cell r="F9" t="str">
            <v>290MM</v>
          </cell>
          <cell r="G9" t="str">
            <v>C2227-1H</v>
          </cell>
          <cell r="H9">
            <v>548</v>
          </cell>
          <cell r="I9">
            <v>0.9</v>
          </cell>
          <cell r="J9" t="str">
            <v>NVT</v>
          </cell>
          <cell r="K9" t="str">
            <v>DELIMEAL HORECA</v>
          </cell>
          <cell r="L9">
            <v>6</v>
          </cell>
          <cell r="M9" t="str">
            <v>DMC X 6</v>
          </cell>
          <cell r="N9">
            <v>110</v>
          </cell>
          <cell r="O9">
            <v>5410953092093</v>
          </cell>
          <cell r="P9" t="str">
            <v>2T</v>
          </cell>
          <cell r="Q9">
            <v>2</v>
          </cell>
          <cell r="R9">
            <v>3</v>
          </cell>
          <cell r="S9" t="str">
            <v>Folie perforeren</v>
          </cell>
          <cell r="T9">
            <v>1750</v>
          </cell>
          <cell r="U9">
            <v>1</v>
          </cell>
          <cell r="V9">
            <v>1750</v>
          </cell>
          <cell r="W9">
            <v>1</v>
          </cell>
          <cell r="X9">
            <v>0</v>
          </cell>
          <cell r="Y9">
            <v>0</v>
          </cell>
          <cell r="Z9">
            <v>0</v>
          </cell>
          <cell r="AA9" t="str">
            <v>! !</v>
          </cell>
          <cell r="AB9">
            <v>1200</v>
          </cell>
          <cell r="AC9">
            <v>0</v>
          </cell>
          <cell r="AG9">
            <v>35</v>
          </cell>
          <cell r="AJ9" t="str">
            <v>-</v>
          </cell>
          <cell r="AL9">
            <v>2100</v>
          </cell>
          <cell r="AM9">
            <v>1750</v>
          </cell>
          <cell r="AN9" t="e">
            <v>#VALUE!</v>
          </cell>
          <cell r="AO9" t="e">
            <v>#VALUE!</v>
          </cell>
          <cell r="AP9">
            <v>350</v>
          </cell>
        </row>
        <row r="10">
          <cell r="A10">
            <v>60921000</v>
          </cell>
          <cell r="B10" t="str">
            <v>-</v>
          </cell>
          <cell r="C10">
            <v>60921000</v>
          </cell>
          <cell r="D10" t="str">
            <v>DMB BROCCOLISOEP 900G</v>
          </cell>
          <cell r="E10" t="str">
            <v>DMB, SOEP</v>
          </cell>
          <cell r="F10" t="str">
            <v>290MM</v>
          </cell>
          <cell r="G10" t="str">
            <v>C2227-1H</v>
          </cell>
          <cell r="H10">
            <v>548</v>
          </cell>
          <cell r="I10">
            <v>0.9</v>
          </cell>
          <cell r="J10" t="str">
            <v>NVT</v>
          </cell>
          <cell r="K10" t="str">
            <v>DELIMEAL HORECA</v>
          </cell>
          <cell r="L10">
            <v>6</v>
          </cell>
          <cell r="M10" t="str">
            <v>DMC X 6</v>
          </cell>
          <cell r="N10">
            <v>110</v>
          </cell>
          <cell r="O10">
            <v>5410953092109</v>
          </cell>
          <cell r="P10" t="str">
            <v>2T</v>
          </cell>
          <cell r="Q10">
            <v>2</v>
          </cell>
          <cell r="R10">
            <v>3</v>
          </cell>
          <cell r="S10" t="str">
            <v>Folie perforeren</v>
          </cell>
          <cell r="T10">
            <v>1750</v>
          </cell>
          <cell r="U10">
            <v>1</v>
          </cell>
          <cell r="V10">
            <v>1750</v>
          </cell>
          <cell r="W10">
            <v>1</v>
          </cell>
          <cell r="X10">
            <v>0</v>
          </cell>
          <cell r="Y10">
            <v>0</v>
          </cell>
          <cell r="Z10">
            <v>0</v>
          </cell>
          <cell r="AA10" t="str">
            <v>! ! !</v>
          </cell>
          <cell r="AB10">
            <v>1200</v>
          </cell>
          <cell r="AC10">
            <v>0</v>
          </cell>
          <cell r="AG10">
            <v>35</v>
          </cell>
          <cell r="AJ10" t="str">
            <v>-</v>
          </cell>
          <cell r="AL10">
            <v>2100</v>
          </cell>
          <cell r="AM10">
            <v>1750</v>
          </cell>
          <cell r="AN10" t="e">
            <v>#VALUE!</v>
          </cell>
          <cell r="AO10" t="e">
            <v>#VALUE!</v>
          </cell>
          <cell r="AP10">
            <v>350</v>
          </cell>
        </row>
        <row r="11">
          <cell r="A11">
            <v>60921100</v>
          </cell>
          <cell r="C11">
            <v>60921100</v>
          </cell>
          <cell r="D11" t="str">
            <v>DMB CHAMPIGNONSOEP 900G</v>
          </cell>
          <cell r="E11" t="str">
            <v>DMB, SOEP</v>
          </cell>
          <cell r="F11" t="str">
            <v>290MM</v>
          </cell>
          <cell r="G11" t="str">
            <v>C2227-1H</v>
          </cell>
          <cell r="H11">
            <v>548</v>
          </cell>
          <cell r="I11">
            <v>0.9</v>
          </cell>
          <cell r="J11" t="str">
            <v>NVT</v>
          </cell>
          <cell r="K11" t="str">
            <v>DELIMEAL HORECA</v>
          </cell>
          <cell r="L11">
            <v>6</v>
          </cell>
          <cell r="M11" t="str">
            <v>DMC X 6</v>
          </cell>
          <cell r="N11">
            <v>110</v>
          </cell>
          <cell r="O11">
            <v>5410953092116</v>
          </cell>
          <cell r="P11" t="str">
            <v>2T</v>
          </cell>
          <cell r="Q11">
            <v>2</v>
          </cell>
          <cell r="R11">
            <v>3</v>
          </cell>
          <cell r="S11" t="str">
            <v>Folie perforeren</v>
          </cell>
          <cell r="T11">
            <v>1750</v>
          </cell>
          <cell r="U11">
            <v>1</v>
          </cell>
          <cell r="V11">
            <v>1750</v>
          </cell>
          <cell r="W11">
            <v>1</v>
          </cell>
          <cell r="X11">
            <v>0</v>
          </cell>
          <cell r="Y11">
            <v>0</v>
          </cell>
          <cell r="Z11">
            <v>0</v>
          </cell>
          <cell r="AA11" t="str">
            <v>! ! !</v>
          </cell>
          <cell r="AB11">
            <v>1200</v>
          </cell>
          <cell r="AC11">
            <v>0</v>
          </cell>
          <cell r="AG11">
            <v>35</v>
          </cell>
          <cell r="AJ11" t="str">
            <v>-</v>
          </cell>
          <cell r="AL11">
            <v>2100</v>
          </cell>
          <cell r="AM11">
            <v>1750</v>
          </cell>
          <cell r="AN11" t="e">
            <v>#VALUE!</v>
          </cell>
          <cell r="AO11" t="e">
            <v>#VALUE!</v>
          </cell>
          <cell r="AP11">
            <v>350</v>
          </cell>
        </row>
        <row r="12">
          <cell r="A12">
            <v>60921200</v>
          </cell>
          <cell r="C12">
            <v>60921200</v>
          </cell>
          <cell r="D12" t="str">
            <v>DMB WORTELSOEP 900G</v>
          </cell>
          <cell r="E12" t="str">
            <v>DMB, SOEP</v>
          </cell>
          <cell r="F12" t="str">
            <v>290MM</v>
          </cell>
          <cell r="G12" t="str">
            <v>C2227-1H</v>
          </cell>
          <cell r="H12">
            <v>548</v>
          </cell>
          <cell r="I12">
            <v>0.9</v>
          </cell>
          <cell r="J12" t="str">
            <v>NVT</v>
          </cell>
          <cell r="K12" t="str">
            <v>DELIMEAL HORECA</v>
          </cell>
          <cell r="L12">
            <v>6</v>
          </cell>
          <cell r="M12" t="str">
            <v>DMC X 6</v>
          </cell>
          <cell r="N12">
            <v>110</v>
          </cell>
          <cell r="O12">
            <v>5410953092123</v>
          </cell>
          <cell r="P12" t="str">
            <v>2T</v>
          </cell>
          <cell r="Q12">
            <v>1</v>
          </cell>
          <cell r="R12">
            <v>3</v>
          </cell>
          <cell r="S12" t="str">
            <v>Folie perforeren</v>
          </cell>
          <cell r="T12">
            <v>1750</v>
          </cell>
          <cell r="U12">
            <v>1</v>
          </cell>
          <cell r="V12">
            <v>1750</v>
          </cell>
          <cell r="W12">
            <v>1</v>
          </cell>
          <cell r="X12">
            <v>0</v>
          </cell>
          <cell r="Y12">
            <v>0</v>
          </cell>
          <cell r="Z12">
            <v>0</v>
          </cell>
          <cell r="AA12" t="str">
            <v>! ! !</v>
          </cell>
          <cell r="AB12">
            <v>1200</v>
          </cell>
          <cell r="AC12">
            <v>0</v>
          </cell>
          <cell r="AG12">
            <v>35</v>
          </cell>
          <cell r="AJ12" t="str">
            <v>-</v>
          </cell>
          <cell r="AL12">
            <v>2100</v>
          </cell>
          <cell r="AM12">
            <v>1750</v>
          </cell>
          <cell r="AN12" t="e">
            <v>#VALUE!</v>
          </cell>
          <cell r="AO12" t="e">
            <v>#VALUE!</v>
          </cell>
          <cell r="AP12">
            <v>350</v>
          </cell>
        </row>
        <row r="13">
          <cell r="A13">
            <v>60921300</v>
          </cell>
          <cell r="C13">
            <v>60921300</v>
          </cell>
          <cell r="D13" t="str">
            <v>DMB BLOEMKOOLSOEP 900G</v>
          </cell>
          <cell r="E13" t="str">
            <v>DMB, SOEP</v>
          </cell>
          <cell r="F13" t="str">
            <v>290MM</v>
          </cell>
          <cell r="G13" t="str">
            <v>C2227-1H</v>
          </cell>
          <cell r="H13">
            <v>548</v>
          </cell>
          <cell r="I13">
            <v>0.9</v>
          </cell>
          <cell r="J13" t="str">
            <v>NVT</v>
          </cell>
          <cell r="K13" t="str">
            <v>DELIMEAL HORECA</v>
          </cell>
          <cell r="L13">
            <v>6</v>
          </cell>
          <cell r="M13" t="str">
            <v>DMC X 6</v>
          </cell>
          <cell r="N13">
            <v>110</v>
          </cell>
          <cell r="O13">
            <v>5410953092130</v>
          </cell>
          <cell r="P13" t="str">
            <v>2T</v>
          </cell>
          <cell r="Q13">
            <v>1</v>
          </cell>
          <cell r="R13">
            <v>3</v>
          </cell>
          <cell r="S13" t="str">
            <v>Folie perforeren</v>
          </cell>
          <cell r="T13">
            <v>1750</v>
          </cell>
          <cell r="U13">
            <v>2</v>
          </cell>
          <cell r="V13">
            <v>1750</v>
          </cell>
          <cell r="W13">
            <v>2</v>
          </cell>
          <cell r="X13">
            <v>0</v>
          </cell>
          <cell r="Y13">
            <v>0</v>
          </cell>
          <cell r="Z13">
            <v>0</v>
          </cell>
          <cell r="AA13" t="str">
            <v>! ! !</v>
          </cell>
          <cell r="AB13">
            <v>1200</v>
          </cell>
          <cell r="AC13">
            <v>0</v>
          </cell>
          <cell r="AJ13" t="str">
            <v>-</v>
          </cell>
          <cell r="AL13">
            <v>0</v>
          </cell>
          <cell r="AM13">
            <v>1750</v>
          </cell>
          <cell r="AN13" t="e">
            <v>#VALUE!</v>
          </cell>
          <cell r="AO13" t="e">
            <v>#VALUE!</v>
          </cell>
          <cell r="AP13">
            <v>-1750</v>
          </cell>
        </row>
        <row r="14">
          <cell r="A14">
            <v>61642400</v>
          </cell>
          <cell r="B14">
            <v>40286400</v>
          </cell>
          <cell r="C14">
            <v>38605</v>
          </cell>
          <cell r="D14" t="str">
            <v>COLR KIP WITLOOFSAUS PUREE 500G</v>
          </cell>
          <cell r="E14" t="str">
            <v>Colruyt</v>
          </cell>
          <cell r="F14" t="str">
            <v>290MM</v>
          </cell>
          <cell r="G14" t="str">
            <v>C2227-2X</v>
          </cell>
          <cell r="H14">
            <v>456</v>
          </cell>
          <cell r="I14">
            <v>0.5</v>
          </cell>
          <cell r="J14" t="str">
            <v>H10</v>
          </cell>
          <cell r="K14" t="str">
            <v>NVT</v>
          </cell>
          <cell r="L14">
            <v>8</v>
          </cell>
          <cell r="M14" t="str">
            <v>H10X8</v>
          </cell>
          <cell r="N14">
            <v>81</v>
          </cell>
          <cell r="O14">
            <v>15400141850977</v>
          </cell>
          <cell r="P14" t="str">
            <v>I-H-T</v>
          </cell>
          <cell r="Q14">
            <v>2</v>
          </cell>
          <cell r="R14">
            <v>2</v>
          </cell>
          <cell r="T14">
            <v>2400</v>
          </cell>
          <cell r="U14">
            <v>2</v>
          </cell>
          <cell r="V14">
            <v>2400</v>
          </cell>
          <cell r="W14">
            <v>2</v>
          </cell>
          <cell r="X14" t="str">
            <v>X</v>
          </cell>
          <cell r="Y14">
            <v>0</v>
          </cell>
          <cell r="Z14">
            <v>0.1</v>
          </cell>
          <cell r="AA14" t="str">
            <v>! !</v>
          </cell>
          <cell r="AB14">
            <v>18384</v>
          </cell>
          <cell r="AC14">
            <v>0</v>
          </cell>
          <cell r="AE14" t="str">
            <v>x</v>
          </cell>
          <cell r="AG14">
            <v>45</v>
          </cell>
          <cell r="AJ14" t="str">
            <v>-</v>
          </cell>
          <cell r="AL14">
            <v>2700</v>
          </cell>
          <cell r="AM14">
            <v>2400</v>
          </cell>
          <cell r="AN14" t="e">
            <v>#VALUE!</v>
          </cell>
          <cell r="AO14" t="e">
            <v>#VALUE!</v>
          </cell>
          <cell r="AP14">
            <v>300</v>
          </cell>
        </row>
        <row r="15">
          <cell r="A15">
            <v>61642500</v>
          </cell>
          <cell r="B15">
            <v>40286500</v>
          </cell>
          <cell r="C15">
            <v>38606</v>
          </cell>
          <cell r="D15" t="str">
            <v>COLR BALLETJES TOMATENSAUS BOONTJES PUREE 500G</v>
          </cell>
          <cell r="E15" t="str">
            <v>Colruyt</v>
          </cell>
          <cell r="F15" t="str">
            <v>290MM</v>
          </cell>
          <cell r="G15" t="str">
            <v>C2227-2X</v>
          </cell>
          <cell r="H15">
            <v>456</v>
          </cell>
          <cell r="I15">
            <v>0.5</v>
          </cell>
          <cell r="J15" t="str">
            <v>H10</v>
          </cell>
          <cell r="K15" t="str">
            <v>NVT</v>
          </cell>
          <cell r="L15">
            <v>8</v>
          </cell>
          <cell r="M15" t="str">
            <v>H10X8</v>
          </cell>
          <cell r="N15">
            <v>81</v>
          </cell>
          <cell r="O15">
            <v>15400141850960</v>
          </cell>
          <cell r="P15" t="str">
            <v>I-H-T</v>
          </cell>
          <cell r="Q15">
            <v>3</v>
          </cell>
          <cell r="R15">
            <v>2</v>
          </cell>
          <cell r="T15">
            <v>2200</v>
          </cell>
          <cell r="U15">
            <v>5</v>
          </cell>
          <cell r="V15">
            <v>2200</v>
          </cell>
          <cell r="W15">
            <v>5</v>
          </cell>
          <cell r="X15" t="str">
            <v>X</v>
          </cell>
          <cell r="Y15">
            <v>0</v>
          </cell>
          <cell r="Z15">
            <v>0.1</v>
          </cell>
          <cell r="AA15" t="str">
            <v>! !</v>
          </cell>
          <cell r="AB15">
            <v>16852</v>
          </cell>
          <cell r="AC15">
            <v>0</v>
          </cell>
          <cell r="AE15" t="str">
            <v>x</v>
          </cell>
          <cell r="AG15">
            <v>45</v>
          </cell>
          <cell r="AJ15" t="str">
            <v>V-A</v>
          </cell>
          <cell r="AL15">
            <v>2700</v>
          </cell>
          <cell r="AM15">
            <v>2200</v>
          </cell>
          <cell r="AN15" t="e">
            <v>#VALUE!</v>
          </cell>
          <cell r="AO15" t="e">
            <v>#VALUE!</v>
          </cell>
          <cell r="AP15">
            <v>500</v>
          </cell>
        </row>
        <row r="16">
          <cell r="A16">
            <v>61642700</v>
          </cell>
          <cell r="B16">
            <v>40243600</v>
          </cell>
          <cell r="C16" t="str">
            <v>10789 </v>
          </cell>
          <cell r="D16" t="str">
            <v>COLR TAGLIATELLE CARBONARA GROENTEMIX 500G</v>
          </cell>
          <cell r="E16" t="str">
            <v>Colruyt</v>
          </cell>
          <cell r="F16" t="str">
            <v>290MM</v>
          </cell>
          <cell r="G16" t="str">
            <v>C2227-1E</v>
          </cell>
          <cell r="H16">
            <v>365</v>
          </cell>
          <cell r="I16">
            <v>0.5</v>
          </cell>
          <cell r="J16" t="str">
            <v>H10</v>
          </cell>
          <cell r="K16" t="str">
            <v>NVT</v>
          </cell>
          <cell r="L16">
            <v>8</v>
          </cell>
          <cell r="M16" t="str">
            <v>H10X8</v>
          </cell>
          <cell r="N16">
            <v>81</v>
          </cell>
          <cell r="O16">
            <v>15400141533986</v>
          </cell>
          <cell r="P16" t="str">
            <v>L-2T-K</v>
          </cell>
          <cell r="Q16">
            <v>3</v>
          </cell>
          <cell r="R16">
            <v>2</v>
          </cell>
          <cell r="T16">
            <v>2200</v>
          </cell>
          <cell r="U16">
            <v>5</v>
          </cell>
          <cell r="V16">
            <v>2200</v>
          </cell>
          <cell r="W16">
            <v>5</v>
          </cell>
          <cell r="X16">
            <v>0</v>
          </cell>
          <cell r="Y16">
            <v>0</v>
          </cell>
          <cell r="Z16">
            <v>0.1</v>
          </cell>
          <cell r="AA16" t="str">
            <v>! !</v>
          </cell>
          <cell r="AB16">
            <v>10000</v>
          </cell>
          <cell r="AC16">
            <v>0</v>
          </cell>
          <cell r="AG16">
            <v>45</v>
          </cell>
          <cell r="AJ16" t="str">
            <v>V-A</v>
          </cell>
          <cell r="AL16">
            <v>2700</v>
          </cell>
          <cell r="AM16">
            <v>2200</v>
          </cell>
          <cell r="AN16" t="e">
            <v>#VALUE!</v>
          </cell>
          <cell r="AO16" t="e">
            <v>#VALUE!</v>
          </cell>
          <cell r="AP16">
            <v>500</v>
          </cell>
        </row>
        <row r="17">
          <cell r="A17">
            <v>61642800</v>
          </cell>
          <cell r="B17">
            <v>40243700</v>
          </cell>
          <cell r="C17" t="str">
            <v>18784 </v>
          </cell>
          <cell r="D17" t="str">
            <v>COLR KIP CURRY BASMATI GROENE GROENTEN 500g</v>
          </cell>
          <cell r="E17" t="str">
            <v>Colruyt</v>
          </cell>
          <cell r="F17" t="str">
            <v>290MM</v>
          </cell>
          <cell r="G17" t="str">
            <v>C2227-2X</v>
          </cell>
          <cell r="H17">
            <v>456</v>
          </cell>
          <cell r="I17">
            <v>0.5</v>
          </cell>
          <cell r="J17" t="str">
            <v>H10</v>
          </cell>
          <cell r="K17" t="str">
            <v>NVT</v>
          </cell>
          <cell r="L17">
            <v>8</v>
          </cell>
          <cell r="M17" t="str">
            <v>H10X8</v>
          </cell>
          <cell r="N17">
            <v>81</v>
          </cell>
          <cell r="O17">
            <v>15400141535690</v>
          </cell>
          <cell r="P17" t="str">
            <v>I-L-T</v>
          </cell>
          <cell r="Q17">
            <v>3</v>
          </cell>
          <cell r="R17">
            <v>2</v>
          </cell>
          <cell r="T17">
            <v>2200</v>
          </cell>
          <cell r="U17">
            <v>6</v>
          </cell>
          <cell r="V17">
            <v>2200</v>
          </cell>
          <cell r="W17">
            <v>6</v>
          </cell>
          <cell r="X17">
            <v>0</v>
          </cell>
          <cell r="Y17">
            <v>0</v>
          </cell>
          <cell r="Z17">
            <v>0.1</v>
          </cell>
          <cell r="AA17" t="str">
            <v>! !</v>
          </cell>
          <cell r="AB17">
            <v>10000</v>
          </cell>
          <cell r="AC17">
            <v>0</v>
          </cell>
          <cell r="AG17">
            <v>45</v>
          </cell>
          <cell r="AJ17" t="str">
            <v>-</v>
          </cell>
          <cell r="AL17">
            <v>2700</v>
          </cell>
          <cell r="AM17">
            <v>2200</v>
          </cell>
          <cell r="AN17" t="e">
            <v>#VALUE!</v>
          </cell>
          <cell r="AO17" t="e">
            <v>#VALUE!</v>
          </cell>
          <cell r="AP17">
            <v>500</v>
          </cell>
        </row>
        <row r="18">
          <cell r="A18">
            <v>61642900</v>
          </cell>
          <cell r="B18">
            <v>40291500</v>
          </cell>
          <cell r="C18">
            <v>38606</v>
          </cell>
          <cell r="D18" t="str">
            <v>COLR BALLETJES TOMATENSAUS BOONTJES PUREE 500G V2</v>
          </cell>
          <cell r="E18" t="str">
            <v>Colruyt</v>
          </cell>
          <cell r="F18" t="str">
            <v>290MM</v>
          </cell>
          <cell r="G18" t="str">
            <v>C2227-2X</v>
          </cell>
          <cell r="H18">
            <v>456</v>
          </cell>
          <cell r="I18">
            <v>0.5</v>
          </cell>
          <cell r="J18" t="str">
            <v>H10</v>
          </cell>
          <cell r="K18" t="str">
            <v>NVT</v>
          </cell>
          <cell r="L18">
            <v>8</v>
          </cell>
          <cell r="M18" t="str">
            <v>H10X8</v>
          </cell>
          <cell r="N18">
            <v>81</v>
          </cell>
          <cell r="O18">
            <v>15400141720980</v>
          </cell>
          <cell r="AA18" t="str">
            <v>! ! !</v>
          </cell>
          <cell r="AB18">
            <v>10000</v>
          </cell>
          <cell r="AJ18" t="str">
            <v>V-A</v>
          </cell>
          <cell r="AL18">
            <v>0</v>
          </cell>
          <cell r="AM18">
            <v>0</v>
          </cell>
          <cell r="AN18" t="e">
            <v>#VALUE!</v>
          </cell>
          <cell r="AO18" t="str">
            <v/>
          </cell>
          <cell r="AP18">
            <v>0</v>
          </cell>
        </row>
        <row r="19">
          <cell r="A19">
            <v>61659300</v>
          </cell>
          <cell r="B19">
            <v>40287700</v>
          </cell>
          <cell r="C19">
            <v>5170</v>
          </cell>
          <cell r="D19" t="str">
            <v>ALDI BE RUNDSTONG BR MADEIRASAUS 750G</v>
          </cell>
          <cell r="E19" t="str">
            <v>Aldi BE</v>
          </cell>
          <cell r="F19" t="str">
            <v>290MM</v>
          </cell>
          <cell r="G19" t="str">
            <v>C2227-1E</v>
          </cell>
          <cell r="H19">
            <v>456</v>
          </cell>
          <cell r="I19">
            <v>0.75</v>
          </cell>
          <cell r="J19" t="str">
            <v>H10</v>
          </cell>
          <cell r="K19" t="str">
            <v>NVT</v>
          </cell>
          <cell r="L19">
            <v>18</v>
          </cell>
          <cell r="M19" t="str">
            <v>H10x18</v>
          </cell>
          <cell r="N19">
            <v>36</v>
          </cell>
          <cell r="O19">
            <v>4068261066971</v>
          </cell>
          <cell r="P19" t="str">
            <v>I-2T</v>
          </cell>
          <cell r="Q19">
            <v>2</v>
          </cell>
          <cell r="R19">
            <v>2</v>
          </cell>
          <cell r="S19" t="str">
            <v>om de 4u multipond reinigen+ontsmetten</v>
          </cell>
          <cell r="T19">
            <v>2000</v>
          </cell>
          <cell r="U19">
            <v>5</v>
          </cell>
          <cell r="V19">
            <v>2000</v>
          </cell>
          <cell r="W19">
            <v>5</v>
          </cell>
          <cell r="X19" t="str">
            <v>X</v>
          </cell>
          <cell r="Y19">
            <v>0</v>
          </cell>
          <cell r="Z19">
            <v>4.9399999999999999E-2</v>
          </cell>
          <cell r="AA19" t="str">
            <v>! ! !</v>
          </cell>
          <cell r="AB19">
            <v>15320</v>
          </cell>
          <cell r="AC19">
            <v>0</v>
          </cell>
          <cell r="AG19">
            <v>45</v>
          </cell>
          <cell r="AJ19" t="str">
            <v>V-A</v>
          </cell>
          <cell r="AL19">
            <v>2700</v>
          </cell>
          <cell r="AM19">
            <v>2000</v>
          </cell>
          <cell r="AN19" t="e">
            <v>#VALUE!</v>
          </cell>
          <cell r="AO19" t="e">
            <v>#VALUE!</v>
          </cell>
          <cell r="AP19">
            <v>700</v>
          </cell>
        </row>
        <row r="20">
          <cell r="A20">
            <v>61672000</v>
          </cell>
          <cell r="B20" t="str">
            <v>NVT</v>
          </cell>
          <cell r="C20" t="str">
            <v>(1)9374</v>
          </cell>
          <cell r="D20" t="str">
            <v>APETITO EW AVV BAMI GORENG KIPSATE 475G</v>
          </cell>
          <cell r="E20" t="str">
            <v>Apetito</v>
          </cell>
          <cell r="F20" t="str">
            <v>290MM</v>
          </cell>
          <cell r="G20" t="str">
            <v>C2227-2X WIT</v>
          </cell>
          <cell r="H20">
            <v>548</v>
          </cell>
          <cell r="I20">
            <v>0.47499999999999998</v>
          </cell>
          <cell r="J20" t="str">
            <v>NVT</v>
          </cell>
          <cell r="K20" t="str">
            <v>APETITO 100x150</v>
          </cell>
          <cell r="L20">
            <v>8</v>
          </cell>
          <cell r="M20" t="str">
            <v>C2227X8</v>
          </cell>
          <cell r="N20" t="str">
            <v>72</v>
          </cell>
          <cell r="O20">
            <v>4046755093740</v>
          </cell>
          <cell r="P20" t="str">
            <v>T-M-I</v>
          </cell>
          <cell r="Q20">
            <v>3</v>
          </cell>
          <cell r="R20">
            <v>3</v>
          </cell>
          <cell r="S20" t="str">
            <v>Folie perforeren - niet samen met 61672200</v>
          </cell>
          <cell r="T20">
            <v>2200</v>
          </cell>
          <cell r="U20">
            <v>5</v>
          </cell>
          <cell r="V20">
            <v>2200</v>
          </cell>
          <cell r="W20">
            <v>5</v>
          </cell>
          <cell r="Z20">
            <v>9.4E-2</v>
          </cell>
          <cell r="AA20" t="str">
            <v>X</v>
          </cell>
          <cell r="AB20">
            <v>16800</v>
          </cell>
          <cell r="AG20">
            <v>45</v>
          </cell>
          <cell r="AJ20" t="str">
            <v>V-A</v>
          </cell>
          <cell r="AL20">
            <v>2700</v>
          </cell>
          <cell r="AM20">
            <v>2200</v>
          </cell>
          <cell r="AN20" t="e">
            <v>#VALUE!</v>
          </cell>
          <cell r="AO20" t="e">
            <v>#VALUE!</v>
          </cell>
          <cell r="AP20">
            <v>500</v>
          </cell>
        </row>
        <row r="21">
          <cell r="A21">
            <v>61672100</v>
          </cell>
          <cell r="B21" t="str">
            <v>NVT</v>
          </cell>
          <cell r="C21" t="str">
            <v>(1)9375</v>
          </cell>
          <cell r="D21" t="str">
            <v>APETITO EW AVV NASI GORENG KIPSATE 475G</v>
          </cell>
          <cell r="E21" t="str">
            <v>Apetito</v>
          </cell>
          <cell r="F21" t="str">
            <v>290MM</v>
          </cell>
          <cell r="G21" t="str">
            <v>C2227-2X WIT</v>
          </cell>
          <cell r="H21">
            <v>548</v>
          </cell>
          <cell r="I21">
            <v>0.47499999999999998</v>
          </cell>
          <cell r="J21" t="str">
            <v>NVT</v>
          </cell>
          <cell r="K21" t="str">
            <v>APETITO 100x150</v>
          </cell>
          <cell r="L21">
            <v>8</v>
          </cell>
          <cell r="M21" t="str">
            <v>C2227X8</v>
          </cell>
          <cell r="N21" t="str">
            <v>72</v>
          </cell>
          <cell r="O21">
            <v>4046755093750</v>
          </cell>
          <cell r="P21" t="str">
            <v>T-M-I</v>
          </cell>
          <cell r="Q21">
            <v>3</v>
          </cell>
          <cell r="R21">
            <v>3</v>
          </cell>
          <cell r="S21" t="str">
            <v>Folie perforeren</v>
          </cell>
          <cell r="T21">
            <v>2200</v>
          </cell>
          <cell r="U21">
            <v>5</v>
          </cell>
          <cell r="V21">
            <v>2200</v>
          </cell>
          <cell r="W21">
            <v>5</v>
          </cell>
          <cell r="Z21">
            <v>9.4E-2</v>
          </cell>
          <cell r="AA21" t="str">
            <v>X</v>
          </cell>
          <cell r="AB21">
            <v>16800</v>
          </cell>
          <cell r="AG21">
            <v>45</v>
          </cell>
          <cell r="AJ21" t="str">
            <v>V-A</v>
          </cell>
          <cell r="AL21">
            <v>2700</v>
          </cell>
          <cell r="AM21">
            <v>2200</v>
          </cell>
          <cell r="AN21" t="e">
            <v>#VALUE!</v>
          </cell>
          <cell r="AO21" t="e">
            <v>#VALUE!</v>
          </cell>
          <cell r="AP21">
            <v>500</v>
          </cell>
        </row>
        <row r="22">
          <cell r="A22">
            <v>61672200</v>
          </cell>
          <cell r="B22" t="str">
            <v>NVT</v>
          </cell>
          <cell r="C22" t="str">
            <v>(1)9815</v>
          </cell>
          <cell r="D22" t="str">
            <v>APETITO EW AVV BAMI GORENG KIPSATE NA ARM 475G</v>
          </cell>
          <cell r="E22" t="str">
            <v>Apetito</v>
          </cell>
          <cell r="F22" t="str">
            <v>290MM</v>
          </cell>
          <cell r="G22" t="str">
            <v>C2227-2X WIT</v>
          </cell>
          <cell r="H22">
            <v>548</v>
          </cell>
          <cell r="I22">
            <v>0.47499999999999998</v>
          </cell>
          <cell r="J22" t="str">
            <v>NVT</v>
          </cell>
          <cell r="K22" t="str">
            <v>APETITO 100x150</v>
          </cell>
          <cell r="L22">
            <v>8</v>
          </cell>
          <cell r="M22" t="str">
            <v>C2227X8</v>
          </cell>
          <cell r="N22" t="str">
            <v>72</v>
          </cell>
          <cell r="O22">
            <v>4046755098150</v>
          </cell>
          <cell r="P22" t="str">
            <v>T-M-I</v>
          </cell>
          <cell r="Q22">
            <v>3</v>
          </cell>
          <cell r="R22">
            <v>3</v>
          </cell>
          <cell r="S22" t="str">
            <v>Folie perforeren - niet samen met 6167200</v>
          </cell>
          <cell r="T22">
            <v>2200</v>
          </cell>
          <cell r="U22">
            <v>5</v>
          </cell>
          <cell r="V22">
            <v>2200</v>
          </cell>
          <cell r="W22">
            <v>5</v>
          </cell>
          <cell r="Z22">
            <v>0.129</v>
          </cell>
          <cell r="AA22" t="str">
            <v>X</v>
          </cell>
          <cell r="AB22">
            <v>5000</v>
          </cell>
          <cell r="AG22">
            <v>45</v>
          </cell>
          <cell r="AJ22" t="str">
            <v>-</v>
          </cell>
          <cell r="AL22">
            <v>2700</v>
          </cell>
          <cell r="AM22">
            <v>2200</v>
          </cell>
          <cell r="AN22" t="e">
            <v>#VALUE!</v>
          </cell>
          <cell r="AO22" t="e">
            <v>#VALUE!</v>
          </cell>
          <cell r="AP22">
            <v>500</v>
          </cell>
        </row>
        <row r="23">
          <cell r="A23">
            <v>61672300</v>
          </cell>
          <cell r="B23" t="str">
            <v>NVT</v>
          </cell>
          <cell r="C23">
            <v>9306</v>
          </cell>
          <cell r="D23" t="str">
            <v>APETITO LASAGNE BOLOGNAISE 570G</v>
          </cell>
          <cell r="E23" t="str">
            <v>Apetito</v>
          </cell>
          <cell r="F23" t="str">
            <v>290MM</v>
          </cell>
          <cell r="G23" t="str">
            <v>C2227-1E</v>
          </cell>
          <cell r="H23">
            <v>365</v>
          </cell>
          <cell r="I23">
            <v>0.56999999999999995</v>
          </cell>
          <cell r="J23" t="str">
            <v>NVT</v>
          </cell>
          <cell r="K23" t="str">
            <v>APETITO 100x150</v>
          </cell>
          <cell r="L23">
            <v>8</v>
          </cell>
          <cell r="M23" t="str">
            <v>C2227X8</v>
          </cell>
          <cell r="N23" t="str">
            <v>72</v>
          </cell>
          <cell r="O23" t="str">
            <v>4046755093061 </v>
          </cell>
          <cell r="P23" t="str">
            <v>4T-K</v>
          </cell>
          <cell r="Q23">
            <v>2</v>
          </cell>
          <cell r="R23">
            <v>3</v>
          </cell>
          <cell r="T23">
            <v>2200</v>
          </cell>
          <cell r="U23">
            <v>4</v>
          </cell>
          <cell r="V23">
            <v>2200</v>
          </cell>
          <cell r="W23">
            <v>4</v>
          </cell>
          <cell r="Z23">
            <v>0.109</v>
          </cell>
          <cell r="AA23" t="str">
            <v>! ! !</v>
          </cell>
          <cell r="AB23">
            <v>8000</v>
          </cell>
          <cell r="AG23">
            <v>45</v>
          </cell>
          <cell r="AJ23" t="str">
            <v>V-A</v>
          </cell>
          <cell r="AL23">
            <v>2700</v>
          </cell>
          <cell r="AM23">
            <v>2200</v>
          </cell>
          <cell r="AN23" t="e">
            <v>#VALUE!</v>
          </cell>
          <cell r="AO23" t="e">
            <v>#VALUE!</v>
          </cell>
          <cell r="AP23">
            <v>500</v>
          </cell>
        </row>
        <row r="24">
          <cell r="A24">
            <v>61686000</v>
          </cell>
          <cell r="B24">
            <v>40230000</v>
          </cell>
          <cell r="C24">
            <v>1018338</v>
          </cell>
          <cell r="D24" t="str">
            <v>LIDL BE AARDAPPELGRATIN XXL 800G</v>
          </cell>
          <cell r="E24" t="str">
            <v>Lidl BE</v>
          </cell>
          <cell r="F24" t="str">
            <v>290MM</v>
          </cell>
          <cell r="G24" t="str">
            <v>C2227-1E</v>
          </cell>
          <cell r="H24">
            <v>548</v>
          </cell>
          <cell r="I24">
            <v>0.8</v>
          </cell>
          <cell r="J24" t="str">
            <v>H10</v>
          </cell>
          <cell r="K24" t="str">
            <v>NVT</v>
          </cell>
          <cell r="L24">
            <v>8</v>
          </cell>
          <cell r="M24" t="str">
            <v>H10X8</v>
          </cell>
          <cell r="N24">
            <v>81</v>
          </cell>
          <cell r="O24">
            <v>4053216398924</v>
          </cell>
          <cell r="P24" t="str">
            <v>K-I-2T</v>
          </cell>
          <cell r="Q24">
            <v>1</v>
          </cell>
          <cell r="R24">
            <v>2</v>
          </cell>
          <cell r="T24">
            <v>1750</v>
          </cell>
          <cell r="U24">
            <v>3</v>
          </cell>
          <cell r="V24">
            <v>1750</v>
          </cell>
          <cell r="W24">
            <v>3</v>
          </cell>
          <cell r="X24">
            <v>0</v>
          </cell>
          <cell r="Y24">
            <v>0</v>
          </cell>
          <cell r="Z24">
            <v>0.10199999999999999</v>
          </cell>
          <cell r="AA24" t="str">
            <v>! !</v>
          </cell>
          <cell r="AB24">
            <v>13405</v>
          </cell>
          <cell r="AC24">
            <v>0</v>
          </cell>
          <cell r="AG24">
            <v>35</v>
          </cell>
          <cell r="AJ24" t="str">
            <v>-</v>
          </cell>
          <cell r="AL24">
            <v>2100</v>
          </cell>
          <cell r="AM24">
            <v>1750</v>
          </cell>
          <cell r="AN24" t="e">
            <v>#VALUE!</v>
          </cell>
          <cell r="AO24" t="e">
            <v>#VALUE!</v>
          </cell>
          <cell r="AP24">
            <v>350</v>
          </cell>
        </row>
        <row r="25">
          <cell r="A25">
            <v>61690500</v>
          </cell>
          <cell r="B25">
            <v>40288900</v>
          </cell>
          <cell r="C25">
            <v>6902814</v>
          </cell>
          <cell r="D25" t="str">
            <v>BOF BE RUNDSTONG MADEIRASAUS MET PUREE 450G</v>
          </cell>
          <cell r="E25" t="str">
            <v>Bofrost BE</v>
          </cell>
          <cell r="F25" t="str">
            <v>290MM</v>
          </cell>
          <cell r="G25" t="str">
            <v>C2227-2X</v>
          </cell>
          <cell r="H25">
            <v>548</v>
          </cell>
          <cell r="I25">
            <v>0.45</v>
          </cell>
          <cell r="J25" t="str">
            <v>H10</v>
          </cell>
          <cell r="K25" t="str">
            <v>NVT</v>
          </cell>
          <cell r="L25">
            <v>8</v>
          </cell>
          <cell r="M25" t="str">
            <v>H10X8</v>
          </cell>
          <cell r="N25">
            <v>81</v>
          </cell>
          <cell r="O25" t="str">
            <v>5410953169054</v>
          </cell>
          <cell r="P25" t="str">
            <v>H-2T</v>
          </cell>
          <cell r="Q25">
            <v>2</v>
          </cell>
          <cell r="R25">
            <v>2</v>
          </cell>
          <cell r="S25" t="str">
            <v>Tong: 800kg/8u/pers; voor snijden aanhechtingsstuk tong wegsnijden, check met Stephan</v>
          </cell>
          <cell r="T25">
            <v>2200</v>
          </cell>
          <cell r="U25">
            <v>7</v>
          </cell>
          <cell r="V25">
            <v>2200</v>
          </cell>
          <cell r="W25">
            <v>7</v>
          </cell>
          <cell r="X25" t="str">
            <v>X</v>
          </cell>
          <cell r="Y25">
            <v>0</v>
          </cell>
          <cell r="Z25">
            <v>0</v>
          </cell>
          <cell r="AA25" t="str">
            <v>! ! !</v>
          </cell>
          <cell r="AB25">
            <v>8052</v>
          </cell>
          <cell r="AC25">
            <v>0</v>
          </cell>
          <cell r="AE25" t="str">
            <v>x</v>
          </cell>
          <cell r="AG25">
            <v>45</v>
          </cell>
          <cell r="AJ25" t="str">
            <v>V-A</v>
          </cell>
          <cell r="AL25">
            <v>2700</v>
          </cell>
          <cell r="AM25">
            <v>2200</v>
          </cell>
          <cell r="AN25" t="e">
            <v>#VALUE!</v>
          </cell>
          <cell r="AO25" t="e">
            <v>#VALUE!</v>
          </cell>
          <cell r="AP25">
            <v>500</v>
          </cell>
        </row>
        <row r="26">
          <cell r="A26">
            <v>61691400</v>
          </cell>
          <cell r="B26">
            <v>40215900</v>
          </cell>
          <cell r="C26">
            <v>9902192</v>
          </cell>
          <cell r="D26" t="str">
            <v xml:space="preserve">BOF BE HAMBURGER AJUINSAUS VIERGROENTENSTAMPPOT 500G </v>
          </cell>
          <cell r="E26" t="str">
            <v>Bofrost BE</v>
          </cell>
          <cell r="F26" t="str">
            <v>290MM</v>
          </cell>
          <cell r="G26" t="str">
            <v>C2227-2X</v>
          </cell>
          <cell r="H26">
            <v>365</v>
          </cell>
          <cell r="I26">
            <v>0.5</v>
          </cell>
          <cell r="J26" t="str">
            <v>H10</v>
          </cell>
          <cell r="K26" t="str">
            <v>NVT</v>
          </cell>
          <cell r="L26">
            <v>8</v>
          </cell>
          <cell r="M26" t="str">
            <v>H10X8</v>
          </cell>
          <cell r="N26" t="str">
            <v>81</v>
          </cell>
          <cell r="O26">
            <v>5410953169146</v>
          </cell>
          <cell r="P26" t="str">
            <v>H-T</v>
          </cell>
          <cell r="Q26">
            <v>2.5</v>
          </cell>
          <cell r="R26">
            <v>2</v>
          </cell>
          <cell r="T26">
            <v>2000</v>
          </cell>
          <cell r="U26">
            <v>3</v>
          </cell>
          <cell r="V26">
            <v>2000</v>
          </cell>
          <cell r="W26">
            <v>3</v>
          </cell>
          <cell r="X26" t="str">
            <v>X</v>
          </cell>
          <cell r="Y26">
            <v>0</v>
          </cell>
          <cell r="Z26">
            <v>0</v>
          </cell>
          <cell r="AA26" t="str">
            <v>! !</v>
          </cell>
          <cell r="AB26">
            <v>4400</v>
          </cell>
          <cell r="AC26">
            <v>2.5600000000000001E-2</v>
          </cell>
          <cell r="AJ26" t="str">
            <v>V-A</v>
          </cell>
          <cell r="AL26">
            <v>0</v>
          </cell>
          <cell r="AM26">
            <v>2000</v>
          </cell>
          <cell r="AN26" t="e">
            <v>#VALUE!</v>
          </cell>
          <cell r="AO26" t="e">
            <v>#VALUE!</v>
          </cell>
          <cell r="AP26">
            <v>-2000</v>
          </cell>
        </row>
        <row r="27">
          <cell r="A27">
            <v>61691500</v>
          </cell>
          <cell r="B27">
            <v>40216100</v>
          </cell>
          <cell r="C27">
            <v>6902124</v>
          </cell>
          <cell r="D27" t="str">
            <v>BOF BE HAMWITLOOFROLLETJE IN KAASSAUS 800G</v>
          </cell>
          <cell r="E27" t="str">
            <v>Bofrost BE</v>
          </cell>
          <cell r="F27" t="str">
            <v>290MM</v>
          </cell>
          <cell r="G27" t="str">
            <v>C2227-1E</v>
          </cell>
          <cell r="H27">
            <v>365</v>
          </cell>
          <cell r="I27">
            <v>0.8</v>
          </cell>
          <cell r="J27" t="str">
            <v>H10</v>
          </cell>
          <cell r="K27" t="str">
            <v>NVT</v>
          </cell>
          <cell r="L27">
            <v>8</v>
          </cell>
          <cell r="M27" t="str">
            <v>H10X8</v>
          </cell>
          <cell r="N27" t="str">
            <v>81</v>
          </cell>
          <cell r="O27">
            <v>5410953169153</v>
          </cell>
          <cell r="P27" t="str">
            <v>T-K</v>
          </cell>
          <cell r="Q27">
            <v>2</v>
          </cell>
          <cell r="R27">
            <v>2</v>
          </cell>
          <cell r="S27" t="str">
            <v>HAM snijden, 2000 sneetjes hesp/werkuur</v>
          </cell>
          <cell r="T27">
            <v>950</v>
          </cell>
          <cell r="U27">
            <v>12</v>
          </cell>
          <cell r="V27">
            <v>950</v>
          </cell>
          <cell r="W27">
            <v>12</v>
          </cell>
          <cell r="X27" t="str">
            <v>X</v>
          </cell>
          <cell r="Y27">
            <v>0</v>
          </cell>
          <cell r="Z27">
            <v>0</v>
          </cell>
          <cell r="AA27" t="str">
            <v>! !</v>
          </cell>
          <cell r="AB27">
            <v>3477</v>
          </cell>
          <cell r="AC27">
            <v>0.32072727272727275</v>
          </cell>
          <cell r="AJ27" t="str">
            <v>V-A</v>
          </cell>
          <cell r="AL27">
            <v>0</v>
          </cell>
          <cell r="AM27">
            <v>950</v>
          </cell>
          <cell r="AN27" t="e">
            <v>#VALUE!</v>
          </cell>
          <cell r="AO27" t="e">
            <v>#VALUE!</v>
          </cell>
          <cell r="AP27">
            <v>-950</v>
          </cell>
        </row>
        <row r="28">
          <cell r="A28">
            <v>61691800</v>
          </cell>
          <cell r="B28">
            <v>40204900</v>
          </cell>
          <cell r="C28">
            <v>6902848</v>
          </cell>
          <cell r="D28" t="str">
            <v>BOF BE KALKOEN WITBIERSAUS WORT BROCCOLI GRATIN 480G</v>
          </cell>
          <cell r="E28" t="str">
            <v>Bofrost BE</v>
          </cell>
          <cell r="F28" t="str">
            <v>290MM</v>
          </cell>
          <cell r="G28" t="str">
            <v>C2227-3C</v>
          </cell>
          <cell r="H28">
            <v>548</v>
          </cell>
          <cell r="I28">
            <v>0.48</v>
          </cell>
          <cell r="J28" t="str">
            <v>H10</v>
          </cell>
          <cell r="K28" t="str">
            <v>NVT</v>
          </cell>
          <cell r="L28">
            <v>8</v>
          </cell>
          <cell r="M28" t="str">
            <v>H10X8</v>
          </cell>
          <cell r="N28" t="str">
            <v>81</v>
          </cell>
          <cell r="O28">
            <v>5410953169184</v>
          </cell>
          <cell r="P28" t="str">
            <v>2T</v>
          </cell>
          <cell r="Q28">
            <v>3</v>
          </cell>
          <cell r="R28">
            <v>2</v>
          </cell>
          <cell r="S28" t="str">
            <v>D-1 marineren, D-0 snijden (5mm)</v>
          </cell>
          <cell r="T28">
            <v>1500</v>
          </cell>
          <cell r="U28">
            <v>10</v>
          </cell>
          <cell r="V28">
            <v>1500</v>
          </cell>
          <cell r="W28">
            <v>10</v>
          </cell>
          <cell r="X28" t="str">
            <v>X</v>
          </cell>
          <cell r="Y28">
            <v>0</v>
          </cell>
          <cell r="Z28">
            <v>0</v>
          </cell>
          <cell r="AA28" t="str">
            <v>! !</v>
          </cell>
          <cell r="AB28">
            <v>5490</v>
          </cell>
          <cell r="AC28">
            <v>4.8000000000000001E-2</v>
          </cell>
          <cell r="AG28">
            <v>30</v>
          </cell>
          <cell r="AJ28" t="str">
            <v>V-A</v>
          </cell>
          <cell r="AL28">
            <v>1800</v>
          </cell>
          <cell r="AM28">
            <v>1500</v>
          </cell>
          <cell r="AN28" t="e">
            <v>#VALUE!</v>
          </cell>
          <cell r="AO28" t="e">
            <v>#VALUE!</v>
          </cell>
          <cell r="AP28">
            <v>300</v>
          </cell>
        </row>
        <row r="29">
          <cell r="A29">
            <v>61693700</v>
          </cell>
          <cell r="B29">
            <v>40240100</v>
          </cell>
          <cell r="C29">
            <v>9912419</v>
          </cell>
          <cell r="D29" t="str">
            <v>BOF BE HAM WITLOOFROLLETJES PUREE 500G</v>
          </cell>
          <cell r="E29" t="str">
            <v>Bofrost BE</v>
          </cell>
          <cell r="F29" t="str">
            <v>290MM</v>
          </cell>
          <cell r="G29" t="str">
            <v>C2227-2X</v>
          </cell>
          <cell r="H29">
            <v>365</v>
          </cell>
          <cell r="I29">
            <v>0.5</v>
          </cell>
          <cell r="J29" t="str">
            <v>H10</v>
          </cell>
          <cell r="K29" t="str">
            <v>NVT</v>
          </cell>
          <cell r="L29">
            <v>8</v>
          </cell>
          <cell r="M29" t="str">
            <v>H10X8</v>
          </cell>
          <cell r="N29">
            <v>81</v>
          </cell>
          <cell r="O29">
            <v>5400870169374</v>
          </cell>
          <cell r="P29" t="str">
            <v>H-T</v>
          </cell>
          <cell r="Q29">
            <v>2</v>
          </cell>
          <cell r="R29">
            <v>2</v>
          </cell>
          <cell r="S29" t="str">
            <v>HAM snijden</v>
          </cell>
          <cell r="T29">
            <v>1500</v>
          </cell>
          <cell r="U29">
            <v>11</v>
          </cell>
          <cell r="V29">
            <v>1500</v>
          </cell>
          <cell r="W29">
            <v>11</v>
          </cell>
          <cell r="X29" t="str">
            <v>X</v>
          </cell>
          <cell r="Y29">
            <v>0</v>
          </cell>
          <cell r="Z29">
            <v>0</v>
          </cell>
          <cell r="AA29" t="str">
            <v>! !</v>
          </cell>
          <cell r="AB29">
            <v>5490</v>
          </cell>
          <cell r="AC29">
            <v>0.16036363636363637</v>
          </cell>
          <cell r="AJ29" t="str">
            <v>V-A</v>
          </cell>
          <cell r="AL29">
            <v>0</v>
          </cell>
          <cell r="AM29">
            <v>1500</v>
          </cell>
          <cell r="AN29" t="e">
            <v>#VALUE!</v>
          </cell>
          <cell r="AO29" t="e">
            <v>#VALUE!</v>
          </cell>
          <cell r="AP29">
            <v>-1500</v>
          </cell>
        </row>
        <row r="30">
          <cell r="A30">
            <v>61693800</v>
          </cell>
          <cell r="B30">
            <v>40245100</v>
          </cell>
          <cell r="C30">
            <v>6912016</v>
          </cell>
          <cell r="D30" t="str">
            <v>BOF BE ZALM ASC BEARNAISE BONEN SJALOTTENPUREE 450G</v>
          </cell>
          <cell r="E30" t="str">
            <v>Bofrost BE</v>
          </cell>
          <cell r="F30" t="str">
            <v>290MM</v>
          </cell>
          <cell r="G30" t="str">
            <v>C2227-3C</v>
          </cell>
          <cell r="H30">
            <v>456</v>
          </cell>
          <cell r="I30">
            <v>0.45</v>
          </cell>
          <cell r="J30" t="str">
            <v>H10</v>
          </cell>
          <cell r="K30" t="str">
            <v>NVT</v>
          </cell>
          <cell r="L30">
            <v>8</v>
          </cell>
          <cell r="M30" t="str">
            <v>H10X8</v>
          </cell>
          <cell r="N30" t="str">
            <v>81</v>
          </cell>
          <cell r="O30">
            <v>5400870169381</v>
          </cell>
          <cell r="P30" t="str">
            <v>H-T</v>
          </cell>
          <cell r="Q30">
            <v>3</v>
          </cell>
          <cell r="R30">
            <v>2</v>
          </cell>
          <cell r="S30" t="str">
            <v>ZALM verzagen (100g)</v>
          </cell>
          <cell r="T30">
            <v>2000</v>
          </cell>
          <cell r="U30">
            <v>5</v>
          </cell>
          <cell r="V30">
            <v>2000</v>
          </cell>
          <cell r="W30">
            <v>5</v>
          </cell>
          <cell r="X30">
            <v>0</v>
          </cell>
          <cell r="Y30">
            <v>0</v>
          </cell>
          <cell r="Z30">
            <v>0</v>
          </cell>
          <cell r="AA30" t="str">
            <v>! ! ! !</v>
          </cell>
          <cell r="AB30">
            <v>5000</v>
          </cell>
          <cell r="AC30">
            <v>0</v>
          </cell>
          <cell r="AJ30" t="str">
            <v>V-A</v>
          </cell>
          <cell r="AL30">
            <v>0</v>
          </cell>
          <cell r="AM30">
            <v>2000</v>
          </cell>
          <cell r="AN30" t="e">
            <v>#VALUE!</v>
          </cell>
          <cell r="AO30" t="e">
            <v>#VALUE!</v>
          </cell>
          <cell r="AP30">
            <v>-2000</v>
          </cell>
        </row>
        <row r="31">
          <cell r="A31">
            <v>61694000</v>
          </cell>
          <cell r="B31">
            <v>40276800</v>
          </cell>
          <cell r="C31">
            <v>9912265</v>
          </cell>
          <cell r="D31" t="str">
            <v>BOF BE RUNDSTOOFPOTJE WORTELSTAMPPOT 500G</v>
          </cell>
          <cell r="E31" t="str">
            <v>Bofrost BE</v>
          </cell>
          <cell r="F31" t="str">
            <v>290MM</v>
          </cell>
          <cell r="G31" t="str">
            <v>C2227-2X</v>
          </cell>
          <cell r="H31">
            <v>548</v>
          </cell>
          <cell r="I31">
            <v>0.5</v>
          </cell>
          <cell r="J31" t="str">
            <v>H10</v>
          </cell>
          <cell r="K31" t="str">
            <v>NVT</v>
          </cell>
          <cell r="L31">
            <v>8</v>
          </cell>
          <cell r="M31" t="str">
            <v>H10X8</v>
          </cell>
          <cell r="N31" t="str">
            <v>81</v>
          </cell>
          <cell r="O31">
            <v>5400870169404</v>
          </cell>
          <cell r="P31" t="str">
            <v>I-T-H</v>
          </cell>
          <cell r="Q31">
            <v>3</v>
          </cell>
          <cell r="R31">
            <v>2</v>
          </cell>
          <cell r="S31" t="str">
            <v>Pulled Beef tussen D-4 en D-2</v>
          </cell>
          <cell r="T31">
            <v>2200</v>
          </cell>
          <cell r="U31">
            <v>3</v>
          </cell>
          <cell r="V31">
            <v>2200</v>
          </cell>
          <cell r="W31">
            <v>3</v>
          </cell>
          <cell r="X31">
            <v>2200</v>
          </cell>
          <cell r="Z31">
            <v>0</v>
          </cell>
          <cell r="AA31" t="str">
            <v>! !</v>
          </cell>
          <cell r="AB31">
            <v>4000</v>
          </cell>
          <cell r="AC31">
            <v>0</v>
          </cell>
          <cell r="AG31">
            <v>45</v>
          </cell>
          <cell r="AJ31" t="str">
            <v>-</v>
          </cell>
          <cell r="AL31">
            <v>2700</v>
          </cell>
          <cell r="AM31">
            <v>2200</v>
          </cell>
          <cell r="AN31" t="e">
            <v>#VALUE!</v>
          </cell>
          <cell r="AO31" t="e">
            <v>#VALUE!</v>
          </cell>
          <cell r="AP31">
            <v>500</v>
          </cell>
        </row>
        <row r="32">
          <cell r="A32">
            <v>61694200</v>
          </cell>
          <cell r="B32">
            <v>40280100</v>
          </cell>
          <cell r="C32" t="str">
            <v> 9912279</v>
          </cell>
          <cell r="D32" t="str">
            <v>BOF BE KROKANTE VIS MSC ROOMSPINAZIE PUREE 450G</v>
          </cell>
          <cell r="E32" t="str">
            <v>Bofrost BE</v>
          </cell>
          <cell r="F32" t="str">
            <v>290MM</v>
          </cell>
          <cell r="G32" t="str">
            <v>C2227-3C</v>
          </cell>
          <cell r="H32">
            <v>456</v>
          </cell>
          <cell r="I32">
            <v>0.45</v>
          </cell>
          <cell r="J32" t="str">
            <v>H10</v>
          </cell>
          <cell r="K32" t="str">
            <v>NVT</v>
          </cell>
          <cell r="L32">
            <v>8</v>
          </cell>
          <cell r="M32" t="str">
            <v>H10X8</v>
          </cell>
          <cell r="N32" t="str">
            <v>81</v>
          </cell>
          <cell r="O32">
            <v>5400870169428</v>
          </cell>
          <cell r="P32" t="str">
            <v>T-H</v>
          </cell>
          <cell r="Q32">
            <v>2</v>
          </cell>
          <cell r="R32">
            <v>2</v>
          </cell>
          <cell r="S32" t="str">
            <v>Opvolgen spinazie (nav klacht)</v>
          </cell>
          <cell r="T32">
            <v>2200</v>
          </cell>
          <cell r="U32">
            <v>2</v>
          </cell>
          <cell r="V32">
            <v>2200</v>
          </cell>
          <cell r="W32">
            <v>2</v>
          </cell>
          <cell r="X32">
            <v>0</v>
          </cell>
          <cell r="Y32">
            <v>0</v>
          </cell>
          <cell r="Z32">
            <v>0</v>
          </cell>
          <cell r="AA32" t="str">
            <v>! ! ! !</v>
          </cell>
          <cell r="AB32">
            <v>3500</v>
          </cell>
          <cell r="AC32">
            <v>0</v>
          </cell>
          <cell r="AG32">
            <v>45</v>
          </cell>
          <cell r="AJ32" t="str">
            <v>-</v>
          </cell>
          <cell r="AL32">
            <v>2700</v>
          </cell>
          <cell r="AM32">
            <v>2200</v>
          </cell>
          <cell r="AN32" t="e">
            <v>#VALUE!</v>
          </cell>
          <cell r="AO32" t="e">
            <v>#VALUE!</v>
          </cell>
          <cell r="AP32">
            <v>500</v>
          </cell>
        </row>
        <row r="33">
          <cell r="A33">
            <v>61694300</v>
          </cell>
          <cell r="B33">
            <v>40285900</v>
          </cell>
          <cell r="C33">
            <v>9912404</v>
          </cell>
          <cell r="D33" t="str">
            <v>BOF BE KIPHAASJE ARCHIDUC WORTEL ERWT AARDAP 460G</v>
          </cell>
          <cell r="E33" t="str">
            <v>Bofrost BE</v>
          </cell>
          <cell r="F33" t="str">
            <v>290MM</v>
          </cell>
          <cell r="G33" t="str">
            <v>C2227-3C</v>
          </cell>
          <cell r="H33">
            <v>548</v>
          </cell>
          <cell r="I33">
            <v>0.46</v>
          </cell>
          <cell r="J33" t="str">
            <v>H10</v>
          </cell>
          <cell r="K33" t="str">
            <v>NVT</v>
          </cell>
          <cell r="L33">
            <v>8</v>
          </cell>
          <cell r="M33" t="str">
            <v>H10X8</v>
          </cell>
          <cell r="N33" t="str">
            <v>81</v>
          </cell>
          <cell r="O33">
            <v>5400870169435</v>
          </cell>
          <cell r="P33" t="str">
            <v>I-T</v>
          </cell>
          <cell r="Q33">
            <v>2</v>
          </cell>
          <cell r="R33">
            <v>2</v>
          </cell>
          <cell r="T33">
            <v>2200</v>
          </cell>
          <cell r="U33">
            <v>6</v>
          </cell>
          <cell r="V33">
            <v>2200</v>
          </cell>
          <cell r="W33">
            <v>6</v>
          </cell>
          <cell r="Z33">
            <v>0</v>
          </cell>
          <cell r="AA33" t="str">
            <v>! !</v>
          </cell>
          <cell r="AC33">
            <v>0</v>
          </cell>
          <cell r="AG33">
            <v>45</v>
          </cell>
          <cell r="AJ33" t="str">
            <v>V-A</v>
          </cell>
          <cell r="AK33" t="str">
            <v>-</v>
          </cell>
          <cell r="AL33">
            <v>2700</v>
          </cell>
          <cell r="AM33">
            <v>2200</v>
          </cell>
          <cell r="AN33" t="e">
            <v>#VALUE!</v>
          </cell>
          <cell r="AO33" t="e">
            <v>#VALUE!</v>
          </cell>
          <cell r="AP33">
            <v>500</v>
          </cell>
        </row>
        <row r="34">
          <cell r="A34">
            <v>61694400</v>
          </cell>
          <cell r="B34">
            <v>40286300</v>
          </cell>
          <cell r="D34" t="str">
            <v>BOF BE BOERENWORST MOSTERDSAUS WORT COUR AARD 420G</v>
          </cell>
          <cell r="E34" t="str">
            <v>Bofrost BE</v>
          </cell>
          <cell r="F34" t="str">
            <v>290MM</v>
          </cell>
          <cell r="G34" t="str">
            <v>C2227-3C</v>
          </cell>
          <cell r="H34">
            <v>456</v>
          </cell>
          <cell r="I34">
            <v>0.42</v>
          </cell>
          <cell r="J34" t="str">
            <v>H10</v>
          </cell>
          <cell r="K34" t="str">
            <v>NVT</v>
          </cell>
          <cell r="L34">
            <v>8</v>
          </cell>
          <cell r="M34" t="str">
            <v>H10X8</v>
          </cell>
          <cell r="N34" t="str">
            <v>81</v>
          </cell>
          <cell r="O34">
            <v>5400870169442</v>
          </cell>
          <cell r="Z34">
            <v>0</v>
          </cell>
          <cell r="AK34" t="str">
            <v>-</v>
          </cell>
          <cell r="AL34">
            <v>0</v>
          </cell>
          <cell r="AM34">
            <v>0</v>
          </cell>
          <cell r="AN34" t="e">
            <v>#VALUE!</v>
          </cell>
          <cell r="AO34" t="str">
            <v/>
          </cell>
          <cell r="AP34">
            <v>0</v>
          </cell>
        </row>
        <row r="35">
          <cell r="A35">
            <v>61694500</v>
          </cell>
          <cell r="B35">
            <v>40286600</v>
          </cell>
          <cell r="C35">
            <v>9902839</v>
          </cell>
          <cell r="D35" t="str">
            <v>BOF BE KALKOENHAASJE FINE CHAMPAGNE 450G</v>
          </cell>
          <cell r="E35" t="str">
            <v>Bofrost BE</v>
          </cell>
          <cell r="F35" t="str">
            <v>290MM</v>
          </cell>
          <cell r="G35" t="str">
            <v>C2227-1E</v>
          </cell>
          <cell r="H35">
            <v>548</v>
          </cell>
          <cell r="I35">
            <v>0.45</v>
          </cell>
          <cell r="J35" t="str">
            <v>H10</v>
          </cell>
          <cell r="K35" t="str">
            <v>NVT</v>
          </cell>
          <cell r="L35">
            <v>8</v>
          </cell>
          <cell r="M35" t="str">
            <v>H10X8</v>
          </cell>
          <cell r="N35" t="str">
            <v>81</v>
          </cell>
          <cell r="O35">
            <v>5400870169459</v>
          </cell>
          <cell r="P35" t="str">
            <v>2T</v>
          </cell>
          <cell r="Q35">
            <v>1</v>
          </cell>
          <cell r="R35">
            <v>2</v>
          </cell>
          <cell r="S35" t="str">
            <v>KALKOENHAASJE SNIJDEN (1cm)</v>
          </cell>
          <cell r="T35">
            <v>2200</v>
          </cell>
          <cell r="U35">
            <v>10</v>
          </cell>
          <cell r="V35">
            <v>2200</v>
          </cell>
          <cell r="W35">
            <v>10</v>
          </cell>
          <cell r="X35" t="str">
            <v>X</v>
          </cell>
          <cell r="Y35" t="str">
            <v>X</v>
          </cell>
          <cell r="Z35">
            <v>0</v>
          </cell>
          <cell r="AA35" t="str">
            <v>! !</v>
          </cell>
          <cell r="AC35">
            <v>0.13800000000000001</v>
          </cell>
          <cell r="AG35">
            <v>45</v>
          </cell>
          <cell r="AJ35" t="str">
            <v>V-A</v>
          </cell>
          <cell r="AK35" t="str">
            <v>- </v>
          </cell>
          <cell r="AL35">
            <v>2700</v>
          </cell>
          <cell r="AM35">
            <v>2200</v>
          </cell>
          <cell r="AN35" t="e">
            <v>#VALUE!</v>
          </cell>
          <cell r="AO35" t="e">
            <v>#VALUE!</v>
          </cell>
          <cell r="AP35">
            <v>500</v>
          </cell>
        </row>
        <row r="36">
          <cell r="A36">
            <v>61694600</v>
          </cell>
          <cell r="B36">
            <v>40286700</v>
          </cell>
          <cell r="C36">
            <v>6902469</v>
          </cell>
          <cell r="D36" t="str">
            <v>BOF BE VA GEBRAAD BOONTJES PUREE 450G</v>
          </cell>
          <cell r="E36" t="str">
            <v>Bofrost BE</v>
          </cell>
          <cell r="F36" t="str">
            <v>290MM</v>
          </cell>
          <cell r="G36" t="str">
            <v>C2227-2X</v>
          </cell>
          <cell r="H36">
            <v>456</v>
          </cell>
          <cell r="I36">
            <v>0.45</v>
          </cell>
          <cell r="J36" t="str">
            <v>H10</v>
          </cell>
          <cell r="K36" t="str">
            <v>NVT</v>
          </cell>
          <cell r="L36">
            <v>8</v>
          </cell>
          <cell r="M36" t="str">
            <v>H10X8</v>
          </cell>
          <cell r="N36" t="str">
            <v>81</v>
          </cell>
          <cell r="O36">
            <v>5400870169466</v>
          </cell>
          <cell r="P36" t="str">
            <v>T-H</v>
          </cell>
          <cell r="Q36">
            <v>3</v>
          </cell>
          <cell r="R36">
            <v>2</v>
          </cell>
          <cell r="S36" t="str">
            <v>VA GEBRAAD snijden (1cm)</v>
          </cell>
          <cell r="T36">
            <v>2000</v>
          </cell>
          <cell r="U36">
            <v>9</v>
          </cell>
          <cell r="V36">
            <v>2000</v>
          </cell>
          <cell r="W36">
            <v>9</v>
          </cell>
          <cell r="X36">
            <v>0</v>
          </cell>
          <cell r="Y36">
            <v>0</v>
          </cell>
          <cell r="Z36">
            <v>0</v>
          </cell>
          <cell r="AA36" t="str">
            <v>! ! !</v>
          </cell>
          <cell r="AB36">
            <v>5000</v>
          </cell>
          <cell r="AC36">
            <v>9.6153846153846159E-2</v>
          </cell>
          <cell r="AJ36" t="str">
            <v>V-A</v>
          </cell>
          <cell r="AK36" t="str">
            <v>- </v>
          </cell>
          <cell r="AL36">
            <v>0</v>
          </cell>
          <cell r="AM36">
            <v>2000</v>
          </cell>
          <cell r="AN36" t="e">
            <v>#VALUE!</v>
          </cell>
          <cell r="AO36" t="e">
            <v>#VALUE!</v>
          </cell>
          <cell r="AP36">
            <v>-2000</v>
          </cell>
        </row>
        <row r="37">
          <cell r="A37">
            <v>61694700</v>
          </cell>
          <cell r="B37">
            <v>40286800</v>
          </cell>
          <cell r="C37">
            <v>9902133</v>
          </cell>
          <cell r="D37" t="str">
            <v>BOF BE KIP KERRIESAUS RIJST 450G</v>
          </cell>
          <cell r="E37" t="str">
            <v>Bofrost BE</v>
          </cell>
          <cell r="F37" t="str">
            <v>290MM</v>
          </cell>
          <cell r="G37" t="str">
            <v>C2227-2X</v>
          </cell>
          <cell r="H37">
            <v>548</v>
          </cell>
          <cell r="I37">
            <v>0.45</v>
          </cell>
          <cell r="J37" t="str">
            <v>H10</v>
          </cell>
          <cell r="K37" t="str">
            <v>NVT</v>
          </cell>
          <cell r="L37">
            <v>8</v>
          </cell>
          <cell r="M37" t="str">
            <v>H10X8</v>
          </cell>
          <cell r="N37" t="str">
            <v>81</v>
          </cell>
          <cell r="O37">
            <v>5400870169473</v>
          </cell>
          <cell r="P37" t="str">
            <v>I-T</v>
          </cell>
          <cell r="Q37">
            <v>2</v>
          </cell>
          <cell r="R37">
            <v>2</v>
          </cell>
          <cell r="T37">
            <v>2200</v>
          </cell>
          <cell r="U37">
            <v>5</v>
          </cell>
          <cell r="V37">
            <v>2200</v>
          </cell>
          <cell r="W37">
            <v>5</v>
          </cell>
          <cell r="X37">
            <v>0</v>
          </cell>
          <cell r="Y37">
            <v>0</v>
          </cell>
          <cell r="Z37">
            <v>0</v>
          </cell>
          <cell r="AA37" t="str">
            <v>! ! !</v>
          </cell>
          <cell r="AC37">
            <v>0</v>
          </cell>
          <cell r="AG37">
            <v>45</v>
          </cell>
          <cell r="AJ37" t="str">
            <v>-</v>
          </cell>
          <cell r="AK37" t="str">
            <v>- </v>
          </cell>
          <cell r="AL37">
            <v>2700</v>
          </cell>
          <cell r="AM37">
            <v>2200</v>
          </cell>
          <cell r="AN37" t="e">
            <v>#VALUE!</v>
          </cell>
          <cell r="AO37" t="e">
            <v>#VALUE!</v>
          </cell>
          <cell r="AP37">
            <v>500</v>
          </cell>
        </row>
        <row r="38">
          <cell r="A38">
            <v>61694800</v>
          </cell>
          <cell r="B38">
            <v>40286900</v>
          </cell>
          <cell r="C38">
            <v>9912015</v>
          </cell>
          <cell r="D38" t="str">
            <v>BOF BE BALLETJES TOMATENSAUS PUREE 450G</v>
          </cell>
          <cell r="E38" t="str">
            <v>Bofrost BE</v>
          </cell>
          <cell r="F38" t="str">
            <v>290MM</v>
          </cell>
          <cell r="G38" t="str">
            <v>C2227-2X</v>
          </cell>
          <cell r="H38">
            <v>456</v>
          </cell>
          <cell r="I38">
            <v>0.45</v>
          </cell>
          <cell r="J38" t="str">
            <v>H10</v>
          </cell>
          <cell r="K38" t="str">
            <v>NVT</v>
          </cell>
          <cell r="L38">
            <v>8</v>
          </cell>
          <cell r="M38" t="str">
            <v>H10X8</v>
          </cell>
          <cell r="N38" t="str">
            <v>81</v>
          </cell>
          <cell r="O38">
            <v>5400870169480</v>
          </cell>
          <cell r="P38" t="str">
            <v>I-T-H</v>
          </cell>
          <cell r="Q38">
            <v>2</v>
          </cell>
          <cell r="R38">
            <v>4</v>
          </cell>
          <cell r="T38">
            <v>2200</v>
          </cell>
          <cell r="U38">
            <v>3</v>
          </cell>
          <cell r="V38">
            <v>2200</v>
          </cell>
          <cell r="W38">
            <v>3</v>
          </cell>
          <cell r="X38">
            <v>0</v>
          </cell>
          <cell r="Y38">
            <v>0</v>
          </cell>
          <cell r="Z38">
            <v>0</v>
          </cell>
          <cell r="AA38" t="str">
            <v>! !</v>
          </cell>
          <cell r="AC38">
            <v>0</v>
          </cell>
          <cell r="AG38">
            <v>45</v>
          </cell>
          <cell r="AJ38" t="str">
            <v>V-A</v>
          </cell>
          <cell r="AK38" t="str">
            <v> -</v>
          </cell>
          <cell r="AL38">
            <v>2700</v>
          </cell>
          <cell r="AM38">
            <v>2200</v>
          </cell>
          <cell r="AN38" t="e">
            <v>#VALUE!</v>
          </cell>
          <cell r="AO38" t="e">
            <v>#VALUE!</v>
          </cell>
          <cell r="AP38">
            <v>500</v>
          </cell>
        </row>
        <row r="39">
          <cell r="A39">
            <v>61694900</v>
          </cell>
          <cell r="B39">
            <v>40287000</v>
          </cell>
          <cell r="C39">
            <v>9912171</v>
          </cell>
          <cell r="D39" t="str">
            <v>BOF BE BALLETJES LUIKSE SAUS GEBAKKEN AARD 450G</v>
          </cell>
          <cell r="E39" t="str">
            <v>Bofrost BE</v>
          </cell>
          <cell r="F39" t="str">
            <v>290MM</v>
          </cell>
          <cell r="G39" t="str">
            <v>C2227-2X</v>
          </cell>
          <cell r="H39">
            <v>456</v>
          </cell>
          <cell r="I39">
            <v>0.45</v>
          </cell>
          <cell r="J39" t="str">
            <v>H10</v>
          </cell>
          <cell r="K39" t="str">
            <v>NVT</v>
          </cell>
          <cell r="L39">
            <v>8</v>
          </cell>
          <cell r="M39" t="str">
            <v>H10X8</v>
          </cell>
          <cell r="N39" t="str">
            <v>81</v>
          </cell>
          <cell r="O39">
            <v>5400870169497</v>
          </cell>
          <cell r="P39" t="str">
            <v>I-T</v>
          </cell>
          <cell r="Q39">
            <v>1</v>
          </cell>
          <cell r="R39">
            <v>4</v>
          </cell>
          <cell r="T39">
            <v>2000</v>
          </cell>
          <cell r="U39">
            <v>5</v>
          </cell>
          <cell r="V39">
            <v>2000</v>
          </cell>
          <cell r="W39">
            <v>5</v>
          </cell>
          <cell r="X39">
            <v>0</v>
          </cell>
          <cell r="Y39">
            <v>0</v>
          </cell>
          <cell r="Z39">
            <v>0</v>
          </cell>
          <cell r="AA39" t="str">
            <v>! !</v>
          </cell>
          <cell r="AC39">
            <v>0</v>
          </cell>
          <cell r="AJ39" t="str">
            <v>V-A</v>
          </cell>
          <cell r="AK39" t="str">
            <v> -</v>
          </cell>
          <cell r="AL39">
            <v>0</v>
          </cell>
          <cell r="AM39">
            <v>2000</v>
          </cell>
          <cell r="AN39" t="e">
            <v>#VALUE!</v>
          </cell>
          <cell r="AO39" t="e">
            <v>#VALUE!</v>
          </cell>
          <cell r="AP39">
            <v>-2000</v>
          </cell>
        </row>
        <row r="40">
          <cell r="A40">
            <v>61695000</v>
          </cell>
          <cell r="B40">
            <v>40287100</v>
          </cell>
          <cell r="C40">
            <v>9912847</v>
          </cell>
          <cell r="D40" t="str">
            <v>BOF BE KABELJAUW MSC FIJNE GROENTEN PUREE 450G</v>
          </cell>
          <cell r="E40" t="str">
            <v>Bofrost BE</v>
          </cell>
          <cell r="F40" t="str">
            <v>290MM</v>
          </cell>
          <cell r="G40" t="str">
            <v>C2227-2X</v>
          </cell>
          <cell r="H40">
            <v>548</v>
          </cell>
          <cell r="I40">
            <v>0.45</v>
          </cell>
          <cell r="J40" t="str">
            <v>H10</v>
          </cell>
          <cell r="K40" t="str">
            <v>NVT</v>
          </cell>
          <cell r="L40">
            <v>8</v>
          </cell>
          <cell r="M40" t="str">
            <v>H10X8</v>
          </cell>
          <cell r="N40" t="str">
            <v>81</v>
          </cell>
          <cell r="O40">
            <v>5400870169503</v>
          </cell>
          <cell r="P40" t="str">
            <v>H-T</v>
          </cell>
          <cell r="Q40">
            <v>3</v>
          </cell>
          <cell r="R40">
            <v>2</v>
          </cell>
          <cell r="S40" t="str">
            <v>KABELJAUW verzagen (110g)</v>
          </cell>
          <cell r="T40">
            <v>2200</v>
          </cell>
          <cell r="U40">
            <v>3</v>
          </cell>
          <cell r="V40">
            <v>2200</v>
          </cell>
          <cell r="W40">
            <v>3</v>
          </cell>
          <cell r="X40">
            <v>0</v>
          </cell>
          <cell r="Y40">
            <v>0</v>
          </cell>
          <cell r="Z40">
            <v>0</v>
          </cell>
          <cell r="AA40" t="str">
            <v>! ! ! !</v>
          </cell>
          <cell r="AC40">
            <v>0</v>
          </cell>
          <cell r="AG40">
            <v>45</v>
          </cell>
          <cell r="AJ40" t="str">
            <v>-</v>
          </cell>
          <cell r="AK40" t="str">
            <v> -</v>
          </cell>
          <cell r="AL40">
            <v>2700</v>
          </cell>
          <cell r="AM40">
            <v>2200</v>
          </cell>
          <cell r="AN40" t="e">
            <v>#VALUE!</v>
          </cell>
          <cell r="AO40" t="e">
            <v>#VALUE!</v>
          </cell>
          <cell r="AP40">
            <v>500</v>
          </cell>
        </row>
        <row r="41">
          <cell r="A41">
            <v>61695100</v>
          </cell>
          <cell r="B41">
            <v>40287500</v>
          </cell>
          <cell r="C41">
            <v>9912833</v>
          </cell>
          <cell r="D41" t="str">
            <v>BOF BE KABELJAUW MSC PREIROOM PUREE 450G</v>
          </cell>
          <cell r="E41" t="str">
            <v>Bofrost BE</v>
          </cell>
          <cell r="F41" t="str">
            <v>290MM</v>
          </cell>
          <cell r="G41" t="str">
            <v>C2227-2X</v>
          </cell>
          <cell r="H41">
            <v>548</v>
          </cell>
          <cell r="I41">
            <v>0.45</v>
          </cell>
          <cell r="J41" t="str">
            <v>H10</v>
          </cell>
          <cell r="K41" t="str">
            <v>NVT</v>
          </cell>
          <cell r="L41">
            <v>8</v>
          </cell>
          <cell r="M41" t="str">
            <v>H10X8</v>
          </cell>
          <cell r="N41" t="str">
            <v>81</v>
          </cell>
          <cell r="O41">
            <v>5400870169510</v>
          </cell>
          <cell r="P41" t="str">
            <v>H-T</v>
          </cell>
          <cell r="Q41">
            <v>3</v>
          </cell>
          <cell r="R41">
            <v>2</v>
          </cell>
          <cell r="T41">
            <v>2200</v>
          </cell>
          <cell r="U41">
            <v>4</v>
          </cell>
          <cell r="V41">
            <v>2200</v>
          </cell>
          <cell r="W41">
            <v>4</v>
          </cell>
          <cell r="X41">
            <v>0</v>
          </cell>
          <cell r="Y41">
            <v>0</v>
          </cell>
          <cell r="Z41">
            <v>0</v>
          </cell>
          <cell r="AA41" t="str">
            <v>! ! ! !</v>
          </cell>
          <cell r="AC41">
            <v>0</v>
          </cell>
          <cell r="AG41">
            <v>45</v>
          </cell>
          <cell r="AJ41" t="str">
            <v>V-A</v>
          </cell>
          <cell r="AK41" t="str">
            <v> -</v>
          </cell>
          <cell r="AL41">
            <v>2700</v>
          </cell>
          <cell r="AM41">
            <v>2200</v>
          </cell>
          <cell r="AN41" t="e">
            <v>#VALUE!</v>
          </cell>
          <cell r="AO41" t="e">
            <v>#VALUE!</v>
          </cell>
          <cell r="AP41">
            <v>500</v>
          </cell>
        </row>
        <row r="42">
          <cell r="A42">
            <v>61695200</v>
          </cell>
          <cell r="B42">
            <v>40287600</v>
          </cell>
          <cell r="C42">
            <v>9912555</v>
          </cell>
          <cell r="D42" t="str">
            <v>BOF BE OOSTENDS VISPANNETJE ASC MSC 420G</v>
          </cell>
          <cell r="E42" t="str">
            <v>Bofrost BE</v>
          </cell>
          <cell r="F42" t="str">
            <v>290MM</v>
          </cell>
          <cell r="G42" t="str">
            <v>C2227-1E</v>
          </cell>
          <cell r="H42">
            <v>456</v>
          </cell>
          <cell r="I42">
            <v>0.42</v>
          </cell>
          <cell r="J42" t="str">
            <v>H10</v>
          </cell>
          <cell r="K42" t="str">
            <v>NVT</v>
          </cell>
          <cell r="L42">
            <v>8</v>
          </cell>
          <cell r="M42" t="str">
            <v>H10X8</v>
          </cell>
          <cell r="N42" t="str">
            <v>81</v>
          </cell>
          <cell r="O42">
            <v>5400870169527</v>
          </cell>
          <cell r="P42" t="str">
            <v>2T-K</v>
          </cell>
          <cell r="Q42">
            <v>1</v>
          </cell>
          <cell r="R42">
            <v>2</v>
          </cell>
          <cell r="T42">
            <v>2200</v>
          </cell>
          <cell r="U42">
            <v>8</v>
          </cell>
          <cell r="V42">
            <v>2200</v>
          </cell>
          <cell r="W42">
            <v>8</v>
          </cell>
          <cell r="Z42">
            <v>0</v>
          </cell>
          <cell r="AA42" t="str">
            <v>! ! ! !</v>
          </cell>
          <cell r="AC42">
            <v>0</v>
          </cell>
          <cell r="AG42">
            <v>45</v>
          </cell>
          <cell r="AJ42" t="str">
            <v>V-A</v>
          </cell>
          <cell r="AK42" t="str">
            <v> -</v>
          </cell>
          <cell r="AL42">
            <v>2700</v>
          </cell>
          <cell r="AM42">
            <v>2200</v>
          </cell>
          <cell r="AN42" t="e">
            <v>#VALUE!</v>
          </cell>
          <cell r="AO42" t="e">
            <v>#VALUE!</v>
          </cell>
          <cell r="AP42">
            <v>500</v>
          </cell>
        </row>
        <row r="43">
          <cell r="A43">
            <v>61695300</v>
          </cell>
          <cell r="B43">
            <v>40287800</v>
          </cell>
          <cell r="C43" t="str">
            <v>9902146 </v>
          </cell>
          <cell r="D43" t="str">
            <v>BOF BE HERTENSTOOFPOT APPEL VEENB POMPOENPUR 450G</v>
          </cell>
          <cell r="E43" t="str">
            <v>Bofrost BE</v>
          </cell>
          <cell r="F43" t="str">
            <v>290MM</v>
          </cell>
          <cell r="G43" t="str">
            <v>C2227-3C</v>
          </cell>
          <cell r="H43">
            <v>456</v>
          </cell>
          <cell r="I43">
            <v>0.45</v>
          </cell>
          <cell r="J43" t="str">
            <v>H10</v>
          </cell>
          <cell r="K43" t="str">
            <v>NVT</v>
          </cell>
          <cell r="L43">
            <v>8</v>
          </cell>
          <cell r="M43" t="str">
            <v>H10X8</v>
          </cell>
          <cell r="N43" t="str">
            <v>81</v>
          </cell>
          <cell r="O43">
            <v>5400870169534</v>
          </cell>
          <cell r="P43" t="str">
            <v>2T-H</v>
          </cell>
          <cell r="Q43">
            <v>3</v>
          </cell>
          <cell r="R43">
            <v>2</v>
          </cell>
          <cell r="S43" t="str">
            <v>Hertenstoofvlees D-3 / opvolging pompoenpuree nav klacht</v>
          </cell>
          <cell r="T43">
            <v>1750</v>
          </cell>
          <cell r="U43">
            <v>8</v>
          </cell>
          <cell r="V43">
            <v>1750</v>
          </cell>
          <cell r="W43">
            <v>8</v>
          </cell>
          <cell r="X43">
            <v>0</v>
          </cell>
          <cell r="Y43">
            <v>0</v>
          </cell>
          <cell r="Z43">
            <v>0</v>
          </cell>
          <cell r="AA43" t="str">
            <v>! !</v>
          </cell>
          <cell r="AC43">
            <v>0.22014999999999998</v>
          </cell>
          <cell r="AJ43" t="str">
            <v>V-A </v>
          </cell>
          <cell r="AK43" t="str">
            <v> -</v>
          </cell>
          <cell r="AL43">
            <v>0</v>
          </cell>
          <cell r="AM43">
            <v>1750</v>
          </cell>
          <cell r="AN43" t="e">
            <v>#VALUE!</v>
          </cell>
          <cell r="AO43" t="e">
            <v>#VALUE!</v>
          </cell>
          <cell r="AP43">
            <v>-1750</v>
          </cell>
        </row>
        <row r="44">
          <cell r="A44">
            <v>61695400</v>
          </cell>
          <cell r="B44">
            <v>40287900</v>
          </cell>
          <cell r="C44" t="str">
            <v>9912387 </v>
          </cell>
          <cell r="D44" t="str">
            <v>BOF BE JACHTSCHOTEL RODE KOOL PUREE 450G</v>
          </cell>
          <cell r="E44" t="str">
            <v>Bofrost BE</v>
          </cell>
          <cell r="F44" t="str">
            <v>290MM</v>
          </cell>
          <cell r="G44" t="str">
            <v>C2227-3C</v>
          </cell>
          <cell r="H44">
            <v>456</v>
          </cell>
          <cell r="I44">
            <v>0.45</v>
          </cell>
          <cell r="J44" t="str">
            <v>H10</v>
          </cell>
          <cell r="K44" t="str">
            <v>NVT</v>
          </cell>
          <cell r="L44">
            <v>8</v>
          </cell>
          <cell r="M44" t="str">
            <v>H10X8</v>
          </cell>
          <cell r="N44" t="str">
            <v>81</v>
          </cell>
          <cell r="O44">
            <v>5400870169541</v>
          </cell>
          <cell r="P44" t="str">
            <v>2T-H</v>
          </cell>
          <cell r="Q44">
            <v>3</v>
          </cell>
          <cell r="R44">
            <v>2</v>
          </cell>
          <cell r="S44" t="str">
            <v>Stoof vlees vacuum D-1</v>
          </cell>
          <cell r="T44">
            <v>1750</v>
          </cell>
          <cell r="U44">
            <v>8</v>
          </cell>
          <cell r="V44">
            <v>1750</v>
          </cell>
          <cell r="W44">
            <v>8</v>
          </cell>
          <cell r="X44">
            <v>0</v>
          </cell>
          <cell r="Y44">
            <v>0</v>
          </cell>
          <cell r="Z44">
            <v>0</v>
          </cell>
          <cell r="AA44" t="str">
            <v>! ! !</v>
          </cell>
          <cell r="AC44">
            <v>0.22014999999999998</v>
          </cell>
          <cell r="AJ44" t="str">
            <v> V-A</v>
          </cell>
          <cell r="AK44" t="str">
            <v> -</v>
          </cell>
          <cell r="AL44">
            <v>0</v>
          </cell>
          <cell r="AM44">
            <v>1750</v>
          </cell>
          <cell r="AN44" t="e">
            <v>#VALUE!</v>
          </cell>
          <cell r="AO44" t="e">
            <v>#VALUE!</v>
          </cell>
          <cell r="AP44">
            <v>-1750</v>
          </cell>
        </row>
        <row r="45">
          <cell r="A45">
            <v>61695500</v>
          </cell>
          <cell r="B45">
            <v>40288200</v>
          </cell>
          <cell r="C45" t="str">
            <v> 9912478</v>
          </cell>
          <cell r="D45" t="str">
            <v>BOF BE VARKENSHAASJE PEPERROOM WORTELEN PUREE 450G</v>
          </cell>
          <cell r="E45" t="str">
            <v>Bofrost BE</v>
          </cell>
          <cell r="F45" t="str">
            <v>290MM</v>
          </cell>
          <cell r="G45" t="str">
            <v>C2227-3C</v>
          </cell>
          <cell r="H45">
            <v>456</v>
          </cell>
          <cell r="I45">
            <v>0.45</v>
          </cell>
          <cell r="J45" t="str">
            <v>H10</v>
          </cell>
          <cell r="K45" t="str">
            <v>NVT</v>
          </cell>
          <cell r="L45">
            <v>8</v>
          </cell>
          <cell r="M45" t="str">
            <v>H10X8</v>
          </cell>
          <cell r="N45" t="str">
            <v>81</v>
          </cell>
          <cell r="O45">
            <v>5400870169558</v>
          </cell>
          <cell r="P45" t="str">
            <v>H-T</v>
          </cell>
          <cell r="Q45">
            <v>3</v>
          </cell>
          <cell r="R45">
            <v>2</v>
          </cell>
          <cell r="S45" t="str">
            <v>Varkenshaasje D-1</v>
          </cell>
          <cell r="T45">
            <v>1750</v>
          </cell>
          <cell r="U45">
            <v>9</v>
          </cell>
          <cell r="V45">
            <v>1750</v>
          </cell>
          <cell r="W45">
            <v>9</v>
          </cell>
          <cell r="X45">
            <v>0</v>
          </cell>
          <cell r="Y45">
            <v>0</v>
          </cell>
          <cell r="Z45">
            <v>0</v>
          </cell>
          <cell r="AA45" t="str">
            <v>! !</v>
          </cell>
          <cell r="AC45">
            <v>4.6391752577319589E-2</v>
          </cell>
          <cell r="AJ45" t="str">
            <v>V-A </v>
          </cell>
          <cell r="AK45" t="str">
            <v> -</v>
          </cell>
          <cell r="AL45">
            <v>0</v>
          </cell>
          <cell r="AM45">
            <v>1750</v>
          </cell>
          <cell r="AN45" t="e">
            <v>#VALUE!</v>
          </cell>
          <cell r="AO45" t="e">
            <v>#VALUE!</v>
          </cell>
          <cell r="AP45">
            <v>-1750</v>
          </cell>
        </row>
        <row r="46">
          <cell r="A46">
            <v>61695600</v>
          </cell>
          <cell r="B46">
            <v>40288300</v>
          </cell>
          <cell r="C46" t="str">
            <v>9912819 </v>
          </cell>
          <cell r="D46" t="str">
            <v>BOF BE BLINDE VINK RODE KOOL AARD.KUBUS 450G</v>
          </cell>
          <cell r="E46" t="str">
            <v>Bofrost BE</v>
          </cell>
          <cell r="F46" t="str">
            <v>290MM</v>
          </cell>
          <cell r="G46" t="str">
            <v>C2227-3C</v>
          </cell>
          <cell r="H46">
            <v>365</v>
          </cell>
          <cell r="I46">
            <v>0.45</v>
          </cell>
          <cell r="J46" t="str">
            <v>H10</v>
          </cell>
          <cell r="K46" t="str">
            <v>NVT</v>
          </cell>
          <cell r="L46">
            <v>8</v>
          </cell>
          <cell r="M46" t="str">
            <v>H10X8</v>
          </cell>
          <cell r="N46" t="str">
            <v>81</v>
          </cell>
          <cell r="O46">
            <v>5400870169565</v>
          </cell>
          <cell r="P46" t="str">
            <v>H-T</v>
          </cell>
          <cell r="Q46">
            <v>3</v>
          </cell>
          <cell r="R46">
            <v>2</v>
          </cell>
          <cell r="S46" t="str">
            <v>Blinde vink D-1</v>
          </cell>
          <cell r="T46">
            <v>2200</v>
          </cell>
          <cell r="U46">
            <v>5</v>
          </cell>
          <cell r="V46">
            <v>2200</v>
          </cell>
          <cell r="W46">
            <v>5</v>
          </cell>
          <cell r="X46">
            <v>0</v>
          </cell>
          <cell r="Y46">
            <v>0</v>
          </cell>
          <cell r="Z46">
            <v>0</v>
          </cell>
          <cell r="AA46" t="str">
            <v>! !</v>
          </cell>
          <cell r="AC46">
            <v>3.4363636363636367E-2</v>
          </cell>
          <cell r="AG46">
            <v>45</v>
          </cell>
          <cell r="AJ46" t="str">
            <v>V-A </v>
          </cell>
          <cell r="AK46" t="str">
            <v> -</v>
          </cell>
          <cell r="AL46">
            <v>2700</v>
          </cell>
          <cell r="AM46">
            <v>2200</v>
          </cell>
          <cell r="AN46" t="e">
            <v>#VALUE!</v>
          </cell>
          <cell r="AO46" t="e">
            <v>#VALUE!</v>
          </cell>
          <cell r="AP46">
            <v>500</v>
          </cell>
        </row>
        <row r="47">
          <cell r="A47">
            <v>61695700</v>
          </cell>
          <cell r="B47">
            <v>40288400</v>
          </cell>
          <cell r="C47" t="str">
            <v> 9912454</v>
          </cell>
          <cell r="D47" t="str">
            <v>BOF BE CHIPOLATA BLOEMKOOL PUREE 450G</v>
          </cell>
          <cell r="E47" t="str">
            <v>Bofrost BE</v>
          </cell>
          <cell r="F47" t="str">
            <v>290MM</v>
          </cell>
          <cell r="G47" t="str">
            <v>C2227-3C</v>
          </cell>
          <cell r="H47">
            <v>365</v>
          </cell>
          <cell r="I47">
            <v>0.45</v>
          </cell>
          <cell r="J47" t="str">
            <v>H10</v>
          </cell>
          <cell r="K47" t="str">
            <v>NVT</v>
          </cell>
          <cell r="L47">
            <v>8</v>
          </cell>
          <cell r="M47" t="str">
            <v>H10X8</v>
          </cell>
          <cell r="N47" t="str">
            <v>81</v>
          </cell>
          <cell r="O47">
            <v>5400870169572</v>
          </cell>
          <cell r="P47" t="str">
            <v>H-3T</v>
          </cell>
          <cell r="Q47">
            <v>3</v>
          </cell>
          <cell r="R47">
            <v>2</v>
          </cell>
          <cell r="S47" t="str">
            <v>Chipolata D-1</v>
          </cell>
          <cell r="T47">
            <v>2200</v>
          </cell>
          <cell r="U47">
            <v>6</v>
          </cell>
          <cell r="V47">
            <v>2200</v>
          </cell>
          <cell r="W47">
            <v>6</v>
          </cell>
          <cell r="X47">
            <v>0</v>
          </cell>
          <cell r="Y47">
            <v>0</v>
          </cell>
          <cell r="Z47">
            <v>0</v>
          </cell>
          <cell r="AA47" t="str">
            <v>! !</v>
          </cell>
          <cell r="AC47">
            <v>9.8437499999999997E-2</v>
          </cell>
          <cell r="AG47">
            <v>45</v>
          </cell>
          <cell r="AJ47" t="str">
            <v>V-A </v>
          </cell>
          <cell r="AK47" t="str">
            <v> -</v>
          </cell>
          <cell r="AL47">
            <v>2700</v>
          </cell>
          <cell r="AM47">
            <v>2200</v>
          </cell>
          <cell r="AN47" t="e">
            <v>#VALUE!</v>
          </cell>
          <cell r="AO47" t="e">
            <v>#VALUE!</v>
          </cell>
          <cell r="AP47">
            <v>500</v>
          </cell>
        </row>
        <row r="48">
          <cell r="A48">
            <v>61699500</v>
          </cell>
          <cell r="B48">
            <v>40265600</v>
          </cell>
          <cell r="C48">
            <v>9820557</v>
          </cell>
          <cell r="D48" t="str">
            <v>BOF DE KIP BROCCOLI BLOEMKOOLROSTI 420G</v>
          </cell>
          <cell r="E48" t="str">
            <v>Bofrost DE</v>
          </cell>
          <cell r="F48" t="str">
            <v>290MM</v>
          </cell>
          <cell r="G48" t="str">
            <v>C2227-2X</v>
          </cell>
          <cell r="H48">
            <v>456</v>
          </cell>
          <cell r="I48">
            <v>0.42</v>
          </cell>
          <cell r="J48" t="str">
            <v>H10</v>
          </cell>
          <cell r="K48" t="str">
            <v>NVT</v>
          </cell>
          <cell r="L48">
            <v>8</v>
          </cell>
          <cell r="M48" t="str">
            <v>H10X8</v>
          </cell>
          <cell r="N48" t="str">
            <v>81</v>
          </cell>
          <cell r="O48">
            <v>5400870169954</v>
          </cell>
          <cell r="P48" t="str">
            <v>I-T</v>
          </cell>
          <cell r="Q48">
            <v>2</v>
          </cell>
          <cell r="R48">
            <v>2</v>
          </cell>
          <cell r="T48">
            <v>2200</v>
          </cell>
          <cell r="U48">
            <v>7</v>
          </cell>
          <cell r="V48">
            <v>2200</v>
          </cell>
          <cell r="W48">
            <v>7</v>
          </cell>
          <cell r="X48">
            <v>0</v>
          </cell>
          <cell r="Y48">
            <v>0</v>
          </cell>
          <cell r="Z48">
            <v>5.5E-2</v>
          </cell>
          <cell r="AA48" t="str">
            <v>! !</v>
          </cell>
          <cell r="AB48">
            <v>16852</v>
          </cell>
          <cell r="AC48">
            <v>0</v>
          </cell>
          <cell r="AG48">
            <v>45</v>
          </cell>
          <cell r="AJ48" t="str">
            <v>-</v>
          </cell>
          <cell r="AL48">
            <v>2700</v>
          </cell>
          <cell r="AM48">
            <v>2200</v>
          </cell>
          <cell r="AN48" t="e">
            <v>#VALUE!</v>
          </cell>
          <cell r="AO48" t="e">
            <v>#VALUE!</v>
          </cell>
          <cell r="AP48">
            <v>500</v>
          </cell>
        </row>
        <row r="49">
          <cell r="A49">
            <v>61699600</v>
          </cell>
          <cell r="B49">
            <v>40283100</v>
          </cell>
          <cell r="C49" t="str">
            <v>9910944</v>
          </cell>
          <cell r="D49" t="str">
            <v>BOF DE KIP MADAGASCAR RIJST 420G</v>
          </cell>
          <cell r="E49" t="str">
            <v>Bofrost DE</v>
          </cell>
          <cell r="F49" t="str">
            <v>290MM</v>
          </cell>
          <cell r="G49" t="str">
            <v>C2227-2X</v>
          </cell>
          <cell r="H49">
            <v>456</v>
          </cell>
          <cell r="I49">
            <v>0.42</v>
          </cell>
          <cell r="J49" t="str">
            <v>H10</v>
          </cell>
          <cell r="K49" t="str">
            <v>NVT</v>
          </cell>
          <cell r="L49">
            <v>8</v>
          </cell>
          <cell r="M49" t="str">
            <v>H10X8</v>
          </cell>
          <cell r="N49" t="str">
            <v>81</v>
          </cell>
          <cell r="O49">
            <v>5400870169961</v>
          </cell>
          <cell r="P49" t="str">
            <v>L-2T</v>
          </cell>
          <cell r="Q49">
            <v>2</v>
          </cell>
          <cell r="R49">
            <v>2</v>
          </cell>
          <cell r="S49" t="str">
            <v>BLIKKEN openen D-1 (1u/2100st); opvolgen fruitstukjes</v>
          </cell>
          <cell r="T49">
            <v>2200</v>
          </cell>
          <cell r="U49">
            <v>4</v>
          </cell>
          <cell r="V49">
            <v>2200</v>
          </cell>
          <cell r="W49">
            <v>4</v>
          </cell>
          <cell r="X49">
            <v>0</v>
          </cell>
          <cell r="Y49">
            <v>0</v>
          </cell>
          <cell r="Z49">
            <v>5.5E-2</v>
          </cell>
          <cell r="AA49" t="str">
            <v>! ! !</v>
          </cell>
          <cell r="AB49">
            <v>16852</v>
          </cell>
          <cell r="AC49">
            <v>0</v>
          </cell>
          <cell r="AG49">
            <v>45</v>
          </cell>
          <cell r="AJ49" t="str">
            <v>-</v>
          </cell>
          <cell r="AL49">
            <v>2700</v>
          </cell>
          <cell r="AM49">
            <v>2200</v>
          </cell>
          <cell r="AN49" t="e">
            <v>#VALUE!</v>
          </cell>
          <cell r="AO49" t="e">
            <v>#VALUE!</v>
          </cell>
          <cell r="AP49">
            <v>500</v>
          </cell>
        </row>
        <row r="50">
          <cell r="A50">
            <v>63110200</v>
          </cell>
          <cell r="B50">
            <v>40242800</v>
          </cell>
          <cell r="C50">
            <v>3144</v>
          </cell>
          <cell r="D50" t="str">
            <v>ALDI BE VISPAN MSC PREISAUS 300G (MIXED)</v>
          </cell>
          <cell r="E50" t="str">
            <v>Aldi BE</v>
          </cell>
          <cell r="F50" t="str">
            <v>355MM</v>
          </cell>
          <cell r="G50" t="str">
            <v>C2187-1F</v>
          </cell>
          <cell r="H50">
            <v>548</v>
          </cell>
          <cell r="I50">
            <v>0.3</v>
          </cell>
          <cell r="J50" t="str">
            <v>H11</v>
          </cell>
          <cell r="K50" t="str">
            <v>NVT</v>
          </cell>
          <cell r="L50">
            <v>24</v>
          </cell>
          <cell r="M50" t="str">
            <v>H11X24</v>
          </cell>
          <cell r="N50" t="str">
            <v>48</v>
          </cell>
          <cell r="O50">
            <v>4068261113378</v>
          </cell>
          <cell r="P50" t="str">
            <v>I-2T</v>
          </cell>
          <cell r="Q50">
            <v>2</v>
          </cell>
          <cell r="R50">
            <v>2</v>
          </cell>
          <cell r="T50">
            <v>3500</v>
          </cell>
          <cell r="U50">
            <v>2</v>
          </cell>
          <cell r="V50">
            <v>3500</v>
          </cell>
          <cell r="W50">
            <v>2</v>
          </cell>
          <cell r="X50">
            <v>0</v>
          </cell>
          <cell r="Y50">
            <v>0</v>
          </cell>
          <cell r="Z50">
            <v>9.6099999999999991E-2</v>
          </cell>
          <cell r="AA50" t="str">
            <v>! ! ! !</v>
          </cell>
          <cell r="AB50">
            <v>13400</v>
          </cell>
          <cell r="AC50">
            <v>0</v>
          </cell>
          <cell r="AG50">
            <v>68</v>
          </cell>
          <cell r="AJ50" t="str">
            <v>V-A</v>
          </cell>
          <cell r="AL50">
            <v>4080</v>
          </cell>
          <cell r="AM50">
            <v>3500</v>
          </cell>
          <cell r="AN50" t="e">
            <v>#VALUE!</v>
          </cell>
          <cell r="AO50" t="e">
            <v>#VALUE!</v>
          </cell>
          <cell r="AP50">
            <v>580</v>
          </cell>
        </row>
        <row r="51">
          <cell r="A51">
            <v>63110300</v>
          </cell>
          <cell r="B51">
            <v>40242900</v>
          </cell>
          <cell r="C51">
            <v>3144</v>
          </cell>
          <cell r="D51" t="str">
            <v>ALDI BE VISPAN MSC ASC WITTE WIJNSAUS 300G (MIXED)</v>
          </cell>
          <cell r="E51" t="str">
            <v>Aldi BE</v>
          </cell>
          <cell r="F51" t="str">
            <v>355MM</v>
          </cell>
          <cell r="G51" t="str">
            <v>C2187-1F</v>
          </cell>
          <cell r="H51">
            <v>548</v>
          </cell>
          <cell r="I51">
            <v>0.3</v>
          </cell>
          <cell r="J51" t="str">
            <v>H11</v>
          </cell>
          <cell r="K51" t="str">
            <v>NVT</v>
          </cell>
          <cell r="L51">
            <v>24</v>
          </cell>
          <cell r="M51" t="str">
            <v>H11X24</v>
          </cell>
          <cell r="N51" t="str">
            <v>48</v>
          </cell>
          <cell r="O51">
            <v>4068261113378</v>
          </cell>
          <cell r="P51" t="str">
            <v>I-2T</v>
          </cell>
          <cell r="Q51">
            <v>2</v>
          </cell>
          <cell r="R51">
            <v>2</v>
          </cell>
          <cell r="T51">
            <v>3500</v>
          </cell>
          <cell r="U51">
            <v>7</v>
          </cell>
          <cell r="V51">
            <v>3500</v>
          </cell>
          <cell r="W51">
            <v>7</v>
          </cell>
          <cell r="X51">
            <v>0</v>
          </cell>
          <cell r="Y51">
            <v>0</v>
          </cell>
          <cell r="Z51">
            <v>9.6099999999999991E-2</v>
          </cell>
          <cell r="AA51" t="str">
            <v>! ! ! !</v>
          </cell>
          <cell r="AB51">
            <v>13400</v>
          </cell>
          <cell r="AC51">
            <v>0</v>
          </cell>
          <cell r="AG51">
            <v>68</v>
          </cell>
          <cell r="AJ51" t="str">
            <v>V-A</v>
          </cell>
          <cell r="AL51">
            <v>4080</v>
          </cell>
          <cell r="AM51">
            <v>3500</v>
          </cell>
          <cell r="AN51" t="e">
            <v>#VALUE!</v>
          </cell>
          <cell r="AO51" t="e">
            <v>#VALUE!</v>
          </cell>
          <cell r="AP51">
            <v>580</v>
          </cell>
        </row>
        <row r="52">
          <cell r="A52">
            <v>63110900</v>
          </cell>
          <cell r="B52">
            <v>40282200</v>
          </cell>
          <cell r="C52">
            <v>3144</v>
          </cell>
          <cell r="D52" t="str">
            <v>ALDI BE VISPAN MSC ASC MOSTERD (MIXED)</v>
          </cell>
          <cell r="E52" t="str">
            <v>Aldi BE</v>
          </cell>
          <cell r="F52" t="str">
            <v>355MM</v>
          </cell>
          <cell r="G52" t="str">
            <v>C2187-1F</v>
          </cell>
          <cell r="H52">
            <v>548</v>
          </cell>
          <cell r="I52">
            <v>0.3</v>
          </cell>
          <cell r="J52" t="str">
            <v>H11</v>
          </cell>
          <cell r="K52" t="str">
            <v>NVT</v>
          </cell>
          <cell r="L52">
            <v>24</v>
          </cell>
          <cell r="M52" t="str">
            <v>H11X24</v>
          </cell>
          <cell r="N52" t="str">
            <v>48</v>
          </cell>
          <cell r="O52">
            <v>4068261113378</v>
          </cell>
          <cell r="P52" t="str">
            <v>I-2T</v>
          </cell>
          <cell r="Q52">
            <v>1</v>
          </cell>
          <cell r="R52">
            <v>2</v>
          </cell>
          <cell r="T52">
            <v>3500</v>
          </cell>
          <cell r="U52">
            <v>5</v>
          </cell>
          <cell r="V52">
            <v>3500</v>
          </cell>
          <cell r="W52">
            <v>5</v>
          </cell>
          <cell r="Z52">
            <v>9.6099999999999991E-2</v>
          </cell>
          <cell r="AA52" t="str">
            <v>! ! ! !</v>
          </cell>
          <cell r="AB52">
            <v>13400</v>
          </cell>
          <cell r="AJ52" t="str">
            <v>V-A</v>
          </cell>
          <cell r="AL52">
            <v>0</v>
          </cell>
          <cell r="AM52">
            <v>3500</v>
          </cell>
          <cell r="AN52" t="e">
            <v>#VALUE!</v>
          </cell>
          <cell r="AO52" t="e">
            <v>#VALUE!</v>
          </cell>
          <cell r="AP52">
            <v>-3500</v>
          </cell>
        </row>
        <row r="53">
          <cell r="A53">
            <v>63140000</v>
          </cell>
          <cell r="B53">
            <v>40285600</v>
          </cell>
          <cell r="C53">
            <v>30447</v>
          </cell>
          <cell r="D53" t="str">
            <v>COLR RUNDSTONG MADEIRASAUS 400G</v>
          </cell>
          <cell r="E53" t="str">
            <v>Colruyt</v>
          </cell>
          <cell r="F53" t="str">
            <v>355MM</v>
          </cell>
          <cell r="G53" t="str">
            <v>C2187-1F</v>
          </cell>
          <cell r="H53">
            <v>548</v>
          </cell>
          <cell r="I53">
            <v>0.4</v>
          </cell>
          <cell r="J53" t="str">
            <v>H11</v>
          </cell>
          <cell r="K53" t="str">
            <v>NVT</v>
          </cell>
          <cell r="L53">
            <v>10</v>
          </cell>
          <cell r="M53" t="str">
            <v>H11X10</v>
          </cell>
          <cell r="N53">
            <v>105</v>
          </cell>
          <cell r="O53">
            <v>15400141850991</v>
          </cell>
          <cell r="P53" t="str">
            <v>2T</v>
          </cell>
          <cell r="Q53">
            <v>1.5</v>
          </cell>
          <cell r="R53">
            <v>2</v>
          </cell>
          <cell r="S53" t="str">
            <v>TONG D-5 uithalen en openleggen / D-1 snijden</v>
          </cell>
          <cell r="T53">
            <v>3500</v>
          </cell>
          <cell r="U53">
            <v>11</v>
          </cell>
          <cell r="V53">
            <v>3500</v>
          </cell>
          <cell r="W53">
            <v>11</v>
          </cell>
          <cell r="X53">
            <v>0</v>
          </cell>
          <cell r="Y53">
            <v>0</v>
          </cell>
          <cell r="Z53">
            <v>0.06</v>
          </cell>
          <cell r="AA53" t="str">
            <v>! ! !</v>
          </cell>
          <cell r="AB53">
            <v>20000</v>
          </cell>
          <cell r="AC53">
            <v>0</v>
          </cell>
          <cell r="AE53" t="str">
            <v>x</v>
          </cell>
          <cell r="AG53">
            <v>68</v>
          </cell>
          <cell r="AJ53" t="str">
            <v>V-A</v>
          </cell>
          <cell r="AL53">
            <v>4080</v>
          </cell>
          <cell r="AM53">
            <v>3500</v>
          </cell>
          <cell r="AN53" t="e">
            <v>#VALUE!</v>
          </cell>
          <cell r="AO53" t="e">
            <v>#VALUE!</v>
          </cell>
          <cell r="AP53">
            <v>580</v>
          </cell>
        </row>
        <row r="54">
          <cell r="A54">
            <v>63140100</v>
          </cell>
          <cell r="B54">
            <v>40289200</v>
          </cell>
          <cell r="C54">
            <v>30644</v>
          </cell>
          <cell r="D54" t="str">
            <v>COLR MACARONI HAM KAAS 500G</v>
          </cell>
          <cell r="E54" t="str">
            <v>Colruyt</v>
          </cell>
          <cell r="F54" t="str">
            <v>355MM</v>
          </cell>
          <cell r="G54" t="str">
            <v>C2187-1F</v>
          </cell>
          <cell r="H54">
            <v>456</v>
          </cell>
          <cell r="I54">
            <v>0.5</v>
          </cell>
          <cell r="J54" t="str">
            <v>H11</v>
          </cell>
          <cell r="K54" t="str">
            <v>NVT</v>
          </cell>
          <cell r="L54">
            <v>10</v>
          </cell>
          <cell r="M54" t="str">
            <v>H11X10</v>
          </cell>
          <cell r="N54">
            <v>105</v>
          </cell>
          <cell r="O54">
            <v>15400141850984</v>
          </cell>
          <cell r="P54" t="str">
            <v>L-2T-K</v>
          </cell>
          <cell r="Q54">
            <v>2.5</v>
          </cell>
          <cell r="R54">
            <v>2</v>
          </cell>
          <cell r="T54">
            <v>3500</v>
          </cell>
          <cell r="U54">
            <v>2</v>
          </cell>
          <cell r="V54">
            <v>3500</v>
          </cell>
          <cell r="W54">
            <v>2</v>
          </cell>
          <cell r="X54" t="str">
            <v>X</v>
          </cell>
          <cell r="Y54">
            <v>0</v>
          </cell>
          <cell r="Z54">
            <v>0.06</v>
          </cell>
          <cell r="AA54" t="str">
            <v>! ! !</v>
          </cell>
          <cell r="AB54">
            <v>26810</v>
          </cell>
          <cell r="AC54">
            <v>0</v>
          </cell>
          <cell r="AE54" t="str">
            <v>x</v>
          </cell>
          <cell r="AG54">
            <v>68</v>
          </cell>
          <cell r="AJ54" t="str">
            <v>V-A</v>
          </cell>
          <cell r="AL54">
            <v>4080</v>
          </cell>
          <cell r="AM54">
            <v>3500</v>
          </cell>
          <cell r="AN54" t="e">
            <v>#VALUE!</v>
          </cell>
          <cell r="AO54" t="e">
            <v>#VALUE!</v>
          </cell>
          <cell r="AP54">
            <v>580</v>
          </cell>
        </row>
        <row r="55">
          <cell r="A55">
            <v>63140400</v>
          </cell>
          <cell r="B55">
            <v>40206400</v>
          </cell>
          <cell r="C55">
            <v>30325</v>
          </cell>
          <cell r="D55" t="str">
            <v>COLR PALING IN 'T GROEN 400G</v>
          </cell>
          <cell r="E55" t="str">
            <v>Colruyt</v>
          </cell>
          <cell r="F55" t="str">
            <v>355MM</v>
          </cell>
          <cell r="G55" t="str">
            <v>C2187-1F</v>
          </cell>
          <cell r="H55">
            <v>456</v>
          </cell>
          <cell r="I55">
            <v>0.4</v>
          </cell>
          <cell r="J55" t="str">
            <v>H11</v>
          </cell>
          <cell r="K55" t="str">
            <v>NVT</v>
          </cell>
          <cell r="L55">
            <v>10</v>
          </cell>
          <cell r="M55" t="str">
            <v>H11X10</v>
          </cell>
          <cell r="N55">
            <v>105</v>
          </cell>
          <cell r="O55">
            <v>15400141851004</v>
          </cell>
          <cell r="P55" t="str">
            <v>2T</v>
          </cell>
          <cell r="Q55">
            <v>1</v>
          </cell>
          <cell r="R55">
            <v>2</v>
          </cell>
          <cell r="S55" t="str">
            <v>ong. 1200kg= D-2 ontpakken 4u, D-1 2p MEP</v>
          </cell>
          <cell r="T55">
            <v>2700</v>
          </cell>
          <cell r="U55">
            <v>9</v>
          </cell>
          <cell r="V55">
            <v>2700</v>
          </cell>
          <cell r="W55">
            <v>9</v>
          </cell>
          <cell r="X55" t="str">
            <v>X</v>
          </cell>
          <cell r="Y55">
            <v>0</v>
          </cell>
          <cell r="Z55">
            <v>0.06</v>
          </cell>
          <cell r="AA55" t="str">
            <v>! ! ! !</v>
          </cell>
          <cell r="AB55">
            <v>5000</v>
          </cell>
          <cell r="AC55">
            <v>0.13500000000000001</v>
          </cell>
          <cell r="AG55">
            <v>52</v>
          </cell>
          <cell r="AJ55" t="str">
            <v>V-A</v>
          </cell>
          <cell r="AL55">
            <v>3120</v>
          </cell>
          <cell r="AM55">
            <v>2700</v>
          </cell>
          <cell r="AN55" t="e">
            <v>#VALUE!</v>
          </cell>
          <cell r="AO55" t="e">
            <v>#VALUE!</v>
          </cell>
          <cell r="AP55">
            <v>420</v>
          </cell>
        </row>
        <row r="56">
          <cell r="A56">
            <v>63141400</v>
          </cell>
          <cell r="B56">
            <v>40233600</v>
          </cell>
          <cell r="C56">
            <v>15986</v>
          </cell>
          <cell r="D56" t="str">
            <v>COLR VISPANNETJE LANGOUSTINESAUS 300G</v>
          </cell>
          <cell r="E56" t="str">
            <v>Colruyt</v>
          </cell>
          <cell r="F56" t="str">
            <v>355MM</v>
          </cell>
          <cell r="G56" t="str">
            <v>C2187-1F</v>
          </cell>
          <cell r="H56">
            <v>456</v>
          </cell>
          <cell r="I56">
            <v>0.3</v>
          </cell>
          <cell r="J56" t="str">
            <v>H11</v>
          </cell>
          <cell r="K56" t="str">
            <v>NVT</v>
          </cell>
          <cell r="L56">
            <v>10</v>
          </cell>
          <cell r="M56" t="str">
            <v>H11X10</v>
          </cell>
          <cell r="N56">
            <v>105</v>
          </cell>
          <cell r="O56">
            <v>25400141695551</v>
          </cell>
          <cell r="P56" t="str">
            <v>I-2T</v>
          </cell>
          <cell r="Q56">
            <v>1</v>
          </cell>
          <cell r="R56">
            <v>2</v>
          </cell>
          <cell r="T56">
            <v>3200</v>
          </cell>
          <cell r="U56">
            <v>6</v>
          </cell>
          <cell r="V56">
            <v>3200</v>
          </cell>
          <cell r="W56">
            <v>6</v>
          </cell>
          <cell r="X56" t="str">
            <v>X</v>
          </cell>
          <cell r="Y56">
            <v>0</v>
          </cell>
          <cell r="Z56">
            <v>0.06</v>
          </cell>
          <cell r="AA56" t="str">
            <v>! ! ! !</v>
          </cell>
          <cell r="AB56">
            <v>11712</v>
          </cell>
          <cell r="AC56">
            <v>0</v>
          </cell>
          <cell r="AJ56" t="str">
            <v>V-A</v>
          </cell>
          <cell r="AL56">
            <v>0</v>
          </cell>
          <cell r="AM56">
            <v>3200</v>
          </cell>
          <cell r="AN56" t="e">
            <v>#VALUE!</v>
          </cell>
          <cell r="AO56" t="e">
            <v>#VALUE!</v>
          </cell>
          <cell r="AP56">
            <v>-3200</v>
          </cell>
        </row>
        <row r="57">
          <cell r="A57">
            <v>63141500</v>
          </cell>
          <cell r="B57">
            <v>40271500</v>
          </cell>
          <cell r="C57">
            <v>33026</v>
          </cell>
          <cell r="D57" t="str">
            <v>COLR LASAGNE BOLOGNAISE CLASSIC 450G</v>
          </cell>
          <cell r="E57" t="str">
            <v>Colruyt</v>
          </cell>
          <cell r="F57" t="str">
            <v>355MM</v>
          </cell>
          <cell r="G57" t="str">
            <v>C2187-1F</v>
          </cell>
          <cell r="H57">
            <v>365</v>
          </cell>
          <cell r="I57">
            <v>0.45</v>
          </cell>
          <cell r="J57" t="str">
            <v>H11</v>
          </cell>
          <cell r="K57" t="str">
            <v>NVT</v>
          </cell>
          <cell r="L57">
            <v>10</v>
          </cell>
          <cell r="M57" t="str">
            <v>H11X10</v>
          </cell>
          <cell r="N57">
            <v>105</v>
          </cell>
          <cell r="O57">
            <v>15400141941316</v>
          </cell>
          <cell r="P57" t="str">
            <v>4T-K</v>
          </cell>
          <cell r="Q57">
            <v>2</v>
          </cell>
          <cell r="R57">
            <v>2</v>
          </cell>
          <cell r="T57">
            <v>2500</v>
          </cell>
          <cell r="U57">
            <v>6</v>
          </cell>
          <cell r="V57">
            <v>2500</v>
          </cell>
          <cell r="W57">
            <v>6</v>
          </cell>
          <cell r="Z57">
            <v>0.06</v>
          </cell>
          <cell r="AA57" t="str">
            <v>! ! !</v>
          </cell>
          <cell r="AJ57" t="str">
            <v>V-A</v>
          </cell>
          <cell r="AL57">
            <v>0</v>
          </cell>
          <cell r="AM57">
            <v>2500</v>
          </cell>
          <cell r="AN57" t="e">
            <v>#VALUE!</v>
          </cell>
          <cell r="AO57" t="e">
            <v>#VALUE!</v>
          </cell>
          <cell r="AP57">
            <v>-2500</v>
          </cell>
        </row>
        <row r="58">
          <cell r="A58">
            <v>63150000</v>
          </cell>
          <cell r="B58">
            <v>40205200</v>
          </cell>
          <cell r="C58">
            <v>1018337</v>
          </cell>
          <cell r="D58" t="str">
            <v>LIDL BE AARDAPPELGRATIN 450G</v>
          </cell>
          <cell r="E58" t="str">
            <v>Lidl BE</v>
          </cell>
          <cell r="F58" t="str">
            <v>355MM</v>
          </cell>
          <cell r="G58" t="str">
            <v>C2187-1F</v>
          </cell>
          <cell r="H58">
            <v>548</v>
          </cell>
          <cell r="I58">
            <v>0.45</v>
          </cell>
          <cell r="J58" t="str">
            <v>H11</v>
          </cell>
          <cell r="K58" t="str">
            <v>NVT</v>
          </cell>
          <cell r="L58">
            <v>10</v>
          </cell>
          <cell r="M58" t="str">
            <v>H11X10</v>
          </cell>
          <cell r="N58">
            <v>105</v>
          </cell>
          <cell r="O58">
            <v>4053216398917</v>
          </cell>
          <cell r="P58" t="str">
            <v>2T-I-K</v>
          </cell>
          <cell r="Q58">
            <v>1</v>
          </cell>
          <cell r="R58">
            <v>2</v>
          </cell>
          <cell r="T58">
            <v>3500</v>
          </cell>
          <cell r="U58">
            <v>3</v>
          </cell>
          <cell r="V58">
            <v>3500</v>
          </cell>
          <cell r="W58">
            <v>3</v>
          </cell>
          <cell r="X58" t="str">
            <v>X</v>
          </cell>
          <cell r="Y58">
            <v>0</v>
          </cell>
          <cell r="Z58">
            <v>7.6999999999999999E-2</v>
          </cell>
          <cell r="AA58" t="str">
            <v>! !</v>
          </cell>
          <cell r="AB58">
            <v>26810</v>
          </cell>
          <cell r="AC58">
            <v>0</v>
          </cell>
          <cell r="AE58" t="str">
            <v>x</v>
          </cell>
          <cell r="AJ58" t="str">
            <v>-</v>
          </cell>
          <cell r="AL58">
            <v>0</v>
          </cell>
          <cell r="AM58">
            <v>3500</v>
          </cell>
          <cell r="AN58" t="e">
            <v>#VALUE!</v>
          </cell>
          <cell r="AO58" t="e">
            <v>#VALUE!</v>
          </cell>
          <cell r="AP58">
            <v>-3500</v>
          </cell>
        </row>
        <row r="59">
          <cell r="A59">
            <v>63183700</v>
          </cell>
          <cell r="B59">
            <v>40278100</v>
          </cell>
          <cell r="C59">
            <v>9820513</v>
          </cell>
          <cell r="D59" t="str">
            <v>BOF DE SPAGHETTI BOLOGNAISE 400G</v>
          </cell>
          <cell r="E59" t="str">
            <v>BOF DE</v>
          </cell>
          <cell r="F59" t="str">
            <v>355MM</v>
          </cell>
          <cell r="G59" t="str">
            <v>C2187-1F</v>
          </cell>
          <cell r="H59">
            <v>365</v>
          </cell>
          <cell r="I59">
            <v>0.4</v>
          </cell>
          <cell r="J59" t="str">
            <v>H11</v>
          </cell>
          <cell r="K59" t="str">
            <v>NVT</v>
          </cell>
          <cell r="L59">
            <v>10</v>
          </cell>
          <cell r="M59" t="str">
            <v>H11X10</v>
          </cell>
          <cell r="N59">
            <v>105</v>
          </cell>
          <cell r="O59">
            <v>5400870318376</v>
          </cell>
          <cell r="P59" t="str">
            <v>L-2T</v>
          </cell>
          <cell r="Q59">
            <v>2</v>
          </cell>
          <cell r="R59">
            <v>2</v>
          </cell>
          <cell r="T59">
            <v>3500</v>
          </cell>
          <cell r="U59">
            <v>5</v>
          </cell>
          <cell r="V59">
            <v>3500</v>
          </cell>
          <cell r="W59">
            <v>5</v>
          </cell>
          <cell r="Z59">
            <v>3.3000000000000002E-2</v>
          </cell>
          <cell r="AA59" t="str">
            <v>! ! !</v>
          </cell>
          <cell r="AB59">
            <v>26810</v>
          </cell>
          <cell r="AC59">
            <v>0</v>
          </cell>
          <cell r="AJ59" t="str">
            <v>V-A</v>
          </cell>
          <cell r="AL59">
            <v>0</v>
          </cell>
          <cell r="AM59">
            <v>3500</v>
          </cell>
          <cell r="AN59" t="e">
            <v>#VALUE!</v>
          </cell>
          <cell r="AO59" t="e">
            <v>#VALUE!</v>
          </cell>
          <cell r="AP59">
            <v>-3500</v>
          </cell>
        </row>
        <row r="60">
          <cell r="A60">
            <v>63250000</v>
          </cell>
          <cell r="B60">
            <v>40263600</v>
          </cell>
          <cell r="C60">
            <v>87855</v>
          </cell>
          <cell r="D60" t="str">
            <v>THIRIET WITLOOF HAM KAAS 700G</v>
          </cell>
          <cell r="E60" t="str">
            <v>THIRIET</v>
          </cell>
          <cell r="F60" t="str">
            <v>290MM</v>
          </cell>
          <cell r="G60" t="str">
            <v>AR 1150-8</v>
          </cell>
          <cell r="H60">
            <v>365</v>
          </cell>
          <cell r="I60">
            <v>0.7</v>
          </cell>
          <cell r="J60" t="str">
            <v>H9 NEW</v>
          </cell>
          <cell r="K60" t="str">
            <v>NVT</v>
          </cell>
          <cell r="L60">
            <v>6</v>
          </cell>
          <cell r="M60" t="str">
            <v>H9x6 GEPERFOREERD</v>
          </cell>
          <cell r="N60" t="str">
            <v>81</v>
          </cell>
          <cell r="O60">
            <v>13292590878556</v>
          </cell>
          <cell r="P60" t="str">
            <v>T-K</v>
          </cell>
          <cell r="Q60">
            <v>1</v>
          </cell>
          <cell r="R60">
            <v>2</v>
          </cell>
          <cell r="S60" t="str">
            <v>HAM snijden, 2000 sneedjes hesp/werkuur</v>
          </cell>
          <cell r="T60">
            <v>950</v>
          </cell>
          <cell r="U60">
            <v>11</v>
          </cell>
          <cell r="V60">
            <v>950</v>
          </cell>
          <cell r="W60">
            <v>11</v>
          </cell>
          <cell r="X60">
            <v>0</v>
          </cell>
          <cell r="Y60">
            <v>0</v>
          </cell>
          <cell r="Z60">
            <v>7.0000000000000007E-2</v>
          </cell>
          <cell r="AA60" t="str">
            <v>! !</v>
          </cell>
          <cell r="AB60">
            <v>3800</v>
          </cell>
          <cell r="AC60">
            <v>0.20618181818181819</v>
          </cell>
          <cell r="AG60">
            <v>37</v>
          </cell>
          <cell r="AJ60" t="str">
            <v>V-A</v>
          </cell>
          <cell r="AL60">
            <v>2220</v>
          </cell>
          <cell r="AM60">
            <v>950</v>
          </cell>
          <cell r="AN60" t="e">
            <v>#VALUE!</v>
          </cell>
          <cell r="AO60" t="e">
            <v>#VALUE!</v>
          </cell>
          <cell r="AP60">
            <v>1270</v>
          </cell>
        </row>
        <row r="61">
          <cell r="A61">
            <v>63250100</v>
          </cell>
          <cell r="B61">
            <v>40291600</v>
          </cell>
          <cell r="C61">
            <v>87855</v>
          </cell>
          <cell r="D61" t="str">
            <v>THIRIET WITLOOF HAM KAAS 700G 45mm</v>
          </cell>
          <cell r="E61" t="str">
            <v>THIRIET</v>
          </cell>
          <cell r="F61" t="str">
            <v>290MM</v>
          </cell>
          <cell r="G61" t="str">
            <v>AR 1150-8</v>
          </cell>
          <cell r="H61">
            <v>365</v>
          </cell>
          <cell r="I61">
            <v>0.7</v>
          </cell>
          <cell r="J61" t="str">
            <v>H9 45mm</v>
          </cell>
          <cell r="K61" t="str">
            <v>NVT</v>
          </cell>
          <cell r="L61">
            <v>6</v>
          </cell>
          <cell r="M61" t="str">
            <v>H9 45mm x6 GEPERFOREERD</v>
          </cell>
          <cell r="N61" t="str">
            <v>90</v>
          </cell>
          <cell r="O61">
            <v>13292591878555</v>
          </cell>
          <cell r="P61" t="str">
            <v>T-K</v>
          </cell>
          <cell r="Q61">
            <v>1</v>
          </cell>
          <cell r="R61">
            <v>2</v>
          </cell>
          <cell r="S61" t="str">
            <v>HAM snijden, 2000 sneedjes hesp/werkuur</v>
          </cell>
          <cell r="T61">
            <v>950</v>
          </cell>
          <cell r="U61">
            <v>11</v>
          </cell>
          <cell r="V61">
            <v>950</v>
          </cell>
          <cell r="W61">
            <v>11</v>
          </cell>
          <cell r="X61">
            <v>0</v>
          </cell>
          <cell r="Y61">
            <v>0</v>
          </cell>
          <cell r="Z61">
            <v>7.0000000000000007E-2</v>
          </cell>
          <cell r="AA61" t="str">
            <v>! !</v>
          </cell>
          <cell r="AB61">
            <v>3800</v>
          </cell>
          <cell r="AC61">
            <v>0</v>
          </cell>
          <cell r="AJ61" t="str">
            <v>V-A</v>
          </cell>
          <cell r="AL61">
            <v>0</v>
          </cell>
          <cell r="AM61">
            <v>950</v>
          </cell>
          <cell r="AN61" t="e">
            <v>#VALUE!</v>
          </cell>
          <cell r="AO61" t="e">
            <v>#VALUE!</v>
          </cell>
          <cell r="AP61">
            <v>-950</v>
          </cell>
        </row>
        <row r="62">
          <cell r="A62">
            <v>63291300</v>
          </cell>
          <cell r="B62">
            <v>40291200</v>
          </cell>
          <cell r="C62">
            <v>9902463</v>
          </cell>
          <cell r="D62" t="str">
            <v>BOF BE KIPPENBOUT APPELMOES PUREE 510G</v>
          </cell>
          <cell r="E62" t="str">
            <v>Bofrost BE</v>
          </cell>
          <cell r="F62" t="str">
            <v>290MM</v>
          </cell>
          <cell r="G62" t="str">
            <v>C2227-2K</v>
          </cell>
          <cell r="H62">
            <v>548</v>
          </cell>
          <cell r="I62">
            <v>0.51</v>
          </cell>
          <cell r="J62" t="str">
            <v>H9 45mm</v>
          </cell>
          <cell r="K62" t="str">
            <v>NVT</v>
          </cell>
          <cell r="L62">
            <v>6</v>
          </cell>
          <cell r="M62" t="str">
            <v>H10X8</v>
          </cell>
          <cell r="N62" t="str">
            <v>81</v>
          </cell>
          <cell r="O62">
            <v>5410953329137</v>
          </cell>
          <cell r="P62" t="str">
            <v>2T-H</v>
          </cell>
          <cell r="Q62">
            <v>2.5</v>
          </cell>
          <cell r="R62">
            <v>2</v>
          </cell>
          <cell r="T62">
            <v>2200</v>
          </cell>
          <cell r="U62">
            <v>4</v>
          </cell>
          <cell r="V62">
            <v>2200</v>
          </cell>
          <cell r="W62">
            <v>4</v>
          </cell>
          <cell r="X62">
            <v>0</v>
          </cell>
          <cell r="Y62">
            <v>0</v>
          </cell>
          <cell r="Z62">
            <v>0</v>
          </cell>
          <cell r="AA62" t="str">
            <v>! !</v>
          </cell>
          <cell r="AB62">
            <v>6500</v>
          </cell>
          <cell r="AC62">
            <v>0.11333333333333333</v>
          </cell>
          <cell r="AG62">
            <v>45</v>
          </cell>
          <cell r="AJ62" t="str">
            <v>V-A</v>
          </cell>
          <cell r="AL62">
            <v>2700</v>
          </cell>
          <cell r="AM62">
            <v>2200</v>
          </cell>
          <cell r="AN62" t="e">
            <v>#VALUE!</v>
          </cell>
          <cell r="AO62" t="e">
            <v>#VALUE!</v>
          </cell>
          <cell r="AP62">
            <v>500</v>
          </cell>
        </row>
        <row r="63">
          <cell r="A63">
            <v>63293000</v>
          </cell>
          <cell r="B63">
            <v>40291300</v>
          </cell>
          <cell r="C63">
            <v>9816297</v>
          </cell>
          <cell r="D63" t="str">
            <v>BOF FR LASAGNE ZALM ASC PREI 800G</v>
          </cell>
          <cell r="E63" t="str">
            <v>Bofrost FR</v>
          </cell>
          <cell r="F63" t="str">
            <v>290MM</v>
          </cell>
          <cell r="G63" t="str">
            <v>AR 1150-8</v>
          </cell>
          <cell r="H63">
            <v>365</v>
          </cell>
          <cell r="I63">
            <v>0.8</v>
          </cell>
          <cell r="J63" t="str">
            <v>H9 45mm</v>
          </cell>
          <cell r="K63" t="str">
            <v>NVT</v>
          </cell>
          <cell r="L63">
            <v>6</v>
          </cell>
          <cell r="M63" t="str">
            <v>H10X8</v>
          </cell>
          <cell r="N63" t="str">
            <v>81</v>
          </cell>
          <cell r="O63" t="str">
            <v xml:space="preserve">5400870329303  </v>
          </cell>
          <cell r="P63" t="str">
            <v>5T-K</v>
          </cell>
          <cell r="Q63">
            <v>3</v>
          </cell>
          <cell r="R63">
            <v>2</v>
          </cell>
          <cell r="S63" t="str">
            <v>ZALM verzagen (227g)</v>
          </cell>
          <cell r="T63">
            <v>1750</v>
          </cell>
          <cell r="U63">
            <v>6</v>
          </cell>
          <cell r="V63">
            <v>1750</v>
          </cell>
          <cell r="W63">
            <v>6</v>
          </cell>
          <cell r="X63">
            <v>0</v>
          </cell>
          <cell r="Y63">
            <v>0</v>
          </cell>
          <cell r="Z63">
            <v>7.0000000000000007E-2</v>
          </cell>
          <cell r="AA63" t="str">
            <v>! ! ! !</v>
          </cell>
          <cell r="AB63">
            <v>3000</v>
          </cell>
          <cell r="AC63">
            <v>0</v>
          </cell>
          <cell r="AG63">
            <v>35</v>
          </cell>
          <cell r="AJ63" t="str">
            <v>V-A</v>
          </cell>
          <cell r="AL63">
            <v>2100</v>
          </cell>
          <cell r="AM63">
            <v>1750</v>
          </cell>
          <cell r="AN63" t="e">
            <v>#VALUE!</v>
          </cell>
          <cell r="AO63" t="e">
            <v>#VALUE!</v>
          </cell>
          <cell r="AP63">
            <v>350</v>
          </cell>
        </row>
        <row r="64">
          <cell r="A64">
            <v>63293100</v>
          </cell>
          <cell r="B64">
            <v>40264600</v>
          </cell>
          <cell r="C64">
            <v>6916299</v>
          </cell>
          <cell r="D64" t="str">
            <v>BOF FR TARTIFLETTE 800G</v>
          </cell>
          <cell r="E64" t="str">
            <v>Bofrost FR</v>
          </cell>
          <cell r="F64" t="str">
            <v>290MM</v>
          </cell>
          <cell r="G64" t="str">
            <v>AR 1150-8</v>
          </cell>
          <cell r="H64">
            <v>365</v>
          </cell>
          <cell r="I64">
            <v>0.8</v>
          </cell>
          <cell r="J64" t="str">
            <v>H9 NEW</v>
          </cell>
          <cell r="K64" t="str">
            <v>NVT</v>
          </cell>
          <cell r="L64">
            <v>6</v>
          </cell>
          <cell r="M64" t="str">
            <v>H10X8</v>
          </cell>
          <cell r="N64" t="str">
            <v>81</v>
          </cell>
          <cell r="O64">
            <v>5400870329310</v>
          </cell>
          <cell r="P64" t="str">
            <v>I-2T</v>
          </cell>
          <cell r="Q64">
            <v>1</v>
          </cell>
          <cell r="R64">
            <v>2</v>
          </cell>
          <cell r="T64">
            <v>1750</v>
          </cell>
          <cell r="U64">
            <v>4</v>
          </cell>
          <cell r="V64">
            <v>1750</v>
          </cell>
          <cell r="W64">
            <v>4</v>
          </cell>
          <cell r="X64">
            <v>0</v>
          </cell>
          <cell r="Y64">
            <v>0</v>
          </cell>
          <cell r="Z64">
            <v>7.0000000000000007E-2</v>
          </cell>
          <cell r="AA64" t="str">
            <v>! !</v>
          </cell>
          <cell r="AB64">
            <v>2850</v>
          </cell>
          <cell r="AC64">
            <v>0</v>
          </cell>
          <cell r="AJ64" t="str">
            <v>V-A</v>
          </cell>
          <cell r="AL64">
            <v>0</v>
          </cell>
          <cell r="AM64">
            <v>1750</v>
          </cell>
          <cell r="AN64" t="e">
            <v>#VALUE!</v>
          </cell>
          <cell r="AO64" t="e">
            <v>#VALUE!</v>
          </cell>
          <cell r="AP64">
            <v>-1750</v>
          </cell>
        </row>
        <row r="65">
          <cell r="A65">
            <v>63293300</v>
          </cell>
          <cell r="B65">
            <v>40273200</v>
          </cell>
          <cell r="C65">
            <v>16903</v>
          </cell>
          <cell r="D65" t="str">
            <v>BOF FR VARKENSTOOFVLEES BIERSAUS PUREE 750G</v>
          </cell>
          <cell r="E65" t="str">
            <v>Bofrost FR</v>
          </cell>
          <cell r="F65" t="str">
            <v>290MM</v>
          </cell>
          <cell r="G65" t="str">
            <v>AR 1150-8</v>
          </cell>
          <cell r="H65">
            <v>365</v>
          </cell>
          <cell r="I65">
            <v>0.75</v>
          </cell>
          <cell r="J65" t="str">
            <v>H9 NEW</v>
          </cell>
          <cell r="K65" t="str">
            <v>NVT</v>
          </cell>
          <cell r="L65">
            <v>6</v>
          </cell>
          <cell r="M65" t="str">
            <v>H10X8</v>
          </cell>
          <cell r="N65" t="str">
            <v>81</v>
          </cell>
          <cell r="O65">
            <v>5400870329334</v>
          </cell>
          <cell r="P65" t="str">
            <v>H-2T</v>
          </cell>
          <cell r="Q65">
            <v>2</v>
          </cell>
          <cell r="R65">
            <v>2</v>
          </cell>
          <cell r="S65" t="str">
            <v>Stoofvlees D-1</v>
          </cell>
          <cell r="T65">
            <v>1750</v>
          </cell>
          <cell r="U65">
            <v>6</v>
          </cell>
          <cell r="V65">
            <v>1750</v>
          </cell>
          <cell r="W65">
            <v>6</v>
          </cell>
          <cell r="X65">
            <v>0</v>
          </cell>
          <cell r="Y65">
            <v>0</v>
          </cell>
          <cell r="Z65">
            <v>0.04</v>
          </cell>
          <cell r="AA65" t="str">
            <v>! ! !</v>
          </cell>
          <cell r="AB65">
            <v>10000</v>
          </cell>
          <cell r="AC65">
            <v>0.38850000000000001</v>
          </cell>
          <cell r="AG65">
            <v>35</v>
          </cell>
          <cell r="AJ65" t="str">
            <v>V-A</v>
          </cell>
          <cell r="AL65">
            <v>2100</v>
          </cell>
          <cell r="AM65">
            <v>1750</v>
          </cell>
          <cell r="AN65" t="e">
            <v>#VALUE!</v>
          </cell>
          <cell r="AO65" t="e">
            <v>#VALUE!</v>
          </cell>
          <cell r="AP65">
            <v>350</v>
          </cell>
        </row>
        <row r="66">
          <cell r="A66">
            <v>63293500</v>
          </cell>
          <cell r="B66">
            <v>40291400</v>
          </cell>
          <cell r="C66">
            <v>9916910</v>
          </cell>
          <cell r="D66" t="str">
            <v>BOF FR KIP ROUGAIL LINZEN RIJST 750G</v>
          </cell>
          <cell r="E66" t="str">
            <v>Bofrost FR</v>
          </cell>
          <cell r="F66" t="str">
            <v>290MM</v>
          </cell>
          <cell r="G66" t="str">
            <v>AR 1150-8</v>
          </cell>
          <cell r="H66">
            <v>456</v>
          </cell>
          <cell r="I66">
            <v>0.75</v>
          </cell>
          <cell r="J66" t="str">
            <v>H9 45mm</v>
          </cell>
          <cell r="K66" t="str">
            <v>NVT</v>
          </cell>
          <cell r="L66">
            <v>6</v>
          </cell>
          <cell r="M66" t="str">
            <v>H10X8</v>
          </cell>
          <cell r="N66" t="str">
            <v>81</v>
          </cell>
          <cell r="O66">
            <v>5400870329358</v>
          </cell>
          <cell r="P66" t="str">
            <v>I-L-4T</v>
          </cell>
          <cell r="Q66">
            <v>2</v>
          </cell>
          <cell r="R66">
            <v>2</v>
          </cell>
          <cell r="T66">
            <v>1750</v>
          </cell>
          <cell r="U66">
            <v>5</v>
          </cell>
          <cell r="V66">
            <v>1750</v>
          </cell>
          <cell r="W66">
            <v>5</v>
          </cell>
          <cell r="Z66">
            <v>0.04</v>
          </cell>
          <cell r="AA66" t="str">
            <v>-</v>
          </cell>
          <cell r="AG66">
            <v>35</v>
          </cell>
          <cell r="AJ66" t="str">
            <v>-</v>
          </cell>
          <cell r="AL66">
            <v>2100</v>
          </cell>
          <cell r="AM66">
            <v>1750</v>
          </cell>
          <cell r="AN66" t="e">
            <v>#VALUE!</v>
          </cell>
          <cell r="AO66" t="e">
            <v>#VALUE!</v>
          </cell>
          <cell r="AP66">
            <v>350</v>
          </cell>
        </row>
        <row r="67">
          <cell r="A67">
            <v>63310200</v>
          </cell>
          <cell r="C67">
            <v>63310200</v>
          </cell>
          <cell r="D67" t="str">
            <v xml:space="preserve">DMH LASAGNE BOLOGNESE MAISON              </v>
          </cell>
          <cell r="E67" t="str">
            <v>DMH</v>
          </cell>
          <cell r="F67" t="str">
            <v>225MM</v>
          </cell>
          <cell r="G67" t="str">
            <v>UK-57</v>
          </cell>
          <cell r="H67">
            <v>456</v>
          </cell>
          <cell r="I67">
            <v>0.5</v>
          </cell>
          <cell r="J67" t="str">
            <v>NVT</v>
          </cell>
          <cell r="K67" t="str">
            <v>DELIMEAL HORECA</v>
          </cell>
          <cell r="L67">
            <v>6</v>
          </cell>
          <cell r="M67" t="str">
            <v>DMH X 6</v>
          </cell>
          <cell r="N67">
            <v>108</v>
          </cell>
          <cell r="O67">
            <v>5410953331024</v>
          </cell>
          <cell r="P67" t="str">
            <v>4T-H-K</v>
          </cell>
          <cell r="Q67">
            <v>2</v>
          </cell>
          <cell r="R67">
            <v>3</v>
          </cell>
          <cell r="T67">
            <v>2500</v>
          </cell>
          <cell r="U67">
            <v>6</v>
          </cell>
          <cell r="V67">
            <v>2500</v>
          </cell>
          <cell r="W67">
            <v>6</v>
          </cell>
          <cell r="X67">
            <v>0</v>
          </cell>
          <cell r="Y67">
            <v>0</v>
          </cell>
          <cell r="Z67">
            <v>0</v>
          </cell>
          <cell r="AA67" t="str">
            <v>! ! !</v>
          </cell>
          <cell r="AB67">
            <v>19150</v>
          </cell>
          <cell r="AC67">
            <v>0</v>
          </cell>
          <cell r="AE67" t="str">
            <v>x</v>
          </cell>
          <cell r="AG67">
            <v>50</v>
          </cell>
          <cell r="AJ67" t="str">
            <v>V-A</v>
          </cell>
          <cell r="AL67">
            <v>3000</v>
          </cell>
          <cell r="AM67">
            <v>2500</v>
          </cell>
          <cell r="AN67" t="e">
            <v>#VALUE!</v>
          </cell>
          <cell r="AO67" t="e">
            <v>#VALUE!</v>
          </cell>
          <cell r="AP67">
            <v>500</v>
          </cell>
        </row>
        <row r="68">
          <cell r="A68">
            <v>63310400</v>
          </cell>
          <cell r="C68">
            <v>63310400</v>
          </cell>
          <cell r="D68" t="str">
            <v xml:space="preserve">DMH LASAGNE GEGRILDE GROENTEN                    </v>
          </cell>
          <cell r="E68" t="str">
            <v>DMH</v>
          </cell>
          <cell r="F68" t="str">
            <v>225MM</v>
          </cell>
          <cell r="G68" t="str">
            <v>UK-57</v>
          </cell>
          <cell r="H68">
            <v>456</v>
          </cell>
          <cell r="I68">
            <v>0.5</v>
          </cell>
          <cell r="J68" t="str">
            <v>NVT</v>
          </cell>
          <cell r="K68" t="str">
            <v>DELIMEAL HORECA</v>
          </cell>
          <cell r="L68">
            <v>6</v>
          </cell>
          <cell r="M68" t="str">
            <v>DMH X 6</v>
          </cell>
          <cell r="N68">
            <v>108</v>
          </cell>
          <cell r="O68">
            <v>5410953331048</v>
          </cell>
          <cell r="P68" t="str">
            <v>3T-H-K</v>
          </cell>
          <cell r="Q68">
            <v>2</v>
          </cell>
          <cell r="R68">
            <v>3</v>
          </cell>
          <cell r="T68">
            <v>2500</v>
          </cell>
          <cell r="U68">
            <v>5</v>
          </cell>
          <cell r="V68">
            <v>2500</v>
          </cell>
          <cell r="W68">
            <v>5</v>
          </cell>
          <cell r="X68">
            <v>0</v>
          </cell>
          <cell r="Y68">
            <v>0</v>
          </cell>
          <cell r="Z68">
            <v>0</v>
          </cell>
          <cell r="AA68" t="str">
            <v>! !</v>
          </cell>
          <cell r="AB68">
            <v>19150</v>
          </cell>
          <cell r="AC68">
            <v>0</v>
          </cell>
          <cell r="AE68" t="str">
            <v>x</v>
          </cell>
          <cell r="AG68">
            <v>50</v>
          </cell>
          <cell r="AJ68" t="str">
            <v>-</v>
          </cell>
          <cell r="AL68">
            <v>3000</v>
          </cell>
          <cell r="AM68">
            <v>2500</v>
          </cell>
          <cell r="AN68" t="e">
            <v>#VALUE!</v>
          </cell>
          <cell r="AO68" t="e">
            <v>#VALUE!</v>
          </cell>
          <cell r="AP68">
            <v>500</v>
          </cell>
        </row>
        <row r="69">
          <cell r="A69">
            <v>63310500</v>
          </cell>
          <cell r="C69">
            <v>63310500</v>
          </cell>
          <cell r="D69" t="str">
            <v>DMH LASAGNE BOLOGNESE HALAL</v>
          </cell>
          <cell r="E69" t="str">
            <v>DMH</v>
          </cell>
          <cell r="F69" t="str">
            <v>225MM</v>
          </cell>
          <cell r="G69" t="str">
            <v>UK-57</v>
          </cell>
          <cell r="H69">
            <v>456</v>
          </cell>
          <cell r="I69">
            <v>0.5</v>
          </cell>
          <cell r="J69" t="str">
            <v>NVT</v>
          </cell>
          <cell r="K69" t="str">
            <v>DELIMEAL HORECA</v>
          </cell>
          <cell r="L69">
            <v>6</v>
          </cell>
          <cell r="M69" t="str">
            <v>DMH X 6</v>
          </cell>
          <cell r="N69">
            <v>108</v>
          </cell>
          <cell r="O69">
            <v>5410953331055</v>
          </cell>
          <cell r="P69" t="str">
            <v>4T-H-K</v>
          </cell>
          <cell r="Q69">
            <v>2</v>
          </cell>
          <cell r="R69">
            <v>3</v>
          </cell>
          <cell r="S69" t="str">
            <v>HALAL</v>
          </cell>
          <cell r="T69">
            <v>2500</v>
          </cell>
          <cell r="U69">
            <v>6</v>
          </cell>
          <cell r="V69">
            <v>2500</v>
          </cell>
          <cell r="W69">
            <v>6</v>
          </cell>
          <cell r="X69">
            <v>0</v>
          </cell>
          <cell r="Y69">
            <v>0</v>
          </cell>
          <cell r="Z69">
            <v>0</v>
          </cell>
          <cell r="AA69" t="str">
            <v>! ! !</v>
          </cell>
          <cell r="AG69">
            <v>50</v>
          </cell>
          <cell r="AJ69" t="str">
            <v>-</v>
          </cell>
          <cell r="AL69">
            <v>3000</v>
          </cell>
          <cell r="AM69">
            <v>2500</v>
          </cell>
          <cell r="AN69" t="e">
            <v>#VALUE!</v>
          </cell>
          <cell r="AO69" t="e">
            <v>#VALUE!</v>
          </cell>
          <cell r="AP69">
            <v>500</v>
          </cell>
        </row>
        <row r="70">
          <cell r="A70">
            <v>63310600</v>
          </cell>
          <cell r="C70">
            <v>63310600</v>
          </cell>
          <cell r="D70" t="str">
            <v xml:space="preserve">DMH SPAGHETTI CARBONARA                          </v>
          </cell>
          <cell r="E70" t="str">
            <v>DMH</v>
          </cell>
          <cell r="F70" t="str">
            <v>225MM</v>
          </cell>
          <cell r="G70" t="str">
            <v>UK-57</v>
          </cell>
          <cell r="H70">
            <v>456</v>
          </cell>
          <cell r="I70">
            <v>0.55000000000000004</v>
          </cell>
          <cell r="J70" t="str">
            <v>NVT</v>
          </cell>
          <cell r="K70" t="str">
            <v>DELIMEAL HORECA</v>
          </cell>
          <cell r="L70">
            <v>6</v>
          </cell>
          <cell r="M70" t="str">
            <v>DMH X 6</v>
          </cell>
          <cell r="N70">
            <v>108</v>
          </cell>
          <cell r="O70">
            <v>5410953331062</v>
          </cell>
          <cell r="P70" t="str">
            <v>M-T</v>
          </cell>
          <cell r="Q70">
            <v>2.5</v>
          </cell>
          <cell r="R70">
            <v>3</v>
          </cell>
          <cell r="T70">
            <v>2500</v>
          </cell>
          <cell r="U70">
            <v>4</v>
          </cell>
          <cell r="V70">
            <v>2500</v>
          </cell>
          <cell r="W70">
            <v>4</v>
          </cell>
          <cell r="X70">
            <v>0</v>
          </cell>
          <cell r="Y70">
            <v>0</v>
          </cell>
          <cell r="Z70">
            <v>0</v>
          </cell>
          <cell r="AA70" t="str">
            <v>! !</v>
          </cell>
          <cell r="AC70">
            <v>0</v>
          </cell>
          <cell r="AE70" t="str">
            <v>x</v>
          </cell>
          <cell r="AG70">
            <v>50</v>
          </cell>
          <cell r="AJ70" t="str">
            <v>V-A</v>
          </cell>
          <cell r="AL70">
            <v>3000</v>
          </cell>
          <cell r="AM70">
            <v>2500</v>
          </cell>
          <cell r="AN70" t="e">
            <v>#VALUE!</v>
          </cell>
          <cell r="AO70" t="e">
            <v>#VALUE!</v>
          </cell>
          <cell r="AP70">
            <v>500</v>
          </cell>
        </row>
        <row r="71">
          <cell r="A71">
            <v>63310800</v>
          </cell>
          <cell r="C71">
            <v>63310800</v>
          </cell>
          <cell r="D71" t="str">
            <v xml:space="preserve">DMH SPAGHETTI BOLOGNESE MAISON        </v>
          </cell>
          <cell r="E71" t="str">
            <v>DMH</v>
          </cell>
          <cell r="F71" t="str">
            <v>225MM</v>
          </cell>
          <cell r="G71" t="str">
            <v>UK-57</v>
          </cell>
          <cell r="H71">
            <v>456</v>
          </cell>
          <cell r="I71">
            <v>0.55000000000000004</v>
          </cell>
          <cell r="J71" t="str">
            <v>NVT</v>
          </cell>
          <cell r="K71" t="str">
            <v>DELIMEAL HORECA</v>
          </cell>
          <cell r="L71">
            <v>6</v>
          </cell>
          <cell r="M71" t="str">
            <v>DMH X 6</v>
          </cell>
          <cell r="N71">
            <v>108</v>
          </cell>
          <cell r="O71">
            <v>5410953331086</v>
          </cell>
          <cell r="P71" t="str">
            <v>M-2T</v>
          </cell>
          <cell r="Q71">
            <v>2.5</v>
          </cell>
          <cell r="R71">
            <v>3</v>
          </cell>
          <cell r="T71">
            <v>2500</v>
          </cell>
          <cell r="U71">
            <v>4</v>
          </cell>
          <cell r="V71">
            <v>2500</v>
          </cell>
          <cell r="W71">
            <v>4</v>
          </cell>
          <cell r="X71">
            <v>0</v>
          </cell>
          <cell r="Y71">
            <v>0</v>
          </cell>
          <cell r="Z71">
            <v>0</v>
          </cell>
          <cell r="AA71" t="str">
            <v>! ! !</v>
          </cell>
          <cell r="AC71">
            <v>0</v>
          </cell>
          <cell r="AE71" t="str">
            <v>x</v>
          </cell>
          <cell r="AG71">
            <v>50</v>
          </cell>
          <cell r="AJ71" t="str">
            <v>V-A</v>
          </cell>
          <cell r="AL71">
            <v>3000</v>
          </cell>
          <cell r="AM71">
            <v>2500</v>
          </cell>
          <cell r="AN71" t="e">
            <v>#VALUE!</v>
          </cell>
          <cell r="AO71" t="e">
            <v>#VALUE!</v>
          </cell>
          <cell r="AP71">
            <v>500</v>
          </cell>
        </row>
        <row r="72">
          <cell r="A72">
            <v>63311100</v>
          </cell>
          <cell r="C72">
            <v>63311100</v>
          </cell>
          <cell r="D72" t="str">
            <v xml:space="preserve">DMH TAGLIATELLE HAM KAAS            </v>
          </cell>
          <cell r="E72" t="str">
            <v>DMH</v>
          </cell>
          <cell r="F72" t="str">
            <v>225MM</v>
          </cell>
          <cell r="G72" t="str">
            <v>UK-57</v>
          </cell>
          <cell r="H72">
            <v>456</v>
          </cell>
          <cell r="I72">
            <v>0.5</v>
          </cell>
          <cell r="J72" t="str">
            <v>NVT</v>
          </cell>
          <cell r="K72" t="str">
            <v>DELIMEAL HORECA</v>
          </cell>
          <cell r="L72">
            <v>6</v>
          </cell>
          <cell r="M72" t="str">
            <v>DMH X 6</v>
          </cell>
          <cell r="N72">
            <v>108</v>
          </cell>
          <cell r="O72">
            <v>5410953331116</v>
          </cell>
          <cell r="P72" t="str">
            <v>M-T</v>
          </cell>
          <cell r="Q72">
            <v>2.5</v>
          </cell>
          <cell r="R72">
            <v>3</v>
          </cell>
          <cell r="S72" t="str">
            <v>HAM snijden</v>
          </cell>
          <cell r="T72">
            <v>2200</v>
          </cell>
          <cell r="U72">
            <v>4</v>
          </cell>
          <cell r="V72">
            <v>2200</v>
          </cell>
          <cell r="W72">
            <v>4</v>
          </cell>
          <cell r="X72">
            <v>0</v>
          </cell>
          <cell r="Y72">
            <v>0</v>
          </cell>
          <cell r="Z72">
            <v>0</v>
          </cell>
          <cell r="AA72" t="str">
            <v>! !</v>
          </cell>
          <cell r="AC72">
            <v>0</v>
          </cell>
          <cell r="AE72" t="str">
            <v>x</v>
          </cell>
          <cell r="AJ72" t="str">
            <v>V-A</v>
          </cell>
          <cell r="AL72">
            <v>0</v>
          </cell>
          <cell r="AM72">
            <v>2200</v>
          </cell>
          <cell r="AN72" t="e">
            <v>#VALUE!</v>
          </cell>
          <cell r="AO72" t="e">
            <v>#VALUE!</v>
          </cell>
          <cell r="AP72">
            <v>-2200</v>
          </cell>
        </row>
        <row r="73">
          <cell r="A73">
            <v>63311200</v>
          </cell>
          <cell r="C73">
            <v>63311200</v>
          </cell>
          <cell r="D73" t="str">
            <v xml:space="preserve">DMH LINGUINE KIP FIJNE KRUIDEN          </v>
          </cell>
          <cell r="E73" t="str">
            <v>DMH</v>
          </cell>
          <cell r="F73" t="str">
            <v>225MM</v>
          </cell>
          <cell r="G73" t="str">
            <v>UK-57</v>
          </cell>
          <cell r="H73">
            <v>456</v>
          </cell>
          <cell r="I73">
            <v>0.5</v>
          </cell>
          <cell r="J73" t="str">
            <v>NVT</v>
          </cell>
          <cell r="K73" t="str">
            <v>DELIMEAL HORECA</v>
          </cell>
          <cell r="L73">
            <v>6</v>
          </cell>
          <cell r="M73" t="str">
            <v>DMH X 6</v>
          </cell>
          <cell r="N73">
            <v>108</v>
          </cell>
          <cell r="O73">
            <v>5410953331123</v>
          </cell>
          <cell r="P73" t="str">
            <v>M-I-2T</v>
          </cell>
          <cell r="Q73">
            <v>2.5</v>
          </cell>
          <cell r="R73">
            <v>3</v>
          </cell>
          <cell r="T73">
            <v>2200</v>
          </cell>
          <cell r="U73">
            <v>5</v>
          </cell>
          <cell r="V73">
            <v>2200</v>
          </cell>
          <cell r="W73">
            <v>5</v>
          </cell>
          <cell r="X73">
            <v>0</v>
          </cell>
          <cell r="Y73">
            <v>0</v>
          </cell>
          <cell r="Z73">
            <v>0</v>
          </cell>
          <cell r="AA73" t="str">
            <v>! !</v>
          </cell>
          <cell r="AC73">
            <v>0</v>
          </cell>
          <cell r="AE73" t="str">
            <v>x</v>
          </cell>
          <cell r="AJ73" t="str">
            <v>V-A</v>
          </cell>
          <cell r="AL73">
            <v>0</v>
          </cell>
          <cell r="AM73">
            <v>2200</v>
          </cell>
          <cell r="AN73" t="e">
            <v>#VALUE!</v>
          </cell>
          <cell r="AO73" t="e">
            <v>#VALUE!</v>
          </cell>
          <cell r="AP73">
            <v>-2200</v>
          </cell>
        </row>
        <row r="74">
          <cell r="A74">
            <v>63311500</v>
          </cell>
          <cell r="C74">
            <v>63311500</v>
          </cell>
          <cell r="D74" t="str">
            <v xml:space="preserve">DMH TAGLIATELLE KIP BOSCHAMPIGNONS            </v>
          </cell>
          <cell r="E74" t="str">
            <v>DMH</v>
          </cell>
          <cell r="F74" t="str">
            <v>225MM</v>
          </cell>
          <cell r="G74" t="str">
            <v>UK-57</v>
          </cell>
          <cell r="H74">
            <v>456</v>
          </cell>
          <cell r="I74">
            <v>0.5</v>
          </cell>
          <cell r="J74" t="str">
            <v>NVT</v>
          </cell>
          <cell r="K74" t="str">
            <v>DELIMEAL HORECA</v>
          </cell>
          <cell r="L74">
            <v>6</v>
          </cell>
          <cell r="M74" t="str">
            <v>DMH X 6</v>
          </cell>
          <cell r="N74">
            <v>108</v>
          </cell>
          <cell r="O74">
            <v>5410953331154</v>
          </cell>
          <cell r="P74" t="str">
            <v>M-I-2T</v>
          </cell>
          <cell r="Q74">
            <v>2.5</v>
          </cell>
          <cell r="R74">
            <v>3</v>
          </cell>
          <cell r="T74">
            <v>2200</v>
          </cell>
          <cell r="U74">
            <v>5</v>
          </cell>
          <cell r="V74">
            <v>2200</v>
          </cell>
          <cell r="W74">
            <v>5</v>
          </cell>
          <cell r="X74">
            <v>0</v>
          </cell>
          <cell r="Y74">
            <v>0</v>
          </cell>
          <cell r="Z74">
            <v>0</v>
          </cell>
          <cell r="AA74" t="str">
            <v>! !</v>
          </cell>
          <cell r="AC74">
            <v>0</v>
          </cell>
          <cell r="AE74" t="str">
            <v>x</v>
          </cell>
          <cell r="AJ74" t="str">
            <v>-</v>
          </cell>
          <cell r="AL74">
            <v>0</v>
          </cell>
          <cell r="AM74">
            <v>2200</v>
          </cell>
          <cell r="AN74" t="e">
            <v>#VALUE!</v>
          </cell>
          <cell r="AO74" t="e">
            <v>#VALUE!</v>
          </cell>
          <cell r="AP74">
            <v>-2200</v>
          </cell>
        </row>
        <row r="75">
          <cell r="A75">
            <v>63311600</v>
          </cell>
          <cell r="C75">
            <v>63311600</v>
          </cell>
          <cell r="D75" t="str">
            <v xml:space="preserve">DMH TAGLIATELLE GEROOKTE ZALM GROENE ASPERGES </v>
          </cell>
          <cell r="E75" t="str">
            <v>DMH</v>
          </cell>
          <cell r="F75" t="str">
            <v>225MM</v>
          </cell>
          <cell r="G75" t="str">
            <v>UK-57</v>
          </cell>
          <cell r="H75">
            <v>456</v>
          </cell>
          <cell r="I75">
            <v>0.5</v>
          </cell>
          <cell r="J75" t="str">
            <v>NVT</v>
          </cell>
          <cell r="K75" t="str">
            <v>DELIMEAL HORECA</v>
          </cell>
          <cell r="L75">
            <v>6</v>
          </cell>
          <cell r="M75" t="str">
            <v>DMH X 6</v>
          </cell>
          <cell r="N75">
            <v>108</v>
          </cell>
          <cell r="O75">
            <v>5410953331161</v>
          </cell>
          <cell r="P75" t="str">
            <v>I-M-2T</v>
          </cell>
          <cell r="Q75">
            <v>2.5</v>
          </cell>
          <cell r="R75">
            <v>3</v>
          </cell>
          <cell r="S75" t="str">
            <v>ZALMSNIPPERS D-1 ontdooien</v>
          </cell>
          <cell r="T75">
            <v>2200</v>
          </cell>
          <cell r="U75">
            <v>6</v>
          </cell>
          <cell r="V75">
            <v>2200</v>
          </cell>
          <cell r="W75">
            <v>6</v>
          </cell>
          <cell r="X75">
            <v>0</v>
          </cell>
          <cell r="Y75">
            <v>0</v>
          </cell>
          <cell r="Z75">
            <v>0</v>
          </cell>
          <cell r="AA75" t="str">
            <v>! ! ! !</v>
          </cell>
          <cell r="AC75">
            <v>0</v>
          </cell>
          <cell r="AE75" t="str">
            <v>x</v>
          </cell>
          <cell r="AJ75" t="str">
            <v>V-A</v>
          </cell>
          <cell r="AL75">
            <v>0</v>
          </cell>
          <cell r="AM75">
            <v>2200</v>
          </cell>
          <cell r="AN75" t="e">
            <v>#VALUE!</v>
          </cell>
          <cell r="AO75" t="e">
            <v>#VALUE!</v>
          </cell>
          <cell r="AP75">
            <v>-2200</v>
          </cell>
        </row>
        <row r="76">
          <cell r="A76">
            <v>63311700</v>
          </cell>
          <cell r="C76">
            <v>63311700</v>
          </cell>
          <cell r="D76" t="str">
            <v xml:space="preserve">DMH TAGLIATELLE SCAMPI LOOKSAUS         </v>
          </cell>
          <cell r="E76" t="str">
            <v>DMH</v>
          </cell>
          <cell r="F76" t="str">
            <v>225MM</v>
          </cell>
          <cell r="G76" t="str">
            <v>UK-57</v>
          </cell>
          <cell r="H76">
            <v>456</v>
          </cell>
          <cell r="I76">
            <v>0.5</v>
          </cell>
          <cell r="J76" t="str">
            <v>NVT</v>
          </cell>
          <cell r="K76" t="str">
            <v>DELIMEAL HORECA</v>
          </cell>
          <cell r="L76">
            <v>6</v>
          </cell>
          <cell r="M76" t="str">
            <v>DMH X 6</v>
          </cell>
          <cell r="N76">
            <v>108</v>
          </cell>
          <cell r="O76">
            <v>5410953331178</v>
          </cell>
          <cell r="P76" t="str">
            <v>I-M-2T</v>
          </cell>
          <cell r="Q76">
            <v>2.5</v>
          </cell>
          <cell r="R76">
            <v>3</v>
          </cell>
          <cell r="T76">
            <v>2200</v>
          </cell>
          <cell r="U76">
            <v>4</v>
          </cell>
          <cell r="V76">
            <v>2200</v>
          </cell>
          <cell r="W76">
            <v>4</v>
          </cell>
          <cell r="X76">
            <v>0</v>
          </cell>
          <cell r="Y76">
            <v>0</v>
          </cell>
          <cell r="Z76">
            <v>0</v>
          </cell>
          <cell r="AA76" t="str">
            <v>! ! ! !</v>
          </cell>
          <cell r="AC76">
            <v>0</v>
          </cell>
          <cell r="AE76" t="str">
            <v>x</v>
          </cell>
          <cell r="AJ76" t="str">
            <v>V-A</v>
          </cell>
          <cell r="AL76">
            <v>0</v>
          </cell>
          <cell r="AM76">
            <v>2200</v>
          </cell>
          <cell r="AN76" t="e">
            <v>#VALUE!</v>
          </cell>
          <cell r="AO76" t="e">
            <v>#VALUE!</v>
          </cell>
          <cell r="AP76">
            <v>-2200</v>
          </cell>
        </row>
        <row r="77">
          <cell r="A77">
            <v>63311800</v>
          </cell>
          <cell r="C77">
            <v>63311800</v>
          </cell>
          <cell r="D77" t="str">
            <v xml:space="preserve">DMH LINGUINE SCAMPI DIABOLIQUE              </v>
          </cell>
          <cell r="E77" t="str">
            <v>DMH</v>
          </cell>
          <cell r="F77" t="str">
            <v>225MM</v>
          </cell>
          <cell r="G77" t="str">
            <v>UK-57</v>
          </cell>
          <cell r="H77">
            <v>456</v>
          </cell>
          <cell r="I77">
            <v>0.5</v>
          </cell>
          <cell r="J77" t="str">
            <v>NVT</v>
          </cell>
          <cell r="K77" t="str">
            <v>DELIMEAL HORECA</v>
          </cell>
          <cell r="L77">
            <v>6</v>
          </cell>
          <cell r="M77" t="str">
            <v>DMH X 6</v>
          </cell>
          <cell r="N77">
            <v>108</v>
          </cell>
          <cell r="O77">
            <v>5410953331185</v>
          </cell>
          <cell r="P77" t="str">
            <v>I-M-2T</v>
          </cell>
          <cell r="Q77">
            <v>2.5</v>
          </cell>
          <cell r="R77">
            <v>3</v>
          </cell>
          <cell r="T77">
            <v>2200</v>
          </cell>
          <cell r="U77">
            <v>5</v>
          </cell>
          <cell r="V77">
            <v>2200</v>
          </cell>
          <cell r="W77">
            <v>5</v>
          </cell>
          <cell r="X77">
            <v>0</v>
          </cell>
          <cell r="Y77">
            <v>0</v>
          </cell>
          <cell r="Z77">
            <v>0</v>
          </cell>
          <cell r="AA77" t="str">
            <v>! ! ! !</v>
          </cell>
          <cell r="AC77">
            <v>0</v>
          </cell>
          <cell r="AE77" t="str">
            <v>x</v>
          </cell>
          <cell r="AJ77" t="str">
            <v>V-A</v>
          </cell>
          <cell r="AL77">
            <v>0</v>
          </cell>
          <cell r="AM77">
            <v>2200</v>
          </cell>
          <cell r="AN77" t="e">
            <v>#VALUE!</v>
          </cell>
          <cell r="AO77" t="e">
            <v>#VALUE!</v>
          </cell>
          <cell r="AP77">
            <v>-2200</v>
          </cell>
        </row>
        <row r="78">
          <cell r="A78">
            <v>63312200</v>
          </cell>
          <cell r="C78">
            <v>63312200</v>
          </cell>
          <cell r="D78" t="str">
            <v xml:space="preserve">DMH MACARONI HAM KAAS                 </v>
          </cell>
          <cell r="E78" t="str">
            <v>DMH</v>
          </cell>
          <cell r="F78" t="str">
            <v>225MM</v>
          </cell>
          <cell r="G78" t="str">
            <v>UK-57</v>
          </cell>
          <cell r="H78">
            <v>456</v>
          </cell>
          <cell r="I78">
            <v>0.5</v>
          </cell>
          <cell r="J78" t="str">
            <v>NVT</v>
          </cell>
          <cell r="K78" t="str">
            <v>DELIMEAL HORECA</v>
          </cell>
          <cell r="L78">
            <v>6</v>
          </cell>
          <cell r="M78" t="str">
            <v>DMH X 6</v>
          </cell>
          <cell r="N78">
            <v>108</v>
          </cell>
          <cell r="O78">
            <v>5410953331222</v>
          </cell>
          <cell r="P78" t="str">
            <v>M-2T-K</v>
          </cell>
          <cell r="Q78">
            <v>2.5</v>
          </cell>
          <cell r="R78">
            <v>3</v>
          </cell>
          <cell r="T78">
            <v>2500</v>
          </cell>
          <cell r="U78">
            <v>4</v>
          </cell>
          <cell r="V78">
            <v>2500</v>
          </cell>
          <cell r="W78">
            <v>4</v>
          </cell>
          <cell r="X78">
            <v>0</v>
          </cell>
          <cell r="Y78">
            <v>0</v>
          </cell>
          <cell r="Z78">
            <v>0</v>
          </cell>
          <cell r="AA78" t="str">
            <v>! !</v>
          </cell>
          <cell r="AB78">
            <v>19150</v>
          </cell>
          <cell r="AC78">
            <v>0</v>
          </cell>
          <cell r="AE78" t="str">
            <v>x</v>
          </cell>
          <cell r="AG78">
            <v>50</v>
          </cell>
          <cell r="AJ78" t="str">
            <v>V-A</v>
          </cell>
          <cell r="AL78">
            <v>3000</v>
          </cell>
          <cell r="AM78">
            <v>2500</v>
          </cell>
          <cell r="AN78" t="e">
            <v>#VALUE!</v>
          </cell>
          <cell r="AO78" t="e">
            <v>#VALUE!</v>
          </cell>
          <cell r="AP78">
            <v>500</v>
          </cell>
        </row>
        <row r="79">
          <cell r="A79">
            <v>63312400</v>
          </cell>
          <cell r="C79">
            <v>63312400</v>
          </cell>
          <cell r="D79" t="str">
            <v xml:space="preserve">DMH PENNE 4 KAZEN                             </v>
          </cell>
          <cell r="E79" t="str">
            <v>DMH</v>
          </cell>
          <cell r="F79" t="str">
            <v>225MM</v>
          </cell>
          <cell r="G79" t="str">
            <v>UK-57</v>
          </cell>
          <cell r="H79">
            <v>456</v>
          </cell>
          <cell r="I79">
            <v>0.5</v>
          </cell>
          <cell r="J79" t="str">
            <v>NVT</v>
          </cell>
          <cell r="K79" t="str">
            <v>DELIMEAL HORECA</v>
          </cell>
          <cell r="L79">
            <v>6</v>
          </cell>
          <cell r="M79" t="str">
            <v>DMH X 6</v>
          </cell>
          <cell r="N79">
            <v>108</v>
          </cell>
          <cell r="O79">
            <v>5410953331246</v>
          </cell>
          <cell r="P79" t="str">
            <v>M-2T-K</v>
          </cell>
          <cell r="Q79">
            <v>2.5</v>
          </cell>
          <cell r="R79">
            <v>3</v>
          </cell>
          <cell r="T79">
            <v>2500</v>
          </cell>
          <cell r="U79">
            <v>5</v>
          </cell>
          <cell r="V79">
            <v>2500</v>
          </cell>
          <cell r="W79">
            <v>5</v>
          </cell>
          <cell r="X79">
            <v>0</v>
          </cell>
          <cell r="Y79">
            <v>0</v>
          </cell>
          <cell r="Z79">
            <v>0</v>
          </cell>
          <cell r="AA79" t="str">
            <v>! !</v>
          </cell>
          <cell r="AC79">
            <v>0</v>
          </cell>
          <cell r="AE79" t="str">
            <v>x</v>
          </cell>
          <cell r="AG79">
            <v>50</v>
          </cell>
          <cell r="AJ79" t="str">
            <v>-</v>
          </cell>
          <cell r="AL79">
            <v>3000</v>
          </cell>
          <cell r="AM79">
            <v>2500</v>
          </cell>
          <cell r="AN79" t="e">
            <v>#VALUE!</v>
          </cell>
          <cell r="AO79" t="e">
            <v>#VALUE!</v>
          </cell>
          <cell r="AP79">
            <v>500</v>
          </cell>
        </row>
        <row r="80">
          <cell r="A80">
            <v>63312600</v>
          </cell>
          <cell r="C80">
            <v>63312600</v>
          </cell>
          <cell r="D80" t="str">
            <v xml:space="preserve">DMH PENNE PESTO  KIP                 </v>
          </cell>
          <cell r="E80" t="str">
            <v>DMH</v>
          </cell>
          <cell r="F80" t="str">
            <v>225MM</v>
          </cell>
          <cell r="G80" t="str">
            <v>UK-57</v>
          </cell>
          <cell r="H80">
            <v>456</v>
          </cell>
          <cell r="I80">
            <v>0.45</v>
          </cell>
          <cell r="J80" t="str">
            <v>NVT</v>
          </cell>
          <cell r="K80" t="str">
            <v>DELIMEAL HORECA</v>
          </cell>
          <cell r="L80">
            <v>6</v>
          </cell>
          <cell r="M80" t="str">
            <v>DMH X 6</v>
          </cell>
          <cell r="N80">
            <v>108</v>
          </cell>
          <cell r="O80">
            <v>5410953331260</v>
          </cell>
          <cell r="P80" t="str">
            <v>I-M-T</v>
          </cell>
          <cell r="Q80">
            <v>3</v>
          </cell>
          <cell r="R80">
            <v>3</v>
          </cell>
          <cell r="T80">
            <v>2200</v>
          </cell>
          <cell r="U80">
            <v>6</v>
          </cell>
          <cell r="V80">
            <v>2200</v>
          </cell>
          <cell r="W80">
            <v>6</v>
          </cell>
          <cell r="X80">
            <v>0</v>
          </cell>
          <cell r="Y80">
            <v>0</v>
          </cell>
          <cell r="Z80">
            <v>0</v>
          </cell>
          <cell r="AA80" t="str">
            <v>! ! ! ! !</v>
          </cell>
          <cell r="AC80">
            <v>0</v>
          </cell>
          <cell r="AE80" t="str">
            <v>x</v>
          </cell>
          <cell r="AJ80" t="str">
            <v>-</v>
          </cell>
          <cell r="AL80">
            <v>0</v>
          </cell>
          <cell r="AM80">
            <v>2200</v>
          </cell>
          <cell r="AN80" t="e">
            <v>#VALUE!</v>
          </cell>
          <cell r="AO80" t="e">
            <v>#VALUE!</v>
          </cell>
          <cell r="AP80">
            <v>-2200</v>
          </cell>
        </row>
        <row r="81">
          <cell r="A81">
            <v>63313000</v>
          </cell>
          <cell r="C81">
            <v>63313000</v>
          </cell>
          <cell r="D81" t="str">
            <v xml:space="preserve">DMH OOSTENDS VISPANNETJE                          </v>
          </cell>
          <cell r="E81" t="str">
            <v>DMH</v>
          </cell>
          <cell r="F81" t="str">
            <v>225MM</v>
          </cell>
          <cell r="G81" t="str">
            <v>UK-57</v>
          </cell>
          <cell r="H81">
            <v>456</v>
          </cell>
          <cell r="I81">
            <v>0.4</v>
          </cell>
          <cell r="J81" t="str">
            <v>NVT</v>
          </cell>
          <cell r="K81" t="str">
            <v>DELIMEAL HORECA</v>
          </cell>
          <cell r="L81">
            <v>6</v>
          </cell>
          <cell r="M81" t="str">
            <v>DMH X 6</v>
          </cell>
          <cell r="N81">
            <v>108</v>
          </cell>
          <cell r="O81">
            <v>5410953331307</v>
          </cell>
          <cell r="P81" t="str">
            <v>T-K</v>
          </cell>
          <cell r="Q81">
            <v>2</v>
          </cell>
          <cell r="R81">
            <v>3</v>
          </cell>
          <cell r="T81">
            <v>2500</v>
          </cell>
          <cell r="U81">
            <v>7</v>
          </cell>
          <cell r="V81">
            <v>2500</v>
          </cell>
          <cell r="W81">
            <v>7</v>
          </cell>
          <cell r="X81">
            <v>0</v>
          </cell>
          <cell r="Y81">
            <v>0</v>
          </cell>
          <cell r="Z81">
            <v>0</v>
          </cell>
          <cell r="AA81" t="str">
            <v>! ! ! !</v>
          </cell>
          <cell r="AB81">
            <v>19150</v>
          </cell>
          <cell r="AC81">
            <v>0</v>
          </cell>
          <cell r="AE81" t="str">
            <v>x</v>
          </cell>
          <cell r="AG81">
            <v>50</v>
          </cell>
          <cell r="AJ81" t="str">
            <v>V-A</v>
          </cell>
          <cell r="AL81">
            <v>3000</v>
          </cell>
          <cell r="AM81">
            <v>2500</v>
          </cell>
          <cell r="AN81" t="e">
            <v>#VALUE!</v>
          </cell>
          <cell r="AO81" t="e">
            <v>#VALUE!</v>
          </cell>
          <cell r="AP81">
            <v>500</v>
          </cell>
        </row>
        <row r="82">
          <cell r="A82">
            <v>63313100</v>
          </cell>
          <cell r="C82">
            <v>63313100</v>
          </cell>
          <cell r="D82" t="str">
            <v xml:space="preserve">DMH OOSTENDS VISPANNETJE MET PUREE       </v>
          </cell>
          <cell r="E82" t="str">
            <v>DMH</v>
          </cell>
          <cell r="F82" t="str">
            <v>225MM</v>
          </cell>
          <cell r="G82" t="str">
            <v>UK-57</v>
          </cell>
          <cell r="H82">
            <v>456</v>
          </cell>
          <cell r="I82">
            <v>0.5</v>
          </cell>
          <cell r="J82" t="str">
            <v>NVT</v>
          </cell>
          <cell r="K82" t="str">
            <v>DELIMEAL HORECA</v>
          </cell>
          <cell r="L82">
            <v>6</v>
          </cell>
          <cell r="M82" t="str">
            <v>DMH X 6</v>
          </cell>
          <cell r="N82">
            <v>108</v>
          </cell>
          <cell r="O82">
            <v>5410953331314</v>
          </cell>
          <cell r="P82" t="str">
            <v>T-H-K</v>
          </cell>
          <cell r="Q82">
            <v>2</v>
          </cell>
          <cell r="R82">
            <v>3</v>
          </cell>
          <cell r="T82">
            <v>2200</v>
          </cell>
          <cell r="U82">
            <v>7</v>
          </cell>
          <cell r="V82">
            <v>2200</v>
          </cell>
          <cell r="W82">
            <v>7</v>
          </cell>
          <cell r="X82">
            <v>0</v>
          </cell>
          <cell r="Y82">
            <v>0</v>
          </cell>
          <cell r="Z82">
            <v>0</v>
          </cell>
          <cell r="AA82" t="str">
            <v>! ! ! !</v>
          </cell>
          <cell r="AC82">
            <v>0</v>
          </cell>
          <cell r="AE82" t="str">
            <v>x</v>
          </cell>
          <cell r="AJ82" t="str">
            <v>V-A</v>
          </cell>
          <cell r="AL82">
            <v>0</v>
          </cell>
          <cell r="AM82">
            <v>2200</v>
          </cell>
          <cell r="AN82" t="e">
            <v>#VALUE!</v>
          </cell>
          <cell r="AO82" t="e">
            <v>#VALUE!</v>
          </cell>
          <cell r="AP82">
            <v>-2200</v>
          </cell>
        </row>
        <row r="83">
          <cell r="A83">
            <v>63313200</v>
          </cell>
          <cell r="C83">
            <v>63313200</v>
          </cell>
          <cell r="D83" t="str">
            <v xml:space="preserve">DMH VISPANNETJE KREEFTENSAUS                   </v>
          </cell>
          <cell r="E83" t="str">
            <v>DMH</v>
          </cell>
          <cell r="F83" t="str">
            <v>225MM</v>
          </cell>
          <cell r="G83" t="str">
            <v>UK-57</v>
          </cell>
          <cell r="H83">
            <v>456</v>
          </cell>
          <cell r="I83">
            <v>0.4</v>
          </cell>
          <cell r="J83" t="str">
            <v>NVT</v>
          </cell>
          <cell r="K83" t="str">
            <v>DELIMEAL HORECA</v>
          </cell>
          <cell r="L83">
            <v>6</v>
          </cell>
          <cell r="M83" t="str">
            <v>DMH X 6</v>
          </cell>
          <cell r="N83">
            <v>108</v>
          </cell>
          <cell r="O83">
            <v>5410953331321</v>
          </cell>
          <cell r="P83" t="str">
            <v>T-K</v>
          </cell>
          <cell r="Q83">
            <v>1</v>
          </cell>
          <cell r="R83">
            <v>3</v>
          </cell>
          <cell r="T83">
            <v>2500</v>
          </cell>
          <cell r="U83">
            <v>8</v>
          </cell>
          <cell r="V83">
            <v>2500</v>
          </cell>
          <cell r="W83">
            <v>8</v>
          </cell>
          <cell r="X83">
            <v>0</v>
          </cell>
          <cell r="Y83">
            <v>0</v>
          </cell>
          <cell r="Z83">
            <v>0</v>
          </cell>
          <cell r="AA83" t="str">
            <v>! ! ! !</v>
          </cell>
          <cell r="AC83">
            <v>0</v>
          </cell>
          <cell r="AE83" t="str">
            <v>x</v>
          </cell>
          <cell r="AG83">
            <v>50</v>
          </cell>
          <cell r="AJ83" t="str">
            <v>V-A</v>
          </cell>
          <cell r="AL83">
            <v>3000</v>
          </cell>
          <cell r="AM83">
            <v>2500</v>
          </cell>
          <cell r="AN83" t="e">
            <v>#VALUE!</v>
          </cell>
          <cell r="AO83" t="e">
            <v>#VALUE!</v>
          </cell>
          <cell r="AP83">
            <v>500</v>
          </cell>
        </row>
        <row r="84">
          <cell r="A84">
            <v>63313300</v>
          </cell>
          <cell r="C84">
            <v>63313300</v>
          </cell>
          <cell r="D84" t="str">
            <v>DMH SCHARTONGROLLETJES DUGLERE</v>
          </cell>
          <cell r="E84" t="str">
            <v>DMH</v>
          </cell>
          <cell r="F84" t="str">
            <v>225MM</v>
          </cell>
          <cell r="G84" t="str">
            <v>UK-57</v>
          </cell>
          <cell r="H84">
            <v>456</v>
          </cell>
          <cell r="I84">
            <v>0.4</v>
          </cell>
          <cell r="J84" t="str">
            <v>NVT</v>
          </cell>
          <cell r="K84" t="str">
            <v>DELIMEAL HORECA</v>
          </cell>
          <cell r="L84">
            <v>6</v>
          </cell>
          <cell r="M84" t="str">
            <v>DMH X 6</v>
          </cell>
          <cell r="N84">
            <v>108</v>
          </cell>
          <cell r="O84">
            <v>5410953331338</v>
          </cell>
          <cell r="P84" t="str">
            <v>T-K</v>
          </cell>
          <cell r="Q84">
            <v>1</v>
          </cell>
          <cell r="R84">
            <v>3</v>
          </cell>
          <cell r="T84">
            <v>2500</v>
          </cell>
          <cell r="U84">
            <v>3</v>
          </cell>
          <cell r="V84">
            <v>2500</v>
          </cell>
          <cell r="W84">
            <v>3</v>
          </cell>
          <cell r="X84">
            <v>0</v>
          </cell>
          <cell r="Y84">
            <v>0</v>
          </cell>
          <cell r="Z84">
            <v>0</v>
          </cell>
          <cell r="AA84" t="str">
            <v>! ! ! !</v>
          </cell>
          <cell r="AG84">
            <v>50</v>
          </cell>
          <cell r="AH84">
            <v>0</v>
          </cell>
          <cell r="AJ84" t="str">
            <v>V-A</v>
          </cell>
          <cell r="AL84">
            <v>3000</v>
          </cell>
          <cell r="AM84">
            <v>2500</v>
          </cell>
          <cell r="AN84" t="e">
            <v>#VALUE!</v>
          </cell>
          <cell r="AO84" t="e">
            <v>#VALUE!</v>
          </cell>
          <cell r="AP84">
            <v>500</v>
          </cell>
        </row>
        <row r="85">
          <cell r="A85">
            <v>63313700</v>
          </cell>
          <cell r="C85">
            <v>63313700</v>
          </cell>
          <cell r="D85" t="str">
            <v xml:space="preserve">DMH WITLOOF HAM KAAS           </v>
          </cell>
          <cell r="E85" t="str">
            <v>DMH</v>
          </cell>
          <cell r="F85" t="str">
            <v>225MM</v>
          </cell>
          <cell r="G85" t="str">
            <v>UK-57</v>
          </cell>
          <cell r="H85">
            <v>365</v>
          </cell>
          <cell r="I85">
            <v>0.44</v>
          </cell>
          <cell r="J85" t="str">
            <v>NVT</v>
          </cell>
          <cell r="K85" t="str">
            <v>DELIMEAL HORECA</v>
          </cell>
          <cell r="L85">
            <v>6</v>
          </cell>
          <cell r="M85" t="str">
            <v>DMH X 6</v>
          </cell>
          <cell r="N85">
            <v>108</v>
          </cell>
          <cell r="O85">
            <v>5410953331376</v>
          </cell>
          <cell r="P85" t="str">
            <v>T-K</v>
          </cell>
          <cell r="Q85">
            <v>1</v>
          </cell>
          <cell r="R85">
            <v>3</v>
          </cell>
          <cell r="S85" t="str">
            <v>HAM snijden, 2000 sneedjes hesp/werkuur</v>
          </cell>
          <cell r="T85">
            <v>1500</v>
          </cell>
          <cell r="U85">
            <v>11</v>
          </cell>
          <cell r="V85">
            <v>1500</v>
          </cell>
          <cell r="W85">
            <v>11</v>
          </cell>
          <cell r="X85">
            <v>0</v>
          </cell>
          <cell r="Y85">
            <v>0</v>
          </cell>
          <cell r="Z85">
            <v>0</v>
          </cell>
          <cell r="AA85" t="str">
            <v>! !</v>
          </cell>
          <cell r="AC85">
            <v>0.20618181818181819</v>
          </cell>
          <cell r="AE85" t="str">
            <v>x</v>
          </cell>
          <cell r="AJ85" t="str">
            <v>V-A</v>
          </cell>
          <cell r="AL85">
            <v>0</v>
          </cell>
          <cell r="AM85">
            <v>1500</v>
          </cell>
          <cell r="AN85" t="e">
            <v>#VALUE!</v>
          </cell>
          <cell r="AO85" t="e">
            <v>#VALUE!</v>
          </cell>
          <cell r="AP85">
            <v>-1500</v>
          </cell>
        </row>
        <row r="86">
          <cell r="A86">
            <v>63313800</v>
          </cell>
          <cell r="C86">
            <v>63313800</v>
          </cell>
          <cell r="D86" t="str">
            <v xml:space="preserve">DMH WITLOOF HAM KAAS PUREE                        </v>
          </cell>
          <cell r="E86" t="str">
            <v>DMH</v>
          </cell>
          <cell r="F86" t="str">
            <v>225MM</v>
          </cell>
          <cell r="G86" t="str">
            <v>UK-57</v>
          </cell>
          <cell r="H86">
            <v>365</v>
          </cell>
          <cell r="I86">
            <v>0.5</v>
          </cell>
          <cell r="J86" t="str">
            <v>NVT</v>
          </cell>
          <cell r="K86" t="str">
            <v>DELIMEAL HORECA</v>
          </cell>
          <cell r="L86">
            <v>6</v>
          </cell>
          <cell r="M86" t="str">
            <v>DMH X 6</v>
          </cell>
          <cell r="N86">
            <v>108</v>
          </cell>
          <cell r="O86">
            <v>5410953331383</v>
          </cell>
          <cell r="P86" t="str">
            <v>H-T -K</v>
          </cell>
          <cell r="Q86">
            <v>2</v>
          </cell>
          <cell r="R86">
            <v>3</v>
          </cell>
          <cell r="S86" t="str">
            <v>HAM snijden, 2000 sneedjes hesp/werkuur</v>
          </cell>
          <cell r="T86">
            <v>1500</v>
          </cell>
          <cell r="U86">
            <v>11</v>
          </cell>
          <cell r="V86">
            <v>1500</v>
          </cell>
          <cell r="W86">
            <v>11</v>
          </cell>
          <cell r="X86">
            <v>0</v>
          </cell>
          <cell r="Y86">
            <v>0</v>
          </cell>
          <cell r="Z86">
            <v>0</v>
          </cell>
          <cell r="AA86" t="str">
            <v>! !</v>
          </cell>
          <cell r="AC86">
            <v>0.20618181818181819</v>
          </cell>
          <cell r="AE86" t="str">
            <v>x</v>
          </cell>
          <cell r="AJ86" t="str">
            <v>V-A</v>
          </cell>
          <cell r="AL86">
            <v>0</v>
          </cell>
          <cell r="AM86">
            <v>1500</v>
          </cell>
          <cell r="AN86" t="e">
            <v>#VALUE!</v>
          </cell>
          <cell r="AO86" t="e">
            <v>#VALUE!</v>
          </cell>
          <cell r="AP86">
            <v>-1500</v>
          </cell>
        </row>
        <row r="87">
          <cell r="A87">
            <v>63314400</v>
          </cell>
          <cell r="C87">
            <v>63314400</v>
          </cell>
          <cell r="D87" t="str">
            <v xml:space="preserve">DMH RUNDSTONG MADEIRA   </v>
          </cell>
          <cell r="E87" t="str">
            <v>DMH</v>
          </cell>
          <cell r="F87" t="str">
            <v>225MM</v>
          </cell>
          <cell r="G87" t="str">
            <v>UK-57</v>
          </cell>
          <cell r="H87">
            <v>456</v>
          </cell>
          <cell r="I87">
            <v>0.4</v>
          </cell>
          <cell r="J87" t="str">
            <v>NVT</v>
          </cell>
          <cell r="K87" t="str">
            <v>DELIMEAL HORECA</v>
          </cell>
          <cell r="L87">
            <v>6</v>
          </cell>
          <cell r="M87" t="str">
            <v>DMH X 6</v>
          </cell>
          <cell r="N87">
            <v>108</v>
          </cell>
          <cell r="O87">
            <v>5410953331444</v>
          </cell>
          <cell r="P87" t="str">
            <v>2T</v>
          </cell>
          <cell r="Q87">
            <v>1.5</v>
          </cell>
          <cell r="R87">
            <v>3</v>
          </cell>
          <cell r="S87" t="str">
            <v>TONG D-5 uithalen en openleggen / D-1 snijden</v>
          </cell>
          <cell r="T87">
            <v>2500</v>
          </cell>
          <cell r="U87">
            <v>7</v>
          </cell>
          <cell r="V87">
            <v>2500</v>
          </cell>
          <cell r="W87">
            <v>7</v>
          </cell>
          <cell r="X87">
            <v>0</v>
          </cell>
          <cell r="Y87">
            <v>0</v>
          </cell>
          <cell r="Z87">
            <v>0</v>
          </cell>
          <cell r="AA87" t="str">
            <v>! !</v>
          </cell>
          <cell r="AB87" t="str">
            <v>op bestelling</v>
          </cell>
          <cell r="AC87">
            <v>0</v>
          </cell>
          <cell r="AE87" t="str">
            <v>x</v>
          </cell>
          <cell r="AG87">
            <v>50</v>
          </cell>
          <cell r="AJ87" t="str">
            <v>V-A</v>
          </cell>
          <cell r="AL87">
            <v>3000</v>
          </cell>
          <cell r="AM87">
            <v>2500</v>
          </cell>
          <cell r="AN87" t="e">
            <v>#VALUE!</v>
          </cell>
          <cell r="AO87" t="e">
            <v>#VALUE!</v>
          </cell>
          <cell r="AP87">
            <v>500</v>
          </cell>
        </row>
        <row r="88">
          <cell r="A88">
            <v>63314500</v>
          </cell>
          <cell r="C88">
            <v>63314500</v>
          </cell>
          <cell r="D88" t="str">
            <v xml:space="preserve">DMH MOUSSAKA                                      </v>
          </cell>
          <cell r="E88" t="str">
            <v>DMH</v>
          </cell>
          <cell r="F88" t="str">
            <v>225MM</v>
          </cell>
          <cell r="G88" t="str">
            <v>UK-57</v>
          </cell>
          <cell r="H88">
            <v>456</v>
          </cell>
          <cell r="I88">
            <v>0.55000000000000004</v>
          </cell>
          <cell r="J88" t="str">
            <v>NVT</v>
          </cell>
          <cell r="K88" t="str">
            <v>DELIMEAL HORECA</v>
          </cell>
          <cell r="L88">
            <v>6</v>
          </cell>
          <cell r="M88" t="str">
            <v>DMH X 6</v>
          </cell>
          <cell r="N88">
            <v>108</v>
          </cell>
          <cell r="O88">
            <v>5410953331451</v>
          </cell>
          <cell r="P88" t="str">
            <v>3T-K</v>
          </cell>
          <cell r="Q88">
            <v>3</v>
          </cell>
          <cell r="R88">
            <v>3</v>
          </cell>
          <cell r="T88">
            <v>2000</v>
          </cell>
          <cell r="U88">
            <v>6</v>
          </cell>
          <cell r="V88">
            <v>2000</v>
          </cell>
          <cell r="W88">
            <v>6</v>
          </cell>
          <cell r="X88">
            <v>0</v>
          </cell>
          <cell r="Y88">
            <v>0</v>
          </cell>
          <cell r="Z88">
            <v>0</v>
          </cell>
          <cell r="AA88" t="str">
            <v>! !</v>
          </cell>
          <cell r="AC88">
            <v>0</v>
          </cell>
          <cell r="AE88" t="str">
            <v>x</v>
          </cell>
          <cell r="AJ88" t="str">
            <v>-</v>
          </cell>
          <cell r="AL88">
            <v>0</v>
          </cell>
          <cell r="AM88">
            <v>2000</v>
          </cell>
          <cell r="AN88" t="e">
            <v>#VALUE!</v>
          </cell>
          <cell r="AO88" t="e">
            <v>#VALUE!</v>
          </cell>
          <cell r="AP88">
            <v>-2000</v>
          </cell>
        </row>
        <row r="89">
          <cell r="A89">
            <v>63314600</v>
          </cell>
          <cell r="C89">
            <v>63314600</v>
          </cell>
          <cell r="D89" t="str">
            <v>DMH VARKENSWANGETJES BIERSAUS</v>
          </cell>
          <cell r="E89" t="str">
            <v>DMH</v>
          </cell>
          <cell r="F89" t="str">
            <v>225MM</v>
          </cell>
          <cell r="G89" t="str">
            <v>UK-57</v>
          </cell>
          <cell r="H89">
            <v>456</v>
          </cell>
          <cell r="I89">
            <v>0.35</v>
          </cell>
          <cell r="J89" t="str">
            <v>NVT</v>
          </cell>
          <cell r="K89" t="str">
            <v>DELIMEAL HORECA</v>
          </cell>
          <cell r="L89">
            <v>6</v>
          </cell>
          <cell r="M89" t="str">
            <v>DMH X 6</v>
          </cell>
          <cell r="N89">
            <v>108</v>
          </cell>
          <cell r="O89">
            <v>5410953331468</v>
          </cell>
          <cell r="P89" t="str">
            <v>2T</v>
          </cell>
          <cell r="Q89">
            <v>1</v>
          </cell>
          <cell r="R89">
            <v>3</v>
          </cell>
          <cell r="T89">
            <v>2500</v>
          </cell>
          <cell r="U89">
            <v>6</v>
          </cell>
          <cell r="V89">
            <v>2500</v>
          </cell>
          <cell r="W89">
            <v>6</v>
          </cell>
          <cell r="X89">
            <v>0</v>
          </cell>
          <cell r="Y89">
            <v>0</v>
          </cell>
          <cell r="Z89">
            <v>0</v>
          </cell>
          <cell r="AA89" t="str">
            <v>! !</v>
          </cell>
          <cell r="AC89">
            <v>0.29599999999999999</v>
          </cell>
          <cell r="AG89">
            <v>50</v>
          </cell>
          <cell r="AJ89" t="str">
            <v>V-A</v>
          </cell>
          <cell r="AL89">
            <v>3000</v>
          </cell>
          <cell r="AM89">
            <v>2500</v>
          </cell>
          <cell r="AN89" t="e">
            <v>#VALUE!</v>
          </cell>
          <cell r="AO89" t="e">
            <v>#VALUE!</v>
          </cell>
          <cell r="AP89">
            <v>500</v>
          </cell>
        </row>
        <row r="90">
          <cell r="A90">
            <v>63314700</v>
          </cell>
          <cell r="C90">
            <v>63314700</v>
          </cell>
          <cell r="D90" t="str">
            <v>DMH GEHAKTSCHOTEL MET WORTEL</v>
          </cell>
          <cell r="E90" t="str">
            <v>DMH</v>
          </cell>
          <cell r="F90" t="str">
            <v>225MM</v>
          </cell>
          <cell r="G90" t="str">
            <v>UK-57</v>
          </cell>
          <cell r="H90">
            <v>456</v>
          </cell>
          <cell r="I90">
            <v>0.55000000000000004</v>
          </cell>
          <cell r="J90" t="str">
            <v>NVT</v>
          </cell>
          <cell r="K90" t="str">
            <v>DELIMEAL HORECA</v>
          </cell>
          <cell r="L90">
            <v>6</v>
          </cell>
          <cell r="M90" t="str">
            <v>DMH X 6</v>
          </cell>
          <cell r="N90">
            <v>108</v>
          </cell>
          <cell r="O90">
            <v>5410953331475</v>
          </cell>
          <cell r="P90" t="str">
            <v>T-H-K</v>
          </cell>
          <cell r="Q90">
            <v>2</v>
          </cell>
          <cell r="R90">
            <v>3</v>
          </cell>
          <cell r="T90">
            <v>2000</v>
          </cell>
          <cell r="U90">
            <v>2</v>
          </cell>
          <cell r="V90">
            <v>2000</v>
          </cell>
          <cell r="W90">
            <v>2</v>
          </cell>
          <cell r="X90">
            <v>0</v>
          </cell>
          <cell r="Y90">
            <v>0</v>
          </cell>
          <cell r="Z90">
            <v>0</v>
          </cell>
          <cell r="AA90" t="str">
            <v>! ! !</v>
          </cell>
          <cell r="AC90">
            <v>0</v>
          </cell>
          <cell r="AJ90" t="str">
            <v>V-A</v>
          </cell>
          <cell r="AL90">
            <v>0</v>
          </cell>
          <cell r="AM90">
            <v>2000</v>
          </cell>
          <cell r="AN90" t="e">
            <v>#VALUE!</v>
          </cell>
          <cell r="AO90" t="e">
            <v>#VALUE!</v>
          </cell>
          <cell r="AP90">
            <v>-2000</v>
          </cell>
        </row>
        <row r="91">
          <cell r="A91">
            <v>63317400</v>
          </cell>
          <cell r="C91">
            <v>63317400</v>
          </cell>
          <cell r="D91" t="str">
            <v xml:space="preserve">DMH KIP KORMA MET RIJST </v>
          </cell>
          <cell r="E91" t="str">
            <v>DMH</v>
          </cell>
          <cell r="F91" t="str">
            <v>225MM</v>
          </cell>
          <cell r="G91" t="str">
            <v>UK-57</v>
          </cell>
          <cell r="H91">
            <v>456</v>
          </cell>
          <cell r="I91">
            <v>0.5</v>
          </cell>
          <cell r="J91" t="str">
            <v>NVT</v>
          </cell>
          <cell r="K91" t="str">
            <v>DELIMEAL HORECA</v>
          </cell>
          <cell r="L91">
            <v>6</v>
          </cell>
          <cell r="M91" t="str">
            <v>DMH X 6</v>
          </cell>
          <cell r="N91">
            <v>108</v>
          </cell>
          <cell r="O91">
            <v>5410953331741</v>
          </cell>
          <cell r="P91" t="str">
            <v>I-T</v>
          </cell>
          <cell r="Q91">
            <v>2</v>
          </cell>
          <cell r="R91">
            <v>3</v>
          </cell>
          <cell r="S91" t="str">
            <v>RIJST D-1</v>
          </cell>
          <cell r="T91">
            <v>2200</v>
          </cell>
          <cell r="U91">
            <v>5</v>
          </cell>
          <cell r="V91">
            <v>2200</v>
          </cell>
          <cell r="W91">
            <v>5</v>
          </cell>
          <cell r="X91">
            <v>0</v>
          </cell>
          <cell r="Y91">
            <v>0</v>
          </cell>
          <cell r="Z91">
            <v>0</v>
          </cell>
          <cell r="AA91" t="str">
            <v>! ! ! ! !</v>
          </cell>
          <cell r="AC91">
            <v>0</v>
          </cell>
          <cell r="AJ91" t="str">
            <v>-</v>
          </cell>
          <cell r="AL91">
            <v>0</v>
          </cell>
          <cell r="AM91">
            <v>2200</v>
          </cell>
          <cell r="AN91" t="e">
            <v>#VALUE!</v>
          </cell>
          <cell r="AO91" t="e">
            <v>#VALUE!</v>
          </cell>
          <cell r="AP91">
            <v>-2200</v>
          </cell>
        </row>
        <row r="92">
          <cell r="A92">
            <v>63317900</v>
          </cell>
          <cell r="C92">
            <v>63317900</v>
          </cell>
          <cell r="D92" t="str">
            <v>DMH RISOTTO KIP BOSCHAMPIGNONS</v>
          </cell>
          <cell r="E92" t="str">
            <v>DMH</v>
          </cell>
          <cell r="F92" t="str">
            <v>225MM</v>
          </cell>
          <cell r="G92" t="str">
            <v>UK-57</v>
          </cell>
          <cell r="H92">
            <v>456</v>
          </cell>
          <cell r="I92">
            <v>0.51</v>
          </cell>
          <cell r="J92" t="str">
            <v>NVT</v>
          </cell>
          <cell r="K92" t="str">
            <v>DELIMEAL HORECA</v>
          </cell>
          <cell r="L92">
            <v>6</v>
          </cell>
          <cell r="M92" t="str">
            <v>DMH X 6</v>
          </cell>
          <cell r="N92">
            <v>108</v>
          </cell>
          <cell r="O92">
            <v>5410953331796</v>
          </cell>
          <cell r="P92" t="str">
            <v>I-T-M</v>
          </cell>
          <cell r="Q92">
            <v>2</v>
          </cell>
          <cell r="R92">
            <v>3</v>
          </cell>
          <cell r="T92">
            <v>2000</v>
          </cell>
          <cell r="U92">
            <v>5</v>
          </cell>
          <cell r="V92">
            <v>2000</v>
          </cell>
          <cell r="W92">
            <v>5</v>
          </cell>
          <cell r="X92">
            <v>0</v>
          </cell>
          <cell r="Y92">
            <v>0</v>
          </cell>
          <cell r="Z92">
            <v>0</v>
          </cell>
          <cell r="AA92" t="str">
            <v>! ! !</v>
          </cell>
          <cell r="AC92">
            <v>0</v>
          </cell>
          <cell r="AJ92" t="str">
            <v>-</v>
          </cell>
          <cell r="AL92">
            <v>0</v>
          </cell>
          <cell r="AM92">
            <v>2000</v>
          </cell>
          <cell r="AN92" t="e">
            <v>#VALUE!</v>
          </cell>
          <cell r="AO92" t="e">
            <v>#VALUE!</v>
          </cell>
          <cell r="AP92">
            <v>-2000</v>
          </cell>
        </row>
        <row r="93">
          <cell r="A93">
            <v>63318100</v>
          </cell>
          <cell r="C93">
            <v>63318100</v>
          </cell>
          <cell r="D93" t="str">
            <v xml:space="preserve">DMH BOUILLABAISE </v>
          </cell>
          <cell r="E93" t="str">
            <v>DMH</v>
          </cell>
          <cell r="F93" t="str">
            <v>225MM</v>
          </cell>
          <cell r="G93" t="str">
            <v>UK-57</v>
          </cell>
          <cell r="H93">
            <v>456</v>
          </cell>
          <cell r="I93">
            <v>0.5</v>
          </cell>
          <cell r="J93" t="str">
            <v>NVT</v>
          </cell>
          <cell r="K93" t="str">
            <v>DELIMEAL HORECA</v>
          </cell>
          <cell r="L93">
            <v>6</v>
          </cell>
          <cell r="M93" t="str">
            <v>DMH X 6</v>
          </cell>
          <cell r="N93">
            <v>108</v>
          </cell>
          <cell r="O93" t="str">
            <v>5410953331819</v>
          </cell>
          <cell r="P93" t="str">
            <v>I-T</v>
          </cell>
          <cell r="Q93">
            <v>1</v>
          </cell>
          <cell r="R93">
            <v>3</v>
          </cell>
          <cell r="T93">
            <v>1750</v>
          </cell>
          <cell r="U93">
            <v>6</v>
          </cell>
          <cell r="V93">
            <v>1750</v>
          </cell>
          <cell r="W93">
            <v>6</v>
          </cell>
          <cell r="Z93">
            <v>0</v>
          </cell>
          <cell r="AA93" t="str">
            <v>! ! ! !</v>
          </cell>
          <cell r="AJ93" t="str">
            <v>V-A</v>
          </cell>
          <cell r="AL93">
            <v>0</v>
          </cell>
          <cell r="AM93">
            <v>1750</v>
          </cell>
          <cell r="AN93" t="e">
            <v>#VALUE!</v>
          </cell>
          <cell r="AO93" t="e">
            <v>#VALUE!</v>
          </cell>
          <cell r="AP93">
            <v>-1750</v>
          </cell>
        </row>
        <row r="94">
          <cell r="A94">
            <v>63318200</v>
          </cell>
          <cell r="C94">
            <v>63318200</v>
          </cell>
          <cell r="D94" t="str">
            <v>DMH PENNE ARRABIATA</v>
          </cell>
          <cell r="E94" t="str">
            <v>DMH</v>
          </cell>
          <cell r="F94" t="str">
            <v>225MM</v>
          </cell>
          <cell r="G94" t="str">
            <v>UK-57</v>
          </cell>
          <cell r="H94">
            <v>456</v>
          </cell>
          <cell r="I94">
            <v>0.45</v>
          </cell>
          <cell r="J94" t="str">
            <v>NVT</v>
          </cell>
          <cell r="K94" t="str">
            <v>DELIMEAL HORECA</v>
          </cell>
          <cell r="L94">
            <v>6</v>
          </cell>
          <cell r="M94" t="str">
            <v>DMH X 6</v>
          </cell>
          <cell r="N94">
            <v>108</v>
          </cell>
          <cell r="O94">
            <v>5410953331826</v>
          </cell>
          <cell r="P94" t="str">
            <v>M-T</v>
          </cell>
          <cell r="Q94">
            <v>2</v>
          </cell>
          <cell r="R94">
            <v>3</v>
          </cell>
          <cell r="T94">
            <v>2500</v>
          </cell>
          <cell r="U94">
            <v>4</v>
          </cell>
          <cell r="V94">
            <v>2500</v>
          </cell>
          <cell r="W94">
            <v>4</v>
          </cell>
          <cell r="X94">
            <v>0</v>
          </cell>
          <cell r="Y94">
            <v>0</v>
          </cell>
          <cell r="Z94">
            <v>0</v>
          </cell>
          <cell r="AA94" t="str">
            <v>! !</v>
          </cell>
          <cell r="AC94">
            <v>0</v>
          </cell>
          <cell r="AG94">
            <v>50</v>
          </cell>
          <cell r="AJ94" t="str">
            <v>-</v>
          </cell>
          <cell r="AL94">
            <v>3000</v>
          </cell>
          <cell r="AM94">
            <v>2500</v>
          </cell>
          <cell r="AN94" t="e">
            <v>#VALUE!</v>
          </cell>
          <cell r="AO94" t="e">
            <v>#VALUE!</v>
          </cell>
          <cell r="AP94">
            <v>500</v>
          </cell>
        </row>
        <row r="95">
          <cell r="A95">
            <v>63318300</v>
          </cell>
          <cell r="C95">
            <v>63318300</v>
          </cell>
          <cell r="D95" t="str">
            <v>DMH CANNELONI RU VLEES TOMATENSAUS SPINAZIE</v>
          </cell>
          <cell r="E95" t="str">
            <v>DMH</v>
          </cell>
          <cell r="F95" t="str">
            <v>225MM</v>
          </cell>
          <cell r="G95" t="str">
            <v>UK-57</v>
          </cell>
          <cell r="H95">
            <v>456</v>
          </cell>
          <cell r="I95">
            <v>0.5</v>
          </cell>
          <cell r="J95" t="str">
            <v>NVT</v>
          </cell>
          <cell r="K95" t="str">
            <v>DELIMEAL HORECA</v>
          </cell>
          <cell r="L95">
            <v>6</v>
          </cell>
          <cell r="M95" t="str">
            <v>DMH X 6</v>
          </cell>
          <cell r="N95">
            <v>108</v>
          </cell>
          <cell r="O95">
            <v>5410953331833</v>
          </cell>
          <cell r="P95" t="str">
            <v>2T-K</v>
          </cell>
          <cell r="Q95">
            <v>3</v>
          </cell>
          <cell r="R95">
            <v>3</v>
          </cell>
          <cell r="T95">
            <v>2000</v>
          </cell>
          <cell r="U95">
            <v>5</v>
          </cell>
          <cell r="V95">
            <v>2000</v>
          </cell>
          <cell r="W95">
            <v>5</v>
          </cell>
          <cell r="Z95">
            <v>0</v>
          </cell>
          <cell r="AA95" t="str">
            <v>! ! !</v>
          </cell>
          <cell r="AJ95" t="str">
            <v>V-A</v>
          </cell>
          <cell r="AL95">
            <v>0</v>
          </cell>
          <cell r="AM95">
            <v>2000</v>
          </cell>
          <cell r="AN95" t="e">
            <v>#VALUE!</v>
          </cell>
          <cell r="AO95" t="e">
            <v>#VALUE!</v>
          </cell>
          <cell r="AP95">
            <v>-2000</v>
          </cell>
        </row>
        <row r="96">
          <cell r="A96">
            <v>63318500</v>
          </cell>
          <cell r="C96">
            <v>63318500</v>
          </cell>
          <cell r="D96" t="str">
            <v>DMH LASAGNE GEITENKAAS</v>
          </cell>
          <cell r="E96" t="str">
            <v>DMH</v>
          </cell>
          <cell r="F96" t="str">
            <v>225MM</v>
          </cell>
          <cell r="G96" t="str">
            <v>UK-57</v>
          </cell>
          <cell r="H96">
            <v>456</v>
          </cell>
          <cell r="I96">
            <v>0.5</v>
          </cell>
          <cell r="J96" t="str">
            <v>NVT</v>
          </cell>
          <cell r="K96" t="str">
            <v>DELIMEAL HORECA</v>
          </cell>
          <cell r="L96">
            <v>6</v>
          </cell>
          <cell r="M96" t="str">
            <v>DMH X 6</v>
          </cell>
          <cell r="N96">
            <v>108</v>
          </cell>
          <cell r="O96">
            <v>5410953331857</v>
          </cell>
          <cell r="P96" t="str">
            <v>4T</v>
          </cell>
          <cell r="Q96">
            <v>3</v>
          </cell>
          <cell r="R96">
            <v>3</v>
          </cell>
          <cell r="T96">
            <v>2500</v>
          </cell>
          <cell r="U96">
            <v>6</v>
          </cell>
          <cell r="V96">
            <v>2500</v>
          </cell>
          <cell r="W96">
            <v>6</v>
          </cell>
          <cell r="X96">
            <v>0</v>
          </cell>
          <cell r="Y96">
            <v>0</v>
          </cell>
          <cell r="Z96">
            <v>0</v>
          </cell>
          <cell r="AA96" t="str">
            <v>! !</v>
          </cell>
          <cell r="AC96">
            <v>0</v>
          </cell>
          <cell r="AG96">
            <v>50</v>
          </cell>
          <cell r="AJ96" t="str">
            <v>-</v>
          </cell>
          <cell r="AL96">
            <v>3000</v>
          </cell>
          <cell r="AM96">
            <v>2500</v>
          </cell>
          <cell r="AN96" t="e">
            <v>#VALUE!</v>
          </cell>
          <cell r="AO96" t="e">
            <v>#VALUE!</v>
          </cell>
          <cell r="AP96">
            <v>500</v>
          </cell>
        </row>
        <row r="97">
          <cell r="A97">
            <v>63318600</v>
          </cell>
          <cell r="C97">
            <v>63318600</v>
          </cell>
          <cell r="D97" t="str">
            <v>DMH THAI BEEF SWEET CHILI NOEDELS</v>
          </cell>
          <cell r="E97" t="str">
            <v>DMH</v>
          </cell>
          <cell r="F97" t="str">
            <v>225MM</v>
          </cell>
          <cell r="G97" t="str">
            <v>UK-57</v>
          </cell>
          <cell r="H97">
            <v>456</v>
          </cell>
          <cell r="I97">
            <v>0.5</v>
          </cell>
          <cell r="J97" t="str">
            <v>NVT</v>
          </cell>
          <cell r="K97" t="str">
            <v>DELIMEAL HORECA</v>
          </cell>
          <cell r="L97">
            <v>6</v>
          </cell>
          <cell r="M97" t="str">
            <v>DMH X 6</v>
          </cell>
          <cell r="N97">
            <v>108</v>
          </cell>
          <cell r="O97">
            <v>5410953331864</v>
          </cell>
          <cell r="P97" t="str">
            <v>I-M-2T</v>
          </cell>
          <cell r="Q97">
            <v>3</v>
          </cell>
          <cell r="R97">
            <v>3</v>
          </cell>
          <cell r="T97">
            <v>2000</v>
          </cell>
          <cell r="U97">
            <v>5</v>
          </cell>
          <cell r="V97">
            <v>2000</v>
          </cell>
          <cell r="W97">
            <v>5</v>
          </cell>
          <cell r="Z97">
            <v>0</v>
          </cell>
          <cell r="AA97" t="str">
            <v>! ! ! ! !</v>
          </cell>
          <cell r="AJ97" t="str">
            <v>-</v>
          </cell>
          <cell r="AL97">
            <v>0</v>
          </cell>
          <cell r="AM97">
            <v>2000</v>
          </cell>
          <cell r="AN97" t="e">
            <v>#VALUE!</v>
          </cell>
          <cell r="AO97" t="e">
            <v>#VALUE!</v>
          </cell>
          <cell r="AP97">
            <v>-2000</v>
          </cell>
        </row>
        <row r="98">
          <cell r="A98">
            <v>63318700</v>
          </cell>
          <cell r="C98">
            <v>63318700</v>
          </cell>
          <cell r="D98" t="str">
            <v>DMH RAVIOLI TRUFFEL BOSCHAMPIGNONS BROCCOLI</v>
          </cell>
          <cell r="E98" t="str">
            <v>DMH</v>
          </cell>
          <cell r="F98" t="str">
            <v>225MM</v>
          </cell>
          <cell r="G98" t="str">
            <v>UK-57</v>
          </cell>
          <cell r="H98">
            <v>456</v>
          </cell>
          <cell r="I98">
            <v>0.5</v>
          </cell>
          <cell r="J98" t="str">
            <v>NVT</v>
          </cell>
          <cell r="K98" t="str">
            <v>DELIMEAL HORECA</v>
          </cell>
          <cell r="L98">
            <v>6</v>
          </cell>
          <cell r="M98" t="str">
            <v>DMH X 6</v>
          </cell>
          <cell r="N98">
            <v>108</v>
          </cell>
          <cell r="O98">
            <v>5410953331871</v>
          </cell>
          <cell r="P98" t="str">
            <v>I-T</v>
          </cell>
          <cell r="Q98">
            <v>1</v>
          </cell>
          <cell r="R98">
            <v>3</v>
          </cell>
          <cell r="T98">
            <v>2500</v>
          </cell>
          <cell r="U98">
            <v>6</v>
          </cell>
          <cell r="V98">
            <v>2500</v>
          </cell>
          <cell r="W98">
            <v>6</v>
          </cell>
          <cell r="Z98">
            <v>0</v>
          </cell>
          <cell r="AA98" t="str">
            <v>! ! !</v>
          </cell>
          <cell r="AG98">
            <v>50</v>
          </cell>
          <cell r="AJ98" t="str">
            <v>-</v>
          </cell>
          <cell r="AL98">
            <v>3000</v>
          </cell>
          <cell r="AM98">
            <v>2500</v>
          </cell>
          <cell r="AN98" t="e">
            <v>#VALUE!</v>
          </cell>
          <cell r="AO98" t="e">
            <v>#VALUE!</v>
          </cell>
          <cell r="AP98">
            <v>500</v>
          </cell>
        </row>
        <row r="99">
          <cell r="A99">
            <v>63318800</v>
          </cell>
          <cell r="C99">
            <v>63318800</v>
          </cell>
          <cell r="D99" t="str">
            <v>DMH TAGLIATELLE ZALMFILET ROOMSAUS</v>
          </cell>
          <cell r="E99" t="str">
            <v>DMH</v>
          </cell>
          <cell r="F99" t="str">
            <v>225MM</v>
          </cell>
          <cell r="G99" t="str">
            <v>UK-57</v>
          </cell>
          <cell r="H99">
            <v>456</v>
          </cell>
          <cell r="I99">
            <v>0.5</v>
          </cell>
          <cell r="J99" t="str">
            <v>NVT</v>
          </cell>
          <cell r="K99" t="str">
            <v>DELIMEAL HORECA</v>
          </cell>
          <cell r="L99">
            <v>6</v>
          </cell>
          <cell r="M99" t="str">
            <v>DMH X 6</v>
          </cell>
          <cell r="N99">
            <v>108</v>
          </cell>
          <cell r="O99">
            <v>5410953331888</v>
          </cell>
          <cell r="P99" t="str">
            <v>M-2T</v>
          </cell>
          <cell r="Q99">
            <v>2.5</v>
          </cell>
          <cell r="R99">
            <v>3</v>
          </cell>
          <cell r="S99" t="str">
            <v>verse zalm</v>
          </cell>
          <cell r="T99">
            <v>2500</v>
          </cell>
          <cell r="U99">
            <v>5</v>
          </cell>
          <cell r="V99">
            <v>2500</v>
          </cell>
          <cell r="W99">
            <v>5</v>
          </cell>
          <cell r="X99">
            <v>0</v>
          </cell>
          <cell r="Y99">
            <v>0</v>
          </cell>
          <cell r="Z99">
            <v>0</v>
          </cell>
          <cell r="AA99" t="str">
            <v>! ! ! !</v>
          </cell>
          <cell r="AC99">
            <v>0</v>
          </cell>
          <cell r="AG99">
            <v>50</v>
          </cell>
          <cell r="AJ99" t="str">
            <v>V-A</v>
          </cell>
          <cell r="AL99">
            <v>3000</v>
          </cell>
          <cell r="AM99">
            <v>2500</v>
          </cell>
          <cell r="AN99" t="e">
            <v>#VALUE!</v>
          </cell>
          <cell r="AO99" t="e">
            <v>#VALUE!</v>
          </cell>
          <cell r="AP99">
            <v>500</v>
          </cell>
        </row>
        <row r="100">
          <cell r="A100">
            <v>63318900</v>
          </cell>
          <cell r="C100">
            <v>63318900</v>
          </cell>
          <cell r="D100" t="str">
            <v>DMH CHILI SIN CARNE MET AARDAPPELKUBUS</v>
          </cell>
          <cell r="E100" t="str">
            <v>DMH</v>
          </cell>
          <cell r="F100" t="str">
            <v>225MM</v>
          </cell>
          <cell r="G100" t="str">
            <v>UK-57</v>
          </cell>
          <cell r="H100">
            <v>456</v>
          </cell>
          <cell r="I100">
            <v>0.5</v>
          </cell>
          <cell r="J100" t="str">
            <v>NVT</v>
          </cell>
          <cell r="K100" t="str">
            <v>DELIMEAL HORECA</v>
          </cell>
          <cell r="L100">
            <v>6</v>
          </cell>
          <cell r="M100" t="str">
            <v>DMH X 6</v>
          </cell>
          <cell r="N100">
            <v>108</v>
          </cell>
          <cell r="O100">
            <v>5410953331895</v>
          </cell>
          <cell r="P100" t="str">
            <v>2T</v>
          </cell>
          <cell r="Q100">
            <v>1</v>
          </cell>
          <cell r="R100">
            <v>3</v>
          </cell>
          <cell r="T100">
            <v>2500</v>
          </cell>
          <cell r="U100">
            <v>5</v>
          </cell>
          <cell r="V100">
            <v>2500</v>
          </cell>
          <cell r="W100">
            <v>5</v>
          </cell>
          <cell r="X100">
            <v>0</v>
          </cell>
          <cell r="Y100">
            <v>0</v>
          </cell>
          <cell r="Z100">
            <v>0</v>
          </cell>
          <cell r="AA100" t="str">
            <v>! ! !</v>
          </cell>
          <cell r="AC100">
            <v>0</v>
          </cell>
          <cell r="AG100">
            <v>50</v>
          </cell>
          <cell r="AJ100" t="str">
            <v>V-A</v>
          </cell>
          <cell r="AL100">
            <v>3000</v>
          </cell>
          <cell r="AM100">
            <v>2500</v>
          </cell>
          <cell r="AN100" t="e">
            <v>#VALUE!</v>
          </cell>
          <cell r="AO100" t="e">
            <v>#VALUE!</v>
          </cell>
          <cell r="AP100">
            <v>500</v>
          </cell>
        </row>
        <row r="101">
          <cell r="A101">
            <v>63319000</v>
          </cell>
          <cell r="C101">
            <v>63319000</v>
          </cell>
          <cell r="D101" t="str">
            <v>DMH NOODLES KIP PITTIGE SOJASAUS GROENTENMIX</v>
          </cell>
          <cell r="E101" t="str">
            <v>DMH</v>
          </cell>
          <cell r="F101" t="str">
            <v>225MM</v>
          </cell>
          <cell r="G101" t="str">
            <v>UK-57</v>
          </cell>
          <cell r="H101">
            <v>456</v>
          </cell>
          <cell r="I101">
            <v>0.5</v>
          </cell>
          <cell r="J101" t="str">
            <v>NVT</v>
          </cell>
          <cell r="K101" t="str">
            <v>DELIMEAL HORECA</v>
          </cell>
          <cell r="L101">
            <v>6</v>
          </cell>
          <cell r="M101" t="str">
            <v>DMH X 6</v>
          </cell>
          <cell r="N101">
            <v>108</v>
          </cell>
          <cell r="O101">
            <v>5410953331901</v>
          </cell>
          <cell r="P101" t="str">
            <v>I-M-T</v>
          </cell>
          <cell r="Q101">
            <v>3</v>
          </cell>
          <cell r="R101">
            <v>3</v>
          </cell>
          <cell r="T101">
            <v>2500</v>
          </cell>
          <cell r="U101">
            <v>7</v>
          </cell>
          <cell r="V101">
            <v>2500</v>
          </cell>
          <cell r="W101">
            <v>7</v>
          </cell>
          <cell r="X101">
            <v>0</v>
          </cell>
          <cell r="Y101">
            <v>0</v>
          </cell>
          <cell r="Z101">
            <v>0</v>
          </cell>
          <cell r="AA101" t="str">
            <v>! ! ! ! !</v>
          </cell>
          <cell r="AC101">
            <v>0</v>
          </cell>
          <cell r="AG101">
            <v>50</v>
          </cell>
          <cell r="AJ101" t="str">
            <v>V-A</v>
          </cell>
          <cell r="AL101">
            <v>3000</v>
          </cell>
          <cell r="AM101">
            <v>2500</v>
          </cell>
          <cell r="AN101" t="e">
            <v>#VALUE!</v>
          </cell>
          <cell r="AO101" t="e">
            <v>#VALUE!</v>
          </cell>
          <cell r="AP101">
            <v>500</v>
          </cell>
        </row>
        <row r="102">
          <cell r="A102">
            <v>63319200</v>
          </cell>
          <cell r="C102">
            <v>63319200</v>
          </cell>
          <cell r="D102" t="str">
            <v>DMH LASAGNE MET ZALM EN SPINAZIE</v>
          </cell>
          <cell r="E102" t="str">
            <v>DMH</v>
          </cell>
          <cell r="F102" t="str">
            <v>225MM</v>
          </cell>
          <cell r="G102" t="str">
            <v>UK-57</v>
          </cell>
          <cell r="H102">
            <v>456</v>
          </cell>
          <cell r="I102">
            <v>0.5</v>
          </cell>
          <cell r="J102" t="str">
            <v>NVT</v>
          </cell>
          <cell r="K102" t="str">
            <v>DELIMEAL HORECA</v>
          </cell>
          <cell r="L102">
            <v>6</v>
          </cell>
          <cell r="M102" t="str">
            <v>DMH X 6</v>
          </cell>
          <cell r="N102">
            <v>108</v>
          </cell>
          <cell r="O102">
            <v>5410953331925</v>
          </cell>
          <cell r="P102" t="str">
            <v>4T-H-K</v>
          </cell>
          <cell r="Q102">
            <v>2</v>
          </cell>
          <cell r="R102">
            <v>3</v>
          </cell>
          <cell r="S102" t="str">
            <v>ZALM verzagen (72g)</v>
          </cell>
          <cell r="T102">
            <v>2500</v>
          </cell>
          <cell r="U102">
            <v>7</v>
          </cell>
          <cell r="V102">
            <v>2500</v>
          </cell>
          <cell r="W102">
            <v>7</v>
          </cell>
          <cell r="X102">
            <v>0</v>
          </cell>
          <cell r="Y102">
            <v>0</v>
          </cell>
          <cell r="Z102">
            <v>0</v>
          </cell>
          <cell r="AA102" t="str">
            <v>! ! ! !</v>
          </cell>
          <cell r="AC102">
            <v>0</v>
          </cell>
          <cell r="AG102">
            <v>50</v>
          </cell>
          <cell r="AJ102" t="str">
            <v>V-A</v>
          </cell>
          <cell r="AL102">
            <v>3000</v>
          </cell>
          <cell r="AM102">
            <v>2500</v>
          </cell>
          <cell r="AN102" t="e">
            <v>#VALUE!</v>
          </cell>
          <cell r="AO102" t="e">
            <v>#VALUE!</v>
          </cell>
          <cell r="AP102">
            <v>500</v>
          </cell>
        </row>
        <row r="103">
          <cell r="A103">
            <v>63319500</v>
          </cell>
          <cell r="C103">
            <v>63319500</v>
          </cell>
          <cell r="D103" t="str">
            <v>DMH AMERICAN MAC &amp; CHEESE</v>
          </cell>
          <cell r="E103" t="str">
            <v>DMH</v>
          </cell>
          <cell r="F103" t="str">
            <v>225MM</v>
          </cell>
          <cell r="G103" t="str">
            <v>UK-57</v>
          </cell>
          <cell r="H103">
            <v>456</v>
          </cell>
          <cell r="I103">
            <v>0.5</v>
          </cell>
          <cell r="J103" t="str">
            <v>NVT</v>
          </cell>
          <cell r="K103" t="str">
            <v>DELIMEAL HORECA</v>
          </cell>
          <cell r="L103">
            <v>6</v>
          </cell>
          <cell r="M103" t="str">
            <v>DMH X 6</v>
          </cell>
          <cell r="N103">
            <v>108</v>
          </cell>
          <cell r="O103">
            <v>5410953331956</v>
          </cell>
          <cell r="P103" t="str">
            <v>2T-M-K</v>
          </cell>
          <cell r="Q103">
            <v>3</v>
          </cell>
          <cell r="R103">
            <v>3</v>
          </cell>
          <cell r="T103">
            <v>2500</v>
          </cell>
          <cell r="U103">
            <v>4</v>
          </cell>
          <cell r="V103">
            <v>2500</v>
          </cell>
          <cell r="W103">
            <v>4</v>
          </cell>
          <cell r="X103">
            <v>0</v>
          </cell>
          <cell r="Y103">
            <v>0</v>
          </cell>
          <cell r="Z103">
            <v>0</v>
          </cell>
          <cell r="AA103" t="str">
            <v>! ! !</v>
          </cell>
          <cell r="AC103">
            <v>0</v>
          </cell>
          <cell r="AG103">
            <v>50</v>
          </cell>
          <cell r="AJ103" t="str">
            <v>V-A</v>
          </cell>
          <cell r="AL103">
            <v>3000</v>
          </cell>
          <cell r="AM103">
            <v>2500</v>
          </cell>
          <cell r="AN103" t="e">
            <v>#VALUE!</v>
          </cell>
          <cell r="AO103" t="e">
            <v>#VALUE!</v>
          </cell>
          <cell r="AP103">
            <v>500</v>
          </cell>
        </row>
        <row r="104">
          <cell r="A104">
            <v>63319800</v>
          </cell>
          <cell r="C104">
            <v>63319800</v>
          </cell>
          <cell r="D104" t="str">
            <v>DMH VEG SPAGHETTI BOLOGNAISE</v>
          </cell>
          <cell r="E104" t="str">
            <v>DMH</v>
          </cell>
          <cell r="F104" t="str">
            <v>225MM</v>
          </cell>
          <cell r="G104" t="str">
            <v>UK-57</v>
          </cell>
          <cell r="H104">
            <v>456</v>
          </cell>
          <cell r="I104">
            <v>0.55000000000000004</v>
          </cell>
          <cell r="J104" t="str">
            <v>NVT</v>
          </cell>
          <cell r="K104" t="str">
            <v>DELIMEAL HORECA</v>
          </cell>
          <cell r="L104">
            <v>6</v>
          </cell>
          <cell r="M104" t="str">
            <v>DMH X 6</v>
          </cell>
          <cell r="N104">
            <v>108</v>
          </cell>
          <cell r="O104" t="str">
            <v>5410953331987 </v>
          </cell>
          <cell r="P104" t="str">
            <v>2T-M</v>
          </cell>
          <cell r="Q104">
            <v>2.5</v>
          </cell>
          <cell r="R104">
            <v>3</v>
          </cell>
          <cell r="T104">
            <v>2500</v>
          </cell>
          <cell r="U104">
            <v>4</v>
          </cell>
          <cell r="V104">
            <v>2500</v>
          </cell>
          <cell r="W104">
            <v>4</v>
          </cell>
          <cell r="X104">
            <v>0</v>
          </cell>
          <cell r="Y104">
            <v>0</v>
          </cell>
          <cell r="Z104">
            <v>0</v>
          </cell>
          <cell r="AA104" t="str">
            <v>! ! !</v>
          </cell>
          <cell r="AC104">
            <v>0</v>
          </cell>
          <cell r="AG104">
            <v>50</v>
          </cell>
          <cell r="AJ104" t="str">
            <v>V-A</v>
          </cell>
          <cell r="AL104">
            <v>3000</v>
          </cell>
          <cell r="AM104">
            <v>2500</v>
          </cell>
          <cell r="AN104" t="e">
            <v>#VALUE!</v>
          </cell>
          <cell r="AO104" t="e">
            <v>#VALUE!</v>
          </cell>
          <cell r="AP104">
            <v>500</v>
          </cell>
        </row>
        <row r="105">
          <cell r="A105">
            <v>63500300</v>
          </cell>
          <cell r="C105">
            <v>5003</v>
          </cell>
          <cell r="D105" t="str">
            <v xml:space="preserve">DMC KALFSBLANKET OUDE WIJZE AARDAPPELEN PETERSELIE </v>
          </cell>
          <cell r="E105" t="str">
            <v>DMC</v>
          </cell>
          <cell r="F105" t="str">
            <v>290MM</v>
          </cell>
          <cell r="G105" t="str">
            <v>C2227-2K</v>
          </cell>
          <cell r="H105">
            <v>456</v>
          </cell>
          <cell r="I105">
            <v>0.48</v>
          </cell>
          <cell r="J105" t="str">
            <v>NVT</v>
          </cell>
          <cell r="K105" t="str">
            <v>DM ROND + 65X155</v>
          </cell>
          <cell r="L105">
            <v>6</v>
          </cell>
          <cell r="M105" t="str">
            <v>DMC X 6</v>
          </cell>
          <cell r="N105">
            <v>110</v>
          </cell>
          <cell r="O105">
            <v>5410953350032</v>
          </cell>
          <cell r="P105" t="str">
            <v>I-2T</v>
          </cell>
          <cell r="Q105">
            <v>2</v>
          </cell>
          <cell r="R105">
            <v>3</v>
          </cell>
          <cell r="S105" t="str">
            <v>Folie perforeren, KALFSBLANKET (vacuumzakken)</v>
          </cell>
          <cell r="T105">
            <v>2200</v>
          </cell>
          <cell r="U105">
            <v>2</v>
          </cell>
          <cell r="V105">
            <v>2200</v>
          </cell>
          <cell r="W105">
            <v>2</v>
          </cell>
          <cell r="X105">
            <v>0</v>
          </cell>
          <cell r="Y105">
            <v>0</v>
          </cell>
          <cell r="Z105">
            <v>0</v>
          </cell>
          <cell r="AA105" t="str">
            <v>! ! !</v>
          </cell>
          <cell r="AC105">
            <v>0</v>
          </cell>
          <cell r="AE105" t="str">
            <v>x</v>
          </cell>
          <cell r="AG105">
            <v>45</v>
          </cell>
          <cell r="AJ105" t="str">
            <v>V-A</v>
          </cell>
          <cell r="AL105">
            <v>2700</v>
          </cell>
          <cell r="AM105">
            <v>2200</v>
          </cell>
          <cell r="AN105" t="e">
            <v>#VALUE!</v>
          </cell>
          <cell r="AO105" t="e">
            <v>#VALUE!</v>
          </cell>
          <cell r="AP105">
            <v>500</v>
          </cell>
        </row>
        <row r="106">
          <cell r="A106">
            <v>63500400</v>
          </cell>
          <cell r="C106">
            <v>5004</v>
          </cell>
          <cell r="D106" t="str">
            <v xml:space="preserve">DMC VLAAMSE KARBONADEN APPELMOES AARDAPPELEN   </v>
          </cell>
          <cell r="E106" t="str">
            <v>DMC</v>
          </cell>
          <cell r="F106" t="str">
            <v>290MM</v>
          </cell>
          <cell r="G106" t="str">
            <v>C2227-3R</v>
          </cell>
          <cell r="H106">
            <v>456</v>
          </cell>
          <cell r="I106">
            <v>0.51500000000000001</v>
          </cell>
          <cell r="J106" t="str">
            <v>NVT</v>
          </cell>
          <cell r="K106" t="str">
            <v>DM ROND + 65X155</v>
          </cell>
          <cell r="L106">
            <v>6</v>
          </cell>
          <cell r="M106" t="str">
            <v>DMC X 6</v>
          </cell>
          <cell r="N106">
            <v>110</v>
          </cell>
          <cell r="O106">
            <v>5410953350049</v>
          </cell>
          <cell r="P106" t="str">
            <v>I-2T</v>
          </cell>
          <cell r="Q106">
            <v>2</v>
          </cell>
          <cell r="R106">
            <v>3</v>
          </cell>
          <cell r="S106" t="str">
            <v>Folie perforeren, Pulled beef tussen D-4 en D-2</v>
          </cell>
          <cell r="T106">
            <v>2000</v>
          </cell>
          <cell r="U106">
            <v>4</v>
          </cell>
          <cell r="V106">
            <v>2000</v>
          </cell>
          <cell r="W106">
            <v>4</v>
          </cell>
          <cell r="X106">
            <v>0</v>
          </cell>
          <cell r="Y106">
            <v>0</v>
          </cell>
          <cell r="Z106">
            <v>0</v>
          </cell>
          <cell r="AA106" t="str">
            <v>! ! !</v>
          </cell>
          <cell r="AC106">
            <v>0</v>
          </cell>
          <cell r="AE106" t="str">
            <v>x</v>
          </cell>
          <cell r="AJ106" t="str">
            <v>V-A</v>
          </cell>
          <cell r="AL106">
            <v>0</v>
          </cell>
          <cell r="AM106">
            <v>2000</v>
          </cell>
          <cell r="AN106" t="e">
            <v>#VALUE!</v>
          </cell>
          <cell r="AO106" t="e">
            <v>#VALUE!</v>
          </cell>
          <cell r="AP106">
            <v>-2000</v>
          </cell>
        </row>
        <row r="107">
          <cell r="A107">
            <v>63500500</v>
          </cell>
          <cell r="C107">
            <v>5005</v>
          </cell>
          <cell r="D107" t="str">
            <v xml:space="preserve">DMC RUNDSTONG MADEIRASAUS PUREE                  </v>
          </cell>
          <cell r="E107" t="str">
            <v>DMC</v>
          </cell>
          <cell r="F107" t="str">
            <v>290MM</v>
          </cell>
          <cell r="G107" t="str">
            <v>C2227-2K</v>
          </cell>
          <cell r="H107">
            <v>548</v>
          </cell>
          <cell r="I107">
            <v>0.53</v>
          </cell>
          <cell r="J107" t="str">
            <v>NVT</v>
          </cell>
          <cell r="K107" t="str">
            <v>DM ROND + 65X155</v>
          </cell>
          <cell r="L107">
            <v>6</v>
          </cell>
          <cell r="M107" t="str">
            <v>DMC X 6</v>
          </cell>
          <cell r="N107">
            <v>110</v>
          </cell>
          <cell r="O107">
            <v>5410953350056</v>
          </cell>
          <cell r="P107" t="str">
            <v>H-2T</v>
          </cell>
          <cell r="Q107">
            <v>2.5</v>
          </cell>
          <cell r="R107">
            <v>3</v>
          </cell>
          <cell r="S107" t="str">
            <v>Folie perforeren, TONG D-5 uithalen en openleggen / D-1 snijden</v>
          </cell>
          <cell r="T107">
            <v>2000</v>
          </cell>
          <cell r="U107">
            <v>6</v>
          </cell>
          <cell r="V107">
            <v>2000</v>
          </cell>
          <cell r="W107">
            <v>6</v>
          </cell>
          <cell r="X107">
            <v>0</v>
          </cell>
          <cell r="Y107">
            <v>0</v>
          </cell>
          <cell r="Z107">
            <v>0</v>
          </cell>
          <cell r="AA107" t="str">
            <v>! ! !</v>
          </cell>
          <cell r="AC107">
            <v>0</v>
          </cell>
          <cell r="AE107" t="str">
            <v>x</v>
          </cell>
          <cell r="AJ107" t="str">
            <v>V-A</v>
          </cell>
          <cell r="AL107">
            <v>0</v>
          </cell>
          <cell r="AM107">
            <v>2000</v>
          </cell>
          <cell r="AN107" t="e">
            <v>#VALUE!</v>
          </cell>
          <cell r="AO107" t="e">
            <v>#VALUE!</v>
          </cell>
          <cell r="AP107">
            <v>-2000</v>
          </cell>
        </row>
        <row r="108">
          <cell r="A108">
            <v>63500800</v>
          </cell>
          <cell r="C108">
            <v>5008</v>
          </cell>
          <cell r="D108" t="str">
            <v>DMC KIPBROCHET RATATOUILLE GEBAKKEN AARDAPPELKUBUS</v>
          </cell>
          <cell r="E108" t="str">
            <v>DMC</v>
          </cell>
          <cell r="F108" t="str">
            <v>290MM</v>
          </cell>
          <cell r="G108" t="str">
            <v>C2227-2K</v>
          </cell>
          <cell r="H108">
            <v>456</v>
          </cell>
          <cell r="I108">
            <v>0.48</v>
          </cell>
          <cell r="J108" t="str">
            <v>NVT</v>
          </cell>
          <cell r="K108" t="str">
            <v>DM ROND + 65X155</v>
          </cell>
          <cell r="L108">
            <v>6</v>
          </cell>
          <cell r="M108" t="str">
            <v>DMC X 6</v>
          </cell>
          <cell r="N108">
            <v>110</v>
          </cell>
          <cell r="O108">
            <v>5410953350087</v>
          </cell>
          <cell r="P108" t="str">
            <v>I-T</v>
          </cell>
          <cell r="Q108">
            <v>2</v>
          </cell>
          <cell r="R108">
            <v>3</v>
          </cell>
          <cell r="S108" t="str">
            <v>Folie perforeren</v>
          </cell>
          <cell r="T108">
            <v>2200</v>
          </cell>
          <cell r="U108">
            <v>4</v>
          </cell>
          <cell r="V108">
            <v>2200</v>
          </cell>
          <cell r="W108">
            <v>4</v>
          </cell>
          <cell r="X108">
            <v>0</v>
          </cell>
          <cell r="Y108">
            <v>0</v>
          </cell>
          <cell r="Z108">
            <v>0</v>
          </cell>
          <cell r="AA108" t="str">
            <v>! ! !</v>
          </cell>
          <cell r="AC108">
            <v>4.363636363636364E-2</v>
          </cell>
          <cell r="AE108" t="str">
            <v>x</v>
          </cell>
          <cell r="AG108">
            <v>45</v>
          </cell>
          <cell r="AJ108" t="str">
            <v>-</v>
          </cell>
          <cell r="AL108">
            <v>2700</v>
          </cell>
          <cell r="AM108">
            <v>2200</v>
          </cell>
          <cell r="AN108" t="e">
            <v>#VALUE!</v>
          </cell>
          <cell r="AO108" t="e">
            <v>#VALUE!</v>
          </cell>
          <cell r="AP108">
            <v>500</v>
          </cell>
        </row>
        <row r="109">
          <cell r="A109">
            <v>63501000</v>
          </cell>
          <cell r="C109">
            <v>5010</v>
          </cell>
          <cell r="D109" t="str">
            <v>DMC VARKENSGEBRAAD KRUIDIGE SAUS SCHORSENEREN KRIEL PETERSELIE</v>
          </cell>
          <cell r="E109" t="str">
            <v>DMC</v>
          </cell>
          <cell r="F109" t="str">
            <v>290MM</v>
          </cell>
          <cell r="G109" t="str">
            <v>C2227-2K</v>
          </cell>
          <cell r="H109">
            <v>456</v>
          </cell>
          <cell r="I109">
            <v>0.505</v>
          </cell>
          <cell r="J109" t="str">
            <v>NVT</v>
          </cell>
          <cell r="K109" t="str">
            <v>DM ROND + 65X155</v>
          </cell>
          <cell r="L109">
            <v>6</v>
          </cell>
          <cell r="M109" t="str">
            <v>DMC X 6</v>
          </cell>
          <cell r="N109">
            <v>110</v>
          </cell>
          <cell r="O109">
            <v>5410953350100</v>
          </cell>
          <cell r="P109" t="str">
            <v>2T</v>
          </cell>
          <cell r="Q109">
            <v>2.5</v>
          </cell>
          <cell r="R109">
            <v>3</v>
          </cell>
          <cell r="S109" t="str">
            <v>Folie perforeren</v>
          </cell>
          <cell r="T109">
            <v>2200</v>
          </cell>
          <cell r="U109">
            <v>4</v>
          </cell>
          <cell r="V109">
            <v>2200</v>
          </cell>
          <cell r="W109">
            <v>4</v>
          </cell>
          <cell r="X109">
            <v>0</v>
          </cell>
          <cell r="Y109">
            <v>0</v>
          </cell>
          <cell r="Z109">
            <v>0</v>
          </cell>
          <cell r="AA109" t="str">
            <v>! ! !</v>
          </cell>
          <cell r="AC109">
            <v>0</v>
          </cell>
          <cell r="AE109" t="str">
            <v>x</v>
          </cell>
          <cell r="AG109">
            <v>45</v>
          </cell>
          <cell r="AJ109" t="str">
            <v>V-A</v>
          </cell>
          <cell r="AL109">
            <v>2700</v>
          </cell>
          <cell r="AM109">
            <v>2200</v>
          </cell>
          <cell r="AN109" t="e">
            <v>#VALUE!</v>
          </cell>
          <cell r="AO109" t="e">
            <v>#VALUE!</v>
          </cell>
          <cell r="AP109">
            <v>500</v>
          </cell>
        </row>
        <row r="110">
          <cell r="A110">
            <v>63501200</v>
          </cell>
          <cell r="C110">
            <v>5012</v>
          </cell>
          <cell r="D110" t="str">
            <v>DMC HAMBURGER BBQSAUS APPELMOES GEBAKKEN AARD KUBUS</v>
          </cell>
          <cell r="E110" t="str">
            <v>DMC</v>
          </cell>
          <cell r="F110" t="str">
            <v>290MM</v>
          </cell>
          <cell r="G110" t="str">
            <v>C2227-3R</v>
          </cell>
          <cell r="H110">
            <v>456</v>
          </cell>
          <cell r="I110">
            <v>0.5</v>
          </cell>
          <cell r="J110" t="str">
            <v>NVT</v>
          </cell>
          <cell r="K110" t="str">
            <v>DM ROND + 65X155</v>
          </cell>
          <cell r="L110">
            <v>6</v>
          </cell>
          <cell r="M110" t="str">
            <v>DMC X 6</v>
          </cell>
          <cell r="N110">
            <v>110</v>
          </cell>
          <cell r="O110">
            <v>5410953350124</v>
          </cell>
          <cell r="P110" t="str">
            <v>I-2T</v>
          </cell>
          <cell r="Q110">
            <v>2</v>
          </cell>
          <cell r="R110">
            <v>3</v>
          </cell>
          <cell r="S110" t="str">
            <v>Folie perforeren</v>
          </cell>
          <cell r="T110">
            <v>2000</v>
          </cell>
          <cell r="U110">
            <v>5</v>
          </cell>
          <cell r="V110">
            <v>2000</v>
          </cell>
          <cell r="W110">
            <v>5</v>
          </cell>
          <cell r="X110">
            <v>0</v>
          </cell>
          <cell r="Y110">
            <v>0</v>
          </cell>
          <cell r="Z110">
            <v>0</v>
          </cell>
          <cell r="AA110" t="str">
            <v>! ! !</v>
          </cell>
          <cell r="AC110">
            <v>4.7999999999999994E-2</v>
          </cell>
          <cell r="AE110" t="str">
            <v>x</v>
          </cell>
          <cell r="AJ110" t="str">
            <v>V-A</v>
          </cell>
          <cell r="AL110">
            <v>0</v>
          </cell>
          <cell r="AM110">
            <v>2000</v>
          </cell>
          <cell r="AN110" t="e">
            <v>#VALUE!</v>
          </cell>
          <cell r="AO110" t="e">
            <v>#VALUE!</v>
          </cell>
          <cell r="AP110">
            <v>-2000</v>
          </cell>
        </row>
        <row r="111">
          <cell r="A111">
            <v>63501300</v>
          </cell>
          <cell r="C111">
            <v>5013</v>
          </cell>
          <cell r="D111" t="str">
            <v xml:space="preserve">DMC VLEESBROOD KRIEKEN KRIEL PETERSELIE       </v>
          </cell>
          <cell r="E111" t="str">
            <v>DMC</v>
          </cell>
          <cell r="F111" t="str">
            <v>290MM</v>
          </cell>
          <cell r="G111" t="str">
            <v>C2227-3R</v>
          </cell>
          <cell r="H111">
            <v>456</v>
          </cell>
          <cell r="I111">
            <v>0.495</v>
          </cell>
          <cell r="J111" t="str">
            <v>NVT</v>
          </cell>
          <cell r="K111" t="str">
            <v>DM ROND + 65X155</v>
          </cell>
          <cell r="L111">
            <v>6</v>
          </cell>
          <cell r="M111" t="str">
            <v>DMC X 6</v>
          </cell>
          <cell r="N111">
            <v>110</v>
          </cell>
          <cell r="O111">
            <v>5410953350131</v>
          </cell>
          <cell r="P111" t="str">
            <v>2T</v>
          </cell>
          <cell r="Q111">
            <v>2</v>
          </cell>
          <cell r="R111">
            <v>3</v>
          </cell>
          <cell r="S111" t="str">
            <v>Folie perforeren, KRIEKEN uit blik D-1, VLEESBROOD snijden (0,5cm)</v>
          </cell>
          <cell r="T111">
            <v>2200</v>
          </cell>
          <cell r="U111">
            <v>9</v>
          </cell>
          <cell r="V111">
            <v>2200</v>
          </cell>
          <cell r="W111">
            <v>9</v>
          </cell>
          <cell r="X111">
            <v>0</v>
          </cell>
          <cell r="Y111">
            <v>0</v>
          </cell>
          <cell r="Z111">
            <v>0</v>
          </cell>
          <cell r="AA111" t="str">
            <v>! ! !</v>
          </cell>
          <cell r="AC111">
            <v>5.3999999999999999E-2</v>
          </cell>
          <cell r="AE111" t="str">
            <v>x</v>
          </cell>
          <cell r="AG111">
            <v>45</v>
          </cell>
          <cell r="AJ111" t="str">
            <v>V-A</v>
          </cell>
          <cell r="AL111">
            <v>2700</v>
          </cell>
          <cell r="AM111">
            <v>2200</v>
          </cell>
          <cell r="AN111" t="e">
            <v>#VALUE!</v>
          </cell>
          <cell r="AO111" t="e">
            <v>#VALUE!</v>
          </cell>
          <cell r="AP111">
            <v>500</v>
          </cell>
        </row>
        <row r="112">
          <cell r="A112">
            <v>63501400</v>
          </cell>
          <cell r="C112">
            <v>5014</v>
          </cell>
          <cell r="D112" t="str">
            <v xml:space="preserve">DMC BLINDE VINK ERWTEN WORTELEN PUREE          </v>
          </cell>
          <cell r="E112" t="str">
            <v>DMC</v>
          </cell>
          <cell r="F112" t="str">
            <v>290MM</v>
          </cell>
          <cell r="G112" t="str">
            <v>C2227-3R</v>
          </cell>
          <cell r="H112">
            <v>456</v>
          </cell>
          <cell r="I112">
            <v>0.52</v>
          </cell>
          <cell r="J112" t="str">
            <v>NVT</v>
          </cell>
          <cell r="K112" t="str">
            <v>DM ROND + 65X155</v>
          </cell>
          <cell r="L112">
            <v>6</v>
          </cell>
          <cell r="M112" t="str">
            <v>DMC X 6</v>
          </cell>
          <cell r="N112">
            <v>110</v>
          </cell>
          <cell r="O112">
            <v>5410953350148</v>
          </cell>
          <cell r="P112" t="str">
            <v>T-H</v>
          </cell>
          <cell r="Q112">
            <v>2.5</v>
          </cell>
          <cell r="R112">
            <v>3</v>
          </cell>
          <cell r="S112" t="str">
            <v>Folie perforeren</v>
          </cell>
          <cell r="T112">
            <v>2200</v>
          </cell>
          <cell r="U112">
            <v>4</v>
          </cell>
          <cell r="V112">
            <v>2200</v>
          </cell>
          <cell r="W112">
            <v>4</v>
          </cell>
          <cell r="X112">
            <v>0</v>
          </cell>
          <cell r="Y112">
            <v>0</v>
          </cell>
          <cell r="Z112">
            <v>0</v>
          </cell>
          <cell r="AA112" t="str">
            <v>! ! !</v>
          </cell>
          <cell r="AC112">
            <v>3.8181818181818178E-2</v>
          </cell>
          <cell r="AE112" t="str">
            <v>x</v>
          </cell>
          <cell r="AG112">
            <v>45</v>
          </cell>
          <cell r="AJ112" t="str">
            <v>V-A</v>
          </cell>
          <cell r="AL112">
            <v>2700</v>
          </cell>
          <cell r="AM112">
            <v>2200</v>
          </cell>
          <cell r="AN112" t="e">
            <v>#VALUE!</v>
          </cell>
          <cell r="AO112" t="e">
            <v>#VALUE!</v>
          </cell>
          <cell r="AP112">
            <v>500</v>
          </cell>
        </row>
        <row r="113">
          <cell r="A113">
            <v>63501500</v>
          </cell>
          <cell r="C113">
            <v>5015</v>
          </cell>
          <cell r="D113" t="str">
            <v xml:space="preserve">DMC KAASBURGER ROOMSPINAZIE PUREE    </v>
          </cell>
          <cell r="E113" t="str">
            <v>DMC</v>
          </cell>
          <cell r="F113" t="str">
            <v>290MM</v>
          </cell>
          <cell r="G113" t="str">
            <v>C2227-2K</v>
          </cell>
          <cell r="H113">
            <v>456</v>
          </cell>
          <cell r="I113">
            <v>0.49</v>
          </cell>
          <cell r="J113" t="str">
            <v>NVT</v>
          </cell>
          <cell r="K113" t="str">
            <v>DM ROND + 65X155</v>
          </cell>
          <cell r="L113">
            <v>6</v>
          </cell>
          <cell r="M113" t="str">
            <v>DMC X 6</v>
          </cell>
          <cell r="N113">
            <v>110</v>
          </cell>
          <cell r="O113">
            <v>5410953350155</v>
          </cell>
          <cell r="P113" t="str">
            <v>H-2T</v>
          </cell>
          <cell r="Q113">
            <v>3</v>
          </cell>
          <cell r="R113">
            <v>3</v>
          </cell>
          <cell r="S113" t="str">
            <v>Folie perforeren</v>
          </cell>
          <cell r="T113">
            <v>2200</v>
          </cell>
          <cell r="U113">
            <v>2</v>
          </cell>
          <cell r="V113">
            <v>2200</v>
          </cell>
          <cell r="W113">
            <v>2</v>
          </cell>
          <cell r="X113">
            <v>0</v>
          </cell>
          <cell r="Y113">
            <v>0</v>
          </cell>
          <cell r="Z113">
            <v>0</v>
          </cell>
          <cell r="AA113" t="str">
            <v>! ! !</v>
          </cell>
          <cell r="AC113">
            <v>0.06</v>
          </cell>
          <cell r="AE113" t="str">
            <v>x</v>
          </cell>
          <cell r="AG113">
            <v>45</v>
          </cell>
          <cell r="AJ113" t="str">
            <v>V-A</v>
          </cell>
          <cell r="AL113">
            <v>2700</v>
          </cell>
          <cell r="AM113">
            <v>2200</v>
          </cell>
          <cell r="AN113" t="e">
            <v>#VALUE!</v>
          </cell>
          <cell r="AO113" t="e">
            <v>#VALUE!</v>
          </cell>
          <cell r="AP113">
            <v>500</v>
          </cell>
        </row>
        <row r="114">
          <cell r="A114">
            <v>63501600</v>
          </cell>
          <cell r="C114">
            <v>5016</v>
          </cell>
          <cell r="D114" t="str">
            <v>DMC BRAADWORST RODE KOOL GEKRUIDE AARDAPPELKUBUS</v>
          </cell>
          <cell r="E114" t="str">
            <v>DMC</v>
          </cell>
          <cell r="F114" t="str">
            <v>290MM</v>
          </cell>
          <cell r="G114" t="str">
            <v>C2227-3R</v>
          </cell>
          <cell r="H114">
            <v>456</v>
          </cell>
          <cell r="I114">
            <v>0.5</v>
          </cell>
          <cell r="J114" t="str">
            <v>NVT</v>
          </cell>
          <cell r="K114" t="str">
            <v>DM ROND + 65X155</v>
          </cell>
          <cell r="L114">
            <v>6</v>
          </cell>
          <cell r="M114" t="str">
            <v>DMC X 6</v>
          </cell>
          <cell r="N114">
            <v>110</v>
          </cell>
          <cell r="O114">
            <v>5410953350162</v>
          </cell>
          <cell r="P114" t="str">
            <v>I-2T</v>
          </cell>
          <cell r="Q114">
            <v>2</v>
          </cell>
          <cell r="R114">
            <v>3</v>
          </cell>
          <cell r="S114" t="str">
            <v>Folie perforeren, Braadworst bakken D-1</v>
          </cell>
          <cell r="T114">
            <v>2000</v>
          </cell>
          <cell r="U114">
            <v>3</v>
          </cell>
          <cell r="V114">
            <v>2000</v>
          </cell>
          <cell r="W114">
            <v>3</v>
          </cell>
          <cell r="X114">
            <v>0</v>
          </cell>
          <cell r="Y114">
            <v>0</v>
          </cell>
          <cell r="Z114">
            <v>0</v>
          </cell>
          <cell r="AA114" t="str">
            <v>! ! !</v>
          </cell>
          <cell r="AC114">
            <v>6.176470588235293E-2</v>
          </cell>
          <cell r="AE114" t="str">
            <v>x</v>
          </cell>
          <cell r="AJ114" t="str">
            <v>V-A</v>
          </cell>
          <cell r="AL114">
            <v>0</v>
          </cell>
          <cell r="AM114">
            <v>2000</v>
          </cell>
          <cell r="AN114" t="e">
            <v>#VALUE!</v>
          </cell>
          <cell r="AO114" t="e">
            <v>#VALUE!</v>
          </cell>
          <cell r="AP114">
            <v>-2000</v>
          </cell>
        </row>
        <row r="115">
          <cell r="A115">
            <v>63501700</v>
          </cell>
          <cell r="C115">
            <v>5017</v>
          </cell>
          <cell r="D115" t="str">
            <v xml:space="preserve">DMC BRAADWORST WORTELSTAMPPOT                    </v>
          </cell>
          <cell r="E115" t="str">
            <v>DMC</v>
          </cell>
          <cell r="F115" t="str">
            <v>290MM</v>
          </cell>
          <cell r="G115" t="str">
            <v>C2227-2K</v>
          </cell>
          <cell r="H115">
            <v>456</v>
          </cell>
          <cell r="I115">
            <v>0.55000000000000004</v>
          </cell>
          <cell r="J115" t="str">
            <v>NVT</v>
          </cell>
          <cell r="K115" t="str">
            <v>DM ROND + 65X155</v>
          </cell>
          <cell r="L115">
            <v>6</v>
          </cell>
          <cell r="M115" t="str">
            <v>DMC X 6</v>
          </cell>
          <cell r="N115">
            <v>110</v>
          </cell>
          <cell r="O115">
            <v>5410953350179</v>
          </cell>
          <cell r="P115" t="str">
            <v>T-H</v>
          </cell>
          <cell r="Q115">
            <v>2.5</v>
          </cell>
          <cell r="R115">
            <v>3</v>
          </cell>
          <cell r="S115" t="str">
            <v>Folie perforeren, Braadworst bakken D-1</v>
          </cell>
          <cell r="T115">
            <v>2200</v>
          </cell>
          <cell r="U115">
            <v>2</v>
          </cell>
          <cell r="V115">
            <v>2200</v>
          </cell>
          <cell r="W115">
            <v>2</v>
          </cell>
          <cell r="X115">
            <v>0</v>
          </cell>
          <cell r="Y115">
            <v>0</v>
          </cell>
          <cell r="Z115">
            <v>0</v>
          </cell>
          <cell r="AA115" t="str">
            <v>! ! !</v>
          </cell>
          <cell r="AC115">
            <v>5.4044117647058826E-2</v>
          </cell>
          <cell r="AE115" t="str">
            <v>x</v>
          </cell>
          <cell r="AG115">
            <v>45</v>
          </cell>
          <cell r="AJ115" t="str">
            <v>V-A</v>
          </cell>
          <cell r="AL115">
            <v>2700</v>
          </cell>
          <cell r="AM115">
            <v>2200</v>
          </cell>
          <cell r="AN115" t="e">
            <v>#VALUE!</v>
          </cell>
          <cell r="AO115" t="e">
            <v>#VALUE!</v>
          </cell>
          <cell r="AP115">
            <v>500</v>
          </cell>
        </row>
        <row r="116">
          <cell r="A116">
            <v>63502100</v>
          </cell>
          <cell r="C116">
            <v>5021</v>
          </cell>
          <cell r="D116" t="str">
            <v>DMC KIP DRAGONSAUS GROENE GROENTEN AARDAPPELPOTJE</v>
          </cell>
          <cell r="E116" t="str">
            <v>DMC</v>
          </cell>
          <cell r="F116" t="str">
            <v>290MM</v>
          </cell>
          <cell r="G116" t="str">
            <v>C2227-3R</v>
          </cell>
          <cell r="H116">
            <v>456</v>
          </cell>
          <cell r="I116">
            <v>0.5</v>
          </cell>
          <cell r="J116" t="str">
            <v>NVT</v>
          </cell>
          <cell r="K116" t="str">
            <v>DM ROND + 65X155</v>
          </cell>
          <cell r="L116">
            <v>6</v>
          </cell>
          <cell r="M116" t="str">
            <v>DMC X 6</v>
          </cell>
          <cell r="N116">
            <v>110</v>
          </cell>
          <cell r="O116">
            <v>5410953350216</v>
          </cell>
          <cell r="P116" t="str">
            <v>I-T</v>
          </cell>
          <cell r="Q116">
            <v>3</v>
          </cell>
          <cell r="R116">
            <v>3</v>
          </cell>
          <cell r="S116" t="str">
            <v>Folie perforeren</v>
          </cell>
          <cell r="T116">
            <v>2200</v>
          </cell>
          <cell r="U116">
            <v>6</v>
          </cell>
          <cell r="V116">
            <v>2200</v>
          </cell>
          <cell r="W116">
            <v>6</v>
          </cell>
          <cell r="X116">
            <v>0</v>
          </cell>
          <cell r="Y116">
            <v>0</v>
          </cell>
          <cell r="Z116">
            <v>0</v>
          </cell>
          <cell r="AA116" t="str">
            <v>! !</v>
          </cell>
          <cell r="AC116">
            <v>0</v>
          </cell>
          <cell r="AE116" t="str">
            <v>x</v>
          </cell>
          <cell r="AG116">
            <v>45</v>
          </cell>
          <cell r="AJ116" t="str">
            <v>-</v>
          </cell>
          <cell r="AL116">
            <v>2700</v>
          </cell>
          <cell r="AM116">
            <v>2200</v>
          </cell>
          <cell r="AN116" t="e">
            <v>#VALUE!</v>
          </cell>
          <cell r="AO116" t="e">
            <v>#VALUE!</v>
          </cell>
          <cell r="AP116">
            <v>500</v>
          </cell>
        </row>
        <row r="117">
          <cell r="A117">
            <v>63502200</v>
          </cell>
          <cell r="C117">
            <v>5022</v>
          </cell>
          <cell r="D117" t="str">
            <v xml:space="preserve">DMC GEHAKTBALLETJES TOMATENSAUS BROCCOLI ROSTI </v>
          </cell>
          <cell r="E117" t="str">
            <v>DMC</v>
          </cell>
          <cell r="F117" t="str">
            <v>290MM</v>
          </cell>
          <cell r="G117" t="str">
            <v>C2227-2K</v>
          </cell>
          <cell r="H117">
            <v>456</v>
          </cell>
          <cell r="I117">
            <v>0.46</v>
          </cell>
          <cell r="J117" t="str">
            <v>NVT</v>
          </cell>
          <cell r="K117" t="str">
            <v>DM ROND + 65X155</v>
          </cell>
          <cell r="L117">
            <v>6</v>
          </cell>
          <cell r="M117" t="str">
            <v>DMC X 6</v>
          </cell>
          <cell r="N117">
            <v>110</v>
          </cell>
          <cell r="O117">
            <v>5410953350223</v>
          </cell>
          <cell r="P117" t="str">
            <v>I-T</v>
          </cell>
          <cell r="Q117">
            <v>2</v>
          </cell>
          <cell r="R117">
            <v>3</v>
          </cell>
          <cell r="S117" t="str">
            <v>Folie perforeren</v>
          </cell>
          <cell r="T117">
            <v>2200</v>
          </cell>
          <cell r="U117">
            <v>6</v>
          </cell>
          <cell r="V117">
            <v>2200</v>
          </cell>
          <cell r="W117">
            <v>6</v>
          </cell>
          <cell r="X117">
            <v>0</v>
          </cell>
          <cell r="Y117">
            <v>0</v>
          </cell>
          <cell r="Z117">
            <v>0</v>
          </cell>
          <cell r="AA117" t="str">
            <v>! !</v>
          </cell>
          <cell r="AC117">
            <v>0</v>
          </cell>
          <cell r="AE117" t="str">
            <v>x</v>
          </cell>
          <cell r="AG117">
            <v>45</v>
          </cell>
          <cell r="AJ117" t="str">
            <v>V-A</v>
          </cell>
          <cell r="AL117">
            <v>2700</v>
          </cell>
          <cell r="AM117">
            <v>2200</v>
          </cell>
          <cell r="AN117" t="e">
            <v>#VALUE!</v>
          </cell>
          <cell r="AO117" t="e">
            <v>#VALUE!</v>
          </cell>
          <cell r="AP117">
            <v>500</v>
          </cell>
        </row>
        <row r="118">
          <cell r="A118">
            <v>63502300</v>
          </cell>
          <cell r="C118">
            <v>5023</v>
          </cell>
          <cell r="D118" t="str">
            <v xml:space="preserve">DMC KIPPENBOUT ARCHIDUC MINIKROKETJES          </v>
          </cell>
          <cell r="E118" t="str">
            <v>DMC</v>
          </cell>
          <cell r="F118" t="str">
            <v>290MM</v>
          </cell>
          <cell r="G118" t="str">
            <v>C2227-2K</v>
          </cell>
          <cell r="H118">
            <v>456</v>
          </cell>
          <cell r="I118">
            <v>0.46</v>
          </cell>
          <cell r="J118" t="str">
            <v>NVT</v>
          </cell>
          <cell r="K118" t="str">
            <v>DM ROND + 65X155</v>
          </cell>
          <cell r="L118">
            <v>6</v>
          </cell>
          <cell r="M118" t="str">
            <v>DMC X 6</v>
          </cell>
          <cell r="N118">
            <v>110</v>
          </cell>
          <cell r="O118">
            <v>5410953350230</v>
          </cell>
          <cell r="P118" t="str">
            <v>I-T</v>
          </cell>
          <cell r="Q118">
            <v>2</v>
          </cell>
          <cell r="R118">
            <v>3</v>
          </cell>
          <cell r="S118" t="str">
            <v>Folie perforeren</v>
          </cell>
          <cell r="T118">
            <v>2200</v>
          </cell>
          <cell r="U118">
            <v>4</v>
          </cell>
          <cell r="V118">
            <v>2200</v>
          </cell>
          <cell r="W118">
            <v>4</v>
          </cell>
          <cell r="X118">
            <v>0</v>
          </cell>
          <cell r="Y118">
            <v>0</v>
          </cell>
          <cell r="Z118">
            <v>0</v>
          </cell>
          <cell r="AA118" t="str">
            <v>! !</v>
          </cell>
          <cell r="AC118">
            <v>0.1</v>
          </cell>
          <cell r="AE118" t="str">
            <v>x</v>
          </cell>
          <cell r="AG118">
            <v>45</v>
          </cell>
          <cell r="AJ118" t="str">
            <v>V-A</v>
          </cell>
          <cell r="AL118">
            <v>2700</v>
          </cell>
          <cell r="AM118">
            <v>2200</v>
          </cell>
          <cell r="AN118" t="e">
            <v>#VALUE!</v>
          </cell>
          <cell r="AO118" t="e">
            <v>#VALUE!</v>
          </cell>
          <cell r="AP118">
            <v>500</v>
          </cell>
        </row>
        <row r="119">
          <cell r="A119">
            <v>63502600</v>
          </cell>
          <cell r="C119">
            <v>5026</v>
          </cell>
          <cell r="D119" t="str">
            <v xml:space="preserve">DMC VOL AU VENT BIESLOOKPUREE PETERSELIE                            </v>
          </cell>
          <cell r="E119" t="str">
            <v>DMC</v>
          </cell>
          <cell r="F119" t="str">
            <v>290MM</v>
          </cell>
          <cell r="G119" t="str">
            <v>C2227-2K</v>
          </cell>
          <cell r="H119">
            <v>456</v>
          </cell>
          <cell r="I119">
            <v>0.52500000000000002</v>
          </cell>
          <cell r="J119" t="str">
            <v>NVT</v>
          </cell>
          <cell r="K119" t="str">
            <v>DM ROND + 65X155</v>
          </cell>
          <cell r="L119">
            <v>6</v>
          </cell>
          <cell r="M119" t="str">
            <v>DMC X 6</v>
          </cell>
          <cell r="N119">
            <v>110</v>
          </cell>
          <cell r="O119">
            <v>5410953350261</v>
          </cell>
          <cell r="P119" t="str">
            <v>H-T</v>
          </cell>
          <cell r="Q119">
            <v>2.5</v>
          </cell>
          <cell r="R119">
            <v>3</v>
          </cell>
          <cell r="S119" t="str">
            <v>Folie perforeren</v>
          </cell>
          <cell r="T119">
            <v>2200</v>
          </cell>
          <cell r="U119">
            <v>1</v>
          </cell>
          <cell r="V119">
            <v>2200</v>
          </cell>
          <cell r="W119">
            <v>1</v>
          </cell>
          <cell r="X119">
            <v>0</v>
          </cell>
          <cell r="Y119">
            <v>0</v>
          </cell>
          <cell r="Z119">
            <v>0</v>
          </cell>
          <cell r="AA119" t="str">
            <v>! ! !</v>
          </cell>
          <cell r="AC119">
            <v>0</v>
          </cell>
          <cell r="AE119" t="str">
            <v>x</v>
          </cell>
          <cell r="AG119">
            <v>45</v>
          </cell>
          <cell r="AJ119" t="str">
            <v>-</v>
          </cell>
          <cell r="AL119">
            <v>2700</v>
          </cell>
          <cell r="AM119">
            <v>2200</v>
          </cell>
          <cell r="AN119" t="e">
            <v>#VALUE!</v>
          </cell>
          <cell r="AO119" t="e">
            <v>#VALUE!</v>
          </cell>
          <cell r="AP119">
            <v>500</v>
          </cell>
        </row>
        <row r="120">
          <cell r="A120">
            <v>63502800</v>
          </cell>
          <cell r="C120">
            <v>5028</v>
          </cell>
          <cell r="D120" t="str">
            <v xml:space="preserve">DMC KIP CORDON BLEU APPELTJES/ABRIKOZEN PUREE      </v>
          </cell>
          <cell r="E120" t="str">
            <v>DMC</v>
          </cell>
          <cell r="F120" t="str">
            <v>290MM</v>
          </cell>
          <cell r="G120" t="str">
            <v>C2227-3R</v>
          </cell>
          <cell r="H120">
            <v>456</v>
          </cell>
          <cell r="I120">
            <v>0.45</v>
          </cell>
          <cell r="J120" t="str">
            <v>NVT</v>
          </cell>
          <cell r="K120" t="str">
            <v>DM ROND + 65X155</v>
          </cell>
          <cell r="L120">
            <v>6</v>
          </cell>
          <cell r="M120" t="str">
            <v>DMC X 6</v>
          </cell>
          <cell r="N120">
            <v>110</v>
          </cell>
          <cell r="O120">
            <v>5410953350285</v>
          </cell>
          <cell r="P120" t="str">
            <v>H-T</v>
          </cell>
          <cell r="Q120">
            <v>2</v>
          </cell>
          <cell r="R120">
            <v>3</v>
          </cell>
          <cell r="S120" t="str">
            <v>Folie perforeren</v>
          </cell>
          <cell r="T120">
            <v>2200</v>
          </cell>
          <cell r="U120">
            <v>2</v>
          </cell>
          <cell r="V120">
            <v>2200</v>
          </cell>
          <cell r="W120">
            <v>2</v>
          </cell>
          <cell r="X120">
            <v>0</v>
          </cell>
          <cell r="Y120">
            <v>0</v>
          </cell>
          <cell r="Z120">
            <v>0</v>
          </cell>
          <cell r="AA120" t="str">
            <v>! ! !</v>
          </cell>
          <cell r="AC120">
            <v>0</v>
          </cell>
          <cell r="AE120" t="str">
            <v>x</v>
          </cell>
          <cell r="AG120">
            <v>45</v>
          </cell>
          <cell r="AJ120" t="str">
            <v>-</v>
          </cell>
          <cell r="AL120">
            <v>2700</v>
          </cell>
          <cell r="AM120">
            <v>2200</v>
          </cell>
          <cell r="AN120" t="e">
            <v>#VALUE!</v>
          </cell>
          <cell r="AO120" t="e">
            <v>#VALUE!</v>
          </cell>
          <cell r="AP120">
            <v>500</v>
          </cell>
        </row>
        <row r="121">
          <cell r="A121">
            <v>63502900</v>
          </cell>
          <cell r="C121">
            <v>5029</v>
          </cell>
          <cell r="D121" t="str">
            <v xml:space="preserve">DMC KIPPENBOUT GROENTENKRANS PUREE             </v>
          </cell>
          <cell r="E121" t="str">
            <v>DMC</v>
          </cell>
          <cell r="F121" t="str">
            <v>290MM</v>
          </cell>
          <cell r="G121" t="str">
            <v>C2227-2K</v>
          </cell>
          <cell r="H121">
            <v>456</v>
          </cell>
          <cell r="I121">
            <v>0.54500000000000004</v>
          </cell>
          <cell r="J121" t="str">
            <v>NVT</v>
          </cell>
          <cell r="K121" t="str">
            <v>DM ROND + 65X155</v>
          </cell>
          <cell r="L121">
            <v>6</v>
          </cell>
          <cell r="M121" t="str">
            <v>DMC X 6</v>
          </cell>
          <cell r="N121">
            <v>110</v>
          </cell>
          <cell r="O121">
            <v>5410953350292</v>
          </cell>
          <cell r="P121" t="str">
            <v>H-T</v>
          </cell>
          <cell r="Q121">
            <v>3</v>
          </cell>
          <cell r="R121">
            <v>3</v>
          </cell>
          <cell r="S121" t="str">
            <v>Folie perforeren, idem 63900700</v>
          </cell>
          <cell r="T121">
            <v>2200</v>
          </cell>
          <cell r="U121">
            <v>5</v>
          </cell>
          <cell r="V121">
            <v>2200</v>
          </cell>
          <cell r="W121">
            <v>5</v>
          </cell>
          <cell r="X121">
            <v>0</v>
          </cell>
          <cell r="Y121">
            <v>0</v>
          </cell>
          <cell r="Z121">
            <v>0</v>
          </cell>
          <cell r="AA121" t="str">
            <v>! ! !</v>
          </cell>
          <cell r="AC121">
            <v>0.11333333333333333</v>
          </cell>
          <cell r="AE121" t="str">
            <v>x</v>
          </cell>
          <cell r="AG121">
            <v>45</v>
          </cell>
          <cell r="AJ121" t="str">
            <v>-</v>
          </cell>
          <cell r="AL121">
            <v>2700</v>
          </cell>
          <cell r="AM121">
            <v>2200</v>
          </cell>
          <cell r="AN121" t="e">
            <v>#VALUE!</v>
          </cell>
          <cell r="AO121" t="e">
            <v>#VALUE!</v>
          </cell>
          <cell r="AP121">
            <v>500</v>
          </cell>
        </row>
        <row r="122">
          <cell r="A122">
            <v>63503100</v>
          </cell>
          <cell r="C122">
            <v>5031</v>
          </cell>
          <cell r="D122" t="str">
            <v>DMC KALKOENFILET SINAASSAUS APPELMOES AARD KUBUS</v>
          </cell>
          <cell r="E122" t="str">
            <v>DMC</v>
          </cell>
          <cell r="F122" t="str">
            <v>290MM</v>
          </cell>
          <cell r="G122" t="str">
            <v>C2227-3R</v>
          </cell>
          <cell r="H122">
            <v>456</v>
          </cell>
          <cell r="I122">
            <v>0.5</v>
          </cell>
          <cell r="J122" t="str">
            <v>NVT</v>
          </cell>
          <cell r="K122" t="str">
            <v>DM ROND + 65X155</v>
          </cell>
          <cell r="L122">
            <v>6</v>
          </cell>
          <cell r="M122" t="str">
            <v>DMC X 6</v>
          </cell>
          <cell r="N122">
            <v>110</v>
          </cell>
          <cell r="O122">
            <v>5410953350315</v>
          </cell>
          <cell r="P122" t="str">
            <v>2T</v>
          </cell>
          <cell r="Q122">
            <v>2</v>
          </cell>
          <cell r="R122">
            <v>3</v>
          </cell>
          <cell r="S122" t="str">
            <v>Folie perforeren, KALKOEN D-1, KALKOEN snijden (0,5cm)</v>
          </cell>
          <cell r="T122">
            <v>1750</v>
          </cell>
          <cell r="U122">
            <v>8</v>
          </cell>
          <cell r="V122">
            <v>1750</v>
          </cell>
          <cell r="W122">
            <v>8</v>
          </cell>
          <cell r="X122">
            <v>0</v>
          </cell>
          <cell r="Y122">
            <v>0</v>
          </cell>
          <cell r="Z122">
            <v>0</v>
          </cell>
          <cell r="AA122" t="str">
            <v xml:space="preserve">! </v>
          </cell>
          <cell r="AC122">
            <v>5.5800000000000002E-2</v>
          </cell>
          <cell r="AE122" t="str">
            <v>x</v>
          </cell>
          <cell r="AJ122" t="str">
            <v>V-A</v>
          </cell>
          <cell r="AL122">
            <v>0</v>
          </cell>
          <cell r="AM122">
            <v>1750</v>
          </cell>
          <cell r="AN122" t="e">
            <v>#VALUE!</v>
          </cell>
          <cell r="AO122" t="e">
            <v>#VALUE!</v>
          </cell>
          <cell r="AP122">
            <v>-1750</v>
          </cell>
        </row>
        <row r="123">
          <cell r="A123">
            <v>63503700</v>
          </cell>
          <cell r="C123">
            <v>5037</v>
          </cell>
          <cell r="D123" t="str">
            <v xml:space="preserve">DMC SPAGHETTI BOLOGNESE KAAS                     </v>
          </cell>
          <cell r="E123" t="str">
            <v>DMC</v>
          </cell>
          <cell r="F123" t="str">
            <v>290MM</v>
          </cell>
          <cell r="G123" t="str">
            <v>C2227-1H</v>
          </cell>
          <cell r="H123">
            <v>456</v>
          </cell>
          <cell r="I123">
            <v>0.55000000000000004</v>
          </cell>
          <cell r="J123" t="str">
            <v>NVT</v>
          </cell>
          <cell r="K123" t="str">
            <v>DM ROND + 65X155</v>
          </cell>
          <cell r="L123">
            <v>6</v>
          </cell>
          <cell r="M123" t="str">
            <v>DMC X 6</v>
          </cell>
          <cell r="N123">
            <v>110</v>
          </cell>
          <cell r="O123">
            <v>5410953350377</v>
          </cell>
          <cell r="P123" t="str">
            <v>M-2T-K</v>
          </cell>
          <cell r="Q123">
            <v>2.5</v>
          </cell>
          <cell r="R123">
            <v>3</v>
          </cell>
          <cell r="S123" t="str">
            <v>Folie perforeren</v>
          </cell>
          <cell r="T123">
            <v>2200</v>
          </cell>
          <cell r="U123">
            <v>3</v>
          </cell>
          <cell r="V123">
            <v>2200</v>
          </cell>
          <cell r="W123">
            <v>3</v>
          </cell>
          <cell r="X123">
            <v>0</v>
          </cell>
          <cell r="Y123">
            <v>0</v>
          </cell>
          <cell r="Z123">
            <v>0</v>
          </cell>
          <cell r="AA123" t="str">
            <v>! ! !</v>
          </cell>
          <cell r="AC123">
            <v>0</v>
          </cell>
          <cell r="AE123" t="str">
            <v>x</v>
          </cell>
          <cell r="AG123">
            <v>45</v>
          </cell>
          <cell r="AJ123" t="str">
            <v>-</v>
          </cell>
          <cell r="AL123">
            <v>2700</v>
          </cell>
          <cell r="AM123">
            <v>2200</v>
          </cell>
          <cell r="AN123" t="e">
            <v>#VALUE!</v>
          </cell>
          <cell r="AO123" t="e">
            <v>#VALUE!</v>
          </cell>
          <cell r="AP123">
            <v>500</v>
          </cell>
        </row>
        <row r="124">
          <cell r="A124">
            <v>63503800</v>
          </cell>
          <cell r="C124">
            <v>5038</v>
          </cell>
          <cell r="D124" t="str">
            <v xml:space="preserve">DMC MACARONI HAM KAASSAUS                      </v>
          </cell>
          <cell r="E124" t="str">
            <v>DMC</v>
          </cell>
          <cell r="F124" t="str">
            <v>290MM</v>
          </cell>
          <cell r="G124" t="str">
            <v>C2227-1H</v>
          </cell>
          <cell r="H124">
            <v>456</v>
          </cell>
          <cell r="I124">
            <v>0.52</v>
          </cell>
          <cell r="J124" t="str">
            <v>NVT</v>
          </cell>
          <cell r="K124" t="str">
            <v>DM ROND + 65X155</v>
          </cell>
          <cell r="L124">
            <v>6</v>
          </cell>
          <cell r="M124" t="str">
            <v>DMC X 6</v>
          </cell>
          <cell r="N124">
            <v>110</v>
          </cell>
          <cell r="O124">
            <v>5410953350384</v>
          </cell>
          <cell r="P124" t="str">
            <v>M-H</v>
          </cell>
          <cell r="Q124">
            <v>2.5</v>
          </cell>
          <cell r="R124">
            <v>3</v>
          </cell>
          <cell r="S124" t="str">
            <v>Folie perforeren</v>
          </cell>
          <cell r="T124">
            <v>2200</v>
          </cell>
          <cell r="U124">
            <v>3</v>
          </cell>
          <cell r="V124">
            <v>2200</v>
          </cell>
          <cell r="W124">
            <v>3</v>
          </cell>
          <cell r="X124">
            <v>0</v>
          </cell>
          <cell r="Y124">
            <v>0</v>
          </cell>
          <cell r="Z124">
            <v>0</v>
          </cell>
          <cell r="AA124" t="str">
            <v>! !</v>
          </cell>
          <cell r="AC124">
            <v>0</v>
          </cell>
          <cell r="AE124" t="str">
            <v>x</v>
          </cell>
          <cell r="AG124">
            <v>45</v>
          </cell>
          <cell r="AJ124" t="str">
            <v>V-A</v>
          </cell>
          <cell r="AL124">
            <v>2700</v>
          </cell>
          <cell r="AM124">
            <v>2200</v>
          </cell>
          <cell r="AN124" t="e">
            <v>#VALUE!</v>
          </cell>
          <cell r="AO124" t="e">
            <v>#VALUE!</v>
          </cell>
          <cell r="AP124">
            <v>500</v>
          </cell>
        </row>
        <row r="125">
          <cell r="A125">
            <v>63503900</v>
          </cell>
          <cell r="C125">
            <v>5039</v>
          </cell>
          <cell r="D125" t="str">
            <v xml:space="preserve">DMC HAM WITLOOF KAASSAUS PUREE               </v>
          </cell>
          <cell r="E125" t="str">
            <v>DMC</v>
          </cell>
          <cell r="F125" t="str">
            <v>290MM</v>
          </cell>
          <cell r="G125" t="str">
            <v>C2227-2K</v>
          </cell>
          <cell r="H125">
            <v>365</v>
          </cell>
          <cell r="I125">
            <v>0.54</v>
          </cell>
          <cell r="J125" t="str">
            <v>NVT</v>
          </cell>
          <cell r="K125" t="str">
            <v>DM ROND + 65X155</v>
          </cell>
          <cell r="L125">
            <v>6</v>
          </cell>
          <cell r="M125" t="str">
            <v>DMC X 6</v>
          </cell>
          <cell r="N125">
            <v>110</v>
          </cell>
          <cell r="O125">
            <v>5410953350391</v>
          </cell>
          <cell r="P125" t="str">
            <v>H-T</v>
          </cell>
          <cell r="Q125">
            <v>2</v>
          </cell>
          <cell r="R125">
            <v>3</v>
          </cell>
          <cell r="S125" t="str">
            <v>Folie perforeren, HAM snijden, 2000 sneedjes hesp/werkuur</v>
          </cell>
          <cell r="T125">
            <v>1500</v>
          </cell>
          <cell r="U125">
            <v>10</v>
          </cell>
          <cell r="V125">
            <v>1500</v>
          </cell>
          <cell r="W125">
            <v>10</v>
          </cell>
          <cell r="X125">
            <v>0</v>
          </cell>
          <cell r="Y125">
            <v>0</v>
          </cell>
          <cell r="Z125">
            <v>0</v>
          </cell>
          <cell r="AA125" t="str">
            <v>! !</v>
          </cell>
          <cell r="AC125">
            <v>0.10309090909090909</v>
          </cell>
          <cell r="AE125" t="str">
            <v>x</v>
          </cell>
          <cell r="AJ125" t="str">
            <v>V-A</v>
          </cell>
          <cell r="AL125">
            <v>0</v>
          </cell>
          <cell r="AM125">
            <v>1500</v>
          </cell>
          <cell r="AN125" t="e">
            <v>#VALUE!</v>
          </cell>
          <cell r="AO125" t="e">
            <v>#VALUE!</v>
          </cell>
          <cell r="AP125">
            <v>-1500</v>
          </cell>
        </row>
        <row r="126">
          <cell r="A126">
            <v>63504300</v>
          </cell>
          <cell r="C126">
            <v>5043</v>
          </cell>
          <cell r="D126" t="str">
            <v>DMC VISPANNETJE BOONTJES PUREE</v>
          </cell>
          <cell r="E126" t="str">
            <v>DMC</v>
          </cell>
          <cell r="F126" t="str">
            <v>290MM</v>
          </cell>
          <cell r="G126" t="str">
            <v>C2227-2K</v>
          </cell>
          <cell r="H126">
            <v>548</v>
          </cell>
          <cell r="I126">
            <v>0.54500000000000004</v>
          </cell>
          <cell r="J126" t="str">
            <v>NVT</v>
          </cell>
          <cell r="K126" t="str">
            <v>DM ROND + 65X155</v>
          </cell>
          <cell r="L126">
            <v>6</v>
          </cell>
          <cell r="M126" t="str">
            <v>DMC X 6</v>
          </cell>
          <cell r="N126">
            <v>110</v>
          </cell>
          <cell r="O126">
            <v>5410953350438</v>
          </cell>
          <cell r="P126" t="str">
            <v>I-H-T</v>
          </cell>
          <cell r="Q126">
            <v>3</v>
          </cell>
          <cell r="R126">
            <v>3</v>
          </cell>
          <cell r="S126" t="str">
            <v>Folie perforeren</v>
          </cell>
          <cell r="T126">
            <v>2200</v>
          </cell>
          <cell r="U126">
            <v>6</v>
          </cell>
          <cell r="V126">
            <v>2200</v>
          </cell>
          <cell r="W126">
            <v>6</v>
          </cell>
          <cell r="X126">
            <v>0</v>
          </cell>
          <cell r="Y126">
            <v>0</v>
          </cell>
          <cell r="Z126">
            <v>0</v>
          </cell>
          <cell r="AA126" t="str">
            <v>! ! ! !</v>
          </cell>
          <cell r="AC126">
            <v>0</v>
          </cell>
          <cell r="AE126" t="str">
            <v>x</v>
          </cell>
          <cell r="AG126">
            <v>45</v>
          </cell>
          <cell r="AJ126" t="str">
            <v>V-A</v>
          </cell>
          <cell r="AL126">
            <v>2700</v>
          </cell>
          <cell r="AM126">
            <v>2200</v>
          </cell>
          <cell r="AN126" t="e">
            <v>#VALUE!</v>
          </cell>
          <cell r="AO126" t="e">
            <v>#VALUE!</v>
          </cell>
          <cell r="AP126">
            <v>500</v>
          </cell>
        </row>
        <row r="127">
          <cell r="A127">
            <v>63504500</v>
          </cell>
          <cell r="C127">
            <v>5045</v>
          </cell>
          <cell r="D127" t="str">
            <v xml:space="preserve">DMC LASAGNE BOLOGNESE                              </v>
          </cell>
          <cell r="E127" t="str">
            <v>DMC</v>
          </cell>
          <cell r="F127" t="str">
            <v>290MM</v>
          </cell>
          <cell r="G127" t="str">
            <v>C2227-1H</v>
          </cell>
          <cell r="H127">
            <v>456</v>
          </cell>
          <cell r="I127">
            <v>0.56999999999999995</v>
          </cell>
          <cell r="J127" t="str">
            <v>NVT</v>
          </cell>
          <cell r="K127" t="str">
            <v>DM ROND + 65X155</v>
          </cell>
          <cell r="L127">
            <v>6</v>
          </cell>
          <cell r="M127" t="str">
            <v>DMC X 6</v>
          </cell>
          <cell r="N127">
            <v>110</v>
          </cell>
          <cell r="O127">
            <v>5410953350452</v>
          </cell>
          <cell r="P127" t="str">
            <v>H-2T-K</v>
          </cell>
          <cell r="Q127">
            <v>2</v>
          </cell>
          <cell r="R127">
            <v>3</v>
          </cell>
          <cell r="S127" t="str">
            <v xml:space="preserve">Folie perforeren </v>
          </cell>
          <cell r="T127">
            <v>2200</v>
          </cell>
          <cell r="U127">
            <v>3</v>
          </cell>
          <cell r="V127">
            <v>2200</v>
          </cell>
          <cell r="W127">
            <v>3</v>
          </cell>
          <cell r="X127">
            <v>0</v>
          </cell>
          <cell r="Y127">
            <v>0</v>
          </cell>
          <cell r="Z127">
            <v>0</v>
          </cell>
          <cell r="AA127" t="str">
            <v>! ! !</v>
          </cell>
          <cell r="AC127">
            <v>0</v>
          </cell>
          <cell r="AG127">
            <v>45</v>
          </cell>
          <cell r="AJ127" t="str">
            <v>V-A</v>
          </cell>
          <cell r="AL127">
            <v>2700</v>
          </cell>
          <cell r="AM127">
            <v>2200</v>
          </cell>
          <cell r="AN127" t="e">
            <v>#VALUE!</v>
          </cell>
          <cell r="AO127" t="e">
            <v>#VALUE!</v>
          </cell>
          <cell r="AP127">
            <v>500</v>
          </cell>
        </row>
        <row r="128">
          <cell r="A128">
            <v>63504700</v>
          </cell>
          <cell r="C128">
            <v>5047</v>
          </cell>
          <cell r="D128" t="str">
            <v xml:space="preserve">DMC KIP KERRIESAUS RIJST            </v>
          </cell>
          <cell r="E128" t="str">
            <v>DMC</v>
          </cell>
          <cell r="F128" t="str">
            <v>290MM</v>
          </cell>
          <cell r="G128" t="str">
            <v>C2227-2K</v>
          </cell>
          <cell r="H128">
            <v>456</v>
          </cell>
          <cell r="I128">
            <v>0.5</v>
          </cell>
          <cell r="J128" t="str">
            <v>NVT</v>
          </cell>
          <cell r="K128" t="str">
            <v>DM ROND + 65X155</v>
          </cell>
          <cell r="L128">
            <v>6</v>
          </cell>
          <cell r="M128" t="str">
            <v>DMC X 6</v>
          </cell>
          <cell r="N128">
            <v>110</v>
          </cell>
          <cell r="O128">
            <v>5410953350476</v>
          </cell>
          <cell r="P128" t="str">
            <v>I-M-T</v>
          </cell>
          <cell r="Q128">
            <v>2</v>
          </cell>
          <cell r="R128">
            <v>3</v>
          </cell>
          <cell r="S128" t="str">
            <v>Folie perforeren</v>
          </cell>
          <cell r="T128">
            <v>2000</v>
          </cell>
          <cell r="U128">
            <v>4</v>
          </cell>
          <cell r="V128">
            <v>2000</v>
          </cell>
          <cell r="W128">
            <v>4</v>
          </cell>
          <cell r="X128">
            <v>0</v>
          </cell>
          <cell r="Y128">
            <v>0</v>
          </cell>
          <cell r="Z128">
            <v>0</v>
          </cell>
          <cell r="AA128" t="str">
            <v>! ! !</v>
          </cell>
          <cell r="AC128">
            <v>0</v>
          </cell>
          <cell r="AE128" t="str">
            <v>x</v>
          </cell>
          <cell r="AJ128" t="str">
            <v>V-A</v>
          </cell>
          <cell r="AL128">
            <v>0</v>
          </cell>
          <cell r="AM128">
            <v>2000</v>
          </cell>
          <cell r="AN128" t="e">
            <v>#VALUE!</v>
          </cell>
          <cell r="AO128" t="e">
            <v>#VALUE!</v>
          </cell>
          <cell r="AP128">
            <v>-2000</v>
          </cell>
        </row>
        <row r="129">
          <cell r="A129">
            <v>63511200</v>
          </cell>
          <cell r="C129">
            <v>5112</v>
          </cell>
          <cell r="D129" t="str">
            <v>DMC VARKENSMEDAILLON CHAMPIGNONS GROENTEN GEB AARD</v>
          </cell>
          <cell r="E129" t="str">
            <v>DMC</v>
          </cell>
          <cell r="F129" t="str">
            <v>290MM</v>
          </cell>
          <cell r="G129" t="str">
            <v>C2227-3R</v>
          </cell>
          <cell r="H129">
            <v>456</v>
          </cell>
          <cell r="I129">
            <v>0.5</v>
          </cell>
          <cell r="J129" t="str">
            <v>NVT</v>
          </cell>
          <cell r="K129" t="str">
            <v>DM ROND + 65X155</v>
          </cell>
          <cell r="L129">
            <v>6</v>
          </cell>
          <cell r="M129" t="str">
            <v>DMC X 6</v>
          </cell>
          <cell r="N129">
            <v>110</v>
          </cell>
          <cell r="O129" t="str">
            <v>5410953351121</v>
          </cell>
          <cell r="P129" t="str">
            <v>I-T</v>
          </cell>
          <cell r="Q129">
            <v>2</v>
          </cell>
          <cell r="R129">
            <v>3</v>
          </cell>
          <cell r="S129" t="str">
            <v>Folie perforeren</v>
          </cell>
          <cell r="T129">
            <v>2200</v>
          </cell>
          <cell r="U129">
            <v>7</v>
          </cell>
          <cell r="V129">
            <v>2200</v>
          </cell>
          <cell r="W129">
            <v>7</v>
          </cell>
          <cell r="X129">
            <v>0</v>
          </cell>
          <cell r="Y129">
            <v>0</v>
          </cell>
          <cell r="Z129">
            <v>0</v>
          </cell>
          <cell r="AA129" t="str">
            <v>! !</v>
          </cell>
          <cell r="AC129">
            <v>0</v>
          </cell>
          <cell r="AG129">
            <v>45</v>
          </cell>
          <cell r="AJ129" t="str">
            <v>V-A</v>
          </cell>
          <cell r="AL129">
            <v>2700</v>
          </cell>
          <cell r="AM129">
            <v>2200</v>
          </cell>
          <cell r="AN129" t="e">
            <v>#VALUE!</v>
          </cell>
          <cell r="AO129" t="e">
            <v>#VALUE!</v>
          </cell>
          <cell r="AP129">
            <v>500</v>
          </cell>
        </row>
        <row r="130">
          <cell r="A130">
            <v>63511900</v>
          </cell>
          <cell r="C130">
            <v>5119</v>
          </cell>
          <cell r="D130" t="str">
            <v>DMC VARKENSGEBR MOSTERDSAUS SPRUITEN KNOLSELDERPUREE</v>
          </cell>
          <cell r="E130" t="str">
            <v>DMC</v>
          </cell>
          <cell r="F130" t="str">
            <v>290MM</v>
          </cell>
          <cell r="G130" t="str">
            <v>C2227-2K</v>
          </cell>
          <cell r="H130">
            <v>456</v>
          </cell>
          <cell r="I130">
            <v>0.5</v>
          </cell>
          <cell r="J130" t="str">
            <v>NVT</v>
          </cell>
          <cell r="K130" t="str">
            <v>DM ROND + 65X155</v>
          </cell>
          <cell r="L130">
            <v>6</v>
          </cell>
          <cell r="M130" t="str">
            <v>DMC X 6</v>
          </cell>
          <cell r="N130">
            <v>110</v>
          </cell>
          <cell r="O130">
            <v>5410953351190</v>
          </cell>
          <cell r="P130" t="str">
            <v>H-T</v>
          </cell>
          <cell r="Q130">
            <v>3</v>
          </cell>
          <cell r="R130">
            <v>3</v>
          </cell>
          <cell r="S130" t="str">
            <v>Folie perforeren</v>
          </cell>
          <cell r="T130">
            <v>2200</v>
          </cell>
          <cell r="U130">
            <v>4</v>
          </cell>
          <cell r="V130">
            <v>2200</v>
          </cell>
          <cell r="W130">
            <v>4</v>
          </cell>
          <cell r="X130">
            <v>0</v>
          </cell>
          <cell r="Y130">
            <v>0</v>
          </cell>
          <cell r="Z130">
            <v>0</v>
          </cell>
          <cell r="AA130" t="str">
            <v>! ! !</v>
          </cell>
          <cell r="AC130">
            <v>0</v>
          </cell>
          <cell r="AG130">
            <v>45</v>
          </cell>
          <cell r="AJ130" t="str">
            <v>V-A</v>
          </cell>
          <cell r="AL130">
            <v>2700</v>
          </cell>
          <cell r="AM130">
            <v>2200</v>
          </cell>
          <cell r="AN130" t="e">
            <v>#VALUE!</v>
          </cell>
          <cell r="AO130" t="e">
            <v>#VALUE!</v>
          </cell>
          <cell r="AP130">
            <v>500</v>
          </cell>
        </row>
        <row r="131">
          <cell r="A131">
            <v>63512100</v>
          </cell>
          <cell r="C131">
            <v>5121</v>
          </cell>
          <cell r="D131" t="str">
            <v xml:space="preserve">DMC HUTSEPOT SPEK EN ROOKWORST </v>
          </cell>
          <cell r="E131" t="str">
            <v>DMC</v>
          </cell>
          <cell r="F131" t="str">
            <v>290MM</v>
          </cell>
          <cell r="G131" t="str">
            <v>C2227-1H</v>
          </cell>
          <cell r="H131">
            <v>456</v>
          </cell>
          <cell r="I131">
            <v>0.5</v>
          </cell>
          <cell r="J131" t="str">
            <v>NVT</v>
          </cell>
          <cell r="K131" t="str">
            <v>DM ROND + 65X155</v>
          </cell>
          <cell r="L131">
            <v>6</v>
          </cell>
          <cell r="M131" t="str">
            <v>DMC X 6</v>
          </cell>
          <cell r="N131">
            <v>110</v>
          </cell>
          <cell r="O131" t="str">
            <v>5410953351213</v>
          </cell>
          <cell r="P131" t="str">
            <v>T</v>
          </cell>
          <cell r="Q131">
            <v>2</v>
          </cell>
          <cell r="R131">
            <v>3</v>
          </cell>
          <cell r="S131" t="str">
            <v>Folie perforeren, SPEK snijden</v>
          </cell>
          <cell r="T131">
            <v>1750</v>
          </cell>
          <cell r="U131">
            <v>3</v>
          </cell>
          <cell r="V131">
            <v>1750</v>
          </cell>
          <cell r="W131">
            <v>3</v>
          </cell>
          <cell r="X131">
            <v>0</v>
          </cell>
          <cell r="Y131">
            <v>0</v>
          </cell>
          <cell r="Z131">
            <v>0</v>
          </cell>
          <cell r="AA131" t="str">
            <v>! ! !</v>
          </cell>
          <cell r="AC131">
            <v>0</v>
          </cell>
          <cell r="AJ131" t="str">
            <v>V-A</v>
          </cell>
          <cell r="AL131">
            <v>0</v>
          </cell>
          <cell r="AM131">
            <v>1750</v>
          </cell>
          <cell r="AN131" t="e">
            <v>#VALUE!</v>
          </cell>
          <cell r="AO131" t="e">
            <v>#VALUE!</v>
          </cell>
          <cell r="AP131">
            <v>-1750</v>
          </cell>
        </row>
        <row r="132">
          <cell r="A132">
            <v>63512200</v>
          </cell>
          <cell r="C132">
            <v>5122</v>
          </cell>
          <cell r="D132" t="str">
            <v>DMC KOOLVIS HOLLANDAISESAUS PREIROOM KRIEL</v>
          </cell>
          <cell r="E132" t="str">
            <v>DMC</v>
          </cell>
          <cell r="F132" t="str">
            <v>290MM</v>
          </cell>
          <cell r="G132" t="str">
            <v>C2227-3R</v>
          </cell>
          <cell r="H132">
            <v>548</v>
          </cell>
          <cell r="I132">
            <v>0.55500000000000005</v>
          </cell>
          <cell r="J132" t="str">
            <v>NVT</v>
          </cell>
          <cell r="K132" t="str">
            <v>DM ROND + 65X155</v>
          </cell>
          <cell r="L132">
            <v>6</v>
          </cell>
          <cell r="M132" t="str">
            <v>DMC X 6</v>
          </cell>
          <cell r="N132">
            <v>110</v>
          </cell>
          <cell r="O132" t="str">
            <v>5410953351220</v>
          </cell>
          <cell r="P132" t="str">
            <v>2T-I</v>
          </cell>
          <cell r="Q132">
            <v>2</v>
          </cell>
          <cell r="R132">
            <v>3</v>
          </cell>
          <cell r="S132" t="str">
            <v>Folie perforeren</v>
          </cell>
          <cell r="T132">
            <v>2200</v>
          </cell>
          <cell r="U132">
            <v>6</v>
          </cell>
          <cell r="V132">
            <v>2200</v>
          </cell>
          <cell r="W132">
            <v>6</v>
          </cell>
          <cell r="X132">
            <v>0</v>
          </cell>
          <cell r="Y132">
            <v>0</v>
          </cell>
          <cell r="Z132">
            <v>0</v>
          </cell>
          <cell r="AA132" t="str">
            <v>! ! ! !</v>
          </cell>
          <cell r="AC132">
            <v>0</v>
          </cell>
          <cell r="AG132">
            <v>45</v>
          </cell>
          <cell r="AJ132" t="str">
            <v>-</v>
          </cell>
          <cell r="AL132">
            <v>2700</v>
          </cell>
          <cell r="AM132">
            <v>2200</v>
          </cell>
          <cell r="AN132" t="e">
            <v>#VALUE!</v>
          </cell>
          <cell r="AO132" t="e">
            <v>#VALUE!</v>
          </cell>
          <cell r="AP132">
            <v>500</v>
          </cell>
        </row>
        <row r="133">
          <cell r="A133">
            <v>63512300</v>
          </cell>
          <cell r="C133">
            <v>5123</v>
          </cell>
          <cell r="D133" t="str">
            <v>DMC KABELJAUW GARNAAL BIESLOOKSAUS PUREE MET VENKEL EN TOMAAT</v>
          </cell>
          <cell r="E133" t="str">
            <v>DMC</v>
          </cell>
          <cell r="F133" t="str">
            <v>290MM</v>
          </cell>
          <cell r="G133" t="str">
            <v>C2227-2K</v>
          </cell>
          <cell r="H133">
            <v>548</v>
          </cell>
          <cell r="I133">
            <v>0.55000000000000004</v>
          </cell>
          <cell r="J133" t="str">
            <v>NVT</v>
          </cell>
          <cell r="K133" t="str">
            <v>DM ROND + 65X155</v>
          </cell>
          <cell r="L133">
            <v>6</v>
          </cell>
          <cell r="M133" t="str">
            <v>DMC X 6</v>
          </cell>
          <cell r="N133">
            <v>110</v>
          </cell>
          <cell r="O133" t="str">
            <v>5410953351237</v>
          </cell>
          <cell r="P133" t="str">
            <v>T-H</v>
          </cell>
          <cell r="Q133">
            <v>2.5</v>
          </cell>
          <cell r="R133">
            <v>3</v>
          </cell>
          <cell r="S133" t="str">
            <v>Folie perforeren</v>
          </cell>
          <cell r="T133">
            <v>2000</v>
          </cell>
          <cell r="U133">
            <v>3</v>
          </cell>
          <cell r="V133">
            <v>2000</v>
          </cell>
          <cell r="W133">
            <v>3</v>
          </cell>
          <cell r="X133">
            <v>0</v>
          </cell>
          <cell r="Y133">
            <v>0</v>
          </cell>
          <cell r="Z133">
            <v>0</v>
          </cell>
          <cell r="AA133" t="str">
            <v>! ! ! !</v>
          </cell>
          <cell r="AC133">
            <v>0</v>
          </cell>
          <cell r="AJ133" t="str">
            <v>V-A</v>
          </cell>
          <cell r="AL133">
            <v>0</v>
          </cell>
          <cell r="AM133">
            <v>2000</v>
          </cell>
          <cell r="AN133" t="e">
            <v>#VALUE!</v>
          </cell>
          <cell r="AO133" t="e">
            <v>#VALUE!</v>
          </cell>
          <cell r="AP133">
            <v>-2000</v>
          </cell>
        </row>
        <row r="134">
          <cell r="A134">
            <v>63513200</v>
          </cell>
          <cell r="C134">
            <v>5132</v>
          </cell>
          <cell r="D134" t="str">
            <v>DMC KALKOEN BORDELAISE PARIJSE WORTEL AARD PETERSELIE</v>
          </cell>
          <cell r="E134" t="str">
            <v>DMC</v>
          </cell>
          <cell r="F134" t="str">
            <v>290MM</v>
          </cell>
          <cell r="G134" t="str">
            <v>C2227-3R</v>
          </cell>
          <cell r="H134">
            <v>456</v>
          </cell>
          <cell r="I134">
            <v>0.54</v>
          </cell>
          <cell r="J134" t="str">
            <v>NVT</v>
          </cell>
          <cell r="K134" t="str">
            <v>DM ROND + 65X155</v>
          </cell>
          <cell r="L134">
            <v>6</v>
          </cell>
          <cell r="M134" t="str">
            <v>DMC X 6</v>
          </cell>
          <cell r="N134">
            <v>110</v>
          </cell>
          <cell r="O134">
            <v>5410953351329</v>
          </cell>
          <cell r="P134" t="str">
            <v>T</v>
          </cell>
          <cell r="Q134">
            <v>2</v>
          </cell>
          <cell r="R134">
            <v>3</v>
          </cell>
          <cell r="S134" t="str">
            <v>Folie perforeren, KALKOEN snijden (0,5cm)</v>
          </cell>
          <cell r="T134">
            <v>1750</v>
          </cell>
          <cell r="U134">
            <v>10</v>
          </cell>
          <cell r="V134">
            <v>1750</v>
          </cell>
          <cell r="W134">
            <v>10</v>
          </cell>
          <cell r="X134">
            <v>0</v>
          </cell>
          <cell r="Y134">
            <v>0</v>
          </cell>
          <cell r="Z134">
            <v>0</v>
          </cell>
          <cell r="AA134" t="str">
            <v>! !</v>
          </cell>
          <cell r="AC134">
            <v>5.3999999999999999E-2</v>
          </cell>
          <cell r="AJ134" t="str">
            <v>V-A</v>
          </cell>
          <cell r="AL134">
            <v>0</v>
          </cell>
          <cell r="AM134">
            <v>1750</v>
          </cell>
          <cell r="AN134" t="e">
            <v>#VALUE!</v>
          </cell>
          <cell r="AO134" t="e">
            <v>#VALUE!</v>
          </cell>
          <cell r="AP134">
            <v>-1750</v>
          </cell>
        </row>
        <row r="135">
          <cell r="A135">
            <v>63513400</v>
          </cell>
          <cell r="C135">
            <v>5134</v>
          </cell>
          <cell r="D135" t="str">
            <v>DMC BALLETJES LUIKSE SAUS SPERZIEBONEN BIESLOOKPUREE</v>
          </cell>
          <cell r="E135" t="str">
            <v>DMC</v>
          </cell>
          <cell r="F135" t="str">
            <v>290MM</v>
          </cell>
          <cell r="G135" t="str">
            <v>C2227-3R</v>
          </cell>
          <cell r="H135">
            <v>456</v>
          </cell>
          <cell r="I135">
            <v>0.52</v>
          </cell>
          <cell r="J135" t="str">
            <v>NVT</v>
          </cell>
          <cell r="K135" t="str">
            <v>DM ROND + 65X155</v>
          </cell>
          <cell r="L135">
            <v>6</v>
          </cell>
          <cell r="M135" t="str">
            <v>DMC X 6</v>
          </cell>
          <cell r="N135">
            <v>110</v>
          </cell>
          <cell r="O135">
            <v>5410953351343</v>
          </cell>
          <cell r="P135" t="str">
            <v>I-H</v>
          </cell>
          <cell r="Q135">
            <v>3</v>
          </cell>
          <cell r="R135">
            <v>3</v>
          </cell>
          <cell r="S135" t="str">
            <v>Folie perforeren</v>
          </cell>
          <cell r="T135">
            <v>2200</v>
          </cell>
          <cell r="U135">
            <v>4</v>
          </cell>
          <cell r="V135">
            <v>2200</v>
          </cell>
          <cell r="W135">
            <v>4</v>
          </cell>
          <cell r="X135">
            <v>0</v>
          </cell>
          <cell r="Y135">
            <v>0</v>
          </cell>
          <cell r="Z135">
            <v>0</v>
          </cell>
          <cell r="AA135" t="str">
            <v>! ! !</v>
          </cell>
          <cell r="AC135">
            <v>0</v>
          </cell>
          <cell r="AG135">
            <v>45</v>
          </cell>
          <cell r="AJ135" t="str">
            <v>V-A</v>
          </cell>
          <cell r="AL135">
            <v>2700</v>
          </cell>
          <cell r="AM135">
            <v>2200</v>
          </cell>
          <cell r="AN135" t="e">
            <v>#VALUE!</v>
          </cell>
          <cell r="AO135" t="e">
            <v>#VALUE!</v>
          </cell>
          <cell r="AP135">
            <v>500</v>
          </cell>
        </row>
        <row r="136">
          <cell r="A136">
            <v>63513600</v>
          </cell>
          <cell r="C136">
            <v>5136</v>
          </cell>
          <cell r="D136" t="str">
            <v>DMC GENTSE WATERZOOI</v>
          </cell>
          <cell r="E136" t="str">
            <v>DMC</v>
          </cell>
          <cell r="F136" t="str">
            <v>290MM</v>
          </cell>
          <cell r="G136" t="str">
            <v>C2227-1H</v>
          </cell>
          <cell r="H136">
            <v>456</v>
          </cell>
          <cell r="I136">
            <v>0.5</v>
          </cell>
          <cell r="J136" t="str">
            <v>NVT</v>
          </cell>
          <cell r="K136" t="str">
            <v>DM ROND + 65X155</v>
          </cell>
          <cell r="L136">
            <v>6</v>
          </cell>
          <cell r="M136" t="str">
            <v>DMC X 6</v>
          </cell>
          <cell r="N136">
            <v>110</v>
          </cell>
          <cell r="O136">
            <v>5410953351367</v>
          </cell>
          <cell r="P136" t="str">
            <v>T</v>
          </cell>
          <cell r="Q136">
            <v>2</v>
          </cell>
          <cell r="R136">
            <v>3</v>
          </cell>
          <cell r="S136" t="str">
            <v>Folie perforeren</v>
          </cell>
          <cell r="T136">
            <v>2000</v>
          </cell>
          <cell r="U136">
            <v>5</v>
          </cell>
          <cell r="V136">
            <v>2000</v>
          </cell>
          <cell r="W136">
            <v>5</v>
          </cell>
          <cell r="X136">
            <v>0</v>
          </cell>
          <cell r="Y136">
            <v>0</v>
          </cell>
          <cell r="Z136">
            <v>0</v>
          </cell>
          <cell r="AA136" t="str">
            <v>! ! !</v>
          </cell>
          <cell r="AC136">
            <v>0.11249999999999999</v>
          </cell>
          <cell r="AJ136" t="str">
            <v>-</v>
          </cell>
          <cell r="AL136">
            <v>0</v>
          </cell>
          <cell r="AM136">
            <v>2000</v>
          </cell>
          <cell r="AN136" t="e">
            <v>#VALUE!</v>
          </cell>
          <cell r="AO136" t="e">
            <v>#VALUE!</v>
          </cell>
          <cell r="AP136">
            <v>-2000</v>
          </cell>
        </row>
        <row r="137">
          <cell r="A137">
            <v>63514800</v>
          </cell>
          <cell r="C137">
            <v>5148</v>
          </cell>
          <cell r="D137" t="str">
            <v>DMC VARKENSGEBRAAD ITALIAANSE SAUS KRIEL IN DE SCHIL</v>
          </cell>
          <cell r="E137" t="str">
            <v>DMC</v>
          </cell>
          <cell r="F137" t="str">
            <v>290MM</v>
          </cell>
          <cell r="G137" t="str">
            <v>C2227-2K</v>
          </cell>
          <cell r="H137">
            <v>456</v>
          </cell>
          <cell r="I137">
            <v>0.51</v>
          </cell>
          <cell r="J137" t="str">
            <v>NVT</v>
          </cell>
          <cell r="K137" t="str">
            <v>DM ROND + 65X155</v>
          </cell>
          <cell r="L137">
            <v>6</v>
          </cell>
          <cell r="M137" t="str">
            <v>DMC X 6</v>
          </cell>
          <cell r="N137">
            <v>110</v>
          </cell>
          <cell r="O137">
            <v>5410953351480</v>
          </cell>
          <cell r="P137" t="str">
            <v>T</v>
          </cell>
          <cell r="Q137">
            <v>2.5</v>
          </cell>
          <cell r="R137">
            <v>3</v>
          </cell>
          <cell r="S137" t="str">
            <v>Folie perforeren, AARDAPPELEN bakken</v>
          </cell>
          <cell r="T137">
            <v>2000</v>
          </cell>
          <cell r="U137">
            <v>4</v>
          </cell>
          <cell r="V137">
            <v>2000</v>
          </cell>
          <cell r="W137">
            <v>4</v>
          </cell>
          <cell r="X137">
            <v>0</v>
          </cell>
          <cell r="Y137">
            <v>0</v>
          </cell>
          <cell r="Z137">
            <v>0</v>
          </cell>
          <cell r="AA137" t="str">
            <v>! !</v>
          </cell>
          <cell r="AC137">
            <v>4.4999999999999998E-2</v>
          </cell>
          <cell r="AJ137" t="str">
            <v>V-A</v>
          </cell>
          <cell r="AL137">
            <v>0</v>
          </cell>
          <cell r="AM137">
            <v>2000</v>
          </cell>
          <cell r="AN137" t="e">
            <v>#VALUE!</v>
          </cell>
          <cell r="AO137" t="e">
            <v>#VALUE!</v>
          </cell>
          <cell r="AP137">
            <v>-2000</v>
          </cell>
        </row>
        <row r="138">
          <cell r="A138">
            <v>63515100</v>
          </cell>
          <cell r="C138">
            <v>5151</v>
          </cell>
          <cell r="D138" t="str">
            <v>DMC VARKENSMED BLACKWELL BLOEMK BROCC FRIETJES</v>
          </cell>
          <cell r="E138" t="str">
            <v>DMC</v>
          </cell>
          <cell r="F138" t="str">
            <v>290MM</v>
          </cell>
          <cell r="G138" t="str">
            <v>C2227-2K</v>
          </cell>
          <cell r="H138">
            <v>456</v>
          </cell>
          <cell r="I138">
            <v>0.5</v>
          </cell>
          <cell r="J138" t="str">
            <v>NVT</v>
          </cell>
          <cell r="K138" t="str">
            <v>DM ROND + 65X155</v>
          </cell>
          <cell r="L138">
            <v>6</v>
          </cell>
          <cell r="M138" t="str">
            <v>DMC X 6</v>
          </cell>
          <cell r="N138">
            <v>110</v>
          </cell>
          <cell r="O138">
            <v>5410953351510</v>
          </cell>
          <cell r="P138" t="str">
            <v>I-T</v>
          </cell>
          <cell r="Q138">
            <v>2</v>
          </cell>
          <cell r="R138">
            <v>3</v>
          </cell>
          <cell r="S138" t="str">
            <v>Folie perforeren</v>
          </cell>
          <cell r="T138">
            <v>2200</v>
          </cell>
          <cell r="U138">
            <v>5</v>
          </cell>
          <cell r="V138">
            <v>2200</v>
          </cell>
          <cell r="W138">
            <v>5</v>
          </cell>
          <cell r="X138">
            <v>0</v>
          </cell>
          <cell r="Y138">
            <v>0</v>
          </cell>
          <cell r="Z138">
            <v>0</v>
          </cell>
          <cell r="AA138" t="str">
            <v>! ! !</v>
          </cell>
          <cell r="AC138">
            <v>0</v>
          </cell>
          <cell r="AG138">
            <v>45</v>
          </cell>
          <cell r="AJ138" t="str">
            <v>V-A</v>
          </cell>
          <cell r="AL138">
            <v>2700</v>
          </cell>
          <cell r="AM138">
            <v>2200</v>
          </cell>
          <cell r="AN138" t="e">
            <v>#VALUE!</v>
          </cell>
          <cell r="AO138" t="e">
            <v>#VALUE!</v>
          </cell>
          <cell r="AP138">
            <v>500</v>
          </cell>
        </row>
        <row r="139">
          <cell r="A139">
            <v>63515200</v>
          </cell>
          <cell r="C139">
            <v>5152</v>
          </cell>
          <cell r="D139" t="str">
            <v>DMC RUNDERSTOOFPOT STROGANOFF SNIJBONEN KRIELTJES</v>
          </cell>
          <cell r="E139" t="str">
            <v>DMC</v>
          </cell>
          <cell r="F139" t="str">
            <v>290MM</v>
          </cell>
          <cell r="G139" t="str">
            <v>C2227-3R</v>
          </cell>
          <cell r="H139">
            <v>456</v>
          </cell>
          <cell r="I139">
            <v>0.5</v>
          </cell>
          <cell r="J139" t="str">
            <v>NVT</v>
          </cell>
          <cell r="K139" t="str">
            <v>DM ROND + 65X155</v>
          </cell>
          <cell r="L139">
            <v>6</v>
          </cell>
          <cell r="M139" t="str">
            <v>DMC X 6</v>
          </cell>
          <cell r="N139">
            <v>110</v>
          </cell>
          <cell r="O139">
            <v>5410953351527</v>
          </cell>
          <cell r="P139" t="str">
            <v>I-T</v>
          </cell>
          <cell r="Q139">
            <v>2</v>
          </cell>
          <cell r="R139">
            <v>3</v>
          </cell>
          <cell r="S139" t="str">
            <v>Folie perforeren, Pulled beef tussen D-4 en D-2</v>
          </cell>
          <cell r="T139">
            <v>2000</v>
          </cell>
          <cell r="U139">
            <v>6</v>
          </cell>
          <cell r="V139">
            <v>2000</v>
          </cell>
          <cell r="W139">
            <v>6</v>
          </cell>
          <cell r="X139">
            <v>0</v>
          </cell>
          <cell r="Y139">
            <v>0</v>
          </cell>
          <cell r="Z139">
            <v>0</v>
          </cell>
          <cell r="AA139" t="str">
            <v>! !</v>
          </cell>
          <cell r="AC139">
            <v>0</v>
          </cell>
          <cell r="AJ139" t="str">
            <v>V-A</v>
          </cell>
          <cell r="AL139">
            <v>0</v>
          </cell>
          <cell r="AM139">
            <v>2000</v>
          </cell>
          <cell r="AN139" t="e">
            <v>#VALUE!</v>
          </cell>
          <cell r="AO139" t="e">
            <v>#VALUE!</v>
          </cell>
          <cell r="AP139">
            <v>-2000</v>
          </cell>
        </row>
        <row r="140">
          <cell r="A140">
            <v>63515300</v>
          </cell>
          <cell r="C140">
            <v>5153</v>
          </cell>
          <cell r="D140" t="str">
            <v>DMC TAGLIATELLE KIP BOSCHAMPIGNONS</v>
          </cell>
          <cell r="E140" t="str">
            <v>DMC</v>
          </cell>
          <cell r="F140" t="str">
            <v>290MM</v>
          </cell>
          <cell r="G140" t="str">
            <v>C2227-1H</v>
          </cell>
          <cell r="H140">
            <v>456</v>
          </cell>
          <cell r="I140">
            <v>0.51500000000000001</v>
          </cell>
          <cell r="J140" t="str">
            <v>NVT</v>
          </cell>
          <cell r="K140" t="str">
            <v>DM ROND + 65X155</v>
          </cell>
          <cell r="L140">
            <v>6</v>
          </cell>
          <cell r="M140" t="str">
            <v>DMC X 6</v>
          </cell>
          <cell r="N140">
            <v>110</v>
          </cell>
          <cell r="O140">
            <v>5410953351534</v>
          </cell>
          <cell r="P140" t="str">
            <v>M-I-2T</v>
          </cell>
          <cell r="Q140">
            <v>2.5</v>
          </cell>
          <cell r="R140">
            <v>3</v>
          </cell>
          <cell r="S140" t="str">
            <v>Folie perforeren, idem 63907400</v>
          </cell>
          <cell r="T140">
            <v>2200</v>
          </cell>
          <cell r="U140">
            <v>3</v>
          </cell>
          <cell r="V140">
            <v>2200</v>
          </cell>
          <cell r="W140">
            <v>3</v>
          </cell>
          <cell r="X140">
            <v>0</v>
          </cell>
          <cell r="Y140">
            <v>0</v>
          </cell>
          <cell r="Z140">
            <v>0</v>
          </cell>
          <cell r="AA140" t="str">
            <v>! ! !</v>
          </cell>
          <cell r="AC140">
            <v>0</v>
          </cell>
          <cell r="AG140">
            <v>45</v>
          </cell>
          <cell r="AJ140" t="str">
            <v>-</v>
          </cell>
          <cell r="AL140">
            <v>2700</v>
          </cell>
          <cell r="AM140">
            <v>2200</v>
          </cell>
          <cell r="AN140" t="e">
            <v>#VALUE!</v>
          </cell>
          <cell r="AO140" t="e">
            <v>#VALUE!</v>
          </cell>
          <cell r="AP140">
            <v>500</v>
          </cell>
        </row>
        <row r="141">
          <cell r="A141">
            <v>63515500</v>
          </cell>
          <cell r="C141">
            <v>5155</v>
          </cell>
          <cell r="D141" t="str">
            <v>DMC PENNE 4 KAZEN SPINAZIE TOMAAT</v>
          </cell>
          <cell r="E141" t="str">
            <v>DMC</v>
          </cell>
          <cell r="F141" t="str">
            <v>290MM</v>
          </cell>
          <cell r="G141" t="str">
            <v>C2227-1H</v>
          </cell>
          <cell r="H141">
            <v>456</v>
          </cell>
          <cell r="I141">
            <v>0.5</v>
          </cell>
          <cell r="J141" t="str">
            <v>NVT</v>
          </cell>
          <cell r="K141" t="str">
            <v>DM ROND + 65X155</v>
          </cell>
          <cell r="L141">
            <v>6</v>
          </cell>
          <cell r="M141" t="str">
            <v>DMC X 6</v>
          </cell>
          <cell r="N141">
            <v>110</v>
          </cell>
          <cell r="O141">
            <v>5410953351558</v>
          </cell>
          <cell r="P141" t="str">
            <v>M-T-K</v>
          </cell>
          <cell r="Q141">
            <v>3</v>
          </cell>
          <cell r="R141">
            <v>3</v>
          </cell>
          <cell r="S141" t="str">
            <v>Folie perforeren, idem 63910600</v>
          </cell>
          <cell r="T141">
            <v>2200</v>
          </cell>
          <cell r="U141">
            <v>5</v>
          </cell>
          <cell r="V141">
            <v>2200</v>
          </cell>
          <cell r="W141">
            <v>5</v>
          </cell>
          <cell r="X141">
            <v>0</v>
          </cell>
          <cell r="Y141">
            <v>0</v>
          </cell>
          <cell r="Z141">
            <v>0</v>
          </cell>
          <cell r="AA141" t="str">
            <v>! ! !</v>
          </cell>
          <cell r="AC141">
            <v>0</v>
          </cell>
          <cell r="AG141">
            <v>45</v>
          </cell>
          <cell r="AJ141" t="str">
            <v>-</v>
          </cell>
          <cell r="AL141">
            <v>2700</v>
          </cell>
          <cell r="AM141">
            <v>2200</v>
          </cell>
          <cell r="AN141" t="e">
            <v>#VALUE!</v>
          </cell>
          <cell r="AO141" t="e">
            <v>#VALUE!</v>
          </cell>
          <cell r="AP141">
            <v>500</v>
          </cell>
        </row>
        <row r="142">
          <cell r="A142">
            <v>63515600</v>
          </cell>
          <cell r="C142">
            <v>5156</v>
          </cell>
          <cell r="D142" t="str">
            <v>DMC SPAGHETTI CARBONARA</v>
          </cell>
          <cell r="E142" t="str">
            <v>DMC</v>
          </cell>
          <cell r="F142" t="str">
            <v>290MM</v>
          </cell>
          <cell r="G142" t="str">
            <v>C2227-1H</v>
          </cell>
          <cell r="H142">
            <v>456</v>
          </cell>
          <cell r="I142">
            <v>0.55000000000000004</v>
          </cell>
          <cell r="J142" t="str">
            <v>NVT</v>
          </cell>
          <cell r="K142" t="str">
            <v>DM ROND + 65X155</v>
          </cell>
          <cell r="L142">
            <v>6</v>
          </cell>
          <cell r="M142" t="str">
            <v>DMC X 6</v>
          </cell>
          <cell r="N142">
            <v>110</v>
          </cell>
          <cell r="O142">
            <v>5410953351565</v>
          </cell>
          <cell r="P142" t="str">
            <v>M-2T</v>
          </cell>
          <cell r="Q142">
            <v>2</v>
          </cell>
          <cell r="R142">
            <v>3</v>
          </cell>
          <cell r="S142" t="str">
            <v>Folie perforeren, idem 63910800</v>
          </cell>
          <cell r="T142">
            <v>2200</v>
          </cell>
          <cell r="U142">
            <v>3</v>
          </cell>
          <cell r="V142">
            <v>2200</v>
          </cell>
          <cell r="W142">
            <v>3</v>
          </cell>
          <cell r="X142">
            <v>0</v>
          </cell>
          <cell r="Y142">
            <v>0</v>
          </cell>
          <cell r="Z142">
            <v>0</v>
          </cell>
          <cell r="AA142" t="str">
            <v>! !</v>
          </cell>
          <cell r="AC142">
            <v>0</v>
          </cell>
          <cell r="AG142">
            <v>45</v>
          </cell>
          <cell r="AJ142" t="str">
            <v>V-A</v>
          </cell>
          <cell r="AL142">
            <v>2700</v>
          </cell>
          <cell r="AM142">
            <v>2200</v>
          </cell>
          <cell r="AN142" t="e">
            <v>#VALUE!</v>
          </cell>
          <cell r="AO142" t="e">
            <v>#VALUE!</v>
          </cell>
          <cell r="AP142">
            <v>500</v>
          </cell>
        </row>
        <row r="143">
          <cell r="A143">
            <v>63515900</v>
          </cell>
          <cell r="C143">
            <v>5159</v>
          </cell>
          <cell r="D143" t="str">
            <v>DMC GEHAKTSCHOTEL WORTELTJES</v>
          </cell>
          <cell r="E143" t="str">
            <v>DMC</v>
          </cell>
          <cell r="F143" t="str">
            <v>290MM</v>
          </cell>
          <cell r="G143" t="str">
            <v>C2227-2K</v>
          </cell>
          <cell r="H143">
            <v>456</v>
          </cell>
          <cell r="I143">
            <v>0.52500000000000002</v>
          </cell>
          <cell r="J143" t="str">
            <v>NVT</v>
          </cell>
          <cell r="K143" t="str">
            <v>DM ROND + 65X155</v>
          </cell>
          <cell r="L143">
            <v>6</v>
          </cell>
          <cell r="M143" t="str">
            <v>DMC X 6</v>
          </cell>
          <cell r="N143">
            <v>110</v>
          </cell>
          <cell r="O143">
            <v>5410953351596</v>
          </cell>
          <cell r="P143" t="str">
            <v>T-H-K</v>
          </cell>
          <cell r="Q143">
            <v>3</v>
          </cell>
          <cell r="R143">
            <v>3</v>
          </cell>
          <cell r="S143" t="str">
            <v>Folie perforeren</v>
          </cell>
          <cell r="T143">
            <v>2000</v>
          </cell>
          <cell r="U143">
            <v>3</v>
          </cell>
          <cell r="V143">
            <v>2000</v>
          </cell>
          <cell r="W143">
            <v>3</v>
          </cell>
          <cell r="X143">
            <v>0</v>
          </cell>
          <cell r="Y143">
            <v>0</v>
          </cell>
          <cell r="Z143">
            <v>0</v>
          </cell>
          <cell r="AA143" t="str">
            <v>! ! !</v>
          </cell>
          <cell r="AC143">
            <v>0</v>
          </cell>
          <cell r="AJ143" t="str">
            <v>-</v>
          </cell>
          <cell r="AL143">
            <v>0</v>
          </cell>
          <cell r="AM143">
            <v>2000</v>
          </cell>
          <cell r="AN143" t="e">
            <v>#VALUE!</v>
          </cell>
          <cell r="AO143" t="e">
            <v>#VALUE!</v>
          </cell>
          <cell r="AP143">
            <v>-2000</v>
          </cell>
        </row>
        <row r="144">
          <cell r="A144">
            <v>63516300</v>
          </cell>
          <cell r="C144">
            <v>5163</v>
          </cell>
          <cell r="D144" t="str">
            <v>DMC HEEK TOMAATKRUIDENKAAS BROCC/BLOEMK PUREE</v>
          </cell>
          <cell r="E144" t="str">
            <v>DMC</v>
          </cell>
          <cell r="F144" t="str">
            <v>290MM</v>
          </cell>
          <cell r="G144" t="str">
            <v>C2227-2K</v>
          </cell>
          <cell r="H144">
            <v>548</v>
          </cell>
          <cell r="I144">
            <v>0.5</v>
          </cell>
          <cell r="J144" t="str">
            <v>NVT</v>
          </cell>
          <cell r="K144" t="str">
            <v>DM ROND + 65X155</v>
          </cell>
          <cell r="L144">
            <v>6</v>
          </cell>
          <cell r="M144" t="str">
            <v>DMC X 6</v>
          </cell>
          <cell r="N144">
            <v>110</v>
          </cell>
          <cell r="O144">
            <v>5410953351633</v>
          </cell>
          <cell r="P144" t="str">
            <v>H-T</v>
          </cell>
          <cell r="Q144">
            <v>3</v>
          </cell>
          <cell r="R144">
            <v>3</v>
          </cell>
          <cell r="S144" t="str">
            <v>Folie perforeren</v>
          </cell>
          <cell r="T144">
            <v>2200</v>
          </cell>
          <cell r="U144">
            <v>4</v>
          </cell>
          <cell r="V144">
            <v>2200</v>
          </cell>
          <cell r="W144">
            <v>4</v>
          </cell>
          <cell r="X144">
            <v>0</v>
          </cell>
          <cell r="Y144">
            <v>0</v>
          </cell>
          <cell r="Z144">
            <v>0</v>
          </cell>
          <cell r="AA144" t="str">
            <v>! ! ! !</v>
          </cell>
          <cell r="AC144">
            <v>0</v>
          </cell>
          <cell r="AG144">
            <v>45</v>
          </cell>
          <cell r="AJ144" t="str">
            <v>V-A</v>
          </cell>
          <cell r="AL144">
            <v>2700</v>
          </cell>
          <cell r="AM144">
            <v>2200</v>
          </cell>
          <cell r="AN144" t="e">
            <v>#VALUE!</v>
          </cell>
          <cell r="AO144" t="e">
            <v>#VALUE!</v>
          </cell>
          <cell r="AP144">
            <v>500</v>
          </cell>
        </row>
        <row r="145">
          <cell r="A145">
            <v>63516400</v>
          </cell>
          <cell r="C145">
            <v>5164</v>
          </cell>
          <cell r="D145" t="str">
            <v xml:space="preserve">DMC ZALMFILET DILLESAUS PARIJSE WORTEL KRIEL </v>
          </cell>
          <cell r="E145" t="str">
            <v>DMC</v>
          </cell>
          <cell r="F145" t="str">
            <v>290MM</v>
          </cell>
          <cell r="G145" t="str">
            <v>C2227-3R</v>
          </cell>
          <cell r="H145">
            <v>456</v>
          </cell>
          <cell r="I145">
            <v>0.52</v>
          </cell>
          <cell r="J145" t="str">
            <v>NVT</v>
          </cell>
          <cell r="K145" t="str">
            <v>DM ROND + 65X155</v>
          </cell>
          <cell r="L145">
            <v>6</v>
          </cell>
          <cell r="M145" t="str">
            <v>DMC X 6</v>
          </cell>
          <cell r="N145">
            <v>110</v>
          </cell>
          <cell r="O145">
            <v>5410953351640</v>
          </cell>
          <cell r="P145" t="str">
            <v>T</v>
          </cell>
          <cell r="Q145">
            <v>2</v>
          </cell>
          <cell r="R145">
            <v>3</v>
          </cell>
          <cell r="S145" t="str">
            <v>Folie perforeren, verse zalm</v>
          </cell>
          <cell r="T145">
            <v>2200</v>
          </cell>
          <cell r="U145">
            <v>6</v>
          </cell>
          <cell r="V145">
            <v>2200</v>
          </cell>
          <cell r="W145">
            <v>6</v>
          </cell>
          <cell r="X145">
            <v>0</v>
          </cell>
          <cell r="Y145">
            <v>0</v>
          </cell>
          <cell r="Z145">
            <v>0</v>
          </cell>
          <cell r="AA145" t="str">
            <v>! ! ! !</v>
          </cell>
          <cell r="AC145">
            <v>0</v>
          </cell>
          <cell r="AG145">
            <v>45</v>
          </cell>
          <cell r="AJ145" t="str">
            <v>V-A</v>
          </cell>
          <cell r="AL145">
            <v>2700</v>
          </cell>
          <cell r="AM145">
            <v>2200</v>
          </cell>
          <cell r="AN145" t="e">
            <v>#VALUE!</v>
          </cell>
          <cell r="AO145" t="e">
            <v>#VALUE!</v>
          </cell>
          <cell r="AP145">
            <v>500</v>
          </cell>
        </row>
        <row r="146">
          <cell r="A146">
            <v>63516600</v>
          </cell>
          <cell r="C146">
            <v>5166</v>
          </cell>
          <cell r="D146" t="str">
            <v>DMC VA REEPJES PEPERRROOMSAUS ERWTEN AARD KUBUS</v>
          </cell>
          <cell r="E146" t="str">
            <v>DMC</v>
          </cell>
          <cell r="F146" t="str">
            <v>290MM</v>
          </cell>
          <cell r="G146" t="str">
            <v>C2227-2K</v>
          </cell>
          <cell r="H146">
            <v>456</v>
          </cell>
          <cell r="I146">
            <v>0.5</v>
          </cell>
          <cell r="J146" t="str">
            <v>NVT</v>
          </cell>
          <cell r="K146" t="str">
            <v>DM ROND + 65X155</v>
          </cell>
          <cell r="L146">
            <v>6</v>
          </cell>
          <cell r="M146" t="str">
            <v>DMC X 6</v>
          </cell>
          <cell r="N146">
            <v>110</v>
          </cell>
          <cell r="O146">
            <v>5410953351664</v>
          </cell>
          <cell r="P146" t="str">
            <v>I-T</v>
          </cell>
          <cell r="Q146">
            <v>2</v>
          </cell>
          <cell r="R146">
            <v>3</v>
          </cell>
          <cell r="S146" t="str">
            <v>Folie perforeren</v>
          </cell>
          <cell r="T146">
            <v>2000</v>
          </cell>
          <cell r="U146">
            <v>7</v>
          </cell>
          <cell r="V146">
            <v>2000</v>
          </cell>
          <cell r="W146">
            <v>7</v>
          </cell>
          <cell r="X146">
            <v>0</v>
          </cell>
          <cell r="Y146">
            <v>0</v>
          </cell>
          <cell r="Z146">
            <v>0</v>
          </cell>
          <cell r="AA146" t="str">
            <v>! !</v>
          </cell>
          <cell r="AC146">
            <v>0</v>
          </cell>
          <cell r="AJ146" t="str">
            <v>V-A</v>
          </cell>
          <cell r="AL146">
            <v>0</v>
          </cell>
          <cell r="AM146">
            <v>2000</v>
          </cell>
          <cell r="AN146" t="e">
            <v>#VALUE!</v>
          </cell>
          <cell r="AO146" t="e">
            <v>#VALUE!</v>
          </cell>
          <cell r="AP146">
            <v>-2000</v>
          </cell>
        </row>
        <row r="147">
          <cell r="A147">
            <v>63516700</v>
          </cell>
          <cell r="C147">
            <v>5167</v>
          </cell>
          <cell r="D147" t="str">
            <v>DMC RU LAPJE BEARNAISE BLOEMKOOL ROSTI</v>
          </cell>
          <cell r="E147" t="str">
            <v>DMC</v>
          </cell>
          <cell r="F147" t="str">
            <v>290MM</v>
          </cell>
          <cell r="G147" t="str">
            <v>C2227-2K</v>
          </cell>
          <cell r="H147">
            <v>456</v>
          </cell>
          <cell r="I147">
            <v>0.48</v>
          </cell>
          <cell r="J147" t="str">
            <v>NVT</v>
          </cell>
          <cell r="K147" t="str">
            <v>DM ROND + 65X155</v>
          </cell>
          <cell r="L147">
            <v>6</v>
          </cell>
          <cell r="M147" t="str">
            <v>DMC X 6</v>
          </cell>
          <cell r="N147">
            <v>110</v>
          </cell>
          <cell r="O147">
            <v>5410953351671</v>
          </cell>
          <cell r="P147" t="str">
            <v>I-T</v>
          </cell>
          <cell r="Q147">
            <v>2</v>
          </cell>
          <cell r="R147">
            <v>3</v>
          </cell>
          <cell r="S147" t="str">
            <v>Folie perforeren</v>
          </cell>
          <cell r="T147">
            <v>1750</v>
          </cell>
          <cell r="U147">
            <v>5</v>
          </cell>
          <cell r="V147">
            <v>1750</v>
          </cell>
          <cell r="W147">
            <v>5</v>
          </cell>
          <cell r="X147">
            <v>0</v>
          </cell>
          <cell r="Y147">
            <v>0</v>
          </cell>
          <cell r="Z147">
            <v>0</v>
          </cell>
          <cell r="AA147" t="str">
            <v>! ! !</v>
          </cell>
          <cell r="AC147">
            <v>0</v>
          </cell>
          <cell r="AJ147" t="str">
            <v>V-A</v>
          </cell>
          <cell r="AL147">
            <v>0</v>
          </cell>
          <cell r="AM147">
            <v>1750</v>
          </cell>
          <cell r="AN147" t="e">
            <v>#VALUE!</v>
          </cell>
          <cell r="AO147" t="e">
            <v>#VALUE!</v>
          </cell>
          <cell r="AP147">
            <v>-1750</v>
          </cell>
        </row>
        <row r="148">
          <cell r="A148">
            <v>63516800</v>
          </cell>
          <cell r="C148">
            <v>5168</v>
          </cell>
          <cell r="D148" t="str">
            <v>DMC RUNDSTOOFSCHOTEL RODE KOOL PUREE</v>
          </cell>
          <cell r="E148" t="str">
            <v>DMC</v>
          </cell>
          <cell r="F148" t="str">
            <v>290MM</v>
          </cell>
          <cell r="G148" t="str">
            <v>C2227-3R</v>
          </cell>
          <cell r="H148">
            <v>456</v>
          </cell>
          <cell r="I148">
            <v>0.5</v>
          </cell>
          <cell r="J148" t="str">
            <v>NVT</v>
          </cell>
          <cell r="K148" t="str">
            <v>DM ROND + 65X155</v>
          </cell>
          <cell r="L148">
            <v>6</v>
          </cell>
          <cell r="M148" t="str">
            <v>DMC X 6</v>
          </cell>
          <cell r="N148">
            <v>110</v>
          </cell>
          <cell r="O148">
            <v>5410953351688</v>
          </cell>
          <cell r="P148" t="str">
            <v>I-H-2T</v>
          </cell>
          <cell r="Q148">
            <v>3</v>
          </cell>
          <cell r="R148">
            <v>3</v>
          </cell>
          <cell r="S148" t="str">
            <v>Folie perforeren, Pulled Beef tussen D-4 en D-2,APPELS wellen D-1, idem 63902900</v>
          </cell>
          <cell r="T148">
            <v>2200</v>
          </cell>
          <cell r="U148">
            <v>2</v>
          </cell>
          <cell r="V148">
            <v>2200</v>
          </cell>
          <cell r="W148">
            <v>2</v>
          </cell>
          <cell r="X148">
            <v>0</v>
          </cell>
          <cell r="Y148">
            <v>0</v>
          </cell>
          <cell r="Z148">
            <v>0</v>
          </cell>
          <cell r="AA148" t="str">
            <v>! ! !</v>
          </cell>
          <cell r="AC148">
            <v>0</v>
          </cell>
          <cell r="AG148">
            <v>45</v>
          </cell>
          <cell r="AJ148" t="str">
            <v>V-A</v>
          </cell>
          <cell r="AL148">
            <v>2700</v>
          </cell>
          <cell r="AM148">
            <v>2200</v>
          </cell>
          <cell r="AN148" t="e">
            <v>#VALUE!</v>
          </cell>
          <cell r="AO148" t="e">
            <v>#VALUE!</v>
          </cell>
          <cell r="AP148">
            <v>500</v>
          </cell>
        </row>
        <row r="149">
          <cell r="A149">
            <v>63516900</v>
          </cell>
          <cell r="C149">
            <v>5169</v>
          </cell>
          <cell r="D149" t="str">
            <v xml:space="preserve">DMC WITTE PENS APPELMOES PUREE              </v>
          </cell>
          <cell r="E149" t="str">
            <v>DMC</v>
          </cell>
          <cell r="F149" t="str">
            <v>290MM</v>
          </cell>
          <cell r="G149" t="str">
            <v>C2227-3R</v>
          </cell>
          <cell r="H149">
            <v>456</v>
          </cell>
          <cell r="I149">
            <v>0.51</v>
          </cell>
          <cell r="J149" t="str">
            <v>NVT</v>
          </cell>
          <cell r="K149" t="str">
            <v>DM ROND + 65X155</v>
          </cell>
          <cell r="L149">
            <v>6</v>
          </cell>
          <cell r="M149" t="str">
            <v>DMC X 6</v>
          </cell>
          <cell r="N149">
            <v>110</v>
          </cell>
          <cell r="O149">
            <v>5410953351695</v>
          </cell>
          <cell r="P149" t="str">
            <v>2T-H</v>
          </cell>
          <cell r="Q149">
            <v>3</v>
          </cell>
          <cell r="R149">
            <v>3</v>
          </cell>
          <cell r="S149" t="str">
            <v>Folie perforeren</v>
          </cell>
          <cell r="T149">
            <v>2200</v>
          </cell>
          <cell r="U149">
            <v>2</v>
          </cell>
          <cell r="V149">
            <v>2200</v>
          </cell>
          <cell r="W149">
            <v>2</v>
          </cell>
          <cell r="X149">
            <v>0</v>
          </cell>
          <cell r="Y149">
            <v>0</v>
          </cell>
          <cell r="Z149">
            <v>0</v>
          </cell>
          <cell r="AA149" t="str">
            <v>! ! !</v>
          </cell>
          <cell r="AC149">
            <v>3.640776699029126E-2</v>
          </cell>
          <cell r="AG149">
            <v>45</v>
          </cell>
          <cell r="AJ149" t="str">
            <v>V-A</v>
          </cell>
          <cell r="AL149">
            <v>2700</v>
          </cell>
          <cell r="AM149">
            <v>2200</v>
          </cell>
          <cell r="AN149" t="e">
            <v>#VALUE!</v>
          </cell>
          <cell r="AO149" t="e">
            <v>#VALUE!</v>
          </cell>
          <cell r="AP149">
            <v>500</v>
          </cell>
        </row>
        <row r="150">
          <cell r="A150">
            <v>63517100</v>
          </cell>
          <cell r="C150">
            <v>5171</v>
          </cell>
          <cell r="D150" t="str">
            <v xml:space="preserve">DMC KALKOENROULADE WITLOOFSAUS AARDAPPELNOOTJES     </v>
          </cell>
          <cell r="E150" t="str">
            <v>DMC</v>
          </cell>
          <cell r="F150" t="str">
            <v>290MM</v>
          </cell>
          <cell r="G150" t="str">
            <v>C2227-2K</v>
          </cell>
          <cell r="H150">
            <v>456</v>
          </cell>
          <cell r="I150">
            <v>0.41</v>
          </cell>
          <cell r="J150" t="str">
            <v>NVT</v>
          </cell>
          <cell r="K150" t="str">
            <v>DM ROND + 65X155</v>
          </cell>
          <cell r="L150">
            <v>6</v>
          </cell>
          <cell r="M150" t="str">
            <v>DMC X 6</v>
          </cell>
          <cell r="N150">
            <v>110</v>
          </cell>
          <cell r="O150">
            <v>5410953351718</v>
          </cell>
          <cell r="P150" t="str">
            <v>T</v>
          </cell>
          <cell r="Q150">
            <v>1</v>
          </cell>
          <cell r="R150">
            <v>3</v>
          </cell>
          <cell r="S150" t="str">
            <v>Folie perforeren, KALKOEN D-2 bakken, D-1 snijden (1cm)</v>
          </cell>
          <cell r="T150">
            <v>1750</v>
          </cell>
          <cell r="U150">
            <v>8</v>
          </cell>
          <cell r="V150">
            <v>1750</v>
          </cell>
          <cell r="W150">
            <v>8</v>
          </cell>
          <cell r="X150">
            <v>0</v>
          </cell>
          <cell r="Y150">
            <v>0</v>
          </cell>
          <cell r="Z150">
            <v>0</v>
          </cell>
          <cell r="AA150" t="str">
            <v>! !</v>
          </cell>
          <cell r="AC150">
            <v>5.6983499999999992E-2</v>
          </cell>
          <cell r="AE150" t="str">
            <v>x</v>
          </cell>
          <cell r="AJ150" t="str">
            <v>V-A</v>
          </cell>
          <cell r="AL150">
            <v>0</v>
          </cell>
          <cell r="AM150">
            <v>1750</v>
          </cell>
          <cell r="AN150" t="e">
            <v>#VALUE!</v>
          </cell>
          <cell r="AO150" t="e">
            <v>#VALUE!</v>
          </cell>
          <cell r="AP150">
            <v>-1750</v>
          </cell>
        </row>
        <row r="151">
          <cell r="A151">
            <v>63517500</v>
          </cell>
          <cell r="C151">
            <v>5175</v>
          </cell>
          <cell r="D151" t="str">
            <v>DMC GEBAKKEN VIS WEDGES EN GROENE GROENTEN</v>
          </cell>
          <cell r="E151" t="str">
            <v>DMC</v>
          </cell>
          <cell r="F151" t="str">
            <v>290MM</v>
          </cell>
          <cell r="G151" t="str">
            <v>C2227-1H</v>
          </cell>
          <cell r="H151">
            <v>456</v>
          </cell>
          <cell r="I151">
            <v>0.5</v>
          </cell>
          <cell r="J151" t="str">
            <v>NVT</v>
          </cell>
          <cell r="K151" t="str">
            <v>DM ROND + 65X155</v>
          </cell>
          <cell r="L151">
            <v>6</v>
          </cell>
          <cell r="M151" t="str">
            <v>DMC X 6</v>
          </cell>
          <cell r="N151">
            <v>110</v>
          </cell>
          <cell r="O151">
            <v>5410953351756</v>
          </cell>
          <cell r="P151" t="str">
            <v>I-T</v>
          </cell>
          <cell r="Q151">
            <v>2</v>
          </cell>
          <cell r="R151">
            <v>3</v>
          </cell>
          <cell r="S151" t="str">
            <v>Folie perforeren</v>
          </cell>
          <cell r="T151">
            <v>2000</v>
          </cell>
          <cell r="U151">
            <v>7</v>
          </cell>
          <cell r="V151">
            <v>2000</v>
          </cell>
          <cell r="W151">
            <v>7</v>
          </cell>
          <cell r="X151">
            <v>0</v>
          </cell>
          <cell r="Y151">
            <v>0</v>
          </cell>
          <cell r="Z151">
            <v>0</v>
          </cell>
          <cell r="AA151" t="str">
            <v>! ! ! !</v>
          </cell>
          <cell r="AC151">
            <v>0</v>
          </cell>
          <cell r="AJ151" t="str">
            <v>-</v>
          </cell>
          <cell r="AL151">
            <v>0</v>
          </cell>
          <cell r="AM151">
            <v>2000</v>
          </cell>
          <cell r="AN151" t="e">
            <v>#VALUE!</v>
          </cell>
          <cell r="AO151" t="e">
            <v>#VALUE!</v>
          </cell>
          <cell r="AP151">
            <v>-2000</v>
          </cell>
        </row>
        <row r="152">
          <cell r="A152">
            <v>63517600</v>
          </cell>
          <cell r="C152">
            <v>5176</v>
          </cell>
          <cell r="D152" t="str">
            <v>DMC VARKENSTOOFVLEES BLOEMKOOL KRIEL</v>
          </cell>
          <cell r="E152" t="str">
            <v>DMC</v>
          </cell>
          <cell r="F152" t="str">
            <v>290MM</v>
          </cell>
          <cell r="G152" t="str">
            <v>C2227-3R</v>
          </cell>
          <cell r="H152">
            <v>456</v>
          </cell>
          <cell r="I152">
            <v>0.55000000000000004</v>
          </cell>
          <cell r="J152" t="str">
            <v>NVT</v>
          </cell>
          <cell r="K152" t="str">
            <v>DM ROND + 65X155</v>
          </cell>
          <cell r="L152">
            <v>6</v>
          </cell>
          <cell r="M152" t="str">
            <v>DMC X 6</v>
          </cell>
          <cell r="N152">
            <v>110</v>
          </cell>
          <cell r="O152">
            <v>5410953351763</v>
          </cell>
          <cell r="P152" t="str">
            <v>T</v>
          </cell>
          <cell r="Q152">
            <v>2</v>
          </cell>
          <cell r="R152">
            <v>3</v>
          </cell>
          <cell r="S152" t="str">
            <v>Folie perforeren, D-1 STOOFVLEES (vacuumzakken)</v>
          </cell>
          <cell r="T152">
            <v>2000</v>
          </cell>
          <cell r="U152">
            <v>10</v>
          </cell>
          <cell r="V152">
            <v>2000</v>
          </cell>
          <cell r="W152">
            <v>10</v>
          </cell>
          <cell r="X152">
            <v>0</v>
          </cell>
          <cell r="Y152">
            <v>0</v>
          </cell>
          <cell r="Z152">
            <v>0</v>
          </cell>
          <cell r="AA152" t="str">
            <v>! !</v>
          </cell>
          <cell r="AC152">
            <v>0.23702773500000004</v>
          </cell>
          <cell r="AJ152" t="str">
            <v>V-A</v>
          </cell>
          <cell r="AL152">
            <v>0</v>
          </cell>
          <cell r="AM152">
            <v>2000</v>
          </cell>
          <cell r="AN152" t="e">
            <v>#VALUE!</v>
          </cell>
          <cell r="AO152" t="e">
            <v>#VALUE!</v>
          </cell>
          <cell r="AP152">
            <v>-2000</v>
          </cell>
        </row>
        <row r="153">
          <cell r="A153">
            <v>63518000</v>
          </cell>
          <cell r="C153">
            <v>5180</v>
          </cell>
          <cell r="D153" t="str">
            <v>DMC STOOFVLEES VA WANG GESTOOFDE APPEL WEDGES</v>
          </cell>
          <cell r="E153" t="str">
            <v>DMC</v>
          </cell>
          <cell r="F153" t="str">
            <v>290MM</v>
          </cell>
          <cell r="G153" t="str">
            <v>C2227-3R</v>
          </cell>
          <cell r="H153">
            <v>456</v>
          </cell>
          <cell r="I153">
            <v>0.52500000000000002</v>
          </cell>
          <cell r="J153" t="str">
            <v>NVT</v>
          </cell>
          <cell r="K153" t="str">
            <v>DM ROND + 65X155</v>
          </cell>
          <cell r="L153">
            <v>6</v>
          </cell>
          <cell r="M153" t="str">
            <v>DMC X 6</v>
          </cell>
          <cell r="N153">
            <v>110</v>
          </cell>
          <cell r="O153">
            <v>5410953351800</v>
          </cell>
          <cell r="P153" t="str">
            <v>I-2T</v>
          </cell>
          <cell r="Q153">
            <v>2</v>
          </cell>
          <cell r="R153">
            <v>3</v>
          </cell>
          <cell r="S153" t="str">
            <v>Folie perforeren, D-2 ontpakken, D-1 VA WANG (vacuumzakken)</v>
          </cell>
          <cell r="T153">
            <v>2000</v>
          </cell>
          <cell r="U153">
            <v>4</v>
          </cell>
          <cell r="V153">
            <v>2000</v>
          </cell>
          <cell r="W153">
            <v>4</v>
          </cell>
          <cell r="X153">
            <v>0</v>
          </cell>
          <cell r="Y153">
            <v>0</v>
          </cell>
          <cell r="Z153">
            <v>0</v>
          </cell>
          <cell r="AA153" t="str">
            <v>! !</v>
          </cell>
          <cell r="AC153">
            <v>0.20007749999999999</v>
          </cell>
          <cell r="AJ153" t="str">
            <v>V-A</v>
          </cell>
          <cell r="AL153">
            <v>0</v>
          </cell>
          <cell r="AM153">
            <v>2000</v>
          </cell>
          <cell r="AN153" t="e">
            <v>#VALUE!</v>
          </cell>
          <cell r="AO153" t="e">
            <v>#VALUE!</v>
          </cell>
          <cell r="AP153">
            <v>-2000</v>
          </cell>
        </row>
        <row r="154">
          <cell r="A154">
            <v>63518100</v>
          </cell>
          <cell r="C154">
            <v>5181</v>
          </cell>
          <cell r="D154" t="str">
            <v>DMC VISGRATIN SNIJBOONTJES PUREE</v>
          </cell>
          <cell r="E154" t="str">
            <v>DMC</v>
          </cell>
          <cell r="F154" t="str">
            <v>290MM</v>
          </cell>
          <cell r="G154" t="str">
            <v>C2227-2K</v>
          </cell>
          <cell r="H154">
            <v>548</v>
          </cell>
          <cell r="I154">
            <v>0.55000000000000004</v>
          </cell>
          <cell r="J154" t="str">
            <v>NVT</v>
          </cell>
          <cell r="K154" t="str">
            <v>DM ROND + 65X155</v>
          </cell>
          <cell r="L154">
            <v>6</v>
          </cell>
          <cell r="M154" t="str">
            <v>DMC X 6</v>
          </cell>
          <cell r="N154">
            <v>110</v>
          </cell>
          <cell r="O154">
            <v>5410953351817</v>
          </cell>
          <cell r="P154" t="str">
            <v>T-H</v>
          </cell>
          <cell r="Q154">
            <v>3</v>
          </cell>
          <cell r="R154">
            <v>3</v>
          </cell>
          <cell r="S154" t="str">
            <v>Folie perforeren, ALASKA POLLAK verzagen (90g)</v>
          </cell>
          <cell r="T154">
            <v>2000</v>
          </cell>
          <cell r="U154">
            <v>4</v>
          </cell>
          <cell r="V154">
            <v>2000</v>
          </cell>
          <cell r="W154">
            <v>4</v>
          </cell>
          <cell r="X154">
            <v>0</v>
          </cell>
          <cell r="Y154">
            <v>0</v>
          </cell>
          <cell r="Z154">
            <v>0</v>
          </cell>
          <cell r="AA154" t="str">
            <v>! ! ! !</v>
          </cell>
          <cell r="AC154">
            <v>0</v>
          </cell>
          <cell r="AJ154" t="str">
            <v>-</v>
          </cell>
          <cell r="AL154">
            <v>0</v>
          </cell>
          <cell r="AM154">
            <v>2000</v>
          </cell>
          <cell r="AN154" t="e">
            <v>#VALUE!</v>
          </cell>
          <cell r="AO154" t="e">
            <v>#VALUE!</v>
          </cell>
          <cell r="AP154">
            <v>-2000</v>
          </cell>
        </row>
        <row r="155">
          <cell r="A155">
            <v>63518300</v>
          </cell>
          <cell r="C155">
            <v>5183</v>
          </cell>
          <cell r="D155" t="str">
            <v>DMC KIP RODE CURRY SAMBALBOONTJES RIJST</v>
          </cell>
          <cell r="E155" t="str">
            <v>DMC</v>
          </cell>
          <cell r="F155" t="str">
            <v>290MM</v>
          </cell>
          <cell r="G155" t="str">
            <v>C2227-3R</v>
          </cell>
          <cell r="H155">
            <v>456</v>
          </cell>
          <cell r="I155">
            <v>0.52</v>
          </cell>
          <cell r="J155" t="str">
            <v>NVT</v>
          </cell>
          <cell r="K155" t="str">
            <v>DM ROND + 65X155</v>
          </cell>
          <cell r="L155">
            <v>6</v>
          </cell>
          <cell r="M155" t="str">
            <v>DMC X 6</v>
          </cell>
          <cell r="N155">
            <v>110</v>
          </cell>
          <cell r="O155">
            <v>5410953351831</v>
          </cell>
          <cell r="P155" t="str">
            <v>I-M-T</v>
          </cell>
          <cell r="Q155">
            <v>3</v>
          </cell>
          <cell r="R155">
            <v>3</v>
          </cell>
          <cell r="S155" t="str">
            <v>Folie perforeren, RIJST D-1</v>
          </cell>
          <cell r="T155">
            <v>2200</v>
          </cell>
          <cell r="U155">
            <v>6</v>
          </cell>
          <cell r="V155">
            <v>2200</v>
          </cell>
          <cell r="W155">
            <v>6</v>
          </cell>
          <cell r="X155">
            <v>0</v>
          </cell>
          <cell r="Y155">
            <v>0</v>
          </cell>
          <cell r="Z155">
            <v>0</v>
          </cell>
          <cell r="AA155" t="str">
            <v>! ! ! ! !</v>
          </cell>
          <cell r="AC155">
            <v>0</v>
          </cell>
          <cell r="AG155">
            <v>45</v>
          </cell>
          <cell r="AJ155" t="str">
            <v>V-A</v>
          </cell>
          <cell r="AL155">
            <v>2700</v>
          </cell>
          <cell r="AM155">
            <v>2200</v>
          </cell>
          <cell r="AN155" t="e">
            <v>#VALUE!</v>
          </cell>
          <cell r="AO155" t="e">
            <v>#VALUE!</v>
          </cell>
          <cell r="AP155">
            <v>500</v>
          </cell>
        </row>
        <row r="156">
          <cell r="A156">
            <v>63518400</v>
          </cell>
          <cell r="C156">
            <v>5184</v>
          </cell>
          <cell r="D156" t="str">
            <v>DMC LINGUINE SCAMPI GELE CURRY KERSTOMAATJES</v>
          </cell>
          <cell r="E156" t="str">
            <v>DMC</v>
          </cell>
          <cell r="F156" t="str">
            <v>290MM</v>
          </cell>
          <cell r="G156" t="str">
            <v>C2227-1H</v>
          </cell>
          <cell r="H156">
            <v>456</v>
          </cell>
          <cell r="I156">
            <v>0.52500000000000002</v>
          </cell>
          <cell r="J156" t="str">
            <v>NVT</v>
          </cell>
          <cell r="K156" t="str">
            <v>DM ROND + 65X155</v>
          </cell>
          <cell r="L156">
            <v>6</v>
          </cell>
          <cell r="M156" t="str">
            <v>DMC X 6</v>
          </cell>
          <cell r="N156">
            <v>110</v>
          </cell>
          <cell r="O156">
            <v>5410953351848</v>
          </cell>
          <cell r="P156" t="str">
            <v>I-M-2T</v>
          </cell>
          <cell r="Q156">
            <v>3</v>
          </cell>
          <cell r="R156">
            <v>3</v>
          </cell>
          <cell r="S156" t="str">
            <v>Folie perforeren</v>
          </cell>
          <cell r="T156">
            <v>2000</v>
          </cell>
          <cell r="U156">
            <v>6</v>
          </cell>
          <cell r="V156">
            <v>2000</v>
          </cell>
          <cell r="W156">
            <v>6</v>
          </cell>
          <cell r="X156">
            <v>0</v>
          </cell>
          <cell r="Y156">
            <v>0</v>
          </cell>
          <cell r="Z156">
            <v>0</v>
          </cell>
          <cell r="AA156" t="str">
            <v>! ! ! !</v>
          </cell>
          <cell r="AC156">
            <v>0</v>
          </cell>
          <cell r="AJ156" t="str">
            <v>-</v>
          </cell>
          <cell r="AL156">
            <v>0</v>
          </cell>
          <cell r="AM156">
            <v>2000</v>
          </cell>
          <cell r="AN156" t="e">
            <v>#VALUE!</v>
          </cell>
          <cell r="AO156" t="e">
            <v>#VALUE!</v>
          </cell>
          <cell r="AP156">
            <v>-2000</v>
          </cell>
        </row>
        <row r="157">
          <cell r="A157">
            <v>63518500</v>
          </cell>
          <cell r="C157">
            <v>5185</v>
          </cell>
          <cell r="D157" t="str">
            <v>DMC RUNDGOULASH WORTEL COURGETTE AARD NOOTJES</v>
          </cell>
          <cell r="E157" t="str">
            <v>DMC</v>
          </cell>
          <cell r="F157" t="str">
            <v>290MM</v>
          </cell>
          <cell r="G157" t="str">
            <v>C2227-3R</v>
          </cell>
          <cell r="H157">
            <v>456</v>
          </cell>
          <cell r="I157">
            <v>0.5</v>
          </cell>
          <cell r="J157" t="str">
            <v>NVT</v>
          </cell>
          <cell r="K157" t="str">
            <v>DM ROND + 65X155</v>
          </cell>
          <cell r="L157">
            <v>6</v>
          </cell>
          <cell r="M157" t="str">
            <v>DMC X 6</v>
          </cell>
          <cell r="N157">
            <v>110</v>
          </cell>
          <cell r="O157">
            <v>5410953351855</v>
          </cell>
          <cell r="P157" t="str">
            <v>I-T</v>
          </cell>
          <cell r="Q157">
            <v>2</v>
          </cell>
          <cell r="R157">
            <v>3</v>
          </cell>
          <cell r="S157" t="str">
            <v>Folie perforeren, Pulled beef tussen D-4 en D-2</v>
          </cell>
          <cell r="T157">
            <v>2200</v>
          </cell>
          <cell r="U157">
            <v>6</v>
          </cell>
          <cell r="V157">
            <v>2200</v>
          </cell>
          <cell r="W157">
            <v>6</v>
          </cell>
          <cell r="X157">
            <v>0</v>
          </cell>
          <cell r="Y157">
            <v>0</v>
          </cell>
          <cell r="Z157">
            <v>0</v>
          </cell>
          <cell r="AA157" t="str">
            <v>! !</v>
          </cell>
          <cell r="AC157">
            <v>0</v>
          </cell>
          <cell r="AG157">
            <v>45</v>
          </cell>
          <cell r="AJ157" t="str">
            <v>V-A</v>
          </cell>
          <cell r="AL157">
            <v>2700</v>
          </cell>
          <cell r="AM157">
            <v>2200</v>
          </cell>
          <cell r="AN157" t="e">
            <v>#VALUE!</v>
          </cell>
          <cell r="AO157" t="e">
            <v>#VALUE!</v>
          </cell>
          <cell r="AP157">
            <v>500</v>
          </cell>
        </row>
        <row r="158">
          <cell r="A158">
            <v>63518700</v>
          </cell>
          <cell r="C158">
            <v>5187</v>
          </cell>
          <cell r="D158" t="str">
            <v>DMC LINGUINE PUTTANESCA KABELJAUW</v>
          </cell>
          <cell r="E158" t="str">
            <v>DMC</v>
          </cell>
          <cell r="F158" t="str">
            <v>290MM</v>
          </cell>
          <cell r="G158" t="str">
            <v>C2227-1H</v>
          </cell>
          <cell r="H158">
            <v>456</v>
          </cell>
          <cell r="I158">
            <v>0.5</v>
          </cell>
          <cell r="J158" t="str">
            <v>NVT</v>
          </cell>
          <cell r="K158" t="str">
            <v>DM ROND + 65X155</v>
          </cell>
          <cell r="L158">
            <v>6</v>
          </cell>
          <cell r="M158" t="str">
            <v>DMC X 6</v>
          </cell>
          <cell r="N158">
            <v>110</v>
          </cell>
          <cell r="O158">
            <v>5410953351879</v>
          </cell>
          <cell r="P158" t="str">
            <v>M-2T</v>
          </cell>
          <cell r="Q158">
            <v>3</v>
          </cell>
          <cell r="R158">
            <v>3</v>
          </cell>
          <cell r="S158" t="str">
            <v>Folie perforeren</v>
          </cell>
          <cell r="T158">
            <v>2200</v>
          </cell>
          <cell r="U158">
            <v>6</v>
          </cell>
          <cell r="V158">
            <v>2200</v>
          </cell>
          <cell r="W158">
            <v>6</v>
          </cell>
          <cell r="X158">
            <v>0</v>
          </cell>
          <cell r="Y158">
            <v>0</v>
          </cell>
          <cell r="Z158">
            <v>0</v>
          </cell>
          <cell r="AA158" t="str">
            <v>! ! ! !</v>
          </cell>
          <cell r="AC158">
            <v>0</v>
          </cell>
          <cell r="AG158">
            <v>45</v>
          </cell>
          <cell r="AJ158" t="str">
            <v>V-A</v>
          </cell>
          <cell r="AL158">
            <v>2700</v>
          </cell>
          <cell r="AM158">
            <v>2200</v>
          </cell>
          <cell r="AN158" t="e">
            <v>#VALUE!</v>
          </cell>
          <cell r="AO158" t="e">
            <v>#VALUE!</v>
          </cell>
          <cell r="AP158">
            <v>500</v>
          </cell>
        </row>
        <row r="159">
          <cell r="A159">
            <v>63518800</v>
          </cell>
          <cell r="C159">
            <v>5188</v>
          </cell>
          <cell r="D159" t="str">
            <v>DMC VISSTICKS TOMATEN-TARTAARSAUS SPINAZIESTAMPPOT</v>
          </cell>
          <cell r="E159" t="str">
            <v>DMC</v>
          </cell>
          <cell r="F159" t="str">
            <v>290MM</v>
          </cell>
          <cell r="G159" t="str">
            <v>C2227-3R</v>
          </cell>
          <cell r="H159">
            <v>456</v>
          </cell>
          <cell r="I159">
            <v>0.49</v>
          </cell>
          <cell r="J159" t="str">
            <v>NVT</v>
          </cell>
          <cell r="K159" t="str">
            <v>DM ROND + 65X155</v>
          </cell>
          <cell r="L159">
            <v>6</v>
          </cell>
          <cell r="M159" t="str">
            <v>DMC X 6</v>
          </cell>
          <cell r="N159">
            <v>110</v>
          </cell>
          <cell r="O159">
            <v>5410953351886</v>
          </cell>
          <cell r="P159" t="str">
            <v>H-T</v>
          </cell>
          <cell r="Q159">
            <v>2</v>
          </cell>
          <cell r="R159">
            <v>3</v>
          </cell>
          <cell r="S159" t="str">
            <v>Folie perforeren</v>
          </cell>
          <cell r="T159">
            <v>1750</v>
          </cell>
          <cell r="U159">
            <v>4</v>
          </cell>
          <cell r="V159">
            <v>1750</v>
          </cell>
          <cell r="W159">
            <v>4</v>
          </cell>
          <cell r="X159">
            <v>0</v>
          </cell>
          <cell r="Y159">
            <v>0</v>
          </cell>
          <cell r="Z159">
            <v>0</v>
          </cell>
          <cell r="AA159" t="str">
            <v>! ! ! !</v>
          </cell>
          <cell r="AC159">
            <v>0</v>
          </cell>
          <cell r="AJ159" t="str">
            <v>-</v>
          </cell>
          <cell r="AL159">
            <v>0</v>
          </cell>
          <cell r="AM159">
            <v>1750</v>
          </cell>
          <cell r="AN159" t="e">
            <v>#VALUE!</v>
          </cell>
          <cell r="AO159" t="e">
            <v>#VALUE!</v>
          </cell>
          <cell r="AP159">
            <v>-1750</v>
          </cell>
        </row>
        <row r="160">
          <cell r="A160">
            <v>63518900</v>
          </cell>
          <cell r="C160">
            <v>5189</v>
          </cell>
          <cell r="D160" t="str">
            <v>DMC AMERICAN MAC&amp;CHEESE</v>
          </cell>
          <cell r="E160" t="str">
            <v>DMC</v>
          </cell>
          <cell r="F160" t="str">
            <v>290MM</v>
          </cell>
          <cell r="G160" t="str">
            <v>C2227-1H</v>
          </cell>
          <cell r="H160">
            <v>456</v>
          </cell>
          <cell r="I160">
            <v>0.55000000000000004</v>
          </cell>
          <cell r="J160" t="str">
            <v>NVT</v>
          </cell>
          <cell r="K160" t="str">
            <v>DM ROND + 65X155</v>
          </cell>
          <cell r="L160">
            <v>6</v>
          </cell>
          <cell r="M160" t="str">
            <v>DMC X 6</v>
          </cell>
          <cell r="N160">
            <v>110</v>
          </cell>
          <cell r="O160">
            <v>5410953351893</v>
          </cell>
          <cell r="P160" t="str">
            <v>M-T-K</v>
          </cell>
          <cell r="Q160">
            <v>2.5</v>
          </cell>
          <cell r="R160">
            <v>3</v>
          </cell>
          <cell r="S160" t="str">
            <v>Folie perforeren</v>
          </cell>
          <cell r="T160">
            <v>2200</v>
          </cell>
          <cell r="U160">
            <v>3</v>
          </cell>
          <cell r="V160">
            <v>2200</v>
          </cell>
          <cell r="W160">
            <v>3</v>
          </cell>
          <cell r="X160">
            <v>0</v>
          </cell>
          <cell r="Y160">
            <v>0</v>
          </cell>
          <cell r="Z160">
            <v>0</v>
          </cell>
          <cell r="AA160" t="str">
            <v>! ! !</v>
          </cell>
          <cell r="AC160">
            <v>0</v>
          </cell>
          <cell r="AG160">
            <v>45</v>
          </cell>
          <cell r="AJ160" t="str">
            <v>V-A</v>
          </cell>
          <cell r="AL160">
            <v>2700</v>
          </cell>
          <cell r="AM160">
            <v>2200</v>
          </cell>
          <cell r="AN160" t="e">
            <v>#VALUE!</v>
          </cell>
          <cell r="AO160" t="e">
            <v>#VALUE!</v>
          </cell>
          <cell r="AP160">
            <v>500</v>
          </cell>
        </row>
        <row r="161">
          <cell r="A161">
            <v>63519000</v>
          </cell>
          <cell r="C161">
            <v>5190</v>
          </cell>
          <cell r="D161" t="str">
            <v>DMC KIPFILET PEPERROOMSAUS WORTEL GEBAK AARD</v>
          </cell>
          <cell r="E161" t="str">
            <v>DMC</v>
          </cell>
          <cell r="F161" t="str">
            <v>290MM</v>
          </cell>
          <cell r="G161" t="str">
            <v>C2227-3R</v>
          </cell>
          <cell r="H161">
            <v>456</v>
          </cell>
          <cell r="I161">
            <v>0.5</v>
          </cell>
          <cell r="J161" t="str">
            <v>NVT</v>
          </cell>
          <cell r="K161" t="str">
            <v>DM ROND + 65X155</v>
          </cell>
          <cell r="L161">
            <v>6</v>
          </cell>
          <cell r="M161" t="str">
            <v>DMC X 6</v>
          </cell>
          <cell r="N161">
            <v>110</v>
          </cell>
          <cell r="O161">
            <v>5410953351909</v>
          </cell>
          <cell r="P161" t="str">
            <v>I-T</v>
          </cell>
          <cell r="Q161">
            <v>2.5</v>
          </cell>
          <cell r="R161">
            <v>3</v>
          </cell>
          <cell r="S161" t="str">
            <v>Folie perforeren</v>
          </cell>
          <cell r="T161">
            <v>2200</v>
          </cell>
          <cell r="U161">
            <v>4</v>
          </cell>
          <cell r="V161">
            <v>2200</v>
          </cell>
          <cell r="W161">
            <v>4</v>
          </cell>
          <cell r="X161">
            <v>0</v>
          </cell>
          <cell r="Y161">
            <v>0</v>
          </cell>
          <cell r="Z161">
            <v>0</v>
          </cell>
          <cell r="AA161" t="str">
            <v>! !</v>
          </cell>
          <cell r="AC161">
            <v>0</v>
          </cell>
          <cell r="AG161">
            <v>45</v>
          </cell>
          <cell r="AJ161" t="str">
            <v>V-A</v>
          </cell>
          <cell r="AL161">
            <v>2700</v>
          </cell>
          <cell r="AM161">
            <v>2200</v>
          </cell>
          <cell r="AN161" t="e">
            <v>#VALUE!</v>
          </cell>
          <cell r="AO161" t="e">
            <v>#VALUE!</v>
          </cell>
          <cell r="AP161">
            <v>500</v>
          </cell>
        </row>
        <row r="162">
          <cell r="A162">
            <v>63519100</v>
          </cell>
          <cell r="C162">
            <v>5191</v>
          </cell>
          <cell r="D162" t="str">
            <v>DMC TRIVELLI KIP KOKOSLIMOENSAUS</v>
          </cell>
          <cell r="E162" t="str">
            <v>DMC</v>
          </cell>
          <cell r="F162" t="str">
            <v>290MM</v>
          </cell>
          <cell r="G162" t="str">
            <v>C2227-1H</v>
          </cell>
          <cell r="H162">
            <v>456</v>
          </cell>
          <cell r="I162">
            <v>0.5</v>
          </cell>
          <cell r="J162" t="str">
            <v>NVT</v>
          </cell>
          <cell r="K162" t="str">
            <v>DM ROND + 65X155</v>
          </cell>
          <cell r="L162">
            <v>6</v>
          </cell>
          <cell r="M162" t="str">
            <v>DMC X 6</v>
          </cell>
          <cell r="N162">
            <v>110</v>
          </cell>
          <cell r="O162" t="str">
            <v>5410953351916</v>
          </cell>
          <cell r="P162" t="str">
            <v>I-M-T</v>
          </cell>
          <cell r="Q162">
            <v>3.5</v>
          </cell>
          <cell r="R162">
            <v>3</v>
          </cell>
          <cell r="S162" t="str">
            <v>Folie perforeren</v>
          </cell>
          <cell r="T162">
            <v>2200</v>
          </cell>
          <cell r="U162">
            <v>6</v>
          </cell>
          <cell r="V162">
            <v>2200</v>
          </cell>
          <cell r="W162">
            <v>6</v>
          </cell>
          <cell r="X162">
            <v>0</v>
          </cell>
          <cell r="Y162">
            <v>0</v>
          </cell>
          <cell r="Z162">
            <v>0</v>
          </cell>
          <cell r="AA162" t="str">
            <v>! ! ! !</v>
          </cell>
          <cell r="AC162">
            <v>0</v>
          </cell>
          <cell r="AG162">
            <v>45</v>
          </cell>
          <cell r="AJ162" t="str">
            <v>-</v>
          </cell>
          <cell r="AL162">
            <v>2700</v>
          </cell>
          <cell r="AM162">
            <v>2200</v>
          </cell>
          <cell r="AN162" t="e">
            <v>#VALUE!</v>
          </cell>
          <cell r="AO162" t="e">
            <v>#VALUE!</v>
          </cell>
          <cell r="AP162">
            <v>500</v>
          </cell>
        </row>
        <row r="163">
          <cell r="A163">
            <v>63519200</v>
          </cell>
          <cell r="C163">
            <v>5192</v>
          </cell>
          <cell r="D163" t="str">
            <v>DMC RISOTTO KIP BOSCHAMPIGNONS</v>
          </cell>
          <cell r="E163" t="str">
            <v>DMC</v>
          </cell>
          <cell r="F163" t="str">
            <v>290MM</v>
          </cell>
          <cell r="G163" t="str">
            <v>C2227-1H</v>
          </cell>
          <cell r="H163">
            <v>456</v>
          </cell>
          <cell r="I163">
            <v>0.5</v>
          </cell>
          <cell r="J163" t="str">
            <v>NVT</v>
          </cell>
          <cell r="K163" t="str">
            <v>DM ROND + 65X155</v>
          </cell>
          <cell r="L163">
            <v>6</v>
          </cell>
          <cell r="M163" t="str">
            <v>DMC X 6</v>
          </cell>
          <cell r="N163">
            <v>110</v>
          </cell>
          <cell r="O163">
            <v>5410953351923</v>
          </cell>
          <cell r="P163" t="str">
            <v>I-M-2T</v>
          </cell>
          <cell r="Q163">
            <v>3.5</v>
          </cell>
          <cell r="R163">
            <v>3</v>
          </cell>
          <cell r="S163" t="str">
            <v>Folie perforeren</v>
          </cell>
          <cell r="T163">
            <v>2200</v>
          </cell>
          <cell r="U163">
            <v>6</v>
          </cell>
          <cell r="V163">
            <v>2200</v>
          </cell>
          <cell r="W163">
            <v>6</v>
          </cell>
          <cell r="X163">
            <v>0</v>
          </cell>
          <cell r="Y163">
            <v>0</v>
          </cell>
          <cell r="Z163">
            <v>0</v>
          </cell>
          <cell r="AA163" t="str">
            <v>! !</v>
          </cell>
          <cell r="AC163">
            <v>0</v>
          </cell>
          <cell r="AG163">
            <v>45</v>
          </cell>
          <cell r="AJ163" t="str">
            <v>-</v>
          </cell>
          <cell r="AL163">
            <v>2700</v>
          </cell>
          <cell r="AM163">
            <v>2200</v>
          </cell>
          <cell r="AN163" t="e">
            <v>#VALUE!</v>
          </cell>
          <cell r="AO163" t="e">
            <v>#VALUE!</v>
          </cell>
          <cell r="AP163">
            <v>500</v>
          </cell>
        </row>
        <row r="164">
          <cell r="A164">
            <v>63519300</v>
          </cell>
          <cell r="C164">
            <v>5193</v>
          </cell>
          <cell r="D164" t="str">
            <v>DMC LUIKSE SALADE MET EI EN SPEK</v>
          </cell>
          <cell r="E164" t="str">
            <v>DMC</v>
          </cell>
          <cell r="F164" t="str">
            <v>290MM</v>
          </cell>
          <cell r="G164" t="str">
            <v>C2227-1H</v>
          </cell>
          <cell r="H164">
            <v>456</v>
          </cell>
          <cell r="I164">
            <v>0.5</v>
          </cell>
          <cell r="J164" t="str">
            <v>NVT</v>
          </cell>
          <cell r="K164" t="str">
            <v>DM ROND + 65X155</v>
          </cell>
          <cell r="L164">
            <v>6</v>
          </cell>
          <cell r="M164" t="str">
            <v>DMC X 6</v>
          </cell>
          <cell r="N164">
            <v>110</v>
          </cell>
          <cell r="O164">
            <v>5410953351930</v>
          </cell>
          <cell r="P164" t="str">
            <v>I</v>
          </cell>
          <cell r="Q164">
            <v>1</v>
          </cell>
          <cell r="R164">
            <v>3</v>
          </cell>
          <cell r="S164" t="str">
            <v>Folie perforeren</v>
          </cell>
          <cell r="T164">
            <v>2200</v>
          </cell>
          <cell r="U164">
            <v>3</v>
          </cell>
          <cell r="V164">
            <v>2200</v>
          </cell>
          <cell r="W164">
            <v>3</v>
          </cell>
          <cell r="Z164">
            <v>0</v>
          </cell>
          <cell r="AA164" t="str">
            <v>! !</v>
          </cell>
          <cell r="AG164">
            <v>45</v>
          </cell>
          <cell r="AJ164" t="str">
            <v>V-A</v>
          </cell>
          <cell r="AL164">
            <v>2700</v>
          </cell>
          <cell r="AM164">
            <v>2200</v>
          </cell>
          <cell r="AN164" t="e">
            <v>#VALUE!</v>
          </cell>
          <cell r="AO164" t="e">
            <v>#VALUE!</v>
          </cell>
          <cell r="AP164">
            <v>500</v>
          </cell>
        </row>
        <row r="165">
          <cell r="A165">
            <v>63551900</v>
          </cell>
          <cell r="C165">
            <v>5519</v>
          </cell>
          <cell r="D165" t="str">
            <v>DMC EDJ ZALM KREEFTENSAUS SPINAZIE PUREE</v>
          </cell>
          <cell r="E165" t="str">
            <v>DMC, EDJ</v>
          </cell>
          <cell r="F165" t="str">
            <v>290MM</v>
          </cell>
          <cell r="G165" t="str">
            <v>C2227-3R</v>
          </cell>
          <cell r="H165">
            <v>456</v>
          </cell>
          <cell r="I165">
            <v>0.5</v>
          </cell>
          <cell r="J165" t="str">
            <v>NVT</v>
          </cell>
          <cell r="K165" t="str">
            <v>DM ROND + 65X155</v>
          </cell>
          <cell r="L165">
            <v>6</v>
          </cell>
          <cell r="M165" t="str">
            <v>DMC X 6</v>
          </cell>
          <cell r="N165">
            <v>110</v>
          </cell>
          <cell r="O165">
            <v>5410953355198</v>
          </cell>
          <cell r="P165" t="str">
            <v>T</v>
          </cell>
          <cell r="Q165">
            <v>3</v>
          </cell>
          <cell r="R165">
            <v>3</v>
          </cell>
          <cell r="S165" t="str">
            <v>Folie perforeren, idem 63953400</v>
          </cell>
          <cell r="T165">
            <v>2000</v>
          </cell>
          <cell r="U165">
            <v>5</v>
          </cell>
          <cell r="V165">
            <v>2000</v>
          </cell>
          <cell r="W165">
            <v>5</v>
          </cell>
          <cell r="Z165">
            <v>0</v>
          </cell>
          <cell r="AA165" t="str">
            <v>! ! ! !</v>
          </cell>
          <cell r="AC165">
            <v>0</v>
          </cell>
          <cell r="AJ165" t="str">
            <v>V-A</v>
          </cell>
          <cell r="AL165">
            <v>0</v>
          </cell>
          <cell r="AM165">
            <v>2000</v>
          </cell>
          <cell r="AN165" t="e">
            <v>#VALUE!</v>
          </cell>
          <cell r="AO165" t="e">
            <v>#VALUE!</v>
          </cell>
          <cell r="AP165">
            <v>-2000</v>
          </cell>
        </row>
        <row r="166">
          <cell r="A166">
            <v>63552200</v>
          </cell>
          <cell r="C166">
            <v>5522</v>
          </cell>
          <cell r="D166" t="str">
            <v>DMC EDJ VARKENSHAAS PEPERSAUS BOONTJES SPEK AARD KUBUS GEKRUID</v>
          </cell>
          <cell r="E166" t="str">
            <v>DMC, EDJ</v>
          </cell>
          <cell r="F166" t="str">
            <v>290MM</v>
          </cell>
          <cell r="G166" t="str">
            <v>C2227-2K</v>
          </cell>
          <cell r="H166">
            <v>456</v>
          </cell>
          <cell r="I166">
            <v>0.5</v>
          </cell>
          <cell r="J166" t="str">
            <v>NVT</v>
          </cell>
          <cell r="K166" t="str">
            <v>DM ROND + 65X155</v>
          </cell>
          <cell r="L166">
            <v>6</v>
          </cell>
          <cell r="M166" t="str">
            <v>DMC X 6</v>
          </cell>
          <cell r="N166">
            <v>110</v>
          </cell>
          <cell r="O166">
            <v>5410953355228</v>
          </cell>
          <cell r="S166" t="str">
            <v>Folie perforeren, idem 63953700</v>
          </cell>
          <cell r="AA166" t="str">
            <v>! ! !</v>
          </cell>
          <cell r="AJ166" t="str">
            <v>V-A</v>
          </cell>
          <cell r="AL166">
            <v>0</v>
          </cell>
          <cell r="AM166">
            <v>0</v>
          </cell>
          <cell r="AN166" t="e">
            <v>#VALUE!</v>
          </cell>
          <cell r="AO166" t="str">
            <v/>
          </cell>
        </row>
        <row r="167">
          <cell r="A167">
            <v>63560400</v>
          </cell>
          <cell r="C167">
            <v>5604</v>
          </cell>
          <cell r="D167" t="str">
            <v>DMC VEG BULGUR GEITENKAAS BROCCOLI BLOEMKOOL</v>
          </cell>
          <cell r="E167" t="str">
            <v>DMC, VEG</v>
          </cell>
          <cell r="F167" t="str">
            <v>290MM</v>
          </cell>
          <cell r="G167" t="str">
            <v>C2227-1H</v>
          </cell>
          <cell r="H167">
            <v>456</v>
          </cell>
          <cell r="I167">
            <v>0.56000000000000005</v>
          </cell>
          <cell r="J167" t="str">
            <v>NVT</v>
          </cell>
          <cell r="K167" t="str">
            <v>DM ROND + 65X155</v>
          </cell>
          <cell r="L167">
            <v>6</v>
          </cell>
          <cell r="M167" t="str">
            <v>DMC X 6</v>
          </cell>
          <cell r="N167">
            <v>110</v>
          </cell>
          <cell r="O167">
            <v>5410953356041</v>
          </cell>
          <cell r="P167" t="str">
            <v>M-T</v>
          </cell>
          <cell r="Q167">
            <v>2.5</v>
          </cell>
          <cell r="R167">
            <v>3</v>
          </cell>
          <cell r="S167" t="str">
            <v>Folie perforeren, BULGUR D-1, GEITENKAAS snijden</v>
          </cell>
          <cell r="T167">
            <v>1750</v>
          </cell>
          <cell r="U167">
            <v>6</v>
          </cell>
          <cell r="V167">
            <v>1750</v>
          </cell>
          <cell r="W167">
            <v>6</v>
          </cell>
          <cell r="X167">
            <v>0</v>
          </cell>
          <cell r="Y167">
            <v>0</v>
          </cell>
          <cell r="Z167">
            <v>0</v>
          </cell>
          <cell r="AA167" t="str">
            <v>! !</v>
          </cell>
          <cell r="AB167">
            <v>650</v>
          </cell>
          <cell r="AC167">
            <v>0</v>
          </cell>
          <cell r="AJ167" t="str">
            <v>-</v>
          </cell>
          <cell r="AL167">
            <v>0</v>
          </cell>
          <cell r="AM167">
            <v>1750</v>
          </cell>
          <cell r="AN167" t="e">
            <v>#VALUE!</v>
          </cell>
          <cell r="AO167" t="e">
            <v>#VALUE!</v>
          </cell>
          <cell r="AP167">
            <v>-1750</v>
          </cell>
        </row>
        <row r="168">
          <cell r="A168">
            <v>63562600</v>
          </cell>
          <cell r="C168">
            <v>5626</v>
          </cell>
          <cell r="D168" t="str">
            <v>DMC VEG BALLETJES ITALIAANSE SAUS VOLK PENNE</v>
          </cell>
          <cell r="E168" t="str">
            <v>DMC, VEG</v>
          </cell>
          <cell r="F168" t="str">
            <v>290MM</v>
          </cell>
          <cell r="G168" t="str">
            <v>C2227-1H</v>
          </cell>
          <cell r="H168">
            <v>456</v>
          </cell>
          <cell r="I168">
            <v>0.5</v>
          </cell>
          <cell r="J168" t="str">
            <v>NVT</v>
          </cell>
          <cell r="K168" t="str">
            <v>DM ROND + 65X155</v>
          </cell>
          <cell r="L168">
            <v>6</v>
          </cell>
          <cell r="M168" t="str">
            <v>DMC X 6</v>
          </cell>
          <cell r="N168">
            <v>110</v>
          </cell>
          <cell r="O168">
            <v>5410953356263</v>
          </cell>
          <cell r="P168" t="str">
            <v>M-T-K</v>
          </cell>
          <cell r="Q168">
            <v>3</v>
          </cell>
          <cell r="R168">
            <v>3</v>
          </cell>
          <cell r="S168" t="str">
            <v>Folie perforeren, idem 63962600</v>
          </cell>
          <cell r="T168">
            <v>2200</v>
          </cell>
          <cell r="U168">
            <v>7</v>
          </cell>
          <cell r="V168">
            <v>2200</v>
          </cell>
          <cell r="W168">
            <v>7</v>
          </cell>
          <cell r="X168">
            <v>0</v>
          </cell>
          <cell r="Y168">
            <v>0</v>
          </cell>
          <cell r="Z168">
            <v>0</v>
          </cell>
          <cell r="AA168" t="str">
            <v>! ! !</v>
          </cell>
          <cell r="AB168">
            <v>650</v>
          </cell>
          <cell r="AC168">
            <v>0</v>
          </cell>
          <cell r="AJ168" t="str">
            <v>-</v>
          </cell>
          <cell r="AL168">
            <v>0</v>
          </cell>
          <cell r="AM168">
            <v>2200</v>
          </cell>
          <cell r="AN168" t="e">
            <v>#VALUE!</v>
          </cell>
          <cell r="AO168" t="e">
            <v>#VALUE!</v>
          </cell>
          <cell r="AP168">
            <v>-2200</v>
          </cell>
        </row>
        <row r="169">
          <cell r="A169">
            <v>63562800</v>
          </cell>
          <cell r="C169">
            <v>5628</v>
          </cell>
          <cell r="D169" t="str">
            <v>DMC VEG SPAGHETTI BOLOGNAISE</v>
          </cell>
          <cell r="E169" t="str">
            <v>DMC, VEG</v>
          </cell>
          <cell r="F169" t="str">
            <v>290MM</v>
          </cell>
          <cell r="G169" t="str">
            <v>C2227-1H</v>
          </cell>
          <cell r="H169">
            <v>456</v>
          </cell>
          <cell r="I169">
            <v>0.55000000000000004</v>
          </cell>
          <cell r="J169" t="str">
            <v>NVT</v>
          </cell>
          <cell r="K169" t="str">
            <v>DM ROND + 65X155</v>
          </cell>
          <cell r="L169">
            <v>6</v>
          </cell>
          <cell r="M169" t="str">
            <v>DMC X 6</v>
          </cell>
          <cell r="N169">
            <v>110</v>
          </cell>
          <cell r="O169">
            <v>5410953356287</v>
          </cell>
          <cell r="P169" t="str">
            <v>2T-M</v>
          </cell>
          <cell r="Q169">
            <v>2</v>
          </cell>
          <cell r="R169">
            <v>3</v>
          </cell>
          <cell r="S169" t="str">
            <v>Folie perforeren, idem 63963500</v>
          </cell>
          <cell r="T169">
            <v>2200</v>
          </cell>
          <cell r="U169">
            <v>3</v>
          </cell>
          <cell r="V169">
            <v>2200</v>
          </cell>
          <cell r="W169">
            <v>3</v>
          </cell>
          <cell r="X169">
            <v>0</v>
          </cell>
          <cell r="Y169">
            <v>0</v>
          </cell>
          <cell r="Z169">
            <v>0</v>
          </cell>
          <cell r="AA169" t="str">
            <v>! ! !</v>
          </cell>
          <cell r="AB169">
            <v>650</v>
          </cell>
          <cell r="AC169">
            <v>0</v>
          </cell>
          <cell r="AG169">
            <v>45</v>
          </cell>
          <cell r="AJ169" t="str">
            <v>V-A</v>
          </cell>
          <cell r="AL169">
            <v>2700</v>
          </cell>
          <cell r="AM169">
            <v>2200</v>
          </cell>
          <cell r="AN169" t="e">
            <v>#VALUE!</v>
          </cell>
          <cell r="AO169" t="e">
            <v>#VALUE!</v>
          </cell>
          <cell r="AP169">
            <v>500</v>
          </cell>
        </row>
        <row r="170">
          <cell r="A170">
            <v>63563000</v>
          </cell>
          <cell r="C170">
            <v>5630</v>
          </cell>
          <cell r="D170" t="str">
            <v>DMC VEG TAJINE ZUIDERSE GROENTEN COUSCOUS</v>
          </cell>
          <cell r="E170" t="str">
            <v>DMC, VEG</v>
          </cell>
          <cell r="F170" t="str">
            <v>290MM</v>
          </cell>
          <cell r="G170" t="str">
            <v>C2227-1H</v>
          </cell>
          <cell r="H170">
            <v>456</v>
          </cell>
          <cell r="I170">
            <v>0.5</v>
          </cell>
          <cell r="J170" t="str">
            <v>NVT</v>
          </cell>
          <cell r="K170" t="str">
            <v>DM ROND + 65X155</v>
          </cell>
          <cell r="L170">
            <v>6</v>
          </cell>
          <cell r="M170" t="str">
            <v>DMC X 6</v>
          </cell>
          <cell r="N170">
            <v>110</v>
          </cell>
          <cell r="O170">
            <v>5410953356300</v>
          </cell>
          <cell r="P170" t="str">
            <v>I-M-T</v>
          </cell>
          <cell r="Q170">
            <v>3</v>
          </cell>
          <cell r="R170">
            <v>3</v>
          </cell>
          <cell r="S170" t="str">
            <v>Folie perforeren</v>
          </cell>
          <cell r="T170">
            <v>2000</v>
          </cell>
          <cell r="U170">
            <v>6</v>
          </cell>
          <cell r="V170">
            <v>2000</v>
          </cell>
          <cell r="W170">
            <v>6</v>
          </cell>
          <cell r="X170">
            <v>0</v>
          </cell>
          <cell r="Y170">
            <v>0</v>
          </cell>
          <cell r="Z170">
            <v>0</v>
          </cell>
          <cell r="AA170" t="str">
            <v>! !</v>
          </cell>
          <cell r="AB170">
            <v>650</v>
          </cell>
          <cell r="AC170">
            <v>0</v>
          </cell>
          <cell r="AJ170" t="str">
            <v>-</v>
          </cell>
          <cell r="AL170">
            <v>0</v>
          </cell>
          <cell r="AM170">
            <v>2000</v>
          </cell>
          <cell r="AN170" t="e">
            <v>#VALUE!</v>
          </cell>
          <cell r="AO170" t="e">
            <v>#VALUE!</v>
          </cell>
          <cell r="AP170">
            <v>-2000</v>
          </cell>
        </row>
        <row r="171">
          <cell r="A171">
            <v>63563200</v>
          </cell>
          <cell r="C171">
            <v>5632</v>
          </cell>
          <cell r="D171" t="str">
            <v>DMC VEG VOL AU VENT BOSCHAMPIGNONS PUREE</v>
          </cell>
          <cell r="E171" t="str">
            <v>DMC, VEG</v>
          </cell>
          <cell r="F171" t="str">
            <v>290MM</v>
          </cell>
          <cell r="G171" t="str">
            <v>C2227-2K</v>
          </cell>
          <cell r="H171">
            <v>548</v>
          </cell>
          <cell r="I171">
            <v>0.5</v>
          </cell>
          <cell r="J171" t="str">
            <v>NVT</v>
          </cell>
          <cell r="K171" t="str">
            <v>DM ROND + 65X155</v>
          </cell>
          <cell r="L171">
            <v>6</v>
          </cell>
          <cell r="M171" t="str">
            <v>DMC X 6</v>
          </cell>
          <cell r="N171">
            <v>110</v>
          </cell>
          <cell r="O171">
            <v>5410953356324</v>
          </cell>
          <cell r="P171" t="str">
            <v>I-H-T</v>
          </cell>
          <cell r="Q171">
            <v>2</v>
          </cell>
          <cell r="R171">
            <v>3</v>
          </cell>
          <cell r="S171" t="str">
            <v>Folie perforeren</v>
          </cell>
          <cell r="T171">
            <v>2200</v>
          </cell>
          <cell r="U171">
            <v>2</v>
          </cell>
          <cell r="V171">
            <v>2200</v>
          </cell>
          <cell r="W171">
            <v>2</v>
          </cell>
          <cell r="X171">
            <v>0</v>
          </cell>
          <cell r="Y171">
            <v>0</v>
          </cell>
          <cell r="Z171">
            <v>0</v>
          </cell>
          <cell r="AA171" t="str">
            <v>! ! !</v>
          </cell>
          <cell r="AB171">
            <v>650</v>
          </cell>
          <cell r="AC171">
            <v>0</v>
          </cell>
          <cell r="AG171">
            <v>45</v>
          </cell>
          <cell r="AJ171" t="str">
            <v>-</v>
          </cell>
          <cell r="AL171">
            <v>2700</v>
          </cell>
          <cell r="AM171">
            <v>2200</v>
          </cell>
          <cell r="AN171" t="e">
            <v>#VALUE!</v>
          </cell>
          <cell r="AO171" t="e">
            <v>#VALUE!</v>
          </cell>
          <cell r="AP171">
            <v>500</v>
          </cell>
        </row>
        <row r="172">
          <cell r="A172">
            <v>63563400</v>
          </cell>
          <cell r="C172">
            <v>5634</v>
          </cell>
          <cell r="D172" t="str">
            <v>DMC VEG GROENTEMIX THAI CURRY ZOETE AARD WORTEL</v>
          </cell>
          <cell r="E172" t="str">
            <v>DMC, VEG</v>
          </cell>
          <cell r="F172" t="str">
            <v>290MM</v>
          </cell>
          <cell r="G172" t="str">
            <v>C2227-2K</v>
          </cell>
          <cell r="H172">
            <v>548</v>
          </cell>
          <cell r="I172">
            <v>0.5</v>
          </cell>
          <cell r="J172" t="str">
            <v>NVT</v>
          </cell>
          <cell r="K172" t="str">
            <v>DM ROND + 65X155</v>
          </cell>
          <cell r="L172">
            <v>6</v>
          </cell>
          <cell r="M172" t="str">
            <v>DMC X 6</v>
          </cell>
          <cell r="N172">
            <v>110</v>
          </cell>
          <cell r="O172">
            <v>5410953356348</v>
          </cell>
          <cell r="P172" t="str">
            <v>I-H-T</v>
          </cell>
          <cell r="Q172">
            <v>3</v>
          </cell>
          <cell r="R172">
            <v>3</v>
          </cell>
          <cell r="S172" t="str">
            <v>Folie perforeren, idem 63963400</v>
          </cell>
          <cell r="T172">
            <v>2200</v>
          </cell>
          <cell r="U172">
            <v>2</v>
          </cell>
          <cell r="V172">
            <v>2200</v>
          </cell>
          <cell r="W172">
            <v>2</v>
          </cell>
          <cell r="X172">
            <v>0</v>
          </cell>
          <cell r="Y172">
            <v>0</v>
          </cell>
          <cell r="Z172">
            <v>0</v>
          </cell>
          <cell r="AA172" t="str">
            <v>! ! !</v>
          </cell>
          <cell r="AB172">
            <v>650</v>
          </cell>
          <cell r="AC172">
            <v>0</v>
          </cell>
          <cell r="AG172">
            <v>45</v>
          </cell>
          <cell r="AJ172" t="str">
            <v>-</v>
          </cell>
          <cell r="AL172">
            <v>2700</v>
          </cell>
          <cell r="AM172">
            <v>2200</v>
          </cell>
          <cell r="AN172" t="e">
            <v>#VALUE!</v>
          </cell>
          <cell r="AO172" t="e">
            <v>#VALUE!</v>
          </cell>
          <cell r="AP172">
            <v>500</v>
          </cell>
        </row>
        <row r="173">
          <cell r="A173">
            <v>63563500</v>
          </cell>
          <cell r="C173">
            <v>5635</v>
          </cell>
          <cell r="D173" t="str">
            <v xml:space="preserve">DMC VEG OMELET KAASSAUS WORTELTJES GEBAK. AARDAP.     </v>
          </cell>
          <cell r="E173" t="str">
            <v>DMC, VEG</v>
          </cell>
          <cell r="F173" t="str">
            <v>290MM</v>
          </cell>
          <cell r="G173" t="str">
            <v>C2227-3R</v>
          </cell>
          <cell r="H173">
            <v>456</v>
          </cell>
          <cell r="I173">
            <v>0.5</v>
          </cell>
          <cell r="J173" t="str">
            <v>NVT</v>
          </cell>
          <cell r="K173" t="str">
            <v>DM ROND + 65X155</v>
          </cell>
          <cell r="L173">
            <v>6</v>
          </cell>
          <cell r="M173" t="str">
            <v>DMC X 6</v>
          </cell>
          <cell r="N173">
            <v>110</v>
          </cell>
          <cell r="O173">
            <v>5410953356355</v>
          </cell>
          <cell r="P173" t="str">
            <v>T</v>
          </cell>
          <cell r="Q173">
            <v>2</v>
          </cell>
          <cell r="R173">
            <v>3</v>
          </cell>
          <cell r="S173" t="str">
            <v>Folie perforeren, idem 63961100</v>
          </cell>
          <cell r="T173">
            <v>2000</v>
          </cell>
          <cell r="U173">
            <v>6</v>
          </cell>
          <cell r="V173">
            <v>2000</v>
          </cell>
          <cell r="W173">
            <v>6</v>
          </cell>
          <cell r="X173">
            <v>0</v>
          </cell>
          <cell r="Y173">
            <v>0</v>
          </cell>
          <cell r="Z173">
            <v>0</v>
          </cell>
          <cell r="AA173" t="str">
            <v>! !</v>
          </cell>
          <cell r="AB173">
            <v>650</v>
          </cell>
          <cell r="AC173">
            <v>0</v>
          </cell>
          <cell r="AJ173" t="str">
            <v>-</v>
          </cell>
          <cell r="AL173">
            <v>0</v>
          </cell>
          <cell r="AM173">
            <v>2000</v>
          </cell>
          <cell r="AN173" t="e">
            <v>#VALUE!</v>
          </cell>
          <cell r="AO173" t="e">
            <v>#VALUE!</v>
          </cell>
          <cell r="AP173">
            <v>-2000</v>
          </cell>
        </row>
        <row r="174">
          <cell r="A174">
            <v>63563600</v>
          </cell>
          <cell r="C174">
            <v>5636</v>
          </cell>
          <cell r="D174" t="str">
            <v>DMC RAVIOLI TRUFFEL BOSCHAMPIGNON BROCCOLI</v>
          </cell>
          <cell r="E174" t="str">
            <v>DMC, VEG</v>
          </cell>
          <cell r="F174" t="str">
            <v>290MM</v>
          </cell>
          <cell r="G174" t="str">
            <v>C2227-1H</v>
          </cell>
          <cell r="H174">
            <v>456</v>
          </cell>
          <cell r="I174">
            <v>0.5</v>
          </cell>
          <cell r="J174" t="str">
            <v>NVT</v>
          </cell>
          <cell r="K174" t="str">
            <v>DM ROND + 65X155</v>
          </cell>
          <cell r="L174">
            <v>6</v>
          </cell>
          <cell r="M174" t="str">
            <v>DMC X 6</v>
          </cell>
          <cell r="N174">
            <v>110</v>
          </cell>
          <cell r="O174">
            <v>5410953356362</v>
          </cell>
          <cell r="P174" t="str">
            <v>I-T</v>
          </cell>
          <cell r="Q174">
            <v>1</v>
          </cell>
          <cell r="R174">
            <v>3</v>
          </cell>
          <cell r="S174" t="str">
            <v>Folie perforeren</v>
          </cell>
          <cell r="T174">
            <v>2000</v>
          </cell>
          <cell r="U174">
            <v>4</v>
          </cell>
          <cell r="V174">
            <v>2000</v>
          </cell>
          <cell r="W174">
            <v>4</v>
          </cell>
          <cell r="Z174">
            <v>0</v>
          </cell>
          <cell r="AA174" t="str">
            <v>! ! !</v>
          </cell>
          <cell r="AB174">
            <v>650</v>
          </cell>
          <cell r="AC174">
            <v>0</v>
          </cell>
          <cell r="AJ174" t="str">
            <v>-</v>
          </cell>
          <cell r="AL174">
            <v>0</v>
          </cell>
          <cell r="AM174">
            <v>2000</v>
          </cell>
          <cell r="AN174" t="e">
            <v>#VALUE!</v>
          </cell>
          <cell r="AO174" t="e">
            <v>#VALUE!</v>
          </cell>
          <cell r="AP174">
            <v>-2000</v>
          </cell>
        </row>
        <row r="175">
          <cell r="A175">
            <v>63563700</v>
          </cell>
          <cell r="C175">
            <v>5637</v>
          </cell>
          <cell r="D175" t="str">
            <v>DMC VEG INDISCHE CURRY RIJST MET GROENTEN</v>
          </cell>
          <cell r="E175" t="str">
            <v>DMC, VEG</v>
          </cell>
          <cell r="F175" t="str">
            <v>290MM</v>
          </cell>
          <cell r="G175" t="str">
            <v>C2227-2K</v>
          </cell>
          <cell r="H175">
            <v>456</v>
          </cell>
          <cell r="I175">
            <v>0.5</v>
          </cell>
          <cell r="J175" t="str">
            <v>NVT</v>
          </cell>
          <cell r="K175" t="str">
            <v>DM ROND + 65X155</v>
          </cell>
          <cell r="L175">
            <v>6</v>
          </cell>
          <cell r="M175" t="str">
            <v>DMC X 6</v>
          </cell>
          <cell r="N175">
            <v>110</v>
          </cell>
          <cell r="O175">
            <v>5410953356379</v>
          </cell>
          <cell r="P175" t="str">
            <v>I-L-T</v>
          </cell>
          <cell r="Q175">
            <v>2</v>
          </cell>
          <cell r="R175">
            <v>3</v>
          </cell>
          <cell r="S175" t="str">
            <v>Folie perforeren</v>
          </cell>
          <cell r="T175">
            <v>2200</v>
          </cell>
          <cell r="U175">
            <v>6</v>
          </cell>
          <cell r="V175">
            <v>2200</v>
          </cell>
          <cell r="W175">
            <v>6</v>
          </cell>
          <cell r="Z175">
            <v>0</v>
          </cell>
          <cell r="AA175" t="str">
            <v>! ! ! ! !</v>
          </cell>
          <cell r="AB175">
            <v>650</v>
          </cell>
          <cell r="AG175">
            <v>45</v>
          </cell>
          <cell r="AJ175" t="str">
            <v>-</v>
          </cell>
          <cell r="AL175">
            <v>2700</v>
          </cell>
          <cell r="AM175">
            <v>2200</v>
          </cell>
          <cell r="AN175" t="e">
            <v>#VALUE!</v>
          </cell>
          <cell r="AO175" t="e">
            <v>#VALUE!</v>
          </cell>
          <cell r="AP175">
            <v>500</v>
          </cell>
        </row>
        <row r="176">
          <cell r="A176">
            <v>63563800</v>
          </cell>
          <cell r="C176">
            <v>5638</v>
          </cell>
          <cell r="D176" t="str">
            <v>DMC VEG DUO RISOTTO GORGONZOLA ASPERGE</v>
          </cell>
          <cell r="E176" t="str">
            <v>DMC, VEG</v>
          </cell>
          <cell r="F176" t="str">
            <v>290MM</v>
          </cell>
          <cell r="G176" t="str">
            <v>C2227-1H</v>
          </cell>
          <cell r="H176">
            <v>456</v>
          </cell>
          <cell r="I176">
            <v>0.5</v>
          </cell>
          <cell r="J176" t="str">
            <v>NVT</v>
          </cell>
          <cell r="K176" t="str">
            <v>DM ROND + 65X155</v>
          </cell>
          <cell r="L176">
            <v>6</v>
          </cell>
          <cell r="M176" t="str">
            <v>DMC X 6</v>
          </cell>
          <cell r="N176">
            <v>110</v>
          </cell>
          <cell r="O176">
            <v>5410953356386</v>
          </cell>
          <cell r="S176" t="str">
            <v>Folie perforeren, Zwarte rijst D-1, idem 63953100</v>
          </cell>
          <cell r="T176">
            <v>2000</v>
          </cell>
          <cell r="U176">
            <v>5</v>
          </cell>
          <cell r="V176">
            <v>2000</v>
          </cell>
          <cell r="W176">
            <v>5</v>
          </cell>
          <cell r="X176">
            <v>0</v>
          </cell>
          <cell r="Y176">
            <v>0</v>
          </cell>
          <cell r="Z176">
            <v>0</v>
          </cell>
          <cell r="AA176" t="str">
            <v>! ! !</v>
          </cell>
          <cell r="AG176">
            <v>40</v>
          </cell>
          <cell r="AJ176" t="str">
            <v>V-A</v>
          </cell>
          <cell r="AL176">
            <v>2400</v>
          </cell>
          <cell r="AM176">
            <v>2000</v>
          </cell>
          <cell r="AN176" t="e">
            <v>#VALUE!</v>
          </cell>
          <cell r="AO176" t="e">
            <v>#VALUE!</v>
          </cell>
          <cell r="AP176">
            <v>400</v>
          </cell>
        </row>
        <row r="177">
          <cell r="A177">
            <v>63572100</v>
          </cell>
          <cell r="C177">
            <v>5721</v>
          </cell>
          <cell r="D177" t="str">
            <v xml:space="preserve">DLC MIX VARKENSVLEES MET SPERZIEBONEN EN AARDAPPELPUREE     </v>
          </cell>
          <cell r="E177" t="str">
            <v>DLC, GEMALEN</v>
          </cell>
          <cell r="F177" t="str">
            <v>290MM</v>
          </cell>
          <cell r="G177" t="str">
            <v>C2227-3R</v>
          </cell>
          <cell r="H177">
            <v>456</v>
          </cell>
          <cell r="I177">
            <v>0.5</v>
          </cell>
          <cell r="J177" t="str">
            <v>NVT</v>
          </cell>
          <cell r="K177" t="str">
            <v>DLC ROND + 65X155</v>
          </cell>
          <cell r="L177">
            <v>6</v>
          </cell>
          <cell r="M177" t="str">
            <v>DLC X 6</v>
          </cell>
          <cell r="N177">
            <v>80</v>
          </cell>
          <cell r="O177" t="str">
            <v>5410953357215</v>
          </cell>
          <cell r="P177" t="str">
            <v>H-2T</v>
          </cell>
          <cell r="Q177">
            <v>3</v>
          </cell>
          <cell r="R177">
            <v>3</v>
          </cell>
          <cell r="S177" t="str">
            <v>Folie perforeren, D-1 STOOFVLEES (vacuumzakken)</v>
          </cell>
          <cell r="T177">
            <v>2000</v>
          </cell>
          <cell r="U177">
            <v>3</v>
          </cell>
          <cell r="V177">
            <v>2000</v>
          </cell>
          <cell r="W177">
            <v>3</v>
          </cell>
          <cell r="X177">
            <v>0</v>
          </cell>
          <cell r="Y177">
            <v>0</v>
          </cell>
          <cell r="Z177">
            <v>0</v>
          </cell>
          <cell r="AA177" t="str">
            <v>! ! !</v>
          </cell>
          <cell r="AB177">
            <v>750</v>
          </cell>
          <cell r="AC177">
            <v>0</v>
          </cell>
          <cell r="AG177">
            <v>45</v>
          </cell>
          <cell r="AJ177" t="str">
            <v>V-A</v>
          </cell>
          <cell r="AK177" t="str">
            <v>Ja</v>
          </cell>
          <cell r="AL177">
            <v>2700</v>
          </cell>
          <cell r="AM177">
            <v>2000</v>
          </cell>
          <cell r="AN177" t="e">
            <v>#VALUE!</v>
          </cell>
          <cell r="AO177" t="e">
            <v>#VALUE!</v>
          </cell>
          <cell r="AP177">
            <v>700</v>
          </cell>
        </row>
        <row r="178">
          <cell r="A178">
            <v>63572200</v>
          </cell>
          <cell r="C178">
            <v>5722</v>
          </cell>
          <cell r="D178" t="str">
            <v xml:space="preserve">DLC MIX KIP MET WORTELTJES EN AARDAPPELPUREE          </v>
          </cell>
          <cell r="E178" t="str">
            <v>DLC, GEMALEN</v>
          </cell>
          <cell r="F178" t="str">
            <v>290MM</v>
          </cell>
          <cell r="G178" t="str">
            <v>C2227-3R</v>
          </cell>
          <cell r="H178">
            <v>456</v>
          </cell>
          <cell r="I178">
            <v>0.5</v>
          </cell>
          <cell r="J178" t="str">
            <v>NVT</v>
          </cell>
          <cell r="K178" t="str">
            <v>DLC ROND + 65X155</v>
          </cell>
          <cell r="L178">
            <v>6</v>
          </cell>
          <cell r="M178" t="str">
            <v>DLC X 6</v>
          </cell>
          <cell r="N178">
            <v>80</v>
          </cell>
          <cell r="O178" t="str">
            <v>5410953357222</v>
          </cell>
          <cell r="P178" t="str">
            <v>H-2T</v>
          </cell>
          <cell r="Q178">
            <v>3</v>
          </cell>
          <cell r="R178">
            <v>3</v>
          </cell>
          <cell r="S178" t="str">
            <v>Folie perforeren</v>
          </cell>
          <cell r="T178">
            <v>2000</v>
          </cell>
          <cell r="U178">
            <v>3</v>
          </cell>
          <cell r="V178">
            <v>2000</v>
          </cell>
          <cell r="W178">
            <v>3</v>
          </cell>
          <cell r="X178">
            <v>0</v>
          </cell>
          <cell r="Y178">
            <v>0</v>
          </cell>
          <cell r="Z178">
            <v>0</v>
          </cell>
          <cell r="AA178" t="str">
            <v>! ! !</v>
          </cell>
          <cell r="AB178">
            <v>750</v>
          </cell>
          <cell r="AC178">
            <v>0</v>
          </cell>
          <cell r="AE178" t="str">
            <v>x</v>
          </cell>
          <cell r="AG178">
            <v>45</v>
          </cell>
          <cell r="AJ178" t="str">
            <v>-</v>
          </cell>
          <cell r="AK178" t="str">
            <v>Ja</v>
          </cell>
          <cell r="AL178">
            <v>2700</v>
          </cell>
          <cell r="AM178">
            <v>2000</v>
          </cell>
          <cell r="AN178" t="e">
            <v>#VALUE!</v>
          </cell>
          <cell r="AO178" t="e">
            <v>#VALUE!</v>
          </cell>
          <cell r="AP178">
            <v>700</v>
          </cell>
        </row>
        <row r="179">
          <cell r="A179">
            <v>63572300</v>
          </cell>
          <cell r="C179">
            <v>5723</v>
          </cell>
          <cell r="D179" t="str">
            <v xml:space="preserve">DLC MIX GEHAKT MET PREI EN AARDAPPELPUREE             </v>
          </cell>
          <cell r="E179" t="str">
            <v>DLC, GEMALEN</v>
          </cell>
          <cell r="F179" t="str">
            <v>290MM</v>
          </cell>
          <cell r="G179" t="str">
            <v>C2227-3R</v>
          </cell>
          <cell r="H179">
            <v>456</v>
          </cell>
          <cell r="I179">
            <v>0.5</v>
          </cell>
          <cell r="J179" t="str">
            <v>NVT</v>
          </cell>
          <cell r="K179" t="str">
            <v>DLC ROND + 65X155</v>
          </cell>
          <cell r="L179">
            <v>6</v>
          </cell>
          <cell r="M179" t="str">
            <v>DLC X 6</v>
          </cell>
          <cell r="N179">
            <v>80</v>
          </cell>
          <cell r="O179" t="str">
            <v>5410953357239</v>
          </cell>
          <cell r="P179" t="str">
            <v>2H-2T</v>
          </cell>
          <cell r="Q179">
            <v>3</v>
          </cell>
          <cell r="R179">
            <v>3</v>
          </cell>
          <cell r="S179" t="str">
            <v>Folie perforeren</v>
          </cell>
          <cell r="T179">
            <v>2000</v>
          </cell>
          <cell r="U179">
            <v>1</v>
          </cell>
          <cell r="V179">
            <v>2000</v>
          </cell>
          <cell r="W179">
            <v>1</v>
          </cell>
          <cell r="X179">
            <v>0</v>
          </cell>
          <cell r="Y179">
            <v>0</v>
          </cell>
          <cell r="Z179">
            <v>0</v>
          </cell>
          <cell r="AA179" t="str">
            <v>! ! !</v>
          </cell>
          <cell r="AB179">
            <v>750</v>
          </cell>
          <cell r="AC179">
            <v>0</v>
          </cell>
          <cell r="AE179" t="str">
            <v>x</v>
          </cell>
          <cell r="AG179">
            <v>45</v>
          </cell>
          <cell r="AJ179" t="str">
            <v>V-A</v>
          </cell>
          <cell r="AK179" t="str">
            <v>Ja</v>
          </cell>
          <cell r="AL179">
            <v>2700</v>
          </cell>
          <cell r="AM179">
            <v>2000</v>
          </cell>
          <cell r="AN179" t="e">
            <v>#VALUE!</v>
          </cell>
          <cell r="AO179" t="e">
            <v>#VALUE!</v>
          </cell>
          <cell r="AP179">
            <v>700</v>
          </cell>
        </row>
        <row r="180">
          <cell r="A180">
            <v>63572400</v>
          </cell>
          <cell r="C180">
            <v>5724</v>
          </cell>
          <cell r="D180" t="str">
            <v xml:space="preserve">DLC MIX RUNDVLEES MET WITTE KOOL EN AARDAPPELPUREE     </v>
          </cell>
          <cell r="E180" t="str">
            <v>DLC, GEMALEN</v>
          </cell>
          <cell r="F180" t="str">
            <v>290MM</v>
          </cell>
          <cell r="G180" t="str">
            <v>C2227-3R</v>
          </cell>
          <cell r="H180">
            <v>456</v>
          </cell>
          <cell r="I180">
            <v>0.5</v>
          </cell>
          <cell r="J180" t="str">
            <v>NVT</v>
          </cell>
          <cell r="K180" t="str">
            <v>DLC ROND + 65X155</v>
          </cell>
          <cell r="L180">
            <v>6</v>
          </cell>
          <cell r="M180" t="str">
            <v>DLC X 6</v>
          </cell>
          <cell r="N180">
            <v>80</v>
          </cell>
          <cell r="O180">
            <v>5410953357246</v>
          </cell>
          <cell r="P180" t="str">
            <v>2H-2T</v>
          </cell>
          <cell r="Q180">
            <v>3</v>
          </cell>
          <cell r="R180">
            <v>3</v>
          </cell>
          <cell r="S180" t="str">
            <v>Folie perforeren</v>
          </cell>
          <cell r="T180">
            <v>2000</v>
          </cell>
          <cell r="U180">
            <v>1</v>
          </cell>
          <cell r="V180">
            <v>2000</v>
          </cell>
          <cell r="W180">
            <v>1</v>
          </cell>
          <cell r="X180">
            <v>0</v>
          </cell>
          <cell r="Y180">
            <v>0</v>
          </cell>
          <cell r="Z180">
            <v>0</v>
          </cell>
          <cell r="AA180" t="str">
            <v>! ! !</v>
          </cell>
          <cell r="AB180">
            <v>750</v>
          </cell>
          <cell r="AC180">
            <v>0</v>
          </cell>
          <cell r="AE180" t="str">
            <v>x</v>
          </cell>
          <cell r="AG180">
            <v>45</v>
          </cell>
          <cell r="AJ180" t="str">
            <v>V-A</v>
          </cell>
          <cell r="AK180" t="str">
            <v>ja</v>
          </cell>
          <cell r="AL180">
            <v>2700</v>
          </cell>
          <cell r="AM180">
            <v>2000</v>
          </cell>
          <cell r="AN180" t="e">
            <v>#VALUE!</v>
          </cell>
          <cell r="AO180" t="e">
            <v>#VALUE!</v>
          </cell>
          <cell r="AP180">
            <v>700</v>
          </cell>
        </row>
        <row r="181">
          <cell r="A181">
            <v>63572500</v>
          </cell>
          <cell r="C181">
            <v>5725</v>
          </cell>
          <cell r="D181" t="str">
            <v xml:space="preserve">DLC MIX KIP IN CREMESAUS BROCCOLI AARDAPPELPUREE      </v>
          </cell>
          <cell r="E181" t="str">
            <v>DLC, GEMALEN</v>
          </cell>
          <cell r="F181" t="str">
            <v>290MM</v>
          </cell>
          <cell r="G181" t="str">
            <v>C2227-3R</v>
          </cell>
          <cell r="H181">
            <v>456</v>
          </cell>
          <cell r="I181">
            <v>0.5</v>
          </cell>
          <cell r="J181" t="str">
            <v>NVT</v>
          </cell>
          <cell r="K181" t="str">
            <v>DLC ROND + 65X155</v>
          </cell>
          <cell r="L181">
            <v>6</v>
          </cell>
          <cell r="M181" t="str">
            <v>DLC X 6</v>
          </cell>
          <cell r="N181">
            <v>80</v>
          </cell>
          <cell r="O181">
            <v>5410953357253</v>
          </cell>
          <cell r="P181" t="str">
            <v>H-2T</v>
          </cell>
          <cell r="Q181">
            <v>3</v>
          </cell>
          <cell r="R181">
            <v>3</v>
          </cell>
          <cell r="S181" t="str">
            <v>Folie perforeren</v>
          </cell>
          <cell r="T181">
            <v>2000</v>
          </cell>
          <cell r="U181">
            <v>3</v>
          </cell>
          <cell r="V181">
            <v>2000</v>
          </cell>
          <cell r="W181">
            <v>3</v>
          </cell>
          <cell r="X181">
            <v>0</v>
          </cell>
          <cell r="Y181">
            <v>0</v>
          </cell>
          <cell r="Z181">
            <v>0</v>
          </cell>
          <cell r="AA181" t="str">
            <v>! !</v>
          </cell>
          <cell r="AB181">
            <v>750</v>
          </cell>
          <cell r="AC181">
            <v>0</v>
          </cell>
          <cell r="AE181" t="str">
            <v>x</v>
          </cell>
          <cell r="AG181">
            <v>45</v>
          </cell>
          <cell r="AJ181" t="str">
            <v>-</v>
          </cell>
          <cell r="AK181" t="str">
            <v>Ja</v>
          </cell>
          <cell r="AL181">
            <v>2700</v>
          </cell>
          <cell r="AM181">
            <v>2000</v>
          </cell>
          <cell r="AN181" t="e">
            <v>#VALUE!</v>
          </cell>
          <cell r="AO181" t="e">
            <v>#VALUE!</v>
          </cell>
          <cell r="AP181">
            <v>700</v>
          </cell>
        </row>
        <row r="182">
          <cell r="A182">
            <v>63572600</v>
          </cell>
          <cell r="C182">
            <v>5726</v>
          </cell>
          <cell r="D182" t="str">
            <v xml:space="preserve">DLC MIX ZALM IN VISSAUS WORTELEN AARDAPPELPUREE       </v>
          </cell>
          <cell r="E182" t="str">
            <v>DLC, GEMALEN</v>
          </cell>
          <cell r="F182" t="str">
            <v>290MM</v>
          </cell>
          <cell r="G182" t="str">
            <v>C2227-3R</v>
          </cell>
          <cell r="H182">
            <v>456</v>
          </cell>
          <cell r="I182">
            <v>0.5</v>
          </cell>
          <cell r="J182" t="str">
            <v>NVT</v>
          </cell>
          <cell r="K182" t="str">
            <v>DLC ROND + 65X155</v>
          </cell>
          <cell r="L182">
            <v>6</v>
          </cell>
          <cell r="M182" t="str">
            <v>DLC X 6</v>
          </cell>
          <cell r="N182">
            <v>80</v>
          </cell>
          <cell r="O182" t="str">
            <v>5410953357260</v>
          </cell>
          <cell r="P182" t="str">
            <v>H-2T</v>
          </cell>
          <cell r="Q182">
            <v>3</v>
          </cell>
          <cell r="R182">
            <v>3</v>
          </cell>
          <cell r="S182" t="str">
            <v>Folie perforeren, ZALM verzagen (227g)</v>
          </cell>
          <cell r="T182">
            <v>2000</v>
          </cell>
          <cell r="U182">
            <v>3</v>
          </cell>
          <cell r="V182">
            <v>2000</v>
          </cell>
          <cell r="W182">
            <v>3</v>
          </cell>
          <cell r="X182">
            <v>0</v>
          </cell>
          <cell r="Y182">
            <v>0</v>
          </cell>
          <cell r="Z182">
            <v>0</v>
          </cell>
          <cell r="AA182" t="str">
            <v>! ! ! !</v>
          </cell>
          <cell r="AB182">
            <v>750</v>
          </cell>
          <cell r="AC182">
            <v>0</v>
          </cell>
          <cell r="AE182" t="str">
            <v>x</v>
          </cell>
          <cell r="AG182">
            <v>45</v>
          </cell>
          <cell r="AJ182" t="str">
            <v>V-A</v>
          </cell>
          <cell r="AK182" t="str">
            <v>Ja</v>
          </cell>
          <cell r="AL182">
            <v>2700</v>
          </cell>
          <cell r="AM182">
            <v>2000</v>
          </cell>
          <cell r="AN182" t="e">
            <v>#VALUE!</v>
          </cell>
          <cell r="AO182" t="e">
            <v>#VALUE!</v>
          </cell>
          <cell r="AP182">
            <v>700</v>
          </cell>
        </row>
        <row r="183">
          <cell r="A183">
            <v>63572700</v>
          </cell>
          <cell r="C183">
            <v>5727</v>
          </cell>
          <cell r="D183" t="str">
            <v xml:space="preserve">DLC MIX VARKENSVLEES MET ERWTEN EN AARDAPPELPUREE     </v>
          </cell>
          <cell r="E183" t="str">
            <v>DLC, GEMALEN</v>
          </cell>
          <cell r="F183" t="str">
            <v>290MM</v>
          </cell>
          <cell r="G183" t="str">
            <v>C2227-3R</v>
          </cell>
          <cell r="H183">
            <v>456</v>
          </cell>
          <cell r="I183">
            <v>0.5</v>
          </cell>
          <cell r="J183" t="str">
            <v>NVT</v>
          </cell>
          <cell r="K183" t="str">
            <v>DLC ROND + 65X155</v>
          </cell>
          <cell r="L183">
            <v>6</v>
          </cell>
          <cell r="M183" t="str">
            <v>DLC X 6</v>
          </cell>
          <cell r="N183">
            <v>80</v>
          </cell>
          <cell r="O183" t="str">
            <v>5410953357277</v>
          </cell>
          <cell r="P183" t="str">
            <v>H-2T</v>
          </cell>
          <cell r="Q183">
            <v>3</v>
          </cell>
          <cell r="R183">
            <v>3</v>
          </cell>
          <cell r="S183" t="str">
            <v>Folie perforeren, D-1 STOOFVLEES (vacuumzakken)</v>
          </cell>
          <cell r="T183">
            <v>2000</v>
          </cell>
          <cell r="U183">
            <v>3</v>
          </cell>
          <cell r="V183">
            <v>2000</v>
          </cell>
          <cell r="W183">
            <v>3</v>
          </cell>
          <cell r="X183">
            <v>0</v>
          </cell>
          <cell r="Y183">
            <v>0</v>
          </cell>
          <cell r="Z183">
            <v>0</v>
          </cell>
          <cell r="AA183" t="str">
            <v>! ! !</v>
          </cell>
          <cell r="AB183">
            <v>750</v>
          </cell>
          <cell r="AC183">
            <v>0</v>
          </cell>
          <cell r="AE183" t="str">
            <v>x</v>
          </cell>
          <cell r="AG183">
            <v>45</v>
          </cell>
          <cell r="AJ183" t="str">
            <v>V-A</v>
          </cell>
          <cell r="AK183" t="str">
            <v>Ja</v>
          </cell>
          <cell r="AL183">
            <v>2700</v>
          </cell>
          <cell r="AM183">
            <v>2000</v>
          </cell>
          <cell r="AN183" t="e">
            <v>#VALUE!</v>
          </cell>
          <cell r="AO183" t="e">
            <v>#VALUE!</v>
          </cell>
          <cell r="AP183">
            <v>700</v>
          </cell>
        </row>
        <row r="184">
          <cell r="A184">
            <v>63572800</v>
          </cell>
          <cell r="C184">
            <v>5728</v>
          </cell>
          <cell r="D184" t="str">
            <v xml:space="preserve">DLC MIX WORTELPUREE MET RUNDVLEES                         </v>
          </cell>
          <cell r="E184" t="str">
            <v>DLC, GEMALEN</v>
          </cell>
          <cell r="F184" t="str">
            <v>290MM</v>
          </cell>
          <cell r="G184" t="str">
            <v>C2227-2K</v>
          </cell>
          <cell r="H184">
            <v>456</v>
          </cell>
          <cell r="I184">
            <v>0.5</v>
          </cell>
          <cell r="J184" t="str">
            <v>NVT</v>
          </cell>
          <cell r="K184" t="str">
            <v>DLC ROND + 65X155</v>
          </cell>
          <cell r="L184">
            <v>6</v>
          </cell>
          <cell r="M184" t="str">
            <v>DLC X 6</v>
          </cell>
          <cell r="N184">
            <v>80</v>
          </cell>
          <cell r="O184">
            <v>5410953357284</v>
          </cell>
          <cell r="P184" t="str">
            <v>H-2T</v>
          </cell>
          <cell r="Q184">
            <v>3</v>
          </cell>
          <cell r="R184">
            <v>3</v>
          </cell>
          <cell r="S184" t="str">
            <v>Folie perforeren</v>
          </cell>
          <cell r="T184">
            <v>2000</v>
          </cell>
          <cell r="U184">
            <v>1</v>
          </cell>
          <cell r="V184">
            <v>2000</v>
          </cell>
          <cell r="W184">
            <v>1</v>
          </cell>
          <cell r="X184">
            <v>0</v>
          </cell>
          <cell r="Y184">
            <v>0</v>
          </cell>
          <cell r="Z184">
            <v>0</v>
          </cell>
          <cell r="AA184" t="str">
            <v>! ! !</v>
          </cell>
          <cell r="AB184">
            <v>750</v>
          </cell>
          <cell r="AC184">
            <v>0</v>
          </cell>
          <cell r="AE184" t="str">
            <v>x</v>
          </cell>
          <cell r="AG184">
            <v>45</v>
          </cell>
          <cell r="AJ184" t="str">
            <v>V-A</v>
          </cell>
          <cell r="AK184" t="str">
            <v>Ja</v>
          </cell>
          <cell r="AL184">
            <v>2700</v>
          </cell>
          <cell r="AM184">
            <v>2000</v>
          </cell>
          <cell r="AN184" t="e">
            <v>#VALUE!</v>
          </cell>
          <cell r="AO184" t="e">
            <v>#VALUE!</v>
          </cell>
          <cell r="AP184">
            <v>700</v>
          </cell>
        </row>
        <row r="185">
          <cell r="A185">
            <v>63572900</v>
          </cell>
          <cell r="C185">
            <v>5729</v>
          </cell>
          <cell r="D185" t="str">
            <v xml:space="preserve">DLC MIX BOERENKOOL MET RUNDERGEHAKT                   </v>
          </cell>
          <cell r="E185" t="str">
            <v>DLC, GEMALEN</v>
          </cell>
          <cell r="F185" t="str">
            <v>290MM</v>
          </cell>
          <cell r="G185" t="str">
            <v>C2227-2K</v>
          </cell>
          <cell r="H185">
            <v>456</v>
          </cell>
          <cell r="I185">
            <v>0.5</v>
          </cell>
          <cell r="J185" t="str">
            <v>NVT</v>
          </cell>
          <cell r="K185" t="str">
            <v>DLC ROND + 65X155</v>
          </cell>
          <cell r="L185">
            <v>6</v>
          </cell>
          <cell r="M185" t="str">
            <v>DLC X 6</v>
          </cell>
          <cell r="N185">
            <v>80</v>
          </cell>
          <cell r="O185">
            <v>5410953357291</v>
          </cell>
          <cell r="P185" t="str">
            <v>H-2T</v>
          </cell>
          <cell r="Q185">
            <v>3</v>
          </cell>
          <cell r="R185">
            <v>3</v>
          </cell>
          <cell r="S185" t="str">
            <v>Folie perforeren</v>
          </cell>
          <cell r="T185">
            <v>2000</v>
          </cell>
          <cell r="U185">
            <v>1</v>
          </cell>
          <cell r="V185">
            <v>2000</v>
          </cell>
          <cell r="W185">
            <v>1</v>
          </cell>
          <cell r="X185">
            <v>0</v>
          </cell>
          <cell r="Y185">
            <v>0</v>
          </cell>
          <cell r="Z185">
            <v>0</v>
          </cell>
          <cell r="AA185" t="str">
            <v>! ! !</v>
          </cell>
          <cell r="AB185">
            <v>750</v>
          </cell>
          <cell r="AC185">
            <v>0</v>
          </cell>
          <cell r="AE185" t="str">
            <v>x</v>
          </cell>
          <cell r="AG185">
            <v>45</v>
          </cell>
          <cell r="AJ185" t="str">
            <v>-</v>
          </cell>
          <cell r="AK185" t="str">
            <v>Ja</v>
          </cell>
          <cell r="AL185">
            <v>2700</v>
          </cell>
          <cell r="AM185">
            <v>2000</v>
          </cell>
          <cell r="AN185" t="e">
            <v>#VALUE!</v>
          </cell>
          <cell r="AO185" t="e">
            <v>#VALUE!</v>
          </cell>
          <cell r="AP185">
            <v>700</v>
          </cell>
        </row>
        <row r="186">
          <cell r="A186">
            <v>63573000</v>
          </cell>
          <cell r="C186">
            <v>5730</v>
          </cell>
          <cell r="D186" t="str">
            <v xml:space="preserve">DLC MIX RUNDVLEES MET RODE BIETJES AARDAPPELPUREE     </v>
          </cell>
          <cell r="E186" t="str">
            <v>DLC, GEMALEN</v>
          </cell>
          <cell r="F186" t="str">
            <v>290MM</v>
          </cell>
          <cell r="G186" t="str">
            <v>C2227-3R</v>
          </cell>
          <cell r="H186">
            <v>456</v>
          </cell>
          <cell r="I186">
            <v>0.5</v>
          </cell>
          <cell r="J186" t="str">
            <v>NVT</v>
          </cell>
          <cell r="K186" t="str">
            <v>DLC ROND + 65X155</v>
          </cell>
          <cell r="L186">
            <v>6</v>
          </cell>
          <cell r="M186" t="str">
            <v>DLC X 6</v>
          </cell>
          <cell r="N186">
            <v>80</v>
          </cell>
          <cell r="O186" t="str">
            <v>5410953357307</v>
          </cell>
          <cell r="P186" t="str">
            <v>H-3T</v>
          </cell>
          <cell r="Q186">
            <v>3</v>
          </cell>
          <cell r="R186">
            <v>3</v>
          </cell>
          <cell r="S186" t="str">
            <v>Folie perforeren</v>
          </cell>
          <cell r="T186">
            <v>2000</v>
          </cell>
          <cell r="U186">
            <v>1</v>
          </cell>
          <cell r="V186">
            <v>2000</v>
          </cell>
          <cell r="W186">
            <v>1</v>
          </cell>
          <cell r="X186">
            <v>0</v>
          </cell>
          <cell r="Y186">
            <v>0</v>
          </cell>
          <cell r="Z186">
            <v>0</v>
          </cell>
          <cell r="AA186" t="str">
            <v>! ! !</v>
          </cell>
          <cell r="AB186">
            <v>750</v>
          </cell>
          <cell r="AC186">
            <v>0</v>
          </cell>
          <cell r="AE186" t="str">
            <v>x</v>
          </cell>
          <cell r="AG186">
            <v>45</v>
          </cell>
          <cell r="AJ186" t="str">
            <v>V-A</v>
          </cell>
          <cell r="AK186" t="str">
            <v>Ja</v>
          </cell>
          <cell r="AL186">
            <v>2700</v>
          </cell>
          <cell r="AM186">
            <v>2000</v>
          </cell>
          <cell r="AN186" t="e">
            <v>#VALUE!</v>
          </cell>
          <cell r="AO186" t="e">
            <v>#VALUE!</v>
          </cell>
          <cell r="AP186">
            <v>700</v>
          </cell>
        </row>
        <row r="187">
          <cell r="A187">
            <v>63573200</v>
          </cell>
          <cell r="C187">
            <v>5732</v>
          </cell>
          <cell r="D187" t="str">
            <v xml:space="preserve">DLC MIX GEHAKT MET BLOEMKOOL EN KNOLSELDERIJPUREE     </v>
          </cell>
          <cell r="E187" t="str">
            <v>DLC, GEMALEN</v>
          </cell>
          <cell r="F187" t="str">
            <v>290MM</v>
          </cell>
          <cell r="G187" t="str">
            <v>C2227-3R</v>
          </cell>
          <cell r="H187">
            <v>456</v>
          </cell>
          <cell r="I187">
            <v>0.5</v>
          </cell>
          <cell r="J187" t="str">
            <v>NVT</v>
          </cell>
          <cell r="K187" t="str">
            <v>DLC ROND + 65X155</v>
          </cell>
          <cell r="L187">
            <v>6</v>
          </cell>
          <cell r="M187" t="str">
            <v>DLC X 6</v>
          </cell>
          <cell r="N187">
            <v>80</v>
          </cell>
          <cell r="O187" t="str">
            <v>5410953357321</v>
          </cell>
          <cell r="P187" t="str">
            <v>H-2T</v>
          </cell>
          <cell r="Q187">
            <v>3</v>
          </cell>
          <cell r="R187">
            <v>3</v>
          </cell>
          <cell r="S187" t="str">
            <v>Folie perforeren</v>
          </cell>
          <cell r="T187">
            <v>2000</v>
          </cell>
          <cell r="U187">
            <v>3</v>
          </cell>
          <cell r="V187">
            <v>2000</v>
          </cell>
          <cell r="W187">
            <v>3</v>
          </cell>
          <cell r="X187">
            <v>0</v>
          </cell>
          <cell r="Y187">
            <v>0</v>
          </cell>
          <cell r="Z187">
            <v>0</v>
          </cell>
          <cell r="AA187" t="str">
            <v>! ! !</v>
          </cell>
          <cell r="AB187">
            <v>750</v>
          </cell>
          <cell r="AC187">
            <v>0</v>
          </cell>
          <cell r="AE187" t="str">
            <v>x</v>
          </cell>
          <cell r="AG187">
            <v>45</v>
          </cell>
          <cell r="AJ187" t="str">
            <v>V-A</v>
          </cell>
          <cell r="AK187" t="str">
            <v>Ja</v>
          </cell>
          <cell r="AL187">
            <v>2700</v>
          </cell>
          <cell r="AM187">
            <v>2000</v>
          </cell>
          <cell r="AN187" t="e">
            <v>#VALUE!</v>
          </cell>
          <cell r="AO187" t="e">
            <v>#VALUE!</v>
          </cell>
          <cell r="AP187">
            <v>700</v>
          </cell>
        </row>
        <row r="188">
          <cell r="A188">
            <v>63573300</v>
          </cell>
          <cell r="C188">
            <v>5733</v>
          </cell>
          <cell r="D188" t="str">
            <v xml:space="preserve">DLC MIX KIP MET SPERZIEBOONTJES EN AARDAPPELPUREE     </v>
          </cell>
          <cell r="E188" t="str">
            <v>DLC, GEMALEN</v>
          </cell>
          <cell r="F188" t="str">
            <v>290MM</v>
          </cell>
          <cell r="G188" t="str">
            <v>C2227-3R</v>
          </cell>
          <cell r="H188">
            <v>456</v>
          </cell>
          <cell r="I188">
            <v>0.5</v>
          </cell>
          <cell r="J188" t="str">
            <v>NVT</v>
          </cell>
          <cell r="K188" t="str">
            <v>DLC ROND + 65X155</v>
          </cell>
          <cell r="L188">
            <v>6</v>
          </cell>
          <cell r="M188" t="str">
            <v>DLC X 6</v>
          </cell>
          <cell r="N188">
            <v>80</v>
          </cell>
          <cell r="O188" t="str">
            <v>5410953357338</v>
          </cell>
          <cell r="P188" t="str">
            <v>H-2T</v>
          </cell>
          <cell r="Q188">
            <v>3</v>
          </cell>
          <cell r="R188">
            <v>3</v>
          </cell>
          <cell r="S188" t="str">
            <v>Folie perforeren</v>
          </cell>
          <cell r="T188">
            <v>2000</v>
          </cell>
          <cell r="U188">
            <v>3</v>
          </cell>
          <cell r="V188">
            <v>2000</v>
          </cell>
          <cell r="W188">
            <v>3</v>
          </cell>
          <cell r="X188">
            <v>0</v>
          </cell>
          <cell r="Y188">
            <v>0</v>
          </cell>
          <cell r="Z188">
            <v>0</v>
          </cell>
          <cell r="AA188" t="str">
            <v>! ! !</v>
          </cell>
          <cell r="AB188">
            <v>750</v>
          </cell>
          <cell r="AC188">
            <v>0</v>
          </cell>
          <cell r="AE188" t="str">
            <v>x</v>
          </cell>
          <cell r="AG188">
            <v>45</v>
          </cell>
          <cell r="AJ188" t="str">
            <v>-</v>
          </cell>
          <cell r="AK188" t="str">
            <v>Ja</v>
          </cell>
          <cell r="AL188">
            <v>2700</v>
          </cell>
          <cell r="AM188">
            <v>2000</v>
          </cell>
          <cell r="AN188" t="e">
            <v>#VALUE!</v>
          </cell>
          <cell r="AO188" t="e">
            <v>#VALUE!</v>
          </cell>
          <cell r="AP188">
            <v>700</v>
          </cell>
        </row>
        <row r="189">
          <cell r="A189">
            <v>63573400</v>
          </cell>
          <cell r="C189">
            <v>5734</v>
          </cell>
          <cell r="D189" t="str">
            <v xml:space="preserve">DLC MIX RUNDERHACHEE MET RODE KOOL AARDAPPELPUREE     </v>
          </cell>
          <cell r="E189" t="str">
            <v>DLC, GEMALEN</v>
          </cell>
          <cell r="F189" t="str">
            <v>290MM</v>
          </cell>
          <cell r="G189" t="str">
            <v>C2227-3R</v>
          </cell>
          <cell r="H189">
            <v>456</v>
          </cell>
          <cell r="I189">
            <v>0.5</v>
          </cell>
          <cell r="J189" t="str">
            <v>NVT</v>
          </cell>
          <cell r="K189" t="str">
            <v>DLC ROND + 65X155</v>
          </cell>
          <cell r="L189">
            <v>6</v>
          </cell>
          <cell r="M189" t="str">
            <v>DLC X 6</v>
          </cell>
          <cell r="N189">
            <v>80</v>
          </cell>
          <cell r="O189">
            <v>5410953357345</v>
          </cell>
          <cell r="P189" t="str">
            <v>H-3T</v>
          </cell>
          <cell r="Q189">
            <v>3</v>
          </cell>
          <cell r="R189">
            <v>3</v>
          </cell>
          <cell r="S189" t="str">
            <v>Folie perforeren</v>
          </cell>
          <cell r="T189">
            <v>2000</v>
          </cell>
          <cell r="U189">
            <v>1</v>
          </cell>
          <cell r="V189">
            <v>2000</v>
          </cell>
          <cell r="W189">
            <v>1</v>
          </cell>
          <cell r="X189">
            <v>0</v>
          </cell>
          <cell r="Y189">
            <v>0</v>
          </cell>
          <cell r="Z189">
            <v>0</v>
          </cell>
          <cell r="AA189" t="str">
            <v>! ! !</v>
          </cell>
          <cell r="AB189">
            <v>750</v>
          </cell>
          <cell r="AC189">
            <v>0</v>
          </cell>
          <cell r="AE189" t="str">
            <v>x</v>
          </cell>
          <cell r="AG189">
            <v>45</v>
          </cell>
          <cell r="AJ189" t="str">
            <v>-</v>
          </cell>
          <cell r="AK189" t="str">
            <v>Ja</v>
          </cell>
          <cell r="AL189">
            <v>2700</v>
          </cell>
          <cell r="AM189">
            <v>2000</v>
          </cell>
          <cell r="AN189" t="e">
            <v>#VALUE!</v>
          </cell>
          <cell r="AO189" t="e">
            <v>#VALUE!</v>
          </cell>
          <cell r="AP189">
            <v>700</v>
          </cell>
        </row>
        <row r="190">
          <cell r="A190">
            <v>63573500</v>
          </cell>
          <cell r="C190">
            <v>5735</v>
          </cell>
          <cell r="D190" t="str">
            <v xml:space="preserve">DLC MIX RUNDVLEES MET WITLOF EN AARDAPPELPUREE     </v>
          </cell>
          <cell r="E190" t="str">
            <v>DLC, GEMALEN</v>
          </cell>
          <cell r="F190" t="str">
            <v>290MM</v>
          </cell>
          <cell r="G190" t="str">
            <v>C2227-3R</v>
          </cell>
          <cell r="H190">
            <v>456</v>
          </cell>
          <cell r="I190">
            <v>0.5</v>
          </cell>
          <cell r="J190" t="str">
            <v>NVT</v>
          </cell>
          <cell r="K190" t="str">
            <v>DLC ROND + 65X155</v>
          </cell>
          <cell r="L190">
            <v>6</v>
          </cell>
          <cell r="M190" t="str">
            <v>DLC X 6</v>
          </cell>
          <cell r="N190">
            <v>80</v>
          </cell>
          <cell r="O190">
            <v>5410953357352</v>
          </cell>
          <cell r="P190" t="str">
            <v>H-2T</v>
          </cell>
          <cell r="Q190">
            <v>3</v>
          </cell>
          <cell r="R190">
            <v>3</v>
          </cell>
          <cell r="S190" t="str">
            <v>Folie perforeren</v>
          </cell>
          <cell r="T190">
            <v>2000</v>
          </cell>
          <cell r="U190">
            <v>1</v>
          </cell>
          <cell r="V190">
            <v>2000</v>
          </cell>
          <cell r="W190">
            <v>1</v>
          </cell>
          <cell r="X190">
            <v>0</v>
          </cell>
          <cell r="Y190">
            <v>0</v>
          </cell>
          <cell r="Z190">
            <v>0</v>
          </cell>
          <cell r="AA190" t="str">
            <v>! ! !</v>
          </cell>
          <cell r="AB190">
            <v>750</v>
          </cell>
          <cell r="AC190">
            <v>0</v>
          </cell>
          <cell r="AE190" t="str">
            <v>x</v>
          </cell>
          <cell r="AG190">
            <v>45</v>
          </cell>
          <cell r="AJ190" t="str">
            <v>V-A</v>
          </cell>
          <cell r="AK190" t="str">
            <v>Ja</v>
          </cell>
          <cell r="AL190">
            <v>2700</v>
          </cell>
          <cell r="AM190">
            <v>2000</v>
          </cell>
          <cell r="AN190" t="e">
            <v>#VALUE!</v>
          </cell>
          <cell r="AO190" t="e">
            <v>#VALUE!</v>
          </cell>
          <cell r="AP190">
            <v>700</v>
          </cell>
        </row>
        <row r="191">
          <cell r="A191">
            <v>63573700</v>
          </cell>
          <cell r="C191">
            <v>5737</v>
          </cell>
          <cell r="D191" t="str">
            <v>DLC MIX ANDIJVIESTAMPPOT MET GEHAKTBAL</v>
          </cell>
          <cell r="E191" t="str">
            <v>DLC, GEMALEN</v>
          </cell>
          <cell r="F191" t="str">
            <v>290MM</v>
          </cell>
          <cell r="G191" t="str">
            <v>C2227-2K</v>
          </cell>
          <cell r="H191">
            <v>456</v>
          </cell>
          <cell r="I191">
            <v>0.5</v>
          </cell>
          <cell r="J191" t="str">
            <v>NVT</v>
          </cell>
          <cell r="K191" t="str">
            <v>DLC ROND + 65X155</v>
          </cell>
          <cell r="L191">
            <v>6</v>
          </cell>
          <cell r="M191" t="str">
            <v>DLC X 6</v>
          </cell>
          <cell r="N191">
            <v>80</v>
          </cell>
          <cell r="O191" t="str">
            <v>5410953357376</v>
          </cell>
          <cell r="P191" t="str">
            <v>H-2T</v>
          </cell>
          <cell r="Q191">
            <v>3</v>
          </cell>
          <cell r="R191">
            <v>3</v>
          </cell>
          <cell r="S191" t="str">
            <v>Folie perforeren</v>
          </cell>
          <cell r="T191">
            <v>2000</v>
          </cell>
          <cell r="U191">
            <v>1</v>
          </cell>
          <cell r="V191">
            <v>2000</v>
          </cell>
          <cell r="W191">
            <v>1</v>
          </cell>
          <cell r="X191">
            <v>0</v>
          </cell>
          <cell r="Y191">
            <v>0</v>
          </cell>
          <cell r="Z191">
            <v>0</v>
          </cell>
          <cell r="AA191" t="str">
            <v>! ! !</v>
          </cell>
          <cell r="AB191">
            <v>750</v>
          </cell>
          <cell r="AC191">
            <v>0</v>
          </cell>
          <cell r="AG191">
            <v>45</v>
          </cell>
          <cell r="AJ191" t="str">
            <v>V-A</v>
          </cell>
          <cell r="AK191" t="str">
            <v>Ja</v>
          </cell>
          <cell r="AL191">
            <v>2700</v>
          </cell>
          <cell r="AM191">
            <v>2000</v>
          </cell>
          <cell r="AN191" t="e">
            <v>#VALUE!</v>
          </cell>
          <cell r="AO191" t="e">
            <v>#VALUE!</v>
          </cell>
          <cell r="AP191">
            <v>700</v>
          </cell>
        </row>
        <row r="192">
          <cell r="A192">
            <v>63573800</v>
          </cell>
          <cell r="C192">
            <v>5738</v>
          </cell>
          <cell r="D192" t="str">
            <v>DLC MIX VARKENSLAPJE JUS SPINAZIE AARDAPPELPUREE</v>
          </cell>
          <cell r="E192" t="str">
            <v>DLC, GEMALEN</v>
          </cell>
          <cell r="F192" t="str">
            <v>290MM</v>
          </cell>
          <cell r="G192" t="str">
            <v>C2227-3R</v>
          </cell>
          <cell r="H192">
            <v>456</v>
          </cell>
          <cell r="I192">
            <v>0.5</v>
          </cell>
          <cell r="J192" t="str">
            <v>NVT</v>
          </cell>
          <cell r="K192" t="str">
            <v>DLC ROND + 65X155</v>
          </cell>
          <cell r="L192">
            <v>6</v>
          </cell>
          <cell r="M192" t="str">
            <v>DLC X 6</v>
          </cell>
          <cell r="N192">
            <v>80</v>
          </cell>
          <cell r="O192" t="str">
            <v>5410953357383</v>
          </cell>
          <cell r="P192" t="str">
            <v>H-3T</v>
          </cell>
          <cell r="Q192">
            <v>3</v>
          </cell>
          <cell r="R192">
            <v>3</v>
          </cell>
          <cell r="S192" t="str">
            <v>Folie perforeren, D-1 STOOFVLEES (vacuumzakken)</v>
          </cell>
          <cell r="T192">
            <v>2000</v>
          </cell>
          <cell r="U192">
            <v>1</v>
          </cell>
          <cell r="V192">
            <v>2000</v>
          </cell>
          <cell r="W192">
            <v>1</v>
          </cell>
          <cell r="X192">
            <v>0</v>
          </cell>
          <cell r="Y192">
            <v>0</v>
          </cell>
          <cell r="Z192">
            <v>0</v>
          </cell>
          <cell r="AA192" t="str">
            <v>! ! !</v>
          </cell>
          <cell r="AB192">
            <v>750</v>
          </cell>
          <cell r="AC192">
            <v>0</v>
          </cell>
          <cell r="AG192">
            <v>45</v>
          </cell>
          <cell r="AJ192" t="str">
            <v>V-A</v>
          </cell>
          <cell r="AK192" t="str">
            <v>Ja</v>
          </cell>
          <cell r="AL192">
            <v>2700</v>
          </cell>
          <cell r="AM192">
            <v>2000</v>
          </cell>
          <cell r="AN192" t="e">
            <v>#VALUE!</v>
          </cell>
          <cell r="AO192" t="e">
            <v>#VALUE!</v>
          </cell>
          <cell r="AP192">
            <v>700</v>
          </cell>
        </row>
        <row r="193">
          <cell r="A193">
            <v>63573900</v>
          </cell>
          <cell r="C193">
            <v>5739</v>
          </cell>
          <cell r="D193" t="str">
            <v xml:space="preserve">DLC MIX KABELJAUW IN SAUS BROCCOLI EN KRUIDENPUREE      </v>
          </cell>
          <cell r="E193" t="str">
            <v>DLC, GEMALEN</v>
          </cell>
          <cell r="F193" t="str">
            <v>290MM</v>
          </cell>
          <cell r="G193" t="str">
            <v>C2227-3R</v>
          </cell>
          <cell r="H193">
            <v>456</v>
          </cell>
          <cell r="I193">
            <v>0.5</v>
          </cell>
          <cell r="J193" t="str">
            <v>NVT</v>
          </cell>
          <cell r="K193" t="str">
            <v>DLC ROND + 65X155</v>
          </cell>
          <cell r="L193">
            <v>6</v>
          </cell>
          <cell r="M193" t="str">
            <v>DLC X 6</v>
          </cell>
          <cell r="N193">
            <v>80</v>
          </cell>
          <cell r="O193" t="str">
            <v>5410953357390</v>
          </cell>
          <cell r="P193" t="str">
            <v>H-2T</v>
          </cell>
          <cell r="Q193">
            <v>3</v>
          </cell>
          <cell r="R193">
            <v>3</v>
          </cell>
          <cell r="S193" t="str">
            <v>Folie perforeren, KABELJAUW verzagen (227g)</v>
          </cell>
          <cell r="T193">
            <v>2000</v>
          </cell>
          <cell r="U193">
            <v>3</v>
          </cell>
          <cell r="V193">
            <v>2000</v>
          </cell>
          <cell r="W193">
            <v>3</v>
          </cell>
          <cell r="X193">
            <v>0</v>
          </cell>
          <cell r="Y193">
            <v>0</v>
          </cell>
          <cell r="Z193">
            <v>0</v>
          </cell>
          <cell r="AA193" t="str">
            <v>! ! ! !</v>
          </cell>
          <cell r="AB193">
            <v>750</v>
          </cell>
          <cell r="AC193">
            <v>0</v>
          </cell>
          <cell r="AE193" t="str">
            <v>x</v>
          </cell>
          <cell r="AG193">
            <v>45</v>
          </cell>
          <cell r="AJ193" t="str">
            <v>V-A</v>
          </cell>
          <cell r="AK193" t="str">
            <v>Ja</v>
          </cell>
          <cell r="AL193">
            <v>2700</v>
          </cell>
          <cell r="AM193">
            <v>2000</v>
          </cell>
          <cell r="AN193" t="e">
            <v>#VALUE!</v>
          </cell>
          <cell r="AO193" t="e">
            <v>#VALUE!</v>
          </cell>
          <cell r="AP193">
            <v>700</v>
          </cell>
        </row>
        <row r="194">
          <cell r="A194">
            <v>63574000</v>
          </cell>
          <cell r="C194">
            <v>5740</v>
          </cell>
          <cell r="D194" t="str">
            <v>DLC MIX VIS HOLLANDAISESAUS SPINAZIE AARDAPPELPUREE</v>
          </cell>
          <cell r="E194" t="str">
            <v>DLC, GEMALEN</v>
          </cell>
          <cell r="F194" t="str">
            <v>290MM</v>
          </cell>
          <cell r="G194" t="str">
            <v>C2227-3R</v>
          </cell>
          <cell r="H194">
            <v>456</v>
          </cell>
          <cell r="I194">
            <v>0.5</v>
          </cell>
          <cell r="J194" t="str">
            <v>NVT</v>
          </cell>
          <cell r="K194" t="str">
            <v>DLC ROND + 65X155</v>
          </cell>
          <cell r="L194">
            <v>6</v>
          </cell>
          <cell r="M194" t="str">
            <v>DLC X 6</v>
          </cell>
          <cell r="N194">
            <v>80</v>
          </cell>
          <cell r="O194" t="str">
            <v>5410953357406</v>
          </cell>
          <cell r="P194" t="str">
            <v>H-3T</v>
          </cell>
          <cell r="Q194">
            <v>3</v>
          </cell>
          <cell r="R194">
            <v>3</v>
          </cell>
          <cell r="S194" t="str">
            <v>Folie perforeren,alaska pollak verzagen (227g)</v>
          </cell>
          <cell r="T194">
            <v>2000</v>
          </cell>
          <cell r="U194">
            <v>1</v>
          </cell>
          <cell r="V194">
            <v>2000</v>
          </cell>
          <cell r="W194">
            <v>1</v>
          </cell>
          <cell r="X194">
            <v>0</v>
          </cell>
          <cell r="Y194">
            <v>0</v>
          </cell>
          <cell r="Z194">
            <v>0</v>
          </cell>
          <cell r="AA194" t="str">
            <v>! ! ! !</v>
          </cell>
          <cell r="AB194">
            <v>750</v>
          </cell>
          <cell r="AC194">
            <v>0</v>
          </cell>
          <cell r="AG194">
            <v>45</v>
          </cell>
          <cell r="AJ194" t="str">
            <v>V-A</v>
          </cell>
          <cell r="AK194" t="str">
            <v>Ja</v>
          </cell>
          <cell r="AL194">
            <v>2700</v>
          </cell>
          <cell r="AM194">
            <v>2000</v>
          </cell>
          <cell r="AN194" t="e">
            <v>#VALUE!</v>
          </cell>
          <cell r="AO194" t="e">
            <v>#VALUE!</v>
          </cell>
          <cell r="AP194">
            <v>700</v>
          </cell>
        </row>
        <row r="195">
          <cell r="A195">
            <v>63582200</v>
          </cell>
          <cell r="C195">
            <v>5822</v>
          </cell>
          <cell r="D195" t="str">
            <v>DLC NA-ARM RUNDSTOOFVLEES SPRUITEN AARDAPPEL</v>
          </cell>
          <cell r="E195" t="str">
            <v>DLC, NA-ARM</v>
          </cell>
          <cell r="F195" t="str">
            <v>290MM</v>
          </cell>
          <cell r="G195" t="str">
            <v>C2227-3R</v>
          </cell>
          <cell r="H195">
            <v>456</v>
          </cell>
          <cell r="I195">
            <v>0.5</v>
          </cell>
          <cell r="J195" t="str">
            <v>NVT</v>
          </cell>
          <cell r="K195" t="str">
            <v>DLC ROND + 65X155</v>
          </cell>
          <cell r="L195">
            <v>6</v>
          </cell>
          <cell r="M195" t="str">
            <v>DLC X 6</v>
          </cell>
          <cell r="N195">
            <v>110</v>
          </cell>
          <cell r="O195" t="str">
            <v>5410953358229</v>
          </cell>
          <cell r="P195" t="str">
            <v>T</v>
          </cell>
          <cell r="Q195">
            <v>2</v>
          </cell>
          <cell r="R195">
            <v>3</v>
          </cell>
          <cell r="S195" t="str">
            <v>Folie perforeren, STOOFVLEES (vacuumzakken), AARDAPPELEN STEAMEN D-0</v>
          </cell>
          <cell r="T195">
            <v>1750</v>
          </cell>
          <cell r="U195">
            <v>7</v>
          </cell>
          <cell r="V195">
            <v>1750</v>
          </cell>
          <cell r="W195">
            <v>7</v>
          </cell>
          <cell r="X195">
            <v>0</v>
          </cell>
          <cell r="Y195">
            <v>0</v>
          </cell>
          <cell r="Z195">
            <v>0</v>
          </cell>
          <cell r="AA195" t="str">
            <v>! ! ! ! !</v>
          </cell>
          <cell r="AB195">
            <v>1300</v>
          </cell>
          <cell r="AC195">
            <v>0</v>
          </cell>
          <cell r="AG195">
            <v>45</v>
          </cell>
          <cell r="AJ195" t="str">
            <v>V-A</v>
          </cell>
          <cell r="AK195" t="str">
            <v>Ja</v>
          </cell>
          <cell r="AL195">
            <v>2700</v>
          </cell>
          <cell r="AM195">
            <v>1750</v>
          </cell>
          <cell r="AN195" t="e">
            <v>#VALUE!</v>
          </cell>
          <cell r="AO195" t="e">
            <v>#VALUE!</v>
          </cell>
          <cell r="AP195">
            <v>950</v>
          </cell>
        </row>
        <row r="196">
          <cell r="A196">
            <v>63582300</v>
          </cell>
          <cell r="C196">
            <v>5823</v>
          </cell>
          <cell r="D196" t="str">
            <v>DLC NA-ARM JACHTSCHOTEL RODE KOOL PUREE</v>
          </cell>
          <cell r="E196" t="str">
            <v>DLC, NA-ARM</v>
          </cell>
          <cell r="F196" t="str">
            <v>290MM</v>
          </cell>
          <cell r="G196" t="str">
            <v>C2227-3R</v>
          </cell>
          <cell r="H196">
            <v>456</v>
          </cell>
          <cell r="I196">
            <v>0.5</v>
          </cell>
          <cell r="J196" t="str">
            <v>NVT</v>
          </cell>
          <cell r="K196" t="str">
            <v>DLC ROND + 65X155</v>
          </cell>
          <cell r="L196">
            <v>6</v>
          </cell>
          <cell r="M196" t="str">
            <v>DLC X 6</v>
          </cell>
          <cell r="N196">
            <v>110</v>
          </cell>
          <cell r="O196">
            <v>5410953358236</v>
          </cell>
          <cell r="P196" t="str">
            <v>2T-H</v>
          </cell>
          <cell r="Q196">
            <v>3</v>
          </cell>
          <cell r="R196">
            <v>3</v>
          </cell>
          <cell r="S196" t="str">
            <v>Folie perforeren, STOOFVLEES (vacuumzakken)</v>
          </cell>
          <cell r="T196">
            <v>2000</v>
          </cell>
          <cell r="U196">
            <v>6</v>
          </cell>
          <cell r="V196">
            <v>2000</v>
          </cell>
          <cell r="W196">
            <v>6</v>
          </cell>
          <cell r="X196">
            <v>0</v>
          </cell>
          <cell r="Y196">
            <v>0</v>
          </cell>
          <cell r="Z196">
            <v>0</v>
          </cell>
          <cell r="AA196" t="str">
            <v>! ! !</v>
          </cell>
          <cell r="AB196">
            <v>1300</v>
          </cell>
          <cell r="AC196">
            <v>0</v>
          </cell>
          <cell r="AG196">
            <v>45</v>
          </cell>
          <cell r="AJ196" t="str">
            <v>V-A</v>
          </cell>
          <cell r="AK196" t="str">
            <v>Ja</v>
          </cell>
          <cell r="AL196">
            <v>2700</v>
          </cell>
          <cell r="AM196">
            <v>2000</v>
          </cell>
          <cell r="AN196" t="e">
            <v>#VALUE!</v>
          </cell>
          <cell r="AO196" t="e">
            <v>#VALUE!</v>
          </cell>
          <cell r="AP196">
            <v>700</v>
          </cell>
        </row>
        <row r="197">
          <cell r="A197">
            <v>63582400</v>
          </cell>
          <cell r="C197">
            <v>5824</v>
          </cell>
          <cell r="D197" t="str">
            <v>DLC NA-ARM HUTSPOT RUNDERSTOVERIJ</v>
          </cell>
          <cell r="E197" t="str">
            <v>DLC, NA-ARM</v>
          </cell>
          <cell r="F197" t="str">
            <v>290MM</v>
          </cell>
          <cell r="G197" t="str">
            <v>C2227-2K</v>
          </cell>
          <cell r="H197">
            <v>456</v>
          </cell>
          <cell r="I197">
            <v>0.5</v>
          </cell>
          <cell r="J197" t="str">
            <v>NVT</v>
          </cell>
          <cell r="K197" t="str">
            <v>DLC ROND + 65X155</v>
          </cell>
          <cell r="L197">
            <v>6</v>
          </cell>
          <cell r="M197" t="str">
            <v>DLC X 6</v>
          </cell>
          <cell r="N197">
            <v>110</v>
          </cell>
          <cell r="O197">
            <v>5410953358243</v>
          </cell>
          <cell r="P197" t="str">
            <v>T-H</v>
          </cell>
          <cell r="Q197">
            <v>2.5</v>
          </cell>
          <cell r="R197">
            <v>3</v>
          </cell>
          <cell r="S197" t="str">
            <v>Folie perforeren Pulled Beef tussen D-4 en D-2</v>
          </cell>
          <cell r="T197">
            <v>2000</v>
          </cell>
          <cell r="U197">
            <v>5</v>
          </cell>
          <cell r="V197">
            <v>2000</v>
          </cell>
          <cell r="W197">
            <v>5</v>
          </cell>
          <cell r="X197">
            <v>0</v>
          </cell>
          <cell r="Y197">
            <v>0</v>
          </cell>
          <cell r="Z197">
            <v>0</v>
          </cell>
          <cell r="AA197" t="str">
            <v>! ! ! ! !</v>
          </cell>
          <cell r="AB197">
            <v>1300</v>
          </cell>
          <cell r="AC197">
            <v>0</v>
          </cell>
          <cell r="AG197">
            <v>45</v>
          </cell>
          <cell r="AJ197" t="str">
            <v>V-A</v>
          </cell>
          <cell r="AK197" t="str">
            <v>Ja</v>
          </cell>
          <cell r="AL197">
            <v>2700</v>
          </cell>
          <cell r="AM197">
            <v>2000</v>
          </cell>
          <cell r="AN197" t="e">
            <v>#VALUE!</v>
          </cell>
          <cell r="AO197" t="e">
            <v>#VALUE!</v>
          </cell>
          <cell r="AP197">
            <v>700</v>
          </cell>
        </row>
        <row r="198">
          <cell r="A198">
            <v>63582500</v>
          </cell>
          <cell r="C198">
            <v>5825</v>
          </cell>
          <cell r="D198" t="str">
            <v>DLC NA-ARM BOERENKOOLSTAMPPOT KALFSGEHAKTBALLEN</v>
          </cell>
          <cell r="E198" t="str">
            <v>DLC, NA-ARM</v>
          </cell>
          <cell r="F198" t="str">
            <v>290MM</v>
          </cell>
          <cell r="G198" t="str">
            <v>C2227-2K</v>
          </cell>
          <cell r="H198">
            <v>456</v>
          </cell>
          <cell r="I198">
            <v>0.5</v>
          </cell>
          <cell r="J198" t="str">
            <v>NVT</v>
          </cell>
          <cell r="K198" t="str">
            <v>DLC ROND + 65X155</v>
          </cell>
          <cell r="L198">
            <v>6</v>
          </cell>
          <cell r="M198" t="str">
            <v>DLC X 6</v>
          </cell>
          <cell r="N198">
            <v>110</v>
          </cell>
          <cell r="O198">
            <v>5410953358250</v>
          </cell>
          <cell r="P198" t="str">
            <v>T-H</v>
          </cell>
          <cell r="Q198">
            <v>2.5</v>
          </cell>
          <cell r="R198">
            <v>3</v>
          </cell>
          <cell r="S198" t="str">
            <v xml:space="preserve">Folie perforeren, GEHAKTBALLEN bakken </v>
          </cell>
          <cell r="T198">
            <v>2000</v>
          </cell>
          <cell r="U198">
            <v>3</v>
          </cell>
          <cell r="V198">
            <v>2000</v>
          </cell>
          <cell r="W198">
            <v>3</v>
          </cell>
          <cell r="X198">
            <v>0</v>
          </cell>
          <cell r="Y198">
            <v>0</v>
          </cell>
          <cell r="Z198">
            <v>0</v>
          </cell>
          <cell r="AA198" t="str">
            <v>! ! !</v>
          </cell>
          <cell r="AB198">
            <v>1300</v>
          </cell>
          <cell r="AC198">
            <v>0</v>
          </cell>
          <cell r="AG198">
            <v>45</v>
          </cell>
          <cell r="AJ198" t="str">
            <v>-</v>
          </cell>
          <cell r="AK198" t="str">
            <v>Ja</v>
          </cell>
          <cell r="AL198">
            <v>2700</v>
          </cell>
          <cell r="AM198">
            <v>2000</v>
          </cell>
          <cell r="AN198" t="e">
            <v>#VALUE!</v>
          </cell>
          <cell r="AO198" t="e">
            <v>#VALUE!</v>
          </cell>
          <cell r="AP198">
            <v>700</v>
          </cell>
        </row>
        <row r="199">
          <cell r="A199">
            <v>63582700</v>
          </cell>
          <cell r="C199">
            <v>5827</v>
          </cell>
          <cell r="D199" t="str">
            <v>DLC NA-ARM TAGLIATELLE KIP CURRY GROENTJES</v>
          </cell>
          <cell r="E199" t="str">
            <v>DLC, NA-ARM</v>
          </cell>
          <cell r="F199" t="str">
            <v>290MM</v>
          </cell>
          <cell r="G199" t="str">
            <v>C2227-1H</v>
          </cell>
          <cell r="H199">
            <v>456</v>
          </cell>
          <cell r="I199">
            <v>0.5</v>
          </cell>
          <cell r="J199" t="str">
            <v>NVT</v>
          </cell>
          <cell r="K199" t="str">
            <v>DLC ROND + 65X155</v>
          </cell>
          <cell r="L199">
            <v>6</v>
          </cell>
          <cell r="M199" t="str">
            <v>DLC X 6</v>
          </cell>
          <cell r="N199">
            <v>110</v>
          </cell>
          <cell r="O199">
            <v>5410953358274</v>
          </cell>
          <cell r="P199" t="str">
            <v>I-L-T</v>
          </cell>
          <cell r="Q199">
            <v>3</v>
          </cell>
          <cell r="R199">
            <v>3</v>
          </cell>
          <cell r="S199" t="str">
            <v>Folie perforeren</v>
          </cell>
          <cell r="T199">
            <v>2000</v>
          </cell>
          <cell r="U199">
            <v>6</v>
          </cell>
          <cell r="V199">
            <v>2000</v>
          </cell>
          <cell r="W199">
            <v>6</v>
          </cell>
          <cell r="Z199">
            <v>0</v>
          </cell>
          <cell r="AA199" t="str">
            <v>! ! !</v>
          </cell>
          <cell r="AB199">
            <v>630</v>
          </cell>
          <cell r="AC199">
            <v>0</v>
          </cell>
          <cell r="AG199">
            <v>45</v>
          </cell>
          <cell r="AJ199" t="str">
            <v>V-A</v>
          </cell>
          <cell r="AK199" t="str">
            <v>Ja</v>
          </cell>
          <cell r="AL199">
            <v>2700</v>
          </cell>
          <cell r="AM199">
            <v>2000</v>
          </cell>
          <cell r="AN199" t="e">
            <v>#VALUE!</v>
          </cell>
          <cell r="AO199" t="e">
            <v>#VALUE!</v>
          </cell>
          <cell r="AP199">
            <v>700</v>
          </cell>
        </row>
        <row r="200">
          <cell r="A200">
            <v>63582800</v>
          </cell>
          <cell r="C200">
            <v>5828</v>
          </cell>
          <cell r="D200" t="str">
            <v>DLC NA-ARM KIPFILET BLADSPINAZIE PUREE</v>
          </cell>
          <cell r="E200" t="str">
            <v>DLC, NA-ARM</v>
          </cell>
          <cell r="F200" t="str">
            <v>290MM</v>
          </cell>
          <cell r="G200" t="str">
            <v>C2227-3R</v>
          </cell>
          <cell r="H200">
            <v>456</v>
          </cell>
          <cell r="I200">
            <v>0.5</v>
          </cell>
          <cell r="J200" t="str">
            <v>NVT</v>
          </cell>
          <cell r="K200" t="str">
            <v>DLC ROND + 65X155</v>
          </cell>
          <cell r="L200">
            <v>6</v>
          </cell>
          <cell r="M200" t="str">
            <v>DLC X 6</v>
          </cell>
          <cell r="N200">
            <v>110</v>
          </cell>
          <cell r="O200">
            <v>5410953358281</v>
          </cell>
          <cell r="P200" t="str">
            <v>2T-H</v>
          </cell>
          <cell r="Q200">
            <v>3</v>
          </cell>
          <cell r="R200">
            <v>3</v>
          </cell>
          <cell r="S200" t="str">
            <v>Folie perforeren</v>
          </cell>
          <cell r="T200">
            <v>2000</v>
          </cell>
          <cell r="U200">
            <v>2</v>
          </cell>
          <cell r="V200">
            <v>2000</v>
          </cell>
          <cell r="W200">
            <v>2</v>
          </cell>
          <cell r="X200">
            <v>0</v>
          </cell>
          <cell r="Y200">
            <v>0</v>
          </cell>
          <cell r="Z200">
            <v>0</v>
          </cell>
          <cell r="AA200" t="str">
            <v>! ! !</v>
          </cell>
          <cell r="AB200">
            <v>1300</v>
          </cell>
          <cell r="AC200">
            <v>6.3E-2</v>
          </cell>
          <cell r="AG200">
            <v>45</v>
          </cell>
          <cell r="AJ200" t="str">
            <v>V-A</v>
          </cell>
          <cell r="AK200" t="str">
            <v>Ja</v>
          </cell>
          <cell r="AL200">
            <v>2700</v>
          </cell>
          <cell r="AM200">
            <v>2000</v>
          </cell>
          <cell r="AN200" t="e">
            <v>#VALUE!</v>
          </cell>
          <cell r="AO200" t="e">
            <v>#VALUE!</v>
          </cell>
          <cell r="AP200">
            <v>700</v>
          </cell>
        </row>
        <row r="201">
          <cell r="A201">
            <v>63582900</v>
          </cell>
          <cell r="C201">
            <v>5829</v>
          </cell>
          <cell r="D201" t="str">
            <v>DLC NA-ARM MACARONI KALKOENHAM KAASSAUS</v>
          </cell>
          <cell r="E201" t="str">
            <v>DLC, NA-ARM</v>
          </cell>
          <cell r="F201" t="str">
            <v>290MM</v>
          </cell>
          <cell r="G201" t="str">
            <v>C2227-1H</v>
          </cell>
          <cell r="H201">
            <v>456</v>
          </cell>
          <cell r="I201">
            <v>0.5</v>
          </cell>
          <cell r="J201" t="str">
            <v>NVT</v>
          </cell>
          <cell r="K201" t="str">
            <v>DLC ROND + 65X155</v>
          </cell>
          <cell r="L201">
            <v>6</v>
          </cell>
          <cell r="M201" t="str">
            <v>DLC X 6</v>
          </cell>
          <cell r="N201">
            <v>110</v>
          </cell>
          <cell r="O201">
            <v>5410953358298</v>
          </cell>
          <cell r="P201" t="str">
            <v>M-2T</v>
          </cell>
          <cell r="Q201">
            <v>2</v>
          </cell>
          <cell r="R201">
            <v>3</v>
          </cell>
          <cell r="S201" t="str">
            <v>Folie perforeren</v>
          </cell>
          <cell r="T201">
            <v>2000</v>
          </cell>
          <cell r="U201">
            <v>2</v>
          </cell>
          <cell r="V201">
            <v>2000</v>
          </cell>
          <cell r="W201">
            <v>2</v>
          </cell>
          <cell r="X201">
            <v>0</v>
          </cell>
          <cell r="Y201">
            <v>0</v>
          </cell>
          <cell r="Z201">
            <v>0</v>
          </cell>
          <cell r="AA201" t="str">
            <v>! !</v>
          </cell>
          <cell r="AB201">
            <v>1300</v>
          </cell>
          <cell r="AC201">
            <v>0</v>
          </cell>
          <cell r="AG201">
            <v>45</v>
          </cell>
          <cell r="AK201" t="str">
            <v>Ja</v>
          </cell>
          <cell r="AL201">
            <v>2700</v>
          </cell>
          <cell r="AM201">
            <v>2000</v>
          </cell>
          <cell r="AN201" t="e">
            <v>#VALUE!</v>
          </cell>
          <cell r="AO201" t="e">
            <v>#VALUE!</v>
          </cell>
          <cell r="AP201">
            <v>700</v>
          </cell>
        </row>
        <row r="202">
          <cell r="A202">
            <v>63583000</v>
          </cell>
          <cell r="C202">
            <v>5830</v>
          </cell>
          <cell r="D202" t="str">
            <v>DLC NA-ARM AARDAPPELGRATIN RU GEHAKT WORTEL</v>
          </cell>
          <cell r="E202" t="str">
            <v>DLC, NA-ARM</v>
          </cell>
          <cell r="F202" t="str">
            <v>290MM</v>
          </cell>
          <cell r="G202" t="str">
            <v>C2227-2K</v>
          </cell>
          <cell r="H202">
            <v>456</v>
          </cell>
          <cell r="I202">
            <v>0.55000000000000004</v>
          </cell>
          <cell r="J202" t="str">
            <v>NVT</v>
          </cell>
          <cell r="K202" t="str">
            <v>DLC ROND + 65X155</v>
          </cell>
          <cell r="L202">
            <v>6</v>
          </cell>
          <cell r="M202" t="str">
            <v>DLC X 6</v>
          </cell>
          <cell r="N202">
            <v>110</v>
          </cell>
          <cell r="O202">
            <v>5410953358304</v>
          </cell>
          <cell r="P202" t="str">
            <v>H-T-K</v>
          </cell>
          <cell r="Q202">
            <v>3</v>
          </cell>
          <cell r="R202">
            <v>3</v>
          </cell>
          <cell r="S202" t="str">
            <v>Folie perforeren</v>
          </cell>
          <cell r="T202">
            <v>2000</v>
          </cell>
          <cell r="U202">
            <v>3</v>
          </cell>
          <cell r="V202">
            <v>2000</v>
          </cell>
          <cell r="W202">
            <v>3</v>
          </cell>
          <cell r="X202">
            <v>0</v>
          </cell>
          <cell r="Y202">
            <v>0</v>
          </cell>
          <cell r="Z202">
            <v>0</v>
          </cell>
          <cell r="AA202" t="str">
            <v>! ! !</v>
          </cell>
          <cell r="AB202">
            <v>650</v>
          </cell>
          <cell r="AC202">
            <v>0</v>
          </cell>
          <cell r="AG202">
            <v>45</v>
          </cell>
          <cell r="AJ202" t="str">
            <v>-</v>
          </cell>
          <cell r="AK202" t="str">
            <v>Ja</v>
          </cell>
          <cell r="AL202">
            <v>2700</v>
          </cell>
          <cell r="AM202">
            <v>2000</v>
          </cell>
          <cell r="AN202" t="e">
            <v>#VALUE!</v>
          </cell>
          <cell r="AO202" t="e">
            <v>#VALUE!</v>
          </cell>
          <cell r="AP202">
            <v>700</v>
          </cell>
        </row>
        <row r="203">
          <cell r="A203">
            <v>63583100</v>
          </cell>
          <cell r="C203">
            <v>5831</v>
          </cell>
          <cell r="D203" t="str">
            <v>DLC NA-ARM KIP UIENSAUS APPELMOES GEB AARD KUBUS</v>
          </cell>
          <cell r="E203" t="str">
            <v>DLC, NA-ARM</v>
          </cell>
          <cell r="F203" t="str">
            <v>290MM</v>
          </cell>
          <cell r="G203" t="str">
            <v>C2227-3R</v>
          </cell>
          <cell r="H203">
            <v>456</v>
          </cell>
          <cell r="I203">
            <v>0.5</v>
          </cell>
          <cell r="J203" t="str">
            <v>NVT</v>
          </cell>
          <cell r="K203" t="str">
            <v>DLC ROND + 65X155</v>
          </cell>
          <cell r="L203">
            <v>6</v>
          </cell>
          <cell r="M203" t="str">
            <v>DLC X 6</v>
          </cell>
          <cell r="N203">
            <v>110</v>
          </cell>
          <cell r="O203">
            <v>5410953358311</v>
          </cell>
          <cell r="P203" t="str">
            <v>I-2T</v>
          </cell>
          <cell r="Q203">
            <v>2</v>
          </cell>
          <cell r="R203">
            <v>3</v>
          </cell>
          <cell r="S203" t="str">
            <v>Folie perforeren</v>
          </cell>
          <cell r="T203">
            <v>2000</v>
          </cell>
          <cell r="U203">
            <v>4</v>
          </cell>
          <cell r="V203">
            <v>2000</v>
          </cell>
          <cell r="W203">
            <v>4</v>
          </cell>
          <cell r="X203">
            <v>0</v>
          </cell>
          <cell r="Y203">
            <v>0</v>
          </cell>
          <cell r="Z203">
            <v>0</v>
          </cell>
          <cell r="AA203" t="str">
            <v>! ! !</v>
          </cell>
          <cell r="AB203">
            <v>1300</v>
          </cell>
          <cell r="AC203">
            <v>0</v>
          </cell>
          <cell r="AG203">
            <v>45</v>
          </cell>
          <cell r="AJ203" t="str">
            <v>-</v>
          </cell>
          <cell r="AK203" t="str">
            <v>Ja</v>
          </cell>
          <cell r="AL203">
            <v>2700</v>
          </cell>
          <cell r="AM203">
            <v>2000</v>
          </cell>
          <cell r="AN203" t="e">
            <v>#VALUE!</v>
          </cell>
          <cell r="AO203" t="e">
            <v>#VALUE!</v>
          </cell>
          <cell r="AP203">
            <v>700</v>
          </cell>
        </row>
        <row r="204">
          <cell r="A204">
            <v>63583200</v>
          </cell>
          <cell r="C204">
            <v>5832</v>
          </cell>
          <cell r="D204" t="str">
            <v>DLC NA-ARM VARKEN BLACKWELL ERWT/WORTEL KRIEL</v>
          </cell>
          <cell r="E204" t="str">
            <v>DLC, NA-ARM</v>
          </cell>
          <cell r="F204" t="str">
            <v>290MM</v>
          </cell>
          <cell r="G204" t="str">
            <v>C2227-3R</v>
          </cell>
          <cell r="H204">
            <v>456</v>
          </cell>
          <cell r="I204">
            <v>0.5</v>
          </cell>
          <cell r="J204" t="str">
            <v>NVT</v>
          </cell>
          <cell r="K204" t="str">
            <v>DLC ROND + 65X155</v>
          </cell>
          <cell r="L204">
            <v>6</v>
          </cell>
          <cell r="M204" t="str">
            <v>DLC X 6</v>
          </cell>
          <cell r="N204">
            <v>110</v>
          </cell>
          <cell r="O204" t="str">
            <v>5410953358328</v>
          </cell>
          <cell r="P204" t="str">
            <v>T</v>
          </cell>
          <cell r="Q204">
            <v>2</v>
          </cell>
          <cell r="R204">
            <v>3</v>
          </cell>
          <cell r="S204" t="str">
            <v>Folie perforeren, D-1 STOOFVLEES (vacuumzakken)</v>
          </cell>
          <cell r="T204">
            <v>2000</v>
          </cell>
          <cell r="U204">
            <v>10</v>
          </cell>
          <cell r="V204">
            <v>2000</v>
          </cell>
          <cell r="W204">
            <v>10</v>
          </cell>
          <cell r="X204">
            <v>0</v>
          </cell>
          <cell r="Y204">
            <v>0</v>
          </cell>
          <cell r="Z204">
            <v>0</v>
          </cell>
          <cell r="AA204" t="str">
            <v>! ! !</v>
          </cell>
          <cell r="AB204">
            <v>650</v>
          </cell>
          <cell r="AC204">
            <v>0</v>
          </cell>
          <cell r="AG204">
            <v>45</v>
          </cell>
          <cell r="AJ204" t="str">
            <v>V-A</v>
          </cell>
          <cell r="AK204" t="str">
            <v>Ja</v>
          </cell>
          <cell r="AL204">
            <v>2700</v>
          </cell>
          <cell r="AM204">
            <v>2000</v>
          </cell>
          <cell r="AN204" t="e">
            <v>#VALUE!</v>
          </cell>
          <cell r="AO204" t="e">
            <v>#VALUE!</v>
          </cell>
          <cell r="AP204">
            <v>700</v>
          </cell>
        </row>
        <row r="205">
          <cell r="A205">
            <v>63583400</v>
          </cell>
          <cell r="C205">
            <v>8534</v>
          </cell>
          <cell r="D205" t="str">
            <v>DLC NA-ARM ZALMFILET DILLESAUS GROENTEMIX PUREE TUINKRUIDEN</v>
          </cell>
          <cell r="E205" t="str">
            <v>DLC, NA-ARM</v>
          </cell>
          <cell r="F205" t="str">
            <v>290MM</v>
          </cell>
          <cell r="G205" t="str">
            <v>C2227-2K</v>
          </cell>
          <cell r="H205">
            <v>456</v>
          </cell>
          <cell r="I205">
            <v>0.5</v>
          </cell>
          <cell r="J205" t="str">
            <v>NVT</v>
          </cell>
          <cell r="K205" t="str">
            <v>DLC ROND + 65X155</v>
          </cell>
          <cell r="L205">
            <v>6</v>
          </cell>
          <cell r="M205" t="str">
            <v>DLC X 6</v>
          </cell>
          <cell r="N205">
            <v>110</v>
          </cell>
          <cell r="O205" t="str">
            <v>5410953358342</v>
          </cell>
          <cell r="P205" t="str">
            <v>H-T</v>
          </cell>
          <cell r="Q205">
            <v>3</v>
          </cell>
          <cell r="R205">
            <v>3</v>
          </cell>
          <cell r="S205" t="str">
            <v>folie perforeren</v>
          </cell>
          <cell r="T205">
            <v>2000</v>
          </cell>
          <cell r="U205">
            <v>5</v>
          </cell>
          <cell r="V205">
            <v>2000</v>
          </cell>
          <cell r="W205">
            <v>5</v>
          </cell>
          <cell r="X205">
            <v>0</v>
          </cell>
          <cell r="Y205">
            <v>0</v>
          </cell>
          <cell r="Z205">
            <v>0</v>
          </cell>
          <cell r="AA205" t="str">
            <v>! ! ! !</v>
          </cell>
          <cell r="AB205">
            <v>1300</v>
          </cell>
          <cell r="AC205">
            <v>0</v>
          </cell>
          <cell r="AE205" t="str">
            <v>x</v>
          </cell>
          <cell r="AG205">
            <v>45</v>
          </cell>
          <cell r="AJ205" t="str">
            <v>V-A</v>
          </cell>
          <cell r="AK205" t="str">
            <v>Ja</v>
          </cell>
          <cell r="AL205">
            <v>2700</v>
          </cell>
          <cell r="AM205">
            <v>2000</v>
          </cell>
          <cell r="AN205" t="e">
            <v>#VALUE!</v>
          </cell>
          <cell r="AO205" t="e">
            <v>#VALUE!</v>
          </cell>
          <cell r="AP205">
            <v>700</v>
          </cell>
        </row>
        <row r="206">
          <cell r="A206">
            <v>63586100</v>
          </cell>
          <cell r="C206">
            <v>5861</v>
          </cell>
          <cell r="D206" t="str">
            <v>DLC NA-ARM RUNDERSTOVERIJ BLOEMKOOL AARDAPPEL</v>
          </cell>
          <cell r="E206" t="str">
            <v>DLC, NA-ARM</v>
          </cell>
          <cell r="F206" t="str">
            <v>290MM</v>
          </cell>
          <cell r="G206" t="str">
            <v>C2227-3R</v>
          </cell>
          <cell r="H206">
            <v>456</v>
          </cell>
          <cell r="I206">
            <v>0.5</v>
          </cell>
          <cell r="J206" t="str">
            <v>NVT</v>
          </cell>
          <cell r="K206" t="str">
            <v>DLC ROND + 65X155</v>
          </cell>
          <cell r="L206">
            <v>6</v>
          </cell>
          <cell r="M206" t="str">
            <v>DLC X 6</v>
          </cell>
          <cell r="N206">
            <v>110</v>
          </cell>
          <cell r="O206" t="str">
            <v>5410953358618</v>
          </cell>
          <cell r="P206" t="str">
            <v>2T</v>
          </cell>
          <cell r="Q206">
            <v>4</v>
          </cell>
          <cell r="R206">
            <v>3</v>
          </cell>
          <cell r="S206" t="str">
            <v>Folie perforeren, D-1 STOOFVLEES (vacuumzakken), AARDAPPELEN STEAMEN D-0</v>
          </cell>
          <cell r="T206">
            <v>2000</v>
          </cell>
          <cell r="U206">
            <v>9</v>
          </cell>
          <cell r="V206">
            <v>2000</v>
          </cell>
          <cell r="W206">
            <v>9</v>
          </cell>
          <cell r="X206">
            <v>0</v>
          </cell>
          <cell r="Y206">
            <v>0</v>
          </cell>
          <cell r="Z206">
            <v>0</v>
          </cell>
          <cell r="AA206" t="str">
            <v>! ! !</v>
          </cell>
          <cell r="AB206">
            <v>1300</v>
          </cell>
          <cell r="AC206">
            <v>0.26423999999999997</v>
          </cell>
          <cell r="AE206" t="str">
            <v>x</v>
          </cell>
          <cell r="AG206">
            <v>45</v>
          </cell>
          <cell r="AJ206" t="str">
            <v>-</v>
          </cell>
          <cell r="AK206" t="str">
            <v>Ja</v>
          </cell>
          <cell r="AL206">
            <v>2700</v>
          </cell>
          <cell r="AM206">
            <v>2000</v>
          </cell>
          <cell r="AN206" t="e">
            <v>#VALUE!</v>
          </cell>
          <cell r="AO206" t="e">
            <v>#VALUE!</v>
          </cell>
          <cell r="AP206">
            <v>700</v>
          </cell>
        </row>
        <row r="207">
          <cell r="A207">
            <v>63586200</v>
          </cell>
          <cell r="C207">
            <v>5862</v>
          </cell>
          <cell r="D207" t="str">
            <v>DLC NA-ARM KALFSWORST MOSTERDSAUS SPINAZIESTAMPPOT</v>
          </cell>
          <cell r="E207" t="str">
            <v>DLC, NA-ARM</v>
          </cell>
          <cell r="F207" t="str">
            <v>290MM</v>
          </cell>
          <cell r="G207" t="str">
            <v>C2227-2K</v>
          </cell>
          <cell r="H207">
            <v>456</v>
          </cell>
          <cell r="I207">
            <v>0.5</v>
          </cell>
          <cell r="J207" t="str">
            <v>NVT</v>
          </cell>
          <cell r="K207" t="str">
            <v>DLC ROND + 65X155</v>
          </cell>
          <cell r="L207">
            <v>6</v>
          </cell>
          <cell r="M207" t="str">
            <v>DLC X 6</v>
          </cell>
          <cell r="N207">
            <v>110</v>
          </cell>
          <cell r="O207" t="str">
            <v>5410953358625</v>
          </cell>
          <cell r="P207" t="str">
            <v>T-H</v>
          </cell>
          <cell r="Q207">
            <v>2</v>
          </cell>
          <cell r="R207">
            <v>3</v>
          </cell>
          <cell r="S207" t="str">
            <v>Folie perforeren</v>
          </cell>
          <cell r="T207">
            <v>2000</v>
          </cell>
          <cell r="U207">
            <v>3</v>
          </cell>
          <cell r="V207">
            <v>2000</v>
          </cell>
          <cell r="W207">
            <v>3</v>
          </cell>
          <cell r="X207">
            <v>0</v>
          </cell>
          <cell r="Y207">
            <v>0</v>
          </cell>
          <cell r="Z207">
            <v>0</v>
          </cell>
          <cell r="AA207" t="str">
            <v>! ! !</v>
          </cell>
          <cell r="AB207">
            <v>650</v>
          </cell>
          <cell r="AC207">
            <v>0</v>
          </cell>
          <cell r="AE207" t="str">
            <v>x</v>
          </cell>
          <cell r="AG207">
            <v>45</v>
          </cell>
          <cell r="AJ207" t="str">
            <v>V-A</v>
          </cell>
          <cell r="AK207" t="str">
            <v>Ja</v>
          </cell>
          <cell r="AL207">
            <v>2700</v>
          </cell>
          <cell r="AM207">
            <v>2000</v>
          </cell>
          <cell r="AN207" t="e">
            <v>#VALUE!</v>
          </cell>
          <cell r="AO207" t="e">
            <v>#VALUE!</v>
          </cell>
          <cell r="AP207">
            <v>700</v>
          </cell>
        </row>
        <row r="208">
          <cell r="A208">
            <v>63586700</v>
          </cell>
          <cell r="C208">
            <v>5867</v>
          </cell>
          <cell r="D208" t="str">
            <v>DLC NA-ARM KALFSBLANKET GROOTMOEDERS WIJZE</v>
          </cell>
          <cell r="E208" t="str">
            <v>DLC, NA-ARM</v>
          </cell>
          <cell r="F208" t="str">
            <v>290MM</v>
          </cell>
          <cell r="G208" t="str">
            <v>C2227-1H</v>
          </cell>
          <cell r="H208">
            <v>456</v>
          </cell>
          <cell r="I208">
            <v>0.5</v>
          </cell>
          <cell r="J208" t="str">
            <v>NVT</v>
          </cell>
          <cell r="K208" t="str">
            <v>DLC ROND + 65X155</v>
          </cell>
          <cell r="L208">
            <v>6</v>
          </cell>
          <cell r="M208" t="str">
            <v>DLC X 6</v>
          </cell>
          <cell r="N208">
            <v>110</v>
          </cell>
          <cell r="O208" t="str">
            <v>5410953358670</v>
          </cell>
          <cell r="P208" t="str">
            <v>T</v>
          </cell>
          <cell r="Q208">
            <v>3</v>
          </cell>
          <cell r="R208">
            <v>3</v>
          </cell>
          <cell r="S208" t="str">
            <v>Folie perforeren D-1 kalfsblanket (vacuum zakken)</v>
          </cell>
          <cell r="T208">
            <v>1750</v>
          </cell>
          <cell r="U208">
            <v>6</v>
          </cell>
          <cell r="V208">
            <v>1750</v>
          </cell>
          <cell r="W208">
            <v>6</v>
          </cell>
          <cell r="X208">
            <v>0</v>
          </cell>
          <cell r="Y208">
            <v>0</v>
          </cell>
          <cell r="Z208">
            <v>0</v>
          </cell>
          <cell r="AA208" t="str">
            <v>! ! !</v>
          </cell>
          <cell r="AB208">
            <v>650</v>
          </cell>
          <cell r="AC208">
            <v>0</v>
          </cell>
          <cell r="AG208">
            <v>45</v>
          </cell>
          <cell r="AJ208" t="str">
            <v>v-a</v>
          </cell>
          <cell r="AK208" t="str">
            <v>Ja</v>
          </cell>
          <cell r="AL208">
            <v>2700</v>
          </cell>
          <cell r="AM208">
            <v>1750</v>
          </cell>
          <cell r="AN208" t="e">
            <v>#VALUE!</v>
          </cell>
          <cell r="AO208" t="e">
            <v>#VALUE!</v>
          </cell>
          <cell r="AP208">
            <v>950</v>
          </cell>
        </row>
        <row r="209">
          <cell r="A209">
            <v>63586800</v>
          </cell>
          <cell r="C209">
            <v>5868</v>
          </cell>
          <cell r="D209" t="str">
            <v>DLC NA-ARM KIP ALFREDOSAUS MEDITERRAANSE RIJST</v>
          </cell>
          <cell r="E209" t="str">
            <v>DLC, NA-ARM</v>
          </cell>
          <cell r="F209" t="str">
            <v>290MM</v>
          </cell>
          <cell r="G209" t="str">
            <v>C2227-2K</v>
          </cell>
          <cell r="H209">
            <v>456</v>
          </cell>
          <cell r="I209">
            <v>0.5</v>
          </cell>
          <cell r="J209" t="str">
            <v>NVT</v>
          </cell>
          <cell r="K209" t="str">
            <v>DLC ROND + 65X155</v>
          </cell>
          <cell r="L209">
            <v>6</v>
          </cell>
          <cell r="M209" t="str">
            <v>DLC X 6</v>
          </cell>
          <cell r="N209">
            <v>110</v>
          </cell>
          <cell r="O209">
            <v>5410953358687</v>
          </cell>
          <cell r="P209" t="str">
            <v>I-L-T</v>
          </cell>
          <cell r="Q209">
            <v>2</v>
          </cell>
          <cell r="R209">
            <v>3</v>
          </cell>
          <cell r="S209" t="str">
            <v>Folie perforeren</v>
          </cell>
          <cell r="T209">
            <v>2000</v>
          </cell>
          <cell r="U209">
            <v>3</v>
          </cell>
          <cell r="V209">
            <v>2000</v>
          </cell>
          <cell r="W209">
            <v>3</v>
          </cell>
          <cell r="X209">
            <v>0</v>
          </cell>
          <cell r="Y209">
            <v>0</v>
          </cell>
          <cell r="Z209">
            <v>0</v>
          </cell>
          <cell r="AA209" t="str">
            <v>! ! !</v>
          </cell>
          <cell r="AB209">
            <v>650</v>
          </cell>
          <cell r="AC209">
            <v>0</v>
          </cell>
          <cell r="AG209">
            <v>45</v>
          </cell>
          <cell r="AJ209" t="str">
            <v>V-A</v>
          </cell>
          <cell r="AK209" t="str">
            <v>Ja</v>
          </cell>
          <cell r="AL209">
            <v>2700</v>
          </cell>
          <cell r="AM209">
            <v>2000</v>
          </cell>
          <cell r="AN209" t="e">
            <v>#VALUE!</v>
          </cell>
          <cell r="AO209" t="e">
            <v>#VALUE!</v>
          </cell>
          <cell r="AP209">
            <v>700</v>
          </cell>
        </row>
        <row r="210">
          <cell r="A210">
            <v>63587400</v>
          </cell>
          <cell r="C210">
            <v>5874</v>
          </cell>
          <cell r="D210" t="str">
            <v xml:space="preserve">DLC NA-ARM VISPANNETJE BROCCOLI PUREE  </v>
          </cell>
          <cell r="E210" t="str">
            <v>DLC, NA-ARM</v>
          </cell>
          <cell r="F210" t="str">
            <v>290MM</v>
          </cell>
          <cell r="G210" t="str">
            <v>C2227-3R</v>
          </cell>
          <cell r="H210">
            <v>456</v>
          </cell>
          <cell r="I210">
            <v>0.5</v>
          </cell>
          <cell r="J210" t="str">
            <v>NVT</v>
          </cell>
          <cell r="K210" t="str">
            <v>DLC ROND + 65X155</v>
          </cell>
          <cell r="L210">
            <v>6</v>
          </cell>
          <cell r="M210" t="str">
            <v>DLC X 6</v>
          </cell>
          <cell r="N210">
            <v>110</v>
          </cell>
          <cell r="O210" t="str">
            <v>5410953358748</v>
          </cell>
          <cell r="P210" t="str">
            <v>H-T</v>
          </cell>
          <cell r="Q210">
            <v>3</v>
          </cell>
          <cell r="R210">
            <v>3</v>
          </cell>
          <cell r="S210" t="str">
            <v>Folie perforeren</v>
          </cell>
          <cell r="T210">
            <v>2000</v>
          </cell>
          <cell r="U210">
            <v>6</v>
          </cell>
          <cell r="V210">
            <v>2000</v>
          </cell>
          <cell r="W210">
            <v>6</v>
          </cell>
          <cell r="X210">
            <v>0</v>
          </cell>
          <cell r="Y210">
            <v>0</v>
          </cell>
          <cell r="Z210">
            <v>0</v>
          </cell>
          <cell r="AA210" t="str">
            <v>! ! ! !</v>
          </cell>
          <cell r="AB210">
            <v>650</v>
          </cell>
          <cell r="AC210">
            <v>0</v>
          </cell>
          <cell r="AG210">
            <v>45</v>
          </cell>
          <cell r="AJ210" t="str">
            <v>V-A</v>
          </cell>
          <cell r="AK210" t="str">
            <v xml:space="preserve">Ja </v>
          </cell>
          <cell r="AL210">
            <v>2700</v>
          </cell>
          <cell r="AM210">
            <v>2000</v>
          </cell>
          <cell r="AN210" t="e">
            <v>#VALUE!</v>
          </cell>
          <cell r="AO210" t="e">
            <v>#VALUE!</v>
          </cell>
          <cell r="AP210">
            <v>700</v>
          </cell>
        </row>
        <row r="211">
          <cell r="A211">
            <v>63587600</v>
          </cell>
          <cell r="C211">
            <v>5876</v>
          </cell>
          <cell r="D211" t="str">
            <v>DLC NA-ARM HEEK KREEFTENSAUS BOONTJES GEBAKKEN AARD</v>
          </cell>
          <cell r="E211" t="str">
            <v>DLC, NA-ARM</v>
          </cell>
          <cell r="F211" t="str">
            <v>290MM</v>
          </cell>
          <cell r="G211" t="str">
            <v>C2227-2K</v>
          </cell>
          <cell r="H211">
            <v>456</v>
          </cell>
          <cell r="I211">
            <v>0.5</v>
          </cell>
          <cell r="J211" t="str">
            <v>NVT</v>
          </cell>
          <cell r="K211" t="str">
            <v>DLC ROND + 65X155</v>
          </cell>
          <cell r="L211">
            <v>6</v>
          </cell>
          <cell r="M211" t="str">
            <v>DLC X 6</v>
          </cell>
          <cell r="N211">
            <v>110</v>
          </cell>
          <cell r="O211" t="str">
            <v>5410953358762</v>
          </cell>
          <cell r="P211" t="str">
            <v>T</v>
          </cell>
          <cell r="Q211">
            <v>3</v>
          </cell>
          <cell r="R211">
            <v>3</v>
          </cell>
          <cell r="S211" t="str">
            <v>Folie perforeren</v>
          </cell>
          <cell r="T211">
            <v>2000</v>
          </cell>
          <cell r="U211">
            <v>6</v>
          </cell>
          <cell r="V211">
            <v>2000</v>
          </cell>
          <cell r="W211">
            <v>6</v>
          </cell>
          <cell r="Z211">
            <v>0</v>
          </cell>
          <cell r="AA211" t="str">
            <v>! ! ! !</v>
          </cell>
          <cell r="AB211">
            <v>650</v>
          </cell>
          <cell r="AG211">
            <v>45</v>
          </cell>
          <cell r="AJ211" t="str">
            <v>V-A</v>
          </cell>
          <cell r="AK211" t="str">
            <v>Ja</v>
          </cell>
          <cell r="AL211">
            <v>2700</v>
          </cell>
          <cell r="AM211">
            <v>2000</v>
          </cell>
          <cell r="AN211" t="e">
            <v>#VALUE!</v>
          </cell>
          <cell r="AO211" t="e">
            <v>#VALUE!</v>
          </cell>
          <cell r="AP211">
            <v>700</v>
          </cell>
        </row>
        <row r="212">
          <cell r="A212">
            <v>63587700</v>
          </cell>
          <cell r="C212">
            <v>5877</v>
          </cell>
          <cell r="D212" t="str">
            <v>DLC NA-ARM KIP JAGERSAUS GROENTEMIX WATERKERSPUREE</v>
          </cell>
          <cell r="E212" t="str">
            <v>DLC, NA-ARM</v>
          </cell>
          <cell r="F212" t="str">
            <v>290MM</v>
          </cell>
          <cell r="G212" t="str">
            <v>C2227-2K</v>
          </cell>
          <cell r="H212">
            <v>456</v>
          </cell>
          <cell r="I212">
            <v>0.5</v>
          </cell>
          <cell r="J212" t="str">
            <v>NVT</v>
          </cell>
          <cell r="K212" t="str">
            <v>DLC ROND + 65X155</v>
          </cell>
          <cell r="L212">
            <v>6</v>
          </cell>
          <cell r="M212" t="str">
            <v>DLC X 6</v>
          </cell>
          <cell r="N212">
            <v>110</v>
          </cell>
          <cell r="O212" t="str">
            <v>5410953358779</v>
          </cell>
          <cell r="P212" t="str">
            <v>I-T-H</v>
          </cell>
          <cell r="Q212">
            <v>3</v>
          </cell>
          <cell r="R212">
            <v>3</v>
          </cell>
          <cell r="S212" t="str">
            <v>Folie perforeren</v>
          </cell>
          <cell r="T212">
            <v>2000</v>
          </cell>
          <cell r="U212">
            <v>4</v>
          </cell>
          <cell r="V212">
            <v>2000</v>
          </cell>
          <cell r="W212">
            <v>4</v>
          </cell>
          <cell r="X212">
            <v>0</v>
          </cell>
          <cell r="Y212">
            <v>0</v>
          </cell>
          <cell r="Z212">
            <v>0</v>
          </cell>
          <cell r="AA212" t="str">
            <v>! ! !</v>
          </cell>
          <cell r="AB212">
            <v>1300</v>
          </cell>
          <cell r="AC212">
            <v>0</v>
          </cell>
          <cell r="AG212">
            <v>45</v>
          </cell>
          <cell r="AJ212" t="str">
            <v>V-A</v>
          </cell>
          <cell r="AK212" t="str">
            <v>Ja</v>
          </cell>
          <cell r="AL212">
            <v>2700</v>
          </cell>
          <cell r="AM212">
            <v>2000</v>
          </cell>
          <cell r="AN212" t="e">
            <v>#VALUE!</v>
          </cell>
          <cell r="AO212" t="e">
            <v>#VALUE!</v>
          </cell>
          <cell r="AP212">
            <v>700</v>
          </cell>
        </row>
        <row r="213">
          <cell r="A213">
            <v>63587800</v>
          </cell>
          <cell r="C213">
            <v>5878</v>
          </cell>
          <cell r="D213" t="str">
            <v>DLC NA-ARM LINGUINE PUTTANESCA KABELJAUW</v>
          </cell>
          <cell r="E213" t="str">
            <v>DLC, NA-ARM</v>
          </cell>
          <cell r="F213" t="str">
            <v>290MM</v>
          </cell>
          <cell r="G213" t="str">
            <v>C2227-1H</v>
          </cell>
          <cell r="H213">
            <v>456</v>
          </cell>
          <cell r="I213">
            <v>0.5</v>
          </cell>
          <cell r="J213" t="str">
            <v>NVT</v>
          </cell>
          <cell r="K213" t="str">
            <v>DLC ROND + 65X155</v>
          </cell>
          <cell r="L213">
            <v>6</v>
          </cell>
          <cell r="M213" t="str">
            <v>DLC X 6</v>
          </cell>
          <cell r="N213">
            <v>110</v>
          </cell>
          <cell r="O213">
            <v>5410953358786</v>
          </cell>
          <cell r="P213" t="str">
            <v>M-2T</v>
          </cell>
          <cell r="Q213">
            <v>3</v>
          </cell>
          <cell r="R213">
            <v>3</v>
          </cell>
          <cell r="S213" t="str">
            <v>Folie perforeren</v>
          </cell>
          <cell r="T213">
            <v>2000</v>
          </cell>
          <cell r="U213">
            <v>6</v>
          </cell>
          <cell r="V213">
            <v>2000</v>
          </cell>
          <cell r="W213">
            <v>6</v>
          </cell>
          <cell r="X213">
            <v>0</v>
          </cell>
          <cell r="Y213">
            <v>0</v>
          </cell>
          <cell r="Z213">
            <v>0</v>
          </cell>
          <cell r="AA213" t="str">
            <v>! ! ! !</v>
          </cell>
          <cell r="AB213">
            <v>650</v>
          </cell>
          <cell r="AC213">
            <v>0</v>
          </cell>
          <cell r="AG213">
            <v>45</v>
          </cell>
          <cell r="AJ213" t="str">
            <v>V-A</v>
          </cell>
          <cell r="AK213" t="str">
            <v>Ja</v>
          </cell>
          <cell r="AL213">
            <v>2700</v>
          </cell>
          <cell r="AM213">
            <v>2000</v>
          </cell>
          <cell r="AN213" t="e">
            <v>#VALUE!</v>
          </cell>
          <cell r="AO213" t="e">
            <v>#VALUE!</v>
          </cell>
          <cell r="AP213">
            <v>700</v>
          </cell>
        </row>
        <row r="214">
          <cell r="A214">
            <v>63588200</v>
          </cell>
          <cell r="C214">
            <v>5882</v>
          </cell>
          <cell r="D214" t="str">
            <v>DLC NA-ARM KALKOEN BOSCHAMP SAUS APPELMOES AARDAPPEL WEDGES</v>
          </cell>
          <cell r="E214" t="str">
            <v>DLC, NA-ARM</v>
          </cell>
          <cell r="F214" t="str">
            <v>290MM</v>
          </cell>
          <cell r="G214" t="str">
            <v>C2227-3R</v>
          </cell>
          <cell r="H214">
            <v>456</v>
          </cell>
          <cell r="I214">
            <v>0.5</v>
          </cell>
          <cell r="J214" t="str">
            <v>NVT</v>
          </cell>
          <cell r="K214" t="str">
            <v>DLC ROND + 65X155</v>
          </cell>
          <cell r="L214">
            <v>6</v>
          </cell>
          <cell r="M214" t="str">
            <v>DLC X 6</v>
          </cell>
          <cell r="N214">
            <v>110</v>
          </cell>
          <cell r="O214" t="str">
            <v>5410953358823</v>
          </cell>
          <cell r="P214" t="str">
            <v>2T</v>
          </cell>
          <cell r="Q214">
            <v>2</v>
          </cell>
          <cell r="R214">
            <v>3</v>
          </cell>
          <cell r="S214" t="str">
            <v>Folie perforeren - D-1 kalkoen filet</v>
          </cell>
          <cell r="T214">
            <v>2000</v>
          </cell>
          <cell r="U214">
            <v>8</v>
          </cell>
          <cell r="V214">
            <v>2000</v>
          </cell>
          <cell r="W214">
            <v>8</v>
          </cell>
          <cell r="Z214">
            <v>0</v>
          </cell>
          <cell r="AA214" t="str">
            <v>! ! !</v>
          </cell>
          <cell r="AB214">
            <v>650</v>
          </cell>
          <cell r="AG214">
            <v>45</v>
          </cell>
          <cell r="AJ214" t="str">
            <v>V-A</v>
          </cell>
          <cell r="AK214" t="str">
            <v>Ja</v>
          </cell>
          <cell r="AL214">
            <v>2700</v>
          </cell>
          <cell r="AM214">
            <v>2000</v>
          </cell>
          <cell r="AN214" t="e">
            <v>#VALUE!</v>
          </cell>
          <cell r="AO214" t="e">
            <v>#VALUE!</v>
          </cell>
          <cell r="AP214">
            <v>700</v>
          </cell>
        </row>
        <row r="215">
          <cell r="A215">
            <v>63588800</v>
          </cell>
          <cell r="C215">
            <v>5888</v>
          </cell>
          <cell r="D215" t="str">
            <v>DLC NA-ARM VOL AU VENT AARDAPPELPOTJE GROENTEN</v>
          </cell>
          <cell r="E215" t="str">
            <v>DLC, NA-ARM</v>
          </cell>
          <cell r="F215" t="str">
            <v>290MM</v>
          </cell>
          <cell r="G215" t="str">
            <v>C2227-2K</v>
          </cell>
          <cell r="H215">
            <v>456</v>
          </cell>
          <cell r="I215">
            <v>0.5</v>
          </cell>
          <cell r="J215" t="str">
            <v>NVT</v>
          </cell>
          <cell r="K215" t="str">
            <v>DLC ROND + 65X155</v>
          </cell>
          <cell r="L215">
            <v>6</v>
          </cell>
          <cell r="M215" t="str">
            <v>DLC X 6</v>
          </cell>
          <cell r="N215">
            <v>110</v>
          </cell>
          <cell r="O215" t="str">
            <v>5410953358885</v>
          </cell>
          <cell r="P215" t="str">
            <v>T</v>
          </cell>
          <cell r="Q215">
            <v>2</v>
          </cell>
          <cell r="R215">
            <v>3</v>
          </cell>
          <cell r="S215" t="str">
            <v>Folie perforeren</v>
          </cell>
          <cell r="T215">
            <v>2000</v>
          </cell>
          <cell r="U215">
            <v>3</v>
          </cell>
          <cell r="V215">
            <v>2000</v>
          </cell>
          <cell r="W215">
            <v>3</v>
          </cell>
          <cell r="Z215">
            <v>0</v>
          </cell>
          <cell r="AA215" t="str">
            <v>! ! !</v>
          </cell>
          <cell r="AB215">
            <v>650</v>
          </cell>
          <cell r="AG215">
            <v>45</v>
          </cell>
          <cell r="AJ215" t="str">
            <v>-</v>
          </cell>
          <cell r="AK215" t="str">
            <v>Ja</v>
          </cell>
          <cell r="AL215">
            <v>2700</v>
          </cell>
          <cell r="AM215">
            <v>2000</v>
          </cell>
          <cell r="AN215" t="e">
            <v>#VALUE!</v>
          </cell>
          <cell r="AO215" t="e">
            <v>#VALUE!</v>
          </cell>
          <cell r="AP215">
            <v>700</v>
          </cell>
        </row>
        <row r="216">
          <cell r="A216">
            <v>63589200</v>
          </cell>
          <cell r="C216">
            <v>5892</v>
          </cell>
          <cell r="D216" t="str">
            <v>DLC NA-ARM SPAGHETTI BOLOGNAISE</v>
          </cell>
          <cell r="E216" t="str">
            <v>DLC, NA-ARM</v>
          </cell>
          <cell r="F216" t="str">
            <v>290MM</v>
          </cell>
          <cell r="G216" t="str">
            <v>C2227-1H</v>
          </cell>
          <cell r="H216">
            <v>456</v>
          </cell>
          <cell r="I216">
            <v>0.5</v>
          </cell>
          <cell r="J216" t="str">
            <v>NVT</v>
          </cell>
          <cell r="K216" t="str">
            <v>DLC ROND + 65X155</v>
          </cell>
          <cell r="L216">
            <v>6</v>
          </cell>
          <cell r="M216" t="str">
            <v>DLC X 6</v>
          </cell>
          <cell r="N216">
            <v>110</v>
          </cell>
          <cell r="O216">
            <v>5410953358922</v>
          </cell>
          <cell r="P216" t="str">
            <v>L-2T</v>
          </cell>
          <cell r="Q216">
            <v>2.5</v>
          </cell>
          <cell r="R216">
            <v>3</v>
          </cell>
          <cell r="S216" t="str">
            <v>Folie perforeren</v>
          </cell>
          <cell r="T216">
            <v>2000</v>
          </cell>
          <cell r="U216">
            <v>3</v>
          </cell>
          <cell r="V216">
            <v>2000</v>
          </cell>
          <cell r="W216">
            <v>3</v>
          </cell>
          <cell r="Z216">
            <v>0</v>
          </cell>
          <cell r="AA216" t="str">
            <v>! ! !</v>
          </cell>
          <cell r="AB216">
            <v>1300</v>
          </cell>
          <cell r="AG216">
            <v>45</v>
          </cell>
          <cell r="AJ216" t="str">
            <v>-</v>
          </cell>
          <cell r="AK216" t="str">
            <v>Ja</v>
          </cell>
          <cell r="AL216">
            <v>2700</v>
          </cell>
          <cell r="AM216">
            <v>2000</v>
          </cell>
          <cell r="AN216" t="e">
            <v>#VALUE!</v>
          </cell>
          <cell r="AO216" t="e">
            <v>#VALUE!</v>
          </cell>
          <cell r="AP216">
            <v>700</v>
          </cell>
        </row>
        <row r="217">
          <cell r="A217">
            <v>63589300</v>
          </cell>
          <cell r="C217">
            <v>5893</v>
          </cell>
          <cell r="D217" t="str">
            <v>DLC NA-ARM HAMBURGER WITLOOFSAUS GROENE KOOL AARDAPPEL</v>
          </cell>
          <cell r="E217" t="str">
            <v>DLC, NA-ARM</v>
          </cell>
          <cell r="F217" t="str">
            <v>290MM</v>
          </cell>
          <cell r="G217" t="str">
            <v>C2227-3R</v>
          </cell>
          <cell r="H217">
            <v>456</v>
          </cell>
          <cell r="I217">
            <v>0.5</v>
          </cell>
          <cell r="J217" t="str">
            <v>NVT</v>
          </cell>
          <cell r="K217" t="str">
            <v>DLC ROND + 65X155</v>
          </cell>
          <cell r="L217">
            <v>6</v>
          </cell>
          <cell r="M217" t="str">
            <v>DLC X 6</v>
          </cell>
          <cell r="N217">
            <v>110</v>
          </cell>
          <cell r="O217">
            <v>5410953358939</v>
          </cell>
          <cell r="P217" t="str">
            <v>2T</v>
          </cell>
          <cell r="Q217">
            <v>2</v>
          </cell>
          <cell r="R217">
            <v>3</v>
          </cell>
          <cell r="S217" t="str">
            <v>Folie perforeren, AARDAPPELEN steamen D-0</v>
          </cell>
          <cell r="T217">
            <v>2000</v>
          </cell>
          <cell r="U217">
            <v>4</v>
          </cell>
          <cell r="V217">
            <v>2000</v>
          </cell>
          <cell r="W217">
            <v>4</v>
          </cell>
          <cell r="X217">
            <v>0</v>
          </cell>
          <cell r="Y217">
            <v>0</v>
          </cell>
          <cell r="Z217">
            <v>0</v>
          </cell>
          <cell r="AA217" t="str">
            <v>! !</v>
          </cell>
          <cell r="AB217">
            <v>1300</v>
          </cell>
          <cell r="AC217">
            <v>0.23194000000000001</v>
          </cell>
          <cell r="AG217">
            <v>45</v>
          </cell>
          <cell r="AK217" t="str">
            <v>Ja</v>
          </cell>
          <cell r="AL217">
            <v>2700</v>
          </cell>
          <cell r="AM217">
            <v>2000</v>
          </cell>
          <cell r="AN217" t="e">
            <v>#VALUE!</v>
          </cell>
          <cell r="AO217" t="e">
            <v>#VALUE!</v>
          </cell>
          <cell r="AP217">
            <v>700</v>
          </cell>
        </row>
        <row r="218">
          <cell r="A218">
            <v>63589400</v>
          </cell>
          <cell r="C218">
            <v>5894</v>
          </cell>
          <cell r="D218" t="str">
            <v>DLC NA-ARM BLINDE VINK PROVENCAALSE SAUS GEBAK AARD KUBUS</v>
          </cell>
          <cell r="E218" t="str">
            <v>DLC, NA-ARM</v>
          </cell>
          <cell r="F218" t="str">
            <v>290MM</v>
          </cell>
          <cell r="G218" t="str">
            <v>C2227-2K</v>
          </cell>
          <cell r="H218">
            <v>456</v>
          </cell>
          <cell r="I218">
            <v>0.5</v>
          </cell>
          <cell r="J218" t="str">
            <v>NVT</v>
          </cell>
          <cell r="K218" t="str">
            <v>DLC ROND + 65X155</v>
          </cell>
          <cell r="L218">
            <v>6</v>
          </cell>
          <cell r="M218" t="str">
            <v>DLC X 6</v>
          </cell>
          <cell r="N218">
            <v>110</v>
          </cell>
          <cell r="O218" t="str">
            <v>5410953358946</v>
          </cell>
          <cell r="P218" t="str">
            <v>I-2T</v>
          </cell>
          <cell r="R218">
            <v>3</v>
          </cell>
          <cell r="S218" t="str">
            <v>Folie perforeren</v>
          </cell>
          <cell r="T218">
            <v>2000</v>
          </cell>
          <cell r="U218">
            <v>4</v>
          </cell>
          <cell r="V218">
            <v>2000</v>
          </cell>
          <cell r="W218">
            <v>4</v>
          </cell>
          <cell r="X218">
            <v>0</v>
          </cell>
          <cell r="Y218">
            <v>0</v>
          </cell>
          <cell r="Z218">
            <v>0</v>
          </cell>
          <cell r="AA218" t="str">
            <v>! ! !</v>
          </cell>
          <cell r="AB218">
            <v>1300</v>
          </cell>
          <cell r="AE218" t="str">
            <v>x</v>
          </cell>
          <cell r="AG218">
            <v>45</v>
          </cell>
          <cell r="AJ218" t="str">
            <v>V-A</v>
          </cell>
          <cell r="AK218" t="str">
            <v>Ja</v>
          </cell>
          <cell r="AL218">
            <v>2700</v>
          </cell>
          <cell r="AM218">
            <v>2000</v>
          </cell>
          <cell r="AN218" t="e">
            <v>#VALUE!</v>
          </cell>
          <cell r="AO218" t="e">
            <v>#VALUE!</v>
          </cell>
          <cell r="AP218">
            <v>700</v>
          </cell>
        </row>
        <row r="219">
          <cell r="A219">
            <v>63589500</v>
          </cell>
          <cell r="C219">
            <v>5895</v>
          </cell>
          <cell r="D219" t="str">
            <v>DLC NA-ARM GEHAKTBAL GESTOOFDE PREI AARDAPPEL</v>
          </cell>
          <cell r="E219" t="str">
            <v>DLC, NA-ARM</v>
          </cell>
          <cell r="F219" t="str">
            <v>290MM</v>
          </cell>
          <cell r="G219" t="str">
            <v>C2227-3R</v>
          </cell>
          <cell r="H219">
            <v>456</v>
          </cell>
          <cell r="I219">
            <v>0.5</v>
          </cell>
          <cell r="J219" t="str">
            <v>NVT</v>
          </cell>
          <cell r="K219" t="str">
            <v>DLC ROND + 65X155</v>
          </cell>
          <cell r="L219">
            <v>6</v>
          </cell>
          <cell r="M219" t="str">
            <v>DLC X 6</v>
          </cell>
          <cell r="N219">
            <v>110</v>
          </cell>
          <cell r="O219" t="str">
            <v>5410953358953</v>
          </cell>
          <cell r="P219" t="str">
            <v>2T</v>
          </cell>
          <cell r="Q219">
            <v>2.5</v>
          </cell>
          <cell r="R219">
            <v>3</v>
          </cell>
          <cell r="S219" t="str">
            <v>Folie perforeren, Balletjes D-1, AARDAPPELEN steamen D-0</v>
          </cell>
          <cell r="T219">
            <v>2000</v>
          </cell>
          <cell r="U219">
            <v>5</v>
          </cell>
          <cell r="V219">
            <v>2000</v>
          </cell>
          <cell r="W219">
            <v>5</v>
          </cell>
          <cell r="X219">
            <v>0</v>
          </cell>
          <cell r="Y219">
            <v>0</v>
          </cell>
          <cell r="Z219">
            <v>0</v>
          </cell>
          <cell r="AA219" t="str">
            <v>! ! !</v>
          </cell>
          <cell r="AB219">
            <v>1300</v>
          </cell>
          <cell r="AC219">
            <v>0</v>
          </cell>
          <cell r="AE219" t="str">
            <v>x</v>
          </cell>
          <cell r="AG219">
            <v>45</v>
          </cell>
          <cell r="AJ219" t="str">
            <v>V-A</v>
          </cell>
          <cell r="AK219" t="str">
            <v>Ja</v>
          </cell>
          <cell r="AL219">
            <v>2700</v>
          </cell>
          <cell r="AM219">
            <v>2000</v>
          </cell>
          <cell r="AN219" t="e">
            <v>#VALUE!</v>
          </cell>
          <cell r="AO219" t="e">
            <v>#VALUE!</v>
          </cell>
          <cell r="AP219">
            <v>700</v>
          </cell>
        </row>
        <row r="220">
          <cell r="A220">
            <v>63596300</v>
          </cell>
          <cell r="C220">
            <v>5963</v>
          </cell>
          <cell r="D220" t="str">
            <v>DMC BLOEMKOOLSOEP 300G</v>
          </cell>
          <cell r="E220" t="str">
            <v>DMC, MONOSOEP</v>
          </cell>
          <cell r="F220" t="str">
            <v>355MM</v>
          </cell>
          <cell r="G220" t="str">
            <v>C2187-1F</v>
          </cell>
          <cell r="H220">
            <v>548</v>
          </cell>
          <cell r="I220">
            <v>0.3</v>
          </cell>
          <cell r="J220" t="str">
            <v>NVT</v>
          </cell>
          <cell r="K220" t="str">
            <v>100x100 bl</v>
          </cell>
          <cell r="L220">
            <v>24</v>
          </cell>
          <cell r="M220" t="str">
            <v>H11X24</v>
          </cell>
          <cell r="N220">
            <v>48</v>
          </cell>
          <cell r="O220">
            <v>5410953359639</v>
          </cell>
          <cell r="P220" t="str">
            <v>2T-I</v>
          </cell>
          <cell r="Q220">
            <v>1.5</v>
          </cell>
          <cell r="R220">
            <v>3</v>
          </cell>
          <cell r="S220" t="str">
            <v>idem 64000300</v>
          </cell>
          <cell r="T220">
            <v>1750</v>
          </cell>
          <cell r="U220">
            <v>2</v>
          </cell>
          <cell r="V220">
            <v>1750</v>
          </cell>
          <cell r="W220">
            <v>2</v>
          </cell>
          <cell r="X220">
            <v>0</v>
          </cell>
          <cell r="Y220">
            <v>0</v>
          </cell>
          <cell r="Z220">
            <v>0</v>
          </cell>
          <cell r="AA220" t="str">
            <v>! ! !</v>
          </cell>
          <cell r="AB220">
            <v>1000</v>
          </cell>
          <cell r="AC220">
            <v>0</v>
          </cell>
          <cell r="AE220" t="str">
            <v>x</v>
          </cell>
          <cell r="AG220">
            <v>36</v>
          </cell>
          <cell r="AJ220" t="str">
            <v>-</v>
          </cell>
          <cell r="AL220">
            <v>2160</v>
          </cell>
          <cell r="AM220">
            <v>1750</v>
          </cell>
          <cell r="AN220" t="e">
            <v>#VALUE!</v>
          </cell>
          <cell r="AO220" t="e">
            <v>#VALUE!</v>
          </cell>
          <cell r="AP220">
            <v>410</v>
          </cell>
        </row>
        <row r="221">
          <cell r="A221">
            <v>63596400</v>
          </cell>
          <cell r="C221">
            <v>5964</v>
          </cell>
          <cell r="D221" t="str">
            <v>DMC KERVELSOEP 300G</v>
          </cell>
          <cell r="E221" t="str">
            <v>DMC, MONOSOEP</v>
          </cell>
          <cell r="F221" t="str">
            <v>355MM</v>
          </cell>
          <cell r="G221" t="str">
            <v>C2187-1F</v>
          </cell>
          <cell r="H221">
            <v>548</v>
          </cell>
          <cell r="I221">
            <v>0.3</v>
          </cell>
          <cell r="J221" t="str">
            <v>NVT</v>
          </cell>
          <cell r="K221" t="str">
            <v>100x100 bl</v>
          </cell>
          <cell r="L221">
            <v>24</v>
          </cell>
          <cell r="M221" t="str">
            <v>H11X24</v>
          </cell>
          <cell r="N221">
            <v>48</v>
          </cell>
          <cell r="O221">
            <v>5410953359646</v>
          </cell>
          <cell r="P221" t="str">
            <v>2T</v>
          </cell>
          <cell r="Q221">
            <v>1.5</v>
          </cell>
          <cell r="R221">
            <v>3</v>
          </cell>
          <cell r="S221" t="str">
            <v>idem 64000400</v>
          </cell>
          <cell r="T221">
            <v>1750</v>
          </cell>
          <cell r="U221">
            <v>2</v>
          </cell>
          <cell r="V221">
            <v>1750</v>
          </cell>
          <cell r="W221">
            <v>2</v>
          </cell>
          <cell r="X221">
            <v>0</v>
          </cell>
          <cell r="Y221">
            <v>0</v>
          </cell>
          <cell r="Z221">
            <v>0</v>
          </cell>
          <cell r="AA221" t="str">
            <v>! ! !</v>
          </cell>
          <cell r="AB221">
            <v>1000</v>
          </cell>
          <cell r="AC221">
            <v>0</v>
          </cell>
          <cell r="AE221" t="str">
            <v>x</v>
          </cell>
          <cell r="AG221">
            <v>36</v>
          </cell>
          <cell r="AJ221" t="str">
            <v>-</v>
          </cell>
          <cell r="AL221">
            <v>2160</v>
          </cell>
          <cell r="AM221">
            <v>1750</v>
          </cell>
          <cell r="AN221" t="e">
            <v>#VALUE!</v>
          </cell>
          <cell r="AO221" t="e">
            <v>#VALUE!</v>
          </cell>
          <cell r="AP221">
            <v>410</v>
          </cell>
        </row>
        <row r="222">
          <cell r="A222">
            <v>63596500</v>
          </cell>
          <cell r="C222">
            <v>5965</v>
          </cell>
          <cell r="D222" t="str">
            <v>DMC TOMATENVELOUTE MET BALLETJES 300G</v>
          </cell>
          <cell r="E222" t="str">
            <v>DMC, MONOSOEP</v>
          </cell>
          <cell r="F222" t="str">
            <v>355MM</v>
          </cell>
          <cell r="G222" t="str">
            <v>C2187-1F</v>
          </cell>
          <cell r="H222">
            <v>548</v>
          </cell>
          <cell r="I222">
            <v>0.3</v>
          </cell>
          <cell r="J222" t="str">
            <v>NVT</v>
          </cell>
          <cell r="K222" t="str">
            <v>100x100 bl</v>
          </cell>
          <cell r="L222">
            <v>24</v>
          </cell>
          <cell r="M222" t="str">
            <v>H11X24</v>
          </cell>
          <cell r="N222">
            <v>48</v>
          </cell>
          <cell r="O222">
            <v>5410953359653</v>
          </cell>
          <cell r="P222" t="str">
            <v>I-2T</v>
          </cell>
          <cell r="Q222">
            <v>1.5</v>
          </cell>
          <cell r="R222">
            <v>3</v>
          </cell>
          <cell r="S222" t="str">
            <v>idem 64000500</v>
          </cell>
          <cell r="T222">
            <v>2000</v>
          </cell>
          <cell r="U222">
            <v>2</v>
          </cell>
          <cell r="V222">
            <v>2000</v>
          </cell>
          <cell r="W222">
            <v>2</v>
          </cell>
          <cell r="X222">
            <v>0</v>
          </cell>
          <cell r="Y222">
            <v>0</v>
          </cell>
          <cell r="Z222">
            <v>0</v>
          </cell>
          <cell r="AA222" t="str">
            <v>! ! !</v>
          </cell>
          <cell r="AB222">
            <v>1000</v>
          </cell>
          <cell r="AC222">
            <v>0</v>
          </cell>
          <cell r="AE222" t="str">
            <v>x</v>
          </cell>
          <cell r="AG222">
            <v>36</v>
          </cell>
          <cell r="AJ222" t="str">
            <v>-</v>
          </cell>
          <cell r="AL222">
            <v>2160</v>
          </cell>
          <cell r="AM222">
            <v>2000</v>
          </cell>
          <cell r="AN222" t="e">
            <v>#VALUE!</v>
          </cell>
          <cell r="AO222" t="e">
            <v>#VALUE!</v>
          </cell>
          <cell r="AP222">
            <v>160</v>
          </cell>
        </row>
        <row r="223">
          <cell r="A223">
            <v>63596600</v>
          </cell>
          <cell r="C223">
            <v>5966</v>
          </cell>
          <cell r="D223" t="str">
            <v>DMC CHAMPIGNONROOMSOEP 300G</v>
          </cell>
          <cell r="E223" t="str">
            <v>DMC, MONOSOEP</v>
          </cell>
          <cell r="F223" t="str">
            <v>355MM</v>
          </cell>
          <cell r="G223" t="str">
            <v>C2187-1F</v>
          </cell>
          <cell r="H223">
            <v>548</v>
          </cell>
          <cell r="I223">
            <v>0.3</v>
          </cell>
          <cell r="J223" t="str">
            <v>NVT</v>
          </cell>
          <cell r="K223" t="str">
            <v>100x100 bl</v>
          </cell>
          <cell r="L223">
            <v>24</v>
          </cell>
          <cell r="M223" t="str">
            <v>H11X24</v>
          </cell>
          <cell r="N223">
            <v>48</v>
          </cell>
          <cell r="O223">
            <v>5410953359660</v>
          </cell>
          <cell r="P223" t="str">
            <v>2T</v>
          </cell>
          <cell r="Q223">
            <v>1.5</v>
          </cell>
          <cell r="R223">
            <v>3</v>
          </cell>
          <cell r="S223" t="str">
            <v>idem 64000600</v>
          </cell>
          <cell r="T223">
            <v>1750</v>
          </cell>
          <cell r="U223">
            <v>1</v>
          </cell>
          <cell r="V223">
            <v>1750</v>
          </cell>
          <cell r="W223">
            <v>1</v>
          </cell>
          <cell r="X223">
            <v>0</v>
          </cell>
          <cell r="Y223">
            <v>0</v>
          </cell>
          <cell r="Z223">
            <v>0</v>
          </cell>
          <cell r="AA223" t="str">
            <v>! ! !</v>
          </cell>
          <cell r="AB223">
            <v>1000</v>
          </cell>
          <cell r="AC223">
            <v>0</v>
          </cell>
          <cell r="AE223" t="str">
            <v>x</v>
          </cell>
          <cell r="AG223">
            <v>36</v>
          </cell>
          <cell r="AJ223" t="str">
            <v>-</v>
          </cell>
          <cell r="AL223">
            <v>2160</v>
          </cell>
          <cell r="AM223">
            <v>1750</v>
          </cell>
          <cell r="AN223" t="e">
            <v>#VALUE!</v>
          </cell>
          <cell r="AO223" t="e">
            <v>#VALUE!</v>
          </cell>
          <cell r="AP223">
            <v>410</v>
          </cell>
        </row>
        <row r="224">
          <cell r="A224">
            <v>63596700</v>
          </cell>
          <cell r="C224">
            <v>5967</v>
          </cell>
          <cell r="D224" t="str">
            <v>DMC GROENTESOEP MET BALLETJES 300G</v>
          </cell>
          <cell r="E224" t="str">
            <v>DMC, MONOSOEP</v>
          </cell>
          <cell r="F224" t="str">
            <v>355MM</v>
          </cell>
          <cell r="G224" t="str">
            <v>C2187-1F</v>
          </cell>
          <cell r="H224">
            <v>548</v>
          </cell>
          <cell r="I224">
            <v>0.3</v>
          </cell>
          <cell r="J224" t="str">
            <v>NVT</v>
          </cell>
          <cell r="K224" t="str">
            <v>100x100 bl</v>
          </cell>
          <cell r="L224">
            <v>24</v>
          </cell>
          <cell r="M224" t="str">
            <v>H11X24</v>
          </cell>
          <cell r="N224">
            <v>48</v>
          </cell>
          <cell r="O224">
            <v>5410953359677</v>
          </cell>
          <cell r="P224" t="str">
            <v>I-2T</v>
          </cell>
          <cell r="Q224">
            <v>1.5</v>
          </cell>
          <cell r="R224">
            <v>3</v>
          </cell>
          <cell r="S224" t="str">
            <v>idem 64000700</v>
          </cell>
          <cell r="T224">
            <v>2000</v>
          </cell>
          <cell r="U224">
            <v>3</v>
          </cell>
          <cell r="V224">
            <v>2000</v>
          </cell>
          <cell r="W224">
            <v>3</v>
          </cell>
          <cell r="X224">
            <v>0</v>
          </cell>
          <cell r="Y224">
            <v>0</v>
          </cell>
          <cell r="Z224">
            <v>0</v>
          </cell>
          <cell r="AA224" t="str">
            <v>! ! !</v>
          </cell>
          <cell r="AB224">
            <v>1000</v>
          </cell>
          <cell r="AC224">
            <v>0</v>
          </cell>
          <cell r="AE224" t="str">
            <v>x</v>
          </cell>
          <cell r="AG224">
            <v>42</v>
          </cell>
          <cell r="AJ224" t="str">
            <v>-</v>
          </cell>
          <cell r="AL224">
            <v>2520</v>
          </cell>
          <cell r="AM224">
            <v>2000</v>
          </cell>
          <cell r="AN224" t="e">
            <v>#VALUE!</v>
          </cell>
          <cell r="AO224" t="e">
            <v>#VALUE!</v>
          </cell>
          <cell r="AP224">
            <v>520</v>
          </cell>
        </row>
        <row r="225">
          <cell r="A225">
            <v>63596800</v>
          </cell>
          <cell r="C225">
            <v>5968</v>
          </cell>
          <cell r="D225" t="str">
            <v>DMC KIPPENSOEP MET KIPPENSTUKJES 300G</v>
          </cell>
          <cell r="E225" t="str">
            <v>DMC, MONOSOEP</v>
          </cell>
          <cell r="F225" t="str">
            <v>355MM</v>
          </cell>
          <cell r="G225" t="str">
            <v>C2187-1F</v>
          </cell>
          <cell r="H225">
            <v>548</v>
          </cell>
          <cell r="I225">
            <v>0.3</v>
          </cell>
          <cell r="J225" t="str">
            <v>NVT</v>
          </cell>
          <cell r="K225" t="str">
            <v>100x100 bl</v>
          </cell>
          <cell r="L225">
            <v>24</v>
          </cell>
          <cell r="M225" t="str">
            <v>H11X24</v>
          </cell>
          <cell r="N225">
            <v>48</v>
          </cell>
          <cell r="O225">
            <v>5410953359684</v>
          </cell>
          <cell r="P225" t="str">
            <v>2T</v>
          </cell>
          <cell r="Q225">
            <v>1.5</v>
          </cell>
          <cell r="R225">
            <v>3</v>
          </cell>
          <cell r="S225" t="str">
            <v>idem 64000800</v>
          </cell>
          <cell r="T225">
            <v>1750</v>
          </cell>
          <cell r="U225">
            <v>4</v>
          </cell>
          <cell r="V225">
            <v>1750</v>
          </cell>
          <cell r="W225">
            <v>4</v>
          </cell>
          <cell r="X225">
            <v>0</v>
          </cell>
          <cell r="Y225">
            <v>0</v>
          </cell>
          <cell r="Z225">
            <v>0</v>
          </cell>
          <cell r="AA225" t="str">
            <v>! ! !</v>
          </cell>
          <cell r="AB225">
            <v>1000</v>
          </cell>
          <cell r="AC225">
            <v>0</v>
          </cell>
          <cell r="AG225">
            <v>20</v>
          </cell>
          <cell r="AJ225" t="str">
            <v>-</v>
          </cell>
          <cell r="AL225">
            <v>1200</v>
          </cell>
          <cell r="AM225">
            <v>1750</v>
          </cell>
          <cell r="AN225" t="e">
            <v>#VALUE!</v>
          </cell>
          <cell r="AO225" t="e">
            <v>#VALUE!</v>
          </cell>
          <cell r="AP225">
            <v>-550</v>
          </cell>
        </row>
        <row r="226">
          <cell r="A226">
            <v>63597000</v>
          </cell>
          <cell r="C226">
            <v>5970</v>
          </cell>
          <cell r="D226" t="str">
            <v>DMC POMPOENSOEP 300G</v>
          </cell>
          <cell r="E226" t="str">
            <v>DMC, MONOSOEP</v>
          </cell>
          <cell r="F226" t="str">
            <v>355MM</v>
          </cell>
          <cell r="G226" t="str">
            <v>C2187-1F</v>
          </cell>
          <cell r="H226">
            <v>548</v>
          </cell>
          <cell r="I226">
            <v>0.3</v>
          </cell>
          <cell r="J226" t="str">
            <v>NVT</v>
          </cell>
          <cell r="K226" t="str">
            <v>100x100 bl</v>
          </cell>
          <cell r="L226">
            <v>24</v>
          </cell>
          <cell r="M226" t="str">
            <v>H11X24</v>
          </cell>
          <cell r="N226">
            <v>48</v>
          </cell>
          <cell r="O226">
            <v>5410953359707</v>
          </cell>
          <cell r="P226" t="str">
            <v>2T</v>
          </cell>
          <cell r="Q226">
            <v>1.5</v>
          </cell>
          <cell r="R226">
            <v>3</v>
          </cell>
          <cell r="S226" t="str">
            <v>idem 64001000</v>
          </cell>
          <cell r="T226">
            <v>1750</v>
          </cell>
          <cell r="U226">
            <v>2</v>
          </cell>
          <cell r="V226">
            <v>1750</v>
          </cell>
          <cell r="W226">
            <v>2</v>
          </cell>
          <cell r="X226">
            <v>0</v>
          </cell>
          <cell r="Y226">
            <v>0</v>
          </cell>
          <cell r="Z226">
            <v>0</v>
          </cell>
          <cell r="AA226" t="str">
            <v>! ! !</v>
          </cell>
          <cell r="AB226">
            <v>1000</v>
          </cell>
          <cell r="AC226">
            <v>0</v>
          </cell>
          <cell r="AG226">
            <v>36</v>
          </cell>
          <cell r="AJ226" t="str">
            <v>-</v>
          </cell>
          <cell r="AL226">
            <v>2160</v>
          </cell>
          <cell r="AM226">
            <v>1750</v>
          </cell>
          <cell r="AN226" t="e">
            <v>#VALUE!</v>
          </cell>
          <cell r="AO226" t="e">
            <v>#VALUE!</v>
          </cell>
          <cell r="AP226">
            <v>410</v>
          </cell>
        </row>
        <row r="227">
          <cell r="A227">
            <v>63597200</v>
          </cell>
          <cell r="C227">
            <v>5972</v>
          </cell>
          <cell r="D227" t="str">
            <v>DMC FRANSE UIENSOEP 300G</v>
          </cell>
          <cell r="E227" t="str">
            <v>DMC, MONOSOEP</v>
          </cell>
          <cell r="F227" t="str">
            <v>355MM</v>
          </cell>
          <cell r="G227" t="str">
            <v>C2187-1F</v>
          </cell>
          <cell r="H227">
            <v>548</v>
          </cell>
          <cell r="I227">
            <v>0.3</v>
          </cell>
          <cell r="J227" t="str">
            <v>NVT</v>
          </cell>
          <cell r="K227" t="str">
            <v>100x100 bl</v>
          </cell>
          <cell r="L227">
            <v>24</v>
          </cell>
          <cell r="M227" t="str">
            <v>H11X24</v>
          </cell>
          <cell r="N227">
            <v>48</v>
          </cell>
          <cell r="O227">
            <v>5410953359721</v>
          </cell>
          <cell r="P227" t="str">
            <v>2T</v>
          </cell>
          <cell r="Q227">
            <v>1.5</v>
          </cell>
          <cell r="R227">
            <v>3</v>
          </cell>
          <cell r="S227" t="str">
            <v>idem 63991200</v>
          </cell>
          <cell r="T227">
            <v>1750</v>
          </cell>
          <cell r="U227">
            <v>1</v>
          </cell>
          <cell r="V227">
            <v>1750</v>
          </cell>
          <cell r="W227">
            <v>1</v>
          </cell>
          <cell r="X227">
            <v>0</v>
          </cell>
          <cell r="Y227">
            <v>0</v>
          </cell>
          <cell r="Z227">
            <v>0</v>
          </cell>
          <cell r="AA227" t="str">
            <v>! ! !</v>
          </cell>
          <cell r="AB227">
            <v>1000</v>
          </cell>
          <cell r="AC227">
            <v>0</v>
          </cell>
          <cell r="AJ227" t="str">
            <v>-</v>
          </cell>
          <cell r="AL227">
            <v>0</v>
          </cell>
          <cell r="AM227">
            <v>1750</v>
          </cell>
          <cell r="AN227" t="e">
            <v>#VALUE!</v>
          </cell>
          <cell r="AO227" t="e">
            <v>#VALUE!</v>
          </cell>
          <cell r="AP227">
            <v>-1750</v>
          </cell>
        </row>
        <row r="228">
          <cell r="A228">
            <v>63804300</v>
          </cell>
          <cell r="B228">
            <v>40201500</v>
          </cell>
          <cell r="C228">
            <v>96008126</v>
          </cell>
          <cell r="D228" t="str">
            <v>IGLO BE WITLOOFGRATIN HAM VERSE PUREE 450G</v>
          </cell>
          <cell r="E228" t="str">
            <v>Iglo BE</v>
          </cell>
          <cell r="F228" t="str">
            <v>355MM</v>
          </cell>
          <cell r="G228" t="str">
            <v>UK-59</v>
          </cell>
          <cell r="H228">
            <v>730</v>
          </cell>
          <cell r="I228">
            <v>0.45</v>
          </cell>
          <cell r="J228" t="str">
            <v>H22</v>
          </cell>
          <cell r="K228" t="str">
            <v>NVT</v>
          </cell>
          <cell r="L228">
            <v>6</v>
          </cell>
          <cell r="M228" t="str">
            <v>Shrink H22 X 6</v>
          </cell>
          <cell r="N228">
            <v>176</v>
          </cell>
          <cell r="O228">
            <v>5410148016828</v>
          </cell>
          <cell r="P228" t="str">
            <v>H-T -2G-K</v>
          </cell>
          <cell r="Q228">
            <v>2</v>
          </cell>
          <cell r="R228">
            <v>2</v>
          </cell>
          <cell r="S228" t="str">
            <v>Hamsnijm. na 4uur productie ontsmetten, D-1 3p WITLOOF</v>
          </cell>
          <cell r="T228">
            <v>2500</v>
          </cell>
          <cell r="U228">
            <v>5</v>
          </cell>
          <cell r="V228">
            <v>2500</v>
          </cell>
          <cell r="W228">
            <v>5</v>
          </cell>
          <cell r="X228" t="str">
            <v>X</v>
          </cell>
          <cell r="Y228">
            <v>0</v>
          </cell>
          <cell r="Z228">
            <v>0</v>
          </cell>
          <cell r="AA228" t="str">
            <v>! !</v>
          </cell>
          <cell r="AB228">
            <v>19150</v>
          </cell>
          <cell r="AC228">
            <v>0.12027272727272727</v>
          </cell>
          <cell r="AG228">
            <v>50</v>
          </cell>
          <cell r="AJ228" t="str">
            <v>V-A</v>
          </cell>
          <cell r="AK228" t="str">
            <v>Ja</v>
          </cell>
          <cell r="AL228">
            <v>3000</v>
          </cell>
          <cell r="AM228">
            <v>2500</v>
          </cell>
          <cell r="AN228" t="e">
            <v>#VALUE!</v>
          </cell>
          <cell r="AO228" t="e">
            <v>#VALUE!</v>
          </cell>
          <cell r="AP228">
            <v>500</v>
          </cell>
        </row>
        <row r="229">
          <cell r="A229">
            <v>63808200</v>
          </cell>
          <cell r="B229">
            <v>40208800</v>
          </cell>
          <cell r="C229">
            <v>96008117</v>
          </cell>
          <cell r="D229" t="str">
            <v xml:space="preserve">IGLO BE MACARONI HAM KAAS 450G          </v>
          </cell>
          <cell r="E229" t="str">
            <v>Iglo BE</v>
          </cell>
          <cell r="F229" t="str">
            <v>355MM</v>
          </cell>
          <cell r="G229" t="str">
            <v>UK-59</v>
          </cell>
          <cell r="H229">
            <v>730</v>
          </cell>
          <cell r="I229">
            <v>0.45</v>
          </cell>
          <cell r="J229" t="str">
            <v>H22</v>
          </cell>
          <cell r="K229" t="str">
            <v>NVT</v>
          </cell>
          <cell r="L229">
            <v>6</v>
          </cell>
          <cell r="M229" t="str">
            <v>Shrink H22 X 6</v>
          </cell>
          <cell r="N229">
            <v>176</v>
          </cell>
          <cell r="O229">
            <v>5410148016729</v>
          </cell>
          <cell r="P229" t="str">
            <v>I-2T-K</v>
          </cell>
          <cell r="Q229">
            <v>2.5</v>
          </cell>
          <cell r="R229">
            <v>2</v>
          </cell>
          <cell r="T229">
            <v>3500</v>
          </cell>
          <cell r="U229">
            <v>4</v>
          </cell>
          <cell r="V229">
            <v>3500</v>
          </cell>
          <cell r="W229">
            <v>4</v>
          </cell>
          <cell r="X229" t="str">
            <v>X</v>
          </cell>
          <cell r="Y229">
            <v>0</v>
          </cell>
          <cell r="Z229">
            <v>0</v>
          </cell>
          <cell r="AA229" t="str">
            <v>! ! !</v>
          </cell>
          <cell r="AB229">
            <v>26810</v>
          </cell>
          <cell r="AC229">
            <v>0</v>
          </cell>
          <cell r="AG229">
            <v>68</v>
          </cell>
          <cell r="AJ229" t="str">
            <v>V-A</v>
          </cell>
          <cell r="AK229" t="str">
            <v>Ja</v>
          </cell>
          <cell r="AL229">
            <v>4080</v>
          </cell>
          <cell r="AM229">
            <v>3500</v>
          </cell>
          <cell r="AN229" t="e">
            <v>#VALUE!</v>
          </cell>
          <cell r="AO229" t="e">
            <v>#VALUE!</v>
          </cell>
          <cell r="AP229">
            <v>580</v>
          </cell>
        </row>
        <row r="230">
          <cell r="A230">
            <v>63808400</v>
          </cell>
          <cell r="B230">
            <v>40210200</v>
          </cell>
          <cell r="C230">
            <v>96008121</v>
          </cell>
          <cell r="D230" t="str">
            <v>IGLO BE PENNE 4 KAZEN 450G</v>
          </cell>
          <cell r="E230" t="str">
            <v>Iglo BE</v>
          </cell>
          <cell r="F230" t="str">
            <v>355MM</v>
          </cell>
          <cell r="G230" t="str">
            <v>UK-59</v>
          </cell>
          <cell r="H230">
            <v>730</v>
          </cell>
          <cell r="I230">
            <v>0.45</v>
          </cell>
          <cell r="J230" t="str">
            <v>H22</v>
          </cell>
          <cell r="K230" t="str">
            <v>NVT</v>
          </cell>
          <cell r="L230">
            <v>6</v>
          </cell>
          <cell r="M230" t="str">
            <v>Shrink H22 X 6</v>
          </cell>
          <cell r="N230">
            <v>176</v>
          </cell>
          <cell r="O230">
            <v>5410148016651</v>
          </cell>
          <cell r="P230" t="str">
            <v>L-2T-K</v>
          </cell>
          <cell r="Q230">
            <v>3</v>
          </cell>
          <cell r="R230">
            <v>2</v>
          </cell>
          <cell r="T230">
            <v>3500</v>
          </cell>
          <cell r="U230">
            <v>5</v>
          </cell>
          <cell r="V230">
            <v>3500</v>
          </cell>
          <cell r="W230">
            <v>5</v>
          </cell>
          <cell r="X230" t="str">
            <v>X</v>
          </cell>
          <cell r="Y230">
            <v>0</v>
          </cell>
          <cell r="Z230">
            <v>0</v>
          </cell>
          <cell r="AA230" t="str">
            <v>! ! !</v>
          </cell>
          <cell r="AB230">
            <v>26810</v>
          </cell>
          <cell r="AC230">
            <v>0</v>
          </cell>
          <cell r="AG230">
            <v>68</v>
          </cell>
          <cell r="AJ230" t="str">
            <v>-</v>
          </cell>
          <cell r="AK230" t="str">
            <v>Ja</v>
          </cell>
          <cell r="AL230">
            <v>4080</v>
          </cell>
          <cell r="AM230">
            <v>3500</v>
          </cell>
          <cell r="AN230" t="e">
            <v>#VALUE!</v>
          </cell>
          <cell r="AO230" t="e">
            <v>#VALUE!</v>
          </cell>
          <cell r="AP230">
            <v>580</v>
          </cell>
        </row>
        <row r="231">
          <cell r="A231">
            <v>63808500</v>
          </cell>
          <cell r="B231">
            <v>40210300</v>
          </cell>
          <cell r="C231">
            <v>96008120</v>
          </cell>
          <cell r="D231" t="str">
            <v>IGLO BE AARDAPPELGRATIN MET SPINAZIE 450G</v>
          </cell>
          <cell r="E231" t="str">
            <v>Iglo BE</v>
          </cell>
          <cell r="F231" t="str">
            <v>355MM</v>
          </cell>
          <cell r="G231" t="str">
            <v>UK-59</v>
          </cell>
          <cell r="H231">
            <v>730</v>
          </cell>
          <cell r="I231">
            <v>0.45</v>
          </cell>
          <cell r="J231" t="str">
            <v>H22</v>
          </cell>
          <cell r="K231" t="str">
            <v>NVT</v>
          </cell>
          <cell r="L231">
            <v>6</v>
          </cell>
          <cell r="M231" t="str">
            <v>Shrink H22 X 6</v>
          </cell>
          <cell r="N231">
            <v>176</v>
          </cell>
          <cell r="O231">
            <v>5410148486157</v>
          </cell>
          <cell r="P231" t="str">
            <v>2H-4T</v>
          </cell>
          <cell r="Q231">
            <v>3</v>
          </cell>
          <cell r="R231">
            <v>2</v>
          </cell>
          <cell r="S231" t="str">
            <v>om de 4u band van mondini reinigen</v>
          </cell>
          <cell r="T231">
            <v>3500</v>
          </cell>
          <cell r="U231">
            <v>2</v>
          </cell>
          <cell r="V231">
            <v>3500</v>
          </cell>
          <cell r="W231">
            <v>2</v>
          </cell>
          <cell r="X231" t="str">
            <v>X</v>
          </cell>
          <cell r="Y231">
            <v>0</v>
          </cell>
          <cell r="Z231">
            <v>0</v>
          </cell>
          <cell r="AA231" t="str">
            <v>! ! !</v>
          </cell>
          <cell r="AB231">
            <v>26810</v>
          </cell>
          <cell r="AC231">
            <v>0</v>
          </cell>
          <cell r="AG231">
            <v>68</v>
          </cell>
          <cell r="AJ231" t="str">
            <v>V-A</v>
          </cell>
          <cell r="AK231" t="str">
            <v>Ja</v>
          </cell>
          <cell r="AL231">
            <v>4080</v>
          </cell>
          <cell r="AM231">
            <v>3500</v>
          </cell>
          <cell r="AN231" t="e">
            <v>#VALUE!</v>
          </cell>
          <cell r="AO231" t="e">
            <v>#VALUE!</v>
          </cell>
          <cell r="AP231">
            <v>580</v>
          </cell>
        </row>
        <row r="232">
          <cell r="A232">
            <v>63808600</v>
          </cell>
          <cell r="B232">
            <v>40200300</v>
          </cell>
          <cell r="C232">
            <v>96008119</v>
          </cell>
          <cell r="D232" t="str">
            <v>IGLO BE BALLETJES TOMATENSAUS PUREE 450G</v>
          </cell>
          <cell r="E232" t="str">
            <v>Iglo BE</v>
          </cell>
          <cell r="F232" t="str">
            <v>355MM</v>
          </cell>
          <cell r="G232" t="str">
            <v>UK-59</v>
          </cell>
          <cell r="H232">
            <v>730</v>
          </cell>
          <cell r="I232">
            <v>0.45</v>
          </cell>
          <cell r="J232" t="str">
            <v>H22</v>
          </cell>
          <cell r="K232" t="str">
            <v>NVT</v>
          </cell>
          <cell r="L232">
            <v>6</v>
          </cell>
          <cell r="M232" t="str">
            <v>Shrink H22 X 6</v>
          </cell>
          <cell r="N232">
            <v>176</v>
          </cell>
          <cell r="O232">
            <v>5410148486058</v>
          </cell>
          <cell r="P232" t="str">
            <v>I-2H-2T</v>
          </cell>
          <cell r="Q232">
            <v>2</v>
          </cell>
          <cell r="R232">
            <v>2</v>
          </cell>
          <cell r="T232">
            <v>3500</v>
          </cell>
          <cell r="U232">
            <v>3</v>
          </cell>
          <cell r="V232">
            <v>3500</v>
          </cell>
          <cell r="W232">
            <v>3</v>
          </cell>
          <cell r="X232" t="str">
            <v>X</v>
          </cell>
          <cell r="Y232">
            <v>0</v>
          </cell>
          <cell r="Z232">
            <v>0</v>
          </cell>
          <cell r="AA232" t="str">
            <v>! ! !</v>
          </cell>
          <cell r="AB232">
            <v>26810</v>
          </cell>
          <cell r="AC232">
            <v>0</v>
          </cell>
          <cell r="AG232">
            <v>68</v>
          </cell>
          <cell r="AJ232" t="str">
            <v>V-A</v>
          </cell>
          <cell r="AK232" t="str">
            <v>Ja</v>
          </cell>
          <cell r="AL232">
            <v>4080</v>
          </cell>
          <cell r="AM232">
            <v>3500</v>
          </cell>
          <cell r="AN232" t="e">
            <v>#VALUE!</v>
          </cell>
          <cell r="AO232" t="e">
            <v>#VALUE!</v>
          </cell>
          <cell r="AP232">
            <v>580</v>
          </cell>
        </row>
        <row r="233">
          <cell r="A233">
            <v>63809000</v>
          </cell>
          <cell r="B233">
            <v>40215300</v>
          </cell>
          <cell r="C233">
            <v>96011780</v>
          </cell>
          <cell r="D233" t="str">
            <v xml:space="preserve">IGLO BE LASAGNE BOLOGNAISE 450G </v>
          </cell>
          <cell r="E233" t="str">
            <v>Iglo BE</v>
          </cell>
          <cell r="F233" t="str">
            <v>355MM</v>
          </cell>
          <cell r="G233" t="str">
            <v>UK-59</v>
          </cell>
          <cell r="H233">
            <v>548</v>
          </cell>
          <cell r="I233">
            <v>0.45</v>
          </cell>
          <cell r="J233" t="str">
            <v>H22</v>
          </cell>
          <cell r="K233" t="str">
            <v>NVT</v>
          </cell>
          <cell r="L233">
            <v>6</v>
          </cell>
          <cell r="M233" t="str">
            <v>Shrink H22 X 6</v>
          </cell>
          <cell r="N233">
            <v>176</v>
          </cell>
          <cell r="O233">
            <v>5410148016811</v>
          </cell>
          <cell r="P233" t="str">
            <v>4T-H-K</v>
          </cell>
          <cell r="Q233">
            <v>2</v>
          </cell>
          <cell r="R233">
            <v>2</v>
          </cell>
          <cell r="T233">
            <v>2500</v>
          </cell>
          <cell r="U233">
            <v>6</v>
          </cell>
          <cell r="V233">
            <v>2500</v>
          </cell>
          <cell r="W233">
            <v>6</v>
          </cell>
          <cell r="X233" t="str">
            <v>X</v>
          </cell>
          <cell r="Y233">
            <v>0</v>
          </cell>
          <cell r="Z233">
            <v>0</v>
          </cell>
          <cell r="AA233" t="str">
            <v>! ! !</v>
          </cell>
          <cell r="AB233">
            <v>19150</v>
          </cell>
          <cell r="AC233">
            <v>0</v>
          </cell>
          <cell r="AG233">
            <v>50</v>
          </cell>
          <cell r="AJ233" t="str">
            <v>V-A</v>
          </cell>
          <cell r="AK233" t="str">
            <v>Ja</v>
          </cell>
          <cell r="AL233">
            <v>3000</v>
          </cell>
          <cell r="AM233">
            <v>2500</v>
          </cell>
          <cell r="AN233" t="e">
            <v>#VALUE!</v>
          </cell>
          <cell r="AO233" t="e">
            <v>#VALUE!</v>
          </cell>
          <cell r="AP233">
            <v>500</v>
          </cell>
        </row>
        <row r="234">
          <cell r="A234">
            <v>63809200</v>
          </cell>
          <cell r="B234">
            <v>40221600</v>
          </cell>
          <cell r="C234">
            <v>96011668</v>
          </cell>
          <cell r="D234" t="str">
            <v xml:space="preserve">IGLO BE SPAGHETTI BOLOGNAISE 450G </v>
          </cell>
          <cell r="E234" t="str">
            <v>Iglo BE</v>
          </cell>
          <cell r="F234" t="str">
            <v>355MM</v>
          </cell>
          <cell r="G234" t="str">
            <v>UK-59</v>
          </cell>
          <cell r="H234">
            <v>730</v>
          </cell>
          <cell r="I234">
            <v>0.45</v>
          </cell>
          <cell r="J234" t="str">
            <v>H22</v>
          </cell>
          <cell r="K234" t="str">
            <v>NVT</v>
          </cell>
          <cell r="L234">
            <v>6</v>
          </cell>
          <cell r="M234" t="str">
            <v>Shrink H22 X 6</v>
          </cell>
          <cell r="N234">
            <v>176</v>
          </cell>
          <cell r="O234">
            <v>5410148016736</v>
          </cell>
          <cell r="P234" t="str">
            <v>L-2T</v>
          </cell>
          <cell r="Q234">
            <v>3</v>
          </cell>
          <cell r="R234">
            <v>2</v>
          </cell>
          <cell r="S234" t="str">
            <v>vers gehakt</v>
          </cell>
          <cell r="T234">
            <v>3500</v>
          </cell>
          <cell r="U234">
            <v>4</v>
          </cell>
          <cell r="V234">
            <v>3500</v>
          </cell>
          <cell r="W234">
            <v>4</v>
          </cell>
          <cell r="X234" t="str">
            <v>X</v>
          </cell>
          <cell r="Y234">
            <v>0</v>
          </cell>
          <cell r="Z234">
            <v>0</v>
          </cell>
          <cell r="AA234" t="str">
            <v>! ! !</v>
          </cell>
          <cell r="AB234">
            <v>26810</v>
          </cell>
          <cell r="AC234">
            <v>0</v>
          </cell>
          <cell r="AG234">
            <v>68</v>
          </cell>
          <cell r="AJ234" t="str">
            <v>V-A</v>
          </cell>
          <cell r="AK234" t="str">
            <v>Ja</v>
          </cell>
          <cell r="AL234">
            <v>4080</v>
          </cell>
          <cell r="AM234">
            <v>3500</v>
          </cell>
          <cell r="AN234" t="e">
            <v>#VALUE!</v>
          </cell>
          <cell r="AO234" t="e">
            <v>#VALUE!</v>
          </cell>
          <cell r="AP234">
            <v>580</v>
          </cell>
        </row>
        <row r="235">
          <cell r="A235">
            <v>63809300</v>
          </cell>
          <cell r="B235">
            <v>40225000</v>
          </cell>
          <cell r="C235">
            <v>96012315</v>
          </cell>
          <cell r="D235" t="str">
            <v>IGLO BE ZALM ASC GROENTEN MOSTERD BOTERPUREE 450G</v>
          </cell>
          <cell r="E235" t="str">
            <v>Iglo BE</v>
          </cell>
          <cell r="F235" t="str">
            <v>355MM</v>
          </cell>
          <cell r="G235" t="str">
            <v>UK-59</v>
          </cell>
          <cell r="H235">
            <v>730</v>
          </cell>
          <cell r="I235">
            <v>0.45</v>
          </cell>
          <cell r="J235" t="str">
            <v>H22</v>
          </cell>
          <cell r="K235" t="str">
            <v>NVT</v>
          </cell>
          <cell r="L235">
            <v>6</v>
          </cell>
          <cell r="M235" t="str">
            <v>Shrink H22 X 6</v>
          </cell>
          <cell r="N235">
            <v>176</v>
          </cell>
          <cell r="O235">
            <v>5414807602209</v>
          </cell>
          <cell r="P235" t="str">
            <v>2H-2T</v>
          </cell>
          <cell r="Q235">
            <v>3</v>
          </cell>
          <cell r="R235">
            <v>2</v>
          </cell>
          <cell r="S235" t="str">
            <v>ZALM verzagen (85g)</v>
          </cell>
          <cell r="T235">
            <v>3500</v>
          </cell>
          <cell r="U235">
            <v>7</v>
          </cell>
          <cell r="V235">
            <v>3500</v>
          </cell>
          <cell r="W235">
            <v>7</v>
          </cell>
          <cell r="X235">
            <v>0</v>
          </cell>
          <cell r="Y235">
            <v>0</v>
          </cell>
          <cell r="Z235">
            <v>0</v>
          </cell>
          <cell r="AA235" t="str">
            <v>! ! ! !</v>
          </cell>
          <cell r="AB235">
            <v>26810</v>
          </cell>
          <cell r="AC235">
            <v>0</v>
          </cell>
          <cell r="AG235">
            <v>68</v>
          </cell>
          <cell r="AJ235" t="str">
            <v>V-A</v>
          </cell>
          <cell r="AK235" t="str">
            <v>Ja</v>
          </cell>
          <cell r="AL235">
            <v>4080</v>
          </cell>
          <cell r="AM235">
            <v>3500</v>
          </cell>
          <cell r="AN235" t="e">
            <v>#VALUE!</v>
          </cell>
          <cell r="AO235" t="e">
            <v>#VALUE!</v>
          </cell>
          <cell r="AP235">
            <v>580</v>
          </cell>
        </row>
        <row r="236">
          <cell r="A236">
            <v>63809400</v>
          </cell>
          <cell r="B236">
            <v>40225100</v>
          </cell>
          <cell r="C236">
            <v>96012316</v>
          </cell>
          <cell r="D236" t="str">
            <v>IGLO BE KABELJAUW MSC GROENTEN WITTE WIJNSAUS PUREE 450G</v>
          </cell>
          <cell r="E236" t="str">
            <v>Iglo BE</v>
          </cell>
          <cell r="F236" t="str">
            <v>355MM</v>
          </cell>
          <cell r="G236" t="str">
            <v>UK-59</v>
          </cell>
          <cell r="H236">
            <v>730</v>
          </cell>
          <cell r="I236">
            <v>0.45</v>
          </cell>
          <cell r="J236" t="str">
            <v>H22</v>
          </cell>
          <cell r="K236" t="str">
            <v>NVT</v>
          </cell>
          <cell r="L236">
            <v>6</v>
          </cell>
          <cell r="M236" t="str">
            <v>Shrink H22 X 6</v>
          </cell>
          <cell r="N236">
            <v>176</v>
          </cell>
          <cell r="O236">
            <v>5410148016750</v>
          </cell>
          <cell r="P236" t="str">
            <v>2H-2T</v>
          </cell>
          <cell r="Q236">
            <v>3</v>
          </cell>
          <cell r="R236">
            <v>2</v>
          </cell>
          <cell r="S236" t="str">
            <v>KABELJAUW verzagen (90g)</v>
          </cell>
          <cell r="T236">
            <v>3500</v>
          </cell>
          <cell r="U236">
            <v>6</v>
          </cell>
          <cell r="V236">
            <v>3500</v>
          </cell>
          <cell r="W236">
            <v>6</v>
          </cell>
          <cell r="X236">
            <v>0</v>
          </cell>
          <cell r="Y236">
            <v>0</v>
          </cell>
          <cell r="Z236">
            <v>0</v>
          </cell>
          <cell r="AA236" t="str">
            <v>! ! ! !</v>
          </cell>
          <cell r="AB236">
            <v>26810</v>
          </cell>
          <cell r="AC236">
            <v>0</v>
          </cell>
          <cell r="AG236">
            <v>68</v>
          </cell>
          <cell r="AJ236" t="str">
            <v>V-A</v>
          </cell>
          <cell r="AK236" t="str">
            <v>Ja</v>
          </cell>
          <cell r="AL236">
            <v>4080</v>
          </cell>
          <cell r="AM236">
            <v>3500</v>
          </cell>
          <cell r="AN236" t="e">
            <v>#VALUE!</v>
          </cell>
          <cell r="AO236" t="e">
            <v>#VALUE!</v>
          </cell>
          <cell r="AP236">
            <v>580</v>
          </cell>
        </row>
        <row r="237">
          <cell r="A237">
            <v>63809600</v>
          </cell>
          <cell r="B237">
            <v>40225400</v>
          </cell>
          <cell r="C237">
            <v>96012330</v>
          </cell>
          <cell r="D237" t="str">
            <v>IGLO BE RUNDSTONG MADEIRASAUS PUREE 450G</v>
          </cell>
          <cell r="E237" t="str">
            <v>Iglo BE</v>
          </cell>
          <cell r="F237" t="str">
            <v>355MM</v>
          </cell>
          <cell r="G237" t="str">
            <v>UK-59</v>
          </cell>
          <cell r="H237">
            <v>730</v>
          </cell>
          <cell r="I237">
            <v>0.45</v>
          </cell>
          <cell r="J237" t="str">
            <v>H22</v>
          </cell>
          <cell r="K237" t="str">
            <v>NVT</v>
          </cell>
          <cell r="L237">
            <v>6</v>
          </cell>
          <cell r="M237" t="str">
            <v>Shrink H22 X 6</v>
          </cell>
          <cell r="N237">
            <v>176</v>
          </cell>
          <cell r="O237">
            <v>5410148016835</v>
          </cell>
          <cell r="P237" t="str">
            <v>2H-2T</v>
          </cell>
          <cell r="Q237">
            <v>2</v>
          </cell>
          <cell r="R237">
            <v>2</v>
          </cell>
          <cell r="S237" t="str">
            <v>RUNDSTONG snijden 1250kg/pers/8u</v>
          </cell>
          <cell r="T237">
            <v>3500</v>
          </cell>
          <cell r="U237">
            <v>10</v>
          </cell>
          <cell r="V237">
            <v>3500</v>
          </cell>
          <cell r="W237">
            <v>10</v>
          </cell>
          <cell r="X237" t="str">
            <v>X</v>
          </cell>
          <cell r="Y237" t="str">
            <v>X</v>
          </cell>
          <cell r="Z237">
            <v>0</v>
          </cell>
          <cell r="AA237" t="str">
            <v>! ! !</v>
          </cell>
          <cell r="AB237">
            <v>26810</v>
          </cell>
          <cell r="AC237">
            <v>0</v>
          </cell>
          <cell r="AG237">
            <v>68</v>
          </cell>
          <cell r="AJ237" t="str">
            <v>V-A</v>
          </cell>
          <cell r="AK237" t="str">
            <v>Ja</v>
          </cell>
          <cell r="AL237">
            <v>4080</v>
          </cell>
          <cell r="AM237">
            <v>3500</v>
          </cell>
          <cell r="AN237" t="e">
            <v>#VALUE!</v>
          </cell>
          <cell r="AO237" t="e">
            <v>#VALUE!</v>
          </cell>
          <cell r="AP237">
            <v>580</v>
          </cell>
        </row>
        <row r="238">
          <cell r="A238">
            <v>63810000</v>
          </cell>
          <cell r="B238">
            <v>40236000</v>
          </cell>
          <cell r="C238">
            <v>96016070</v>
          </cell>
          <cell r="D238" t="str">
            <v>IGLO BE VOL AU VENT PUREE PETERSELIE 425G</v>
          </cell>
          <cell r="E238" t="str">
            <v>Iglo BE</v>
          </cell>
          <cell r="F238" t="str">
            <v>355MM</v>
          </cell>
          <cell r="G238" t="str">
            <v>UK-59</v>
          </cell>
          <cell r="H238">
            <v>730</v>
          </cell>
          <cell r="I238">
            <v>0.42499999999999999</v>
          </cell>
          <cell r="J238" t="str">
            <v>H22</v>
          </cell>
          <cell r="K238" t="str">
            <v>NVT</v>
          </cell>
          <cell r="L238">
            <v>6</v>
          </cell>
          <cell r="M238" t="str">
            <v>Shrink H22 X 6</v>
          </cell>
          <cell r="N238">
            <v>176</v>
          </cell>
          <cell r="O238">
            <v>5414807604890</v>
          </cell>
          <cell r="P238" t="str">
            <v>2H-2T</v>
          </cell>
          <cell r="Q238">
            <v>3</v>
          </cell>
          <cell r="R238">
            <v>2</v>
          </cell>
          <cell r="T238">
            <v>3500</v>
          </cell>
          <cell r="U238">
            <v>2</v>
          </cell>
          <cell r="V238">
            <v>3500</v>
          </cell>
          <cell r="W238">
            <v>2</v>
          </cell>
          <cell r="X238">
            <v>0</v>
          </cell>
          <cell r="Y238">
            <v>0</v>
          </cell>
          <cell r="Z238">
            <v>0</v>
          </cell>
          <cell r="AA238" t="str">
            <v>! ! !</v>
          </cell>
          <cell r="AB238">
            <v>26810</v>
          </cell>
          <cell r="AC238">
            <v>0</v>
          </cell>
          <cell r="AG238">
            <v>68</v>
          </cell>
          <cell r="AJ238" t="str">
            <v>-</v>
          </cell>
          <cell r="AK238" t="str">
            <v>Ja</v>
          </cell>
          <cell r="AL238">
            <v>4080</v>
          </cell>
          <cell r="AM238">
            <v>3500</v>
          </cell>
          <cell r="AN238" t="e">
            <v>#VALUE!</v>
          </cell>
          <cell r="AO238" t="e">
            <v>#VALUE!</v>
          </cell>
          <cell r="AP238">
            <v>580</v>
          </cell>
        </row>
        <row r="239">
          <cell r="A239">
            <v>63810100</v>
          </cell>
          <cell r="B239">
            <v>40237800</v>
          </cell>
          <cell r="C239">
            <v>96018322</v>
          </cell>
          <cell r="D239" t="str">
            <v>IGLO BE KIPFILET WITLOOFSAUS PUREE 425G</v>
          </cell>
          <cell r="E239" t="str">
            <v>Iglo BE</v>
          </cell>
          <cell r="F239" t="str">
            <v>355MM</v>
          </cell>
          <cell r="G239" t="str">
            <v>UK-59</v>
          </cell>
          <cell r="H239">
            <v>730</v>
          </cell>
          <cell r="I239">
            <v>0.42499999999999999</v>
          </cell>
          <cell r="J239" t="str">
            <v>H22</v>
          </cell>
          <cell r="K239" t="str">
            <v>NVT</v>
          </cell>
          <cell r="L239">
            <v>6</v>
          </cell>
          <cell r="M239" t="str">
            <v>Shrink H22 X 6</v>
          </cell>
          <cell r="N239">
            <v>176</v>
          </cell>
          <cell r="O239">
            <v>5414807605088</v>
          </cell>
          <cell r="P239" t="str">
            <v>2H-2T</v>
          </cell>
          <cell r="Q239">
            <v>2</v>
          </cell>
          <cell r="R239">
            <v>2</v>
          </cell>
          <cell r="T239">
            <v>3500</v>
          </cell>
          <cell r="U239">
            <v>4</v>
          </cell>
          <cell r="V239">
            <v>3500</v>
          </cell>
          <cell r="W239">
            <v>4</v>
          </cell>
          <cell r="X239">
            <v>0</v>
          </cell>
          <cell r="Y239">
            <v>0</v>
          </cell>
          <cell r="Z239">
            <v>0</v>
          </cell>
          <cell r="AA239" t="str">
            <v>! !</v>
          </cell>
          <cell r="AB239">
            <v>26810</v>
          </cell>
          <cell r="AC239">
            <v>0</v>
          </cell>
          <cell r="AG239">
            <v>68</v>
          </cell>
          <cell r="AJ239" t="str">
            <v>V-A</v>
          </cell>
          <cell r="AK239" t="str">
            <v>Ja</v>
          </cell>
          <cell r="AL239">
            <v>4080</v>
          </cell>
          <cell r="AM239">
            <v>3500</v>
          </cell>
          <cell r="AN239" t="e">
            <v>#VALUE!</v>
          </cell>
          <cell r="AO239" t="e">
            <v>#VALUE!</v>
          </cell>
          <cell r="AP239">
            <v>580</v>
          </cell>
        </row>
        <row r="240">
          <cell r="A240">
            <v>63810200</v>
          </cell>
          <cell r="B240">
            <v>40237900</v>
          </cell>
          <cell r="C240">
            <v>96018357</v>
          </cell>
          <cell r="D240" t="str">
            <v>IGLO BE KIPFILET ARCHIDUCSAUS PUREE 425G</v>
          </cell>
          <cell r="E240" t="str">
            <v>Iglo BE</v>
          </cell>
          <cell r="F240" t="str">
            <v>355MM</v>
          </cell>
          <cell r="G240" t="str">
            <v>UK-59</v>
          </cell>
          <cell r="H240">
            <v>730</v>
          </cell>
          <cell r="I240">
            <v>0.42499999999999999</v>
          </cell>
          <cell r="J240" t="str">
            <v>H22</v>
          </cell>
          <cell r="K240" t="str">
            <v>NVT</v>
          </cell>
          <cell r="L240">
            <v>6</v>
          </cell>
          <cell r="M240" t="str">
            <v>Shrink H22 X 6</v>
          </cell>
          <cell r="N240">
            <v>176</v>
          </cell>
          <cell r="O240">
            <v>5414807605071</v>
          </cell>
          <cell r="P240" t="str">
            <v>2H-2T</v>
          </cell>
          <cell r="Q240">
            <v>2</v>
          </cell>
          <cell r="R240">
            <v>2</v>
          </cell>
          <cell r="T240">
            <v>3500</v>
          </cell>
          <cell r="U240">
            <v>4</v>
          </cell>
          <cell r="V240">
            <v>3500</v>
          </cell>
          <cell r="W240">
            <v>4</v>
          </cell>
          <cell r="X240">
            <v>0</v>
          </cell>
          <cell r="Y240">
            <v>0</v>
          </cell>
          <cell r="Z240">
            <v>0</v>
          </cell>
          <cell r="AA240" t="str">
            <v>! !</v>
          </cell>
          <cell r="AB240">
            <v>26810</v>
          </cell>
          <cell r="AC240">
            <v>0</v>
          </cell>
          <cell r="AG240">
            <v>68</v>
          </cell>
          <cell r="AJ240" t="str">
            <v>V-A</v>
          </cell>
          <cell r="AK240" t="str">
            <v>Ja</v>
          </cell>
          <cell r="AL240">
            <v>4080</v>
          </cell>
          <cell r="AM240">
            <v>3500</v>
          </cell>
          <cell r="AN240" t="e">
            <v>#VALUE!</v>
          </cell>
          <cell r="AO240" t="e">
            <v>#VALUE!</v>
          </cell>
          <cell r="AP240">
            <v>580</v>
          </cell>
        </row>
        <row r="241">
          <cell r="A241">
            <v>63810500</v>
          </cell>
          <cell r="B241">
            <v>40282300</v>
          </cell>
          <cell r="C241">
            <v>96018329</v>
          </cell>
          <cell r="D241" t="str">
            <v>IGLO BE TAGLIATELLE DI MARE MSC 450G</v>
          </cell>
          <cell r="E241" t="str">
            <v>Iglo BE</v>
          </cell>
          <cell r="F241" t="str">
            <v>355MM</v>
          </cell>
          <cell r="G241" t="str">
            <v>UK-59</v>
          </cell>
          <cell r="H241">
            <v>730</v>
          </cell>
          <cell r="I241">
            <v>0.45</v>
          </cell>
          <cell r="J241" t="str">
            <v>H22</v>
          </cell>
          <cell r="K241" t="str">
            <v>NVT</v>
          </cell>
          <cell r="L241">
            <v>6</v>
          </cell>
          <cell r="M241" t="str">
            <v>Shrink H22 X 6</v>
          </cell>
          <cell r="N241">
            <v>176</v>
          </cell>
          <cell r="O241">
            <v>5410148016767</v>
          </cell>
          <cell r="P241" t="str">
            <v>I-L-2T</v>
          </cell>
          <cell r="Q241">
            <v>3</v>
          </cell>
          <cell r="R241">
            <v>2</v>
          </cell>
          <cell r="T241">
            <v>3500</v>
          </cell>
          <cell r="U241">
            <v>6</v>
          </cell>
          <cell r="V241">
            <v>3500</v>
          </cell>
          <cell r="W241">
            <v>6</v>
          </cell>
          <cell r="X241">
            <v>0</v>
          </cell>
          <cell r="Y241">
            <v>0</v>
          </cell>
          <cell r="Z241">
            <v>0</v>
          </cell>
          <cell r="AA241" t="str">
            <v>! ! ! !</v>
          </cell>
          <cell r="AB241">
            <v>26810</v>
          </cell>
          <cell r="AC241">
            <v>0</v>
          </cell>
          <cell r="AG241">
            <v>68</v>
          </cell>
          <cell r="AJ241" t="str">
            <v>V-A</v>
          </cell>
          <cell r="AK241" t="str">
            <v>Ja</v>
          </cell>
          <cell r="AL241">
            <v>4080</v>
          </cell>
          <cell r="AM241">
            <v>3500</v>
          </cell>
          <cell r="AN241" t="e">
            <v>#VALUE!</v>
          </cell>
          <cell r="AO241" t="e">
            <v>#VALUE!</v>
          </cell>
          <cell r="AP241">
            <v>580</v>
          </cell>
        </row>
        <row r="242">
          <cell r="A242">
            <v>63810800</v>
          </cell>
          <cell r="B242">
            <v>40283500</v>
          </cell>
          <cell r="C242">
            <v>96020616</v>
          </cell>
          <cell r="D242" t="str">
            <v>IGLO BE VISGRATIN MSC SPINAZIE 450G</v>
          </cell>
          <cell r="E242" t="str">
            <v>Iglo BE</v>
          </cell>
          <cell r="F242" t="str">
            <v>355MM</v>
          </cell>
          <cell r="G242" t="str">
            <v>UK-59</v>
          </cell>
          <cell r="H242">
            <v>730</v>
          </cell>
          <cell r="I242">
            <v>0.45</v>
          </cell>
          <cell r="J242" t="str">
            <v>H22</v>
          </cell>
          <cell r="K242" t="str">
            <v>NVT</v>
          </cell>
          <cell r="L242">
            <v>6</v>
          </cell>
          <cell r="M242" t="str">
            <v>Shrink H22 X 6</v>
          </cell>
          <cell r="N242">
            <v>176</v>
          </cell>
          <cell r="O242">
            <v>5414807607396</v>
          </cell>
          <cell r="P242" t="str">
            <v>4T-2H</v>
          </cell>
          <cell r="Q242">
            <v>3</v>
          </cell>
          <cell r="R242">
            <v>2</v>
          </cell>
          <cell r="S242" t="str">
            <v>ALASKA POLLACK verzagen (72g)</v>
          </cell>
          <cell r="T242">
            <v>3500</v>
          </cell>
          <cell r="U242">
            <v>4</v>
          </cell>
          <cell r="V242">
            <v>3500</v>
          </cell>
          <cell r="W242">
            <v>4</v>
          </cell>
          <cell r="X242">
            <v>0</v>
          </cell>
          <cell r="Y242">
            <v>0</v>
          </cell>
          <cell r="Z242">
            <v>0</v>
          </cell>
          <cell r="AA242" t="str">
            <v>! ! ! !</v>
          </cell>
          <cell r="AB242">
            <v>26810</v>
          </cell>
          <cell r="AC242">
            <v>0</v>
          </cell>
          <cell r="AJ242" t="str">
            <v>V-A</v>
          </cell>
          <cell r="AK242" t="str">
            <v>Ja</v>
          </cell>
          <cell r="AL242">
            <v>0</v>
          </cell>
          <cell r="AM242">
            <v>3500</v>
          </cell>
          <cell r="AN242" t="e">
            <v>#VALUE!</v>
          </cell>
          <cell r="AO242" t="e">
            <v>#VALUE!</v>
          </cell>
          <cell r="AP242">
            <v>-3500</v>
          </cell>
        </row>
        <row r="243">
          <cell r="A243">
            <v>63811000</v>
          </cell>
          <cell r="B243">
            <v>40276300</v>
          </cell>
          <cell r="C243">
            <v>96021749</v>
          </cell>
          <cell r="D243" t="str">
            <v>IGLO BE BLINDE VINK JUS SPINAZIESTAMPPOT 450G</v>
          </cell>
          <cell r="E243" t="str">
            <v>Iglo BE</v>
          </cell>
          <cell r="F243" t="str">
            <v>355MM</v>
          </cell>
          <cell r="G243" t="str">
            <v>UK-59</v>
          </cell>
          <cell r="H243">
            <v>548</v>
          </cell>
          <cell r="I243">
            <v>0.45</v>
          </cell>
          <cell r="J243" t="str">
            <v>H22</v>
          </cell>
          <cell r="K243" t="str">
            <v>NVT</v>
          </cell>
          <cell r="L243">
            <v>6</v>
          </cell>
          <cell r="M243" t="str">
            <v>Shrink H22 X 6</v>
          </cell>
          <cell r="N243">
            <v>176</v>
          </cell>
          <cell r="O243">
            <v>5414807607778</v>
          </cell>
          <cell r="P243" t="str">
            <v>2H-2T</v>
          </cell>
          <cell r="Q243">
            <v>3</v>
          </cell>
          <cell r="R243">
            <v>2</v>
          </cell>
          <cell r="T243">
            <v>3500</v>
          </cell>
          <cell r="U243">
            <v>4</v>
          </cell>
          <cell r="V243">
            <v>3500</v>
          </cell>
          <cell r="W243">
            <v>4</v>
          </cell>
          <cell r="X243" t="str">
            <v>X</v>
          </cell>
          <cell r="Y243" t="str">
            <v>X</v>
          </cell>
          <cell r="Z243">
            <v>0</v>
          </cell>
          <cell r="AA243" t="str">
            <v>! !</v>
          </cell>
          <cell r="AB243">
            <v>26810</v>
          </cell>
          <cell r="AC243">
            <v>2.9272727272727273E-2</v>
          </cell>
          <cell r="AG243">
            <v>68</v>
          </cell>
          <cell r="AJ243" t="str">
            <v>V-A</v>
          </cell>
          <cell r="AK243" t="str">
            <v>Ja</v>
          </cell>
          <cell r="AL243">
            <v>4080</v>
          </cell>
          <cell r="AM243">
            <v>3500</v>
          </cell>
          <cell r="AN243" t="e">
            <v>#VALUE!</v>
          </cell>
          <cell r="AO243" t="e">
            <v>#VALUE!</v>
          </cell>
          <cell r="AP243">
            <v>580</v>
          </cell>
        </row>
        <row r="244">
          <cell r="A244">
            <v>63811100</v>
          </cell>
          <cell r="B244">
            <v>40279800</v>
          </cell>
          <cell r="C244">
            <v>96022973</v>
          </cell>
          <cell r="D244" t="str">
            <v>IGLO BE EW PASTA KIP KRUIDENSAUS GROENTEN 400G</v>
          </cell>
          <cell r="E244" t="str">
            <v>Iglo BE</v>
          </cell>
          <cell r="F244" t="str">
            <v>355MM</v>
          </cell>
          <cell r="G244" t="str">
            <v>UK-59</v>
          </cell>
          <cell r="H244">
            <v>730</v>
          </cell>
          <cell r="I244">
            <v>0.4</v>
          </cell>
          <cell r="J244" t="str">
            <v>H22</v>
          </cell>
          <cell r="K244" t="str">
            <v>NVT</v>
          </cell>
          <cell r="L244">
            <v>6</v>
          </cell>
          <cell r="M244" t="str">
            <v>Shrink H22 X 6</v>
          </cell>
          <cell r="N244">
            <v>176</v>
          </cell>
          <cell r="O244">
            <v>5414807607846</v>
          </cell>
          <cell r="P244" t="str">
            <v>I-L-2T</v>
          </cell>
          <cell r="Q244">
            <v>3</v>
          </cell>
          <cell r="R244">
            <v>2</v>
          </cell>
          <cell r="T244">
            <v>3500</v>
          </cell>
          <cell r="U244">
            <v>7</v>
          </cell>
          <cell r="V244">
            <v>3500</v>
          </cell>
          <cell r="W244">
            <v>7</v>
          </cell>
          <cell r="X244" t="str">
            <v>X</v>
          </cell>
          <cell r="Y244" t="str">
            <v>X</v>
          </cell>
          <cell r="Z244">
            <v>0</v>
          </cell>
          <cell r="AA244" t="str">
            <v>! ! !</v>
          </cell>
          <cell r="AB244">
            <v>26810</v>
          </cell>
          <cell r="AC244">
            <v>0</v>
          </cell>
          <cell r="AG244">
            <v>68</v>
          </cell>
          <cell r="AJ244" t="str">
            <v>V-A</v>
          </cell>
          <cell r="AK244" t="str">
            <v>Ja</v>
          </cell>
          <cell r="AL244">
            <v>4080</v>
          </cell>
          <cell r="AM244">
            <v>3500</v>
          </cell>
          <cell r="AN244" t="e">
            <v>#VALUE!</v>
          </cell>
          <cell r="AO244" t="e">
            <v>#VALUE!</v>
          </cell>
          <cell r="AP244">
            <v>580</v>
          </cell>
        </row>
        <row r="245">
          <cell r="A245">
            <v>63811200</v>
          </cell>
          <cell r="B245">
            <v>40279900</v>
          </cell>
          <cell r="C245">
            <v>96023103</v>
          </cell>
          <cell r="D245" t="str">
            <v>IGLO BE EW RISOTTO KIP CHAMPIGNON ERWT 400G</v>
          </cell>
          <cell r="E245" t="str">
            <v>Iglo BE</v>
          </cell>
          <cell r="F245" t="str">
            <v>355MM</v>
          </cell>
          <cell r="G245" t="str">
            <v>UK-59</v>
          </cell>
          <cell r="H245">
            <v>730</v>
          </cell>
          <cell r="I245">
            <v>0.4</v>
          </cell>
          <cell r="J245" t="str">
            <v>H22</v>
          </cell>
          <cell r="K245" t="str">
            <v>NVT</v>
          </cell>
          <cell r="L245">
            <v>6</v>
          </cell>
          <cell r="M245" t="str">
            <v>Shrink H22 X 6</v>
          </cell>
          <cell r="N245">
            <v>176</v>
          </cell>
          <cell r="O245" t="str">
            <v>5414807607938 </v>
          </cell>
          <cell r="P245" t="str">
            <v>I-L-2T</v>
          </cell>
          <cell r="Q245">
            <v>2</v>
          </cell>
          <cell r="R245">
            <v>2</v>
          </cell>
          <cell r="T245">
            <v>3500</v>
          </cell>
          <cell r="U245">
            <v>5</v>
          </cell>
          <cell r="V245">
            <v>3500</v>
          </cell>
          <cell r="W245">
            <v>5</v>
          </cell>
          <cell r="X245" t="str">
            <v>X</v>
          </cell>
          <cell r="Y245" t="str">
            <v>X</v>
          </cell>
          <cell r="Z245">
            <v>0</v>
          </cell>
          <cell r="AA245" t="str">
            <v>! !</v>
          </cell>
          <cell r="AB245">
            <v>26810</v>
          </cell>
          <cell r="AC245">
            <v>0</v>
          </cell>
          <cell r="AG245">
            <v>68</v>
          </cell>
          <cell r="AJ245" t="str">
            <v>V-A</v>
          </cell>
          <cell r="AK245" t="str">
            <v>Ja</v>
          </cell>
          <cell r="AL245">
            <v>4080</v>
          </cell>
          <cell r="AM245">
            <v>3500</v>
          </cell>
          <cell r="AN245" t="e">
            <v>#VALUE!</v>
          </cell>
          <cell r="AO245" t="e">
            <v>#VALUE!</v>
          </cell>
          <cell r="AP245">
            <v>580</v>
          </cell>
        </row>
        <row r="246">
          <cell r="A246">
            <v>63820200</v>
          </cell>
          <cell r="B246">
            <v>40280500</v>
          </cell>
          <cell r="C246">
            <v>96022988</v>
          </cell>
          <cell r="D246" t="str">
            <v>IGLO NL BABI PANGANG BAMI SATE WITTE KOOL 380G</v>
          </cell>
          <cell r="E246" t="str">
            <v>Iglo NL</v>
          </cell>
          <cell r="F246" t="str">
            <v>355MM</v>
          </cell>
          <cell r="G246" t="str">
            <v>UK-59</v>
          </cell>
          <cell r="H246">
            <v>730</v>
          </cell>
          <cell r="I246">
            <v>0.38</v>
          </cell>
          <cell r="J246" t="str">
            <v>H22</v>
          </cell>
          <cell r="K246" t="str">
            <v>NVT</v>
          </cell>
          <cell r="L246">
            <v>6</v>
          </cell>
          <cell r="M246" t="str">
            <v>Shrink H22 X 6</v>
          </cell>
          <cell r="N246">
            <v>176</v>
          </cell>
          <cell r="O246" t="str">
            <v>8720195573456 </v>
          </cell>
          <cell r="P246" t="str">
            <v>I-L-2T</v>
          </cell>
          <cell r="Q246">
            <v>3</v>
          </cell>
          <cell r="R246">
            <v>2</v>
          </cell>
          <cell r="T246">
            <v>3500</v>
          </cell>
          <cell r="U246">
            <v>5</v>
          </cell>
          <cell r="V246">
            <v>3500</v>
          </cell>
          <cell r="W246">
            <v>5</v>
          </cell>
          <cell r="X246" t="str">
            <v>X</v>
          </cell>
          <cell r="Y246" t="str">
            <v>X</v>
          </cell>
          <cell r="Z246">
            <v>0</v>
          </cell>
          <cell r="AA246" t="str">
            <v>X</v>
          </cell>
          <cell r="AB246">
            <v>26810</v>
          </cell>
          <cell r="AC246">
            <v>0</v>
          </cell>
          <cell r="AJ246" t="str">
            <v>V-A</v>
          </cell>
          <cell r="AK246" t="str">
            <v>Ja</v>
          </cell>
          <cell r="AL246">
            <v>0</v>
          </cell>
          <cell r="AM246">
            <v>3500</v>
          </cell>
          <cell r="AN246" t="e">
            <v>#VALUE!</v>
          </cell>
          <cell r="AO246" t="e">
            <v>#VALUE!</v>
          </cell>
          <cell r="AP246">
            <v>-3500</v>
          </cell>
        </row>
        <row r="247">
          <cell r="A247">
            <v>63860500</v>
          </cell>
          <cell r="B247">
            <v>40233100</v>
          </cell>
          <cell r="C247">
            <v>96015485</v>
          </cell>
          <cell r="D247" t="str">
            <v>FINDUS SE NO VEG LINGUINI BOLOGNAISE 400G</v>
          </cell>
          <cell r="E247" t="str">
            <v>Iglo SE</v>
          </cell>
          <cell r="F247" t="str">
            <v>355MM</v>
          </cell>
          <cell r="G247" t="str">
            <v>UK-59</v>
          </cell>
          <cell r="H247">
            <v>456</v>
          </cell>
          <cell r="I247">
            <v>0.4</v>
          </cell>
          <cell r="J247" t="str">
            <v>H22</v>
          </cell>
          <cell r="K247" t="str">
            <v>NVT</v>
          </cell>
          <cell r="L247">
            <v>6</v>
          </cell>
          <cell r="M247" t="str">
            <v>Shrink H22 X 6</v>
          </cell>
          <cell r="N247">
            <v>112</v>
          </cell>
          <cell r="O247">
            <v>7310500183565</v>
          </cell>
          <cell r="P247" t="str">
            <v>L-2T</v>
          </cell>
          <cell r="Q247">
            <v>3</v>
          </cell>
          <cell r="R247">
            <v>2</v>
          </cell>
          <cell r="T247">
            <v>3500</v>
          </cell>
          <cell r="U247">
            <v>4</v>
          </cell>
          <cell r="V247">
            <v>3500</v>
          </cell>
          <cell r="W247">
            <v>4</v>
          </cell>
          <cell r="X247">
            <v>0</v>
          </cell>
          <cell r="Y247">
            <v>0</v>
          </cell>
          <cell r="Z247">
            <v>0</v>
          </cell>
          <cell r="AA247" t="str">
            <v>! ! !</v>
          </cell>
          <cell r="AB247">
            <v>26810</v>
          </cell>
          <cell r="AC247">
            <v>0</v>
          </cell>
          <cell r="AJ247" t="str">
            <v>V-A</v>
          </cell>
          <cell r="AL247">
            <v>0</v>
          </cell>
          <cell r="AM247">
            <v>3500</v>
          </cell>
          <cell r="AN247" t="e">
            <v>#VALUE!</v>
          </cell>
          <cell r="AO247" t="e">
            <v>#VALUE!</v>
          </cell>
          <cell r="AP247">
            <v>-3500</v>
          </cell>
        </row>
        <row r="248">
          <cell r="A248">
            <v>63900200</v>
          </cell>
          <cell r="C248">
            <v>9002</v>
          </cell>
          <cell r="D248" t="str">
            <v xml:space="preserve">VAT STOOFPOTJE MET ANDIJVIE A LA CREME PUREE      </v>
          </cell>
          <cell r="E248" t="str">
            <v>VAT</v>
          </cell>
          <cell r="F248" t="str">
            <v>290MM</v>
          </cell>
          <cell r="G248" t="str">
            <v>C2227-3R</v>
          </cell>
          <cell r="H248">
            <v>456</v>
          </cell>
          <cell r="I248">
            <v>0.5</v>
          </cell>
          <cell r="J248" t="str">
            <v>NVT</v>
          </cell>
          <cell r="K248" t="str">
            <v>VAT</v>
          </cell>
          <cell r="L248">
            <v>6</v>
          </cell>
          <cell r="M248" t="str">
            <v xml:space="preserve">VAT X 6 </v>
          </cell>
          <cell r="N248">
            <v>120</v>
          </cell>
          <cell r="O248">
            <v>8717568241289</v>
          </cell>
          <cell r="P248" t="str">
            <v>2T-H</v>
          </cell>
          <cell r="Q248">
            <v>3</v>
          </cell>
          <cell r="R248">
            <v>3</v>
          </cell>
          <cell r="S248" t="str">
            <v>Pulled beef tussen D-4 en D-2</v>
          </cell>
          <cell r="T248">
            <v>2200</v>
          </cell>
          <cell r="U248">
            <v>1</v>
          </cell>
          <cell r="V248">
            <v>2200</v>
          </cell>
          <cell r="W248">
            <v>1</v>
          </cell>
          <cell r="X248">
            <v>0</v>
          </cell>
          <cell r="Y248">
            <v>0</v>
          </cell>
          <cell r="Z248">
            <v>0</v>
          </cell>
          <cell r="AA248" t="str">
            <v>! ! !</v>
          </cell>
          <cell r="AC248">
            <v>0</v>
          </cell>
          <cell r="AE248" t="str">
            <v>x</v>
          </cell>
          <cell r="AG248">
            <v>45</v>
          </cell>
          <cell r="AJ248" t="str">
            <v>-</v>
          </cell>
          <cell r="AK248" t="str">
            <v>Ja</v>
          </cell>
          <cell r="AL248">
            <v>2700</v>
          </cell>
          <cell r="AM248">
            <v>2200</v>
          </cell>
          <cell r="AN248" t="e">
            <v>#VALUE!</v>
          </cell>
          <cell r="AO248" t="e">
            <v>#VALUE!</v>
          </cell>
          <cell r="AP248">
            <v>500</v>
          </cell>
        </row>
        <row r="249">
          <cell r="A249">
            <v>63900300</v>
          </cell>
          <cell r="C249">
            <v>9003</v>
          </cell>
          <cell r="D249" t="str">
            <v xml:space="preserve">VAT HOLLANDSE HACHEE RODE KOOL EN GEKOOKTE AARD   </v>
          </cell>
          <cell r="E249" t="str">
            <v>VAT</v>
          </cell>
          <cell r="F249" t="str">
            <v>290MM</v>
          </cell>
          <cell r="G249" t="str">
            <v>C2227-3R</v>
          </cell>
          <cell r="H249">
            <v>456</v>
          </cell>
          <cell r="I249">
            <v>0.51</v>
          </cell>
          <cell r="J249" t="str">
            <v>NVT</v>
          </cell>
          <cell r="K249" t="str">
            <v>VAT</v>
          </cell>
          <cell r="L249">
            <v>6</v>
          </cell>
          <cell r="M249" t="str">
            <v xml:space="preserve">VAT X 6 </v>
          </cell>
          <cell r="N249">
            <v>120</v>
          </cell>
          <cell r="O249">
            <v>8717568241265</v>
          </cell>
          <cell r="P249" t="str">
            <v>2T</v>
          </cell>
          <cell r="Q249">
            <v>3</v>
          </cell>
          <cell r="R249">
            <v>3</v>
          </cell>
          <cell r="S249" t="str">
            <v>idem 66400100, Pulled Beef tussen D-4 en D-2 ,AARDAPPELEN steamen D-0</v>
          </cell>
          <cell r="T249">
            <v>2200</v>
          </cell>
          <cell r="U249">
            <v>3</v>
          </cell>
          <cell r="V249">
            <v>2200</v>
          </cell>
          <cell r="W249">
            <v>3</v>
          </cell>
          <cell r="X249">
            <v>0</v>
          </cell>
          <cell r="Y249">
            <v>0</v>
          </cell>
          <cell r="Z249">
            <v>0</v>
          </cell>
          <cell r="AA249" t="str">
            <v>! !</v>
          </cell>
          <cell r="AC249">
            <v>6.4399999999999999E-2</v>
          </cell>
          <cell r="AE249" t="str">
            <v>x</v>
          </cell>
          <cell r="AG249">
            <v>45</v>
          </cell>
          <cell r="AJ249" t="str">
            <v>-</v>
          </cell>
          <cell r="AK249" t="str">
            <v>Ja</v>
          </cell>
          <cell r="AL249">
            <v>2700</v>
          </cell>
          <cell r="AM249">
            <v>2200</v>
          </cell>
          <cell r="AN249" t="e">
            <v>#VALUE!</v>
          </cell>
          <cell r="AO249" t="e">
            <v>#VALUE!</v>
          </cell>
          <cell r="AP249">
            <v>500</v>
          </cell>
        </row>
        <row r="250">
          <cell r="A250">
            <v>63900400</v>
          </cell>
          <cell r="C250">
            <v>9004</v>
          </cell>
          <cell r="D250" t="str">
            <v>VAT GEPAN SCHNITZEL SPERZIEBONEN GEKRUIDE AARDAPPELKUBUS</v>
          </cell>
          <cell r="E250" t="str">
            <v>VAT</v>
          </cell>
          <cell r="F250" t="str">
            <v>290MM</v>
          </cell>
          <cell r="G250" t="str">
            <v>C2227-2K</v>
          </cell>
          <cell r="H250">
            <v>456</v>
          </cell>
          <cell r="I250">
            <v>0.45</v>
          </cell>
          <cell r="J250" t="str">
            <v>NVT</v>
          </cell>
          <cell r="K250" t="str">
            <v>VAT</v>
          </cell>
          <cell r="L250">
            <v>6</v>
          </cell>
          <cell r="M250" t="str">
            <v xml:space="preserve">VAT X 6 </v>
          </cell>
          <cell r="N250">
            <v>120</v>
          </cell>
          <cell r="O250">
            <v>8717568241371</v>
          </cell>
          <cell r="P250" t="str">
            <v>I</v>
          </cell>
          <cell r="Q250">
            <v>1</v>
          </cell>
          <cell r="R250">
            <v>3</v>
          </cell>
          <cell r="T250">
            <v>2200</v>
          </cell>
          <cell r="U250">
            <v>5</v>
          </cell>
          <cell r="V250">
            <v>2000</v>
          </cell>
          <cell r="W250">
            <v>5</v>
          </cell>
          <cell r="X250">
            <v>0</v>
          </cell>
          <cell r="Y250">
            <v>0</v>
          </cell>
          <cell r="Z250">
            <v>0</v>
          </cell>
          <cell r="AA250" t="str">
            <v>! ! !</v>
          </cell>
          <cell r="AC250">
            <v>0</v>
          </cell>
          <cell r="AE250" t="str">
            <v>x</v>
          </cell>
          <cell r="AG250">
            <v>45</v>
          </cell>
          <cell r="AJ250" t="str">
            <v>V-A</v>
          </cell>
          <cell r="AK250" t="str">
            <v>Ja</v>
          </cell>
          <cell r="AL250">
            <v>2700</v>
          </cell>
          <cell r="AM250">
            <v>2200</v>
          </cell>
          <cell r="AN250" t="e">
            <v>#VALUE!</v>
          </cell>
          <cell r="AO250" t="e">
            <v>#VALUE!</v>
          </cell>
          <cell r="AP250">
            <v>500</v>
          </cell>
        </row>
        <row r="251">
          <cell r="A251">
            <v>63900500</v>
          </cell>
          <cell r="C251">
            <v>9005</v>
          </cell>
          <cell r="D251" t="str">
            <v>VAT VARKENSHAASJE CHAMPIGNONROOMSAUS GROENTEMIX GEBAKKEN AARD</v>
          </cell>
          <cell r="E251" t="str">
            <v>VAT</v>
          </cell>
          <cell r="F251" t="str">
            <v>290MM</v>
          </cell>
          <cell r="G251" t="str">
            <v>C2227-2K</v>
          </cell>
          <cell r="H251">
            <v>456</v>
          </cell>
          <cell r="I251">
            <v>0.5</v>
          </cell>
          <cell r="J251" t="str">
            <v>NVT</v>
          </cell>
          <cell r="K251" t="str">
            <v>VAT</v>
          </cell>
          <cell r="L251">
            <v>6</v>
          </cell>
          <cell r="M251" t="str">
            <v xml:space="preserve">VAT X 6 </v>
          </cell>
          <cell r="N251">
            <v>120</v>
          </cell>
          <cell r="O251">
            <v>8717568241395</v>
          </cell>
          <cell r="P251" t="str">
            <v>T-I</v>
          </cell>
          <cell r="Q251">
            <v>2</v>
          </cell>
          <cell r="R251">
            <v>3</v>
          </cell>
          <cell r="T251">
            <v>2200</v>
          </cell>
          <cell r="U251">
            <v>7</v>
          </cell>
          <cell r="V251">
            <v>2200</v>
          </cell>
          <cell r="W251">
            <v>7</v>
          </cell>
          <cell r="X251">
            <v>0</v>
          </cell>
          <cell r="Y251">
            <v>0</v>
          </cell>
          <cell r="Z251">
            <v>0</v>
          </cell>
          <cell r="AA251" t="str">
            <v>! ! !</v>
          </cell>
          <cell r="AC251">
            <v>0</v>
          </cell>
          <cell r="AE251" t="str">
            <v>x</v>
          </cell>
          <cell r="AG251">
            <v>45</v>
          </cell>
          <cell r="AJ251" t="str">
            <v>V-A</v>
          </cell>
          <cell r="AK251" t="str">
            <v>Ja</v>
          </cell>
          <cell r="AL251">
            <v>2700</v>
          </cell>
          <cell r="AM251">
            <v>2200</v>
          </cell>
          <cell r="AN251" t="e">
            <v>#VALUE!</v>
          </cell>
          <cell r="AO251" t="e">
            <v>#VALUE!</v>
          </cell>
          <cell r="AP251">
            <v>500</v>
          </cell>
        </row>
        <row r="252">
          <cell r="A252">
            <v>63900700</v>
          </cell>
          <cell r="C252">
            <v>9007</v>
          </cell>
          <cell r="D252" t="str">
            <v xml:space="preserve">VAT GEGRILDE KIPPENBOUT GROENTEMIX EN PUREE       </v>
          </cell>
          <cell r="E252" t="str">
            <v>VAT</v>
          </cell>
          <cell r="F252" t="str">
            <v>290MM</v>
          </cell>
          <cell r="G252" t="str">
            <v>C2227-2K</v>
          </cell>
          <cell r="H252">
            <v>456</v>
          </cell>
          <cell r="I252">
            <v>0.53</v>
          </cell>
          <cell r="J252" t="str">
            <v>NVT</v>
          </cell>
          <cell r="K252" t="str">
            <v>VAT</v>
          </cell>
          <cell r="L252">
            <v>6</v>
          </cell>
          <cell r="M252" t="str">
            <v xml:space="preserve">VAT X 6 </v>
          </cell>
          <cell r="N252">
            <v>120</v>
          </cell>
          <cell r="O252">
            <v>8717568241241</v>
          </cell>
          <cell r="P252" t="str">
            <v>T-H</v>
          </cell>
          <cell r="Q252">
            <v>2.5</v>
          </cell>
          <cell r="R252">
            <v>3</v>
          </cell>
          <cell r="S252" t="str">
            <v>idem 63502900</v>
          </cell>
          <cell r="T252">
            <v>2000</v>
          </cell>
          <cell r="U252">
            <v>5</v>
          </cell>
          <cell r="V252">
            <v>2000</v>
          </cell>
          <cell r="W252">
            <v>5</v>
          </cell>
          <cell r="X252">
            <v>0</v>
          </cell>
          <cell r="Y252">
            <v>0</v>
          </cell>
          <cell r="Z252">
            <v>0</v>
          </cell>
          <cell r="AA252" t="str">
            <v>! ! !</v>
          </cell>
          <cell r="AC252">
            <v>0.18455200000000002</v>
          </cell>
          <cell r="AE252" t="str">
            <v>x</v>
          </cell>
          <cell r="AJ252" t="str">
            <v>-</v>
          </cell>
          <cell r="AK252" t="str">
            <v>Ja</v>
          </cell>
          <cell r="AL252">
            <v>0</v>
          </cell>
          <cell r="AM252">
            <v>2000</v>
          </cell>
          <cell r="AN252" t="e">
            <v>#VALUE!</v>
          </cell>
          <cell r="AO252" t="e">
            <v>#VALUE!</v>
          </cell>
          <cell r="AP252">
            <v>-2000</v>
          </cell>
        </row>
        <row r="253">
          <cell r="A253">
            <v>63900800</v>
          </cell>
          <cell r="C253">
            <v>9008</v>
          </cell>
          <cell r="D253" t="str">
            <v xml:space="preserve">VAT LASAGNA BOLOGNESE                             </v>
          </cell>
          <cell r="E253" t="str">
            <v>VAT</v>
          </cell>
          <cell r="F253" t="str">
            <v>290MM</v>
          </cell>
          <cell r="G253" t="str">
            <v xml:space="preserve">C2227-1H </v>
          </cell>
          <cell r="H253">
            <v>456</v>
          </cell>
          <cell r="I253">
            <v>0.56999999999999995</v>
          </cell>
          <cell r="J253" t="str">
            <v>NVT</v>
          </cell>
          <cell r="K253" t="str">
            <v>VAT</v>
          </cell>
          <cell r="L253">
            <v>6</v>
          </cell>
          <cell r="M253" t="str">
            <v xml:space="preserve">VAT X 6 </v>
          </cell>
          <cell r="N253">
            <v>120</v>
          </cell>
          <cell r="O253">
            <v>8717568240015</v>
          </cell>
          <cell r="P253" t="str">
            <v>4T-K</v>
          </cell>
          <cell r="Q253">
            <v>2</v>
          </cell>
          <cell r="R253">
            <v>3</v>
          </cell>
          <cell r="T253">
            <v>2200</v>
          </cell>
          <cell r="U253">
            <v>3</v>
          </cell>
          <cell r="V253">
            <v>2200</v>
          </cell>
          <cell r="W253">
            <v>3</v>
          </cell>
          <cell r="X253">
            <v>0</v>
          </cell>
          <cell r="Y253">
            <v>0</v>
          </cell>
          <cell r="Z253">
            <v>0</v>
          </cell>
          <cell r="AA253" t="str">
            <v>! ! !</v>
          </cell>
          <cell r="AC253">
            <v>0</v>
          </cell>
          <cell r="AE253" t="str">
            <v>x</v>
          </cell>
          <cell r="AG253">
            <v>45</v>
          </cell>
          <cell r="AJ253" t="str">
            <v>V-A</v>
          </cell>
          <cell r="AK253" t="str">
            <v>Ja</v>
          </cell>
          <cell r="AL253">
            <v>2700</v>
          </cell>
          <cell r="AM253">
            <v>2200</v>
          </cell>
          <cell r="AN253" t="e">
            <v>#VALUE!</v>
          </cell>
          <cell r="AO253" t="e">
            <v>#VALUE!</v>
          </cell>
          <cell r="AP253">
            <v>500</v>
          </cell>
        </row>
        <row r="254">
          <cell r="A254">
            <v>63900900</v>
          </cell>
          <cell r="C254">
            <v>9009</v>
          </cell>
          <cell r="D254" t="str">
            <v>VAT KIPSTOOFPOTJE APPELCOMPOTE AARD.KUBUS GEKRUID</v>
          </cell>
          <cell r="E254" t="str">
            <v>VAT</v>
          </cell>
          <cell r="F254" t="str">
            <v>290MM</v>
          </cell>
          <cell r="G254" t="str">
            <v>C2227-3R</v>
          </cell>
          <cell r="H254">
            <v>456</v>
          </cell>
          <cell r="I254">
            <v>0.5</v>
          </cell>
          <cell r="J254" t="str">
            <v>NVT</v>
          </cell>
          <cell r="K254" t="str">
            <v>VAT</v>
          </cell>
          <cell r="L254">
            <v>6</v>
          </cell>
          <cell r="M254" t="str">
            <v xml:space="preserve">VAT X 6 </v>
          </cell>
          <cell r="N254">
            <v>120</v>
          </cell>
          <cell r="O254">
            <v>8717568240022</v>
          </cell>
          <cell r="P254" t="str">
            <v>2T-I</v>
          </cell>
          <cell r="Q254">
            <v>2</v>
          </cell>
          <cell r="R254">
            <v>3</v>
          </cell>
          <cell r="T254">
            <v>2200</v>
          </cell>
          <cell r="U254">
            <v>2</v>
          </cell>
          <cell r="V254">
            <v>2200</v>
          </cell>
          <cell r="W254">
            <v>2</v>
          </cell>
          <cell r="X254">
            <v>0</v>
          </cell>
          <cell r="Y254">
            <v>0</v>
          </cell>
          <cell r="Z254">
            <v>0</v>
          </cell>
          <cell r="AA254" t="str">
            <v>! ! !</v>
          </cell>
          <cell r="AC254">
            <v>0</v>
          </cell>
          <cell r="AE254" t="str">
            <v>x</v>
          </cell>
          <cell r="AG254">
            <v>45</v>
          </cell>
          <cell r="AJ254" t="str">
            <v>-</v>
          </cell>
          <cell r="AK254" t="str">
            <v>Ja</v>
          </cell>
          <cell r="AL254">
            <v>2700</v>
          </cell>
          <cell r="AM254">
            <v>2200</v>
          </cell>
          <cell r="AN254" t="e">
            <v>#VALUE!</v>
          </cell>
          <cell r="AO254" t="e">
            <v>#VALUE!</v>
          </cell>
          <cell r="AP254">
            <v>500</v>
          </cell>
        </row>
        <row r="255">
          <cell r="A255">
            <v>63901200</v>
          </cell>
          <cell r="C255">
            <v>9012</v>
          </cell>
          <cell r="D255" t="str">
            <v>VAT HAMBURGER UIENSAUS RODE KOOL AARDAPPELKUBUS</v>
          </cell>
          <cell r="E255" t="str">
            <v>VAT</v>
          </cell>
          <cell r="F255" t="str">
            <v>290MM</v>
          </cell>
          <cell r="G255" t="str">
            <v>C2227-3R</v>
          </cell>
          <cell r="H255">
            <v>456</v>
          </cell>
          <cell r="I255">
            <v>0.5</v>
          </cell>
          <cell r="J255" t="str">
            <v>NVT</v>
          </cell>
          <cell r="K255" t="str">
            <v>VAT</v>
          </cell>
          <cell r="L255">
            <v>6</v>
          </cell>
          <cell r="M255" t="str">
            <v xml:space="preserve">VAT X 6 </v>
          </cell>
          <cell r="N255">
            <v>120</v>
          </cell>
          <cell r="O255">
            <v>8717568240077</v>
          </cell>
          <cell r="P255" t="str">
            <v>2T-I</v>
          </cell>
          <cell r="Q255">
            <v>2</v>
          </cell>
          <cell r="R255">
            <v>3</v>
          </cell>
          <cell r="T255">
            <v>2200</v>
          </cell>
          <cell r="U255">
            <v>4</v>
          </cell>
          <cell r="V255">
            <v>2200</v>
          </cell>
          <cell r="W255">
            <v>4</v>
          </cell>
          <cell r="X255">
            <v>0</v>
          </cell>
          <cell r="Y255">
            <v>0</v>
          </cell>
          <cell r="Z255">
            <v>0</v>
          </cell>
          <cell r="AA255" t="str">
            <v>! ! !</v>
          </cell>
          <cell r="AC255">
            <v>3.2000000000000001E-2</v>
          </cell>
          <cell r="AE255" t="str">
            <v>x</v>
          </cell>
          <cell r="AG255">
            <v>45</v>
          </cell>
          <cell r="AJ255" t="str">
            <v>V-A</v>
          </cell>
          <cell r="AK255" t="str">
            <v>Ja</v>
          </cell>
          <cell r="AL255">
            <v>2700</v>
          </cell>
          <cell r="AM255">
            <v>2200</v>
          </cell>
          <cell r="AN255" t="e">
            <v>#VALUE!</v>
          </cell>
          <cell r="AO255" t="e">
            <v>#VALUE!</v>
          </cell>
          <cell r="AP255">
            <v>500</v>
          </cell>
        </row>
        <row r="256">
          <cell r="A256">
            <v>63901300</v>
          </cell>
          <cell r="C256">
            <v>9013</v>
          </cell>
          <cell r="D256" t="str">
            <v xml:space="preserve">VAT ZUURKOOLSTAMPPOT SPEKJES  SCHIJFJES ROOKWORST </v>
          </cell>
          <cell r="E256" t="str">
            <v>VAT</v>
          </cell>
          <cell r="F256" t="str">
            <v>290MM</v>
          </cell>
          <cell r="G256" t="str">
            <v>C2227-2K</v>
          </cell>
          <cell r="H256">
            <v>365</v>
          </cell>
          <cell r="I256">
            <v>0.6</v>
          </cell>
          <cell r="J256" t="str">
            <v>NVT</v>
          </cell>
          <cell r="K256" t="str">
            <v>VAT</v>
          </cell>
          <cell r="L256">
            <v>6</v>
          </cell>
          <cell r="M256" t="str">
            <v xml:space="preserve">VAT X 6 </v>
          </cell>
          <cell r="N256">
            <v>120</v>
          </cell>
          <cell r="O256">
            <v>8717568240091</v>
          </cell>
          <cell r="P256" t="str">
            <v>H-T-I</v>
          </cell>
          <cell r="Q256">
            <v>2</v>
          </cell>
          <cell r="R256">
            <v>3</v>
          </cell>
          <cell r="T256">
            <v>2200</v>
          </cell>
          <cell r="U256">
            <v>2</v>
          </cell>
          <cell r="V256">
            <v>2200</v>
          </cell>
          <cell r="W256">
            <v>2</v>
          </cell>
          <cell r="X256">
            <v>0</v>
          </cell>
          <cell r="Y256">
            <v>0</v>
          </cell>
          <cell r="Z256">
            <v>0</v>
          </cell>
          <cell r="AA256" t="str">
            <v>! !</v>
          </cell>
          <cell r="AC256">
            <v>0</v>
          </cell>
          <cell r="AE256" t="str">
            <v>x</v>
          </cell>
          <cell r="AG256">
            <v>45</v>
          </cell>
          <cell r="AJ256" t="str">
            <v>V-A</v>
          </cell>
          <cell r="AK256" t="str">
            <v>Ja</v>
          </cell>
          <cell r="AL256">
            <v>2700</v>
          </cell>
          <cell r="AM256">
            <v>2200</v>
          </cell>
          <cell r="AN256" t="e">
            <v>#VALUE!</v>
          </cell>
          <cell r="AO256" t="e">
            <v>#VALUE!</v>
          </cell>
          <cell r="AP256">
            <v>500</v>
          </cell>
        </row>
        <row r="257">
          <cell r="A257">
            <v>63901400</v>
          </cell>
          <cell r="C257">
            <v>9014</v>
          </cell>
          <cell r="D257" t="str">
            <v>VAT BOERENKOOLSTAMPPOT SPEKJES SCHIJFJES ROOKWORST</v>
          </cell>
          <cell r="E257" t="str">
            <v>VAT</v>
          </cell>
          <cell r="F257" t="str">
            <v>290MM</v>
          </cell>
          <cell r="G257" t="str">
            <v>C2227-2K</v>
          </cell>
          <cell r="H257">
            <v>365</v>
          </cell>
          <cell r="I257">
            <v>0.6</v>
          </cell>
          <cell r="J257" t="str">
            <v>NVT</v>
          </cell>
          <cell r="K257" t="str">
            <v>VAT</v>
          </cell>
          <cell r="L257">
            <v>6</v>
          </cell>
          <cell r="M257" t="str">
            <v xml:space="preserve">VAT X 6 </v>
          </cell>
          <cell r="N257">
            <v>120</v>
          </cell>
          <cell r="O257">
            <v>8717568240107</v>
          </cell>
          <cell r="P257" t="str">
            <v>H-T-I</v>
          </cell>
          <cell r="Q257">
            <v>2</v>
          </cell>
          <cell r="R257">
            <v>3</v>
          </cell>
          <cell r="T257">
            <v>2200</v>
          </cell>
          <cell r="U257">
            <v>2</v>
          </cell>
          <cell r="V257">
            <v>2200</v>
          </cell>
          <cell r="W257">
            <v>2</v>
          </cell>
          <cell r="X257">
            <v>0</v>
          </cell>
          <cell r="Y257">
            <v>0</v>
          </cell>
          <cell r="Z257">
            <v>0</v>
          </cell>
          <cell r="AA257" t="str">
            <v>! ! !</v>
          </cell>
          <cell r="AC257">
            <v>0</v>
          </cell>
          <cell r="AE257" t="str">
            <v>x</v>
          </cell>
          <cell r="AG257">
            <v>45</v>
          </cell>
          <cell r="AJ257" t="str">
            <v>V-A</v>
          </cell>
          <cell r="AK257" t="str">
            <v>Ja</v>
          </cell>
          <cell r="AL257">
            <v>2700</v>
          </cell>
          <cell r="AM257">
            <v>2200</v>
          </cell>
          <cell r="AN257" t="e">
            <v>#VALUE!</v>
          </cell>
          <cell r="AO257" t="e">
            <v>#VALUE!</v>
          </cell>
          <cell r="AP257">
            <v>500</v>
          </cell>
        </row>
        <row r="258">
          <cell r="A258">
            <v>63901500</v>
          </cell>
          <cell r="C258">
            <v>9015</v>
          </cell>
          <cell r="D258" t="str">
            <v xml:space="preserve">VAT HUTSPOT MET STUKJES RUNDVLEES                </v>
          </cell>
          <cell r="E258" t="str">
            <v>VAT</v>
          </cell>
          <cell r="F258" t="str">
            <v>290MM</v>
          </cell>
          <cell r="G258" t="str">
            <v>C2227-2K</v>
          </cell>
          <cell r="H258">
            <v>456</v>
          </cell>
          <cell r="I258">
            <v>0.54</v>
          </cell>
          <cell r="J258" t="str">
            <v>NVT</v>
          </cell>
          <cell r="K258" t="str">
            <v>VAT</v>
          </cell>
          <cell r="L258">
            <v>6</v>
          </cell>
          <cell r="M258" t="str">
            <v xml:space="preserve">VAT X 6 </v>
          </cell>
          <cell r="N258">
            <v>120</v>
          </cell>
          <cell r="O258">
            <v>8717568240114</v>
          </cell>
          <cell r="P258" t="str">
            <v>H-T-I</v>
          </cell>
          <cell r="Q258">
            <v>2.5</v>
          </cell>
          <cell r="R258">
            <v>3</v>
          </cell>
          <cell r="S258" t="str">
            <v>Pulled Beef tussen D-4 en D-2</v>
          </cell>
          <cell r="T258">
            <v>2200</v>
          </cell>
          <cell r="U258">
            <v>2</v>
          </cell>
          <cell r="V258">
            <v>2200</v>
          </cell>
          <cell r="W258">
            <v>2</v>
          </cell>
          <cell r="X258">
            <v>0</v>
          </cell>
          <cell r="Y258">
            <v>0</v>
          </cell>
          <cell r="Z258">
            <v>0</v>
          </cell>
          <cell r="AA258" t="str">
            <v>! !</v>
          </cell>
          <cell r="AC258">
            <v>0</v>
          </cell>
          <cell r="AE258" t="str">
            <v>x</v>
          </cell>
          <cell r="AG258">
            <v>45</v>
          </cell>
          <cell r="AJ258" t="str">
            <v>-</v>
          </cell>
          <cell r="AK258" t="str">
            <v>Ja</v>
          </cell>
          <cell r="AL258">
            <v>2700</v>
          </cell>
          <cell r="AM258">
            <v>2200</v>
          </cell>
          <cell r="AN258" t="e">
            <v>#VALUE!</v>
          </cell>
          <cell r="AO258" t="e">
            <v>#VALUE!</v>
          </cell>
          <cell r="AP258">
            <v>500</v>
          </cell>
        </row>
        <row r="259">
          <cell r="A259">
            <v>63901600</v>
          </cell>
          <cell r="C259">
            <v>9016</v>
          </cell>
          <cell r="D259" t="str">
            <v xml:space="preserve">VAT SPAGHETTI BOLOGNESE         </v>
          </cell>
          <cell r="E259" t="str">
            <v>VAT</v>
          </cell>
          <cell r="F259" t="str">
            <v>290MM</v>
          </cell>
          <cell r="G259" t="str">
            <v xml:space="preserve">C2227-1H </v>
          </cell>
          <cell r="H259">
            <v>456</v>
          </cell>
          <cell r="I259">
            <v>0.55000000000000004</v>
          </cell>
          <cell r="J259" t="str">
            <v>NVT</v>
          </cell>
          <cell r="K259" t="str">
            <v>VAT</v>
          </cell>
          <cell r="L259">
            <v>6</v>
          </cell>
          <cell r="M259" t="str">
            <v xml:space="preserve">VAT X 6 </v>
          </cell>
          <cell r="N259">
            <v>120</v>
          </cell>
          <cell r="O259">
            <v>8717568240121</v>
          </cell>
          <cell r="P259" t="str">
            <v>2T-M-K</v>
          </cell>
          <cell r="Q259">
            <v>3</v>
          </cell>
          <cell r="R259">
            <v>3</v>
          </cell>
          <cell r="T259">
            <v>2200</v>
          </cell>
          <cell r="U259">
            <v>4</v>
          </cell>
          <cell r="V259">
            <v>2200</v>
          </cell>
          <cell r="W259">
            <v>4</v>
          </cell>
          <cell r="X259">
            <v>0</v>
          </cell>
          <cell r="Y259">
            <v>0</v>
          </cell>
          <cell r="Z259">
            <v>0</v>
          </cell>
          <cell r="AA259" t="str">
            <v>! ! !</v>
          </cell>
          <cell r="AC259">
            <v>0</v>
          </cell>
          <cell r="AE259" t="str">
            <v>x</v>
          </cell>
          <cell r="AG259">
            <v>45</v>
          </cell>
          <cell r="AJ259" t="str">
            <v>-</v>
          </cell>
          <cell r="AK259" t="str">
            <v>Ja</v>
          </cell>
          <cell r="AL259">
            <v>2700</v>
          </cell>
          <cell r="AM259">
            <v>2200</v>
          </cell>
          <cell r="AN259" t="e">
            <v>#VALUE!</v>
          </cell>
          <cell r="AO259" t="e">
            <v>#VALUE!</v>
          </cell>
          <cell r="AP259">
            <v>500</v>
          </cell>
        </row>
        <row r="260">
          <cell r="A260">
            <v>63901700</v>
          </cell>
          <cell r="C260">
            <v>9017</v>
          </cell>
          <cell r="D260" t="str">
            <v xml:space="preserve">VAT MACARONI IN TOMATENSAUS MET HAM EN KAAS       </v>
          </cell>
          <cell r="E260" t="str">
            <v>VAT</v>
          </cell>
          <cell r="F260" t="str">
            <v>290MM</v>
          </cell>
          <cell r="G260" t="str">
            <v xml:space="preserve">C2227-1H </v>
          </cell>
          <cell r="H260">
            <v>456</v>
          </cell>
          <cell r="I260">
            <v>0.55000000000000004</v>
          </cell>
          <cell r="J260" t="str">
            <v>NVT</v>
          </cell>
          <cell r="K260" t="str">
            <v>VAT</v>
          </cell>
          <cell r="L260">
            <v>6</v>
          </cell>
          <cell r="M260" t="str">
            <v xml:space="preserve">VAT X 6 </v>
          </cell>
          <cell r="N260">
            <v>120</v>
          </cell>
          <cell r="O260">
            <v>8717568240138</v>
          </cell>
          <cell r="P260" t="str">
            <v>2T-M-K</v>
          </cell>
          <cell r="Q260">
            <v>2.5</v>
          </cell>
          <cell r="R260">
            <v>3</v>
          </cell>
          <cell r="T260">
            <v>2000</v>
          </cell>
          <cell r="U260">
            <v>4</v>
          </cell>
          <cell r="V260">
            <v>2000</v>
          </cell>
          <cell r="W260">
            <v>4</v>
          </cell>
          <cell r="X260">
            <v>0</v>
          </cell>
          <cell r="Y260">
            <v>0</v>
          </cell>
          <cell r="Z260">
            <v>0</v>
          </cell>
          <cell r="AA260" t="str">
            <v>! !</v>
          </cell>
          <cell r="AC260">
            <v>0</v>
          </cell>
          <cell r="AE260" t="str">
            <v>x</v>
          </cell>
          <cell r="AJ260" t="str">
            <v>V-A</v>
          </cell>
          <cell r="AK260" t="str">
            <v>Ja</v>
          </cell>
          <cell r="AL260">
            <v>0</v>
          </cell>
          <cell r="AM260">
            <v>2000</v>
          </cell>
          <cell r="AN260" t="e">
            <v>#VALUE!</v>
          </cell>
          <cell r="AO260" t="e">
            <v>#VALUE!</v>
          </cell>
          <cell r="AP260">
            <v>-2000</v>
          </cell>
        </row>
        <row r="261">
          <cell r="A261">
            <v>63901800</v>
          </cell>
          <cell r="C261">
            <v>9018</v>
          </cell>
          <cell r="D261" t="str">
            <v xml:space="preserve">VAT BABI PANGANG MET RIJSTFANTASIE                </v>
          </cell>
          <cell r="E261" t="str">
            <v>VAT</v>
          </cell>
          <cell r="F261" t="str">
            <v>290MM</v>
          </cell>
          <cell r="G261" t="str">
            <v>C2227-2K</v>
          </cell>
          <cell r="H261">
            <v>456</v>
          </cell>
          <cell r="I261">
            <v>0.5</v>
          </cell>
          <cell r="J261" t="str">
            <v>NVT</v>
          </cell>
          <cell r="K261" t="str">
            <v>VAT</v>
          </cell>
          <cell r="L261">
            <v>6</v>
          </cell>
          <cell r="M261" t="str">
            <v xml:space="preserve">VAT X 6 </v>
          </cell>
          <cell r="N261">
            <v>120</v>
          </cell>
          <cell r="O261">
            <v>8717568240145</v>
          </cell>
          <cell r="P261" t="str">
            <v>2T-I-M</v>
          </cell>
          <cell r="Q261">
            <v>3</v>
          </cell>
          <cell r="R261">
            <v>3</v>
          </cell>
          <cell r="S261" t="str">
            <v>RIJST D-1</v>
          </cell>
          <cell r="T261">
            <v>2200</v>
          </cell>
          <cell r="U261">
            <v>4</v>
          </cell>
          <cell r="V261">
            <v>2200</v>
          </cell>
          <cell r="W261">
            <v>4</v>
          </cell>
          <cell r="X261">
            <v>0</v>
          </cell>
          <cell r="Y261">
            <v>0</v>
          </cell>
          <cell r="Z261">
            <v>0</v>
          </cell>
          <cell r="AA261" t="str">
            <v>! ! ! ! !</v>
          </cell>
          <cell r="AC261">
            <v>0</v>
          </cell>
          <cell r="AE261" t="str">
            <v>x</v>
          </cell>
          <cell r="AG261">
            <v>45</v>
          </cell>
          <cell r="AJ261" t="str">
            <v>V-A</v>
          </cell>
          <cell r="AK261" t="str">
            <v>Ja</v>
          </cell>
          <cell r="AL261">
            <v>2700</v>
          </cell>
          <cell r="AM261">
            <v>2200</v>
          </cell>
          <cell r="AN261" t="e">
            <v>#VALUE!</v>
          </cell>
          <cell r="AO261" t="e">
            <v>#VALUE!</v>
          </cell>
          <cell r="AP261">
            <v>500</v>
          </cell>
        </row>
        <row r="262">
          <cell r="A262">
            <v>63901900</v>
          </cell>
          <cell r="C262">
            <v>9019</v>
          </cell>
          <cell r="D262" t="str">
            <v xml:space="preserve">VAT BAMI GORENG SPECIAAL MET KIP IN SATESAUS      </v>
          </cell>
          <cell r="E262" t="str">
            <v>VAT</v>
          </cell>
          <cell r="F262" t="str">
            <v>290MM</v>
          </cell>
          <cell r="G262" t="str">
            <v>C2227-2K</v>
          </cell>
          <cell r="H262">
            <v>456</v>
          </cell>
          <cell r="I262">
            <v>0.55000000000000004</v>
          </cell>
          <cell r="J262" t="str">
            <v>NVT</v>
          </cell>
          <cell r="K262" t="str">
            <v>VAT</v>
          </cell>
          <cell r="L262">
            <v>6</v>
          </cell>
          <cell r="M262" t="str">
            <v xml:space="preserve">VAT X 6 </v>
          </cell>
          <cell r="N262">
            <v>120</v>
          </cell>
          <cell r="O262">
            <v>8717568240169</v>
          </cell>
          <cell r="P262" t="str">
            <v>T-M-I</v>
          </cell>
          <cell r="Q262">
            <v>3</v>
          </cell>
          <cell r="R262">
            <v>3</v>
          </cell>
          <cell r="S262" t="str">
            <v>D-1 voorbereiden mengeling bami (sambal, soja, look etc) (samen met iglo (1p))</v>
          </cell>
          <cell r="T262">
            <v>2200</v>
          </cell>
          <cell r="U262">
            <v>4</v>
          </cell>
          <cell r="V262">
            <v>2200</v>
          </cell>
          <cell r="W262">
            <v>4</v>
          </cell>
          <cell r="X262">
            <v>0</v>
          </cell>
          <cell r="Y262">
            <v>0</v>
          </cell>
          <cell r="Z262">
            <v>0</v>
          </cell>
          <cell r="AA262" t="str">
            <v>X</v>
          </cell>
          <cell r="AC262">
            <v>0</v>
          </cell>
          <cell r="AE262" t="str">
            <v>x</v>
          </cell>
          <cell r="AG262">
            <v>45</v>
          </cell>
          <cell r="AJ262" t="str">
            <v>V-A</v>
          </cell>
          <cell r="AK262" t="str">
            <v>Ja</v>
          </cell>
          <cell r="AL262">
            <v>2700</v>
          </cell>
          <cell r="AM262">
            <v>2200</v>
          </cell>
          <cell r="AN262" t="e">
            <v>#VALUE!</v>
          </cell>
          <cell r="AO262" t="e">
            <v>#VALUE!</v>
          </cell>
          <cell r="AP262">
            <v>500</v>
          </cell>
        </row>
        <row r="263">
          <cell r="A263">
            <v>63902000</v>
          </cell>
          <cell r="C263">
            <v>9020</v>
          </cell>
          <cell r="D263" t="str">
            <v xml:space="preserve">VAT NASI GORENG SPECIAAL MET KIP IN SATESAUS      </v>
          </cell>
          <cell r="E263" t="str">
            <v>VAT</v>
          </cell>
          <cell r="F263" t="str">
            <v>290MM</v>
          </cell>
          <cell r="G263" t="str">
            <v>C2227-2K</v>
          </cell>
          <cell r="H263">
            <v>456</v>
          </cell>
          <cell r="I263">
            <v>0.55000000000000004</v>
          </cell>
          <cell r="J263" t="str">
            <v>NVT</v>
          </cell>
          <cell r="K263" t="str">
            <v>VAT</v>
          </cell>
          <cell r="L263">
            <v>6</v>
          </cell>
          <cell r="M263" t="str">
            <v xml:space="preserve">VAT X 6 </v>
          </cell>
          <cell r="N263">
            <v>120</v>
          </cell>
          <cell r="O263">
            <v>8717568240176</v>
          </cell>
          <cell r="P263" t="str">
            <v>T-M-I</v>
          </cell>
          <cell r="Q263">
            <v>3</v>
          </cell>
          <cell r="R263">
            <v>3</v>
          </cell>
          <cell r="S263" t="str">
            <v>RIJST D-1, D-1 voorbereiden mengeling rijst (sambal, soja, look etc) (samen met iglo (1p))</v>
          </cell>
          <cell r="T263">
            <v>2200</v>
          </cell>
          <cell r="U263">
            <v>4</v>
          </cell>
          <cell r="V263">
            <v>2200</v>
          </cell>
          <cell r="W263">
            <v>4</v>
          </cell>
          <cell r="X263">
            <v>0</v>
          </cell>
          <cell r="Y263">
            <v>0</v>
          </cell>
          <cell r="Z263">
            <v>0</v>
          </cell>
          <cell r="AA263" t="str">
            <v>X</v>
          </cell>
          <cell r="AC263">
            <v>0</v>
          </cell>
          <cell r="AE263" t="str">
            <v>x</v>
          </cell>
          <cell r="AG263">
            <v>45</v>
          </cell>
          <cell r="AJ263" t="str">
            <v>V-A</v>
          </cell>
          <cell r="AK263" t="str">
            <v>Ja</v>
          </cell>
          <cell r="AL263">
            <v>2700</v>
          </cell>
          <cell r="AM263">
            <v>2200</v>
          </cell>
          <cell r="AN263" t="e">
            <v>#VALUE!</v>
          </cell>
          <cell r="AO263" t="e">
            <v>#VALUE!</v>
          </cell>
          <cell r="AP263">
            <v>500</v>
          </cell>
        </row>
        <row r="264">
          <cell r="A264">
            <v>63902100</v>
          </cell>
          <cell r="C264">
            <v>9021</v>
          </cell>
          <cell r="D264" t="str">
            <v xml:space="preserve">VAT KIP IN KERRIESAUS MET DOPERWTEN EN RIJST      </v>
          </cell>
          <cell r="E264" t="str">
            <v>VAT</v>
          </cell>
          <cell r="F264" t="str">
            <v>290MM</v>
          </cell>
          <cell r="G264" t="str">
            <v>C2227-3R</v>
          </cell>
          <cell r="H264">
            <v>456</v>
          </cell>
          <cell r="I264">
            <v>0.5</v>
          </cell>
          <cell r="J264" t="str">
            <v>NVT</v>
          </cell>
          <cell r="K264" t="str">
            <v>VAT</v>
          </cell>
          <cell r="L264">
            <v>6</v>
          </cell>
          <cell r="M264" t="str">
            <v xml:space="preserve">VAT X 6 </v>
          </cell>
          <cell r="N264">
            <v>120</v>
          </cell>
          <cell r="O264">
            <v>8717568240183</v>
          </cell>
          <cell r="P264" t="str">
            <v>I-T</v>
          </cell>
          <cell r="Q264">
            <v>3</v>
          </cell>
          <cell r="R264">
            <v>3</v>
          </cell>
          <cell r="T264">
            <v>2200</v>
          </cell>
          <cell r="U264">
            <v>6</v>
          </cell>
          <cell r="V264">
            <v>2200</v>
          </cell>
          <cell r="W264">
            <v>6</v>
          </cell>
          <cell r="X264">
            <v>0</v>
          </cell>
          <cell r="Y264">
            <v>0</v>
          </cell>
          <cell r="Z264">
            <v>0</v>
          </cell>
          <cell r="AA264" t="str">
            <v>! ! !</v>
          </cell>
          <cell r="AC264">
            <v>0</v>
          </cell>
          <cell r="AE264" t="str">
            <v>x</v>
          </cell>
          <cell r="AG264">
            <v>45</v>
          </cell>
          <cell r="AJ264" t="str">
            <v>-</v>
          </cell>
          <cell r="AK264" t="str">
            <v>Ja</v>
          </cell>
          <cell r="AL264">
            <v>2700</v>
          </cell>
          <cell r="AM264">
            <v>2200</v>
          </cell>
          <cell r="AN264" t="e">
            <v>#VALUE!</v>
          </cell>
          <cell r="AO264" t="e">
            <v>#VALUE!</v>
          </cell>
          <cell r="AP264">
            <v>500</v>
          </cell>
        </row>
        <row r="265">
          <cell r="A265">
            <v>63902300</v>
          </cell>
          <cell r="C265">
            <v>9023</v>
          </cell>
          <cell r="D265" t="str">
            <v xml:space="preserve">VAT GEHAKTBAL BLOEMKOOL BROCCOLI GEK. AARD     </v>
          </cell>
          <cell r="E265" t="str">
            <v>VAT</v>
          </cell>
          <cell r="F265" t="str">
            <v>290MM</v>
          </cell>
          <cell r="G265" t="str">
            <v>C2227-3R</v>
          </cell>
          <cell r="H265">
            <v>456</v>
          </cell>
          <cell r="I265">
            <v>0.48499999999999999</v>
          </cell>
          <cell r="J265" t="str">
            <v>NVT</v>
          </cell>
          <cell r="K265" t="str">
            <v>VAT</v>
          </cell>
          <cell r="L265">
            <v>6</v>
          </cell>
          <cell r="M265" t="str">
            <v xml:space="preserve">VAT X 6 </v>
          </cell>
          <cell r="N265">
            <v>120</v>
          </cell>
          <cell r="O265">
            <v>8717568240206</v>
          </cell>
          <cell r="P265" t="str">
            <v>I-T</v>
          </cell>
          <cell r="Q265">
            <v>2.5</v>
          </cell>
          <cell r="R265">
            <v>3</v>
          </cell>
          <cell r="S265" t="str">
            <v>AARDAPPELEN steamen D-0</v>
          </cell>
          <cell r="T265">
            <v>2200</v>
          </cell>
          <cell r="U265">
            <v>6</v>
          </cell>
          <cell r="V265">
            <v>2200</v>
          </cell>
          <cell r="W265">
            <v>6</v>
          </cell>
          <cell r="X265">
            <v>0</v>
          </cell>
          <cell r="Y265">
            <v>0</v>
          </cell>
          <cell r="Z265">
            <v>0</v>
          </cell>
          <cell r="AA265" t="str">
            <v>! !</v>
          </cell>
          <cell r="AC265">
            <v>5.1449999999999996E-2</v>
          </cell>
          <cell r="AE265" t="str">
            <v>x</v>
          </cell>
          <cell r="AG265">
            <v>45</v>
          </cell>
          <cell r="AJ265" t="str">
            <v>V-A</v>
          </cell>
          <cell r="AK265" t="str">
            <v>Ja</v>
          </cell>
          <cell r="AL265">
            <v>2700</v>
          </cell>
          <cell r="AM265">
            <v>2200</v>
          </cell>
          <cell r="AN265" t="e">
            <v>#VALUE!</v>
          </cell>
          <cell r="AO265" t="e">
            <v>#VALUE!</v>
          </cell>
          <cell r="AP265">
            <v>500</v>
          </cell>
        </row>
        <row r="266">
          <cell r="A266">
            <v>63902500</v>
          </cell>
          <cell r="C266">
            <v>9025</v>
          </cell>
          <cell r="D266" t="str">
            <v xml:space="preserve">VAT WITLOFSCHOTEL HAM KAASSAUS EN AARDAPPELPUREE  </v>
          </cell>
          <cell r="E266" t="str">
            <v>VAT</v>
          </cell>
          <cell r="F266" t="str">
            <v>290MM</v>
          </cell>
          <cell r="G266" t="str">
            <v>C2227-2K</v>
          </cell>
          <cell r="H266">
            <v>456</v>
          </cell>
          <cell r="I266">
            <v>0.52</v>
          </cell>
          <cell r="J266" t="str">
            <v>NVT</v>
          </cell>
          <cell r="K266" t="str">
            <v>VAT</v>
          </cell>
          <cell r="L266">
            <v>6</v>
          </cell>
          <cell r="M266" t="str">
            <v xml:space="preserve">VAT X 6 </v>
          </cell>
          <cell r="N266">
            <v>120</v>
          </cell>
          <cell r="O266">
            <v>8717568240220</v>
          </cell>
          <cell r="P266" t="str">
            <v>T-H-K</v>
          </cell>
          <cell r="Q266">
            <v>2</v>
          </cell>
          <cell r="R266">
            <v>3</v>
          </cell>
          <cell r="T266">
            <v>2000</v>
          </cell>
          <cell r="U266">
            <v>4</v>
          </cell>
          <cell r="V266">
            <v>2000</v>
          </cell>
          <cell r="W266">
            <v>4</v>
          </cell>
          <cell r="X266">
            <v>0</v>
          </cell>
          <cell r="Y266">
            <v>0</v>
          </cell>
          <cell r="Z266">
            <v>0</v>
          </cell>
          <cell r="AA266" t="str">
            <v>! ! !</v>
          </cell>
          <cell r="AC266">
            <v>0.17410909090909088</v>
          </cell>
          <cell r="AE266" t="str">
            <v>x</v>
          </cell>
          <cell r="AJ266" t="str">
            <v>V-A</v>
          </cell>
          <cell r="AK266" t="str">
            <v>Ja</v>
          </cell>
          <cell r="AL266">
            <v>0</v>
          </cell>
          <cell r="AM266">
            <v>2000</v>
          </cell>
          <cell r="AN266" t="e">
            <v>#VALUE!</v>
          </cell>
          <cell r="AO266" t="e">
            <v>#VALUE!</v>
          </cell>
          <cell r="AP266">
            <v>-2000</v>
          </cell>
        </row>
        <row r="267">
          <cell r="A267">
            <v>63902700</v>
          </cell>
          <cell r="C267">
            <v>9027</v>
          </cell>
          <cell r="D267" t="str">
            <v xml:space="preserve">VAT GEHAKTBAL WITLOF GEK AARDAPPELEN BIESLOOK  </v>
          </cell>
          <cell r="E267" t="str">
            <v>VAT</v>
          </cell>
          <cell r="F267" t="str">
            <v>290MM</v>
          </cell>
          <cell r="G267" t="str">
            <v>C2227-3R</v>
          </cell>
          <cell r="H267">
            <v>456</v>
          </cell>
          <cell r="I267">
            <v>0.52500000000000002</v>
          </cell>
          <cell r="J267" t="str">
            <v>NVT</v>
          </cell>
          <cell r="K267" t="str">
            <v>VAT</v>
          </cell>
          <cell r="L267">
            <v>6</v>
          </cell>
          <cell r="M267" t="str">
            <v xml:space="preserve">VAT X 6 </v>
          </cell>
          <cell r="N267">
            <v>120</v>
          </cell>
          <cell r="O267">
            <v>8717568242613</v>
          </cell>
          <cell r="P267" t="str">
            <v>2T</v>
          </cell>
          <cell r="Q267">
            <v>2</v>
          </cell>
          <cell r="R267">
            <v>3</v>
          </cell>
          <cell r="T267">
            <v>2200</v>
          </cell>
          <cell r="U267">
            <v>4</v>
          </cell>
          <cell r="V267">
            <v>2200</v>
          </cell>
          <cell r="W267">
            <v>4</v>
          </cell>
          <cell r="X267">
            <v>0</v>
          </cell>
          <cell r="Y267">
            <v>0</v>
          </cell>
          <cell r="Z267">
            <v>0</v>
          </cell>
          <cell r="AA267" t="str">
            <v>! !</v>
          </cell>
          <cell r="AC267">
            <v>0</v>
          </cell>
          <cell r="AE267" t="str">
            <v>x</v>
          </cell>
          <cell r="AG267">
            <v>45</v>
          </cell>
          <cell r="AJ267" t="str">
            <v>V-A</v>
          </cell>
          <cell r="AK267" t="str">
            <v>Ja</v>
          </cell>
          <cell r="AL267">
            <v>2700</v>
          </cell>
          <cell r="AM267">
            <v>2200</v>
          </cell>
          <cell r="AN267" t="e">
            <v>#VALUE!</v>
          </cell>
          <cell r="AO267" t="e">
            <v>#VALUE!</v>
          </cell>
          <cell r="AP267">
            <v>500</v>
          </cell>
        </row>
        <row r="268">
          <cell r="A268">
            <v>63902800</v>
          </cell>
          <cell r="C268">
            <v>9028</v>
          </cell>
          <cell r="D268" t="str">
            <v xml:space="preserve">VAT GEHAKTBAL ANDIJVIE A LA CREME AARDAPPELPUREE  </v>
          </cell>
          <cell r="E268" t="str">
            <v>VAT</v>
          </cell>
          <cell r="F268" t="str">
            <v>290MM</v>
          </cell>
          <cell r="G268" t="str">
            <v>C2227-3R</v>
          </cell>
          <cell r="H268">
            <v>456</v>
          </cell>
          <cell r="I268">
            <v>0.5</v>
          </cell>
          <cell r="J268" t="str">
            <v>NVT</v>
          </cell>
          <cell r="K268" t="str">
            <v>VAT</v>
          </cell>
          <cell r="L268">
            <v>6</v>
          </cell>
          <cell r="M268" t="str">
            <v xml:space="preserve">VAT X 6 </v>
          </cell>
          <cell r="N268">
            <v>120</v>
          </cell>
          <cell r="O268">
            <v>8717568240251</v>
          </cell>
          <cell r="P268" t="str">
            <v>2T-H</v>
          </cell>
          <cell r="Q268">
            <v>2.5</v>
          </cell>
          <cell r="R268">
            <v>3</v>
          </cell>
          <cell r="T268">
            <v>2200</v>
          </cell>
          <cell r="U268">
            <v>2</v>
          </cell>
          <cell r="V268">
            <v>2200</v>
          </cell>
          <cell r="W268">
            <v>2</v>
          </cell>
          <cell r="X268">
            <v>0</v>
          </cell>
          <cell r="Y268">
            <v>0</v>
          </cell>
          <cell r="Z268">
            <v>0</v>
          </cell>
          <cell r="AA268" t="str">
            <v>! !</v>
          </cell>
          <cell r="AC268">
            <v>0</v>
          </cell>
          <cell r="AE268" t="str">
            <v>x</v>
          </cell>
          <cell r="AG268">
            <v>45</v>
          </cell>
          <cell r="AJ268" t="str">
            <v>V-A</v>
          </cell>
          <cell r="AK268" t="str">
            <v>Ja</v>
          </cell>
          <cell r="AL268">
            <v>2700</v>
          </cell>
          <cell r="AM268">
            <v>2200</v>
          </cell>
          <cell r="AN268" t="e">
            <v>#VALUE!</v>
          </cell>
          <cell r="AO268" t="e">
            <v>#VALUE!</v>
          </cell>
          <cell r="AP268">
            <v>500</v>
          </cell>
        </row>
        <row r="269">
          <cell r="A269">
            <v>63902900</v>
          </cell>
          <cell r="C269">
            <v>9029</v>
          </cell>
          <cell r="D269" t="str">
            <v>VAT JACHTSCHOTEL APPEL RODE KOOL EN AARDAPPELPUREE</v>
          </cell>
          <cell r="E269" t="str">
            <v>VAT</v>
          </cell>
          <cell r="F269" t="str">
            <v>290MM</v>
          </cell>
          <cell r="G269" t="str">
            <v>C2227-3R</v>
          </cell>
          <cell r="H269">
            <v>456</v>
          </cell>
          <cell r="I269">
            <v>0.55000000000000004</v>
          </cell>
          <cell r="J269" t="str">
            <v>NVT</v>
          </cell>
          <cell r="K269" t="str">
            <v>VAT</v>
          </cell>
          <cell r="L269">
            <v>6</v>
          </cell>
          <cell r="M269" t="str">
            <v xml:space="preserve">VAT X 6 </v>
          </cell>
          <cell r="N269">
            <v>120</v>
          </cell>
          <cell r="O269">
            <v>8717568240268</v>
          </cell>
          <cell r="P269" t="str">
            <v>2T-H-I</v>
          </cell>
          <cell r="Q269">
            <v>3</v>
          </cell>
          <cell r="R269">
            <v>3</v>
          </cell>
          <cell r="S269" t="str">
            <v>Pulled Beef tussen D-4 en D-2, APPELS wellen D-1, idem 63516800</v>
          </cell>
          <cell r="T269">
            <v>2200</v>
          </cell>
          <cell r="U269">
            <v>3</v>
          </cell>
          <cell r="V269">
            <v>2200</v>
          </cell>
          <cell r="W269">
            <v>3</v>
          </cell>
          <cell r="X269">
            <v>0</v>
          </cell>
          <cell r="Y269">
            <v>0</v>
          </cell>
          <cell r="Z269">
            <v>0</v>
          </cell>
          <cell r="AA269" t="str">
            <v>! ! !</v>
          </cell>
          <cell r="AC269">
            <v>0</v>
          </cell>
          <cell r="AE269" t="str">
            <v>x</v>
          </cell>
          <cell r="AG269">
            <v>45</v>
          </cell>
          <cell r="AJ269" t="str">
            <v>V-A</v>
          </cell>
          <cell r="AK269" t="str">
            <v>Ja</v>
          </cell>
          <cell r="AL269">
            <v>2700</v>
          </cell>
          <cell r="AM269">
            <v>2200</v>
          </cell>
          <cell r="AN269" t="e">
            <v>#VALUE!</v>
          </cell>
          <cell r="AO269" t="e">
            <v>#VALUE!</v>
          </cell>
          <cell r="AP269">
            <v>500</v>
          </cell>
        </row>
        <row r="270">
          <cell r="A270">
            <v>63903000</v>
          </cell>
          <cell r="C270">
            <v>9030</v>
          </cell>
          <cell r="D270" t="str">
            <v xml:space="preserve">VAT HONGAARSE GOULASH MET DOPERWTJES EN RIJST     </v>
          </cell>
          <cell r="E270" t="str">
            <v>VAT</v>
          </cell>
          <cell r="F270" t="str">
            <v>290MM</v>
          </cell>
          <cell r="G270" t="str">
            <v>C2227-3R</v>
          </cell>
          <cell r="H270">
            <v>456</v>
          </cell>
          <cell r="I270">
            <v>0.5</v>
          </cell>
          <cell r="J270" t="str">
            <v>NVT</v>
          </cell>
          <cell r="K270" t="str">
            <v>VAT</v>
          </cell>
          <cell r="L270">
            <v>6</v>
          </cell>
          <cell r="M270" t="str">
            <v xml:space="preserve">VAT X 6 </v>
          </cell>
          <cell r="N270">
            <v>120</v>
          </cell>
          <cell r="O270">
            <v>8717568240275</v>
          </cell>
          <cell r="P270" t="str">
            <v>T-I</v>
          </cell>
          <cell r="Q270">
            <v>3</v>
          </cell>
          <cell r="R270">
            <v>3</v>
          </cell>
          <cell r="S270" t="str">
            <v>Pulled Beef tussen D-4 en D-2</v>
          </cell>
          <cell r="T270">
            <v>2000</v>
          </cell>
          <cell r="U270">
            <v>6</v>
          </cell>
          <cell r="V270">
            <v>2000</v>
          </cell>
          <cell r="W270">
            <v>6</v>
          </cell>
          <cell r="X270">
            <v>0</v>
          </cell>
          <cell r="Y270">
            <v>0</v>
          </cell>
          <cell r="Z270">
            <v>0</v>
          </cell>
          <cell r="AA270" t="str">
            <v>-</v>
          </cell>
          <cell r="AC270">
            <v>0</v>
          </cell>
          <cell r="AE270" t="str">
            <v>x</v>
          </cell>
          <cell r="AJ270" t="str">
            <v>V-A</v>
          </cell>
          <cell r="AK270" t="str">
            <v>Ja</v>
          </cell>
          <cell r="AL270">
            <v>0</v>
          </cell>
          <cell r="AM270">
            <v>2000</v>
          </cell>
          <cell r="AN270" t="e">
            <v>#VALUE!</v>
          </cell>
          <cell r="AO270" t="e">
            <v>#VALUE!</v>
          </cell>
          <cell r="AP270">
            <v>-2000</v>
          </cell>
        </row>
        <row r="271">
          <cell r="A271">
            <v>63903200</v>
          </cell>
          <cell r="C271">
            <v>9032</v>
          </cell>
          <cell r="D271" t="str">
            <v xml:space="preserve">VAT VARKENSHAASJE SPINAZIE A LA CREME GEK KRIEL   </v>
          </cell>
          <cell r="E271" t="str">
            <v>VAT</v>
          </cell>
          <cell r="F271" t="str">
            <v>290MM</v>
          </cell>
          <cell r="G271" t="str">
            <v>C2227-3R</v>
          </cell>
          <cell r="H271">
            <v>456</v>
          </cell>
          <cell r="I271">
            <v>0.5</v>
          </cell>
          <cell r="J271" t="str">
            <v>NVT</v>
          </cell>
          <cell r="K271" t="str">
            <v>VAT</v>
          </cell>
          <cell r="L271">
            <v>6</v>
          </cell>
          <cell r="M271" t="str">
            <v xml:space="preserve">VAT X 6 </v>
          </cell>
          <cell r="N271">
            <v>120</v>
          </cell>
          <cell r="O271">
            <v>8717568240299</v>
          </cell>
          <cell r="P271" t="str">
            <v>2T</v>
          </cell>
          <cell r="Q271">
            <v>2</v>
          </cell>
          <cell r="R271">
            <v>3</v>
          </cell>
          <cell r="T271">
            <v>2200</v>
          </cell>
          <cell r="U271">
            <v>5</v>
          </cell>
          <cell r="V271">
            <v>2200</v>
          </cell>
          <cell r="W271">
            <v>5</v>
          </cell>
          <cell r="X271">
            <v>0</v>
          </cell>
          <cell r="Y271">
            <v>0</v>
          </cell>
          <cell r="Z271">
            <v>0</v>
          </cell>
          <cell r="AA271" t="str">
            <v>! !</v>
          </cell>
          <cell r="AC271">
            <v>0</v>
          </cell>
          <cell r="AE271" t="str">
            <v>x</v>
          </cell>
          <cell r="AG271">
            <v>45</v>
          </cell>
          <cell r="AJ271" t="str">
            <v>V-A</v>
          </cell>
          <cell r="AK271" t="str">
            <v>Ja</v>
          </cell>
          <cell r="AL271">
            <v>2700</v>
          </cell>
          <cell r="AM271">
            <v>2200</v>
          </cell>
          <cell r="AN271" t="e">
            <v>#VALUE!</v>
          </cell>
          <cell r="AO271" t="e">
            <v>#VALUE!</v>
          </cell>
          <cell r="AP271">
            <v>500</v>
          </cell>
        </row>
        <row r="272">
          <cell r="A272">
            <v>63903400</v>
          </cell>
          <cell r="C272">
            <v>9034</v>
          </cell>
          <cell r="D272" t="str">
            <v xml:space="preserve">VAT VISSTICKS BOTERSAUS TUTTI FRUTTI GEB AARDAP.   </v>
          </cell>
          <cell r="E272" t="str">
            <v>VAT</v>
          </cell>
          <cell r="F272" t="str">
            <v>290MM</v>
          </cell>
          <cell r="G272" t="str">
            <v>C2227-3R</v>
          </cell>
          <cell r="H272">
            <v>456</v>
          </cell>
          <cell r="I272">
            <v>0.46</v>
          </cell>
          <cell r="J272" t="str">
            <v>NVT</v>
          </cell>
          <cell r="K272" t="str">
            <v>VAT</v>
          </cell>
          <cell r="L272">
            <v>6</v>
          </cell>
          <cell r="M272" t="str">
            <v xml:space="preserve">VAT X 6 </v>
          </cell>
          <cell r="N272">
            <v>120</v>
          </cell>
          <cell r="O272">
            <v>8717568240329</v>
          </cell>
          <cell r="P272" t="str">
            <v>T-I</v>
          </cell>
          <cell r="Q272">
            <v>1</v>
          </cell>
          <cell r="R272">
            <v>3</v>
          </cell>
          <cell r="S272" t="str">
            <v>TUTTI FRUTTI D-1</v>
          </cell>
          <cell r="T272">
            <v>2200</v>
          </cell>
          <cell r="U272">
            <v>7</v>
          </cell>
          <cell r="V272">
            <v>2200</v>
          </cell>
          <cell r="W272">
            <v>7</v>
          </cell>
          <cell r="X272">
            <v>0</v>
          </cell>
          <cell r="Y272">
            <v>0</v>
          </cell>
          <cell r="Z272">
            <v>0</v>
          </cell>
          <cell r="AA272" t="str">
            <v>! ! ! !</v>
          </cell>
          <cell r="AC272">
            <v>0</v>
          </cell>
          <cell r="AE272" t="str">
            <v>x</v>
          </cell>
          <cell r="AG272">
            <v>45</v>
          </cell>
          <cell r="AJ272" t="str">
            <v>-</v>
          </cell>
          <cell r="AK272" t="str">
            <v>Ja</v>
          </cell>
          <cell r="AL272">
            <v>2700</v>
          </cell>
          <cell r="AM272">
            <v>2200</v>
          </cell>
          <cell r="AN272" t="e">
            <v>#VALUE!</v>
          </cell>
          <cell r="AO272" t="e">
            <v>#VALUE!</v>
          </cell>
          <cell r="AP272">
            <v>500</v>
          </cell>
        </row>
        <row r="273">
          <cell r="A273">
            <v>63903600</v>
          </cell>
          <cell r="C273">
            <v>9036</v>
          </cell>
          <cell r="D273" t="str">
            <v>VAT KIPFILET SPERZIEBONEN EN GEKRUIDE AARDAPPELENKUBUS</v>
          </cell>
          <cell r="E273" t="str">
            <v>VAT</v>
          </cell>
          <cell r="F273" t="str">
            <v>290MM</v>
          </cell>
          <cell r="G273" t="str">
            <v>C2227-3R</v>
          </cell>
          <cell r="H273">
            <v>456</v>
          </cell>
          <cell r="I273">
            <v>0.5</v>
          </cell>
          <cell r="J273" t="str">
            <v>NVT</v>
          </cell>
          <cell r="K273" t="str">
            <v>VAT</v>
          </cell>
          <cell r="L273">
            <v>6</v>
          </cell>
          <cell r="M273" t="str">
            <v xml:space="preserve">VAT X 6 </v>
          </cell>
          <cell r="N273">
            <v>120</v>
          </cell>
          <cell r="O273">
            <v>8717568240343</v>
          </cell>
          <cell r="P273" t="str">
            <v>I-T</v>
          </cell>
          <cell r="Q273">
            <v>2</v>
          </cell>
          <cell r="R273">
            <v>3</v>
          </cell>
          <cell r="T273">
            <v>2000</v>
          </cell>
          <cell r="U273">
            <v>5</v>
          </cell>
          <cell r="V273">
            <v>2000</v>
          </cell>
          <cell r="W273">
            <v>5</v>
          </cell>
          <cell r="X273">
            <v>0</v>
          </cell>
          <cell r="Y273">
            <v>0</v>
          </cell>
          <cell r="Z273">
            <v>0</v>
          </cell>
          <cell r="AA273" t="str">
            <v>! ! !</v>
          </cell>
          <cell r="AC273">
            <v>0</v>
          </cell>
          <cell r="AE273" t="str">
            <v>x</v>
          </cell>
          <cell r="AJ273" t="str">
            <v>-</v>
          </cell>
          <cell r="AK273" t="str">
            <v>Ja</v>
          </cell>
          <cell r="AL273">
            <v>0</v>
          </cell>
          <cell r="AM273">
            <v>2000</v>
          </cell>
          <cell r="AN273" t="e">
            <v>#VALUE!</v>
          </cell>
          <cell r="AO273" t="e">
            <v>#VALUE!</v>
          </cell>
          <cell r="AP273">
            <v>-2000</v>
          </cell>
        </row>
        <row r="274">
          <cell r="A274">
            <v>63903700</v>
          </cell>
          <cell r="C274">
            <v>9037</v>
          </cell>
          <cell r="D274" t="str">
            <v xml:space="preserve">VAT KIP OMA'S RECEPT GEBAKKEN AARDAPPELEN         </v>
          </cell>
          <cell r="E274" t="str">
            <v>VAT</v>
          </cell>
          <cell r="F274" t="str">
            <v>290MM</v>
          </cell>
          <cell r="G274" t="str">
            <v>C2227-2K</v>
          </cell>
          <cell r="H274">
            <v>456</v>
          </cell>
          <cell r="I274">
            <v>0.5</v>
          </cell>
          <cell r="J274" t="str">
            <v>NVT</v>
          </cell>
          <cell r="K274" t="str">
            <v>VAT</v>
          </cell>
          <cell r="L274">
            <v>6</v>
          </cell>
          <cell r="M274" t="str">
            <v xml:space="preserve">VAT X 6 </v>
          </cell>
          <cell r="N274">
            <v>120</v>
          </cell>
          <cell r="O274">
            <v>8717568240350</v>
          </cell>
          <cell r="P274" t="str">
            <v>T-I</v>
          </cell>
          <cell r="Q274">
            <v>2</v>
          </cell>
          <cell r="R274">
            <v>3</v>
          </cell>
          <cell r="T274">
            <v>2200</v>
          </cell>
          <cell r="U274">
            <v>6</v>
          </cell>
          <cell r="V274">
            <v>2200</v>
          </cell>
          <cell r="W274">
            <v>6</v>
          </cell>
          <cell r="X274">
            <v>0</v>
          </cell>
          <cell r="Y274">
            <v>0</v>
          </cell>
          <cell r="Z274">
            <v>0</v>
          </cell>
          <cell r="AA274" t="str">
            <v>! ! !</v>
          </cell>
          <cell r="AC274">
            <v>0</v>
          </cell>
          <cell r="AE274" t="str">
            <v>x</v>
          </cell>
          <cell r="AG274">
            <v>45</v>
          </cell>
          <cell r="AJ274" t="str">
            <v>V-A</v>
          </cell>
          <cell r="AK274" t="str">
            <v>Ja</v>
          </cell>
          <cell r="AL274">
            <v>2700</v>
          </cell>
          <cell r="AM274">
            <v>2200</v>
          </cell>
          <cell r="AN274" t="e">
            <v>#VALUE!</v>
          </cell>
          <cell r="AO274" t="e">
            <v>#VALUE!</v>
          </cell>
          <cell r="AP274">
            <v>500</v>
          </cell>
        </row>
        <row r="275">
          <cell r="A275">
            <v>63904000</v>
          </cell>
          <cell r="C275">
            <v>9040</v>
          </cell>
          <cell r="D275" t="str">
            <v xml:space="preserve">VAT BLINDE VINK RODE BIET AARDAP.BLOKJES KAASSAUS       </v>
          </cell>
          <cell r="E275" t="str">
            <v>VAT</v>
          </cell>
          <cell r="F275" t="str">
            <v>290MM</v>
          </cell>
          <cell r="G275" t="str">
            <v>C2227-3R</v>
          </cell>
          <cell r="H275">
            <v>456</v>
          </cell>
          <cell r="I275">
            <v>0.5</v>
          </cell>
          <cell r="J275" t="str">
            <v>NVT</v>
          </cell>
          <cell r="K275" t="str">
            <v>VAT</v>
          </cell>
          <cell r="L275">
            <v>6</v>
          </cell>
          <cell r="M275" t="str">
            <v xml:space="preserve">VAT X 6 </v>
          </cell>
          <cell r="N275">
            <v>120</v>
          </cell>
          <cell r="O275">
            <v>8717568240381</v>
          </cell>
          <cell r="P275" t="str">
            <v>I-3T</v>
          </cell>
          <cell r="Q275">
            <v>3</v>
          </cell>
          <cell r="R275">
            <v>3</v>
          </cell>
          <cell r="T275">
            <v>2200</v>
          </cell>
          <cell r="U275">
            <v>3</v>
          </cell>
          <cell r="V275">
            <v>2200</v>
          </cell>
          <cell r="W275">
            <v>3</v>
          </cell>
          <cell r="X275">
            <v>0</v>
          </cell>
          <cell r="Y275">
            <v>0</v>
          </cell>
          <cell r="Z275">
            <v>0</v>
          </cell>
          <cell r="AA275" t="str">
            <v>! !</v>
          </cell>
          <cell r="AC275">
            <v>2.9272727272727273E-2</v>
          </cell>
          <cell r="AE275" t="str">
            <v>x</v>
          </cell>
          <cell r="AG275">
            <v>45</v>
          </cell>
          <cell r="AJ275" t="str">
            <v>V-A</v>
          </cell>
          <cell r="AK275" t="str">
            <v>Ja</v>
          </cell>
          <cell r="AL275">
            <v>2700</v>
          </cell>
          <cell r="AM275">
            <v>2200</v>
          </cell>
          <cell r="AN275" t="e">
            <v>#VALUE!</v>
          </cell>
          <cell r="AO275" t="e">
            <v>#VALUE!</v>
          </cell>
          <cell r="AP275">
            <v>500</v>
          </cell>
        </row>
        <row r="276">
          <cell r="A276">
            <v>63904100</v>
          </cell>
          <cell r="C276">
            <v>9041</v>
          </cell>
          <cell r="D276" t="str">
            <v xml:space="preserve">VAT VLEESKROKET APPELCOM ROZIJN POM MIGNON     </v>
          </cell>
          <cell r="E276" t="str">
            <v>VAT</v>
          </cell>
          <cell r="F276" t="str">
            <v>290MM</v>
          </cell>
          <cell r="G276" t="str">
            <v>C2227-3R</v>
          </cell>
          <cell r="H276">
            <v>456</v>
          </cell>
          <cell r="I276">
            <v>0.48</v>
          </cell>
          <cell r="J276" t="str">
            <v>NVT</v>
          </cell>
          <cell r="K276" t="str">
            <v>VAT</v>
          </cell>
          <cell r="L276">
            <v>6</v>
          </cell>
          <cell r="M276" t="str">
            <v xml:space="preserve">VAT X 6 </v>
          </cell>
          <cell r="N276">
            <v>120</v>
          </cell>
          <cell r="O276">
            <v>8717568240398</v>
          </cell>
          <cell r="P276" t="str">
            <v>I-T</v>
          </cell>
          <cell r="Q276">
            <v>1</v>
          </cell>
          <cell r="R276">
            <v>3</v>
          </cell>
          <cell r="T276">
            <v>2200</v>
          </cell>
          <cell r="U276">
            <v>7</v>
          </cell>
          <cell r="V276">
            <v>2000</v>
          </cell>
          <cell r="W276">
            <v>7</v>
          </cell>
          <cell r="X276">
            <v>0</v>
          </cell>
          <cell r="Y276">
            <v>0</v>
          </cell>
          <cell r="Z276">
            <v>0</v>
          </cell>
          <cell r="AA276" t="str">
            <v>! ! !</v>
          </cell>
          <cell r="AC276">
            <v>0</v>
          </cell>
          <cell r="AE276" t="str">
            <v>x</v>
          </cell>
          <cell r="AG276">
            <v>45</v>
          </cell>
          <cell r="AJ276" t="str">
            <v>-</v>
          </cell>
          <cell r="AK276" t="str">
            <v>ja</v>
          </cell>
          <cell r="AL276">
            <v>2700</v>
          </cell>
          <cell r="AM276">
            <v>2200</v>
          </cell>
          <cell r="AN276" t="e">
            <v>#VALUE!</v>
          </cell>
          <cell r="AO276" t="e">
            <v>#VALUE!</v>
          </cell>
          <cell r="AP276">
            <v>500</v>
          </cell>
        </row>
        <row r="277">
          <cell r="A277">
            <v>63904400</v>
          </cell>
          <cell r="C277">
            <v>9044</v>
          </cell>
          <cell r="D277" t="str">
            <v xml:space="preserve">VAT GEHAKTBAL HOH SATESAUS SPERZIEB. GEB. AARDAP.     </v>
          </cell>
          <cell r="E277" t="str">
            <v>VAT</v>
          </cell>
          <cell r="F277" t="str">
            <v>290MM</v>
          </cell>
          <cell r="G277" t="str">
            <v>C2227-3R</v>
          </cell>
          <cell r="H277">
            <v>456</v>
          </cell>
          <cell r="I277">
            <v>0.52</v>
          </cell>
          <cell r="J277" t="str">
            <v>NVT</v>
          </cell>
          <cell r="K277" t="str">
            <v>VAT</v>
          </cell>
          <cell r="L277">
            <v>6</v>
          </cell>
          <cell r="M277" t="str">
            <v xml:space="preserve">VAT X 6 </v>
          </cell>
          <cell r="N277">
            <v>120</v>
          </cell>
          <cell r="O277">
            <v>8717568240442</v>
          </cell>
          <cell r="P277" t="str">
            <v>I-T</v>
          </cell>
          <cell r="Q277">
            <v>2</v>
          </cell>
          <cell r="R277">
            <v>3</v>
          </cell>
          <cell r="T277">
            <v>2200</v>
          </cell>
          <cell r="U277">
            <v>5</v>
          </cell>
          <cell r="V277">
            <v>2200</v>
          </cell>
          <cell r="W277">
            <v>5</v>
          </cell>
          <cell r="X277">
            <v>0</v>
          </cell>
          <cell r="Y277">
            <v>0</v>
          </cell>
          <cell r="Z277">
            <v>0</v>
          </cell>
          <cell r="AA277" t="str">
            <v>X</v>
          </cell>
          <cell r="AC277">
            <v>0</v>
          </cell>
          <cell r="AE277" t="str">
            <v>x</v>
          </cell>
          <cell r="AG277">
            <v>45</v>
          </cell>
          <cell r="AJ277" t="str">
            <v>V-A</v>
          </cell>
          <cell r="AK277" t="str">
            <v>Ja</v>
          </cell>
          <cell r="AL277">
            <v>2700</v>
          </cell>
          <cell r="AM277">
            <v>2200</v>
          </cell>
          <cell r="AN277" t="e">
            <v>#VALUE!</v>
          </cell>
          <cell r="AO277" t="e">
            <v>#VALUE!</v>
          </cell>
          <cell r="AP277">
            <v>500</v>
          </cell>
        </row>
        <row r="278">
          <cell r="A278">
            <v>63904600</v>
          </cell>
          <cell r="C278">
            <v>9046</v>
          </cell>
          <cell r="D278" t="str">
            <v xml:space="preserve">VAT BOEUF BOURGUIGNON PARIJSE WORTEL AARDAP     </v>
          </cell>
          <cell r="E278" t="str">
            <v>VAT</v>
          </cell>
          <cell r="F278" t="str">
            <v>290MM</v>
          </cell>
          <cell r="G278" t="str">
            <v>C2227-3R</v>
          </cell>
          <cell r="H278">
            <v>456</v>
          </cell>
          <cell r="I278">
            <v>0.5</v>
          </cell>
          <cell r="J278" t="str">
            <v>NVT</v>
          </cell>
          <cell r="K278" t="str">
            <v>VAT</v>
          </cell>
          <cell r="L278">
            <v>6</v>
          </cell>
          <cell r="M278" t="str">
            <v xml:space="preserve">VAT X 6 </v>
          </cell>
          <cell r="N278">
            <v>120</v>
          </cell>
          <cell r="O278">
            <v>8717568240473</v>
          </cell>
          <cell r="P278" t="str">
            <v>T</v>
          </cell>
          <cell r="Q278">
            <v>2</v>
          </cell>
          <cell r="R278">
            <v>3</v>
          </cell>
          <cell r="S278" t="str">
            <v>Pulled beef tussen D-2 en D-4, AARDAPPELEN steamen D-0</v>
          </cell>
          <cell r="T278">
            <v>2000</v>
          </cell>
          <cell r="U278">
            <v>5</v>
          </cell>
          <cell r="V278">
            <v>2000</v>
          </cell>
          <cell r="W278">
            <v>5</v>
          </cell>
          <cell r="X278">
            <v>0</v>
          </cell>
          <cell r="Y278">
            <v>0</v>
          </cell>
          <cell r="Z278">
            <v>0</v>
          </cell>
          <cell r="AA278" t="str">
            <v>-</v>
          </cell>
          <cell r="AC278">
            <v>5.1449999999999996E-2</v>
          </cell>
          <cell r="AE278" t="str">
            <v>x</v>
          </cell>
          <cell r="AJ278" t="str">
            <v>V-A</v>
          </cell>
          <cell r="AK278" t="str">
            <v>Ja</v>
          </cell>
          <cell r="AL278">
            <v>0</v>
          </cell>
          <cell r="AM278">
            <v>2000</v>
          </cell>
          <cell r="AN278" t="e">
            <v>#VALUE!</v>
          </cell>
          <cell r="AO278" t="e">
            <v>#VALUE!</v>
          </cell>
          <cell r="AP278">
            <v>-2000</v>
          </cell>
        </row>
        <row r="279">
          <cell r="A279">
            <v>63904800</v>
          </cell>
          <cell r="C279">
            <v>9048</v>
          </cell>
          <cell r="D279" t="str">
            <v xml:space="preserve">VAT MEXIC. KIPSCHOTEL PAPRIKA ANANAS RIJST        </v>
          </cell>
          <cell r="E279" t="str">
            <v>VAT</v>
          </cell>
          <cell r="F279" t="str">
            <v>290MM</v>
          </cell>
          <cell r="G279" t="str">
            <v>C2227-2K</v>
          </cell>
          <cell r="H279">
            <v>456</v>
          </cell>
          <cell r="I279">
            <v>0.52</v>
          </cell>
          <cell r="J279" t="str">
            <v>NVT</v>
          </cell>
          <cell r="K279" t="str">
            <v>VAT</v>
          </cell>
          <cell r="L279">
            <v>6</v>
          </cell>
          <cell r="M279" t="str">
            <v xml:space="preserve">VAT X 6 </v>
          </cell>
          <cell r="N279">
            <v>120</v>
          </cell>
          <cell r="O279">
            <v>8717568240527</v>
          </cell>
          <cell r="P279" t="str">
            <v>T-M-I</v>
          </cell>
          <cell r="Q279">
            <v>3</v>
          </cell>
          <cell r="R279">
            <v>3</v>
          </cell>
          <cell r="T279">
            <v>2200</v>
          </cell>
          <cell r="U279">
            <v>4</v>
          </cell>
          <cell r="V279">
            <v>2200</v>
          </cell>
          <cell r="W279">
            <v>4</v>
          </cell>
          <cell r="X279">
            <v>0</v>
          </cell>
          <cell r="Y279">
            <v>0</v>
          </cell>
          <cell r="Z279">
            <v>0</v>
          </cell>
          <cell r="AA279" t="str">
            <v>! ! !</v>
          </cell>
          <cell r="AC279">
            <v>0</v>
          </cell>
          <cell r="AE279" t="str">
            <v>x</v>
          </cell>
          <cell r="AG279">
            <v>45</v>
          </cell>
          <cell r="AJ279" t="str">
            <v>-</v>
          </cell>
          <cell r="AK279" t="str">
            <v>Ja</v>
          </cell>
          <cell r="AL279">
            <v>2700</v>
          </cell>
          <cell r="AM279">
            <v>2200</v>
          </cell>
          <cell r="AN279" t="e">
            <v>#VALUE!</v>
          </cell>
          <cell r="AO279" t="e">
            <v>#VALUE!</v>
          </cell>
          <cell r="AP279">
            <v>500</v>
          </cell>
        </row>
        <row r="280">
          <cell r="A280">
            <v>63904900</v>
          </cell>
          <cell r="C280">
            <v>9049</v>
          </cell>
          <cell r="D280" t="str">
            <v xml:space="preserve">VAT VIERGROENTENSTAMPPOT MET EEN GEHAKTBAL HOH        </v>
          </cell>
          <cell r="E280" t="str">
            <v>VAT</v>
          </cell>
          <cell r="F280" t="str">
            <v>290MM</v>
          </cell>
          <cell r="G280" t="str">
            <v>C2227-2K</v>
          </cell>
          <cell r="H280">
            <v>456</v>
          </cell>
          <cell r="I280">
            <v>0.55000000000000004</v>
          </cell>
          <cell r="J280" t="str">
            <v>NVT</v>
          </cell>
          <cell r="K280" t="str">
            <v>VAT</v>
          </cell>
          <cell r="L280">
            <v>6</v>
          </cell>
          <cell r="M280" t="str">
            <v xml:space="preserve">VAT X 6 </v>
          </cell>
          <cell r="N280">
            <v>120</v>
          </cell>
          <cell r="O280">
            <v>8717568241333</v>
          </cell>
          <cell r="P280" t="str">
            <v>T-H</v>
          </cell>
          <cell r="Q280">
            <v>2.5</v>
          </cell>
          <cell r="R280">
            <v>3</v>
          </cell>
          <cell r="T280">
            <v>2200</v>
          </cell>
          <cell r="U280">
            <v>2</v>
          </cell>
          <cell r="V280">
            <v>2200</v>
          </cell>
          <cell r="W280">
            <v>2</v>
          </cell>
          <cell r="X280">
            <v>0</v>
          </cell>
          <cell r="Y280">
            <v>0</v>
          </cell>
          <cell r="Z280">
            <v>0</v>
          </cell>
          <cell r="AA280" t="str">
            <v>! !</v>
          </cell>
          <cell r="AC280">
            <v>0</v>
          </cell>
          <cell r="AE280" t="str">
            <v>x</v>
          </cell>
          <cell r="AG280">
            <v>45</v>
          </cell>
          <cell r="AJ280" t="str">
            <v>V-A</v>
          </cell>
          <cell r="AK280" t="str">
            <v>Ja</v>
          </cell>
          <cell r="AL280">
            <v>2700</v>
          </cell>
          <cell r="AM280">
            <v>2200</v>
          </cell>
          <cell r="AN280" t="e">
            <v>#VALUE!</v>
          </cell>
          <cell r="AO280" t="e">
            <v>#VALUE!</v>
          </cell>
          <cell r="AP280">
            <v>500</v>
          </cell>
        </row>
        <row r="281">
          <cell r="A281">
            <v>63905000</v>
          </cell>
          <cell r="C281">
            <v>9050</v>
          </cell>
          <cell r="D281" t="str">
            <v xml:space="preserve">VAT HAMLAPJE TUINBOONTJES PUREE BIESL.     </v>
          </cell>
          <cell r="E281" t="str">
            <v>VAT</v>
          </cell>
          <cell r="F281" t="str">
            <v>290MM</v>
          </cell>
          <cell r="G281" t="str">
            <v>C2227-3R</v>
          </cell>
          <cell r="H281">
            <v>456</v>
          </cell>
          <cell r="I281">
            <v>0.5</v>
          </cell>
          <cell r="J281" t="str">
            <v>NVT</v>
          </cell>
          <cell r="K281" t="str">
            <v>VAT</v>
          </cell>
          <cell r="L281">
            <v>6</v>
          </cell>
          <cell r="M281" t="str">
            <v xml:space="preserve">VAT X 6 </v>
          </cell>
          <cell r="N281">
            <v>120</v>
          </cell>
          <cell r="O281">
            <v>8717568241425</v>
          </cell>
          <cell r="P281" t="str">
            <v>T-H</v>
          </cell>
          <cell r="Q281">
            <v>2.5</v>
          </cell>
          <cell r="R281">
            <v>3</v>
          </cell>
          <cell r="T281">
            <v>2200</v>
          </cell>
          <cell r="U281">
            <v>5</v>
          </cell>
          <cell r="V281">
            <v>2200</v>
          </cell>
          <cell r="W281">
            <v>5</v>
          </cell>
          <cell r="X281">
            <v>0</v>
          </cell>
          <cell r="Y281">
            <v>0</v>
          </cell>
          <cell r="Z281">
            <v>0</v>
          </cell>
          <cell r="AA281" t="str">
            <v>! !</v>
          </cell>
          <cell r="AC281">
            <v>0</v>
          </cell>
          <cell r="AE281" t="str">
            <v>x</v>
          </cell>
          <cell r="AG281">
            <v>45</v>
          </cell>
          <cell r="AJ281" t="str">
            <v>V-A</v>
          </cell>
          <cell r="AK281" t="str">
            <v>Ja</v>
          </cell>
          <cell r="AL281">
            <v>2700</v>
          </cell>
          <cell r="AM281">
            <v>2200</v>
          </cell>
          <cell r="AN281" t="e">
            <v>#VALUE!</v>
          </cell>
          <cell r="AO281" t="e">
            <v>#VALUE!</v>
          </cell>
          <cell r="AP281">
            <v>500</v>
          </cell>
        </row>
        <row r="282">
          <cell r="A282">
            <v>63905100</v>
          </cell>
          <cell r="C282">
            <v>9051</v>
          </cell>
          <cell r="D282" t="str">
            <v xml:space="preserve">VAT LEKKERBEKJE DOPERWT WORTEL AARD KUBUS GEKRUID     </v>
          </cell>
          <cell r="E282" t="str">
            <v>VAT</v>
          </cell>
          <cell r="F282" t="str">
            <v>290MM</v>
          </cell>
          <cell r="G282" t="str">
            <v xml:space="preserve">C2227-1H </v>
          </cell>
          <cell r="H282">
            <v>456</v>
          </cell>
          <cell r="I282">
            <v>0.5</v>
          </cell>
          <cell r="J282" t="str">
            <v>NVT</v>
          </cell>
          <cell r="K282" t="str">
            <v>VAT</v>
          </cell>
          <cell r="L282">
            <v>6</v>
          </cell>
          <cell r="M282" t="str">
            <v xml:space="preserve">VAT X 6 </v>
          </cell>
          <cell r="N282">
            <v>120</v>
          </cell>
          <cell r="O282">
            <v>8717568241432</v>
          </cell>
          <cell r="P282" t="str">
            <v>M-I</v>
          </cell>
          <cell r="Q282">
            <v>1</v>
          </cell>
          <cell r="R282">
            <v>3</v>
          </cell>
          <cell r="T282">
            <v>2200</v>
          </cell>
          <cell r="U282">
            <v>5</v>
          </cell>
          <cell r="V282">
            <v>2200</v>
          </cell>
          <cell r="W282">
            <v>5</v>
          </cell>
          <cell r="X282">
            <v>0</v>
          </cell>
          <cell r="Y282">
            <v>0</v>
          </cell>
          <cell r="Z282">
            <v>0</v>
          </cell>
          <cell r="AA282" t="str">
            <v>! ! ! !</v>
          </cell>
          <cell r="AC282">
            <v>0</v>
          </cell>
          <cell r="AE282" t="str">
            <v>x</v>
          </cell>
          <cell r="AG282">
            <v>45</v>
          </cell>
          <cell r="AJ282" t="str">
            <v>-</v>
          </cell>
          <cell r="AK282" t="str">
            <v>Ja</v>
          </cell>
          <cell r="AL282">
            <v>2700</v>
          </cell>
          <cell r="AM282">
            <v>2200</v>
          </cell>
          <cell r="AN282" t="e">
            <v>#VALUE!</v>
          </cell>
          <cell r="AO282" t="e">
            <v>#VALUE!</v>
          </cell>
          <cell r="AP282">
            <v>500</v>
          </cell>
        </row>
        <row r="283">
          <cell r="A283">
            <v>63905200</v>
          </cell>
          <cell r="C283">
            <v>9052</v>
          </cell>
          <cell r="D283" t="str">
            <v xml:space="preserve">VAT CHILI CON CARNE MET GEHAKT EN RIJST           </v>
          </cell>
          <cell r="E283" t="str">
            <v>VAT</v>
          </cell>
          <cell r="F283" t="str">
            <v>290MM</v>
          </cell>
          <cell r="G283" t="str">
            <v>C2227-2K</v>
          </cell>
          <cell r="H283">
            <v>456</v>
          </cell>
          <cell r="I283">
            <v>0.5</v>
          </cell>
          <cell r="J283" t="str">
            <v>NVT</v>
          </cell>
          <cell r="K283" t="str">
            <v>VAT</v>
          </cell>
          <cell r="L283">
            <v>6</v>
          </cell>
          <cell r="M283" t="str">
            <v xml:space="preserve">VAT X 6 </v>
          </cell>
          <cell r="N283">
            <v>120</v>
          </cell>
          <cell r="O283">
            <v>8717568241470</v>
          </cell>
          <cell r="P283" t="str">
            <v>T-M</v>
          </cell>
          <cell r="Q283">
            <v>3</v>
          </cell>
          <cell r="R283">
            <v>3</v>
          </cell>
          <cell r="S283" t="str">
            <v>BONEN wellen D-1</v>
          </cell>
          <cell r="T283">
            <v>2200</v>
          </cell>
          <cell r="U283">
            <v>3</v>
          </cell>
          <cell r="V283">
            <v>2200</v>
          </cell>
          <cell r="W283">
            <v>3</v>
          </cell>
          <cell r="X283">
            <v>0</v>
          </cell>
          <cell r="Y283">
            <v>0</v>
          </cell>
          <cell r="Z283">
            <v>0</v>
          </cell>
          <cell r="AA283" t="str">
            <v>! ! !</v>
          </cell>
          <cell r="AC283">
            <v>0</v>
          </cell>
          <cell r="AE283" t="str">
            <v>x</v>
          </cell>
          <cell r="AG283">
            <v>45</v>
          </cell>
          <cell r="AJ283" t="str">
            <v>-</v>
          </cell>
          <cell r="AK283" t="str">
            <v>Ja</v>
          </cell>
          <cell r="AL283">
            <v>2700</v>
          </cell>
          <cell r="AM283">
            <v>2200</v>
          </cell>
          <cell r="AN283" t="e">
            <v>#VALUE!</v>
          </cell>
          <cell r="AO283" t="e">
            <v>#VALUE!</v>
          </cell>
          <cell r="AP283">
            <v>500</v>
          </cell>
        </row>
        <row r="284">
          <cell r="A284">
            <v>63905300</v>
          </cell>
          <cell r="C284">
            <v>9053</v>
          </cell>
          <cell r="D284" t="str">
            <v xml:space="preserve">VAT GEHAKTSCHOTEL PREI A LA CREME PUREE KAASGRATIN  </v>
          </cell>
          <cell r="E284" t="str">
            <v>VAT</v>
          </cell>
          <cell r="F284" t="str">
            <v>290MM</v>
          </cell>
          <cell r="G284" t="str">
            <v>C2227-2K</v>
          </cell>
          <cell r="H284">
            <v>456</v>
          </cell>
          <cell r="I284">
            <v>0.5</v>
          </cell>
          <cell r="J284" t="str">
            <v>NVT</v>
          </cell>
          <cell r="K284" t="str">
            <v>VAT</v>
          </cell>
          <cell r="L284">
            <v>6</v>
          </cell>
          <cell r="M284" t="str">
            <v xml:space="preserve">VAT X 6 </v>
          </cell>
          <cell r="N284">
            <v>120</v>
          </cell>
          <cell r="O284">
            <v>8717568241982</v>
          </cell>
          <cell r="P284" t="str">
            <v>2T-H</v>
          </cell>
          <cell r="Q284">
            <v>3</v>
          </cell>
          <cell r="R284">
            <v>3</v>
          </cell>
          <cell r="T284">
            <v>2200</v>
          </cell>
          <cell r="U284">
            <v>2</v>
          </cell>
          <cell r="V284">
            <v>2200</v>
          </cell>
          <cell r="W284">
            <v>2</v>
          </cell>
          <cell r="X284">
            <v>0</v>
          </cell>
          <cell r="Y284">
            <v>0</v>
          </cell>
          <cell r="Z284">
            <v>0</v>
          </cell>
          <cell r="AA284" t="str">
            <v>! ! !</v>
          </cell>
          <cell r="AC284">
            <v>0</v>
          </cell>
          <cell r="AE284" t="str">
            <v>x</v>
          </cell>
          <cell r="AG284">
            <v>45</v>
          </cell>
          <cell r="AJ284" t="str">
            <v>V-A</v>
          </cell>
          <cell r="AK284" t="str">
            <v>Ja</v>
          </cell>
          <cell r="AL284">
            <v>2700</v>
          </cell>
          <cell r="AM284">
            <v>2200</v>
          </cell>
          <cell r="AN284" t="e">
            <v>#VALUE!</v>
          </cell>
          <cell r="AO284" t="e">
            <v>#VALUE!</v>
          </cell>
          <cell r="AP284">
            <v>500</v>
          </cell>
        </row>
        <row r="285">
          <cell r="A285">
            <v>63905500</v>
          </cell>
          <cell r="C285">
            <v>9055</v>
          </cell>
          <cell r="D285" t="str">
            <v xml:space="preserve">VAT KIP ROZEMARIJN BROCCOLI EN AARDAPPELPUREE    </v>
          </cell>
          <cell r="E285" t="str">
            <v>VAT</v>
          </cell>
          <cell r="F285" t="str">
            <v>290MM</v>
          </cell>
          <cell r="G285" t="str">
            <v>C2227-2K</v>
          </cell>
          <cell r="H285">
            <v>456</v>
          </cell>
          <cell r="I285">
            <v>0.5</v>
          </cell>
          <cell r="J285" t="str">
            <v>NVT</v>
          </cell>
          <cell r="K285" t="str">
            <v>VAT</v>
          </cell>
          <cell r="L285">
            <v>6</v>
          </cell>
          <cell r="M285" t="str">
            <v xml:space="preserve">VAT X 6 </v>
          </cell>
          <cell r="N285">
            <v>120</v>
          </cell>
          <cell r="O285">
            <v>8717568242002</v>
          </cell>
          <cell r="P285" t="str">
            <v>T-H-I</v>
          </cell>
          <cell r="Q285">
            <v>3</v>
          </cell>
          <cell r="R285">
            <v>3</v>
          </cell>
          <cell r="T285">
            <v>2200</v>
          </cell>
          <cell r="U285">
            <v>4</v>
          </cell>
          <cell r="V285">
            <v>2200</v>
          </cell>
          <cell r="W285">
            <v>4</v>
          </cell>
          <cell r="X285">
            <v>0</v>
          </cell>
          <cell r="Y285">
            <v>0</v>
          </cell>
          <cell r="Z285">
            <v>0</v>
          </cell>
          <cell r="AA285" t="str">
            <v>! ! !</v>
          </cell>
          <cell r="AC285">
            <v>0</v>
          </cell>
          <cell r="AE285" t="str">
            <v>x</v>
          </cell>
          <cell r="AG285">
            <v>45</v>
          </cell>
          <cell r="AJ285" t="str">
            <v>-</v>
          </cell>
          <cell r="AK285" t="str">
            <v>Ja</v>
          </cell>
          <cell r="AL285">
            <v>2700</v>
          </cell>
          <cell r="AM285">
            <v>2200</v>
          </cell>
          <cell r="AN285" t="e">
            <v>#VALUE!</v>
          </cell>
          <cell r="AO285" t="e">
            <v>#VALUE!</v>
          </cell>
          <cell r="AP285">
            <v>500</v>
          </cell>
        </row>
        <row r="286">
          <cell r="A286">
            <v>63906100</v>
          </cell>
          <cell r="C286">
            <v>9061</v>
          </cell>
          <cell r="D286" t="str">
            <v xml:space="preserve">VAT TAGLIATELLE ZALM GROENE GROENTEN    </v>
          </cell>
          <cell r="E286" t="str">
            <v>VAT</v>
          </cell>
          <cell r="F286" t="str">
            <v>290MM</v>
          </cell>
          <cell r="G286" t="str">
            <v xml:space="preserve">C2227-1H </v>
          </cell>
          <cell r="H286">
            <v>456</v>
          </cell>
          <cell r="I286">
            <v>0.5</v>
          </cell>
          <cell r="J286" t="str">
            <v>NVT</v>
          </cell>
          <cell r="K286" t="str">
            <v>VAT</v>
          </cell>
          <cell r="L286">
            <v>6</v>
          </cell>
          <cell r="M286" t="str">
            <v xml:space="preserve">VAT X 6 </v>
          </cell>
          <cell r="N286">
            <v>120</v>
          </cell>
          <cell r="O286">
            <v>8717568242064</v>
          </cell>
          <cell r="P286" t="str">
            <v>2T-M-I</v>
          </cell>
          <cell r="Q286">
            <v>2.5</v>
          </cell>
          <cell r="R286">
            <v>3</v>
          </cell>
          <cell r="S286" t="str">
            <v>ZALMSNIPPERS D-1 ontdooien</v>
          </cell>
          <cell r="T286">
            <v>2000</v>
          </cell>
          <cell r="U286">
            <v>5</v>
          </cell>
          <cell r="V286">
            <v>2000</v>
          </cell>
          <cell r="W286">
            <v>5</v>
          </cell>
          <cell r="X286">
            <v>0</v>
          </cell>
          <cell r="Y286">
            <v>0</v>
          </cell>
          <cell r="Z286">
            <v>0</v>
          </cell>
          <cell r="AA286" t="str">
            <v>! ! ! !</v>
          </cell>
          <cell r="AC286">
            <v>0</v>
          </cell>
          <cell r="AE286" t="str">
            <v>x</v>
          </cell>
          <cell r="AJ286" t="str">
            <v>V-A</v>
          </cell>
          <cell r="AK286" t="str">
            <v>Ja</v>
          </cell>
          <cell r="AL286">
            <v>0</v>
          </cell>
          <cell r="AM286">
            <v>2000</v>
          </cell>
          <cell r="AN286" t="e">
            <v>#VALUE!</v>
          </cell>
          <cell r="AO286" t="e">
            <v>#VALUE!</v>
          </cell>
          <cell r="AP286">
            <v>-2000</v>
          </cell>
        </row>
        <row r="287">
          <cell r="A287">
            <v>63906400</v>
          </cell>
          <cell r="C287">
            <v>9064</v>
          </cell>
          <cell r="D287" t="str">
            <v xml:space="preserve">VAT INDON.RIJSTTAFEL BABI KETJAP,SAMBAL BONEN     </v>
          </cell>
          <cell r="E287" t="str">
            <v>VAT</v>
          </cell>
          <cell r="F287" t="str">
            <v>290MM</v>
          </cell>
          <cell r="G287" t="str">
            <v>C2227-3R</v>
          </cell>
          <cell r="H287">
            <v>456</v>
          </cell>
          <cell r="I287">
            <v>0.5</v>
          </cell>
          <cell r="J287" t="str">
            <v>NVT</v>
          </cell>
          <cell r="K287" t="str">
            <v>VAT</v>
          </cell>
          <cell r="L287">
            <v>6</v>
          </cell>
          <cell r="M287" t="str">
            <v xml:space="preserve">VAT X 6 </v>
          </cell>
          <cell r="N287">
            <v>120</v>
          </cell>
          <cell r="O287">
            <v>8717568242095</v>
          </cell>
          <cell r="P287" t="str">
            <v>T-M-I</v>
          </cell>
          <cell r="Q287">
            <v>3</v>
          </cell>
          <cell r="R287">
            <v>3</v>
          </cell>
          <cell r="S287" t="str">
            <v>RIJST D-1</v>
          </cell>
          <cell r="T287">
            <v>2000</v>
          </cell>
          <cell r="U287">
            <v>8</v>
          </cell>
          <cell r="V287">
            <v>2000</v>
          </cell>
          <cell r="W287">
            <v>8</v>
          </cell>
          <cell r="X287">
            <v>0</v>
          </cell>
          <cell r="Y287">
            <v>0</v>
          </cell>
          <cell r="Z287">
            <v>0</v>
          </cell>
          <cell r="AA287" t="str">
            <v>! ! ! ! !</v>
          </cell>
          <cell r="AC287">
            <v>0</v>
          </cell>
          <cell r="AE287" t="str">
            <v>x</v>
          </cell>
          <cell r="AJ287" t="str">
            <v>V-A</v>
          </cell>
          <cell r="AK287" t="str">
            <v>Ja</v>
          </cell>
          <cell r="AL287">
            <v>0</v>
          </cell>
          <cell r="AM287">
            <v>2000</v>
          </cell>
          <cell r="AN287" t="e">
            <v>#VALUE!</v>
          </cell>
          <cell r="AO287" t="e">
            <v>#VALUE!</v>
          </cell>
          <cell r="AP287">
            <v>-2000</v>
          </cell>
        </row>
        <row r="288">
          <cell r="A288">
            <v>63906600</v>
          </cell>
          <cell r="C288">
            <v>9066</v>
          </cell>
          <cell r="D288" t="str">
            <v>VAT GEHAKTSCHOTEL MET AUBERGINE EN AARDAPPELSCHIJF</v>
          </cell>
          <cell r="E288" t="str">
            <v>VAT</v>
          </cell>
          <cell r="F288" t="str">
            <v>290MM</v>
          </cell>
          <cell r="G288" t="str">
            <v xml:space="preserve">C2227-1H </v>
          </cell>
          <cell r="H288">
            <v>456</v>
          </cell>
          <cell r="I288">
            <v>0.6</v>
          </cell>
          <cell r="J288" t="str">
            <v>NVT</v>
          </cell>
          <cell r="K288" t="str">
            <v>VAT</v>
          </cell>
          <cell r="L288">
            <v>6</v>
          </cell>
          <cell r="M288" t="str">
            <v xml:space="preserve">VAT X 6 </v>
          </cell>
          <cell r="N288">
            <v>120</v>
          </cell>
          <cell r="O288">
            <v>8717568242347</v>
          </cell>
          <cell r="P288" t="str">
            <v>I-2T-H-K</v>
          </cell>
          <cell r="Q288">
            <v>3</v>
          </cell>
          <cell r="R288">
            <v>3</v>
          </cell>
          <cell r="T288">
            <v>2200</v>
          </cell>
          <cell r="U288">
            <v>4</v>
          </cell>
          <cell r="V288">
            <v>2200</v>
          </cell>
          <cell r="W288">
            <v>4</v>
          </cell>
          <cell r="X288">
            <v>0</v>
          </cell>
          <cell r="Y288">
            <v>0</v>
          </cell>
          <cell r="Z288">
            <v>0</v>
          </cell>
          <cell r="AA288" t="str">
            <v>! ! !</v>
          </cell>
          <cell r="AC288">
            <v>0</v>
          </cell>
          <cell r="AE288" t="str">
            <v>x</v>
          </cell>
          <cell r="AG288">
            <v>45</v>
          </cell>
          <cell r="AJ288" t="str">
            <v>-</v>
          </cell>
          <cell r="AK288" t="str">
            <v>Ja</v>
          </cell>
          <cell r="AL288">
            <v>2700</v>
          </cell>
          <cell r="AM288">
            <v>2200</v>
          </cell>
          <cell r="AN288" t="e">
            <v>#VALUE!</v>
          </cell>
          <cell r="AO288" t="e">
            <v>#VALUE!</v>
          </cell>
          <cell r="AP288">
            <v>500</v>
          </cell>
        </row>
        <row r="289">
          <cell r="A289">
            <v>63906700</v>
          </cell>
          <cell r="C289">
            <v>9067</v>
          </cell>
          <cell r="D289" t="str">
            <v>VAT HAMBURGER UIENSAUS APPELMOES EN GEBAK AARD KUBUS</v>
          </cell>
          <cell r="E289" t="str">
            <v>VAT</v>
          </cell>
          <cell r="F289" t="str">
            <v>290MM</v>
          </cell>
          <cell r="G289" t="str">
            <v>C2227-3R</v>
          </cell>
          <cell r="H289">
            <v>456</v>
          </cell>
          <cell r="I289">
            <v>0.5</v>
          </cell>
          <cell r="J289" t="str">
            <v>NVT</v>
          </cell>
          <cell r="K289" t="str">
            <v>VAT</v>
          </cell>
          <cell r="L289">
            <v>6</v>
          </cell>
          <cell r="M289" t="str">
            <v xml:space="preserve">VAT X 6 </v>
          </cell>
          <cell r="N289">
            <v>120</v>
          </cell>
          <cell r="O289">
            <v>8717568242354</v>
          </cell>
          <cell r="P289" t="str">
            <v>2T-I</v>
          </cell>
          <cell r="Q289">
            <v>2</v>
          </cell>
          <cell r="R289">
            <v>3</v>
          </cell>
          <cell r="T289">
            <v>2200</v>
          </cell>
          <cell r="U289">
            <v>3</v>
          </cell>
          <cell r="V289">
            <v>2200</v>
          </cell>
          <cell r="W289">
            <v>3</v>
          </cell>
          <cell r="X289">
            <v>0</v>
          </cell>
          <cell r="Y289">
            <v>0</v>
          </cell>
          <cell r="Z289">
            <v>0</v>
          </cell>
          <cell r="AA289" t="str">
            <v>! ! !</v>
          </cell>
          <cell r="AC289">
            <v>0</v>
          </cell>
          <cell r="AE289" t="str">
            <v>x</v>
          </cell>
          <cell r="AG289">
            <v>45</v>
          </cell>
          <cell r="AJ289" t="str">
            <v>V-A</v>
          </cell>
          <cell r="AK289" t="str">
            <v>Ja</v>
          </cell>
          <cell r="AL289">
            <v>2700</v>
          </cell>
          <cell r="AM289">
            <v>2200</v>
          </cell>
          <cell r="AN289" t="e">
            <v>#VALUE!</v>
          </cell>
          <cell r="AO289" t="e">
            <v>#VALUE!</v>
          </cell>
          <cell r="AP289">
            <v>500</v>
          </cell>
        </row>
        <row r="290">
          <cell r="A290">
            <v>63907000</v>
          </cell>
          <cell r="C290">
            <v>9070</v>
          </cell>
          <cell r="D290" t="str">
            <v xml:space="preserve">VAT SPINAZIESTAMPPOT MET BRAADWORST               </v>
          </cell>
          <cell r="E290" t="str">
            <v>VAT</v>
          </cell>
          <cell r="F290" t="str">
            <v>290MM</v>
          </cell>
          <cell r="G290" t="str">
            <v>C2227-2K</v>
          </cell>
          <cell r="H290">
            <v>456</v>
          </cell>
          <cell r="I290">
            <v>0.57999999999999996</v>
          </cell>
          <cell r="J290" t="str">
            <v>NVT</v>
          </cell>
          <cell r="K290" t="str">
            <v>VAT</v>
          </cell>
          <cell r="L290">
            <v>6</v>
          </cell>
          <cell r="M290" t="str">
            <v xml:space="preserve">VAT X 6 </v>
          </cell>
          <cell r="N290">
            <v>120</v>
          </cell>
          <cell r="O290">
            <v>8717568242385</v>
          </cell>
          <cell r="P290" t="str">
            <v>T-H</v>
          </cell>
          <cell r="Q290">
            <v>2</v>
          </cell>
          <cell r="R290">
            <v>3</v>
          </cell>
          <cell r="T290">
            <v>2200</v>
          </cell>
          <cell r="U290">
            <v>2</v>
          </cell>
          <cell r="V290">
            <v>2200</v>
          </cell>
          <cell r="W290">
            <v>2</v>
          </cell>
          <cell r="X290">
            <v>0</v>
          </cell>
          <cell r="Y290">
            <v>0</v>
          </cell>
          <cell r="Z290">
            <v>0</v>
          </cell>
          <cell r="AA290" t="str">
            <v>! ! !</v>
          </cell>
          <cell r="AC290">
            <v>2.0588235294117647E-2</v>
          </cell>
          <cell r="AE290" t="str">
            <v>x</v>
          </cell>
          <cell r="AG290">
            <v>45</v>
          </cell>
          <cell r="AJ290" t="str">
            <v>V-A</v>
          </cell>
          <cell r="AK290" t="str">
            <v>Ja</v>
          </cell>
          <cell r="AL290">
            <v>2700</v>
          </cell>
          <cell r="AM290">
            <v>2200</v>
          </cell>
          <cell r="AN290" t="e">
            <v>#VALUE!</v>
          </cell>
          <cell r="AO290" t="e">
            <v>#VALUE!</v>
          </cell>
          <cell r="AP290">
            <v>500</v>
          </cell>
        </row>
        <row r="291">
          <cell r="A291">
            <v>63907400</v>
          </cell>
          <cell r="C291">
            <v>9074</v>
          </cell>
          <cell r="D291" t="str">
            <v xml:space="preserve">VAT TAGLIATELLE MET KIP EN BOSPADDESTOELEN        </v>
          </cell>
          <cell r="E291" t="str">
            <v>VAT</v>
          </cell>
          <cell r="F291" t="str">
            <v>290MM</v>
          </cell>
          <cell r="G291" t="str">
            <v xml:space="preserve">C2227-1H </v>
          </cell>
          <cell r="H291">
            <v>456</v>
          </cell>
          <cell r="I291">
            <v>0.51500000000000001</v>
          </cell>
          <cell r="J291" t="str">
            <v>NVT</v>
          </cell>
          <cell r="K291" t="str">
            <v>VAT</v>
          </cell>
          <cell r="L291">
            <v>6</v>
          </cell>
          <cell r="M291" t="str">
            <v xml:space="preserve">VAT X 6 </v>
          </cell>
          <cell r="N291">
            <v>120</v>
          </cell>
          <cell r="O291">
            <v>8717568242422</v>
          </cell>
          <cell r="P291" t="str">
            <v>2T-M-I</v>
          </cell>
          <cell r="Q291">
            <v>2.5</v>
          </cell>
          <cell r="R291">
            <v>3</v>
          </cell>
          <cell r="S291" t="str">
            <v>idem 63515300</v>
          </cell>
          <cell r="T291">
            <v>2200</v>
          </cell>
          <cell r="U291">
            <v>3</v>
          </cell>
          <cell r="V291">
            <v>2200</v>
          </cell>
          <cell r="W291">
            <v>3</v>
          </cell>
          <cell r="X291">
            <v>0</v>
          </cell>
          <cell r="Y291">
            <v>0</v>
          </cell>
          <cell r="Z291">
            <v>0</v>
          </cell>
          <cell r="AA291" t="str">
            <v>! ! !</v>
          </cell>
          <cell r="AC291">
            <v>0</v>
          </cell>
          <cell r="AE291" t="str">
            <v>x</v>
          </cell>
          <cell r="AG291">
            <v>45</v>
          </cell>
          <cell r="AJ291" t="str">
            <v>-</v>
          </cell>
          <cell r="AK291" t="str">
            <v>Ja</v>
          </cell>
          <cell r="AL291">
            <v>2700</v>
          </cell>
          <cell r="AM291">
            <v>2200</v>
          </cell>
          <cell r="AN291" t="e">
            <v>#VALUE!</v>
          </cell>
          <cell r="AO291" t="e">
            <v>#VALUE!</v>
          </cell>
          <cell r="AP291">
            <v>500</v>
          </cell>
        </row>
        <row r="292">
          <cell r="A292">
            <v>63907500</v>
          </cell>
          <cell r="C292">
            <v>9075</v>
          </cell>
          <cell r="D292" t="str">
            <v xml:space="preserve">VAT PENNE PESTO MET KIP EN GROENE GROENTEN        </v>
          </cell>
          <cell r="E292" t="str">
            <v>VAT</v>
          </cell>
          <cell r="F292" t="str">
            <v>290MM</v>
          </cell>
          <cell r="G292" t="str">
            <v xml:space="preserve">C2227-1H </v>
          </cell>
          <cell r="H292">
            <v>456</v>
          </cell>
          <cell r="I292">
            <v>0.5</v>
          </cell>
          <cell r="J292" t="str">
            <v>NVT</v>
          </cell>
          <cell r="K292" t="str">
            <v>VAT</v>
          </cell>
          <cell r="L292">
            <v>6</v>
          </cell>
          <cell r="M292" t="str">
            <v xml:space="preserve">VAT X 6 </v>
          </cell>
          <cell r="N292">
            <v>120</v>
          </cell>
          <cell r="O292">
            <v>8717568242439</v>
          </cell>
          <cell r="P292" t="str">
            <v>T-M-I</v>
          </cell>
          <cell r="Q292">
            <v>2</v>
          </cell>
          <cell r="R292">
            <v>3</v>
          </cell>
          <cell r="S292" t="str">
            <v>idem 63515400</v>
          </cell>
          <cell r="T292">
            <v>2200</v>
          </cell>
          <cell r="U292">
            <v>6</v>
          </cell>
          <cell r="V292">
            <v>2200</v>
          </cell>
          <cell r="W292">
            <v>6</v>
          </cell>
          <cell r="X292">
            <v>0</v>
          </cell>
          <cell r="Y292">
            <v>0</v>
          </cell>
          <cell r="Z292">
            <v>0</v>
          </cell>
          <cell r="AA292" t="str">
            <v>! !</v>
          </cell>
          <cell r="AC292">
            <v>0</v>
          </cell>
          <cell r="AE292" t="str">
            <v>x</v>
          </cell>
          <cell r="AJ292" t="str">
            <v>-</v>
          </cell>
          <cell r="AK292" t="str">
            <v>Ja</v>
          </cell>
          <cell r="AL292">
            <v>0</v>
          </cell>
          <cell r="AM292">
            <v>2200</v>
          </cell>
          <cell r="AN292" t="e">
            <v>#VALUE!</v>
          </cell>
          <cell r="AO292" t="e">
            <v>#VALUE!</v>
          </cell>
          <cell r="AP292">
            <v>-2200</v>
          </cell>
        </row>
        <row r="293">
          <cell r="A293">
            <v>63909300</v>
          </cell>
          <cell r="C293">
            <v>9093</v>
          </cell>
          <cell r="D293" t="str">
            <v xml:space="preserve">VAT ANDIJVIESTAMPPOT MET SPEKLAPJE               </v>
          </cell>
          <cell r="E293" t="str">
            <v>VAT</v>
          </cell>
          <cell r="F293" t="str">
            <v>290MM</v>
          </cell>
          <cell r="G293" t="str">
            <v>C2227-2K</v>
          </cell>
          <cell r="H293">
            <v>365</v>
          </cell>
          <cell r="I293">
            <v>0.57999999999999996</v>
          </cell>
          <cell r="J293" t="str">
            <v>NVT</v>
          </cell>
          <cell r="K293" t="str">
            <v>VAT</v>
          </cell>
          <cell r="L293">
            <v>6</v>
          </cell>
          <cell r="M293" t="str">
            <v xml:space="preserve">VAT X 6 </v>
          </cell>
          <cell r="N293">
            <v>120</v>
          </cell>
          <cell r="O293">
            <v>8717568242682</v>
          </cell>
          <cell r="P293" t="str">
            <v>T-H</v>
          </cell>
          <cell r="Q293">
            <v>2</v>
          </cell>
          <cell r="R293">
            <v>3</v>
          </cell>
          <cell r="T293">
            <v>2000</v>
          </cell>
          <cell r="U293">
            <v>4</v>
          </cell>
          <cell r="V293">
            <v>2000</v>
          </cell>
          <cell r="W293">
            <v>4</v>
          </cell>
          <cell r="X293">
            <v>0</v>
          </cell>
          <cell r="Y293">
            <v>0</v>
          </cell>
          <cell r="Z293">
            <v>0</v>
          </cell>
          <cell r="AA293" t="str">
            <v>! ! !</v>
          </cell>
          <cell r="AC293">
            <v>0</v>
          </cell>
          <cell r="AJ293" t="str">
            <v>V-A</v>
          </cell>
          <cell r="AK293" t="str">
            <v>Ja</v>
          </cell>
          <cell r="AL293">
            <v>0</v>
          </cell>
          <cell r="AM293">
            <v>2000</v>
          </cell>
          <cell r="AN293" t="e">
            <v>#VALUE!</v>
          </cell>
          <cell r="AO293" t="e">
            <v>#VALUE!</v>
          </cell>
          <cell r="AP293">
            <v>-2000</v>
          </cell>
        </row>
        <row r="294">
          <cell r="A294">
            <v>63909800</v>
          </cell>
          <cell r="C294">
            <v>9098</v>
          </cell>
          <cell r="D294" t="str">
            <v>VAT ERWTENSOEP MET ROOKWORSTSCHIJFJES 650G</v>
          </cell>
          <cell r="E294" t="str">
            <v>VAT</v>
          </cell>
          <cell r="F294" t="str">
            <v>290MM</v>
          </cell>
          <cell r="G294" t="str">
            <v xml:space="preserve">C2227-1H </v>
          </cell>
          <cell r="H294">
            <v>456</v>
          </cell>
          <cell r="I294">
            <v>0.65</v>
          </cell>
          <cell r="J294" t="str">
            <v>NVT</v>
          </cell>
          <cell r="K294" t="str">
            <v>VAT</v>
          </cell>
          <cell r="L294">
            <v>6</v>
          </cell>
          <cell r="M294" t="str">
            <v xml:space="preserve">VAT X 6 </v>
          </cell>
          <cell r="N294">
            <v>120</v>
          </cell>
          <cell r="O294">
            <v>8717568240008</v>
          </cell>
          <cell r="P294" t="str">
            <v>I-2T</v>
          </cell>
          <cell r="Q294">
            <v>1</v>
          </cell>
          <cell r="R294">
            <v>3</v>
          </cell>
          <cell r="S294" t="str">
            <v>ERWTEN wellen D-1, SPEK snijden/ opvolging soep (opm klant)</v>
          </cell>
          <cell r="T294">
            <v>2000</v>
          </cell>
          <cell r="U294">
            <v>2</v>
          </cell>
          <cell r="V294">
            <v>2000</v>
          </cell>
          <cell r="W294">
            <v>2</v>
          </cell>
          <cell r="X294">
            <v>0</v>
          </cell>
          <cell r="Y294">
            <v>0</v>
          </cell>
          <cell r="Z294">
            <v>0</v>
          </cell>
          <cell r="AA294" t="str">
            <v>! ! !</v>
          </cell>
          <cell r="AC294">
            <v>0</v>
          </cell>
          <cell r="AJ294" t="str">
            <v>V-A</v>
          </cell>
          <cell r="AK294" t="str">
            <v>Ja</v>
          </cell>
          <cell r="AL294">
            <v>0</v>
          </cell>
          <cell r="AM294">
            <v>2000</v>
          </cell>
          <cell r="AN294" t="e">
            <v>#VALUE!</v>
          </cell>
          <cell r="AO294" t="e">
            <v>#VALUE!</v>
          </cell>
          <cell r="AP294">
            <v>-2000</v>
          </cell>
        </row>
        <row r="295">
          <cell r="A295">
            <v>63910100</v>
          </cell>
          <cell r="C295">
            <v>9101</v>
          </cell>
          <cell r="D295" t="str">
            <v>VAT RUNDERGEHAKTBAL BLADSPIN. A LA CREME AARD</v>
          </cell>
          <cell r="E295" t="str">
            <v>VAT</v>
          </cell>
          <cell r="F295" t="str">
            <v>290MM</v>
          </cell>
          <cell r="G295" t="str">
            <v>C2227-3R</v>
          </cell>
          <cell r="H295">
            <v>456</v>
          </cell>
          <cell r="I295">
            <v>0.51</v>
          </cell>
          <cell r="J295" t="str">
            <v>NVT</v>
          </cell>
          <cell r="K295" t="str">
            <v>VAT</v>
          </cell>
          <cell r="L295">
            <v>6</v>
          </cell>
          <cell r="M295" t="str">
            <v xml:space="preserve">VAT X 6 </v>
          </cell>
          <cell r="N295">
            <v>120</v>
          </cell>
          <cell r="O295">
            <v>8717568240619</v>
          </cell>
          <cell r="P295" t="str">
            <v>2T</v>
          </cell>
          <cell r="Q295">
            <v>2.5</v>
          </cell>
          <cell r="R295">
            <v>3</v>
          </cell>
          <cell r="S295" t="str">
            <v>AARDAPPELEN steamen D-0</v>
          </cell>
          <cell r="T295">
            <v>2200</v>
          </cell>
          <cell r="U295">
            <v>4</v>
          </cell>
          <cell r="V295">
            <v>2200</v>
          </cell>
          <cell r="W295">
            <v>4</v>
          </cell>
          <cell r="X295">
            <v>0</v>
          </cell>
          <cell r="Y295">
            <v>0</v>
          </cell>
          <cell r="Z295">
            <v>0</v>
          </cell>
          <cell r="AA295" t="str">
            <v>! !</v>
          </cell>
          <cell r="AC295">
            <v>5.8800000000000005E-2</v>
          </cell>
          <cell r="AG295">
            <v>45</v>
          </cell>
          <cell r="AJ295" t="str">
            <v>-</v>
          </cell>
          <cell r="AK295" t="str">
            <v>Ja</v>
          </cell>
          <cell r="AL295">
            <v>2700</v>
          </cell>
          <cell r="AM295">
            <v>2200</v>
          </cell>
          <cell r="AN295" t="e">
            <v>#VALUE!</v>
          </cell>
          <cell r="AO295" t="e">
            <v>#VALUE!</v>
          </cell>
          <cell r="AP295">
            <v>500</v>
          </cell>
        </row>
        <row r="296">
          <cell r="A296">
            <v>63910200</v>
          </cell>
          <cell r="C296">
            <v>9102</v>
          </cell>
          <cell r="D296" t="str">
            <v>VAT RUNDERLAPJE SCHORSENEREN EN GEK AARDAPPELEN</v>
          </cell>
          <cell r="E296" t="str">
            <v>VAT</v>
          </cell>
          <cell r="F296" t="str">
            <v>290MM</v>
          </cell>
          <cell r="G296" t="str">
            <v>C2227-3R</v>
          </cell>
          <cell r="H296">
            <v>456</v>
          </cell>
          <cell r="I296">
            <v>0.5</v>
          </cell>
          <cell r="J296" t="str">
            <v>NVT</v>
          </cell>
          <cell r="K296" t="str">
            <v>VAT</v>
          </cell>
          <cell r="L296">
            <v>6</v>
          </cell>
          <cell r="M296" t="str">
            <v xml:space="preserve">VAT X 6 </v>
          </cell>
          <cell r="N296">
            <v>120</v>
          </cell>
          <cell r="O296">
            <v>8717568240633</v>
          </cell>
          <cell r="P296" t="str">
            <v>2T</v>
          </cell>
          <cell r="Q296">
            <v>2</v>
          </cell>
          <cell r="R296">
            <v>3</v>
          </cell>
          <cell r="S296" t="str">
            <v>AARDAPPELEN steamen D-0</v>
          </cell>
          <cell r="T296">
            <v>2200</v>
          </cell>
          <cell r="U296">
            <v>4</v>
          </cell>
          <cell r="V296">
            <v>2200</v>
          </cell>
          <cell r="W296">
            <v>4</v>
          </cell>
          <cell r="X296">
            <v>0</v>
          </cell>
          <cell r="Y296">
            <v>0</v>
          </cell>
          <cell r="Z296">
            <v>0</v>
          </cell>
          <cell r="AA296" t="str">
            <v>! !</v>
          </cell>
          <cell r="AC296">
            <v>5.5125E-2</v>
          </cell>
          <cell r="AG296">
            <v>45</v>
          </cell>
          <cell r="AJ296" t="str">
            <v>-</v>
          </cell>
          <cell r="AK296" t="str">
            <v>Ja</v>
          </cell>
          <cell r="AL296">
            <v>2700</v>
          </cell>
          <cell r="AM296">
            <v>2200</v>
          </cell>
          <cell r="AN296" t="e">
            <v>#VALUE!</v>
          </cell>
          <cell r="AO296" t="e">
            <v>#VALUE!</v>
          </cell>
          <cell r="AP296">
            <v>500</v>
          </cell>
        </row>
        <row r="297">
          <cell r="A297">
            <v>63910300</v>
          </cell>
          <cell r="C297">
            <v>9103</v>
          </cell>
          <cell r="D297" t="str">
            <v>VAT KIPSCHNITZEL STROGANOFF ERWTEN BOONTJES AARD KUBUS</v>
          </cell>
          <cell r="E297" t="str">
            <v>VAT</v>
          </cell>
          <cell r="F297" t="str">
            <v>290MM</v>
          </cell>
          <cell r="G297" t="str">
            <v xml:space="preserve">C2227-1H </v>
          </cell>
          <cell r="H297">
            <v>456</v>
          </cell>
          <cell r="I297">
            <v>0.48499999999999999</v>
          </cell>
          <cell r="J297" t="str">
            <v>NVT</v>
          </cell>
          <cell r="K297" t="str">
            <v>VAT</v>
          </cell>
          <cell r="L297">
            <v>6</v>
          </cell>
          <cell r="M297" t="str">
            <v xml:space="preserve">VAT X 6 </v>
          </cell>
          <cell r="N297">
            <v>120</v>
          </cell>
          <cell r="O297">
            <v>8717568240626</v>
          </cell>
          <cell r="P297" t="str">
            <v>I-T</v>
          </cell>
          <cell r="Q297">
            <v>2.5</v>
          </cell>
          <cell r="R297">
            <v>3</v>
          </cell>
          <cell r="T297">
            <v>2200</v>
          </cell>
          <cell r="U297">
            <v>3</v>
          </cell>
          <cell r="V297">
            <v>2200</v>
          </cell>
          <cell r="W297">
            <v>3</v>
          </cell>
          <cell r="X297">
            <v>0</v>
          </cell>
          <cell r="Y297">
            <v>0</v>
          </cell>
          <cell r="Z297">
            <v>0</v>
          </cell>
          <cell r="AA297" t="str">
            <v>! !</v>
          </cell>
          <cell r="AC297">
            <v>5.2499999999999991E-2</v>
          </cell>
          <cell r="AG297">
            <v>45</v>
          </cell>
          <cell r="AJ297" t="str">
            <v>V-A</v>
          </cell>
          <cell r="AK297" t="str">
            <v>Ja</v>
          </cell>
          <cell r="AL297">
            <v>2700</v>
          </cell>
          <cell r="AM297">
            <v>2200</v>
          </cell>
          <cell r="AN297" t="e">
            <v>#VALUE!</v>
          </cell>
          <cell r="AO297" t="e">
            <v>#VALUE!</v>
          </cell>
          <cell r="AP297">
            <v>500</v>
          </cell>
        </row>
        <row r="298">
          <cell r="A298">
            <v>63910500</v>
          </cell>
          <cell r="C298">
            <v>9105</v>
          </cell>
          <cell r="D298" t="str">
            <v>VAT SPEKLAPJE JUS RODE BIETJES AARDAP</v>
          </cell>
          <cell r="E298" t="str">
            <v>VAT</v>
          </cell>
          <cell r="F298" t="str">
            <v>290MM</v>
          </cell>
          <cell r="G298" t="str">
            <v>C2227-3R</v>
          </cell>
          <cell r="H298">
            <v>365</v>
          </cell>
          <cell r="I298">
            <v>0.5</v>
          </cell>
          <cell r="J298" t="str">
            <v>NVT</v>
          </cell>
          <cell r="K298" t="str">
            <v>VAT</v>
          </cell>
          <cell r="L298">
            <v>6</v>
          </cell>
          <cell r="M298" t="str">
            <v xml:space="preserve">VAT X 6 </v>
          </cell>
          <cell r="N298">
            <v>120</v>
          </cell>
          <cell r="O298">
            <v>8717568240695</v>
          </cell>
          <cell r="P298" t="str">
            <v>2T</v>
          </cell>
          <cell r="Q298">
            <v>2.5</v>
          </cell>
          <cell r="R298">
            <v>3</v>
          </cell>
          <cell r="S298" t="str">
            <v>AARDAPPELEN steamen D-0</v>
          </cell>
          <cell r="T298">
            <v>2200</v>
          </cell>
          <cell r="U298">
            <v>6</v>
          </cell>
          <cell r="V298">
            <v>2200</v>
          </cell>
          <cell r="W298">
            <v>6</v>
          </cell>
          <cell r="X298">
            <v>0</v>
          </cell>
          <cell r="Y298">
            <v>0</v>
          </cell>
          <cell r="Z298">
            <v>0</v>
          </cell>
          <cell r="AA298" t="str">
            <v>! ! !</v>
          </cell>
          <cell r="AC298">
            <v>5.5125E-2</v>
          </cell>
          <cell r="AG298">
            <v>45</v>
          </cell>
          <cell r="AJ298" t="str">
            <v>V-A</v>
          </cell>
          <cell r="AK298" t="str">
            <v>Ja</v>
          </cell>
          <cell r="AL298">
            <v>2700</v>
          </cell>
          <cell r="AM298">
            <v>2200</v>
          </cell>
          <cell r="AN298" t="e">
            <v>#VALUE!</v>
          </cell>
          <cell r="AO298" t="e">
            <v>#VALUE!</v>
          </cell>
          <cell r="AP298">
            <v>500</v>
          </cell>
        </row>
        <row r="299">
          <cell r="A299">
            <v>63910700</v>
          </cell>
          <cell r="C299">
            <v>9107</v>
          </cell>
          <cell r="D299" t="str">
            <v>VAT HEEK HOLLANDAISE BROCCOLI PUREE</v>
          </cell>
          <cell r="E299" t="str">
            <v>VAT</v>
          </cell>
          <cell r="F299" t="str">
            <v>290MM</v>
          </cell>
          <cell r="G299" t="str">
            <v>C2227-2K</v>
          </cell>
          <cell r="H299">
            <v>456</v>
          </cell>
          <cell r="I299">
            <v>0.52</v>
          </cell>
          <cell r="J299" t="str">
            <v>NVT</v>
          </cell>
          <cell r="K299" t="str">
            <v>VAT</v>
          </cell>
          <cell r="L299">
            <v>6</v>
          </cell>
          <cell r="M299" t="str">
            <v xml:space="preserve">VAT X 6 </v>
          </cell>
          <cell r="N299">
            <v>120</v>
          </cell>
          <cell r="O299">
            <v>8717568240701</v>
          </cell>
          <cell r="P299" t="str">
            <v>T-H</v>
          </cell>
          <cell r="Q299">
            <v>2.5</v>
          </cell>
          <cell r="R299">
            <v>3</v>
          </cell>
          <cell r="S299" t="str">
            <v>idem 63930700</v>
          </cell>
          <cell r="T299">
            <v>1750</v>
          </cell>
          <cell r="U299">
            <v>4</v>
          </cell>
          <cell r="V299">
            <v>1750</v>
          </cell>
          <cell r="W299">
            <v>4</v>
          </cell>
          <cell r="X299">
            <v>0</v>
          </cell>
          <cell r="Y299">
            <v>0</v>
          </cell>
          <cell r="Z299">
            <v>0</v>
          </cell>
          <cell r="AA299" t="str">
            <v>! ! ! !</v>
          </cell>
          <cell r="AC299">
            <v>0</v>
          </cell>
          <cell r="AJ299" t="str">
            <v>V-A</v>
          </cell>
          <cell r="AK299" t="str">
            <v>Ja</v>
          </cell>
          <cell r="AL299">
            <v>0</v>
          </cell>
          <cell r="AM299">
            <v>1750</v>
          </cell>
          <cell r="AN299" t="e">
            <v>#VALUE!</v>
          </cell>
          <cell r="AO299" t="e">
            <v>#VALUE!</v>
          </cell>
          <cell r="AP299">
            <v>-1750</v>
          </cell>
        </row>
        <row r="300">
          <cell r="A300">
            <v>63910800</v>
          </cell>
          <cell r="C300">
            <v>9108</v>
          </cell>
          <cell r="D300" t="str">
            <v>VAT SPAGHETTI CARBONARA</v>
          </cell>
          <cell r="E300" t="str">
            <v>VAT</v>
          </cell>
          <cell r="F300" t="str">
            <v>290MM</v>
          </cell>
          <cell r="G300" t="str">
            <v xml:space="preserve">C2227-1H </v>
          </cell>
          <cell r="H300">
            <v>456</v>
          </cell>
          <cell r="I300">
            <v>0.55000000000000004</v>
          </cell>
          <cell r="J300" t="str">
            <v>NVT</v>
          </cell>
          <cell r="K300" t="str">
            <v>VAT</v>
          </cell>
          <cell r="L300">
            <v>6</v>
          </cell>
          <cell r="M300" t="str">
            <v xml:space="preserve">VAT X 6 </v>
          </cell>
          <cell r="N300">
            <v>120</v>
          </cell>
          <cell r="O300">
            <v>8717568240725</v>
          </cell>
          <cell r="P300" t="str">
            <v>M-2T</v>
          </cell>
          <cell r="Q300">
            <v>2</v>
          </cell>
          <cell r="R300">
            <v>3</v>
          </cell>
          <cell r="T300">
            <v>2200</v>
          </cell>
          <cell r="U300">
            <v>3</v>
          </cell>
          <cell r="V300">
            <v>2200</v>
          </cell>
          <cell r="W300">
            <v>3</v>
          </cell>
          <cell r="X300">
            <v>0</v>
          </cell>
          <cell r="Y300">
            <v>0</v>
          </cell>
          <cell r="Z300">
            <v>0</v>
          </cell>
          <cell r="AA300" t="str">
            <v>! !</v>
          </cell>
          <cell r="AC300">
            <v>0</v>
          </cell>
          <cell r="AG300">
            <v>45</v>
          </cell>
          <cell r="AJ300" t="str">
            <v>V-A</v>
          </cell>
          <cell r="AK300" t="str">
            <v>Ja</v>
          </cell>
          <cell r="AL300">
            <v>2700</v>
          </cell>
          <cell r="AM300">
            <v>2200</v>
          </cell>
          <cell r="AN300" t="e">
            <v>#VALUE!</v>
          </cell>
          <cell r="AO300" t="e">
            <v>#VALUE!</v>
          </cell>
          <cell r="AP300">
            <v>500</v>
          </cell>
        </row>
        <row r="301">
          <cell r="A301">
            <v>63910900</v>
          </cell>
          <cell r="C301">
            <v>9109</v>
          </cell>
          <cell r="D301" t="str">
            <v xml:space="preserve">VAT KIP ZOETZUUR NASI GORENG </v>
          </cell>
          <cell r="E301" t="str">
            <v>VAT</v>
          </cell>
          <cell r="F301" t="str">
            <v>290MM</v>
          </cell>
          <cell r="G301" t="str">
            <v>C2227-2K</v>
          </cell>
          <cell r="H301">
            <v>456</v>
          </cell>
          <cell r="I301">
            <v>0.5</v>
          </cell>
          <cell r="J301" t="str">
            <v>NVT</v>
          </cell>
          <cell r="K301" t="str">
            <v>VAT</v>
          </cell>
          <cell r="L301">
            <v>6</v>
          </cell>
          <cell r="M301" t="str">
            <v xml:space="preserve">VAT X 6 </v>
          </cell>
          <cell r="N301">
            <v>120</v>
          </cell>
          <cell r="O301">
            <v>8717568240732</v>
          </cell>
          <cell r="P301" t="str">
            <v>T-M-I</v>
          </cell>
          <cell r="Q301">
            <v>3</v>
          </cell>
          <cell r="R301">
            <v>3</v>
          </cell>
          <cell r="S301" t="str">
            <v>RIJST D-1</v>
          </cell>
          <cell r="T301">
            <v>2200</v>
          </cell>
          <cell r="U301">
            <v>4</v>
          </cell>
          <cell r="V301">
            <v>2200</v>
          </cell>
          <cell r="W301">
            <v>4</v>
          </cell>
          <cell r="X301">
            <v>0</v>
          </cell>
          <cell r="Y301">
            <v>0</v>
          </cell>
          <cell r="Z301">
            <v>0</v>
          </cell>
          <cell r="AA301" t="str">
            <v>! ! ! ! !</v>
          </cell>
          <cell r="AC301">
            <v>0</v>
          </cell>
          <cell r="AG301">
            <v>45</v>
          </cell>
          <cell r="AJ301" t="str">
            <v>V-A</v>
          </cell>
          <cell r="AK301" t="str">
            <v>Ja</v>
          </cell>
          <cell r="AL301">
            <v>2700</v>
          </cell>
          <cell r="AM301">
            <v>2200</v>
          </cell>
          <cell r="AN301" t="e">
            <v>#VALUE!</v>
          </cell>
          <cell r="AO301" t="e">
            <v>#VALUE!</v>
          </cell>
          <cell r="AP301">
            <v>500</v>
          </cell>
        </row>
        <row r="302">
          <cell r="A302">
            <v>63911100</v>
          </cell>
          <cell r="C302">
            <v>9111</v>
          </cell>
          <cell r="D302" t="str">
            <v>VAT HETE BLIKSEM BRAADWORST</v>
          </cell>
          <cell r="E302" t="str">
            <v>VAT</v>
          </cell>
          <cell r="F302" t="str">
            <v>290MM</v>
          </cell>
          <cell r="G302" t="str">
            <v>C2227-2K</v>
          </cell>
          <cell r="H302">
            <v>456</v>
          </cell>
          <cell r="I302">
            <v>0.6</v>
          </cell>
          <cell r="J302" t="str">
            <v>NVT</v>
          </cell>
          <cell r="K302" t="str">
            <v>VAT</v>
          </cell>
          <cell r="L302">
            <v>6</v>
          </cell>
          <cell r="M302" t="str">
            <v xml:space="preserve">VAT X 6 </v>
          </cell>
          <cell r="N302">
            <v>120</v>
          </cell>
          <cell r="O302">
            <v>8717568240671</v>
          </cell>
          <cell r="P302" t="str">
            <v>H-T</v>
          </cell>
          <cell r="Q302">
            <v>2</v>
          </cell>
          <cell r="R302">
            <v>3</v>
          </cell>
          <cell r="S302" t="str">
            <v>Braadworst D-1</v>
          </cell>
          <cell r="T302">
            <v>2000</v>
          </cell>
          <cell r="U302">
            <v>2</v>
          </cell>
          <cell r="V302">
            <v>2000</v>
          </cell>
          <cell r="W302">
            <v>2</v>
          </cell>
          <cell r="X302">
            <v>0</v>
          </cell>
          <cell r="Y302">
            <v>0</v>
          </cell>
          <cell r="Z302">
            <v>0</v>
          </cell>
          <cell r="AA302" t="str">
            <v>! ! !</v>
          </cell>
          <cell r="AC302">
            <v>6.6911764705882351E-2</v>
          </cell>
          <cell r="AG302">
            <v>40</v>
          </cell>
          <cell r="AJ302" t="str">
            <v>V-A</v>
          </cell>
          <cell r="AK302" t="str">
            <v>Ja</v>
          </cell>
          <cell r="AL302">
            <v>2400</v>
          </cell>
          <cell r="AM302">
            <v>2000</v>
          </cell>
          <cell r="AN302" t="e">
            <v>#VALUE!</v>
          </cell>
          <cell r="AO302" t="e">
            <v>#VALUE!</v>
          </cell>
          <cell r="AP302">
            <v>400</v>
          </cell>
        </row>
        <row r="303">
          <cell r="A303">
            <v>63911400</v>
          </cell>
          <cell r="C303">
            <v>9114</v>
          </cell>
          <cell r="D303" t="str">
            <v>VAT KIPPENBOUT TUTTI FRUTTI GEBAKKEN AARD</v>
          </cell>
          <cell r="E303" t="str">
            <v>VAT</v>
          </cell>
          <cell r="F303" t="str">
            <v>290MM</v>
          </cell>
          <cell r="G303" t="str">
            <v>C2227-2K</v>
          </cell>
          <cell r="H303">
            <v>456</v>
          </cell>
          <cell r="I303">
            <v>0.55000000000000004</v>
          </cell>
          <cell r="J303" t="str">
            <v>NVT</v>
          </cell>
          <cell r="K303" t="str">
            <v>VAT</v>
          </cell>
          <cell r="L303">
            <v>6</v>
          </cell>
          <cell r="M303" t="str">
            <v xml:space="preserve">VAT X 6 </v>
          </cell>
          <cell r="N303">
            <v>120</v>
          </cell>
          <cell r="O303">
            <v>8717568242941</v>
          </cell>
          <cell r="P303" t="str">
            <v>2T-I</v>
          </cell>
          <cell r="Q303">
            <v>2</v>
          </cell>
          <cell r="R303">
            <v>3</v>
          </cell>
          <cell r="S303" t="str">
            <v>TUTTI FRUTTI D-1</v>
          </cell>
          <cell r="T303">
            <v>2000</v>
          </cell>
          <cell r="U303">
            <v>4</v>
          </cell>
          <cell r="V303">
            <v>2000</v>
          </cell>
          <cell r="W303">
            <v>4</v>
          </cell>
          <cell r="X303">
            <v>0</v>
          </cell>
          <cell r="Y303">
            <v>0</v>
          </cell>
          <cell r="Z303">
            <v>0</v>
          </cell>
          <cell r="AA303" t="str">
            <v>! ! !</v>
          </cell>
          <cell r="AC303">
            <v>0.18416666666666667</v>
          </cell>
          <cell r="AJ303" t="str">
            <v>-</v>
          </cell>
          <cell r="AK303" t="str">
            <v>Ja</v>
          </cell>
          <cell r="AL303">
            <v>0</v>
          </cell>
          <cell r="AM303">
            <v>2000</v>
          </cell>
          <cell r="AN303" t="e">
            <v>#VALUE!</v>
          </cell>
          <cell r="AO303" t="e">
            <v>#VALUE!</v>
          </cell>
          <cell r="AP303">
            <v>-2000</v>
          </cell>
        </row>
        <row r="304">
          <cell r="A304">
            <v>63911500</v>
          </cell>
          <cell r="C304">
            <v>9115</v>
          </cell>
          <cell r="D304" t="str">
            <v>VAT VA GEBRAAD SAVOOIKOOL KOOKAARDAPPEL</v>
          </cell>
          <cell r="E304" t="str">
            <v>VAT</v>
          </cell>
          <cell r="F304" t="str">
            <v>290MM</v>
          </cell>
          <cell r="G304" t="str">
            <v>C2227-2K</v>
          </cell>
          <cell r="H304">
            <v>456</v>
          </cell>
          <cell r="I304">
            <v>0.52500000000000002</v>
          </cell>
          <cell r="J304" t="str">
            <v>NVT</v>
          </cell>
          <cell r="K304" t="str">
            <v>VAT</v>
          </cell>
          <cell r="L304">
            <v>6</v>
          </cell>
          <cell r="M304" t="str">
            <v xml:space="preserve">VAT X 6 </v>
          </cell>
          <cell r="N304">
            <v>120</v>
          </cell>
          <cell r="O304">
            <v>8717568242958</v>
          </cell>
          <cell r="P304" t="str">
            <v>2T</v>
          </cell>
          <cell r="Q304">
            <v>3</v>
          </cell>
          <cell r="R304">
            <v>3</v>
          </cell>
          <cell r="S304" t="str">
            <v>AARDAPPELEN steamen D-0</v>
          </cell>
          <cell r="T304">
            <v>2200</v>
          </cell>
          <cell r="U304">
            <v>4</v>
          </cell>
          <cell r="V304">
            <v>2200</v>
          </cell>
          <cell r="W304">
            <v>4</v>
          </cell>
          <cell r="X304">
            <v>0</v>
          </cell>
          <cell r="Y304">
            <v>0</v>
          </cell>
          <cell r="Z304">
            <v>0</v>
          </cell>
          <cell r="AA304" t="str">
            <v>! ! !</v>
          </cell>
          <cell r="AC304">
            <v>5.3899999999999997E-2</v>
          </cell>
          <cell r="AG304">
            <v>45</v>
          </cell>
          <cell r="AJ304" t="str">
            <v>V-A</v>
          </cell>
          <cell r="AK304" t="str">
            <v>Ja</v>
          </cell>
          <cell r="AL304">
            <v>2700</v>
          </cell>
          <cell r="AM304">
            <v>2200</v>
          </cell>
          <cell r="AN304" t="e">
            <v>#VALUE!</v>
          </cell>
          <cell r="AO304" t="e">
            <v>#VALUE!</v>
          </cell>
          <cell r="AP304">
            <v>500</v>
          </cell>
        </row>
        <row r="305">
          <cell r="A305">
            <v>63911600</v>
          </cell>
          <cell r="C305">
            <v>9116</v>
          </cell>
          <cell r="D305" t="str">
            <v>VAT CORDON BLEU SPINAZIE PUREE</v>
          </cell>
          <cell r="E305" t="str">
            <v>VAT</v>
          </cell>
          <cell r="F305" t="str">
            <v>290MM</v>
          </cell>
          <cell r="G305" t="str">
            <v>C2227-3R</v>
          </cell>
          <cell r="H305">
            <v>456</v>
          </cell>
          <cell r="I305">
            <v>0.49</v>
          </cell>
          <cell r="J305" t="str">
            <v>NVT</v>
          </cell>
          <cell r="K305" t="str">
            <v>VAT</v>
          </cell>
          <cell r="L305">
            <v>6</v>
          </cell>
          <cell r="M305" t="str">
            <v xml:space="preserve">VAT X 6 </v>
          </cell>
          <cell r="N305">
            <v>120</v>
          </cell>
          <cell r="O305">
            <v>8717568242965</v>
          </cell>
          <cell r="P305" t="str">
            <v>H-T</v>
          </cell>
          <cell r="Q305">
            <v>3</v>
          </cell>
          <cell r="R305">
            <v>3</v>
          </cell>
          <cell r="T305">
            <v>2200</v>
          </cell>
          <cell r="U305">
            <v>2</v>
          </cell>
          <cell r="V305">
            <v>2200</v>
          </cell>
          <cell r="W305">
            <v>2</v>
          </cell>
          <cell r="X305">
            <v>0</v>
          </cell>
          <cell r="Y305">
            <v>0</v>
          </cell>
          <cell r="Z305">
            <v>0</v>
          </cell>
          <cell r="AA305" t="str">
            <v>! ! !</v>
          </cell>
          <cell r="AC305">
            <v>0</v>
          </cell>
          <cell r="AG305">
            <v>45</v>
          </cell>
          <cell r="AJ305" t="str">
            <v>-</v>
          </cell>
          <cell r="AK305" t="str">
            <v>Ja</v>
          </cell>
          <cell r="AL305">
            <v>2700</v>
          </cell>
          <cell r="AM305">
            <v>2200</v>
          </cell>
          <cell r="AN305" t="e">
            <v>#VALUE!</v>
          </cell>
          <cell r="AO305" t="e">
            <v>#VALUE!</v>
          </cell>
          <cell r="AP305">
            <v>500</v>
          </cell>
        </row>
        <row r="306">
          <cell r="A306">
            <v>63911900</v>
          </cell>
          <cell r="C306">
            <v>9119</v>
          </cell>
          <cell r="D306" t="str">
            <v>VAT WILDSTOOFPOTJE APPEL/VEENBESSENCOMPOTE AARDAPPELPUREE</v>
          </cell>
          <cell r="E306" t="str">
            <v>VAT</v>
          </cell>
          <cell r="F306" t="str">
            <v>290MM</v>
          </cell>
          <cell r="G306" t="str">
            <v>C2227-3R</v>
          </cell>
          <cell r="H306">
            <v>456</v>
          </cell>
          <cell r="I306">
            <v>0.5</v>
          </cell>
          <cell r="J306" t="str">
            <v>NVT</v>
          </cell>
          <cell r="K306" t="str">
            <v>VAT</v>
          </cell>
          <cell r="L306">
            <v>6</v>
          </cell>
          <cell r="M306" t="str">
            <v xml:space="preserve">VAT X 6 </v>
          </cell>
          <cell r="N306">
            <v>120</v>
          </cell>
          <cell r="O306">
            <v>8717568243825</v>
          </cell>
          <cell r="P306" t="str">
            <v>3T-H</v>
          </cell>
          <cell r="Q306">
            <v>3</v>
          </cell>
          <cell r="R306">
            <v>3</v>
          </cell>
          <cell r="S306" t="str">
            <v>HERT D-1 (vacuumzakken)</v>
          </cell>
          <cell r="T306">
            <v>2000</v>
          </cell>
          <cell r="U306">
            <v>6</v>
          </cell>
          <cell r="V306">
            <v>2000</v>
          </cell>
          <cell r="W306">
            <v>6</v>
          </cell>
          <cell r="X306">
            <v>0</v>
          </cell>
          <cell r="Y306">
            <v>0</v>
          </cell>
          <cell r="Z306">
            <v>0</v>
          </cell>
          <cell r="AA306" t="str">
            <v>! !</v>
          </cell>
          <cell r="AC306">
            <v>0.16789381659374999</v>
          </cell>
          <cell r="AJ306" t="str">
            <v>V-A</v>
          </cell>
          <cell r="AK306" t="str">
            <v>Ja</v>
          </cell>
          <cell r="AL306">
            <v>0</v>
          </cell>
          <cell r="AM306">
            <v>2000</v>
          </cell>
          <cell r="AN306" t="e">
            <v>#VALUE!</v>
          </cell>
          <cell r="AO306" t="e">
            <v>#VALUE!</v>
          </cell>
          <cell r="AP306">
            <v>-2000</v>
          </cell>
        </row>
        <row r="307">
          <cell r="A307">
            <v>63912000</v>
          </cell>
          <cell r="C307">
            <v>9120</v>
          </cell>
          <cell r="D307" t="str">
            <v>VAT KIPPENRAGOUT WORTELTJES DOPERWTEN RIJST</v>
          </cell>
          <cell r="E307" t="str">
            <v>VAT</v>
          </cell>
          <cell r="F307" t="str">
            <v>290MM</v>
          </cell>
          <cell r="G307" t="str">
            <v>C2227-2K</v>
          </cell>
          <cell r="H307">
            <v>456</v>
          </cell>
          <cell r="I307">
            <v>0.5</v>
          </cell>
          <cell r="J307" t="str">
            <v>NVT</v>
          </cell>
          <cell r="K307" t="str">
            <v>VAT</v>
          </cell>
          <cell r="L307">
            <v>6</v>
          </cell>
          <cell r="M307" t="str">
            <v xml:space="preserve">VAT X 6 </v>
          </cell>
          <cell r="N307">
            <v>120</v>
          </cell>
          <cell r="O307">
            <v>8717568244006</v>
          </cell>
          <cell r="P307" t="str">
            <v>M-T</v>
          </cell>
          <cell r="Q307">
            <v>2</v>
          </cell>
          <cell r="R307">
            <v>3</v>
          </cell>
          <cell r="S307" t="str">
            <v>RIJST D-1</v>
          </cell>
          <cell r="T307">
            <v>2200</v>
          </cell>
          <cell r="U307">
            <v>5</v>
          </cell>
          <cell r="V307">
            <v>2200</v>
          </cell>
          <cell r="W307">
            <v>5</v>
          </cell>
          <cell r="X307">
            <v>0</v>
          </cell>
          <cell r="Y307">
            <v>0</v>
          </cell>
          <cell r="Z307">
            <v>0</v>
          </cell>
          <cell r="AA307" t="str">
            <v>! ! !</v>
          </cell>
          <cell r="AC307">
            <v>0</v>
          </cell>
          <cell r="AG307">
            <v>45</v>
          </cell>
          <cell r="AJ307" t="str">
            <v>-</v>
          </cell>
          <cell r="AK307" t="str">
            <v>Ja</v>
          </cell>
          <cell r="AL307">
            <v>2700</v>
          </cell>
          <cell r="AM307">
            <v>2200</v>
          </cell>
          <cell r="AN307" t="e">
            <v>#VALUE!</v>
          </cell>
          <cell r="AO307" t="e">
            <v>#VALUE!</v>
          </cell>
          <cell r="AP307">
            <v>500</v>
          </cell>
        </row>
        <row r="308">
          <cell r="A308">
            <v>63912100</v>
          </cell>
          <cell r="C308">
            <v>9121</v>
          </cell>
          <cell r="D308" t="str">
            <v>VAT BRAADWORST SPRUITEN AARDAPPELPUREE</v>
          </cell>
          <cell r="E308" t="str">
            <v>VAT</v>
          </cell>
          <cell r="F308" t="str">
            <v>290MM</v>
          </cell>
          <cell r="G308" t="str">
            <v>C2227-3R</v>
          </cell>
          <cell r="H308">
            <v>456</v>
          </cell>
          <cell r="I308">
            <v>0.5</v>
          </cell>
          <cell r="J308" t="str">
            <v>NVT</v>
          </cell>
          <cell r="K308" t="str">
            <v>VAT</v>
          </cell>
          <cell r="L308">
            <v>6</v>
          </cell>
          <cell r="M308" t="str">
            <v xml:space="preserve">VAT X 6 </v>
          </cell>
          <cell r="N308">
            <v>120</v>
          </cell>
          <cell r="O308">
            <v>8717568243849</v>
          </cell>
          <cell r="P308" t="str">
            <v>H-T</v>
          </cell>
          <cell r="Q308">
            <v>3</v>
          </cell>
          <cell r="R308">
            <v>3</v>
          </cell>
          <cell r="T308">
            <v>2200</v>
          </cell>
          <cell r="U308">
            <v>4</v>
          </cell>
          <cell r="V308">
            <v>2200</v>
          </cell>
          <cell r="W308">
            <v>4</v>
          </cell>
          <cell r="X308">
            <v>0</v>
          </cell>
          <cell r="Y308">
            <v>0</v>
          </cell>
          <cell r="Z308">
            <v>0</v>
          </cell>
          <cell r="AA308" t="str">
            <v>! ! !</v>
          </cell>
          <cell r="AC308">
            <v>4.1176470588235294E-2</v>
          </cell>
          <cell r="AG308">
            <v>45</v>
          </cell>
          <cell r="AJ308" t="str">
            <v>V-A</v>
          </cell>
          <cell r="AK308" t="str">
            <v>Ja</v>
          </cell>
          <cell r="AL308">
            <v>2700</v>
          </cell>
          <cell r="AM308">
            <v>2200</v>
          </cell>
          <cell r="AN308" t="e">
            <v>#VALUE!</v>
          </cell>
          <cell r="AO308" t="e">
            <v>#VALUE!</v>
          </cell>
          <cell r="AP308">
            <v>500</v>
          </cell>
        </row>
        <row r="309">
          <cell r="A309">
            <v>63912200</v>
          </cell>
          <cell r="C309">
            <v>9122</v>
          </cell>
          <cell r="D309" t="str">
            <v>VAT KIPFILET RABARBERCOMPOTE GEBAK AARD BLOKJE</v>
          </cell>
          <cell r="E309" t="str">
            <v>VAT</v>
          </cell>
          <cell r="F309" t="str">
            <v>290MM</v>
          </cell>
          <cell r="G309" t="str">
            <v>C2227-3R</v>
          </cell>
          <cell r="H309">
            <v>456</v>
          </cell>
          <cell r="I309">
            <v>0.5</v>
          </cell>
          <cell r="J309" t="str">
            <v>NVT</v>
          </cell>
          <cell r="K309" t="str">
            <v>VAT</v>
          </cell>
          <cell r="L309">
            <v>6</v>
          </cell>
          <cell r="M309" t="str">
            <v xml:space="preserve">VAT X 6 </v>
          </cell>
          <cell r="N309">
            <v>120</v>
          </cell>
          <cell r="O309">
            <v>8717568243863</v>
          </cell>
          <cell r="P309" t="str">
            <v>I-2T</v>
          </cell>
          <cell r="Q309">
            <v>2</v>
          </cell>
          <cell r="R309">
            <v>3</v>
          </cell>
          <cell r="T309">
            <v>2200</v>
          </cell>
          <cell r="U309">
            <v>4</v>
          </cell>
          <cell r="V309">
            <v>2200</v>
          </cell>
          <cell r="W309">
            <v>4</v>
          </cell>
          <cell r="X309">
            <v>0</v>
          </cell>
          <cell r="Y309">
            <v>0</v>
          </cell>
          <cell r="Z309">
            <v>0</v>
          </cell>
          <cell r="AA309" t="str">
            <v>! !</v>
          </cell>
          <cell r="AC309">
            <v>0</v>
          </cell>
          <cell r="AG309">
            <v>45</v>
          </cell>
          <cell r="AJ309" t="str">
            <v>V-A</v>
          </cell>
          <cell r="AK309" t="str">
            <v>Ja</v>
          </cell>
          <cell r="AL309">
            <v>2700</v>
          </cell>
          <cell r="AM309">
            <v>2200</v>
          </cell>
          <cell r="AN309" t="e">
            <v>#VALUE!</v>
          </cell>
          <cell r="AO309" t="e">
            <v>#VALUE!</v>
          </cell>
          <cell r="AP309">
            <v>500</v>
          </cell>
        </row>
        <row r="310">
          <cell r="A310">
            <v>63912300</v>
          </cell>
          <cell r="C310">
            <v>9123</v>
          </cell>
          <cell r="D310" t="str">
            <v>VAT VARKENSHAMLAPJE SPRUITEN AARDAPPEL</v>
          </cell>
          <cell r="E310" t="str">
            <v>VAT</v>
          </cell>
          <cell r="F310" t="str">
            <v>290MM</v>
          </cell>
          <cell r="G310" t="str">
            <v>C2227-3R</v>
          </cell>
          <cell r="H310">
            <v>456</v>
          </cell>
          <cell r="I310">
            <v>0.5</v>
          </cell>
          <cell r="J310" t="str">
            <v>NVT</v>
          </cell>
          <cell r="K310" t="str">
            <v>VAT</v>
          </cell>
          <cell r="L310">
            <v>6</v>
          </cell>
          <cell r="M310" t="str">
            <v xml:space="preserve">VAT X 6 </v>
          </cell>
          <cell r="N310">
            <v>120</v>
          </cell>
          <cell r="O310">
            <v>8717568243887</v>
          </cell>
          <cell r="P310" t="str">
            <v>T</v>
          </cell>
          <cell r="Q310">
            <v>3</v>
          </cell>
          <cell r="R310">
            <v>3</v>
          </cell>
          <cell r="S310" t="str">
            <v>AARDAPPELEN steamen D-0</v>
          </cell>
          <cell r="T310">
            <v>2000</v>
          </cell>
          <cell r="U310">
            <v>6</v>
          </cell>
          <cell r="V310">
            <v>2000</v>
          </cell>
          <cell r="W310">
            <v>6</v>
          </cell>
          <cell r="X310">
            <v>0</v>
          </cell>
          <cell r="Y310">
            <v>0</v>
          </cell>
          <cell r="Z310">
            <v>0</v>
          </cell>
          <cell r="AA310" t="str">
            <v>! ! !</v>
          </cell>
          <cell r="AC310">
            <v>5.2499999999999991E-2</v>
          </cell>
          <cell r="AJ310" t="str">
            <v>V-A</v>
          </cell>
          <cell r="AK310" t="str">
            <v>Ja</v>
          </cell>
          <cell r="AL310">
            <v>0</v>
          </cell>
          <cell r="AM310">
            <v>2000</v>
          </cell>
          <cell r="AN310" t="e">
            <v>#VALUE!</v>
          </cell>
          <cell r="AO310" t="e">
            <v>#VALUE!</v>
          </cell>
          <cell r="AP310">
            <v>-2000</v>
          </cell>
        </row>
        <row r="311">
          <cell r="A311">
            <v>63912400</v>
          </cell>
          <cell r="C311">
            <v>9124</v>
          </cell>
          <cell r="D311" t="str">
            <v>VAT RODE KOOL STAMPPOT MET GEHAKTBALLETJES</v>
          </cell>
          <cell r="E311" t="str">
            <v>VAT</v>
          </cell>
          <cell r="F311" t="str">
            <v>290MM</v>
          </cell>
          <cell r="G311" t="str">
            <v>C2227-2K</v>
          </cell>
          <cell r="H311">
            <v>456</v>
          </cell>
          <cell r="I311">
            <v>0.6</v>
          </cell>
          <cell r="J311" t="str">
            <v>NVT</v>
          </cell>
          <cell r="K311" t="str">
            <v>VAT</v>
          </cell>
          <cell r="L311">
            <v>6</v>
          </cell>
          <cell r="M311" t="str">
            <v xml:space="preserve">VAT X 6 </v>
          </cell>
          <cell r="N311">
            <v>120</v>
          </cell>
          <cell r="O311">
            <v>8717568243900</v>
          </cell>
          <cell r="P311" t="str">
            <v>H-T</v>
          </cell>
          <cell r="Q311">
            <v>3</v>
          </cell>
          <cell r="R311">
            <v>3</v>
          </cell>
          <cell r="T311">
            <v>2200</v>
          </cell>
          <cell r="U311">
            <v>3</v>
          </cell>
          <cell r="V311">
            <v>2200</v>
          </cell>
          <cell r="W311">
            <v>3</v>
          </cell>
          <cell r="X311">
            <v>0</v>
          </cell>
          <cell r="Y311">
            <v>0</v>
          </cell>
          <cell r="Z311">
            <v>0</v>
          </cell>
          <cell r="AA311" t="str">
            <v>! !</v>
          </cell>
          <cell r="AC311">
            <v>0</v>
          </cell>
          <cell r="AG311">
            <v>45</v>
          </cell>
          <cell r="AJ311" t="str">
            <v>V-A</v>
          </cell>
          <cell r="AK311" t="str">
            <v>Ja</v>
          </cell>
          <cell r="AL311">
            <v>2700</v>
          </cell>
          <cell r="AM311">
            <v>2200</v>
          </cell>
          <cell r="AN311" t="e">
            <v>#VALUE!</v>
          </cell>
          <cell r="AO311" t="e">
            <v>#VALUE!</v>
          </cell>
          <cell r="AP311">
            <v>500</v>
          </cell>
        </row>
        <row r="312">
          <cell r="A312">
            <v>63912500</v>
          </cell>
          <cell r="C312">
            <v>9125</v>
          </cell>
          <cell r="D312" t="str">
            <v>VAT PREISTAMPPOT KIPFILET</v>
          </cell>
          <cell r="E312" t="str">
            <v>VAT</v>
          </cell>
          <cell r="F312" t="str">
            <v>290MM</v>
          </cell>
          <cell r="G312" t="str">
            <v>C2227-2K</v>
          </cell>
          <cell r="H312">
            <v>456</v>
          </cell>
          <cell r="I312">
            <v>0.6</v>
          </cell>
          <cell r="J312" t="str">
            <v>NVT</v>
          </cell>
          <cell r="K312" t="str">
            <v>VAT</v>
          </cell>
          <cell r="L312">
            <v>6</v>
          </cell>
          <cell r="M312" t="str">
            <v xml:space="preserve">VAT X 6 </v>
          </cell>
          <cell r="N312">
            <v>120</v>
          </cell>
          <cell r="O312">
            <v>8717568243924</v>
          </cell>
          <cell r="P312" t="str">
            <v>H-T</v>
          </cell>
          <cell r="Q312">
            <v>2.5</v>
          </cell>
          <cell r="R312">
            <v>3</v>
          </cell>
          <cell r="T312">
            <v>2200</v>
          </cell>
          <cell r="U312">
            <v>2</v>
          </cell>
          <cell r="V312">
            <v>2200</v>
          </cell>
          <cell r="W312">
            <v>2</v>
          </cell>
          <cell r="X312">
            <v>0</v>
          </cell>
          <cell r="Y312">
            <v>0</v>
          </cell>
          <cell r="Z312">
            <v>0</v>
          </cell>
          <cell r="AA312" t="str">
            <v>! !</v>
          </cell>
          <cell r="AC312">
            <v>0</v>
          </cell>
          <cell r="AG312">
            <v>45</v>
          </cell>
          <cell r="AJ312" t="str">
            <v>V-A</v>
          </cell>
          <cell r="AK312" t="str">
            <v>Ja</v>
          </cell>
          <cell r="AL312">
            <v>2700</v>
          </cell>
          <cell r="AM312">
            <v>2200</v>
          </cell>
          <cell r="AN312" t="e">
            <v>#VALUE!</v>
          </cell>
          <cell r="AO312" t="e">
            <v>#VALUE!</v>
          </cell>
          <cell r="AP312">
            <v>500</v>
          </cell>
        </row>
        <row r="313">
          <cell r="A313">
            <v>63912600</v>
          </cell>
          <cell r="C313">
            <v>9126</v>
          </cell>
          <cell r="D313" t="str">
            <v>VAT SLAVINK SPRUITEN AARDAPPELPUREE</v>
          </cell>
          <cell r="E313" t="str">
            <v>VAT</v>
          </cell>
          <cell r="F313" t="str">
            <v>290MM</v>
          </cell>
          <cell r="G313" t="str">
            <v>C2227-2K</v>
          </cell>
          <cell r="H313">
            <v>456</v>
          </cell>
          <cell r="I313">
            <v>0.5</v>
          </cell>
          <cell r="J313" t="str">
            <v>NVT</v>
          </cell>
          <cell r="K313" t="str">
            <v>VAT</v>
          </cell>
          <cell r="L313">
            <v>6</v>
          </cell>
          <cell r="M313" t="str">
            <v xml:space="preserve">VAT X 6 </v>
          </cell>
          <cell r="N313">
            <v>120</v>
          </cell>
          <cell r="O313">
            <v>8717568243948</v>
          </cell>
          <cell r="P313" t="str">
            <v>H-T</v>
          </cell>
          <cell r="Q313">
            <v>3</v>
          </cell>
          <cell r="R313">
            <v>3</v>
          </cell>
          <cell r="T313">
            <v>2200</v>
          </cell>
          <cell r="U313">
            <v>4</v>
          </cell>
          <cell r="V313">
            <v>2200</v>
          </cell>
          <cell r="W313">
            <v>4</v>
          </cell>
          <cell r="X313">
            <v>0</v>
          </cell>
          <cell r="Y313">
            <v>0</v>
          </cell>
          <cell r="Z313">
            <v>0</v>
          </cell>
          <cell r="AA313" t="str">
            <v>! !</v>
          </cell>
          <cell r="AC313">
            <v>1.484848484848485E-2</v>
          </cell>
          <cell r="AG313">
            <v>45</v>
          </cell>
          <cell r="AJ313" t="str">
            <v>V-A</v>
          </cell>
          <cell r="AK313" t="str">
            <v>Ja</v>
          </cell>
          <cell r="AL313">
            <v>2700</v>
          </cell>
          <cell r="AM313">
            <v>2200</v>
          </cell>
          <cell r="AN313" t="e">
            <v>#VALUE!</v>
          </cell>
          <cell r="AO313" t="e">
            <v>#VALUE!</v>
          </cell>
          <cell r="AP313">
            <v>500</v>
          </cell>
        </row>
        <row r="314">
          <cell r="A314">
            <v>63912700</v>
          </cell>
          <cell r="C314">
            <v>9127</v>
          </cell>
          <cell r="D314" t="str">
            <v>VAT BABI KETJAP MET BAMI</v>
          </cell>
          <cell r="E314" t="str">
            <v>VAT</v>
          </cell>
          <cell r="F314" t="str">
            <v>290MM</v>
          </cell>
          <cell r="G314" t="str">
            <v>C2227-2K</v>
          </cell>
          <cell r="H314">
            <v>456</v>
          </cell>
          <cell r="I314">
            <v>0.5</v>
          </cell>
          <cell r="J314" t="str">
            <v>NVT</v>
          </cell>
          <cell r="K314" t="str">
            <v>VAT</v>
          </cell>
          <cell r="L314">
            <v>6</v>
          </cell>
          <cell r="M314" t="str">
            <v xml:space="preserve">VAT X 6 </v>
          </cell>
          <cell r="N314">
            <v>120</v>
          </cell>
          <cell r="O314">
            <v>8717568243986</v>
          </cell>
          <cell r="P314" t="str">
            <v>I-M-T</v>
          </cell>
          <cell r="Q314">
            <v>3</v>
          </cell>
          <cell r="R314">
            <v>3</v>
          </cell>
          <cell r="T314">
            <v>2200</v>
          </cell>
          <cell r="U314">
            <v>4</v>
          </cell>
          <cell r="V314">
            <v>2200</v>
          </cell>
          <cell r="W314">
            <v>4</v>
          </cell>
          <cell r="X314">
            <v>0</v>
          </cell>
          <cell r="Y314">
            <v>0</v>
          </cell>
          <cell r="Z314">
            <v>0</v>
          </cell>
          <cell r="AA314" t="str">
            <v>! ! !</v>
          </cell>
          <cell r="AC314">
            <v>0</v>
          </cell>
          <cell r="AG314">
            <v>45</v>
          </cell>
          <cell r="AJ314" t="str">
            <v>V-A</v>
          </cell>
          <cell r="AK314" t="str">
            <v>Ja</v>
          </cell>
          <cell r="AL314">
            <v>2700</v>
          </cell>
          <cell r="AM314">
            <v>2200</v>
          </cell>
          <cell r="AN314" t="e">
            <v>#VALUE!</v>
          </cell>
          <cell r="AO314" t="e">
            <v>#VALUE!</v>
          </cell>
          <cell r="AP314">
            <v>500</v>
          </cell>
        </row>
        <row r="315">
          <cell r="A315">
            <v>63912800</v>
          </cell>
          <cell r="C315">
            <v>9128</v>
          </cell>
          <cell r="D315" t="str">
            <v>VAT VARKENSROLLADE ANDIJVIE KOOKAARDAPPEL</v>
          </cell>
          <cell r="E315" t="str">
            <v>VAT</v>
          </cell>
          <cell r="F315" t="str">
            <v>290MM</v>
          </cell>
          <cell r="G315" t="str">
            <v>C2227-3R</v>
          </cell>
          <cell r="H315">
            <v>456</v>
          </cell>
          <cell r="I315">
            <v>0.5</v>
          </cell>
          <cell r="J315" t="str">
            <v>NVT</v>
          </cell>
          <cell r="K315" t="str">
            <v>VAT</v>
          </cell>
          <cell r="L315">
            <v>6</v>
          </cell>
          <cell r="M315" t="str">
            <v xml:space="preserve">VAT X 6 </v>
          </cell>
          <cell r="N315">
            <v>120</v>
          </cell>
          <cell r="O315">
            <v>8717568243962</v>
          </cell>
          <cell r="P315" t="str">
            <v>2T</v>
          </cell>
          <cell r="Q315">
            <v>3</v>
          </cell>
          <cell r="R315">
            <v>3</v>
          </cell>
          <cell r="S315" t="str">
            <v>AARDAPPELEN steamen D-0</v>
          </cell>
          <cell r="T315">
            <v>2000</v>
          </cell>
          <cell r="U315">
            <v>5</v>
          </cell>
          <cell r="V315">
            <v>2000</v>
          </cell>
          <cell r="W315">
            <v>5</v>
          </cell>
          <cell r="X315">
            <v>0</v>
          </cell>
          <cell r="Y315">
            <v>0</v>
          </cell>
          <cell r="Z315">
            <v>0</v>
          </cell>
          <cell r="AA315" t="str">
            <v>! !</v>
          </cell>
          <cell r="AC315">
            <v>4.5937499999999999E-2</v>
          </cell>
          <cell r="AJ315" t="str">
            <v>V-A</v>
          </cell>
          <cell r="AK315" t="str">
            <v>Ja</v>
          </cell>
          <cell r="AL315">
            <v>0</v>
          </cell>
          <cell r="AM315">
            <v>2000</v>
          </cell>
          <cell r="AN315" t="e">
            <v>#VALUE!</v>
          </cell>
          <cell r="AO315" t="e">
            <v>#VALUE!</v>
          </cell>
          <cell r="AP315">
            <v>-2000</v>
          </cell>
        </row>
        <row r="316">
          <cell r="A316">
            <v>63912900</v>
          </cell>
          <cell r="C316">
            <v>9129</v>
          </cell>
          <cell r="D316" t="str">
            <v>VAT RUNDERLAPJE STOOFPEREN PUREE</v>
          </cell>
          <cell r="E316" t="str">
            <v>VAT</v>
          </cell>
          <cell r="F316" t="str">
            <v>290MM</v>
          </cell>
          <cell r="G316" t="str">
            <v>C2227-3R</v>
          </cell>
          <cell r="H316">
            <v>456</v>
          </cell>
          <cell r="I316">
            <v>0.51</v>
          </cell>
          <cell r="J316" t="str">
            <v>NVT</v>
          </cell>
          <cell r="K316" t="str">
            <v>VAT</v>
          </cell>
          <cell r="L316">
            <v>6</v>
          </cell>
          <cell r="M316" t="str">
            <v xml:space="preserve">VAT X 6 </v>
          </cell>
          <cell r="N316">
            <v>120</v>
          </cell>
          <cell r="O316">
            <v>8717568244716</v>
          </cell>
          <cell r="P316" t="str">
            <v>2T-H</v>
          </cell>
          <cell r="Q316">
            <v>3</v>
          </cell>
          <cell r="R316">
            <v>3</v>
          </cell>
          <cell r="T316">
            <v>2200</v>
          </cell>
          <cell r="U316">
            <v>4</v>
          </cell>
          <cell r="V316">
            <v>2200</v>
          </cell>
          <cell r="W316">
            <v>4</v>
          </cell>
          <cell r="X316">
            <v>0</v>
          </cell>
          <cell r="Y316">
            <v>0</v>
          </cell>
          <cell r="Z316">
            <v>0</v>
          </cell>
          <cell r="AA316" t="str">
            <v>! !</v>
          </cell>
          <cell r="AC316">
            <v>0</v>
          </cell>
          <cell r="AG316">
            <v>45</v>
          </cell>
          <cell r="AJ316" t="str">
            <v>-</v>
          </cell>
          <cell r="AK316" t="str">
            <v>Ja</v>
          </cell>
          <cell r="AL316">
            <v>2700</v>
          </cell>
          <cell r="AM316">
            <v>2200</v>
          </cell>
          <cell r="AN316" t="e">
            <v>#VALUE!</v>
          </cell>
          <cell r="AO316" t="e">
            <v>#VALUE!</v>
          </cell>
          <cell r="AP316">
            <v>500</v>
          </cell>
        </row>
        <row r="317">
          <cell r="A317">
            <v>63913000</v>
          </cell>
          <cell r="C317">
            <v>9130</v>
          </cell>
          <cell r="D317" t="str">
            <v>VAT RUNDERLAPJE SNIJBONEN PUREE</v>
          </cell>
          <cell r="E317" t="str">
            <v>VAT</v>
          </cell>
          <cell r="F317" t="str">
            <v>290MM</v>
          </cell>
          <cell r="G317" t="str">
            <v>C2227-2K</v>
          </cell>
          <cell r="H317">
            <v>456</v>
          </cell>
          <cell r="I317">
            <v>0.5</v>
          </cell>
          <cell r="J317" t="str">
            <v>NVT</v>
          </cell>
          <cell r="K317" t="str">
            <v>VAT</v>
          </cell>
          <cell r="L317">
            <v>6</v>
          </cell>
          <cell r="M317" t="str">
            <v xml:space="preserve">VAT X 6 </v>
          </cell>
          <cell r="N317">
            <v>120</v>
          </cell>
          <cell r="O317">
            <v>8717568244723</v>
          </cell>
          <cell r="P317" t="str">
            <v>H-T</v>
          </cell>
          <cell r="Q317">
            <v>3</v>
          </cell>
          <cell r="R317">
            <v>3</v>
          </cell>
          <cell r="T317">
            <v>2200</v>
          </cell>
          <cell r="U317">
            <v>4</v>
          </cell>
          <cell r="V317">
            <v>2200</v>
          </cell>
          <cell r="W317">
            <v>4</v>
          </cell>
          <cell r="X317">
            <v>0</v>
          </cell>
          <cell r="Y317">
            <v>0</v>
          </cell>
          <cell r="Z317">
            <v>0</v>
          </cell>
          <cell r="AA317" t="str">
            <v>! !</v>
          </cell>
          <cell r="AC317">
            <v>0</v>
          </cell>
          <cell r="AG317">
            <v>45</v>
          </cell>
          <cell r="AJ317" t="str">
            <v>-</v>
          </cell>
          <cell r="AK317" t="str">
            <v>Ja</v>
          </cell>
          <cell r="AL317">
            <v>2700</v>
          </cell>
          <cell r="AM317">
            <v>2200</v>
          </cell>
          <cell r="AN317" t="e">
            <v>#VALUE!</v>
          </cell>
          <cell r="AO317" t="e">
            <v>#VALUE!</v>
          </cell>
          <cell r="AP317">
            <v>500</v>
          </cell>
        </row>
        <row r="318">
          <cell r="A318">
            <v>63913100</v>
          </cell>
          <cell r="C318">
            <v>9131</v>
          </cell>
          <cell r="D318" t="str">
            <v>VAT RUNDERLAPJE BLOEMKOOL BECHAMEL AARDAPPEL</v>
          </cell>
          <cell r="E318" t="str">
            <v>VAT</v>
          </cell>
          <cell r="F318" t="str">
            <v>290MM</v>
          </cell>
          <cell r="G318" t="str">
            <v>C2227-3R</v>
          </cell>
          <cell r="H318">
            <v>456</v>
          </cell>
          <cell r="I318">
            <v>0.5</v>
          </cell>
          <cell r="J318" t="str">
            <v>NVT</v>
          </cell>
          <cell r="K318" t="str">
            <v>VAT</v>
          </cell>
          <cell r="L318">
            <v>6</v>
          </cell>
          <cell r="M318" t="str">
            <v xml:space="preserve">VAT X 6 </v>
          </cell>
          <cell r="N318">
            <v>120</v>
          </cell>
          <cell r="O318">
            <v>8717568244730</v>
          </cell>
          <cell r="P318" t="str">
            <v>2T</v>
          </cell>
          <cell r="Q318">
            <v>3</v>
          </cell>
          <cell r="R318">
            <v>3</v>
          </cell>
          <cell r="S318" t="str">
            <v>AARDAPPELEN steamen D-0</v>
          </cell>
          <cell r="T318">
            <v>2000</v>
          </cell>
          <cell r="U318">
            <v>6</v>
          </cell>
          <cell r="V318">
            <v>2000</v>
          </cell>
          <cell r="W318">
            <v>6</v>
          </cell>
          <cell r="X318">
            <v>0</v>
          </cell>
          <cell r="Y318">
            <v>0</v>
          </cell>
          <cell r="Z318">
            <v>0</v>
          </cell>
          <cell r="AA318" t="str">
            <v>! !</v>
          </cell>
          <cell r="AC318">
            <v>0</v>
          </cell>
          <cell r="AJ318" t="str">
            <v>-</v>
          </cell>
          <cell r="AK318" t="str">
            <v>Ja</v>
          </cell>
          <cell r="AL318">
            <v>0</v>
          </cell>
          <cell r="AM318">
            <v>2000</v>
          </cell>
          <cell r="AN318" t="e">
            <v>#VALUE!</v>
          </cell>
          <cell r="AO318" t="e">
            <v>#VALUE!</v>
          </cell>
          <cell r="AP318">
            <v>-2000</v>
          </cell>
        </row>
        <row r="319">
          <cell r="A319">
            <v>63913200</v>
          </cell>
          <cell r="C319">
            <v>9132</v>
          </cell>
          <cell r="D319" t="str">
            <v>VAT DRAADJESVLEES BIERSAUS RODE KOOL ROSTI'S</v>
          </cell>
          <cell r="E319" t="str">
            <v>VAT</v>
          </cell>
          <cell r="F319" t="str">
            <v>290MM</v>
          </cell>
          <cell r="G319" t="str">
            <v>C2227-3R</v>
          </cell>
          <cell r="H319">
            <v>456</v>
          </cell>
          <cell r="I319">
            <v>0.49</v>
          </cell>
          <cell r="J319" t="str">
            <v>NVT</v>
          </cell>
          <cell r="K319" t="str">
            <v>VAT</v>
          </cell>
          <cell r="L319">
            <v>6</v>
          </cell>
          <cell r="M319" t="str">
            <v xml:space="preserve">VAT X 6 </v>
          </cell>
          <cell r="N319">
            <v>120</v>
          </cell>
          <cell r="O319">
            <v>8717568244754</v>
          </cell>
          <cell r="P319" t="str">
            <v>2T-I</v>
          </cell>
          <cell r="Q319">
            <v>2</v>
          </cell>
          <cell r="R319">
            <v>3</v>
          </cell>
          <cell r="S319" t="str">
            <v>Pulled beef tussen D-4 en D-2</v>
          </cell>
          <cell r="T319">
            <v>2200</v>
          </cell>
          <cell r="U319">
            <v>2</v>
          </cell>
          <cell r="V319">
            <v>2200</v>
          </cell>
          <cell r="W319">
            <v>2</v>
          </cell>
          <cell r="X319">
            <v>0</v>
          </cell>
          <cell r="Y319">
            <v>0</v>
          </cell>
          <cell r="Z319">
            <v>0</v>
          </cell>
          <cell r="AA319" t="str">
            <v>! !</v>
          </cell>
          <cell r="AC319">
            <v>0</v>
          </cell>
          <cell r="AG319">
            <v>45</v>
          </cell>
          <cell r="AJ319" t="str">
            <v>V-A</v>
          </cell>
          <cell r="AK319" t="str">
            <v>Ja</v>
          </cell>
          <cell r="AL319">
            <v>2700</v>
          </cell>
          <cell r="AM319">
            <v>2200</v>
          </cell>
          <cell r="AN319" t="e">
            <v>#VALUE!</v>
          </cell>
          <cell r="AO319" t="e">
            <v>#VALUE!</v>
          </cell>
          <cell r="AP319">
            <v>500</v>
          </cell>
        </row>
        <row r="320">
          <cell r="A320">
            <v>63913400</v>
          </cell>
          <cell r="C320">
            <v>9134</v>
          </cell>
          <cell r="D320" t="str">
            <v>VAT KIP CORDON BLEU MET FRIET</v>
          </cell>
          <cell r="E320" t="str">
            <v>VAT</v>
          </cell>
          <cell r="F320" t="str">
            <v>290MM</v>
          </cell>
          <cell r="G320" t="str">
            <v xml:space="preserve">C2227-1H </v>
          </cell>
          <cell r="H320">
            <v>456</v>
          </cell>
          <cell r="I320">
            <v>0.5</v>
          </cell>
          <cell r="J320" t="str">
            <v>NVT</v>
          </cell>
          <cell r="K320" t="str">
            <v>VAT</v>
          </cell>
          <cell r="L320">
            <v>6</v>
          </cell>
          <cell r="M320" t="str">
            <v xml:space="preserve">VAT X 6 </v>
          </cell>
          <cell r="N320">
            <v>120</v>
          </cell>
          <cell r="O320">
            <v>8717568240909</v>
          </cell>
          <cell r="P320" t="str">
            <v>I</v>
          </cell>
          <cell r="Q320">
            <v>0</v>
          </cell>
          <cell r="R320">
            <v>3</v>
          </cell>
          <cell r="T320">
            <v>2000</v>
          </cell>
          <cell r="U320">
            <v>6</v>
          </cell>
          <cell r="V320">
            <v>2000</v>
          </cell>
          <cell r="W320">
            <v>6</v>
          </cell>
          <cell r="X320">
            <v>0</v>
          </cell>
          <cell r="Y320">
            <v>0</v>
          </cell>
          <cell r="Z320">
            <v>0</v>
          </cell>
          <cell r="AA320" t="str">
            <v>! ! !</v>
          </cell>
          <cell r="AC320">
            <v>0</v>
          </cell>
          <cell r="AJ320" t="str">
            <v>-</v>
          </cell>
          <cell r="AK320" t="str">
            <v>Ja</v>
          </cell>
          <cell r="AL320">
            <v>0</v>
          </cell>
          <cell r="AM320">
            <v>2000</v>
          </cell>
          <cell r="AN320" t="e">
            <v>#VALUE!</v>
          </cell>
          <cell r="AO320" t="e">
            <v>#VALUE!</v>
          </cell>
          <cell r="AP320">
            <v>-2000</v>
          </cell>
        </row>
        <row r="321">
          <cell r="A321">
            <v>63913600</v>
          </cell>
          <cell r="C321">
            <v>9136</v>
          </cell>
          <cell r="D321" t="str">
            <v>VAT FRIKANDEL MET FRIET</v>
          </cell>
          <cell r="E321" t="str">
            <v>VAT</v>
          </cell>
          <cell r="F321" t="str">
            <v>290MM</v>
          </cell>
          <cell r="G321" t="str">
            <v xml:space="preserve">C2227-1H </v>
          </cell>
          <cell r="H321">
            <v>180</v>
          </cell>
          <cell r="I321">
            <v>0.5</v>
          </cell>
          <cell r="J321" t="str">
            <v>NVT</v>
          </cell>
          <cell r="K321" t="str">
            <v>VAT</v>
          </cell>
          <cell r="L321">
            <v>6</v>
          </cell>
          <cell r="M321" t="str">
            <v xml:space="preserve">VAT X 6 </v>
          </cell>
          <cell r="N321">
            <v>120</v>
          </cell>
          <cell r="O321">
            <v>8717568240947</v>
          </cell>
          <cell r="P321" t="str">
            <v>I</v>
          </cell>
          <cell r="Q321">
            <v>0</v>
          </cell>
          <cell r="R321">
            <v>3</v>
          </cell>
          <cell r="T321">
            <v>2200</v>
          </cell>
          <cell r="U321">
            <v>5</v>
          </cell>
          <cell r="V321">
            <v>2200</v>
          </cell>
          <cell r="W321">
            <v>5</v>
          </cell>
          <cell r="X321">
            <v>0</v>
          </cell>
          <cell r="Y321">
            <v>0</v>
          </cell>
          <cell r="Z321">
            <v>0</v>
          </cell>
          <cell r="AA321" t="str">
            <v>! !</v>
          </cell>
          <cell r="AC321">
            <v>0</v>
          </cell>
          <cell r="AG321">
            <v>45</v>
          </cell>
          <cell r="AJ321" t="str">
            <v>V-A</v>
          </cell>
          <cell r="AK321" t="str">
            <v>Ja</v>
          </cell>
          <cell r="AL321">
            <v>2700</v>
          </cell>
          <cell r="AM321">
            <v>2200</v>
          </cell>
          <cell r="AN321" t="e">
            <v>#VALUE!</v>
          </cell>
          <cell r="AO321" t="e">
            <v>#VALUE!</v>
          </cell>
          <cell r="AP321">
            <v>500</v>
          </cell>
        </row>
        <row r="322">
          <cell r="A322">
            <v>63913700</v>
          </cell>
          <cell r="C322">
            <v>9137</v>
          </cell>
          <cell r="D322" t="str">
            <v>VAT KIPPENSPIES EXOTISCHE GROENTEN GEBAKKEN AARDAPPEL</v>
          </cell>
          <cell r="E322" t="str">
            <v>VAT</v>
          </cell>
          <cell r="F322" t="str">
            <v>290MM</v>
          </cell>
          <cell r="G322" t="str">
            <v>C2227-2K</v>
          </cell>
          <cell r="H322">
            <v>456</v>
          </cell>
          <cell r="I322">
            <v>0.5</v>
          </cell>
          <cell r="J322" t="str">
            <v>NVT</v>
          </cell>
          <cell r="K322" t="str">
            <v>VAT</v>
          </cell>
          <cell r="L322">
            <v>6</v>
          </cell>
          <cell r="M322" t="str">
            <v xml:space="preserve">VAT X 6 </v>
          </cell>
          <cell r="N322">
            <v>120</v>
          </cell>
          <cell r="O322">
            <v>8717568244969</v>
          </cell>
          <cell r="P322" t="str">
            <v>T</v>
          </cell>
          <cell r="Q322">
            <v>2</v>
          </cell>
          <cell r="R322">
            <v>3</v>
          </cell>
          <cell r="T322">
            <v>2000</v>
          </cell>
          <cell r="U322">
            <v>5</v>
          </cell>
          <cell r="V322">
            <v>2000</v>
          </cell>
          <cell r="W322">
            <v>5</v>
          </cell>
          <cell r="X322">
            <v>0</v>
          </cell>
          <cell r="Y322">
            <v>0</v>
          </cell>
          <cell r="Z322">
            <v>0</v>
          </cell>
          <cell r="AA322" t="str">
            <v>! ! !</v>
          </cell>
          <cell r="AC322">
            <v>8.9285714285714288E-2</v>
          </cell>
          <cell r="AJ322" t="str">
            <v>-</v>
          </cell>
          <cell r="AK322" t="str">
            <v>Ja</v>
          </cell>
          <cell r="AL322">
            <v>0</v>
          </cell>
          <cell r="AM322">
            <v>2000</v>
          </cell>
          <cell r="AN322" t="e">
            <v>#VALUE!</v>
          </cell>
          <cell r="AO322" t="e">
            <v>#VALUE!</v>
          </cell>
          <cell r="AP322">
            <v>-2000</v>
          </cell>
        </row>
        <row r="323">
          <cell r="A323">
            <v>63913800</v>
          </cell>
          <cell r="C323">
            <v>9138</v>
          </cell>
          <cell r="D323" t="str">
            <v>VAT KIPHAASJE WITLOF AARDAPPELPUREE</v>
          </cell>
          <cell r="E323" t="str">
            <v>VAT</v>
          </cell>
          <cell r="F323" t="str">
            <v>290MM</v>
          </cell>
          <cell r="G323" t="str">
            <v>C2227-3R</v>
          </cell>
          <cell r="H323">
            <v>456</v>
          </cell>
          <cell r="I323">
            <v>0.5</v>
          </cell>
          <cell r="J323" t="str">
            <v>NVT</v>
          </cell>
          <cell r="K323" t="str">
            <v>VAT</v>
          </cell>
          <cell r="L323">
            <v>6</v>
          </cell>
          <cell r="M323" t="str">
            <v xml:space="preserve">VAT X 6 </v>
          </cell>
          <cell r="N323">
            <v>120</v>
          </cell>
          <cell r="O323">
            <v>8717568244921</v>
          </cell>
          <cell r="P323" t="str">
            <v>I-H-2T</v>
          </cell>
          <cell r="Q323">
            <v>3</v>
          </cell>
          <cell r="R323">
            <v>3</v>
          </cell>
          <cell r="T323">
            <v>2200</v>
          </cell>
          <cell r="U323">
            <v>2</v>
          </cell>
          <cell r="V323">
            <v>2200</v>
          </cell>
          <cell r="W323">
            <v>2</v>
          </cell>
          <cell r="X323">
            <v>0</v>
          </cell>
          <cell r="Y323">
            <v>0</v>
          </cell>
          <cell r="Z323">
            <v>0</v>
          </cell>
          <cell r="AA323" t="str">
            <v>! !</v>
          </cell>
          <cell r="AC323">
            <v>0</v>
          </cell>
          <cell r="AG323">
            <v>45</v>
          </cell>
          <cell r="AJ323" t="str">
            <v>-</v>
          </cell>
          <cell r="AK323" t="str">
            <v>Ja</v>
          </cell>
          <cell r="AL323">
            <v>2700</v>
          </cell>
          <cell r="AM323">
            <v>2200</v>
          </cell>
          <cell r="AN323" t="e">
            <v>#VALUE!</v>
          </cell>
          <cell r="AO323" t="e">
            <v>#VALUE!</v>
          </cell>
          <cell r="AP323">
            <v>500</v>
          </cell>
        </row>
        <row r="324">
          <cell r="A324">
            <v>63913900</v>
          </cell>
          <cell r="C324">
            <v>9139</v>
          </cell>
          <cell r="D324" t="str">
            <v xml:space="preserve">VAT VIS MSC HOLLANDAISESAUS RODE BIETEN AARDAPPELPUREE  </v>
          </cell>
          <cell r="E324" t="str">
            <v>VAT</v>
          </cell>
          <cell r="F324" t="str">
            <v>290MM</v>
          </cell>
          <cell r="G324" t="str">
            <v>C2227-3R</v>
          </cell>
          <cell r="H324">
            <v>456</v>
          </cell>
          <cell r="I324">
            <v>0.5</v>
          </cell>
          <cell r="J324" t="str">
            <v>NVT</v>
          </cell>
          <cell r="K324" t="str">
            <v>VAT</v>
          </cell>
          <cell r="L324">
            <v>6</v>
          </cell>
          <cell r="M324" t="str">
            <v xml:space="preserve">VAT X 6 </v>
          </cell>
          <cell r="N324">
            <v>120</v>
          </cell>
          <cell r="O324">
            <v>8717568240336</v>
          </cell>
          <cell r="P324" t="str">
            <v>2T-H</v>
          </cell>
          <cell r="Q324">
            <v>3</v>
          </cell>
          <cell r="R324">
            <v>3</v>
          </cell>
          <cell r="S324" t="str">
            <v>ALASKA POLLAK verzagen (100g)</v>
          </cell>
          <cell r="T324">
            <v>2200</v>
          </cell>
          <cell r="U324">
            <v>2</v>
          </cell>
          <cell r="V324">
            <v>2200</v>
          </cell>
          <cell r="W324">
            <v>2</v>
          </cell>
          <cell r="X324">
            <v>0</v>
          </cell>
          <cell r="Y324">
            <v>0</v>
          </cell>
          <cell r="Z324">
            <v>0</v>
          </cell>
          <cell r="AA324" t="str">
            <v>! ! ! !</v>
          </cell>
          <cell r="AC324">
            <v>0</v>
          </cell>
          <cell r="AE324" t="str">
            <v>x</v>
          </cell>
          <cell r="AG324">
            <v>45</v>
          </cell>
          <cell r="AJ324" t="str">
            <v>V-A</v>
          </cell>
          <cell r="AK324" t="str">
            <v>Ja</v>
          </cell>
          <cell r="AL324">
            <v>2700</v>
          </cell>
          <cell r="AM324">
            <v>2200</v>
          </cell>
          <cell r="AN324" t="e">
            <v>#VALUE!</v>
          </cell>
          <cell r="AO324" t="e">
            <v>#VALUE!</v>
          </cell>
          <cell r="AP324">
            <v>500</v>
          </cell>
        </row>
        <row r="325">
          <cell r="A325">
            <v>63914000</v>
          </cell>
          <cell r="C325">
            <v>9140</v>
          </cell>
          <cell r="D325" t="str">
            <v>VAT KIBBELING MSC WORTEL DOPERWT.  AARDKUBUS GEKRUID</v>
          </cell>
          <cell r="E325" t="str">
            <v>VAT</v>
          </cell>
          <cell r="F325" t="str">
            <v>290MM</v>
          </cell>
          <cell r="G325" t="str">
            <v>C2227-3R</v>
          </cell>
          <cell r="H325">
            <v>456</v>
          </cell>
          <cell r="I325">
            <v>0.48499999999999999</v>
          </cell>
          <cell r="J325" t="str">
            <v>NVT</v>
          </cell>
          <cell r="K325" t="str">
            <v>VAT</v>
          </cell>
          <cell r="L325">
            <v>6</v>
          </cell>
          <cell r="M325" t="str">
            <v xml:space="preserve">VAT X 6 </v>
          </cell>
          <cell r="N325">
            <v>120</v>
          </cell>
          <cell r="O325">
            <v>8717568240374</v>
          </cell>
          <cell r="P325" t="str">
            <v>I-T</v>
          </cell>
          <cell r="Q325">
            <v>2</v>
          </cell>
          <cell r="R325">
            <v>3</v>
          </cell>
          <cell r="S325" t="str">
            <v>augurken snijden (0,5cm)</v>
          </cell>
          <cell r="T325">
            <v>1750</v>
          </cell>
          <cell r="U325">
            <v>6</v>
          </cell>
          <cell r="V325">
            <v>1750</v>
          </cell>
          <cell r="W325">
            <v>6</v>
          </cell>
          <cell r="X325">
            <v>0</v>
          </cell>
          <cell r="Y325">
            <v>0</v>
          </cell>
          <cell r="Z325">
            <v>0</v>
          </cell>
          <cell r="AA325" t="str">
            <v>! ! ! !</v>
          </cell>
          <cell r="AC325">
            <v>0</v>
          </cell>
          <cell r="AE325" t="str">
            <v>x</v>
          </cell>
          <cell r="AJ325" t="str">
            <v>V-A</v>
          </cell>
          <cell r="AK325" t="str">
            <v>Ja</v>
          </cell>
          <cell r="AL325">
            <v>0</v>
          </cell>
          <cell r="AM325">
            <v>1750</v>
          </cell>
          <cell r="AN325" t="e">
            <v>#VALUE!</v>
          </cell>
          <cell r="AO325" t="e">
            <v>#VALUE!</v>
          </cell>
          <cell r="AP325">
            <v>-1750</v>
          </cell>
        </row>
        <row r="326">
          <cell r="A326">
            <v>63914100</v>
          </cell>
          <cell r="C326">
            <v>9141</v>
          </cell>
          <cell r="D326" t="str">
            <v xml:space="preserve">VAT ZALMFILET ASC DILLESAUS WORTEL PUREE        </v>
          </cell>
          <cell r="E326" t="str">
            <v>VAT</v>
          </cell>
          <cell r="F326" t="str">
            <v>290MM</v>
          </cell>
          <cell r="G326" t="str">
            <v>C2227-3R</v>
          </cell>
          <cell r="H326">
            <v>456</v>
          </cell>
          <cell r="I326">
            <v>0.54</v>
          </cell>
          <cell r="J326" t="str">
            <v>NVT</v>
          </cell>
          <cell r="K326" t="str">
            <v>VAT</v>
          </cell>
          <cell r="L326">
            <v>6</v>
          </cell>
          <cell r="M326" t="str">
            <v xml:space="preserve">VAT X 6 </v>
          </cell>
          <cell r="N326">
            <v>120</v>
          </cell>
          <cell r="O326">
            <v>8717568240404</v>
          </cell>
          <cell r="P326" t="str">
            <v>I-T-H</v>
          </cell>
          <cell r="Q326">
            <v>3</v>
          </cell>
          <cell r="R326">
            <v>3</v>
          </cell>
          <cell r="T326">
            <v>2200</v>
          </cell>
          <cell r="U326">
            <v>5</v>
          </cell>
          <cell r="V326">
            <v>2200</v>
          </cell>
          <cell r="W326">
            <v>5</v>
          </cell>
          <cell r="X326">
            <v>0</v>
          </cell>
          <cell r="Y326">
            <v>0</v>
          </cell>
          <cell r="Z326">
            <v>0</v>
          </cell>
          <cell r="AA326" t="str">
            <v>! ! ! !</v>
          </cell>
          <cell r="AC326">
            <v>0</v>
          </cell>
          <cell r="AE326" t="str">
            <v>x</v>
          </cell>
          <cell r="AG326">
            <v>45</v>
          </cell>
          <cell r="AJ326" t="str">
            <v>V-A</v>
          </cell>
          <cell r="AK326" t="str">
            <v>Ja</v>
          </cell>
          <cell r="AL326">
            <v>2700</v>
          </cell>
          <cell r="AM326">
            <v>2200</v>
          </cell>
          <cell r="AN326" t="e">
            <v>#VALUE!</v>
          </cell>
          <cell r="AO326" t="e">
            <v>#VALUE!</v>
          </cell>
          <cell r="AP326">
            <v>500</v>
          </cell>
        </row>
        <row r="327">
          <cell r="A327">
            <v>63914300</v>
          </cell>
          <cell r="C327">
            <v>9143</v>
          </cell>
          <cell r="D327" t="str">
            <v>VAT KABELJAUW MSC VISSAUS SPINAZIE PUREE</v>
          </cell>
          <cell r="E327" t="str">
            <v>VAT</v>
          </cell>
          <cell r="F327" t="str">
            <v>290MM</v>
          </cell>
          <cell r="G327" t="str">
            <v>C2227-2K</v>
          </cell>
          <cell r="H327">
            <v>456</v>
          </cell>
          <cell r="I327">
            <v>0.55000000000000004</v>
          </cell>
          <cell r="J327" t="str">
            <v>NVT</v>
          </cell>
          <cell r="K327" t="str">
            <v>VAT</v>
          </cell>
          <cell r="L327">
            <v>6</v>
          </cell>
          <cell r="M327" t="str">
            <v xml:space="preserve">VAT X 6 </v>
          </cell>
          <cell r="N327">
            <v>120</v>
          </cell>
          <cell r="O327">
            <v>8717568242989</v>
          </cell>
          <cell r="P327" t="str">
            <v>H-T</v>
          </cell>
          <cell r="Q327">
            <v>3</v>
          </cell>
          <cell r="R327">
            <v>3</v>
          </cell>
          <cell r="T327">
            <v>2200</v>
          </cell>
          <cell r="U327">
            <v>5</v>
          </cell>
          <cell r="V327">
            <v>2200</v>
          </cell>
          <cell r="W327">
            <v>5</v>
          </cell>
          <cell r="X327">
            <v>0</v>
          </cell>
          <cell r="Y327">
            <v>0</v>
          </cell>
          <cell r="Z327">
            <v>0</v>
          </cell>
          <cell r="AA327" t="str">
            <v>! ! ! !</v>
          </cell>
          <cell r="AC327">
            <v>0</v>
          </cell>
          <cell r="AG327">
            <v>45</v>
          </cell>
          <cell r="AJ327" t="str">
            <v>V-A</v>
          </cell>
          <cell r="AK327" t="str">
            <v>ja</v>
          </cell>
          <cell r="AL327">
            <v>2700</v>
          </cell>
          <cell r="AM327">
            <v>2200</v>
          </cell>
          <cell r="AN327" t="e">
            <v>#VALUE!</v>
          </cell>
          <cell r="AO327" t="e">
            <v>#VALUE!</v>
          </cell>
          <cell r="AP327">
            <v>500</v>
          </cell>
        </row>
        <row r="328">
          <cell r="A328">
            <v>63914500</v>
          </cell>
          <cell r="C328">
            <v>9145</v>
          </cell>
          <cell r="D328" t="str">
            <v>VAT LEKKERBEKJE RISOTTO RODE BIET/ERWT</v>
          </cell>
          <cell r="E328" t="str">
            <v>VAT</v>
          </cell>
          <cell r="F328" t="str">
            <v>290MM</v>
          </cell>
          <cell r="G328" t="str">
            <v xml:space="preserve">C2227-1H </v>
          </cell>
          <cell r="H328">
            <v>456</v>
          </cell>
          <cell r="I328">
            <v>0.51</v>
          </cell>
          <cell r="J328" t="str">
            <v>NVT</v>
          </cell>
          <cell r="K328" t="str">
            <v>VAT</v>
          </cell>
          <cell r="L328">
            <v>6</v>
          </cell>
          <cell r="M328" t="str">
            <v xml:space="preserve">VAT X 6 </v>
          </cell>
          <cell r="N328">
            <v>120</v>
          </cell>
          <cell r="O328">
            <v>8717568245577</v>
          </cell>
          <cell r="P328" t="str">
            <v>M-2T</v>
          </cell>
          <cell r="Q328">
            <v>3</v>
          </cell>
          <cell r="R328">
            <v>3</v>
          </cell>
          <cell r="T328">
            <v>2200</v>
          </cell>
          <cell r="U328">
            <v>3</v>
          </cell>
          <cell r="V328">
            <v>2200</v>
          </cell>
          <cell r="W328">
            <v>3</v>
          </cell>
          <cell r="Z328">
            <v>0</v>
          </cell>
          <cell r="AA328" t="str">
            <v>! ! ! !</v>
          </cell>
          <cell r="AG328">
            <v>45</v>
          </cell>
          <cell r="AJ328" t="str">
            <v>V-A</v>
          </cell>
          <cell r="AK328" t="str">
            <v>Ja</v>
          </cell>
          <cell r="AL328">
            <v>2700</v>
          </cell>
          <cell r="AM328">
            <v>2200</v>
          </cell>
          <cell r="AN328" t="e">
            <v>#VALUE!</v>
          </cell>
          <cell r="AO328" t="e">
            <v>#VALUE!</v>
          </cell>
          <cell r="AP328">
            <v>500</v>
          </cell>
        </row>
        <row r="329">
          <cell r="A329">
            <v>63914600</v>
          </cell>
          <cell r="C329">
            <v>9146</v>
          </cell>
          <cell r="D329" t="str">
            <v>VAT PULLED CHICKEN GROENTEMIX RIJST</v>
          </cell>
          <cell r="E329" t="str">
            <v>VAT</v>
          </cell>
          <cell r="F329" t="str">
            <v>290MM</v>
          </cell>
          <cell r="G329" t="str">
            <v>C2227-2K</v>
          </cell>
          <cell r="H329">
            <v>456</v>
          </cell>
          <cell r="I329">
            <v>0.5</v>
          </cell>
          <cell r="J329" t="str">
            <v>NVT</v>
          </cell>
          <cell r="K329" t="str">
            <v>VAT</v>
          </cell>
          <cell r="L329">
            <v>6</v>
          </cell>
          <cell r="M329" t="str">
            <v xml:space="preserve">VAT X 6 </v>
          </cell>
          <cell r="N329">
            <v>120</v>
          </cell>
          <cell r="O329">
            <v>8717568245553</v>
          </cell>
          <cell r="P329" t="str">
            <v>L-T</v>
          </cell>
          <cell r="Q329">
            <v>3</v>
          </cell>
          <cell r="R329">
            <v>3</v>
          </cell>
          <cell r="T329">
            <v>2200</v>
          </cell>
          <cell r="U329">
            <v>5</v>
          </cell>
          <cell r="V329">
            <v>2200</v>
          </cell>
          <cell r="W329">
            <v>5</v>
          </cell>
          <cell r="Z329">
            <v>0</v>
          </cell>
          <cell r="AA329" t="str">
            <v>! ! ! !</v>
          </cell>
          <cell r="AG329">
            <v>45</v>
          </cell>
          <cell r="AJ329" t="str">
            <v>V-A</v>
          </cell>
          <cell r="AK329" t="str">
            <v>Ja</v>
          </cell>
          <cell r="AL329">
            <v>2700</v>
          </cell>
          <cell r="AM329">
            <v>2200</v>
          </cell>
          <cell r="AN329" t="e">
            <v>#VALUE!</v>
          </cell>
          <cell r="AO329" t="e">
            <v>#VALUE!</v>
          </cell>
          <cell r="AP329">
            <v>500</v>
          </cell>
        </row>
        <row r="330">
          <cell r="A330">
            <v>63930100</v>
          </cell>
          <cell r="C330">
            <v>9301</v>
          </cell>
          <cell r="D330" t="str">
            <v xml:space="preserve">VAT EW HOLLANDSE HACHEE RODE KOOL EN GEKOOKTE AARD   </v>
          </cell>
          <cell r="E330" t="str">
            <v>VAT</v>
          </cell>
          <cell r="F330" t="str">
            <v>290MM</v>
          </cell>
          <cell r="G330" t="str">
            <v>C2227-3R</v>
          </cell>
          <cell r="H330">
            <v>456</v>
          </cell>
          <cell r="I330">
            <v>0.35</v>
          </cell>
          <cell r="J330" t="str">
            <v>NVT</v>
          </cell>
          <cell r="K330" t="str">
            <v>VAT</v>
          </cell>
          <cell r="L330">
            <v>6</v>
          </cell>
          <cell r="M330" t="str">
            <v xml:space="preserve">VAT X 6 </v>
          </cell>
          <cell r="N330">
            <v>120</v>
          </cell>
          <cell r="O330">
            <v>8717568244419</v>
          </cell>
          <cell r="P330" t="str">
            <v>2T</v>
          </cell>
          <cell r="Q330">
            <v>3</v>
          </cell>
          <cell r="R330">
            <v>3</v>
          </cell>
          <cell r="S330" t="str">
            <v>Pulled Beef tussen D-4 en D-2, AARDAPPELEN steamen D-0, kl v 63900100</v>
          </cell>
          <cell r="T330">
            <v>2200</v>
          </cell>
          <cell r="U330">
            <v>3</v>
          </cell>
          <cell r="V330">
            <v>2200</v>
          </cell>
          <cell r="W330">
            <v>3</v>
          </cell>
          <cell r="X330">
            <v>0</v>
          </cell>
          <cell r="Y330">
            <v>0</v>
          </cell>
          <cell r="Z330">
            <v>0</v>
          </cell>
          <cell r="AA330" t="str">
            <v>! !</v>
          </cell>
          <cell r="AC330">
            <v>0</v>
          </cell>
          <cell r="AG330">
            <v>45</v>
          </cell>
          <cell r="AJ330" t="str">
            <v>-</v>
          </cell>
          <cell r="AK330" t="str">
            <v>Ja</v>
          </cell>
          <cell r="AL330">
            <v>2700</v>
          </cell>
          <cell r="AM330">
            <v>2200</v>
          </cell>
          <cell r="AN330" t="e">
            <v>#VALUE!</v>
          </cell>
          <cell r="AO330" t="e">
            <v>#VALUE!</v>
          </cell>
          <cell r="AP330">
            <v>500</v>
          </cell>
        </row>
        <row r="331">
          <cell r="A331">
            <v>63930200</v>
          </cell>
          <cell r="C331">
            <v>9302</v>
          </cell>
          <cell r="D331" t="str">
            <v>VAT EW GEHAKTBAL BLADSPIN. A LA CREME AARD</v>
          </cell>
          <cell r="E331" t="str">
            <v>VAT</v>
          </cell>
          <cell r="F331" t="str">
            <v>290MM</v>
          </cell>
          <cell r="G331" t="str">
            <v>C2227-3R</v>
          </cell>
          <cell r="H331">
            <v>456</v>
          </cell>
          <cell r="I331">
            <v>0.36499999999999999</v>
          </cell>
          <cell r="J331" t="str">
            <v>NVT</v>
          </cell>
          <cell r="K331" t="str">
            <v>VAT</v>
          </cell>
          <cell r="L331">
            <v>6</v>
          </cell>
          <cell r="M331" t="str">
            <v xml:space="preserve">VAT X 6 </v>
          </cell>
          <cell r="N331">
            <v>120</v>
          </cell>
          <cell r="O331">
            <v>8717568244334</v>
          </cell>
          <cell r="P331" t="str">
            <v>2T</v>
          </cell>
          <cell r="Q331">
            <v>2.5</v>
          </cell>
          <cell r="R331">
            <v>3</v>
          </cell>
          <cell r="S331" t="str">
            <v>AARDAPPELEN steamen D-0, kl v 63910100</v>
          </cell>
          <cell r="T331">
            <v>2200</v>
          </cell>
          <cell r="U331">
            <v>4</v>
          </cell>
          <cell r="V331">
            <v>2200</v>
          </cell>
          <cell r="W331">
            <v>4</v>
          </cell>
          <cell r="X331">
            <v>0</v>
          </cell>
          <cell r="Y331">
            <v>0</v>
          </cell>
          <cell r="Z331">
            <v>0</v>
          </cell>
          <cell r="AA331" t="str">
            <v>! !</v>
          </cell>
          <cell r="AC331">
            <v>0</v>
          </cell>
          <cell r="AG331">
            <v>45</v>
          </cell>
          <cell r="AJ331" t="str">
            <v>-</v>
          </cell>
          <cell r="AK331" t="str">
            <v>Ja</v>
          </cell>
          <cell r="AL331">
            <v>2700</v>
          </cell>
          <cell r="AM331">
            <v>2200</v>
          </cell>
          <cell r="AN331" t="e">
            <v>#VALUE!</v>
          </cell>
          <cell r="AO331" t="e">
            <v>#VALUE!</v>
          </cell>
          <cell r="AP331">
            <v>500</v>
          </cell>
        </row>
        <row r="332">
          <cell r="A332">
            <v>63930500</v>
          </cell>
          <cell r="C332">
            <v>9305</v>
          </cell>
          <cell r="D332" t="str">
            <v>VAT EW VARKENSHAASJE CHAMPIGNONROOMSAUS GROENTEMIX GEBAKKEN AARD</v>
          </cell>
          <cell r="E332" t="str">
            <v>VAT</v>
          </cell>
          <cell r="F332" t="str">
            <v>290MM</v>
          </cell>
          <cell r="G332" t="str">
            <v>C2227-3R</v>
          </cell>
          <cell r="H332">
            <v>456</v>
          </cell>
          <cell r="I332">
            <v>0.36499999999999999</v>
          </cell>
          <cell r="J332" t="str">
            <v>NVT</v>
          </cell>
          <cell r="K332" t="str">
            <v>VAT</v>
          </cell>
          <cell r="L332">
            <v>6</v>
          </cell>
          <cell r="M332" t="str">
            <v xml:space="preserve">VAT X 6 </v>
          </cell>
          <cell r="N332">
            <v>120</v>
          </cell>
          <cell r="O332">
            <v>8717568244488</v>
          </cell>
          <cell r="P332" t="str">
            <v>T</v>
          </cell>
          <cell r="Q332">
            <v>2</v>
          </cell>
          <cell r="R332">
            <v>3</v>
          </cell>
          <cell r="S332" t="str">
            <v>kl v 63900500, D-1 varkenshaasje gegaard</v>
          </cell>
          <cell r="T332">
            <v>2200</v>
          </cell>
          <cell r="U332">
            <v>8</v>
          </cell>
          <cell r="V332">
            <v>2200</v>
          </cell>
          <cell r="W332">
            <v>8</v>
          </cell>
          <cell r="X332">
            <v>0</v>
          </cell>
          <cell r="Y332">
            <v>0</v>
          </cell>
          <cell r="Z332">
            <v>0</v>
          </cell>
          <cell r="AA332" t="str">
            <v>! ! !</v>
          </cell>
          <cell r="AC332">
            <v>0</v>
          </cell>
          <cell r="AG332">
            <v>45</v>
          </cell>
          <cell r="AJ332" t="str">
            <v>V-A</v>
          </cell>
          <cell r="AK332" t="str">
            <v>Ja</v>
          </cell>
          <cell r="AL332">
            <v>2700</v>
          </cell>
          <cell r="AM332">
            <v>2200</v>
          </cell>
          <cell r="AN332" t="e">
            <v>#VALUE!</v>
          </cell>
          <cell r="AO332" t="e">
            <v>#VALUE!</v>
          </cell>
          <cell r="AP332">
            <v>500</v>
          </cell>
        </row>
        <row r="333">
          <cell r="A333">
            <v>63930700</v>
          </cell>
          <cell r="C333">
            <v>9307</v>
          </cell>
          <cell r="D333" t="str">
            <v>VAT EW HEEK HOLLANDAISE BROCCOLI PUREE</v>
          </cell>
          <cell r="E333" t="str">
            <v>VAT</v>
          </cell>
          <cell r="F333" t="str">
            <v>290MM</v>
          </cell>
          <cell r="G333" t="str">
            <v>C2227-2K</v>
          </cell>
          <cell r="H333">
            <v>456</v>
          </cell>
          <cell r="I333">
            <v>0.36499999999999999</v>
          </cell>
          <cell r="J333" t="str">
            <v>NVT</v>
          </cell>
          <cell r="K333" t="str">
            <v>VAT</v>
          </cell>
          <cell r="L333">
            <v>6</v>
          </cell>
          <cell r="M333" t="str">
            <v xml:space="preserve">VAT X 6 </v>
          </cell>
          <cell r="N333">
            <v>120</v>
          </cell>
          <cell r="O333">
            <v>8717568244556</v>
          </cell>
          <cell r="P333" t="str">
            <v>T-H</v>
          </cell>
          <cell r="Q333">
            <v>2.5</v>
          </cell>
          <cell r="R333">
            <v>3</v>
          </cell>
          <cell r="S333" t="str">
            <v>kl v 63910700</v>
          </cell>
          <cell r="T333">
            <v>1750</v>
          </cell>
          <cell r="U333">
            <v>4</v>
          </cell>
          <cell r="V333">
            <v>1750</v>
          </cell>
          <cell r="W333">
            <v>4</v>
          </cell>
          <cell r="X333">
            <v>0</v>
          </cell>
          <cell r="Y333">
            <v>0</v>
          </cell>
          <cell r="Z333">
            <v>0</v>
          </cell>
          <cell r="AA333" t="str">
            <v>! ! ! !</v>
          </cell>
          <cell r="AC333">
            <v>0</v>
          </cell>
          <cell r="AJ333" t="str">
            <v>V-A</v>
          </cell>
          <cell r="AK333" t="str">
            <v>Ja</v>
          </cell>
          <cell r="AL333">
            <v>0</v>
          </cell>
          <cell r="AM333">
            <v>1750</v>
          </cell>
          <cell r="AN333" t="e">
            <v>#VALUE!</v>
          </cell>
          <cell r="AO333" t="e">
            <v>#VALUE!</v>
          </cell>
          <cell r="AP333">
            <v>-1750</v>
          </cell>
        </row>
        <row r="334">
          <cell r="A334">
            <v>63930800</v>
          </cell>
          <cell r="C334">
            <v>9308</v>
          </cell>
          <cell r="D334" t="str">
            <v>VAT EW LASAGNE BOLOGNESE 375G</v>
          </cell>
          <cell r="E334" t="str">
            <v>VAT</v>
          </cell>
          <cell r="F334" t="str">
            <v>355mm</v>
          </cell>
          <cell r="G334" t="str">
            <v>UK-59</v>
          </cell>
          <cell r="H334">
            <v>456</v>
          </cell>
          <cell r="I334">
            <v>0.375</v>
          </cell>
          <cell r="J334" t="str">
            <v>NVT</v>
          </cell>
          <cell r="K334" t="str">
            <v>100x100 bl</v>
          </cell>
          <cell r="L334">
            <v>10</v>
          </cell>
          <cell r="M334" t="str">
            <v>H11X10</v>
          </cell>
          <cell r="N334">
            <v>105</v>
          </cell>
          <cell r="O334">
            <v>8717568245171</v>
          </cell>
          <cell r="P334" t="str">
            <v>3T-H-K</v>
          </cell>
          <cell r="Q334">
            <v>2</v>
          </cell>
          <cell r="R334">
            <v>3</v>
          </cell>
          <cell r="S334" t="str">
            <v>kl v 63900800</v>
          </cell>
          <cell r="T334">
            <v>2500</v>
          </cell>
          <cell r="U334">
            <v>6</v>
          </cell>
          <cell r="V334">
            <v>2500</v>
          </cell>
          <cell r="W334">
            <v>6</v>
          </cell>
          <cell r="X334">
            <v>0</v>
          </cell>
          <cell r="Y334">
            <v>0</v>
          </cell>
          <cell r="Z334">
            <v>0</v>
          </cell>
          <cell r="AA334" t="str">
            <v>! ! !</v>
          </cell>
          <cell r="AC334">
            <v>0</v>
          </cell>
          <cell r="AG334">
            <v>50</v>
          </cell>
          <cell r="AJ334" t="str">
            <v>V-A</v>
          </cell>
          <cell r="AK334" t="str">
            <v>Ja</v>
          </cell>
          <cell r="AL334">
            <v>3000</v>
          </cell>
          <cell r="AM334">
            <v>2500</v>
          </cell>
          <cell r="AN334" t="e">
            <v>#VALUE!</v>
          </cell>
          <cell r="AO334" t="e">
            <v>#VALUE!</v>
          </cell>
          <cell r="AP334">
            <v>500</v>
          </cell>
        </row>
        <row r="335">
          <cell r="A335">
            <v>63930900</v>
          </cell>
          <cell r="C335">
            <v>9309</v>
          </cell>
          <cell r="D335" t="str">
            <v xml:space="preserve">VAT EW KIP ZOETZUUR NASI GORENG </v>
          </cell>
          <cell r="E335" t="str">
            <v>VAT</v>
          </cell>
          <cell r="F335" t="str">
            <v>290MM</v>
          </cell>
          <cell r="G335" t="str">
            <v>C2227-2K</v>
          </cell>
          <cell r="H335">
            <v>456</v>
          </cell>
          <cell r="I335">
            <v>0.36499999999999999</v>
          </cell>
          <cell r="J335" t="str">
            <v>NVT</v>
          </cell>
          <cell r="K335" t="str">
            <v>VAT</v>
          </cell>
          <cell r="L335">
            <v>6</v>
          </cell>
          <cell r="M335" t="str">
            <v xml:space="preserve">VAT X 6 </v>
          </cell>
          <cell r="N335">
            <v>120</v>
          </cell>
          <cell r="O335">
            <v>8717568245485</v>
          </cell>
          <cell r="P335" t="str">
            <v>T-M-I</v>
          </cell>
          <cell r="Q335">
            <v>3</v>
          </cell>
          <cell r="R335">
            <v>3</v>
          </cell>
          <cell r="S335" t="str">
            <v>kl v 63910900 , RIJST D-1</v>
          </cell>
          <cell r="T335">
            <v>2200</v>
          </cell>
          <cell r="U335">
            <v>4</v>
          </cell>
          <cell r="V335">
            <v>2200</v>
          </cell>
          <cell r="W335">
            <v>4</v>
          </cell>
          <cell r="X335">
            <v>0</v>
          </cell>
          <cell r="Y335">
            <v>0</v>
          </cell>
          <cell r="Z335">
            <v>0</v>
          </cell>
          <cell r="AA335" t="str">
            <v>! ! ! ! !</v>
          </cell>
          <cell r="AC335">
            <v>0</v>
          </cell>
          <cell r="AG335">
            <v>45</v>
          </cell>
          <cell r="AJ335" t="str">
            <v>V-A</v>
          </cell>
          <cell r="AK335" t="str">
            <v>Ja</v>
          </cell>
          <cell r="AL335">
            <v>2700</v>
          </cell>
          <cell r="AM335">
            <v>2200</v>
          </cell>
          <cell r="AN335" t="e">
            <v>#VALUE!</v>
          </cell>
          <cell r="AO335" t="e">
            <v>#VALUE!</v>
          </cell>
          <cell r="AP335">
            <v>500</v>
          </cell>
        </row>
        <row r="336">
          <cell r="A336">
            <v>63931500</v>
          </cell>
          <cell r="C336">
            <v>9315</v>
          </cell>
          <cell r="D336" t="str">
            <v xml:space="preserve">VAT EW HUTSPOT MET STUKJES RUNDVLEES                </v>
          </cell>
          <cell r="E336" t="str">
            <v>VAT</v>
          </cell>
          <cell r="F336" t="str">
            <v>290MM</v>
          </cell>
          <cell r="G336" t="str">
            <v>C2227-2K</v>
          </cell>
          <cell r="H336">
            <v>456</v>
          </cell>
          <cell r="I336">
            <v>0.4</v>
          </cell>
          <cell r="J336" t="str">
            <v>NVT</v>
          </cell>
          <cell r="K336" t="str">
            <v>VAT</v>
          </cell>
          <cell r="L336">
            <v>6</v>
          </cell>
          <cell r="M336" t="str">
            <v xml:space="preserve">VAT X 6 </v>
          </cell>
          <cell r="N336">
            <v>120</v>
          </cell>
          <cell r="O336">
            <v>8717568244426</v>
          </cell>
          <cell r="P336" t="str">
            <v>H-T-I</v>
          </cell>
          <cell r="Q336">
            <v>2.5</v>
          </cell>
          <cell r="R336">
            <v>3</v>
          </cell>
          <cell r="S336" t="str">
            <v>kl v 63901500 pulled beef tussen D-4 en D-2</v>
          </cell>
          <cell r="T336">
            <v>2200</v>
          </cell>
          <cell r="U336">
            <v>3</v>
          </cell>
          <cell r="V336">
            <v>2200</v>
          </cell>
          <cell r="W336">
            <v>3</v>
          </cell>
          <cell r="X336">
            <v>0</v>
          </cell>
          <cell r="Y336">
            <v>0</v>
          </cell>
          <cell r="Z336">
            <v>0</v>
          </cell>
          <cell r="AA336" t="str">
            <v>! !</v>
          </cell>
          <cell r="AC336">
            <v>0</v>
          </cell>
          <cell r="AG336">
            <v>45</v>
          </cell>
          <cell r="AJ336" t="str">
            <v>-</v>
          </cell>
          <cell r="AK336" t="str">
            <v>Ja</v>
          </cell>
          <cell r="AL336">
            <v>2700</v>
          </cell>
          <cell r="AM336">
            <v>2200</v>
          </cell>
          <cell r="AN336" t="e">
            <v>#VALUE!</v>
          </cell>
          <cell r="AO336" t="e">
            <v>#VALUE!</v>
          </cell>
          <cell r="AP336">
            <v>500</v>
          </cell>
        </row>
        <row r="337">
          <cell r="A337">
            <v>63931900</v>
          </cell>
          <cell r="C337">
            <v>9319</v>
          </cell>
          <cell r="D337" t="str">
            <v xml:space="preserve">VAT EW BAMI GORENG SPECIAAL MET KIP IN SATESAUS      </v>
          </cell>
          <cell r="E337" t="str">
            <v>VAT</v>
          </cell>
          <cell r="F337" t="str">
            <v>290MM</v>
          </cell>
          <cell r="G337" t="str">
            <v>C2227-2K</v>
          </cell>
          <cell r="H337">
            <v>456</v>
          </cell>
          <cell r="I337">
            <v>0.36</v>
          </cell>
          <cell r="J337" t="str">
            <v>NVT</v>
          </cell>
          <cell r="K337" t="str">
            <v>VAT</v>
          </cell>
          <cell r="L337">
            <v>6</v>
          </cell>
          <cell r="M337" t="str">
            <v xml:space="preserve">VAT X 6 </v>
          </cell>
          <cell r="N337">
            <v>120</v>
          </cell>
          <cell r="O337">
            <v>8717568244587</v>
          </cell>
          <cell r="P337" t="str">
            <v>T-M-I</v>
          </cell>
          <cell r="Q337">
            <v>3</v>
          </cell>
          <cell r="R337">
            <v>3</v>
          </cell>
          <cell r="S337" t="str">
            <v>D-1 voorbereiden mengeling bami (sambal, soja, look etc) (samen met iglo (1p)) kl v 63901900</v>
          </cell>
          <cell r="T337">
            <v>2200</v>
          </cell>
          <cell r="U337">
            <v>5</v>
          </cell>
          <cell r="V337">
            <v>2200</v>
          </cell>
          <cell r="W337">
            <v>5</v>
          </cell>
          <cell r="X337">
            <v>0</v>
          </cell>
          <cell r="Y337">
            <v>0</v>
          </cell>
          <cell r="Z337">
            <v>0</v>
          </cell>
          <cell r="AA337" t="str">
            <v>X</v>
          </cell>
          <cell r="AC337">
            <v>0</v>
          </cell>
          <cell r="AG337">
            <v>45</v>
          </cell>
          <cell r="AJ337" t="str">
            <v>V-A</v>
          </cell>
          <cell r="AK337" t="str">
            <v>Ja</v>
          </cell>
          <cell r="AL337">
            <v>2700</v>
          </cell>
          <cell r="AM337">
            <v>2200</v>
          </cell>
          <cell r="AN337" t="e">
            <v>#VALUE!</v>
          </cell>
          <cell r="AO337" t="e">
            <v>#VALUE!</v>
          </cell>
          <cell r="AP337">
            <v>500</v>
          </cell>
        </row>
        <row r="338">
          <cell r="A338">
            <v>63932000</v>
          </cell>
          <cell r="C338">
            <v>9320</v>
          </cell>
          <cell r="D338" t="str">
            <v>VAT EW KIPPENRAGOUT WORTELTJES DOPERWTEN RIJST</v>
          </cell>
          <cell r="E338" t="str">
            <v>VAT</v>
          </cell>
          <cell r="F338" t="str">
            <v>290MM</v>
          </cell>
          <cell r="G338" t="str">
            <v>C2227-3R</v>
          </cell>
          <cell r="H338">
            <v>456</v>
          </cell>
          <cell r="I338">
            <v>0.35</v>
          </cell>
          <cell r="J338" t="str">
            <v>NVT</v>
          </cell>
          <cell r="K338" t="str">
            <v>VAT</v>
          </cell>
          <cell r="L338">
            <v>6</v>
          </cell>
          <cell r="M338" t="str">
            <v xml:space="preserve">VAT X 6 </v>
          </cell>
          <cell r="N338">
            <v>120</v>
          </cell>
          <cell r="O338">
            <v>8717568244594</v>
          </cell>
          <cell r="P338" t="str">
            <v>M-T</v>
          </cell>
          <cell r="Q338">
            <v>2</v>
          </cell>
          <cell r="R338">
            <v>3</v>
          </cell>
          <cell r="S338" t="str">
            <v>RIJST D-1, kl v 63912000</v>
          </cell>
          <cell r="T338">
            <v>2200</v>
          </cell>
          <cell r="U338">
            <v>5</v>
          </cell>
          <cell r="V338">
            <v>2200</v>
          </cell>
          <cell r="W338">
            <v>5</v>
          </cell>
          <cell r="X338">
            <v>0</v>
          </cell>
          <cell r="Y338">
            <v>0</v>
          </cell>
          <cell r="Z338">
            <v>0</v>
          </cell>
          <cell r="AA338" t="str">
            <v>! ! !</v>
          </cell>
          <cell r="AC338">
            <v>0</v>
          </cell>
          <cell r="AG338">
            <v>45</v>
          </cell>
          <cell r="AJ338" t="str">
            <v>-</v>
          </cell>
          <cell r="AK338" t="str">
            <v>Ja</v>
          </cell>
          <cell r="AL338">
            <v>2700</v>
          </cell>
          <cell r="AM338">
            <v>2200</v>
          </cell>
          <cell r="AN338" t="e">
            <v>#VALUE!</v>
          </cell>
          <cell r="AO338" t="e">
            <v>#VALUE!</v>
          </cell>
          <cell r="AP338">
            <v>500</v>
          </cell>
        </row>
        <row r="339">
          <cell r="A339">
            <v>63932100</v>
          </cell>
          <cell r="C339">
            <v>9321</v>
          </cell>
          <cell r="D339" t="str">
            <v>VAT EW BRAADWORST SPRUITEN KRIEL</v>
          </cell>
          <cell r="E339" t="str">
            <v>VAT</v>
          </cell>
          <cell r="F339" t="str">
            <v>290MM</v>
          </cell>
          <cell r="G339" t="str">
            <v>C2227-3R</v>
          </cell>
          <cell r="H339">
            <v>456</v>
          </cell>
          <cell r="I339">
            <v>0.39</v>
          </cell>
          <cell r="J339" t="str">
            <v>NVT</v>
          </cell>
          <cell r="K339" t="str">
            <v>VAT</v>
          </cell>
          <cell r="L339">
            <v>6</v>
          </cell>
          <cell r="M339" t="str">
            <v xml:space="preserve">VAT X 6 </v>
          </cell>
          <cell r="N339">
            <v>120</v>
          </cell>
          <cell r="O339">
            <v>8717568244501</v>
          </cell>
          <cell r="P339" t="str">
            <v>H-T</v>
          </cell>
          <cell r="Q339">
            <v>3</v>
          </cell>
          <cell r="R339">
            <v>3</v>
          </cell>
          <cell r="S339" t="str">
            <v>kl v 63912100</v>
          </cell>
          <cell r="T339">
            <v>2200</v>
          </cell>
          <cell r="U339">
            <v>6</v>
          </cell>
          <cell r="V339">
            <v>2200</v>
          </cell>
          <cell r="W339">
            <v>6</v>
          </cell>
          <cell r="X339">
            <v>0</v>
          </cell>
          <cell r="Y339">
            <v>0</v>
          </cell>
          <cell r="Z339">
            <v>0</v>
          </cell>
          <cell r="AA339" t="str">
            <v>! ! !</v>
          </cell>
          <cell r="AC339">
            <v>5.0441176470588232E-2</v>
          </cell>
          <cell r="AG339">
            <v>45</v>
          </cell>
          <cell r="AJ339" t="str">
            <v>V-A</v>
          </cell>
          <cell r="AK339" t="str">
            <v>Ja</v>
          </cell>
          <cell r="AL339">
            <v>2700</v>
          </cell>
          <cell r="AM339">
            <v>2200</v>
          </cell>
          <cell r="AN339" t="e">
            <v>#VALUE!</v>
          </cell>
          <cell r="AO339" t="e">
            <v>#VALUE!</v>
          </cell>
          <cell r="AP339">
            <v>500</v>
          </cell>
        </row>
        <row r="340">
          <cell r="A340">
            <v>63932200</v>
          </cell>
          <cell r="C340">
            <v>9322</v>
          </cell>
          <cell r="D340" t="str">
            <v>VAT EW KIP RABARBERCOMPOTE GEBAK AARD BLOKJE</v>
          </cell>
          <cell r="E340" t="str">
            <v>VAT</v>
          </cell>
          <cell r="F340" t="str">
            <v>290MM</v>
          </cell>
          <cell r="G340" t="str">
            <v>C2227-3R</v>
          </cell>
          <cell r="H340">
            <v>456</v>
          </cell>
          <cell r="I340">
            <v>0.36499999999999999</v>
          </cell>
          <cell r="J340" t="str">
            <v>NVT</v>
          </cell>
          <cell r="K340" t="str">
            <v>VAT</v>
          </cell>
          <cell r="L340">
            <v>6</v>
          </cell>
          <cell r="M340" t="str">
            <v xml:space="preserve">VAT X 6 </v>
          </cell>
          <cell r="N340">
            <v>120</v>
          </cell>
          <cell r="O340">
            <v>8717568245478</v>
          </cell>
          <cell r="P340" t="str">
            <v>I-2T</v>
          </cell>
          <cell r="Q340">
            <v>2</v>
          </cell>
          <cell r="R340">
            <v>3</v>
          </cell>
          <cell r="S340" t="str">
            <v>kl v 63912200</v>
          </cell>
          <cell r="T340">
            <v>2200</v>
          </cell>
          <cell r="U340">
            <v>7</v>
          </cell>
          <cell r="V340">
            <v>2200</v>
          </cell>
          <cell r="W340">
            <v>7</v>
          </cell>
          <cell r="X340">
            <v>0</v>
          </cell>
          <cell r="Y340">
            <v>0</v>
          </cell>
          <cell r="Z340">
            <v>0</v>
          </cell>
          <cell r="AA340" t="str">
            <v>! !</v>
          </cell>
          <cell r="AC340">
            <v>0</v>
          </cell>
          <cell r="AG340">
            <v>45</v>
          </cell>
          <cell r="AJ340" t="str">
            <v>V-A</v>
          </cell>
          <cell r="AK340" t="str">
            <v>Ja</v>
          </cell>
          <cell r="AL340">
            <v>2700</v>
          </cell>
          <cell r="AM340">
            <v>2200</v>
          </cell>
          <cell r="AN340" t="e">
            <v>#VALUE!</v>
          </cell>
          <cell r="AO340" t="e">
            <v>#VALUE!</v>
          </cell>
          <cell r="AP340">
            <v>500</v>
          </cell>
        </row>
        <row r="341">
          <cell r="A341">
            <v>63932300</v>
          </cell>
          <cell r="C341">
            <v>9323</v>
          </cell>
          <cell r="D341" t="str">
            <v xml:space="preserve">VAT EW GEHAKTBAL BLOEMKOOL BROCCOLI GEK. AARD     </v>
          </cell>
          <cell r="E341" t="str">
            <v>VAT</v>
          </cell>
          <cell r="F341" t="str">
            <v>290MM</v>
          </cell>
          <cell r="G341" t="str">
            <v>C2227-3R</v>
          </cell>
          <cell r="H341">
            <v>456</v>
          </cell>
          <cell r="I341">
            <v>0.36499999999999999</v>
          </cell>
          <cell r="J341" t="str">
            <v>NVT</v>
          </cell>
          <cell r="K341" t="str">
            <v>VAT</v>
          </cell>
          <cell r="L341">
            <v>6</v>
          </cell>
          <cell r="M341" t="str">
            <v xml:space="preserve">VAT X 6 </v>
          </cell>
          <cell r="N341">
            <v>120</v>
          </cell>
          <cell r="O341">
            <v>8717568244341</v>
          </cell>
          <cell r="P341" t="str">
            <v>I-T</v>
          </cell>
          <cell r="Q341">
            <v>2.5</v>
          </cell>
          <cell r="R341">
            <v>3</v>
          </cell>
          <cell r="S341" t="str">
            <v>AARDAPPELEN steamen D-0, kl v 63902300</v>
          </cell>
          <cell r="T341">
            <v>2200</v>
          </cell>
          <cell r="U341">
            <v>7</v>
          </cell>
          <cell r="V341">
            <v>2200</v>
          </cell>
          <cell r="W341">
            <v>7</v>
          </cell>
          <cell r="X341">
            <v>0</v>
          </cell>
          <cell r="Y341">
            <v>0</v>
          </cell>
          <cell r="Z341">
            <v>0</v>
          </cell>
          <cell r="AA341" t="str">
            <v>! !</v>
          </cell>
          <cell r="AC341">
            <v>0</v>
          </cell>
          <cell r="AG341">
            <v>45</v>
          </cell>
          <cell r="AJ341" t="str">
            <v>V-A</v>
          </cell>
          <cell r="AK341" t="str">
            <v>Ja</v>
          </cell>
          <cell r="AL341">
            <v>2700</v>
          </cell>
          <cell r="AM341">
            <v>2200</v>
          </cell>
          <cell r="AN341" t="e">
            <v>#VALUE!</v>
          </cell>
          <cell r="AO341" t="e">
            <v>#VALUE!</v>
          </cell>
          <cell r="AP341">
            <v>500</v>
          </cell>
        </row>
        <row r="342">
          <cell r="A342">
            <v>63932400</v>
          </cell>
          <cell r="C342">
            <v>9324</v>
          </cell>
          <cell r="D342" t="str">
            <v>VAT EW RODE KOOL STAMPPOT MET GEHAKTBALLETJES</v>
          </cell>
          <cell r="E342" t="str">
            <v>VAT</v>
          </cell>
          <cell r="F342" t="str">
            <v>290MM</v>
          </cell>
          <cell r="G342" t="str">
            <v>C2227-2K</v>
          </cell>
          <cell r="H342">
            <v>456</v>
          </cell>
          <cell r="I342">
            <v>0.36499999999999999</v>
          </cell>
          <cell r="J342" t="str">
            <v>NVT</v>
          </cell>
          <cell r="K342" t="str">
            <v>VAT</v>
          </cell>
          <cell r="L342">
            <v>6</v>
          </cell>
          <cell r="M342" t="str">
            <v xml:space="preserve">VAT X 6 </v>
          </cell>
          <cell r="N342">
            <v>120</v>
          </cell>
          <cell r="O342">
            <v>8717568244464</v>
          </cell>
          <cell r="P342" t="str">
            <v>H-T</v>
          </cell>
          <cell r="Q342">
            <v>3</v>
          </cell>
          <cell r="R342">
            <v>3</v>
          </cell>
          <cell r="S342" t="str">
            <v>kl v 63912400</v>
          </cell>
          <cell r="T342">
            <v>2200</v>
          </cell>
          <cell r="U342">
            <v>3</v>
          </cell>
          <cell r="V342">
            <v>2200</v>
          </cell>
          <cell r="W342">
            <v>3</v>
          </cell>
          <cell r="X342">
            <v>0</v>
          </cell>
          <cell r="Y342">
            <v>0</v>
          </cell>
          <cell r="Z342">
            <v>0</v>
          </cell>
          <cell r="AA342" t="str">
            <v>! !</v>
          </cell>
          <cell r="AC342">
            <v>0</v>
          </cell>
          <cell r="AG342">
            <v>45</v>
          </cell>
          <cell r="AJ342" t="str">
            <v>V-A</v>
          </cell>
          <cell r="AK342" t="str">
            <v>Ja</v>
          </cell>
          <cell r="AL342">
            <v>2700</v>
          </cell>
          <cell r="AM342">
            <v>2200</v>
          </cell>
          <cell r="AN342" t="e">
            <v>#VALUE!</v>
          </cell>
          <cell r="AO342" t="e">
            <v>#VALUE!</v>
          </cell>
          <cell r="AP342">
            <v>500</v>
          </cell>
        </row>
        <row r="343">
          <cell r="A343">
            <v>63932500</v>
          </cell>
          <cell r="C343">
            <v>9325</v>
          </cell>
          <cell r="D343" t="str">
            <v>VAT EW PREISTAMPPOT KIP</v>
          </cell>
          <cell r="E343" t="str">
            <v>VAT</v>
          </cell>
          <cell r="F343" t="str">
            <v>290MM</v>
          </cell>
          <cell r="G343" t="str">
            <v>C2227-2K</v>
          </cell>
          <cell r="H343">
            <v>456</v>
          </cell>
          <cell r="I343">
            <v>0.36499999999999999</v>
          </cell>
          <cell r="J343" t="str">
            <v>NVT</v>
          </cell>
          <cell r="K343" t="str">
            <v>VAT</v>
          </cell>
          <cell r="L343">
            <v>6</v>
          </cell>
          <cell r="M343" t="str">
            <v xml:space="preserve">VAT X 6 </v>
          </cell>
          <cell r="N343">
            <v>120</v>
          </cell>
          <cell r="O343">
            <v>8717568245522</v>
          </cell>
          <cell r="P343" t="str">
            <v>H-T</v>
          </cell>
          <cell r="Q343">
            <v>2.5</v>
          </cell>
          <cell r="R343">
            <v>3</v>
          </cell>
          <cell r="S343" t="str">
            <v>kl v 63912500</v>
          </cell>
          <cell r="T343">
            <v>2200</v>
          </cell>
          <cell r="U343">
            <v>3</v>
          </cell>
          <cell r="V343">
            <v>2200</v>
          </cell>
          <cell r="W343">
            <v>3</v>
          </cell>
          <cell r="X343">
            <v>0</v>
          </cell>
          <cell r="Y343">
            <v>0</v>
          </cell>
          <cell r="Z343">
            <v>0</v>
          </cell>
          <cell r="AA343" t="str">
            <v>! !</v>
          </cell>
          <cell r="AC343">
            <v>0</v>
          </cell>
          <cell r="AG343">
            <v>45</v>
          </cell>
          <cell r="AJ343" t="str">
            <v>V-A</v>
          </cell>
          <cell r="AK343" t="str">
            <v>Ja</v>
          </cell>
          <cell r="AL343">
            <v>2700</v>
          </cell>
          <cell r="AM343">
            <v>2200</v>
          </cell>
          <cell r="AN343" t="e">
            <v>#VALUE!</v>
          </cell>
          <cell r="AO343" t="e">
            <v>#VALUE!</v>
          </cell>
          <cell r="AP343">
            <v>500</v>
          </cell>
        </row>
        <row r="344">
          <cell r="A344">
            <v>63932600</v>
          </cell>
          <cell r="C344">
            <v>9326</v>
          </cell>
          <cell r="D344" t="str">
            <v>VAT EW VARKENSROLLADE ANDIJVIE KOOKAARDAPPEL</v>
          </cell>
          <cell r="E344" t="str">
            <v>VAT</v>
          </cell>
          <cell r="F344" t="str">
            <v>290MM</v>
          </cell>
          <cell r="G344" t="str">
            <v>C2227-3R</v>
          </cell>
          <cell r="H344">
            <v>456</v>
          </cell>
          <cell r="I344">
            <v>0.36499999999999999</v>
          </cell>
          <cell r="J344" t="str">
            <v>NVT</v>
          </cell>
          <cell r="K344" t="str">
            <v>VAT</v>
          </cell>
          <cell r="L344">
            <v>6</v>
          </cell>
          <cell r="M344" t="str">
            <v xml:space="preserve">VAT X 6 </v>
          </cell>
          <cell r="N344">
            <v>120</v>
          </cell>
          <cell r="O344">
            <v>8717568245539</v>
          </cell>
          <cell r="P344" t="str">
            <v>2T</v>
          </cell>
          <cell r="Q344">
            <v>3</v>
          </cell>
          <cell r="R344">
            <v>3</v>
          </cell>
          <cell r="S344" t="str">
            <v>kl v 63912800 AARDAPPELEN steamen D-0</v>
          </cell>
          <cell r="T344">
            <v>2000</v>
          </cell>
          <cell r="U344">
            <v>5</v>
          </cell>
          <cell r="V344">
            <v>2000</v>
          </cell>
          <cell r="W344">
            <v>5</v>
          </cell>
          <cell r="X344">
            <v>0</v>
          </cell>
          <cell r="Y344">
            <v>0</v>
          </cell>
          <cell r="Z344">
            <v>0</v>
          </cell>
          <cell r="AA344" t="str">
            <v>! !</v>
          </cell>
          <cell r="AC344">
            <v>0</v>
          </cell>
          <cell r="AJ344" t="str">
            <v>V-A</v>
          </cell>
          <cell r="AK344" t="str">
            <v>ja</v>
          </cell>
          <cell r="AL344">
            <v>0</v>
          </cell>
          <cell r="AM344">
            <v>2000</v>
          </cell>
          <cell r="AN344" t="e">
            <v>#VALUE!</v>
          </cell>
          <cell r="AO344" t="e">
            <v>#VALUE!</v>
          </cell>
          <cell r="AP344">
            <v>-2000</v>
          </cell>
        </row>
        <row r="345">
          <cell r="A345">
            <v>63932900</v>
          </cell>
          <cell r="C345">
            <v>9329</v>
          </cell>
          <cell r="D345" t="str">
            <v>VAT EW JACHTSCHOTEL APPEL RODE KOOL EN AARDAPPELPUREE</v>
          </cell>
          <cell r="E345" t="str">
            <v>VAT</v>
          </cell>
          <cell r="F345" t="str">
            <v>290MM</v>
          </cell>
          <cell r="G345" t="str">
            <v>C2227-3R</v>
          </cell>
          <cell r="H345">
            <v>456</v>
          </cell>
          <cell r="I345">
            <v>0.36499999999999999</v>
          </cell>
          <cell r="J345" t="str">
            <v>NVT</v>
          </cell>
          <cell r="K345" t="str">
            <v>VAT</v>
          </cell>
          <cell r="L345">
            <v>6</v>
          </cell>
          <cell r="M345" t="str">
            <v xml:space="preserve">VAT X 6 </v>
          </cell>
          <cell r="N345">
            <v>120</v>
          </cell>
          <cell r="O345">
            <v>8717568244433</v>
          </cell>
          <cell r="P345" t="str">
            <v>2T-H-I</v>
          </cell>
          <cell r="Q345">
            <v>3</v>
          </cell>
          <cell r="R345">
            <v>3</v>
          </cell>
          <cell r="S345" t="str">
            <v>Pulled Beef tussen D-4 en D-2,APPELS wellen D-1, kl v 63902900</v>
          </cell>
          <cell r="T345">
            <v>2200</v>
          </cell>
          <cell r="U345">
            <v>3</v>
          </cell>
          <cell r="V345">
            <v>2200</v>
          </cell>
          <cell r="W345">
            <v>3</v>
          </cell>
          <cell r="X345">
            <v>0</v>
          </cell>
          <cell r="Y345">
            <v>0</v>
          </cell>
          <cell r="Z345">
            <v>0</v>
          </cell>
          <cell r="AA345" t="str">
            <v>! ! !</v>
          </cell>
          <cell r="AC345">
            <v>0</v>
          </cell>
          <cell r="AG345">
            <v>45</v>
          </cell>
          <cell r="AJ345" t="str">
            <v>V-A</v>
          </cell>
          <cell r="AK345" t="str">
            <v>Ja</v>
          </cell>
          <cell r="AL345">
            <v>2700</v>
          </cell>
          <cell r="AM345">
            <v>2200</v>
          </cell>
          <cell r="AN345" t="e">
            <v>#VALUE!</v>
          </cell>
          <cell r="AO345" t="e">
            <v>#VALUE!</v>
          </cell>
          <cell r="AP345">
            <v>500</v>
          </cell>
        </row>
        <row r="346">
          <cell r="A346">
            <v>63933000</v>
          </cell>
          <cell r="C346">
            <v>9330</v>
          </cell>
          <cell r="D346" t="str">
            <v xml:space="preserve">VAT EW RUNDERLAPJE SNIJBONEN PUREE </v>
          </cell>
          <cell r="E346" t="str">
            <v>VAT</v>
          </cell>
          <cell r="F346" t="str">
            <v>290MM</v>
          </cell>
          <cell r="G346" t="str">
            <v>C2227-3R</v>
          </cell>
          <cell r="H346">
            <v>456</v>
          </cell>
          <cell r="I346">
            <v>0.36499999999999999</v>
          </cell>
          <cell r="J346" t="str">
            <v>NVT</v>
          </cell>
          <cell r="K346" t="str">
            <v>VAT</v>
          </cell>
          <cell r="L346">
            <v>6</v>
          </cell>
          <cell r="M346" t="str">
            <v xml:space="preserve">VAT X 6 </v>
          </cell>
          <cell r="N346">
            <v>120</v>
          </cell>
          <cell r="O346">
            <v>8717568244815</v>
          </cell>
          <cell r="P346" t="str">
            <v>H-T</v>
          </cell>
          <cell r="Q346">
            <v>2.5</v>
          </cell>
          <cell r="R346">
            <v>3</v>
          </cell>
          <cell r="S346" t="str">
            <v>kl v 63913000</v>
          </cell>
          <cell r="T346">
            <v>2000</v>
          </cell>
          <cell r="U346">
            <v>4</v>
          </cell>
          <cell r="V346">
            <v>2000</v>
          </cell>
          <cell r="W346">
            <v>4</v>
          </cell>
          <cell r="X346">
            <v>0</v>
          </cell>
          <cell r="Y346">
            <v>0</v>
          </cell>
          <cell r="Z346">
            <v>0</v>
          </cell>
          <cell r="AA346" t="str">
            <v>! !</v>
          </cell>
          <cell r="AC346">
            <v>0</v>
          </cell>
          <cell r="AJ346" t="str">
            <v>-</v>
          </cell>
          <cell r="AK346" t="str">
            <v>Ja</v>
          </cell>
          <cell r="AL346">
            <v>0</v>
          </cell>
          <cell r="AM346">
            <v>2000</v>
          </cell>
          <cell r="AN346" t="e">
            <v>#VALUE!</v>
          </cell>
          <cell r="AO346" t="e">
            <v>#VALUE!</v>
          </cell>
          <cell r="AP346">
            <v>-2000</v>
          </cell>
        </row>
        <row r="347">
          <cell r="A347">
            <v>63933600</v>
          </cell>
          <cell r="C347">
            <v>9336</v>
          </cell>
          <cell r="D347" t="str">
            <v>VAT EW KIPFILET SPERZIEBONEN EN GEKRUIDE AARDAPPELENKUBUS</v>
          </cell>
          <cell r="E347" t="str">
            <v>VAT</v>
          </cell>
          <cell r="F347" t="str">
            <v>290MM</v>
          </cell>
          <cell r="G347" t="str">
            <v>C2227-3R</v>
          </cell>
          <cell r="H347">
            <v>456</v>
          </cell>
          <cell r="I347">
            <v>0.36499999999999999</v>
          </cell>
          <cell r="J347" t="str">
            <v>NVT</v>
          </cell>
          <cell r="K347" t="str">
            <v>VAT</v>
          </cell>
          <cell r="L347">
            <v>6</v>
          </cell>
          <cell r="M347" t="str">
            <v xml:space="preserve">VAT X 6 </v>
          </cell>
          <cell r="N347">
            <v>120</v>
          </cell>
          <cell r="O347">
            <v>8717568244396</v>
          </cell>
          <cell r="P347" t="str">
            <v>I-T</v>
          </cell>
          <cell r="Q347">
            <v>2</v>
          </cell>
          <cell r="R347">
            <v>3</v>
          </cell>
          <cell r="S347" t="str">
            <v>kl v 63903600</v>
          </cell>
          <cell r="T347">
            <v>2000</v>
          </cell>
          <cell r="U347">
            <v>5</v>
          </cell>
          <cell r="V347">
            <v>2000</v>
          </cell>
          <cell r="W347">
            <v>5</v>
          </cell>
          <cell r="X347">
            <v>0</v>
          </cell>
          <cell r="Y347">
            <v>0</v>
          </cell>
          <cell r="Z347">
            <v>0</v>
          </cell>
          <cell r="AA347" t="str">
            <v>! ! !</v>
          </cell>
          <cell r="AC347">
            <v>0</v>
          </cell>
          <cell r="AJ347" t="str">
            <v>-</v>
          </cell>
          <cell r="AK347" t="str">
            <v>ja</v>
          </cell>
          <cell r="AL347">
            <v>0</v>
          </cell>
          <cell r="AM347">
            <v>2000</v>
          </cell>
          <cell r="AN347" t="e">
            <v>#VALUE!</v>
          </cell>
          <cell r="AO347" t="e">
            <v>#VALUE!</v>
          </cell>
          <cell r="AP347">
            <v>-2000</v>
          </cell>
        </row>
        <row r="348">
          <cell r="A348">
            <v>63933700</v>
          </cell>
          <cell r="C348">
            <v>9337</v>
          </cell>
          <cell r="D348" t="str">
            <v xml:space="preserve">VAT EW KIP OMA'S RECEPT GEBAKKEN AARDAPPELEN         </v>
          </cell>
          <cell r="E348" t="str">
            <v>VAT</v>
          </cell>
          <cell r="F348" t="str">
            <v>290MM</v>
          </cell>
          <cell r="G348" t="str">
            <v>C2227-2K</v>
          </cell>
          <cell r="H348">
            <v>456</v>
          </cell>
          <cell r="I348">
            <v>0.36499999999999999</v>
          </cell>
          <cell r="J348" t="str">
            <v>NVT</v>
          </cell>
          <cell r="K348" t="str">
            <v>VAT</v>
          </cell>
          <cell r="L348">
            <v>6</v>
          </cell>
          <cell r="M348" t="str">
            <v xml:space="preserve">VAT X 6 </v>
          </cell>
          <cell r="N348">
            <v>120</v>
          </cell>
          <cell r="O348">
            <v>8717568245492</v>
          </cell>
          <cell r="P348" t="str">
            <v>T-I</v>
          </cell>
          <cell r="Q348">
            <v>2</v>
          </cell>
          <cell r="R348">
            <v>3</v>
          </cell>
          <cell r="S348" t="str">
            <v>kl v 63903700</v>
          </cell>
          <cell r="T348">
            <v>2200</v>
          </cell>
          <cell r="U348">
            <v>6</v>
          </cell>
          <cell r="V348">
            <v>2200</v>
          </cell>
          <cell r="W348">
            <v>6</v>
          </cell>
          <cell r="X348">
            <v>0</v>
          </cell>
          <cell r="Y348">
            <v>0</v>
          </cell>
          <cell r="Z348">
            <v>0</v>
          </cell>
          <cell r="AA348" t="str">
            <v>! ! !</v>
          </cell>
          <cell r="AC348">
            <v>0</v>
          </cell>
          <cell r="AE348" t="str">
            <v>x</v>
          </cell>
          <cell r="AG348">
            <v>45</v>
          </cell>
          <cell r="AJ348" t="str">
            <v>V-A</v>
          </cell>
          <cell r="AK348" t="str">
            <v>ja</v>
          </cell>
          <cell r="AL348">
            <v>2700</v>
          </cell>
          <cell r="AM348">
            <v>2200</v>
          </cell>
          <cell r="AN348" t="e">
            <v>#VALUE!</v>
          </cell>
          <cell r="AO348" t="e">
            <v>#VALUE!</v>
          </cell>
          <cell r="AP348">
            <v>500</v>
          </cell>
        </row>
        <row r="349">
          <cell r="A349">
            <v>63934800</v>
          </cell>
          <cell r="C349">
            <v>9348</v>
          </cell>
          <cell r="D349" t="str">
            <v xml:space="preserve">VAT EW MEXIC. KIPSCHOTEL PAPRIKA ANANAS RIJST        </v>
          </cell>
          <cell r="E349" t="str">
            <v>VAT</v>
          </cell>
          <cell r="F349" t="str">
            <v>290MM</v>
          </cell>
          <cell r="G349" t="str">
            <v>C2227-2K</v>
          </cell>
          <cell r="H349">
            <v>456</v>
          </cell>
          <cell r="I349">
            <v>0.36499999999999999</v>
          </cell>
          <cell r="J349" t="str">
            <v>NVT</v>
          </cell>
          <cell r="K349" t="str">
            <v>VAT</v>
          </cell>
          <cell r="L349">
            <v>6</v>
          </cell>
          <cell r="M349" t="str">
            <v xml:space="preserve">VAT X 6 </v>
          </cell>
          <cell r="N349">
            <v>120</v>
          </cell>
          <cell r="O349">
            <v>8717568245508</v>
          </cell>
          <cell r="P349" t="str">
            <v>T-M-I</v>
          </cell>
          <cell r="Q349">
            <v>3</v>
          </cell>
          <cell r="R349">
            <v>3</v>
          </cell>
          <cell r="S349" t="str">
            <v>kl v 63904800</v>
          </cell>
          <cell r="T349">
            <v>2200</v>
          </cell>
          <cell r="U349">
            <v>5</v>
          </cell>
          <cell r="V349">
            <v>2200</v>
          </cell>
          <cell r="W349">
            <v>5</v>
          </cell>
          <cell r="X349">
            <v>0</v>
          </cell>
          <cell r="Y349">
            <v>0</v>
          </cell>
          <cell r="Z349">
            <v>0</v>
          </cell>
          <cell r="AA349" t="str">
            <v>! ! !</v>
          </cell>
          <cell r="AC349">
            <v>0</v>
          </cell>
          <cell r="AE349" t="str">
            <v>x</v>
          </cell>
          <cell r="AG349">
            <v>45</v>
          </cell>
          <cell r="AJ349" t="str">
            <v>-</v>
          </cell>
          <cell r="AK349" t="str">
            <v>Ja</v>
          </cell>
          <cell r="AL349">
            <v>2700</v>
          </cell>
          <cell r="AM349">
            <v>2200</v>
          </cell>
          <cell r="AN349" t="e">
            <v>#VALUE!</v>
          </cell>
          <cell r="AO349" t="e">
            <v>#VALUE!</v>
          </cell>
          <cell r="AP349">
            <v>500</v>
          </cell>
        </row>
        <row r="350">
          <cell r="A350">
            <v>63935000</v>
          </cell>
          <cell r="C350">
            <v>9350</v>
          </cell>
          <cell r="D350" t="str">
            <v xml:space="preserve">VAT EW HAMLAPJE TUINBOONTJES PUREE BIESL.     </v>
          </cell>
          <cell r="E350" t="str">
            <v>VAT</v>
          </cell>
          <cell r="F350" t="str">
            <v>290MM</v>
          </cell>
          <cell r="G350" t="str">
            <v>C2227-3R</v>
          </cell>
          <cell r="H350">
            <v>456</v>
          </cell>
          <cell r="I350">
            <v>0.36499999999999999</v>
          </cell>
          <cell r="J350" t="str">
            <v>NVT</v>
          </cell>
          <cell r="K350" t="str">
            <v>VAT</v>
          </cell>
          <cell r="L350">
            <v>6</v>
          </cell>
          <cell r="M350" t="str">
            <v xml:space="preserve">VAT X 6 </v>
          </cell>
          <cell r="N350">
            <v>120</v>
          </cell>
          <cell r="O350">
            <v>8717568245515</v>
          </cell>
          <cell r="P350" t="str">
            <v>T-H</v>
          </cell>
          <cell r="Q350">
            <v>2.5</v>
          </cell>
          <cell r="R350">
            <v>3</v>
          </cell>
          <cell r="S350" t="str">
            <v>kl v 63905000</v>
          </cell>
          <cell r="T350">
            <v>2200</v>
          </cell>
          <cell r="U350">
            <v>5</v>
          </cell>
          <cell r="V350">
            <v>2200</v>
          </cell>
          <cell r="W350">
            <v>5</v>
          </cell>
          <cell r="X350">
            <v>0</v>
          </cell>
          <cell r="Y350">
            <v>0</v>
          </cell>
          <cell r="Z350">
            <v>0</v>
          </cell>
          <cell r="AA350" t="str">
            <v>! !</v>
          </cell>
          <cell r="AC350">
            <v>0</v>
          </cell>
          <cell r="AE350" t="str">
            <v>x</v>
          </cell>
          <cell r="AG350">
            <v>45</v>
          </cell>
          <cell r="AJ350" t="str">
            <v>V-A</v>
          </cell>
          <cell r="AK350" t="str">
            <v>Ja</v>
          </cell>
          <cell r="AL350">
            <v>2700</v>
          </cell>
          <cell r="AM350">
            <v>2200</v>
          </cell>
          <cell r="AN350" t="e">
            <v>#VALUE!</v>
          </cell>
          <cell r="AO350" t="e">
            <v>#VALUE!</v>
          </cell>
          <cell r="AP350">
            <v>500</v>
          </cell>
        </row>
        <row r="351">
          <cell r="A351">
            <v>63935500</v>
          </cell>
          <cell r="C351">
            <v>9355</v>
          </cell>
          <cell r="D351" t="str">
            <v xml:space="preserve">VAT EW KIP ROZEMARIJN BROCCOLI EN AARDAPPELPUREE    </v>
          </cell>
          <cell r="E351" t="str">
            <v>VAT</v>
          </cell>
          <cell r="F351" t="str">
            <v>290MM</v>
          </cell>
          <cell r="G351" t="str">
            <v>C2227-2K</v>
          </cell>
          <cell r="H351">
            <v>455</v>
          </cell>
          <cell r="I351">
            <v>0.36499999999999999</v>
          </cell>
          <cell r="J351" t="str">
            <v>NVT</v>
          </cell>
          <cell r="K351" t="str">
            <v>VAT</v>
          </cell>
          <cell r="L351">
            <v>6</v>
          </cell>
          <cell r="M351" t="str">
            <v xml:space="preserve">VAT X 6 </v>
          </cell>
          <cell r="N351">
            <v>120</v>
          </cell>
          <cell r="O351">
            <v>8717568244389</v>
          </cell>
          <cell r="P351" t="str">
            <v>T-H-I</v>
          </cell>
          <cell r="Q351">
            <v>3</v>
          </cell>
          <cell r="R351">
            <v>3</v>
          </cell>
          <cell r="S351" t="str">
            <v>kl v 63905500</v>
          </cell>
          <cell r="T351">
            <v>2200</v>
          </cell>
          <cell r="U351">
            <v>5</v>
          </cell>
          <cell r="V351">
            <v>2200</v>
          </cell>
          <cell r="W351">
            <v>5</v>
          </cell>
          <cell r="X351">
            <v>0</v>
          </cell>
          <cell r="Y351">
            <v>0</v>
          </cell>
          <cell r="Z351">
            <v>0</v>
          </cell>
          <cell r="AA351" t="str">
            <v>! ! !</v>
          </cell>
          <cell r="AC351">
            <v>0</v>
          </cell>
          <cell r="AG351">
            <v>45</v>
          </cell>
          <cell r="AJ351" t="str">
            <v>-</v>
          </cell>
          <cell r="AK351" t="str">
            <v>Ja</v>
          </cell>
          <cell r="AL351">
            <v>2700</v>
          </cell>
          <cell r="AM351">
            <v>2200</v>
          </cell>
          <cell r="AN351" t="e">
            <v>#VALUE!</v>
          </cell>
          <cell r="AO351" t="e">
            <v>#VALUE!</v>
          </cell>
          <cell r="AP351">
            <v>500</v>
          </cell>
        </row>
        <row r="352">
          <cell r="A352">
            <v>63936400</v>
          </cell>
          <cell r="C352">
            <v>9364</v>
          </cell>
          <cell r="D352" t="str">
            <v xml:space="preserve">VAT EW INDON.RIJSTTAFEL BABI KETJAP,SAMBAL BONEN     </v>
          </cell>
          <cell r="E352" t="str">
            <v>VAT</v>
          </cell>
          <cell r="F352" t="str">
            <v>290MM</v>
          </cell>
          <cell r="G352" t="str">
            <v>C2227-3R</v>
          </cell>
          <cell r="H352">
            <v>456</v>
          </cell>
          <cell r="I352">
            <v>0.36499999999999999</v>
          </cell>
          <cell r="J352" t="str">
            <v>NVT</v>
          </cell>
          <cell r="K352" t="str">
            <v>VAT</v>
          </cell>
          <cell r="L352">
            <v>6</v>
          </cell>
          <cell r="M352" t="str">
            <v xml:space="preserve">VAT X 6 </v>
          </cell>
          <cell r="N352">
            <v>120</v>
          </cell>
          <cell r="O352">
            <v>8717568244600</v>
          </cell>
          <cell r="P352" t="str">
            <v>T-M-I</v>
          </cell>
          <cell r="Q352">
            <v>3</v>
          </cell>
          <cell r="R352">
            <v>3</v>
          </cell>
          <cell r="S352" t="str">
            <v>RIJST D-1, kl v 63906400</v>
          </cell>
          <cell r="T352">
            <v>2000</v>
          </cell>
          <cell r="U352">
            <v>9</v>
          </cell>
          <cell r="V352">
            <v>2000</v>
          </cell>
          <cell r="W352">
            <v>9</v>
          </cell>
          <cell r="X352">
            <v>0</v>
          </cell>
          <cell r="Y352">
            <v>0</v>
          </cell>
          <cell r="Z352">
            <v>0</v>
          </cell>
          <cell r="AA352" t="str">
            <v>! ! ! ! !</v>
          </cell>
          <cell r="AC352">
            <v>0</v>
          </cell>
          <cell r="AJ352" t="str">
            <v>V-A</v>
          </cell>
          <cell r="AK352" t="str">
            <v>Ja</v>
          </cell>
          <cell r="AL352">
            <v>0</v>
          </cell>
          <cell r="AM352">
            <v>2000</v>
          </cell>
          <cell r="AN352" t="e">
            <v>#VALUE!</v>
          </cell>
          <cell r="AO352" t="e">
            <v>#VALUE!</v>
          </cell>
          <cell r="AP352">
            <v>-2000</v>
          </cell>
        </row>
        <row r="353">
          <cell r="A353">
            <v>63953100</v>
          </cell>
          <cell r="C353">
            <v>9531</v>
          </cell>
          <cell r="D353" t="str">
            <v>VAT EDJ VEG DUO RISOTTO GORGONZOLA ASPERGE</v>
          </cell>
          <cell r="E353" t="str">
            <v>VAT, EDJ</v>
          </cell>
          <cell r="F353" t="str">
            <v>290MM</v>
          </cell>
          <cell r="G353" t="str">
            <v xml:space="preserve">C2227-1H </v>
          </cell>
          <cell r="H353">
            <v>456</v>
          </cell>
          <cell r="I353">
            <v>0.5</v>
          </cell>
          <cell r="J353" t="str">
            <v>NVT</v>
          </cell>
          <cell r="K353" t="str">
            <v>VAT</v>
          </cell>
          <cell r="L353">
            <v>6</v>
          </cell>
          <cell r="M353" t="str">
            <v xml:space="preserve">VAT X 6 </v>
          </cell>
          <cell r="N353">
            <v>120</v>
          </cell>
          <cell r="O353">
            <v>8717568245157</v>
          </cell>
          <cell r="P353" t="str">
            <v>M-T-K</v>
          </cell>
          <cell r="Q353">
            <v>3</v>
          </cell>
          <cell r="R353">
            <v>3</v>
          </cell>
          <cell r="S353" t="str">
            <v>zwarte rijst D-1</v>
          </cell>
          <cell r="T353">
            <v>2000</v>
          </cell>
          <cell r="U353">
            <v>5</v>
          </cell>
          <cell r="V353">
            <v>2000</v>
          </cell>
          <cell r="W353">
            <v>5</v>
          </cell>
          <cell r="X353">
            <v>0</v>
          </cell>
          <cell r="Y353">
            <v>0</v>
          </cell>
          <cell r="Z353">
            <v>0</v>
          </cell>
          <cell r="AA353" t="str">
            <v>! ! !</v>
          </cell>
          <cell r="AB353" t="str">
            <v>bestelling</v>
          </cell>
          <cell r="AC353">
            <v>0</v>
          </cell>
          <cell r="AG353">
            <v>40</v>
          </cell>
          <cell r="AJ353" t="str">
            <v>V-A</v>
          </cell>
          <cell r="AK353" t="str">
            <v>Ja</v>
          </cell>
          <cell r="AL353">
            <v>2400</v>
          </cell>
          <cell r="AM353">
            <v>2000</v>
          </cell>
          <cell r="AN353" t="e">
            <v>#VALUE!</v>
          </cell>
          <cell r="AO353" t="e">
            <v>#VALUE!</v>
          </cell>
          <cell r="AP353">
            <v>400</v>
          </cell>
        </row>
        <row r="354">
          <cell r="A354">
            <v>63953400</v>
          </cell>
          <cell r="C354">
            <v>9534</v>
          </cell>
          <cell r="D354" t="str">
            <v>VAT EDJ ZALMFILET KREEFTENSAUS SPINAZIE PUREE</v>
          </cell>
          <cell r="E354" t="str">
            <v>VAT, EDJ</v>
          </cell>
          <cell r="F354" t="str">
            <v>290MM</v>
          </cell>
          <cell r="G354" t="str">
            <v>C2227-3R</v>
          </cell>
          <cell r="H354">
            <v>456</v>
          </cell>
          <cell r="I354">
            <v>0.5</v>
          </cell>
          <cell r="J354" t="str">
            <v>NVT</v>
          </cell>
          <cell r="K354" t="str">
            <v>VAT</v>
          </cell>
          <cell r="L354">
            <v>6</v>
          </cell>
          <cell r="M354" t="str">
            <v xml:space="preserve">VAT X 6 </v>
          </cell>
          <cell r="N354">
            <v>120</v>
          </cell>
          <cell r="O354">
            <v>8717568246062</v>
          </cell>
          <cell r="P354" t="str">
            <v>T</v>
          </cell>
          <cell r="Q354">
            <v>3</v>
          </cell>
          <cell r="R354">
            <v>3</v>
          </cell>
          <cell r="T354">
            <v>2000</v>
          </cell>
          <cell r="U354">
            <v>5</v>
          </cell>
          <cell r="V354">
            <v>2000</v>
          </cell>
          <cell r="W354">
            <v>5</v>
          </cell>
          <cell r="AA354" t="str">
            <v>! ! ! !</v>
          </cell>
          <cell r="AB354" t="str">
            <v>bestelling</v>
          </cell>
          <cell r="AJ354" t="str">
            <v>V-A</v>
          </cell>
          <cell r="AK354" t="str">
            <v>Ja</v>
          </cell>
          <cell r="AL354">
            <v>0</v>
          </cell>
          <cell r="AM354">
            <v>2000</v>
          </cell>
          <cell r="AN354" t="e">
            <v>#VALUE!</v>
          </cell>
          <cell r="AO354" t="e">
            <v>#VALUE!</v>
          </cell>
          <cell r="AP354">
            <v>-2000</v>
          </cell>
        </row>
        <row r="355">
          <cell r="A355">
            <v>63953700</v>
          </cell>
          <cell r="C355">
            <v>9537</v>
          </cell>
          <cell r="D355" t="str">
            <v>VAT EDJ VARKENSHAAS PEPERSAUS BOONTJES SPEK AARD KUBUS GEKRUID</v>
          </cell>
          <cell r="E355" t="str">
            <v>VAT, EDJ</v>
          </cell>
          <cell r="F355" t="str">
            <v>290MM</v>
          </cell>
          <cell r="G355" t="str">
            <v>C2227-2K</v>
          </cell>
          <cell r="H355">
            <v>456</v>
          </cell>
          <cell r="I355">
            <v>0.5</v>
          </cell>
          <cell r="J355" t="str">
            <v>NVT</v>
          </cell>
          <cell r="K355" t="str">
            <v>VAT</v>
          </cell>
          <cell r="L355">
            <v>6</v>
          </cell>
          <cell r="M355" t="str">
            <v xml:space="preserve">VAT X 6 </v>
          </cell>
          <cell r="N355">
            <v>120</v>
          </cell>
          <cell r="O355">
            <v>8717568246123</v>
          </cell>
          <cell r="AA355" t="str">
            <v>! ! !</v>
          </cell>
          <cell r="AJ355" t="str">
            <v>V-A</v>
          </cell>
          <cell r="AK355" t="str">
            <v>Ja</v>
          </cell>
          <cell r="AL355">
            <v>0</v>
          </cell>
          <cell r="AM355">
            <v>0</v>
          </cell>
          <cell r="AN355" t="e">
            <v>#VALUE!</v>
          </cell>
          <cell r="AO355" t="str">
            <v/>
          </cell>
        </row>
        <row r="356">
          <cell r="A356">
            <v>63960300</v>
          </cell>
          <cell r="C356">
            <v>9603</v>
          </cell>
          <cell r="D356" t="str">
            <v xml:space="preserve">VAT VEG NASI GORENG VEG KIPSTUKJES SATESAUS       </v>
          </cell>
          <cell r="E356" t="str">
            <v>VAT, veg</v>
          </cell>
          <cell r="F356" t="str">
            <v>290MM</v>
          </cell>
          <cell r="G356" t="str">
            <v>C2227-2K</v>
          </cell>
          <cell r="H356">
            <v>456</v>
          </cell>
          <cell r="I356">
            <v>0.5</v>
          </cell>
          <cell r="J356" t="str">
            <v>NVT</v>
          </cell>
          <cell r="K356" t="str">
            <v>VAT</v>
          </cell>
          <cell r="L356">
            <v>6</v>
          </cell>
          <cell r="M356" t="str">
            <v xml:space="preserve">VAT X 6 </v>
          </cell>
          <cell r="N356">
            <v>120</v>
          </cell>
          <cell r="O356">
            <v>8717568242132</v>
          </cell>
          <cell r="P356" t="str">
            <v>T-M-I</v>
          </cell>
          <cell r="Q356">
            <v>3</v>
          </cell>
          <cell r="R356">
            <v>3</v>
          </cell>
          <cell r="S356" t="str">
            <v>RIJST D-1, D-1 voorbereiden mengeling rijst (sambal, soja, look etc) (samen met iglo (1p))</v>
          </cell>
          <cell r="T356">
            <v>2200</v>
          </cell>
          <cell r="U356">
            <v>4</v>
          </cell>
          <cell r="V356">
            <v>2200</v>
          </cell>
          <cell r="W356">
            <v>4</v>
          </cell>
          <cell r="X356">
            <v>0</v>
          </cell>
          <cell r="Y356">
            <v>0</v>
          </cell>
          <cell r="Z356">
            <v>0</v>
          </cell>
          <cell r="AA356" t="str">
            <v>X</v>
          </cell>
          <cell r="AC356">
            <v>0</v>
          </cell>
          <cell r="AE356" t="str">
            <v>x</v>
          </cell>
          <cell r="AG356">
            <v>45</v>
          </cell>
          <cell r="AJ356" t="str">
            <v>V-A</v>
          </cell>
          <cell r="AK356" t="str">
            <v>Ja</v>
          </cell>
          <cell r="AL356">
            <v>2700</v>
          </cell>
          <cell r="AM356">
            <v>2200</v>
          </cell>
          <cell r="AN356" t="e">
            <v>#VALUE!</v>
          </cell>
          <cell r="AO356" t="e">
            <v>#VALUE!</v>
          </cell>
          <cell r="AP356">
            <v>500</v>
          </cell>
        </row>
        <row r="357">
          <cell r="A357">
            <v>63960800</v>
          </cell>
          <cell r="C357">
            <v>9608</v>
          </cell>
          <cell r="D357" t="str">
            <v xml:space="preserve">VAT VEG GROENTEBURGER PREI GEKOOKTE AARDAP            </v>
          </cell>
          <cell r="E357" t="str">
            <v>VAT, veg</v>
          </cell>
          <cell r="F357" t="str">
            <v>290MM</v>
          </cell>
          <cell r="G357" t="str">
            <v>C2227-3R</v>
          </cell>
          <cell r="H357">
            <v>456</v>
          </cell>
          <cell r="I357">
            <v>0.5</v>
          </cell>
          <cell r="J357" t="str">
            <v>NVT</v>
          </cell>
          <cell r="K357" t="str">
            <v>VAT</v>
          </cell>
          <cell r="L357">
            <v>6</v>
          </cell>
          <cell r="M357" t="str">
            <v xml:space="preserve">VAT X 6 </v>
          </cell>
          <cell r="N357">
            <v>120</v>
          </cell>
          <cell r="O357">
            <v>8717568242187</v>
          </cell>
          <cell r="P357" t="str">
            <v>2T</v>
          </cell>
          <cell r="Q357">
            <v>2</v>
          </cell>
          <cell r="R357">
            <v>3</v>
          </cell>
          <cell r="S357" t="str">
            <v>GROENTEBURGER D-1 tempereren, AARDAPPELEN steamen D-0</v>
          </cell>
          <cell r="T357">
            <v>2000</v>
          </cell>
          <cell r="U357">
            <v>4</v>
          </cell>
          <cell r="V357">
            <v>2000</v>
          </cell>
          <cell r="W357">
            <v>4</v>
          </cell>
          <cell r="X357">
            <v>0</v>
          </cell>
          <cell r="Y357">
            <v>0</v>
          </cell>
          <cell r="Z357">
            <v>0</v>
          </cell>
          <cell r="AA357" t="str">
            <v>! ! !</v>
          </cell>
          <cell r="AC357">
            <v>5.5125E-2</v>
          </cell>
          <cell r="AE357" t="str">
            <v>x</v>
          </cell>
          <cell r="AJ357" t="str">
            <v>V-A</v>
          </cell>
          <cell r="AK357" t="str">
            <v>Ja</v>
          </cell>
          <cell r="AL357">
            <v>0</v>
          </cell>
          <cell r="AM357">
            <v>2000</v>
          </cell>
          <cell r="AN357" t="e">
            <v>#VALUE!</v>
          </cell>
          <cell r="AO357" t="e">
            <v>#VALUE!</v>
          </cell>
          <cell r="AP357">
            <v>-2000</v>
          </cell>
        </row>
        <row r="358">
          <cell r="A358">
            <v>63960900</v>
          </cell>
          <cell r="C358">
            <v>9609</v>
          </cell>
          <cell r="D358" t="str">
            <v xml:space="preserve">VAT VEG GROENTEBURGER BIETJES GEBAK. AARDAP.          </v>
          </cell>
          <cell r="E358" t="str">
            <v>VAT, veg</v>
          </cell>
          <cell r="F358" t="str">
            <v>290MM</v>
          </cell>
          <cell r="G358" t="str">
            <v>C2227-3R</v>
          </cell>
          <cell r="H358">
            <v>456</v>
          </cell>
          <cell r="I358">
            <v>0.5</v>
          </cell>
          <cell r="J358" t="str">
            <v>NVT</v>
          </cell>
          <cell r="K358" t="str">
            <v>VAT</v>
          </cell>
          <cell r="L358">
            <v>6</v>
          </cell>
          <cell r="M358" t="str">
            <v xml:space="preserve">VAT X 6 </v>
          </cell>
          <cell r="N358">
            <v>120</v>
          </cell>
          <cell r="O358">
            <v>8717568242194</v>
          </cell>
          <cell r="P358" t="str">
            <v>2T</v>
          </cell>
          <cell r="Q358">
            <v>2</v>
          </cell>
          <cell r="R358">
            <v>3</v>
          </cell>
          <cell r="S358" t="str">
            <v>GROENTEBURGER D-1 tempereren</v>
          </cell>
          <cell r="T358">
            <v>2000</v>
          </cell>
          <cell r="U358">
            <v>4</v>
          </cell>
          <cell r="V358">
            <v>2000</v>
          </cell>
          <cell r="W358">
            <v>4</v>
          </cell>
          <cell r="X358">
            <v>0</v>
          </cell>
          <cell r="Y358">
            <v>0</v>
          </cell>
          <cell r="Z358">
            <v>0</v>
          </cell>
          <cell r="AA358" t="str">
            <v>! ! !</v>
          </cell>
          <cell r="AC358">
            <v>0</v>
          </cell>
          <cell r="AE358" t="str">
            <v>x</v>
          </cell>
          <cell r="AJ358" t="str">
            <v>V-A</v>
          </cell>
          <cell r="AK358" t="str">
            <v>Ja</v>
          </cell>
          <cell r="AL358">
            <v>0</v>
          </cell>
          <cell r="AM358">
            <v>2000</v>
          </cell>
          <cell r="AN358" t="e">
            <v>#VALUE!</v>
          </cell>
          <cell r="AO358" t="e">
            <v>#VALUE!</v>
          </cell>
          <cell r="AP358">
            <v>-2000</v>
          </cell>
        </row>
        <row r="359">
          <cell r="A359">
            <v>63961100</v>
          </cell>
          <cell r="C359">
            <v>9611</v>
          </cell>
          <cell r="D359" t="str">
            <v xml:space="preserve">VAT VEG OMELET KAASSAUS WORTELTJES GEBAK. AARDAP.     </v>
          </cell>
          <cell r="E359" t="str">
            <v>VAT, veg</v>
          </cell>
          <cell r="F359" t="str">
            <v>290MM</v>
          </cell>
          <cell r="G359" t="str">
            <v>C2227-3R</v>
          </cell>
          <cell r="H359">
            <v>456</v>
          </cell>
          <cell r="I359">
            <v>0.5</v>
          </cell>
          <cell r="J359" t="str">
            <v>NVT</v>
          </cell>
          <cell r="K359" t="str">
            <v>VAT</v>
          </cell>
          <cell r="L359">
            <v>6</v>
          </cell>
          <cell r="M359" t="str">
            <v xml:space="preserve">VAT X 6 </v>
          </cell>
          <cell r="N359">
            <v>120</v>
          </cell>
          <cell r="O359">
            <v>8717568242217</v>
          </cell>
          <cell r="P359" t="str">
            <v>T</v>
          </cell>
          <cell r="Q359">
            <v>2</v>
          </cell>
          <cell r="R359">
            <v>3</v>
          </cell>
          <cell r="T359">
            <v>2000</v>
          </cell>
          <cell r="U359">
            <v>6</v>
          </cell>
          <cell r="V359">
            <v>2000</v>
          </cell>
          <cell r="W359">
            <v>6</v>
          </cell>
          <cell r="X359">
            <v>0</v>
          </cell>
          <cell r="Y359">
            <v>0</v>
          </cell>
          <cell r="Z359">
            <v>0</v>
          </cell>
          <cell r="AA359" t="str">
            <v>! !</v>
          </cell>
          <cell r="AC359">
            <v>0</v>
          </cell>
          <cell r="AE359" t="str">
            <v>x</v>
          </cell>
          <cell r="AJ359" t="str">
            <v>-</v>
          </cell>
          <cell r="AK359" t="str">
            <v>Ja</v>
          </cell>
          <cell r="AL359">
            <v>0</v>
          </cell>
          <cell r="AM359">
            <v>2000</v>
          </cell>
          <cell r="AN359" t="e">
            <v>#VALUE!</v>
          </cell>
          <cell r="AO359" t="e">
            <v>#VALUE!</v>
          </cell>
          <cell r="AP359">
            <v>-2000</v>
          </cell>
        </row>
        <row r="360">
          <cell r="A360">
            <v>63961400</v>
          </cell>
          <cell r="C360">
            <v>9614</v>
          </cell>
          <cell r="D360" t="str">
            <v xml:space="preserve">VAT VEG PENNE VOLK MET CHAMPIGNONRAGOUT EN BROCCOLI        </v>
          </cell>
          <cell r="E360" t="str">
            <v>VAT, veg</v>
          </cell>
          <cell r="F360" t="str">
            <v>290MM</v>
          </cell>
          <cell r="G360" t="str">
            <v xml:space="preserve">C2227-1H </v>
          </cell>
          <cell r="H360">
            <v>456</v>
          </cell>
          <cell r="I360">
            <v>0.5</v>
          </cell>
          <cell r="J360" t="str">
            <v>NVT</v>
          </cell>
          <cell r="K360" t="str">
            <v>VAT</v>
          </cell>
          <cell r="L360">
            <v>6</v>
          </cell>
          <cell r="M360" t="str">
            <v xml:space="preserve">VAT X 6 </v>
          </cell>
          <cell r="N360">
            <v>120</v>
          </cell>
          <cell r="O360">
            <v>8717568242248</v>
          </cell>
          <cell r="P360" t="str">
            <v>M-T</v>
          </cell>
          <cell r="Q360">
            <v>3</v>
          </cell>
          <cell r="R360">
            <v>3</v>
          </cell>
          <cell r="T360">
            <v>2200</v>
          </cell>
          <cell r="U360">
            <v>5</v>
          </cell>
          <cell r="V360">
            <v>2200</v>
          </cell>
          <cell r="W360">
            <v>5</v>
          </cell>
          <cell r="X360">
            <v>0</v>
          </cell>
          <cell r="Y360">
            <v>0</v>
          </cell>
          <cell r="Z360">
            <v>0</v>
          </cell>
          <cell r="AA360" t="str">
            <v>! ! !</v>
          </cell>
          <cell r="AC360">
            <v>0</v>
          </cell>
          <cell r="AE360" t="str">
            <v>x</v>
          </cell>
          <cell r="AJ360" t="str">
            <v>-</v>
          </cell>
          <cell r="AK360" t="str">
            <v>Ja</v>
          </cell>
          <cell r="AL360">
            <v>0</v>
          </cell>
          <cell r="AM360">
            <v>2200</v>
          </cell>
          <cell r="AN360" t="e">
            <v>#VALUE!</v>
          </cell>
          <cell r="AO360" t="e">
            <v>#VALUE!</v>
          </cell>
          <cell r="AP360">
            <v>-2200</v>
          </cell>
        </row>
        <row r="361">
          <cell r="A361">
            <v>63961500</v>
          </cell>
          <cell r="C361">
            <v>9615</v>
          </cell>
          <cell r="D361" t="str">
            <v xml:space="preserve">VAT VEGETARISCHE LASAGNA MET SPINAZIE             </v>
          </cell>
          <cell r="E361" t="str">
            <v>VAT, veg</v>
          </cell>
          <cell r="F361" t="str">
            <v>290MM</v>
          </cell>
          <cell r="G361" t="str">
            <v xml:space="preserve">C2227-1H </v>
          </cell>
          <cell r="H361">
            <v>456</v>
          </cell>
          <cell r="I361">
            <v>0.5</v>
          </cell>
          <cell r="J361" t="str">
            <v>NVT</v>
          </cell>
          <cell r="K361" t="str">
            <v>VAT</v>
          </cell>
          <cell r="L361">
            <v>6</v>
          </cell>
          <cell r="M361" t="str">
            <v xml:space="preserve">VAT X 6 </v>
          </cell>
          <cell r="N361">
            <v>120</v>
          </cell>
          <cell r="O361">
            <v>8717568242255</v>
          </cell>
          <cell r="P361" t="str">
            <v>3T</v>
          </cell>
          <cell r="Q361">
            <v>2</v>
          </cell>
          <cell r="R361">
            <v>3</v>
          </cell>
          <cell r="T361">
            <v>2200</v>
          </cell>
          <cell r="U361">
            <v>4</v>
          </cell>
          <cell r="V361">
            <v>2200</v>
          </cell>
          <cell r="W361">
            <v>4</v>
          </cell>
          <cell r="X361">
            <v>0</v>
          </cell>
          <cell r="Y361">
            <v>0</v>
          </cell>
          <cell r="Z361">
            <v>0</v>
          </cell>
          <cell r="AA361" t="str">
            <v>! !</v>
          </cell>
          <cell r="AC361">
            <v>0</v>
          </cell>
          <cell r="AE361" t="str">
            <v>x</v>
          </cell>
          <cell r="AG361">
            <v>45</v>
          </cell>
          <cell r="AJ361" t="str">
            <v>-</v>
          </cell>
          <cell r="AK361" t="str">
            <v>Ja</v>
          </cell>
          <cell r="AL361">
            <v>2700</v>
          </cell>
          <cell r="AM361">
            <v>2200</v>
          </cell>
          <cell r="AN361" t="e">
            <v>#VALUE!</v>
          </cell>
          <cell r="AO361" t="e">
            <v>#VALUE!</v>
          </cell>
          <cell r="AP361">
            <v>500</v>
          </cell>
        </row>
        <row r="362">
          <cell r="A362">
            <v>63961700</v>
          </cell>
          <cell r="C362">
            <v>9617</v>
          </cell>
          <cell r="D362" t="str">
            <v xml:space="preserve">VAT VEG SPINAZIESTAMPPOT MET OMELET                   </v>
          </cell>
          <cell r="E362" t="str">
            <v>VAT, veg</v>
          </cell>
          <cell r="F362" t="str">
            <v>290MM</v>
          </cell>
          <cell r="G362" t="str">
            <v xml:space="preserve">C2227-1H </v>
          </cell>
          <cell r="H362">
            <v>456</v>
          </cell>
          <cell r="I362">
            <v>0.5</v>
          </cell>
          <cell r="J362" t="str">
            <v>NVT</v>
          </cell>
          <cell r="K362" t="str">
            <v>VAT</v>
          </cell>
          <cell r="L362">
            <v>6</v>
          </cell>
          <cell r="M362" t="str">
            <v xml:space="preserve">VAT X 6 </v>
          </cell>
          <cell r="N362">
            <v>120</v>
          </cell>
          <cell r="O362">
            <v>8717568242484</v>
          </cell>
          <cell r="P362" t="str">
            <v xml:space="preserve">H </v>
          </cell>
          <cell r="Q362">
            <v>2</v>
          </cell>
          <cell r="R362">
            <v>3</v>
          </cell>
          <cell r="T362">
            <v>2200</v>
          </cell>
          <cell r="U362">
            <v>2</v>
          </cell>
          <cell r="V362">
            <v>2200</v>
          </cell>
          <cell r="W362">
            <v>2</v>
          </cell>
          <cell r="X362">
            <v>0</v>
          </cell>
          <cell r="Y362">
            <v>0</v>
          </cell>
          <cell r="Z362">
            <v>0</v>
          </cell>
          <cell r="AA362" t="str">
            <v>! !</v>
          </cell>
          <cell r="AC362">
            <v>0</v>
          </cell>
          <cell r="AE362" t="str">
            <v>x</v>
          </cell>
          <cell r="AG362">
            <v>45</v>
          </cell>
          <cell r="AJ362" t="str">
            <v>-</v>
          </cell>
          <cell r="AK362" t="str">
            <v>Ja</v>
          </cell>
          <cell r="AL362">
            <v>2700</v>
          </cell>
          <cell r="AM362">
            <v>2200</v>
          </cell>
          <cell r="AN362" t="e">
            <v>#VALUE!</v>
          </cell>
          <cell r="AO362" t="e">
            <v>#VALUE!</v>
          </cell>
          <cell r="AP362">
            <v>500</v>
          </cell>
        </row>
        <row r="363">
          <cell r="A363">
            <v>63961800</v>
          </cell>
          <cell r="C363">
            <v>9618</v>
          </cell>
          <cell r="D363" t="str">
            <v xml:space="preserve">VAT VEG RISOTTO MET BOSPADDESTOELEN                   </v>
          </cell>
          <cell r="E363" t="str">
            <v>VAT, veg</v>
          </cell>
          <cell r="F363" t="str">
            <v>290MM</v>
          </cell>
          <cell r="G363" t="str">
            <v xml:space="preserve">C2227-1H </v>
          </cell>
          <cell r="H363">
            <v>456</v>
          </cell>
          <cell r="I363">
            <v>0.51</v>
          </cell>
          <cell r="J363" t="str">
            <v>NVT</v>
          </cell>
          <cell r="K363" t="str">
            <v>VAT</v>
          </cell>
          <cell r="L363">
            <v>6</v>
          </cell>
          <cell r="M363" t="str">
            <v xml:space="preserve">VAT X 6 </v>
          </cell>
          <cell r="N363">
            <v>120</v>
          </cell>
          <cell r="O363">
            <v>8717568242262</v>
          </cell>
          <cell r="P363" t="str">
            <v>M-T</v>
          </cell>
          <cell r="Q363">
            <v>2</v>
          </cell>
          <cell r="R363">
            <v>3</v>
          </cell>
          <cell r="T363">
            <v>2200</v>
          </cell>
          <cell r="U363">
            <v>3</v>
          </cell>
          <cell r="V363">
            <v>2200</v>
          </cell>
          <cell r="W363">
            <v>3</v>
          </cell>
          <cell r="X363">
            <v>0</v>
          </cell>
          <cell r="Y363">
            <v>0</v>
          </cell>
          <cell r="Z363">
            <v>0</v>
          </cell>
          <cell r="AA363" t="str">
            <v>! ! !</v>
          </cell>
          <cell r="AC363">
            <v>0</v>
          </cell>
          <cell r="AE363" t="str">
            <v>x</v>
          </cell>
          <cell r="AG363">
            <v>45</v>
          </cell>
          <cell r="AJ363" t="str">
            <v>-</v>
          </cell>
          <cell r="AK363" t="str">
            <v>Ja</v>
          </cell>
          <cell r="AL363">
            <v>2700</v>
          </cell>
          <cell r="AM363">
            <v>2200</v>
          </cell>
          <cell r="AN363" t="e">
            <v>#VALUE!</v>
          </cell>
          <cell r="AO363" t="e">
            <v>#VALUE!</v>
          </cell>
          <cell r="AP363">
            <v>500</v>
          </cell>
        </row>
        <row r="364">
          <cell r="A364">
            <v>63961900</v>
          </cell>
          <cell r="C364">
            <v>9619</v>
          </cell>
          <cell r="D364" t="str">
            <v xml:space="preserve">VAT VEG ANDIJVIESTAMPPOT VEGETARISCHE BALLETJES      </v>
          </cell>
          <cell r="E364" t="str">
            <v>VAT, veg</v>
          </cell>
          <cell r="F364" t="str">
            <v>290MM</v>
          </cell>
          <cell r="G364" t="str">
            <v>C2227-2K</v>
          </cell>
          <cell r="H364">
            <v>456</v>
          </cell>
          <cell r="I364">
            <v>0.57499999999999996</v>
          </cell>
          <cell r="J364" t="str">
            <v>NVT</v>
          </cell>
          <cell r="K364" t="str">
            <v>VAT</v>
          </cell>
          <cell r="L364">
            <v>6</v>
          </cell>
          <cell r="M364" t="str">
            <v xml:space="preserve">VAT X 6 </v>
          </cell>
          <cell r="N364">
            <v>120</v>
          </cell>
          <cell r="O364">
            <v>8717568242705</v>
          </cell>
          <cell r="P364" t="str">
            <v>T-H</v>
          </cell>
          <cell r="Q364">
            <v>2</v>
          </cell>
          <cell r="R364">
            <v>3</v>
          </cell>
          <cell r="T364">
            <v>1750</v>
          </cell>
          <cell r="U364">
            <v>3</v>
          </cell>
          <cell r="V364">
            <v>1750</v>
          </cell>
          <cell r="W364">
            <v>3</v>
          </cell>
          <cell r="X364">
            <v>0</v>
          </cell>
          <cell r="Y364">
            <v>0</v>
          </cell>
          <cell r="Z364">
            <v>0</v>
          </cell>
          <cell r="AA364" t="str">
            <v>! ! !</v>
          </cell>
          <cell r="AC364">
            <v>0</v>
          </cell>
          <cell r="AE364" t="str">
            <v>x</v>
          </cell>
          <cell r="AJ364" t="str">
            <v>V-A</v>
          </cell>
          <cell r="AK364" t="str">
            <v>Ja</v>
          </cell>
          <cell r="AL364">
            <v>0</v>
          </cell>
          <cell r="AM364">
            <v>1750</v>
          </cell>
          <cell r="AN364" t="e">
            <v>#VALUE!</v>
          </cell>
          <cell r="AO364" t="e">
            <v>#VALUE!</v>
          </cell>
          <cell r="AP364">
            <v>-1750</v>
          </cell>
        </row>
        <row r="365">
          <cell r="A365">
            <v>63962000</v>
          </cell>
          <cell r="C365">
            <v>9620</v>
          </cell>
          <cell r="D365" t="str">
            <v>VAT VEG MOUSSAKA VEGETARISCH</v>
          </cell>
          <cell r="E365" t="str">
            <v>VAT, veg</v>
          </cell>
          <cell r="F365" t="str">
            <v>290MM</v>
          </cell>
          <cell r="G365" t="str">
            <v xml:space="preserve">C2227-1H </v>
          </cell>
          <cell r="H365">
            <v>456</v>
          </cell>
          <cell r="I365">
            <v>0.58499999999999996</v>
          </cell>
          <cell r="J365" t="str">
            <v>NVT</v>
          </cell>
          <cell r="K365" t="str">
            <v>VAT</v>
          </cell>
          <cell r="L365">
            <v>6</v>
          </cell>
          <cell r="M365" t="str">
            <v xml:space="preserve">VAT X 6 </v>
          </cell>
          <cell r="N365">
            <v>120</v>
          </cell>
          <cell r="O365">
            <v>8717568242712</v>
          </cell>
          <cell r="P365" t="str">
            <v>2T-K</v>
          </cell>
          <cell r="Q365">
            <v>3</v>
          </cell>
          <cell r="R365">
            <v>3</v>
          </cell>
          <cell r="T365">
            <v>2200</v>
          </cell>
          <cell r="U365">
            <v>5</v>
          </cell>
          <cell r="V365">
            <v>2200</v>
          </cell>
          <cell r="W365">
            <v>5</v>
          </cell>
          <cell r="X365">
            <v>0</v>
          </cell>
          <cell r="Y365">
            <v>0</v>
          </cell>
          <cell r="Z365">
            <v>0</v>
          </cell>
          <cell r="AA365" t="str">
            <v>! ! !</v>
          </cell>
          <cell r="AC365">
            <v>0</v>
          </cell>
          <cell r="AG365">
            <v>45</v>
          </cell>
          <cell r="AJ365" t="str">
            <v>-</v>
          </cell>
          <cell r="AK365" t="str">
            <v>Ja</v>
          </cell>
          <cell r="AL365">
            <v>2700</v>
          </cell>
          <cell r="AM365">
            <v>2200</v>
          </cell>
          <cell r="AN365" t="e">
            <v>#VALUE!</v>
          </cell>
          <cell r="AO365" t="e">
            <v>#VALUE!</v>
          </cell>
          <cell r="AP365">
            <v>500</v>
          </cell>
        </row>
        <row r="366">
          <cell r="A366">
            <v>63962300</v>
          </cell>
          <cell r="C366">
            <v>9623</v>
          </cell>
          <cell r="D366" t="str">
            <v>VAT HUTSPOT VEGETARISCHE BALLETJES</v>
          </cell>
          <cell r="E366" t="str">
            <v>VAT, veg</v>
          </cell>
          <cell r="F366" t="str">
            <v>290MM</v>
          </cell>
          <cell r="G366" t="str">
            <v>C2227-2K</v>
          </cell>
          <cell r="H366">
            <v>456</v>
          </cell>
          <cell r="I366">
            <v>0.5</v>
          </cell>
          <cell r="J366" t="str">
            <v>NVT</v>
          </cell>
          <cell r="K366" t="str">
            <v>VAT</v>
          </cell>
          <cell r="L366">
            <v>6</v>
          </cell>
          <cell r="M366" t="str">
            <v xml:space="preserve">VAT X 6 </v>
          </cell>
          <cell r="N366">
            <v>120</v>
          </cell>
          <cell r="O366">
            <v>8717568240749</v>
          </cell>
          <cell r="P366" t="str">
            <v>H-T</v>
          </cell>
          <cell r="Q366">
            <v>2</v>
          </cell>
          <cell r="R366">
            <v>3</v>
          </cell>
          <cell r="T366">
            <v>2200</v>
          </cell>
          <cell r="U366">
            <v>3</v>
          </cell>
          <cell r="V366">
            <v>2200</v>
          </cell>
          <cell r="W366">
            <v>3</v>
          </cell>
          <cell r="X366">
            <v>0</v>
          </cell>
          <cell r="Y366">
            <v>0</v>
          </cell>
          <cell r="Z366">
            <v>0</v>
          </cell>
          <cell r="AA366" t="str">
            <v>! ! !</v>
          </cell>
          <cell r="AC366">
            <v>0</v>
          </cell>
          <cell r="AG366">
            <v>45</v>
          </cell>
          <cell r="AJ366" t="str">
            <v>V-A</v>
          </cell>
          <cell r="AK366" t="str">
            <v>Ja</v>
          </cell>
          <cell r="AL366">
            <v>2700</v>
          </cell>
          <cell r="AM366">
            <v>2200</v>
          </cell>
          <cell r="AN366" t="e">
            <v>#VALUE!</v>
          </cell>
          <cell r="AO366" t="e">
            <v>#VALUE!</v>
          </cell>
          <cell r="AP366">
            <v>500</v>
          </cell>
        </row>
        <row r="367">
          <cell r="A367">
            <v>63963200</v>
          </cell>
          <cell r="C367">
            <v>9632</v>
          </cell>
          <cell r="D367" t="str">
            <v>VAT GROENTESCHOTEL VEG KIPSTUKJES POMPOENSAUS WILDE RIJSTMIX</v>
          </cell>
          <cell r="E367" t="str">
            <v>VAT, veg</v>
          </cell>
          <cell r="F367" t="str">
            <v>290MM</v>
          </cell>
          <cell r="G367" t="str">
            <v xml:space="preserve">C2227-1H </v>
          </cell>
          <cell r="H367">
            <v>548</v>
          </cell>
          <cell r="I367">
            <v>0.5</v>
          </cell>
          <cell r="J367" t="str">
            <v>NVT</v>
          </cell>
          <cell r="K367" t="str">
            <v>VAT</v>
          </cell>
          <cell r="L367">
            <v>6</v>
          </cell>
          <cell r="M367" t="str">
            <v xml:space="preserve">VAT X 6 </v>
          </cell>
          <cell r="N367">
            <v>120</v>
          </cell>
          <cell r="O367">
            <v>8717568245270</v>
          </cell>
          <cell r="P367" t="str">
            <v>I-M-2T</v>
          </cell>
          <cell r="Q367">
            <v>3</v>
          </cell>
          <cell r="R367">
            <v>3</v>
          </cell>
          <cell r="S367" t="str">
            <v>ZWARTE RIJST D-1, klachten mbt onvoldoende naperen (GSN 14/7)</v>
          </cell>
          <cell r="T367">
            <v>2200</v>
          </cell>
          <cell r="U367">
            <v>6</v>
          </cell>
          <cell r="V367">
            <v>2200</v>
          </cell>
          <cell r="W367">
            <v>6</v>
          </cell>
          <cell r="X367">
            <v>0</v>
          </cell>
          <cell r="Y367">
            <v>0</v>
          </cell>
          <cell r="Z367">
            <v>0</v>
          </cell>
          <cell r="AA367" t="str">
            <v>! ! !</v>
          </cell>
          <cell r="AC367">
            <v>0</v>
          </cell>
          <cell r="AG367">
            <v>45</v>
          </cell>
          <cell r="AJ367" t="str">
            <v>-</v>
          </cell>
          <cell r="AK367" t="str">
            <v>Ja</v>
          </cell>
          <cell r="AL367">
            <v>2700</v>
          </cell>
          <cell r="AM367">
            <v>2200</v>
          </cell>
          <cell r="AN367" t="e">
            <v>#VALUE!</v>
          </cell>
          <cell r="AO367" t="e">
            <v>#VALUE!</v>
          </cell>
          <cell r="AP367">
            <v>500</v>
          </cell>
        </row>
        <row r="368">
          <cell r="A368">
            <v>63963400</v>
          </cell>
          <cell r="C368">
            <v>9634</v>
          </cell>
          <cell r="D368" t="str">
            <v>VAT VEG THAI GROENE CURRY ZOETE AARDAPPELPUREE</v>
          </cell>
          <cell r="E368" t="str">
            <v>VAT, veg</v>
          </cell>
          <cell r="F368" t="str">
            <v>290MM</v>
          </cell>
          <cell r="G368" t="str">
            <v>C2227-2K</v>
          </cell>
          <cell r="H368">
            <v>548</v>
          </cell>
          <cell r="I368">
            <v>0.5</v>
          </cell>
          <cell r="J368" t="str">
            <v>NVT</v>
          </cell>
          <cell r="K368" t="str">
            <v>VAT</v>
          </cell>
          <cell r="L368">
            <v>6</v>
          </cell>
          <cell r="M368" t="str">
            <v xml:space="preserve">VAT X 6 </v>
          </cell>
          <cell r="N368">
            <v>120</v>
          </cell>
          <cell r="O368">
            <v>8717568245232</v>
          </cell>
          <cell r="P368" t="str">
            <v>I-H-T</v>
          </cell>
          <cell r="Q368">
            <v>3</v>
          </cell>
          <cell r="R368">
            <v>3</v>
          </cell>
          <cell r="S368" t="str">
            <v>idem 63563400</v>
          </cell>
          <cell r="T368">
            <v>2200</v>
          </cell>
          <cell r="U368">
            <v>2</v>
          </cell>
          <cell r="V368">
            <v>2200</v>
          </cell>
          <cell r="W368">
            <v>2</v>
          </cell>
          <cell r="X368">
            <v>0</v>
          </cell>
          <cell r="Y368">
            <v>0</v>
          </cell>
          <cell r="Z368">
            <v>0</v>
          </cell>
          <cell r="AA368" t="str">
            <v>! ! !</v>
          </cell>
          <cell r="AC368">
            <v>0</v>
          </cell>
          <cell r="AG368">
            <v>45</v>
          </cell>
          <cell r="AJ368" t="str">
            <v>-</v>
          </cell>
          <cell r="AK368" t="str">
            <v>Ja</v>
          </cell>
          <cell r="AL368">
            <v>2700</v>
          </cell>
          <cell r="AM368">
            <v>2200</v>
          </cell>
          <cell r="AN368" t="e">
            <v>#VALUE!</v>
          </cell>
          <cell r="AO368" t="e">
            <v>#VALUE!</v>
          </cell>
          <cell r="AP368">
            <v>500</v>
          </cell>
        </row>
        <row r="369">
          <cell r="A369">
            <v>63963500</v>
          </cell>
          <cell r="C369">
            <v>9635</v>
          </cell>
          <cell r="D369" t="str">
            <v>VAT VEG SPAGHETTI BOLOGNESE</v>
          </cell>
          <cell r="E369" t="str">
            <v>VAT, veg</v>
          </cell>
          <cell r="F369" t="str">
            <v>290MM</v>
          </cell>
          <cell r="G369" t="str">
            <v xml:space="preserve">C2227-1H </v>
          </cell>
          <cell r="H369">
            <v>548</v>
          </cell>
          <cell r="I369">
            <v>0.55000000000000004</v>
          </cell>
          <cell r="J369" t="str">
            <v>NVT</v>
          </cell>
          <cell r="K369" t="str">
            <v>VAT</v>
          </cell>
          <cell r="L369">
            <v>6</v>
          </cell>
          <cell r="M369" t="str">
            <v xml:space="preserve">VAT X 6 </v>
          </cell>
          <cell r="N369">
            <v>120</v>
          </cell>
          <cell r="O369">
            <v>8717568245294</v>
          </cell>
          <cell r="P369" t="str">
            <v>M-2T</v>
          </cell>
          <cell r="Q369">
            <v>2</v>
          </cell>
          <cell r="R369">
            <v>3</v>
          </cell>
          <cell r="S369" t="str">
            <v>idem 63562800</v>
          </cell>
          <cell r="T369">
            <v>2200</v>
          </cell>
          <cell r="U369">
            <v>3</v>
          </cell>
          <cell r="V369">
            <v>2200</v>
          </cell>
          <cell r="W369">
            <v>3</v>
          </cell>
          <cell r="X369">
            <v>0</v>
          </cell>
          <cell r="Y369">
            <v>0</v>
          </cell>
          <cell r="Z369">
            <v>0</v>
          </cell>
          <cell r="AA369" t="str">
            <v>! ! !</v>
          </cell>
          <cell r="AC369">
            <v>0</v>
          </cell>
          <cell r="AG369">
            <v>45</v>
          </cell>
          <cell r="AJ369" t="str">
            <v>V-A</v>
          </cell>
          <cell r="AK369" t="str">
            <v>ja</v>
          </cell>
          <cell r="AL369">
            <v>2700</v>
          </cell>
          <cell r="AM369">
            <v>2200</v>
          </cell>
          <cell r="AN369" t="e">
            <v>#VALUE!</v>
          </cell>
          <cell r="AO369" t="e">
            <v>#VALUE!</v>
          </cell>
          <cell r="AP369">
            <v>500</v>
          </cell>
        </row>
        <row r="370">
          <cell r="A370">
            <v>63963600</v>
          </cell>
          <cell r="C370">
            <v>9636</v>
          </cell>
          <cell r="D370" t="str">
            <v>VAT VERGETEN GROENTESCHOTEL VEG KIPSTUKJES PASTINAAKPUREE</v>
          </cell>
          <cell r="E370" t="str">
            <v>VAT, veg</v>
          </cell>
          <cell r="F370" t="str">
            <v>290MM</v>
          </cell>
          <cell r="G370" t="str">
            <v xml:space="preserve">C2227-1H </v>
          </cell>
          <cell r="H370">
            <v>456</v>
          </cell>
          <cell r="I370">
            <v>0.55000000000000004</v>
          </cell>
          <cell r="J370" t="str">
            <v>NVT</v>
          </cell>
          <cell r="K370" t="str">
            <v>VAT</v>
          </cell>
          <cell r="L370">
            <v>6</v>
          </cell>
          <cell r="M370" t="str">
            <v xml:space="preserve">VAT X 6 </v>
          </cell>
          <cell r="N370">
            <v>120</v>
          </cell>
          <cell r="O370">
            <v>8717568240541</v>
          </cell>
          <cell r="P370" t="str">
            <v>I-H-2T-K</v>
          </cell>
          <cell r="Q370">
            <v>3</v>
          </cell>
          <cell r="R370">
            <v>3</v>
          </cell>
          <cell r="T370">
            <v>2000</v>
          </cell>
          <cell r="U370">
            <v>5</v>
          </cell>
          <cell r="V370">
            <v>2000</v>
          </cell>
          <cell r="W370">
            <v>5</v>
          </cell>
          <cell r="X370">
            <v>0</v>
          </cell>
          <cell r="Y370">
            <v>0</v>
          </cell>
          <cell r="Z370">
            <v>0</v>
          </cell>
          <cell r="AA370" t="str">
            <v>! ! !</v>
          </cell>
          <cell r="AC370">
            <v>0</v>
          </cell>
          <cell r="AJ370" t="str">
            <v>-</v>
          </cell>
          <cell r="AK370" t="str">
            <v>Ja</v>
          </cell>
          <cell r="AL370">
            <v>0</v>
          </cell>
          <cell r="AM370">
            <v>2000</v>
          </cell>
          <cell r="AN370" t="e">
            <v>#VALUE!</v>
          </cell>
          <cell r="AO370" t="e">
            <v>#VALUE!</v>
          </cell>
          <cell r="AP370">
            <v>-2000</v>
          </cell>
        </row>
        <row r="371">
          <cell r="A371">
            <v>63990300</v>
          </cell>
          <cell r="C371">
            <v>9903</v>
          </cell>
          <cell r="D371" t="str">
            <v>VAT BLOEMKOOLSOEP 300G</v>
          </cell>
          <cell r="E371" t="str">
            <v>VAT, soep monoportie</v>
          </cell>
          <cell r="F371" t="str">
            <v>355mm</v>
          </cell>
          <cell r="G371" t="str">
            <v>C2187-1F</v>
          </cell>
          <cell r="H371">
            <v>548</v>
          </cell>
          <cell r="I371">
            <v>0.3</v>
          </cell>
          <cell r="J371" t="str">
            <v>NVT</v>
          </cell>
          <cell r="K371" t="str">
            <v>100x100 bl</v>
          </cell>
          <cell r="L371">
            <v>10</v>
          </cell>
          <cell r="M371" t="str">
            <v>H11X10</v>
          </cell>
          <cell r="N371">
            <v>105</v>
          </cell>
          <cell r="O371">
            <v>8717568243665</v>
          </cell>
          <cell r="P371" t="str">
            <v>I-2T</v>
          </cell>
          <cell r="Q371">
            <v>1.5</v>
          </cell>
          <cell r="R371">
            <v>3</v>
          </cell>
          <cell r="S371" t="str">
            <v>idem 63596300</v>
          </cell>
          <cell r="T371">
            <v>1750</v>
          </cell>
          <cell r="U371">
            <v>2</v>
          </cell>
          <cell r="V371">
            <v>1750</v>
          </cell>
          <cell r="W371">
            <v>2</v>
          </cell>
          <cell r="X371">
            <v>0</v>
          </cell>
          <cell r="Y371">
            <v>0</v>
          </cell>
          <cell r="Z371">
            <v>0</v>
          </cell>
          <cell r="AA371" t="str">
            <v>! ! !</v>
          </cell>
          <cell r="AC371">
            <v>0</v>
          </cell>
          <cell r="AE371" t="str">
            <v>x</v>
          </cell>
          <cell r="AG371">
            <v>36</v>
          </cell>
          <cell r="AJ371" t="str">
            <v>-</v>
          </cell>
          <cell r="AK371" t="str">
            <v>Ja</v>
          </cell>
          <cell r="AL371">
            <v>2160</v>
          </cell>
          <cell r="AM371">
            <v>1750</v>
          </cell>
          <cell r="AN371" t="e">
            <v>#VALUE!</v>
          </cell>
          <cell r="AO371" t="e">
            <v>#VALUE!</v>
          </cell>
          <cell r="AP371">
            <v>410</v>
          </cell>
        </row>
        <row r="372">
          <cell r="A372">
            <v>63990500</v>
          </cell>
          <cell r="C372">
            <v>9905</v>
          </cell>
          <cell r="D372" t="str">
            <v>VAT TOMATENSOEP MET BALLETJES 300G</v>
          </cell>
          <cell r="E372" t="str">
            <v>VAT, soep monoportie</v>
          </cell>
          <cell r="F372" t="str">
            <v>355mm</v>
          </cell>
          <cell r="G372" t="str">
            <v>C2187-1F</v>
          </cell>
          <cell r="H372">
            <v>548</v>
          </cell>
          <cell r="I372">
            <v>0.3</v>
          </cell>
          <cell r="J372" t="str">
            <v>NVT</v>
          </cell>
          <cell r="K372" t="str">
            <v>100x100 bl</v>
          </cell>
          <cell r="L372">
            <v>10</v>
          </cell>
          <cell r="M372" t="str">
            <v>H11X10</v>
          </cell>
          <cell r="N372">
            <v>105</v>
          </cell>
          <cell r="O372">
            <v>8717568243801</v>
          </cell>
          <cell r="P372" t="str">
            <v>I-2T</v>
          </cell>
          <cell r="Q372">
            <v>1.5</v>
          </cell>
          <cell r="R372">
            <v>3</v>
          </cell>
          <cell r="S372" t="str">
            <v>idem 63596500</v>
          </cell>
          <cell r="T372">
            <v>2000</v>
          </cell>
          <cell r="U372">
            <v>3</v>
          </cell>
          <cell r="V372">
            <v>2000</v>
          </cell>
          <cell r="W372">
            <v>3</v>
          </cell>
          <cell r="X372">
            <v>0</v>
          </cell>
          <cell r="Y372">
            <v>0</v>
          </cell>
          <cell r="Z372">
            <v>0</v>
          </cell>
          <cell r="AA372" t="str">
            <v>! ! !</v>
          </cell>
          <cell r="AC372">
            <v>0</v>
          </cell>
          <cell r="AE372" t="str">
            <v>x</v>
          </cell>
          <cell r="AG372">
            <v>36</v>
          </cell>
          <cell r="AJ372" t="str">
            <v>-</v>
          </cell>
          <cell r="AK372" t="str">
            <v>ja</v>
          </cell>
          <cell r="AL372">
            <v>2160</v>
          </cell>
          <cell r="AM372">
            <v>2000</v>
          </cell>
          <cell r="AN372" t="e">
            <v>#VALUE!</v>
          </cell>
          <cell r="AO372" t="e">
            <v>#VALUE!</v>
          </cell>
          <cell r="AP372">
            <v>160</v>
          </cell>
        </row>
        <row r="373">
          <cell r="A373">
            <v>63990600</v>
          </cell>
          <cell r="C373">
            <v>9906</v>
          </cell>
          <cell r="D373" t="str">
            <v>VAT CHAMPIGNONROOMSOEP 300G</v>
          </cell>
          <cell r="E373" t="str">
            <v>VAT, soep monoportie</v>
          </cell>
          <cell r="F373" t="str">
            <v>355mm</v>
          </cell>
          <cell r="G373" t="str">
            <v>C2187-1F</v>
          </cell>
          <cell r="H373">
            <v>548</v>
          </cell>
          <cell r="I373">
            <v>0.3</v>
          </cell>
          <cell r="J373" t="str">
            <v>NVT</v>
          </cell>
          <cell r="K373" t="str">
            <v>100x100 bl</v>
          </cell>
          <cell r="L373">
            <v>10</v>
          </cell>
          <cell r="M373" t="str">
            <v>H11X10</v>
          </cell>
          <cell r="N373">
            <v>105</v>
          </cell>
          <cell r="O373">
            <v>8717568243702</v>
          </cell>
          <cell r="P373" t="str">
            <v>2T</v>
          </cell>
          <cell r="Q373">
            <v>1.5</v>
          </cell>
          <cell r="R373">
            <v>3</v>
          </cell>
          <cell r="S373" t="str">
            <v>idem 63596600</v>
          </cell>
          <cell r="T373">
            <v>1750</v>
          </cell>
          <cell r="U373">
            <v>1</v>
          </cell>
          <cell r="V373">
            <v>1750</v>
          </cell>
          <cell r="W373">
            <v>1</v>
          </cell>
          <cell r="X373">
            <v>0</v>
          </cell>
          <cell r="Y373">
            <v>0</v>
          </cell>
          <cell r="Z373">
            <v>0</v>
          </cell>
          <cell r="AA373" t="str">
            <v>! ! !</v>
          </cell>
          <cell r="AC373">
            <v>0</v>
          </cell>
          <cell r="AE373" t="str">
            <v>x</v>
          </cell>
          <cell r="AG373">
            <v>36</v>
          </cell>
          <cell r="AJ373" t="str">
            <v>-</v>
          </cell>
          <cell r="AK373" t="str">
            <v>ja</v>
          </cell>
          <cell r="AL373">
            <v>2160</v>
          </cell>
          <cell r="AM373">
            <v>1750</v>
          </cell>
          <cell r="AN373" t="e">
            <v>#VALUE!</v>
          </cell>
          <cell r="AO373" t="e">
            <v>#VALUE!</v>
          </cell>
          <cell r="AP373">
            <v>410</v>
          </cell>
        </row>
        <row r="374">
          <cell r="A374">
            <v>63990700</v>
          </cell>
          <cell r="C374">
            <v>9907</v>
          </cell>
          <cell r="D374" t="str">
            <v>VAT GROENTESOEP MET BALLETJES 300G</v>
          </cell>
          <cell r="E374" t="str">
            <v>VAT, soep monoportie</v>
          </cell>
          <cell r="F374" t="str">
            <v>355mm</v>
          </cell>
          <cell r="G374" t="str">
            <v>C2187-1F</v>
          </cell>
          <cell r="H374">
            <v>548</v>
          </cell>
          <cell r="I374">
            <v>0.3</v>
          </cell>
          <cell r="J374" t="str">
            <v>NVT</v>
          </cell>
          <cell r="K374" t="str">
            <v>100x100 bl</v>
          </cell>
          <cell r="L374">
            <v>10</v>
          </cell>
          <cell r="M374" t="str">
            <v>H11X10</v>
          </cell>
          <cell r="N374">
            <v>105</v>
          </cell>
          <cell r="O374">
            <v>8717568243726</v>
          </cell>
          <cell r="P374" t="str">
            <v>I-2T</v>
          </cell>
          <cell r="Q374">
            <v>1.5</v>
          </cell>
          <cell r="R374">
            <v>3</v>
          </cell>
          <cell r="S374" t="str">
            <v>idem 63596700</v>
          </cell>
          <cell r="T374">
            <v>2000</v>
          </cell>
          <cell r="U374">
            <v>3</v>
          </cell>
          <cell r="V374">
            <v>2000</v>
          </cell>
          <cell r="W374">
            <v>3</v>
          </cell>
          <cell r="X374">
            <v>0</v>
          </cell>
          <cell r="Y374">
            <v>0</v>
          </cell>
          <cell r="Z374">
            <v>0</v>
          </cell>
          <cell r="AA374" t="str">
            <v>! ! !</v>
          </cell>
          <cell r="AC374">
            <v>0</v>
          </cell>
          <cell r="AE374" t="str">
            <v>x</v>
          </cell>
          <cell r="AG374">
            <v>42</v>
          </cell>
          <cell r="AJ374" t="str">
            <v>-</v>
          </cell>
          <cell r="AK374" t="str">
            <v>ja</v>
          </cell>
          <cell r="AL374">
            <v>2520</v>
          </cell>
          <cell r="AM374">
            <v>2000</v>
          </cell>
          <cell r="AN374" t="e">
            <v>#VALUE!</v>
          </cell>
          <cell r="AO374" t="e">
            <v>#VALUE!</v>
          </cell>
          <cell r="AP374">
            <v>520</v>
          </cell>
        </row>
        <row r="375">
          <cell r="A375">
            <v>63990800</v>
          </cell>
          <cell r="C375">
            <v>9908</v>
          </cell>
          <cell r="D375" t="str">
            <v>VAT KIPPENSOEP MET KIPPENSTUKJES 300G</v>
          </cell>
          <cell r="E375" t="str">
            <v>VAT, soep monoportie</v>
          </cell>
          <cell r="F375" t="str">
            <v>355mm</v>
          </cell>
          <cell r="G375" t="str">
            <v>C2187-1F</v>
          </cell>
          <cell r="H375">
            <v>548</v>
          </cell>
          <cell r="I375">
            <v>0.3</v>
          </cell>
          <cell r="J375" t="str">
            <v>NVT</v>
          </cell>
          <cell r="K375" t="str">
            <v>100x100 bl</v>
          </cell>
          <cell r="L375">
            <v>10</v>
          </cell>
          <cell r="M375" t="str">
            <v>H11X10</v>
          </cell>
          <cell r="N375">
            <v>105</v>
          </cell>
          <cell r="O375">
            <v>8717568243740</v>
          </cell>
          <cell r="P375" t="str">
            <v>2T</v>
          </cell>
          <cell r="Q375">
            <v>1.5</v>
          </cell>
          <cell r="R375">
            <v>3</v>
          </cell>
          <cell r="S375" t="str">
            <v>idem 63596800</v>
          </cell>
          <cell r="T375">
            <v>1750</v>
          </cell>
          <cell r="U375">
            <v>4</v>
          </cell>
          <cell r="V375">
            <v>1750</v>
          </cell>
          <cell r="W375">
            <v>4</v>
          </cell>
          <cell r="X375">
            <v>0</v>
          </cell>
          <cell r="Y375">
            <v>0</v>
          </cell>
          <cell r="Z375">
            <v>0</v>
          </cell>
          <cell r="AA375" t="str">
            <v>! ! !</v>
          </cell>
          <cell r="AC375">
            <v>0</v>
          </cell>
          <cell r="AG375">
            <v>20</v>
          </cell>
          <cell r="AJ375" t="str">
            <v>-</v>
          </cell>
          <cell r="AK375" t="str">
            <v>Ja</v>
          </cell>
          <cell r="AL375">
            <v>1200</v>
          </cell>
          <cell r="AM375">
            <v>1750</v>
          </cell>
          <cell r="AN375" t="e">
            <v>#VALUE!</v>
          </cell>
          <cell r="AO375" t="e">
            <v>#VALUE!</v>
          </cell>
          <cell r="AP375">
            <v>-550</v>
          </cell>
        </row>
        <row r="376">
          <cell r="A376">
            <v>63991000</v>
          </cell>
          <cell r="C376">
            <v>9910</v>
          </cell>
          <cell r="D376" t="str">
            <v>VAT POMPOENSOEP 300G</v>
          </cell>
          <cell r="E376" t="str">
            <v>VAT, soep monoportie</v>
          </cell>
          <cell r="F376" t="str">
            <v>355mm</v>
          </cell>
          <cell r="G376" t="str">
            <v>C2187-1F</v>
          </cell>
          <cell r="H376">
            <v>548</v>
          </cell>
          <cell r="I376">
            <v>0.3</v>
          </cell>
          <cell r="J376" t="str">
            <v>NVT</v>
          </cell>
          <cell r="K376" t="str">
            <v>100x100 bl</v>
          </cell>
          <cell r="L376">
            <v>10</v>
          </cell>
          <cell r="M376" t="str">
            <v>H11X10</v>
          </cell>
          <cell r="N376">
            <v>105</v>
          </cell>
          <cell r="O376">
            <v>8717568243788</v>
          </cell>
          <cell r="P376" t="str">
            <v>2T</v>
          </cell>
          <cell r="Q376">
            <v>1.5</v>
          </cell>
          <cell r="R376">
            <v>3</v>
          </cell>
          <cell r="S376" t="str">
            <v>idem 63597000</v>
          </cell>
          <cell r="T376">
            <v>1750</v>
          </cell>
          <cell r="U376">
            <v>2</v>
          </cell>
          <cell r="V376">
            <v>1750</v>
          </cell>
          <cell r="W376">
            <v>2</v>
          </cell>
          <cell r="X376">
            <v>0</v>
          </cell>
          <cell r="Y376">
            <v>0</v>
          </cell>
          <cell r="Z376">
            <v>0</v>
          </cell>
          <cell r="AA376" t="str">
            <v>! ! !</v>
          </cell>
          <cell r="AC376">
            <v>0</v>
          </cell>
          <cell r="AG376">
            <v>36</v>
          </cell>
          <cell r="AJ376" t="str">
            <v>-</v>
          </cell>
          <cell r="AK376" t="str">
            <v>Ja</v>
          </cell>
          <cell r="AL376">
            <v>2160</v>
          </cell>
          <cell r="AM376">
            <v>1750</v>
          </cell>
          <cell r="AN376" t="e">
            <v>#VALUE!</v>
          </cell>
          <cell r="AO376" t="e">
            <v>#VALUE!</v>
          </cell>
          <cell r="AP376">
            <v>410</v>
          </cell>
        </row>
        <row r="377">
          <cell r="A377">
            <v>63991100</v>
          </cell>
          <cell r="C377">
            <v>9911</v>
          </cell>
          <cell r="D377" t="str">
            <v>VAT MOSTERDSOEP 300G</v>
          </cell>
          <cell r="E377" t="str">
            <v>VAT, soep monoportie</v>
          </cell>
          <cell r="F377" t="str">
            <v>355mm</v>
          </cell>
          <cell r="G377" t="str">
            <v>C2187-1F</v>
          </cell>
          <cell r="H377">
            <v>548</v>
          </cell>
          <cell r="I377">
            <v>0.3</v>
          </cell>
          <cell r="J377" t="str">
            <v>NVT</v>
          </cell>
          <cell r="K377" t="str">
            <v>100x100 bl</v>
          </cell>
          <cell r="L377">
            <v>10</v>
          </cell>
          <cell r="M377" t="str">
            <v>H11X10</v>
          </cell>
          <cell r="N377">
            <v>105</v>
          </cell>
          <cell r="O377">
            <v>8717568245317</v>
          </cell>
          <cell r="P377" t="str">
            <v>2T</v>
          </cell>
          <cell r="Q377">
            <v>1.5</v>
          </cell>
          <cell r="R377">
            <v>3</v>
          </cell>
          <cell r="T377">
            <v>1750</v>
          </cell>
          <cell r="U377">
            <v>2</v>
          </cell>
          <cell r="V377">
            <v>1750</v>
          </cell>
          <cell r="W377">
            <v>2</v>
          </cell>
          <cell r="X377">
            <v>0</v>
          </cell>
          <cell r="Y377">
            <v>0</v>
          </cell>
          <cell r="Z377">
            <v>0</v>
          </cell>
          <cell r="AA377" t="str">
            <v>! ! !</v>
          </cell>
          <cell r="AC377">
            <v>0</v>
          </cell>
          <cell r="AJ377" t="str">
            <v>-</v>
          </cell>
          <cell r="AK377" t="str">
            <v>Ja</v>
          </cell>
          <cell r="AL377">
            <v>0</v>
          </cell>
          <cell r="AM377">
            <v>1750</v>
          </cell>
          <cell r="AN377" t="e">
            <v>#VALUE!</v>
          </cell>
          <cell r="AO377" t="e">
            <v>#VALUE!</v>
          </cell>
          <cell r="AP377">
            <v>-1750</v>
          </cell>
        </row>
        <row r="378">
          <cell r="A378">
            <v>63991200</v>
          </cell>
          <cell r="C378">
            <v>9912</v>
          </cell>
          <cell r="D378" t="str">
            <v>VAT FRANSE UIENSOEP 300G</v>
          </cell>
          <cell r="E378" t="str">
            <v>VAT, soep monoportie</v>
          </cell>
          <cell r="F378" t="str">
            <v>355mm</v>
          </cell>
          <cell r="G378" t="str">
            <v>C2187-1F</v>
          </cell>
          <cell r="H378">
            <v>548</v>
          </cell>
          <cell r="I378">
            <v>0.3</v>
          </cell>
          <cell r="J378" t="str">
            <v>NVT</v>
          </cell>
          <cell r="K378" t="str">
            <v>100x100 bl</v>
          </cell>
          <cell r="L378">
            <v>10</v>
          </cell>
          <cell r="M378" t="str">
            <v>H11X10</v>
          </cell>
          <cell r="N378">
            <v>105</v>
          </cell>
          <cell r="O378">
            <v>8717568246253</v>
          </cell>
          <cell r="P378" t="str">
            <v>2T</v>
          </cell>
          <cell r="Q378">
            <v>1</v>
          </cell>
          <cell r="R378">
            <v>3</v>
          </cell>
          <cell r="S378" t="str">
            <v>idem 63597200</v>
          </cell>
          <cell r="T378">
            <v>1750</v>
          </cell>
          <cell r="U378">
            <v>1</v>
          </cell>
          <cell r="V378">
            <v>1750</v>
          </cell>
          <cell r="W378">
            <v>1</v>
          </cell>
          <cell r="X378">
            <v>0</v>
          </cell>
          <cell r="Y378">
            <v>0</v>
          </cell>
          <cell r="Z378">
            <v>0</v>
          </cell>
          <cell r="AA378" t="str">
            <v>! ! !</v>
          </cell>
          <cell r="AB378">
            <v>1000</v>
          </cell>
          <cell r="AC378">
            <v>0</v>
          </cell>
          <cell r="AJ378" t="str">
            <v>-</v>
          </cell>
          <cell r="AK378" t="str">
            <v>Ja</v>
          </cell>
          <cell r="AL378">
            <v>0</v>
          </cell>
          <cell r="AM378">
            <v>1750</v>
          </cell>
          <cell r="AN378" t="e">
            <v>#VALUE!</v>
          </cell>
          <cell r="AO378" t="e">
            <v>#VALUE!</v>
          </cell>
          <cell r="AP378">
            <v>-1750</v>
          </cell>
        </row>
        <row r="379">
          <cell r="A379">
            <v>64210000</v>
          </cell>
          <cell r="B379">
            <v>40230500</v>
          </cell>
          <cell r="C379">
            <v>6537750</v>
          </cell>
          <cell r="D379" t="str">
            <v>COOP LASAGNE BOLOGNAISE RUND 500G</v>
          </cell>
          <cell r="E379" t="str">
            <v>Coop CH</v>
          </cell>
          <cell r="F379" t="str">
            <v>355mm</v>
          </cell>
          <cell r="G379" t="str">
            <v>UK-59</v>
          </cell>
          <cell r="H379">
            <v>365</v>
          </cell>
          <cell r="I379">
            <v>0.5</v>
          </cell>
          <cell r="J379" t="str">
            <v>H22</v>
          </cell>
          <cell r="K379" t="str">
            <v>NVT</v>
          </cell>
          <cell r="L379">
            <v>10</v>
          </cell>
          <cell r="M379" t="str">
            <v>H22X10</v>
          </cell>
          <cell r="N379">
            <v>84</v>
          </cell>
          <cell r="O379">
            <v>7624841328548</v>
          </cell>
          <cell r="P379" t="str">
            <v>4T-H-K</v>
          </cell>
          <cell r="Q379">
            <v>2</v>
          </cell>
          <cell r="R379">
            <v>2</v>
          </cell>
          <cell r="T379">
            <v>2500</v>
          </cell>
          <cell r="U379">
            <v>6</v>
          </cell>
          <cell r="V379">
            <v>2500</v>
          </cell>
          <cell r="W379">
            <v>6</v>
          </cell>
          <cell r="X379">
            <v>0</v>
          </cell>
          <cell r="Y379">
            <v>0</v>
          </cell>
          <cell r="Z379">
            <v>0.17</v>
          </cell>
          <cell r="AA379" t="str">
            <v>! ! !</v>
          </cell>
          <cell r="AB379">
            <v>19900</v>
          </cell>
          <cell r="AC379">
            <v>0</v>
          </cell>
          <cell r="AG379">
            <v>50</v>
          </cell>
          <cell r="AJ379" t="str">
            <v>-</v>
          </cell>
          <cell r="AK379" t="str">
            <v>ja</v>
          </cell>
          <cell r="AL379">
            <v>3000</v>
          </cell>
          <cell r="AM379">
            <v>2500</v>
          </cell>
          <cell r="AN379" t="e">
            <v>#VALUE!</v>
          </cell>
          <cell r="AO379" t="e">
            <v>#VALUE!</v>
          </cell>
          <cell r="AP379">
            <v>500</v>
          </cell>
        </row>
        <row r="380">
          <cell r="A380">
            <v>64223900</v>
          </cell>
          <cell r="B380">
            <v>40260200</v>
          </cell>
          <cell r="C380">
            <v>3306669</v>
          </cell>
          <cell r="D380" t="str">
            <v>BOF FR ALASKA POLLAK MSC CITROENSAUS RIJST 300G</v>
          </cell>
          <cell r="E380" t="str">
            <v>Bofrost FR</v>
          </cell>
          <cell r="F380" t="str">
            <v>355mm</v>
          </cell>
          <cell r="G380" t="str">
            <v>UK-59</v>
          </cell>
          <cell r="H380">
            <v>365</v>
          </cell>
          <cell r="I380">
            <v>0.3</v>
          </cell>
          <cell r="J380" t="str">
            <v>H22</v>
          </cell>
          <cell r="K380" t="str">
            <v>NVT</v>
          </cell>
          <cell r="L380">
            <v>6</v>
          </cell>
          <cell r="M380" t="str">
            <v>Shrink H22 X 6</v>
          </cell>
          <cell r="N380">
            <v>176</v>
          </cell>
          <cell r="O380">
            <v>5400870422394</v>
          </cell>
          <cell r="P380" t="str">
            <v>L-2T</v>
          </cell>
          <cell r="Q380">
            <v>2</v>
          </cell>
          <cell r="R380">
            <v>2</v>
          </cell>
          <cell r="S380" t="str">
            <v xml:space="preserve"> RIJST D-1 -ALASKA POLLAK verzagen (90g)</v>
          </cell>
          <cell r="T380">
            <v>3200</v>
          </cell>
          <cell r="U380">
            <v>7</v>
          </cell>
          <cell r="V380">
            <v>3200</v>
          </cell>
          <cell r="W380">
            <v>7</v>
          </cell>
          <cell r="X380" t="str">
            <v>X</v>
          </cell>
          <cell r="Y380">
            <v>0</v>
          </cell>
          <cell r="Z380">
            <v>3.3000000000000002E-2</v>
          </cell>
          <cell r="AA380" t="str">
            <v>! ! ! !</v>
          </cell>
          <cell r="AB380">
            <v>5000</v>
          </cell>
          <cell r="AC380">
            <v>0</v>
          </cell>
          <cell r="AG380">
            <v>68</v>
          </cell>
          <cell r="AJ380" t="str">
            <v>V-A</v>
          </cell>
          <cell r="AL380">
            <v>4080</v>
          </cell>
          <cell r="AM380">
            <v>3200</v>
          </cell>
          <cell r="AN380" t="e">
            <v>#VALUE!</v>
          </cell>
          <cell r="AO380" t="e">
            <v>#VALUE!</v>
          </cell>
          <cell r="AP380">
            <v>880</v>
          </cell>
        </row>
        <row r="381">
          <cell r="A381">
            <v>64224000</v>
          </cell>
          <cell r="B381">
            <v>40260500</v>
          </cell>
          <cell r="C381">
            <v>3316223</v>
          </cell>
          <cell r="D381" t="str">
            <v>BOF FR BOEUF BOURGUIGNON AARD ECRASSEE 320G</v>
          </cell>
          <cell r="E381" t="str">
            <v>Bofrost FR</v>
          </cell>
          <cell r="F381" t="str">
            <v>355mm</v>
          </cell>
          <cell r="G381" t="str">
            <v>UK-59</v>
          </cell>
          <cell r="H381">
            <v>365</v>
          </cell>
          <cell r="I381">
            <v>0.32</v>
          </cell>
          <cell r="J381" t="str">
            <v>H22</v>
          </cell>
          <cell r="K381" t="str">
            <v>NVT</v>
          </cell>
          <cell r="L381">
            <v>6</v>
          </cell>
          <cell r="M381" t="str">
            <v>Shrink H22 X 6</v>
          </cell>
          <cell r="N381">
            <v>176</v>
          </cell>
          <cell r="O381">
            <v>5400870422400</v>
          </cell>
          <cell r="P381" t="str">
            <v>I-2H-2T</v>
          </cell>
          <cell r="Q381">
            <v>2</v>
          </cell>
          <cell r="R381">
            <v>2</v>
          </cell>
          <cell r="T381">
            <v>3200</v>
          </cell>
          <cell r="U381">
            <v>5</v>
          </cell>
          <cell r="V381">
            <v>3200</v>
          </cell>
          <cell r="W381">
            <v>5</v>
          </cell>
          <cell r="X381" t="str">
            <v>X</v>
          </cell>
          <cell r="Y381">
            <v>0</v>
          </cell>
          <cell r="Z381">
            <v>3.3000000000000002E-2</v>
          </cell>
          <cell r="AA381" t="str">
            <v>! !</v>
          </cell>
          <cell r="AB381">
            <v>5000</v>
          </cell>
          <cell r="AC381">
            <v>0</v>
          </cell>
          <cell r="AG381">
            <v>68</v>
          </cell>
          <cell r="AJ381" t="str">
            <v>V-A</v>
          </cell>
          <cell r="AL381">
            <v>4080</v>
          </cell>
          <cell r="AM381">
            <v>3200</v>
          </cell>
          <cell r="AN381" t="e">
            <v>#VALUE!</v>
          </cell>
          <cell r="AO381" t="e">
            <v>#VALUE!</v>
          </cell>
          <cell r="AP381">
            <v>880</v>
          </cell>
        </row>
        <row r="382">
          <cell r="A382">
            <v>64224100</v>
          </cell>
          <cell r="B382">
            <v>40260600</v>
          </cell>
          <cell r="C382">
            <v>9916240</v>
          </cell>
          <cell r="D382" t="str">
            <v>BOF FR WITLOOF HAM KAAS 320G</v>
          </cell>
          <cell r="E382" t="str">
            <v>Bofrost FR</v>
          </cell>
          <cell r="F382" t="str">
            <v>355mm</v>
          </cell>
          <cell r="G382" t="str">
            <v>UK-59</v>
          </cell>
          <cell r="H382">
            <v>365</v>
          </cell>
          <cell r="I382">
            <v>0.32</v>
          </cell>
          <cell r="J382" t="str">
            <v>H22</v>
          </cell>
          <cell r="K382" t="str">
            <v>NVT</v>
          </cell>
          <cell r="L382">
            <v>6</v>
          </cell>
          <cell r="M382" t="str">
            <v>Shrink H22 X 6</v>
          </cell>
          <cell r="N382">
            <v>176</v>
          </cell>
          <cell r="O382">
            <v>5400870422417</v>
          </cell>
          <cell r="P382" t="str">
            <v>2T-K</v>
          </cell>
          <cell r="Q382">
            <v>1</v>
          </cell>
          <cell r="R382">
            <v>2</v>
          </cell>
          <cell r="S382" t="str">
            <v>HAM snijden</v>
          </cell>
          <cell r="T382">
            <v>1500</v>
          </cell>
          <cell r="U382">
            <v>10</v>
          </cell>
          <cell r="V382">
            <v>1500</v>
          </cell>
          <cell r="W382">
            <v>10</v>
          </cell>
          <cell r="X382" t="str">
            <v>X</v>
          </cell>
          <cell r="Y382" t="str">
            <v>X</v>
          </cell>
          <cell r="Z382">
            <v>3.3000000000000002E-2</v>
          </cell>
          <cell r="AA382" t="str">
            <v>! !</v>
          </cell>
          <cell r="AB382">
            <v>6000</v>
          </cell>
          <cell r="AC382">
            <v>0.16036363636363637</v>
          </cell>
          <cell r="AG382">
            <v>32</v>
          </cell>
          <cell r="AJ382" t="str">
            <v>V-A</v>
          </cell>
          <cell r="AL382">
            <v>1920</v>
          </cell>
          <cell r="AM382">
            <v>1500</v>
          </cell>
          <cell r="AN382" t="e">
            <v>#VALUE!</v>
          </cell>
          <cell r="AO382" t="e">
            <v>#VALUE!</v>
          </cell>
          <cell r="AP382">
            <v>420</v>
          </cell>
        </row>
        <row r="383">
          <cell r="A383">
            <v>64224200</v>
          </cell>
          <cell r="B383">
            <v>40260700</v>
          </cell>
          <cell r="C383">
            <v>9916241</v>
          </cell>
          <cell r="D383" t="str">
            <v>BOF FR KIP CURRY BASMATI RODE RIJST 320G</v>
          </cell>
          <cell r="E383" t="str">
            <v>Bofrost FR</v>
          </cell>
          <cell r="F383" t="str">
            <v>355mm</v>
          </cell>
          <cell r="G383" t="str">
            <v>UK-59</v>
          </cell>
          <cell r="H383">
            <v>456</v>
          </cell>
          <cell r="I383">
            <v>0.32</v>
          </cell>
          <cell r="J383" t="str">
            <v>H22</v>
          </cell>
          <cell r="K383" t="str">
            <v>NVT</v>
          </cell>
          <cell r="L383">
            <v>6</v>
          </cell>
          <cell r="M383" t="str">
            <v>Shrink H22 X 6</v>
          </cell>
          <cell r="N383">
            <v>176</v>
          </cell>
          <cell r="O383">
            <v>5400870422424</v>
          </cell>
          <cell r="P383" t="str">
            <v>I-L-2T</v>
          </cell>
          <cell r="Q383">
            <v>2</v>
          </cell>
          <cell r="R383">
            <v>2</v>
          </cell>
          <cell r="S383" t="str">
            <v>Rode rijst D-1</v>
          </cell>
          <cell r="T383">
            <v>3200</v>
          </cell>
          <cell r="U383">
            <v>5</v>
          </cell>
          <cell r="V383">
            <v>3200</v>
          </cell>
          <cell r="W383">
            <v>5</v>
          </cell>
          <cell r="X383" t="str">
            <v>X</v>
          </cell>
          <cell r="Y383" t="str">
            <v>X</v>
          </cell>
          <cell r="Z383">
            <v>3.3000000000000002E-2</v>
          </cell>
          <cell r="AA383" t="str">
            <v>! !</v>
          </cell>
          <cell r="AB383">
            <v>4500</v>
          </cell>
          <cell r="AC383">
            <v>0</v>
          </cell>
          <cell r="AG383">
            <v>64</v>
          </cell>
          <cell r="AJ383" t="str">
            <v>-</v>
          </cell>
          <cell r="AL383">
            <v>3840</v>
          </cell>
          <cell r="AM383">
            <v>3200</v>
          </cell>
          <cell r="AN383" t="e">
            <v>#VALUE!</v>
          </cell>
          <cell r="AO383" t="e">
            <v>#VALUE!</v>
          </cell>
          <cell r="AP383">
            <v>640</v>
          </cell>
        </row>
        <row r="384">
          <cell r="A384">
            <v>64224300</v>
          </cell>
          <cell r="B384">
            <v>40260800</v>
          </cell>
          <cell r="C384">
            <v>9916242</v>
          </cell>
          <cell r="D384" t="str">
            <v>BOF FR MOUSSAKA 320G</v>
          </cell>
          <cell r="E384" t="str">
            <v>Bofrost FR</v>
          </cell>
          <cell r="F384" t="str">
            <v>355mm</v>
          </cell>
          <cell r="G384" t="str">
            <v>UK-59</v>
          </cell>
          <cell r="H384">
            <v>365</v>
          </cell>
          <cell r="I384">
            <v>0.32</v>
          </cell>
          <cell r="J384" t="str">
            <v>H22</v>
          </cell>
          <cell r="K384" t="str">
            <v>NVT</v>
          </cell>
          <cell r="L384">
            <v>6</v>
          </cell>
          <cell r="M384" t="str">
            <v>Shrink H22 X 6</v>
          </cell>
          <cell r="N384">
            <v>176</v>
          </cell>
          <cell r="O384">
            <v>5400870422431</v>
          </cell>
          <cell r="P384" t="str">
            <v>4T</v>
          </cell>
          <cell r="Q384">
            <v>2</v>
          </cell>
          <cell r="R384">
            <v>2</v>
          </cell>
          <cell r="T384">
            <v>3200</v>
          </cell>
          <cell r="U384">
            <v>6</v>
          </cell>
          <cell r="V384">
            <v>3200</v>
          </cell>
          <cell r="W384">
            <v>6</v>
          </cell>
          <cell r="X384" t="str">
            <v>X</v>
          </cell>
          <cell r="Y384" t="str">
            <v>X</v>
          </cell>
          <cell r="Z384">
            <v>3.3000000000000002E-2</v>
          </cell>
          <cell r="AA384" t="str">
            <v>! !</v>
          </cell>
          <cell r="AB384">
            <v>6000</v>
          </cell>
          <cell r="AC384">
            <v>0</v>
          </cell>
          <cell r="AG384">
            <v>64</v>
          </cell>
          <cell r="AJ384" t="str">
            <v>-</v>
          </cell>
          <cell r="AL384">
            <v>3840</v>
          </cell>
          <cell r="AM384">
            <v>3200</v>
          </cell>
          <cell r="AN384" t="e">
            <v>#VALUE!</v>
          </cell>
          <cell r="AO384" t="e">
            <v>#VALUE!</v>
          </cell>
          <cell r="AP384">
            <v>640</v>
          </cell>
        </row>
        <row r="385">
          <cell r="A385">
            <v>64224400</v>
          </cell>
          <cell r="B385">
            <v>40261000</v>
          </cell>
          <cell r="C385">
            <v>9916243</v>
          </cell>
          <cell r="D385" t="str">
            <v>BOF FR ZWARTE PENS APPELCOMPOTE PUREE 320G</v>
          </cell>
          <cell r="E385" t="str">
            <v>Bofrost FR</v>
          </cell>
          <cell r="F385" t="str">
            <v>355mm</v>
          </cell>
          <cell r="G385" t="str">
            <v>UK-59</v>
          </cell>
          <cell r="H385">
            <v>365</v>
          </cell>
          <cell r="I385">
            <v>0.32</v>
          </cell>
          <cell r="J385" t="str">
            <v>H22</v>
          </cell>
          <cell r="K385" t="str">
            <v>NVT</v>
          </cell>
          <cell r="L385">
            <v>6</v>
          </cell>
          <cell r="M385" t="str">
            <v>Shrink H22 X 6</v>
          </cell>
          <cell r="N385">
            <v>176</v>
          </cell>
          <cell r="O385">
            <v>5400870422448</v>
          </cell>
          <cell r="P385" t="str">
            <v>2H-2T</v>
          </cell>
          <cell r="Q385">
            <v>2</v>
          </cell>
          <cell r="R385">
            <v>2</v>
          </cell>
          <cell r="T385">
            <v>3200</v>
          </cell>
          <cell r="U385">
            <v>4</v>
          </cell>
          <cell r="V385">
            <v>3200</v>
          </cell>
          <cell r="W385">
            <v>4</v>
          </cell>
          <cell r="X385" t="str">
            <v>X</v>
          </cell>
          <cell r="Y385" t="str">
            <v>X</v>
          </cell>
          <cell r="Z385">
            <v>3.3000000000000002E-2</v>
          </cell>
          <cell r="AA385" t="str">
            <v>! ! !</v>
          </cell>
          <cell r="AB385">
            <v>4000</v>
          </cell>
          <cell r="AC385">
            <v>0</v>
          </cell>
          <cell r="AG385">
            <v>68</v>
          </cell>
          <cell r="AJ385" t="str">
            <v>V-A</v>
          </cell>
          <cell r="AL385">
            <v>4080</v>
          </cell>
          <cell r="AM385">
            <v>3200</v>
          </cell>
          <cell r="AN385" t="e">
            <v>#VALUE!</v>
          </cell>
          <cell r="AO385" t="e">
            <v>#VALUE!</v>
          </cell>
          <cell r="AP385">
            <v>880</v>
          </cell>
        </row>
        <row r="386">
          <cell r="A386">
            <v>64224500</v>
          </cell>
          <cell r="B386">
            <v>40261100</v>
          </cell>
          <cell r="C386">
            <v>9916244</v>
          </cell>
          <cell r="D386" t="str">
            <v>BOF FR SPAGHETTI BOLOGNAISE 320G</v>
          </cell>
          <cell r="E386" t="str">
            <v>Bofrost FR</v>
          </cell>
          <cell r="F386" t="str">
            <v>355mm</v>
          </cell>
          <cell r="G386" t="str">
            <v>UK-59</v>
          </cell>
          <cell r="H386">
            <v>365</v>
          </cell>
          <cell r="I386">
            <v>0.32</v>
          </cell>
          <cell r="J386" t="str">
            <v>H22</v>
          </cell>
          <cell r="K386" t="str">
            <v>NVT</v>
          </cell>
          <cell r="L386">
            <v>6</v>
          </cell>
          <cell r="M386" t="str">
            <v>Shrink H22 X 6</v>
          </cell>
          <cell r="N386">
            <v>176</v>
          </cell>
          <cell r="O386">
            <v>5400870422455</v>
          </cell>
          <cell r="P386" t="str">
            <v>L-2T</v>
          </cell>
          <cell r="Q386">
            <v>2</v>
          </cell>
          <cell r="R386">
            <v>2</v>
          </cell>
          <cell r="T386">
            <v>3200</v>
          </cell>
          <cell r="U386">
            <v>5</v>
          </cell>
          <cell r="V386">
            <v>3200</v>
          </cell>
          <cell r="W386">
            <v>5</v>
          </cell>
          <cell r="X386" t="str">
            <v>X</v>
          </cell>
          <cell r="Y386" t="str">
            <v>X</v>
          </cell>
          <cell r="Z386">
            <v>3.3000000000000002E-2</v>
          </cell>
          <cell r="AA386" t="str">
            <v>! !</v>
          </cell>
          <cell r="AB386">
            <v>4000</v>
          </cell>
          <cell r="AC386">
            <v>0</v>
          </cell>
          <cell r="AG386">
            <v>64</v>
          </cell>
          <cell r="AJ386" t="str">
            <v>-</v>
          </cell>
          <cell r="AL386">
            <v>3840</v>
          </cell>
          <cell r="AM386">
            <v>3200</v>
          </cell>
          <cell r="AN386" t="e">
            <v>#VALUE!</v>
          </cell>
          <cell r="AO386" t="e">
            <v>#VALUE!</v>
          </cell>
          <cell r="AP386">
            <v>640</v>
          </cell>
        </row>
        <row r="387">
          <cell r="A387">
            <v>64224600</v>
          </cell>
          <cell r="B387">
            <v>40261200</v>
          </cell>
          <cell r="C387">
            <v>9916235</v>
          </cell>
          <cell r="D387" t="str">
            <v>BOF FR KALFSBLANKET RIJST 320G</v>
          </cell>
          <cell r="E387" t="str">
            <v>Bofrost FR</v>
          </cell>
          <cell r="F387" t="str">
            <v>355mm</v>
          </cell>
          <cell r="G387" t="str">
            <v>UK-59</v>
          </cell>
          <cell r="H387">
            <v>456</v>
          </cell>
          <cell r="I387">
            <v>0.32</v>
          </cell>
          <cell r="J387" t="str">
            <v>H22</v>
          </cell>
          <cell r="K387" t="str">
            <v>NVT</v>
          </cell>
          <cell r="L387">
            <v>6</v>
          </cell>
          <cell r="M387" t="str">
            <v>Shrink H22 X 6</v>
          </cell>
          <cell r="N387">
            <v>176</v>
          </cell>
          <cell r="O387">
            <v>5400870422462</v>
          </cell>
          <cell r="P387" t="str">
            <v>L-T</v>
          </cell>
          <cell r="Q387">
            <v>1</v>
          </cell>
          <cell r="R387">
            <v>2</v>
          </cell>
          <cell r="S387" t="str">
            <v>KALFSBLANKET (vacuumzakken) + RIJST D-1</v>
          </cell>
          <cell r="T387">
            <v>2200</v>
          </cell>
          <cell r="U387">
            <v>8</v>
          </cell>
          <cell r="V387">
            <v>2200</v>
          </cell>
          <cell r="W387">
            <v>8</v>
          </cell>
          <cell r="X387">
            <v>0</v>
          </cell>
          <cell r="Y387">
            <v>0</v>
          </cell>
          <cell r="Z387">
            <v>3.3000000000000002E-2</v>
          </cell>
          <cell r="AA387" t="str">
            <v>! !</v>
          </cell>
          <cell r="AB387">
            <v>5000</v>
          </cell>
          <cell r="AC387">
            <v>0</v>
          </cell>
          <cell r="AG387">
            <v>45</v>
          </cell>
          <cell r="AJ387" t="str">
            <v>V-A</v>
          </cell>
          <cell r="AL387">
            <v>2700</v>
          </cell>
          <cell r="AM387">
            <v>2200</v>
          </cell>
          <cell r="AN387" t="e">
            <v>#VALUE!</v>
          </cell>
          <cell r="AO387" t="e">
            <v>#VALUE!</v>
          </cell>
          <cell r="AP387">
            <v>500</v>
          </cell>
        </row>
        <row r="388">
          <cell r="A388">
            <v>64224700</v>
          </cell>
          <cell r="B388">
            <v>40261300</v>
          </cell>
          <cell r="C388">
            <v>9916236</v>
          </cell>
          <cell r="D388" t="str">
            <v>BOF FR TAGLIATELLE CARBONARA 320G</v>
          </cell>
          <cell r="E388" t="str">
            <v>Bofrost FR</v>
          </cell>
          <cell r="F388" t="str">
            <v>355mm</v>
          </cell>
          <cell r="G388" t="str">
            <v>UK-59</v>
          </cell>
          <cell r="H388">
            <v>365</v>
          </cell>
          <cell r="I388">
            <v>0.32</v>
          </cell>
          <cell r="J388" t="str">
            <v>H22</v>
          </cell>
          <cell r="K388" t="str">
            <v>NVT</v>
          </cell>
          <cell r="L388">
            <v>6</v>
          </cell>
          <cell r="M388" t="str">
            <v>Shrink H22 X 6</v>
          </cell>
          <cell r="N388">
            <v>176</v>
          </cell>
          <cell r="O388">
            <v>5400870422479</v>
          </cell>
          <cell r="P388" t="str">
            <v>L-2T-K</v>
          </cell>
          <cell r="Q388">
            <v>2</v>
          </cell>
          <cell r="R388">
            <v>2</v>
          </cell>
          <cell r="T388">
            <v>3200</v>
          </cell>
          <cell r="U388">
            <v>4</v>
          </cell>
          <cell r="V388">
            <v>3200</v>
          </cell>
          <cell r="W388">
            <v>4</v>
          </cell>
          <cell r="X388" t="str">
            <v>X</v>
          </cell>
          <cell r="Y388" t="str">
            <v>X</v>
          </cell>
          <cell r="Z388">
            <v>3.3000000000000002E-2</v>
          </cell>
          <cell r="AA388" t="str">
            <v>! !</v>
          </cell>
          <cell r="AB388">
            <v>4500</v>
          </cell>
          <cell r="AC388">
            <v>0</v>
          </cell>
          <cell r="AG388">
            <v>64</v>
          </cell>
          <cell r="AJ388" t="str">
            <v>V-A</v>
          </cell>
          <cell r="AL388">
            <v>3840</v>
          </cell>
          <cell r="AM388">
            <v>3200</v>
          </cell>
          <cell r="AN388" t="e">
            <v>#VALUE!</v>
          </cell>
          <cell r="AO388" t="e">
            <v>#VALUE!</v>
          </cell>
          <cell r="AP388">
            <v>640</v>
          </cell>
        </row>
        <row r="389">
          <cell r="A389">
            <v>64224800</v>
          </cell>
          <cell r="B389">
            <v>40261600</v>
          </cell>
          <cell r="C389">
            <v>9916253</v>
          </cell>
          <cell r="D389" t="str">
            <v xml:space="preserve">BOF FR KIP TANDOORI RIJST 320G </v>
          </cell>
          <cell r="E389" t="str">
            <v>Bofrost FR</v>
          </cell>
          <cell r="F389" t="str">
            <v>355mm</v>
          </cell>
          <cell r="G389" t="str">
            <v>UK-59</v>
          </cell>
          <cell r="H389">
            <v>456</v>
          </cell>
          <cell r="I389">
            <v>0.32</v>
          </cell>
          <cell r="J389" t="str">
            <v>H22</v>
          </cell>
          <cell r="K389" t="str">
            <v>NVT</v>
          </cell>
          <cell r="L389">
            <v>6</v>
          </cell>
          <cell r="M389" t="str">
            <v>Shrink H22 X 6</v>
          </cell>
          <cell r="N389">
            <v>176</v>
          </cell>
          <cell r="O389">
            <v>5400870422486</v>
          </cell>
          <cell r="P389" t="str">
            <v>L-I-2T</v>
          </cell>
          <cell r="Q389">
            <v>2</v>
          </cell>
          <cell r="R389">
            <v>2</v>
          </cell>
          <cell r="T389">
            <v>3000</v>
          </cell>
          <cell r="U389">
            <v>5</v>
          </cell>
          <cell r="V389">
            <v>3000</v>
          </cell>
          <cell r="W389">
            <v>5</v>
          </cell>
          <cell r="X389">
            <v>0</v>
          </cell>
          <cell r="Y389">
            <v>0</v>
          </cell>
          <cell r="Z389">
            <v>3.3000000000000002E-2</v>
          </cell>
          <cell r="AA389" t="str">
            <v>! !</v>
          </cell>
          <cell r="AB389">
            <v>3000</v>
          </cell>
          <cell r="AC389">
            <v>0</v>
          </cell>
          <cell r="AG389">
            <v>68</v>
          </cell>
          <cell r="AJ389" t="str">
            <v>-</v>
          </cell>
          <cell r="AL389">
            <v>4080</v>
          </cell>
          <cell r="AM389">
            <v>3000</v>
          </cell>
          <cell r="AN389" t="e">
            <v>#VALUE!</v>
          </cell>
          <cell r="AO389" t="e">
            <v>#VALUE!</v>
          </cell>
          <cell r="AP389">
            <v>1080</v>
          </cell>
        </row>
        <row r="390">
          <cell r="A390">
            <v>64224900</v>
          </cell>
          <cell r="B390">
            <v>40261700</v>
          </cell>
          <cell r="C390">
            <v>9916256</v>
          </cell>
          <cell r="D390" t="str">
            <v>BOF FR RISOTTO KIP BOSCHAMPIGNON 320G</v>
          </cell>
          <cell r="E390" t="str">
            <v>Bofrost FR</v>
          </cell>
          <cell r="F390" t="str">
            <v>355mm</v>
          </cell>
          <cell r="G390" t="str">
            <v>UK-59</v>
          </cell>
          <cell r="H390">
            <v>456</v>
          </cell>
          <cell r="I390">
            <v>0.32</v>
          </cell>
          <cell r="J390" t="str">
            <v>H22</v>
          </cell>
          <cell r="K390" t="str">
            <v>NVT</v>
          </cell>
          <cell r="L390">
            <v>6</v>
          </cell>
          <cell r="M390" t="str">
            <v>Shrink H22 X 6</v>
          </cell>
          <cell r="N390">
            <v>176</v>
          </cell>
          <cell r="O390">
            <v>5400870422493</v>
          </cell>
          <cell r="P390" t="str">
            <v>I-L-2T-K</v>
          </cell>
          <cell r="Q390">
            <v>3</v>
          </cell>
          <cell r="R390">
            <v>2</v>
          </cell>
          <cell r="T390">
            <v>3000</v>
          </cell>
          <cell r="U390">
            <v>5</v>
          </cell>
          <cell r="V390">
            <v>3000</v>
          </cell>
          <cell r="W390">
            <v>5</v>
          </cell>
          <cell r="X390">
            <v>0</v>
          </cell>
          <cell r="Y390">
            <v>0</v>
          </cell>
          <cell r="Z390">
            <v>3.3000000000000002E-2</v>
          </cell>
          <cell r="AA390" t="str">
            <v>! !</v>
          </cell>
          <cell r="AB390">
            <v>5000</v>
          </cell>
          <cell r="AC390">
            <v>0</v>
          </cell>
          <cell r="AG390">
            <v>68</v>
          </cell>
          <cell r="AJ390" t="str">
            <v>-</v>
          </cell>
          <cell r="AL390">
            <v>4080</v>
          </cell>
          <cell r="AM390">
            <v>3000</v>
          </cell>
          <cell r="AN390" t="e">
            <v>#VALUE!</v>
          </cell>
          <cell r="AO390" t="e">
            <v>#VALUE!</v>
          </cell>
          <cell r="AP390">
            <v>1080</v>
          </cell>
        </row>
        <row r="391">
          <cell r="A391">
            <v>64225000</v>
          </cell>
          <cell r="B391">
            <v>40261800</v>
          </cell>
          <cell r="C391">
            <v>9916258</v>
          </cell>
          <cell r="D391" t="str">
            <v>BOF FR KIP KORMA RIJST 320G</v>
          </cell>
          <cell r="E391" t="str">
            <v>Bofrost FR</v>
          </cell>
          <cell r="F391" t="str">
            <v>355mm</v>
          </cell>
          <cell r="G391" t="str">
            <v>UK-59</v>
          </cell>
          <cell r="H391">
            <v>456</v>
          </cell>
          <cell r="I391">
            <v>0.32</v>
          </cell>
          <cell r="J391" t="str">
            <v>H22</v>
          </cell>
          <cell r="K391" t="str">
            <v>NVT</v>
          </cell>
          <cell r="L391">
            <v>6</v>
          </cell>
          <cell r="M391" t="str">
            <v>Shrink H22 X 6</v>
          </cell>
          <cell r="N391">
            <v>176</v>
          </cell>
          <cell r="O391">
            <v>5400870422509</v>
          </cell>
          <cell r="P391" t="str">
            <v>L-I-2T</v>
          </cell>
          <cell r="Q391">
            <v>3</v>
          </cell>
          <cell r="R391">
            <v>2</v>
          </cell>
          <cell r="T391">
            <v>3200</v>
          </cell>
          <cell r="U391">
            <v>5</v>
          </cell>
          <cell r="V391">
            <v>3200</v>
          </cell>
          <cell r="W391">
            <v>5</v>
          </cell>
          <cell r="X391">
            <v>0</v>
          </cell>
          <cell r="Y391">
            <v>0</v>
          </cell>
          <cell r="Z391">
            <v>3.3000000000000002E-2</v>
          </cell>
          <cell r="AA391" t="str">
            <v>! ! ! ! !</v>
          </cell>
          <cell r="AB391">
            <v>4000</v>
          </cell>
          <cell r="AC391">
            <v>0</v>
          </cell>
          <cell r="AG391">
            <v>68</v>
          </cell>
          <cell r="AJ391" t="str">
            <v>-</v>
          </cell>
          <cell r="AL391">
            <v>4080</v>
          </cell>
          <cell r="AM391">
            <v>3200</v>
          </cell>
          <cell r="AN391" t="e">
            <v>#VALUE!</v>
          </cell>
          <cell r="AO391" t="e">
            <v>#VALUE!</v>
          </cell>
          <cell r="AP391">
            <v>880</v>
          </cell>
        </row>
        <row r="392">
          <cell r="A392">
            <v>64225100</v>
          </cell>
          <cell r="B392">
            <v>40237300</v>
          </cell>
          <cell r="C392">
            <v>3316276</v>
          </cell>
          <cell r="D392" t="str">
            <v>BOF FR COQUILLES MSC RIJSTMIX PREIROOM 320G</v>
          </cell>
          <cell r="E392" t="str">
            <v>Bofrost FR</v>
          </cell>
          <cell r="F392" t="str">
            <v>355mm</v>
          </cell>
          <cell r="G392" t="str">
            <v>UK-59</v>
          </cell>
          <cell r="H392">
            <v>456</v>
          </cell>
          <cell r="I392">
            <v>0.32</v>
          </cell>
          <cell r="J392" t="str">
            <v>H22</v>
          </cell>
          <cell r="K392" t="str">
            <v>NVT</v>
          </cell>
          <cell r="L392">
            <v>6</v>
          </cell>
          <cell r="M392" t="str">
            <v>Shrink H22 X 6</v>
          </cell>
          <cell r="N392">
            <v>176</v>
          </cell>
          <cell r="O392">
            <v>5400870422516</v>
          </cell>
          <cell r="P392" t="str">
            <v>I-L-4T</v>
          </cell>
          <cell r="Q392">
            <v>3</v>
          </cell>
          <cell r="R392">
            <v>2</v>
          </cell>
          <cell r="T392">
            <v>3000</v>
          </cell>
          <cell r="U392">
            <v>6</v>
          </cell>
          <cell r="V392">
            <v>3000</v>
          </cell>
          <cell r="W392">
            <v>6</v>
          </cell>
          <cell r="X392">
            <v>0</v>
          </cell>
          <cell r="Y392">
            <v>0</v>
          </cell>
          <cell r="Z392">
            <v>3.3000000000000002E-2</v>
          </cell>
          <cell r="AA392" t="str">
            <v>! ! ! !</v>
          </cell>
          <cell r="AB392">
            <v>3000</v>
          </cell>
          <cell r="AC392">
            <v>0</v>
          </cell>
          <cell r="AG392">
            <v>68</v>
          </cell>
          <cell r="AJ392" t="str">
            <v>V-A</v>
          </cell>
          <cell r="AL392">
            <v>4080</v>
          </cell>
          <cell r="AM392">
            <v>3000</v>
          </cell>
          <cell r="AN392" t="e">
            <v>#VALUE!</v>
          </cell>
          <cell r="AO392" t="e">
            <v>#VALUE!</v>
          </cell>
          <cell r="AP392">
            <v>1080</v>
          </cell>
        </row>
        <row r="393">
          <cell r="A393">
            <v>64225200</v>
          </cell>
          <cell r="B393">
            <v>40237400</v>
          </cell>
          <cell r="C393">
            <v>3316275</v>
          </cell>
          <cell r="D393" t="str">
            <v>BOF FR LINGUINI ZALM ASC PREIROOM 320G</v>
          </cell>
          <cell r="E393" t="str">
            <v>Bofrost FR</v>
          </cell>
          <cell r="F393" t="str">
            <v>355mm</v>
          </cell>
          <cell r="G393" t="str">
            <v>UK-59</v>
          </cell>
          <cell r="H393">
            <v>456</v>
          </cell>
          <cell r="I393">
            <v>0.32</v>
          </cell>
          <cell r="J393" t="str">
            <v>H22</v>
          </cell>
          <cell r="K393" t="str">
            <v>NVT</v>
          </cell>
          <cell r="L393">
            <v>6</v>
          </cell>
          <cell r="M393" t="str">
            <v>Shrink H22 X 6</v>
          </cell>
          <cell r="N393">
            <v>176</v>
          </cell>
          <cell r="O393">
            <v>5400870422523</v>
          </cell>
          <cell r="P393" t="str">
            <v>I-L-2T</v>
          </cell>
          <cell r="Q393">
            <v>2.5</v>
          </cell>
          <cell r="R393">
            <v>2</v>
          </cell>
          <cell r="T393">
            <v>3000</v>
          </cell>
          <cell r="U393">
            <v>5</v>
          </cell>
          <cell r="V393">
            <v>3000</v>
          </cell>
          <cell r="W393">
            <v>5</v>
          </cell>
          <cell r="X393">
            <v>0</v>
          </cell>
          <cell r="Y393">
            <v>0</v>
          </cell>
          <cell r="Z393">
            <v>3.3000000000000002E-2</v>
          </cell>
          <cell r="AA393" t="str">
            <v>! ! ! !</v>
          </cell>
          <cell r="AB393">
            <v>3000</v>
          </cell>
          <cell r="AC393">
            <v>0</v>
          </cell>
          <cell r="AG393">
            <v>68</v>
          </cell>
          <cell r="AJ393" t="str">
            <v>V-A</v>
          </cell>
          <cell r="AL393">
            <v>4080</v>
          </cell>
          <cell r="AM393">
            <v>3000</v>
          </cell>
          <cell r="AN393" t="e">
            <v>#VALUE!</v>
          </cell>
          <cell r="AO393" t="e">
            <v>#VALUE!</v>
          </cell>
          <cell r="AP393">
            <v>1080</v>
          </cell>
        </row>
        <row r="394">
          <cell r="A394">
            <v>64225400</v>
          </cell>
          <cell r="B394">
            <v>40238700</v>
          </cell>
          <cell r="C394">
            <v>3316280</v>
          </cell>
          <cell r="D394" t="str">
            <v>BOF FR LINZEN GRATINSCHOTEL 320G</v>
          </cell>
          <cell r="E394" t="str">
            <v>Bofrost FR</v>
          </cell>
          <cell r="F394" t="str">
            <v>355mm</v>
          </cell>
          <cell r="G394" t="str">
            <v>UK-59</v>
          </cell>
          <cell r="H394">
            <v>456</v>
          </cell>
          <cell r="I394">
            <v>0.32</v>
          </cell>
          <cell r="J394" t="str">
            <v>H22</v>
          </cell>
          <cell r="K394" t="str">
            <v>NVT</v>
          </cell>
          <cell r="L394">
            <v>6</v>
          </cell>
          <cell r="M394" t="str">
            <v>Shrink H22 X 6</v>
          </cell>
          <cell r="N394">
            <v>176</v>
          </cell>
          <cell r="O394">
            <v>5400870422547</v>
          </cell>
          <cell r="P394" t="str">
            <v>2T-2H-K</v>
          </cell>
          <cell r="Q394">
            <v>3</v>
          </cell>
          <cell r="R394">
            <v>2</v>
          </cell>
          <cell r="S394" t="str">
            <v>LINZEN D-1</v>
          </cell>
          <cell r="T394">
            <v>3200</v>
          </cell>
          <cell r="U394">
            <v>2</v>
          </cell>
          <cell r="V394">
            <v>3200</v>
          </cell>
          <cell r="W394">
            <v>2</v>
          </cell>
          <cell r="X394">
            <v>0</v>
          </cell>
          <cell r="Y394">
            <v>0</v>
          </cell>
          <cell r="Z394">
            <v>3.3000000000000002E-2</v>
          </cell>
          <cell r="AA394" t="str">
            <v>-</v>
          </cell>
          <cell r="AB394">
            <v>3000</v>
          </cell>
          <cell r="AC394">
            <v>0</v>
          </cell>
          <cell r="AG394">
            <v>68</v>
          </cell>
          <cell r="AJ394" t="str">
            <v>-</v>
          </cell>
          <cell r="AL394">
            <v>4080</v>
          </cell>
          <cell r="AM394">
            <v>3200</v>
          </cell>
          <cell r="AN394" t="e">
            <v>#VALUE!</v>
          </cell>
          <cell r="AO394" t="e">
            <v>#VALUE!</v>
          </cell>
          <cell r="AP394">
            <v>880</v>
          </cell>
        </row>
        <row r="395">
          <cell r="A395">
            <v>64225600</v>
          </cell>
          <cell r="B395">
            <v>40240900</v>
          </cell>
          <cell r="C395">
            <v>3316289</v>
          </cell>
          <cell r="D395" t="str">
            <v>BOF FR VEG MACARONI KAASSAUS 320G</v>
          </cell>
          <cell r="E395" t="str">
            <v>Bofrost FR</v>
          </cell>
          <cell r="F395" t="str">
            <v>355mm</v>
          </cell>
          <cell r="G395" t="str">
            <v>UK-59</v>
          </cell>
          <cell r="H395">
            <v>456</v>
          </cell>
          <cell r="I395">
            <v>0.32</v>
          </cell>
          <cell r="J395" t="str">
            <v>H22</v>
          </cell>
          <cell r="K395" t="str">
            <v>NVT</v>
          </cell>
          <cell r="L395">
            <v>6</v>
          </cell>
          <cell r="M395" t="str">
            <v>Shrink H22 X 6</v>
          </cell>
          <cell r="N395">
            <v>176</v>
          </cell>
          <cell r="O395">
            <v>5400870422561</v>
          </cell>
          <cell r="P395" t="str">
            <v>L-2T-K</v>
          </cell>
          <cell r="Q395">
            <v>2</v>
          </cell>
          <cell r="R395">
            <v>2</v>
          </cell>
          <cell r="S395" t="str">
            <v xml:space="preserve">Opvolgen pasta </v>
          </cell>
          <cell r="T395">
            <v>3200</v>
          </cell>
          <cell r="U395">
            <v>3</v>
          </cell>
          <cell r="V395">
            <v>3200</v>
          </cell>
          <cell r="W395">
            <v>3</v>
          </cell>
          <cell r="X395">
            <v>0</v>
          </cell>
          <cell r="Y395">
            <v>0</v>
          </cell>
          <cell r="Z395">
            <v>3.3000000000000002E-2</v>
          </cell>
          <cell r="AA395" t="str">
            <v>! !</v>
          </cell>
          <cell r="AB395">
            <v>3000</v>
          </cell>
          <cell r="AC395">
            <v>0</v>
          </cell>
          <cell r="AG395">
            <v>68</v>
          </cell>
          <cell r="AJ395" t="str">
            <v>-</v>
          </cell>
          <cell r="AL395">
            <v>4080</v>
          </cell>
          <cell r="AM395">
            <v>3200</v>
          </cell>
          <cell r="AN395" t="e">
            <v>#VALUE!</v>
          </cell>
          <cell r="AO395" t="e">
            <v>#VALUE!</v>
          </cell>
          <cell r="AP395">
            <v>880</v>
          </cell>
        </row>
        <row r="396">
          <cell r="A396">
            <v>64225800</v>
          </cell>
          <cell r="B396">
            <v>40244400</v>
          </cell>
          <cell r="C396">
            <v>9916239</v>
          </cell>
          <cell r="D396" t="str">
            <v>BOF FR PARMENTIER EEND PUREE 348G</v>
          </cell>
          <cell r="E396" t="str">
            <v>Bofrost FR</v>
          </cell>
          <cell r="F396" t="str">
            <v>355mm</v>
          </cell>
          <cell r="G396" t="str">
            <v>UK-59</v>
          </cell>
          <cell r="H396">
            <v>365</v>
          </cell>
          <cell r="I396">
            <v>0.34799999999999998</v>
          </cell>
          <cell r="J396" t="str">
            <v>H22</v>
          </cell>
          <cell r="K396" t="str">
            <v>NVT</v>
          </cell>
          <cell r="L396">
            <v>6</v>
          </cell>
          <cell r="M396" t="str">
            <v>Shrink H22 X 6</v>
          </cell>
          <cell r="N396">
            <v>176</v>
          </cell>
          <cell r="O396">
            <v>5400870422585</v>
          </cell>
          <cell r="P396" t="str">
            <v>2T-2H-K</v>
          </cell>
          <cell r="Q396">
            <v>2</v>
          </cell>
          <cell r="R396">
            <v>2</v>
          </cell>
          <cell r="T396">
            <v>3200</v>
          </cell>
          <cell r="U396">
            <v>4</v>
          </cell>
          <cell r="V396">
            <v>3200</v>
          </cell>
          <cell r="W396">
            <v>4</v>
          </cell>
          <cell r="X396">
            <v>0</v>
          </cell>
          <cell r="Y396">
            <v>0</v>
          </cell>
          <cell r="Z396">
            <v>3.3000000000000002E-2</v>
          </cell>
          <cell r="AA396" t="str">
            <v>! !</v>
          </cell>
          <cell r="AB396">
            <v>6000</v>
          </cell>
          <cell r="AC396">
            <v>0</v>
          </cell>
          <cell r="AG396">
            <v>68</v>
          </cell>
          <cell r="AJ396" t="str">
            <v>V-A</v>
          </cell>
          <cell r="AL396">
            <v>4080</v>
          </cell>
          <cell r="AM396">
            <v>3200</v>
          </cell>
          <cell r="AN396" t="e">
            <v>#VALUE!</v>
          </cell>
          <cell r="AO396" t="e">
            <v>#VALUE!</v>
          </cell>
          <cell r="AP396">
            <v>880</v>
          </cell>
        </row>
        <row r="397">
          <cell r="A397">
            <v>64225900</v>
          </cell>
          <cell r="B397">
            <v>40245800</v>
          </cell>
          <cell r="C397">
            <v>3316296</v>
          </cell>
          <cell r="D397" t="str">
            <v>BOF FR GEHAKTBALLETJES PROVENCALE RIJST 320G</v>
          </cell>
          <cell r="E397" t="str">
            <v>Bofrost FR</v>
          </cell>
          <cell r="F397" t="str">
            <v>355mm</v>
          </cell>
          <cell r="G397" t="str">
            <v>UK-59</v>
          </cell>
          <cell r="H397">
            <v>365</v>
          </cell>
          <cell r="I397">
            <v>0.32</v>
          </cell>
          <cell r="J397" t="str">
            <v>H22</v>
          </cell>
          <cell r="K397" t="str">
            <v>NVT</v>
          </cell>
          <cell r="L397">
            <v>6</v>
          </cell>
          <cell r="M397" t="str">
            <v>Shrink H22 X 6</v>
          </cell>
          <cell r="N397">
            <v>176</v>
          </cell>
          <cell r="O397">
            <v>5400870422592</v>
          </cell>
          <cell r="P397" t="str">
            <v>I-L-2T</v>
          </cell>
          <cell r="Q397">
            <v>2</v>
          </cell>
          <cell r="R397">
            <v>2</v>
          </cell>
          <cell r="T397">
            <v>3200</v>
          </cell>
          <cell r="U397">
            <v>6</v>
          </cell>
          <cell r="V397">
            <v>3200</v>
          </cell>
          <cell r="W397">
            <v>6</v>
          </cell>
          <cell r="X397">
            <v>0</v>
          </cell>
          <cell r="Y397">
            <v>0</v>
          </cell>
          <cell r="Z397">
            <v>3.3000000000000002E-2</v>
          </cell>
          <cell r="AA397" t="str">
            <v>-</v>
          </cell>
          <cell r="AB397">
            <v>3000</v>
          </cell>
          <cell r="AC397">
            <v>0</v>
          </cell>
          <cell r="AG397">
            <v>68</v>
          </cell>
          <cell r="AJ397" t="str">
            <v>V-A</v>
          </cell>
          <cell r="AL397">
            <v>4080</v>
          </cell>
          <cell r="AM397">
            <v>3200</v>
          </cell>
          <cell r="AN397" t="e">
            <v>#VALUE!</v>
          </cell>
          <cell r="AO397" t="e">
            <v>#VALUE!</v>
          </cell>
          <cell r="AP397">
            <v>880</v>
          </cell>
        </row>
        <row r="398">
          <cell r="A398">
            <v>64226000</v>
          </cell>
          <cell r="B398">
            <v>40283300</v>
          </cell>
          <cell r="C398">
            <v>3316259</v>
          </cell>
          <cell r="D398" t="str">
            <v>BOF FR SPAGHETTI RUNDSREEPJES TERIYAKI SPITSKOOL 320G</v>
          </cell>
          <cell r="E398" t="str">
            <v>Bofrost FR</v>
          </cell>
          <cell r="F398" t="str">
            <v>355mm</v>
          </cell>
          <cell r="G398" t="str">
            <v>UK-59</v>
          </cell>
          <cell r="H398">
            <v>456</v>
          </cell>
          <cell r="I398">
            <v>0.32</v>
          </cell>
          <cell r="J398" t="str">
            <v>H22</v>
          </cell>
          <cell r="K398" t="str">
            <v>NVT</v>
          </cell>
          <cell r="L398">
            <v>6</v>
          </cell>
          <cell r="M398" t="str">
            <v>Shrink H22 X 6</v>
          </cell>
          <cell r="N398">
            <v>176</v>
          </cell>
          <cell r="O398">
            <v>5400870422608</v>
          </cell>
          <cell r="P398" t="str">
            <v>L-I-2T</v>
          </cell>
          <cell r="Q398">
            <v>3</v>
          </cell>
          <cell r="R398">
            <v>2</v>
          </cell>
          <cell r="T398">
            <v>3000</v>
          </cell>
          <cell r="U398">
            <v>9</v>
          </cell>
          <cell r="V398">
            <v>3000</v>
          </cell>
          <cell r="W398">
            <v>9</v>
          </cell>
          <cell r="X398">
            <v>0</v>
          </cell>
          <cell r="Y398">
            <v>0</v>
          </cell>
          <cell r="Z398">
            <v>3.3000000000000002E-2</v>
          </cell>
          <cell r="AA398" t="str">
            <v>! ! ! ! !</v>
          </cell>
          <cell r="AB398">
            <v>5000</v>
          </cell>
          <cell r="AC398">
            <v>0</v>
          </cell>
          <cell r="AG398">
            <v>68</v>
          </cell>
          <cell r="AJ398" t="str">
            <v>-</v>
          </cell>
          <cell r="AL398">
            <v>4080</v>
          </cell>
          <cell r="AM398">
            <v>3000</v>
          </cell>
          <cell r="AN398" t="e">
            <v>#VALUE!</v>
          </cell>
          <cell r="AO398" t="e">
            <v>#VALUE!</v>
          </cell>
          <cell r="AP398">
            <v>1080</v>
          </cell>
        </row>
        <row r="399">
          <cell r="A399">
            <v>64226100</v>
          </cell>
          <cell r="B399">
            <v>40265700</v>
          </cell>
          <cell r="C399">
            <v>3306683</v>
          </cell>
          <cell r="D399" t="str">
            <v>BOF FR ZALM ASC ZURINGSAUS RIJSTMIX 320G</v>
          </cell>
          <cell r="E399" t="str">
            <v>Bofrost FR</v>
          </cell>
          <cell r="F399" t="str">
            <v>355mm</v>
          </cell>
          <cell r="G399" t="str">
            <v>UK-59</v>
          </cell>
          <cell r="H399">
            <v>365</v>
          </cell>
          <cell r="I399">
            <v>0.32</v>
          </cell>
          <cell r="J399" t="str">
            <v>H22</v>
          </cell>
          <cell r="K399" t="str">
            <v>NVT</v>
          </cell>
          <cell r="L399">
            <v>6</v>
          </cell>
          <cell r="M399" t="str">
            <v>Shrink H22 X 6</v>
          </cell>
          <cell r="N399">
            <v>176</v>
          </cell>
          <cell r="O399">
            <v>5400870422615</v>
          </cell>
          <cell r="P399" t="str">
            <v>L-2T</v>
          </cell>
          <cell r="Q399">
            <v>2</v>
          </cell>
          <cell r="R399">
            <v>2</v>
          </cell>
          <cell r="S399" t="str">
            <v>ZALM verzagen (80g), RIJST D-1</v>
          </cell>
          <cell r="T399">
            <v>3200</v>
          </cell>
          <cell r="U399">
            <v>7</v>
          </cell>
          <cell r="V399">
            <v>3200</v>
          </cell>
          <cell r="W399">
            <v>7</v>
          </cell>
          <cell r="X399" t="str">
            <v>X</v>
          </cell>
          <cell r="Y399">
            <v>0</v>
          </cell>
          <cell r="Z399">
            <v>3.3000000000000002E-2</v>
          </cell>
          <cell r="AA399" t="str">
            <v>! ! ! !</v>
          </cell>
          <cell r="AB399">
            <v>5000</v>
          </cell>
          <cell r="AC399">
            <v>0</v>
          </cell>
          <cell r="AG399">
            <v>68</v>
          </cell>
          <cell r="AJ399" t="str">
            <v>V-A</v>
          </cell>
          <cell r="AL399">
            <v>4080</v>
          </cell>
          <cell r="AM399">
            <v>3200</v>
          </cell>
          <cell r="AN399" t="e">
            <v>#VALUE!</v>
          </cell>
          <cell r="AO399" t="e">
            <v>#VALUE!</v>
          </cell>
          <cell r="AP399">
            <v>880</v>
          </cell>
        </row>
        <row r="400">
          <cell r="A400">
            <v>64226200</v>
          </cell>
          <cell r="B400">
            <v>40273000</v>
          </cell>
          <cell r="C400">
            <v>9916902</v>
          </cell>
          <cell r="D400" t="str">
            <v>BOF FR KIP OP BASKISCHE WIJZE TAGLIATELLE 320G</v>
          </cell>
          <cell r="E400" t="str">
            <v>Bofrost FR</v>
          </cell>
          <cell r="F400" t="str">
            <v>355mm</v>
          </cell>
          <cell r="G400" t="str">
            <v>UK-59</v>
          </cell>
          <cell r="H400">
            <v>456</v>
          </cell>
          <cell r="I400">
            <v>0.32</v>
          </cell>
          <cell r="J400" t="str">
            <v>H22</v>
          </cell>
          <cell r="K400" t="str">
            <v>NVT</v>
          </cell>
          <cell r="L400">
            <v>6</v>
          </cell>
          <cell r="M400" t="str">
            <v>Shrink H22 X 6</v>
          </cell>
          <cell r="N400">
            <v>176</v>
          </cell>
          <cell r="O400">
            <v>5400870422622</v>
          </cell>
          <cell r="P400" t="str">
            <v>I-L-2T</v>
          </cell>
          <cell r="Q400">
            <v>2</v>
          </cell>
          <cell r="R400">
            <v>2</v>
          </cell>
          <cell r="T400">
            <v>3200</v>
          </cell>
          <cell r="U400">
            <v>5</v>
          </cell>
          <cell r="V400">
            <v>3200</v>
          </cell>
          <cell r="W400">
            <v>5</v>
          </cell>
          <cell r="Z400">
            <v>3.3000000000000002E-2</v>
          </cell>
          <cell r="AA400" t="str">
            <v>! !</v>
          </cell>
          <cell r="AB400">
            <v>3000</v>
          </cell>
          <cell r="AC400">
            <v>0</v>
          </cell>
          <cell r="AG400">
            <v>68</v>
          </cell>
          <cell r="AJ400" t="str">
            <v>V-A</v>
          </cell>
          <cell r="AL400">
            <v>4080</v>
          </cell>
          <cell r="AM400">
            <v>3200</v>
          </cell>
          <cell r="AN400" t="e">
            <v>#VALUE!</v>
          </cell>
          <cell r="AO400" t="e">
            <v>#VALUE!</v>
          </cell>
          <cell r="AP400">
            <v>880</v>
          </cell>
        </row>
        <row r="401">
          <cell r="A401">
            <v>64226300</v>
          </cell>
          <cell r="B401">
            <v>40274000</v>
          </cell>
          <cell r="C401">
            <v>9516904</v>
          </cell>
          <cell r="D401" t="str">
            <v>BOF FR KIP PAELLA 320G</v>
          </cell>
          <cell r="E401" t="str">
            <v>Bofrost FR</v>
          </cell>
          <cell r="F401" t="str">
            <v>355mm</v>
          </cell>
          <cell r="G401" t="str">
            <v>UK-59</v>
          </cell>
          <cell r="H401">
            <v>456</v>
          </cell>
          <cell r="I401">
            <v>0.32</v>
          </cell>
          <cell r="J401" t="str">
            <v>H22</v>
          </cell>
          <cell r="K401" t="str">
            <v>NVT</v>
          </cell>
          <cell r="L401">
            <v>6</v>
          </cell>
          <cell r="M401" t="str">
            <v>Shrink H22 X 6</v>
          </cell>
          <cell r="N401">
            <v>176</v>
          </cell>
          <cell r="O401">
            <v>5400870422639</v>
          </cell>
          <cell r="P401" t="str">
            <v>I-2T-L</v>
          </cell>
          <cell r="Q401">
            <v>2</v>
          </cell>
          <cell r="R401">
            <v>2</v>
          </cell>
          <cell r="T401">
            <v>3200</v>
          </cell>
          <cell r="U401">
            <v>4</v>
          </cell>
          <cell r="V401">
            <v>3200</v>
          </cell>
          <cell r="W401">
            <v>4</v>
          </cell>
          <cell r="X401" t="str">
            <v>X</v>
          </cell>
          <cell r="Y401" t="str">
            <v>X</v>
          </cell>
          <cell r="Z401">
            <v>3.3000000000000002E-2</v>
          </cell>
          <cell r="AA401" t="str">
            <v>! ! ! !</v>
          </cell>
          <cell r="AB401">
            <v>3000</v>
          </cell>
          <cell r="AC401">
            <v>0</v>
          </cell>
          <cell r="AG401">
            <v>68</v>
          </cell>
          <cell r="AJ401" t="str">
            <v>V-A</v>
          </cell>
          <cell r="AL401">
            <v>4080</v>
          </cell>
          <cell r="AM401">
            <v>3200</v>
          </cell>
          <cell r="AN401" t="e">
            <v>#VALUE!</v>
          </cell>
          <cell r="AO401" t="e">
            <v>#VALUE!</v>
          </cell>
          <cell r="AP401">
            <v>880</v>
          </cell>
        </row>
        <row r="402">
          <cell r="A402">
            <v>64226400</v>
          </cell>
          <cell r="B402">
            <v>40277700</v>
          </cell>
          <cell r="C402">
            <v>9916906</v>
          </cell>
          <cell r="D402" t="str">
            <v>BOF FR EW KIP PENNE VOLK GEITENKAAS SPINAZIESAUS 320G</v>
          </cell>
          <cell r="E402" t="str">
            <v>Bofrost FR</v>
          </cell>
          <cell r="F402" t="str">
            <v>355mm</v>
          </cell>
          <cell r="G402" t="str">
            <v>UK-59</v>
          </cell>
          <cell r="H402">
            <v>456</v>
          </cell>
          <cell r="I402">
            <v>0.32</v>
          </cell>
          <cell r="J402" t="str">
            <v>H22</v>
          </cell>
          <cell r="K402" t="str">
            <v>NVT</v>
          </cell>
          <cell r="L402">
            <v>6</v>
          </cell>
          <cell r="M402" t="str">
            <v>Shrink H22 X 6</v>
          </cell>
          <cell r="N402">
            <v>176</v>
          </cell>
          <cell r="O402">
            <v>5400870422646</v>
          </cell>
          <cell r="P402" t="str">
            <v>I-L-2T</v>
          </cell>
          <cell r="Q402">
            <v>2</v>
          </cell>
          <cell r="R402">
            <v>2</v>
          </cell>
          <cell r="T402">
            <v>3200</v>
          </cell>
          <cell r="U402">
            <v>4</v>
          </cell>
          <cell r="V402">
            <v>3200</v>
          </cell>
          <cell r="W402">
            <v>4</v>
          </cell>
          <cell r="X402" t="str">
            <v>X</v>
          </cell>
          <cell r="Y402" t="str">
            <v>X</v>
          </cell>
          <cell r="Z402">
            <v>3.3000000000000002E-2</v>
          </cell>
          <cell r="AA402" t="str">
            <v>! !</v>
          </cell>
          <cell r="AB402">
            <v>4000</v>
          </cell>
          <cell r="AC402">
            <v>0</v>
          </cell>
          <cell r="AG402">
            <v>68</v>
          </cell>
          <cell r="AJ402" t="str">
            <v>-</v>
          </cell>
          <cell r="AL402">
            <v>4080</v>
          </cell>
          <cell r="AM402">
            <v>3200</v>
          </cell>
          <cell r="AN402" t="e">
            <v>#VALUE!</v>
          </cell>
          <cell r="AO402" t="e">
            <v>#VALUE!</v>
          </cell>
          <cell r="AP402">
            <v>880</v>
          </cell>
        </row>
        <row r="403">
          <cell r="A403">
            <v>64226500</v>
          </cell>
          <cell r="B403">
            <v>40277800</v>
          </cell>
          <cell r="C403">
            <v>9816907</v>
          </cell>
          <cell r="D403" t="str">
            <v>BOF FR EW KIP GELE RIJST LINZEN KRUIDIGE SAUS 320G</v>
          </cell>
          <cell r="E403" t="str">
            <v>Bofrost FR</v>
          </cell>
          <cell r="F403" t="str">
            <v>355mm</v>
          </cell>
          <cell r="G403" t="str">
            <v>UK-59</v>
          </cell>
          <cell r="H403">
            <v>456</v>
          </cell>
          <cell r="I403">
            <v>0.32</v>
          </cell>
          <cell r="J403" t="str">
            <v>H22</v>
          </cell>
          <cell r="K403" t="str">
            <v>NVT</v>
          </cell>
          <cell r="L403">
            <v>6</v>
          </cell>
          <cell r="M403" t="str">
            <v>Shrink H22 X 6</v>
          </cell>
          <cell r="N403">
            <v>176</v>
          </cell>
          <cell r="O403">
            <v>5400870422653</v>
          </cell>
          <cell r="P403" t="str">
            <v>I-L-2T</v>
          </cell>
          <cell r="Q403">
            <v>3</v>
          </cell>
          <cell r="R403">
            <v>2</v>
          </cell>
          <cell r="T403">
            <v>3200</v>
          </cell>
          <cell r="U403">
            <v>4</v>
          </cell>
          <cell r="V403">
            <v>3200</v>
          </cell>
          <cell r="W403">
            <v>4</v>
          </cell>
          <cell r="X403" t="str">
            <v>X</v>
          </cell>
          <cell r="Y403" t="str">
            <v>X</v>
          </cell>
          <cell r="Z403">
            <v>3.3000000000000002E-2</v>
          </cell>
          <cell r="AA403" t="str">
            <v>! !</v>
          </cell>
          <cell r="AB403">
            <v>3000</v>
          </cell>
          <cell r="AC403">
            <v>0</v>
          </cell>
          <cell r="AG403">
            <v>68</v>
          </cell>
          <cell r="AJ403" t="str">
            <v>-</v>
          </cell>
          <cell r="AL403">
            <v>4080</v>
          </cell>
          <cell r="AM403">
            <v>3200</v>
          </cell>
          <cell r="AN403" t="e">
            <v>#VALUE!</v>
          </cell>
          <cell r="AO403" t="e">
            <v>#VALUE!</v>
          </cell>
          <cell r="AP403">
            <v>880</v>
          </cell>
        </row>
        <row r="404">
          <cell r="A404">
            <v>64226600</v>
          </cell>
          <cell r="B404">
            <v>40277900</v>
          </cell>
          <cell r="C404">
            <v>9816908</v>
          </cell>
          <cell r="D404" t="str">
            <v>BOF FR EW KIP BULGUR GROENTEMIX YOGHURTSAUS 320G</v>
          </cell>
          <cell r="E404" t="str">
            <v>Bofrost FR</v>
          </cell>
          <cell r="F404" t="str">
            <v>355mm</v>
          </cell>
          <cell r="G404" t="str">
            <v>UK-59</v>
          </cell>
          <cell r="H404">
            <v>456</v>
          </cell>
          <cell r="I404">
            <v>0.32</v>
          </cell>
          <cell r="J404" t="str">
            <v>H22</v>
          </cell>
          <cell r="K404" t="str">
            <v>NVT</v>
          </cell>
          <cell r="L404">
            <v>6</v>
          </cell>
          <cell r="M404" t="str">
            <v>Shrink H22 X 6</v>
          </cell>
          <cell r="N404">
            <v>176</v>
          </cell>
          <cell r="O404">
            <v>5400870422660</v>
          </cell>
          <cell r="P404" t="str">
            <v>I-L-2T</v>
          </cell>
          <cell r="Q404">
            <v>3</v>
          </cell>
          <cell r="R404">
            <v>2</v>
          </cell>
          <cell r="S404" t="str">
            <v>Bulgur koken D-1</v>
          </cell>
          <cell r="T404">
            <v>3200</v>
          </cell>
          <cell r="U404">
            <v>5</v>
          </cell>
          <cell r="V404">
            <v>3200</v>
          </cell>
          <cell r="W404">
            <v>5</v>
          </cell>
          <cell r="X404" t="str">
            <v>X</v>
          </cell>
          <cell r="Y404" t="str">
            <v>X</v>
          </cell>
          <cell r="Z404">
            <v>3.3000000000000002E-2</v>
          </cell>
          <cell r="AA404" t="str">
            <v>! !</v>
          </cell>
          <cell r="AB404">
            <v>3000</v>
          </cell>
          <cell r="AC404">
            <v>0</v>
          </cell>
          <cell r="AG404">
            <v>68</v>
          </cell>
          <cell r="AJ404" t="str">
            <v>-</v>
          </cell>
          <cell r="AL404">
            <v>4080</v>
          </cell>
          <cell r="AM404">
            <v>3200</v>
          </cell>
          <cell r="AN404" t="e">
            <v>#VALUE!</v>
          </cell>
          <cell r="AO404" t="e">
            <v>#VALUE!</v>
          </cell>
          <cell r="AP404">
            <v>880</v>
          </cell>
        </row>
        <row r="405">
          <cell r="A405">
            <v>64226700</v>
          </cell>
          <cell r="B405">
            <v>40282500</v>
          </cell>
          <cell r="C405">
            <v>7416922</v>
          </cell>
          <cell r="D405" t="str">
            <v>BOF FR FALAFEL GROENTEMIX BOUILLON 320G</v>
          </cell>
          <cell r="E405" t="str">
            <v>Bofrost FR</v>
          </cell>
          <cell r="F405" t="str">
            <v>355mm</v>
          </cell>
          <cell r="G405" t="str">
            <v>UK-59</v>
          </cell>
          <cell r="H405">
            <v>456</v>
          </cell>
          <cell r="I405">
            <v>0.32</v>
          </cell>
          <cell r="J405" t="str">
            <v>H22</v>
          </cell>
          <cell r="K405" t="str">
            <v>NVT</v>
          </cell>
          <cell r="L405">
            <v>6</v>
          </cell>
          <cell r="M405" t="str">
            <v>Shrink H22 X 6</v>
          </cell>
          <cell r="N405">
            <v>176</v>
          </cell>
          <cell r="O405">
            <v>5400870422677</v>
          </cell>
          <cell r="P405" t="str">
            <v>2T</v>
          </cell>
          <cell r="Q405">
            <v>2</v>
          </cell>
          <cell r="R405">
            <v>3</v>
          </cell>
          <cell r="T405">
            <v>3200</v>
          </cell>
          <cell r="U405">
            <v>7</v>
          </cell>
          <cell r="V405">
            <v>3200</v>
          </cell>
          <cell r="W405">
            <v>7</v>
          </cell>
          <cell r="X405" t="str">
            <v>X</v>
          </cell>
          <cell r="Y405" t="str">
            <v>X</v>
          </cell>
          <cell r="Z405">
            <v>3.3000000000000002E-2</v>
          </cell>
          <cell r="AA405" t="str">
            <v>! !</v>
          </cell>
          <cell r="AB405">
            <v>3000</v>
          </cell>
          <cell r="AG405">
            <v>64</v>
          </cell>
          <cell r="AJ405" t="str">
            <v>-</v>
          </cell>
          <cell r="AL405">
            <v>3840</v>
          </cell>
          <cell r="AM405">
            <v>3200</v>
          </cell>
          <cell r="AN405" t="e">
            <v>#VALUE!</v>
          </cell>
          <cell r="AO405" t="e">
            <v>#VALUE!</v>
          </cell>
          <cell r="AP405">
            <v>640</v>
          </cell>
        </row>
        <row r="406">
          <cell r="A406">
            <v>64226800</v>
          </cell>
          <cell r="B406">
            <v>40291100</v>
          </cell>
          <cell r="C406">
            <v>9416942</v>
          </cell>
          <cell r="D406" t="str">
            <v>BOF FR LASAGNE PESTO TOMATENSAUS AMANDEL 350G</v>
          </cell>
          <cell r="E406" t="str">
            <v>Bofrost FR</v>
          </cell>
          <cell r="F406" t="str">
            <v>355mm</v>
          </cell>
          <cell r="G406" t="str">
            <v>UK-59</v>
          </cell>
          <cell r="H406">
            <v>456</v>
          </cell>
          <cell r="I406">
            <v>0.35</v>
          </cell>
          <cell r="J406" t="str">
            <v>H22</v>
          </cell>
          <cell r="K406" t="str">
            <v>NVT</v>
          </cell>
          <cell r="L406">
            <v>6</v>
          </cell>
          <cell r="M406" t="str">
            <v>Shrink H22 X 6</v>
          </cell>
          <cell r="N406">
            <v>176</v>
          </cell>
          <cell r="O406">
            <v>5400870422684</v>
          </cell>
          <cell r="P406" t="str">
            <v>4T-H</v>
          </cell>
          <cell r="Q406">
            <v>2.5</v>
          </cell>
          <cell r="R406">
            <v>2</v>
          </cell>
          <cell r="T406">
            <v>2500</v>
          </cell>
          <cell r="U406">
            <v>7</v>
          </cell>
          <cell r="V406">
            <v>2500</v>
          </cell>
          <cell r="W406">
            <v>7</v>
          </cell>
          <cell r="Z406">
            <v>3.3000000000000002E-2</v>
          </cell>
          <cell r="AA406" t="str">
            <v>! ! ! ! !</v>
          </cell>
          <cell r="AB406">
            <v>3000</v>
          </cell>
          <cell r="AG406">
            <v>50</v>
          </cell>
          <cell r="AJ406" t="str">
            <v>-</v>
          </cell>
          <cell r="AL406">
            <v>3000</v>
          </cell>
          <cell r="AM406">
            <v>2500</v>
          </cell>
          <cell r="AN406" t="e">
            <v>#VALUE!</v>
          </cell>
          <cell r="AO406" t="e">
            <v>#VALUE!</v>
          </cell>
          <cell r="AP406">
            <v>500</v>
          </cell>
        </row>
        <row r="407">
          <cell r="A407">
            <v>64226900</v>
          </cell>
          <cell r="B407">
            <v>40293300</v>
          </cell>
          <cell r="C407">
            <v>7416936</v>
          </cell>
          <cell r="D407" t="str">
            <v>BOF FR SPAGHETTI SCAMPI ASC LOOKSAUS 320G</v>
          </cell>
          <cell r="E407" t="str">
            <v>Bofrost FR</v>
          </cell>
          <cell r="F407" t="str">
            <v>355mm</v>
          </cell>
          <cell r="G407" t="str">
            <v>UK-59</v>
          </cell>
          <cell r="H407">
            <v>456</v>
          </cell>
          <cell r="I407">
            <v>0.32</v>
          </cell>
          <cell r="J407" t="str">
            <v>H22</v>
          </cell>
          <cell r="K407" t="str">
            <v>NVT</v>
          </cell>
          <cell r="L407">
            <v>6</v>
          </cell>
          <cell r="M407" t="str">
            <v>Shrink H22 X 6</v>
          </cell>
          <cell r="N407">
            <v>176</v>
          </cell>
          <cell r="O407">
            <v>5400870422691</v>
          </cell>
          <cell r="Z407">
            <v>3.3000000000000002E-2</v>
          </cell>
          <cell r="AA407" t="str">
            <v>! ! ! !</v>
          </cell>
          <cell r="AB407">
            <v>3000</v>
          </cell>
          <cell r="AJ407" t="str">
            <v>-</v>
          </cell>
          <cell r="AL407">
            <v>0</v>
          </cell>
          <cell r="AM407">
            <v>0</v>
          </cell>
          <cell r="AN407" t="e">
            <v>#VALUE!</v>
          </cell>
          <cell r="AO407" t="str">
            <v/>
          </cell>
        </row>
        <row r="408">
          <cell r="A408">
            <v>64231000</v>
          </cell>
          <cell r="B408">
            <v>40278400</v>
          </cell>
          <cell r="C408">
            <v>6100878</v>
          </cell>
          <cell r="D408" t="str">
            <v>GEIA EW KIP CURRY RIJST BROCCOLI GR BONEN 370G</v>
          </cell>
          <cell r="E408" t="str">
            <v>GEIA</v>
          </cell>
          <cell r="F408" t="str">
            <v>355mm</v>
          </cell>
          <cell r="G408" t="str">
            <v>UK-59</v>
          </cell>
          <cell r="H408">
            <v>365</v>
          </cell>
          <cell r="I408">
            <v>0.37</v>
          </cell>
          <cell r="J408" t="str">
            <v>H22</v>
          </cell>
          <cell r="K408" t="str">
            <v>NVT</v>
          </cell>
          <cell r="L408">
            <v>10</v>
          </cell>
          <cell r="M408" t="str">
            <v>H22X10</v>
          </cell>
          <cell r="N408">
            <v>84</v>
          </cell>
          <cell r="O408">
            <v>5704436029424</v>
          </cell>
          <cell r="P408" t="str">
            <v>I-L-2T</v>
          </cell>
          <cell r="Q408">
            <v>2</v>
          </cell>
          <cell r="R408">
            <v>2</v>
          </cell>
          <cell r="T408">
            <v>3200</v>
          </cell>
          <cell r="U408">
            <v>7</v>
          </cell>
          <cell r="V408">
            <v>3200</v>
          </cell>
          <cell r="W408">
            <v>7</v>
          </cell>
          <cell r="Z408">
            <v>4.5999999999999999E-2</v>
          </cell>
          <cell r="AA408" t="str">
            <v>! ! !</v>
          </cell>
          <cell r="AB408">
            <v>5000</v>
          </cell>
          <cell r="AJ408" t="str">
            <v>-</v>
          </cell>
          <cell r="AL408">
            <v>0</v>
          </cell>
          <cell r="AM408">
            <v>3200</v>
          </cell>
          <cell r="AN408" t="e">
            <v>#VALUE!</v>
          </cell>
          <cell r="AO408" t="e">
            <v>#VALUE!</v>
          </cell>
          <cell r="AP408">
            <v>-3200</v>
          </cell>
        </row>
        <row r="409">
          <cell r="A409">
            <v>64231100</v>
          </cell>
          <cell r="B409">
            <v>40278500</v>
          </cell>
          <cell r="C409">
            <v>6100876</v>
          </cell>
          <cell r="D409" t="str">
            <v>GEIA EW KIP LINGUINE TERIYAKI BROCCOLI 370G</v>
          </cell>
          <cell r="E409" t="str">
            <v>GEIA</v>
          </cell>
          <cell r="F409" t="str">
            <v>355mm</v>
          </cell>
          <cell r="G409" t="str">
            <v>UK-59</v>
          </cell>
          <cell r="H409">
            <v>365</v>
          </cell>
          <cell r="I409">
            <v>0.37</v>
          </cell>
          <cell r="J409" t="str">
            <v>H22</v>
          </cell>
          <cell r="K409" t="str">
            <v>NVT</v>
          </cell>
          <cell r="L409">
            <v>10</v>
          </cell>
          <cell r="M409" t="str">
            <v>H22X10</v>
          </cell>
          <cell r="N409">
            <v>84</v>
          </cell>
          <cell r="O409" t="str">
            <v>   5704436029400</v>
          </cell>
          <cell r="P409" t="str">
            <v>I-L-2T</v>
          </cell>
          <cell r="Q409">
            <v>2</v>
          </cell>
          <cell r="R409">
            <v>2</v>
          </cell>
          <cell r="T409">
            <v>3200</v>
          </cell>
          <cell r="U409">
            <v>7</v>
          </cell>
          <cell r="V409">
            <v>3200</v>
          </cell>
          <cell r="W409">
            <v>7</v>
          </cell>
          <cell r="Z409">
            <v>4.5999999999999999E-2</v>
          </cell>
          <cell r="AA409" t="str">
            <v>! ! ! ! !</v>
          </cell>
          <cell r="AB409">
            <v>5000</v>
          </cell>
          <cell r="AJ409" t="str">
            <v>-</v>
          </cell>
          <cell r="AL409">
            <v>0</v>
          </cell>
          <cell r="AM409">
            <v>3200</v>
          </cell>
          <cell r="AN409" t="e">
            <v>#VALUE!</v>
          </cell>
          <cell r="AO409" t="e">
            <v>#VALUE!</v>
          </cell>
          <cell r="AP409">
            <v>-3200</v>
          </cell>
        </row>
        <row r="410">
          <cell r="A410">
            <v>64231200</v>
          </cell>
          <cell r="B410">
            <v>40278600</v>
          </cell>
          <cell r="C410">
            <v>6100877</v>
          </cell>
          <cell r="D410" t="str">
            <v>GEIA EW SPAGHETTI BOLOGNAISE BROCCOLI 370G</v>
          </cell>
          <cell r="E410" t="str">
            <v>GEIA</v>
          </cell>
          <cell r="F410" t="str">
            <v>355mm</v>
          </cell>
          <cell r="G410" t="str">
            <v>UK-59</v>
          </cell>
          <cell r="H410">
            <v>365</v>
          </cell>
          <cell r="I410">
            <v>0.37</v>
          </cell>
          <cell r="J410" t="str">
            <v>H22</v>
          </cell>
          <cell r="K410" t="str">
            <v>NVT</v>
          </cell>
          <cell r="L410">
            <v>10</v>
          </cell>
          <cell r="M410" t="str">
            <v>H22X10</v>
          </cell>
          <cell r="N410">
            <v>84</v>
          </cell>
          <cell r="O410" t="str">
            <v>   5704436029417</v>
          </cell>
          <cell r="P410" t="str">
            <v>L-2T</v>
          </cell>
          <cell r="Q410">
            <v>2</v>
          </cell>
          <cell r="R410">
            <v>2</v>
          </cell>
          <cell r="T410">
            <v>3200</v>
          </cell>
          <cell r="U410">
            <v>6</v>
          </cell>
          <cell r="V410">
            <v>3200</v>
          </cell>
          <cell r="W410">
            <v>6</v>
          </cell>
          <cell r="Z410">
            <v>4.5999999999999999E-2</v>
          </cell>
          <cell r="AA410" t="str">
            <v>! ! !</v>
          </cell>
          <cell r="AB410">
            <v>5000</v>
          </cell>
          <cell r="AJ410" t="str">
            <v>V-A</v>
          </cell>
          <cell r="AL410">
            <v>0</v>
          </cell>
          <cell r="AM410">
            <v>3200</v>
          </cell>
          <cell r="AN410" t="e">
            <v>#VALUE!</v>
          </cell>
          <cell r="AO410" t="e">
            <v>#VALUE!</v>
          </cell>
          <cell r="AP410">
            <v>-3200</v>
          </cell>
        </row>
        <row r="411">
          <cell r="A411">
            <v>64255000</v>
          </cell>
          <cell r="B411">
            <v>40281000</v>
          </cell>
          <cell r="C411">
            <v>1010847</v>
          </cell>
          <cell r="D411" t="str">
            <v>LIDL DE EW KIP TERIYAKI PANDAN BROCC 400G (MIXED)</v>
          </cell>
          <cell r="E411" t="str">
            <v>Lidl INT</v>
          </cell>
          <cell r="F411" t="str">
            <v>355mm</v>
          </cell>
          <cell r="G411" t="str">
            <v>UK59 KRAFT</v>
          </cell>
          <cell r="H411">
            <v>456</v>
          </cell>
          <cell r="I411">
            <v>0.4</v>
          </cell>
          <cell r="J411" t="str">
            <v>H22</v>
          </cell>
          <cell r="K411" t="str">
            <v>NVT</v>
          </cell>
          <cell r="L411">
            <v>20</v>
          </cell>
          <cell r="M411" t="str">
            <v>H11X24</v>
          </cell>
          <cell r="N411">
            <v>48</v>
          </cell>
          <cell r="O411">
            <v>5400870425500</v>
          </cell>
          <cell r="P411" t="str">
            <v>L-I-2T-K</v>
          </cell>
          <cell r="Q411">
            <v>2</v>
          </cell>
          <cell r="R411">
            <v>2</v>
          </cell>
          <cell r="T411">
            <v>3200</v>
          </cell>
          <cell r="U411">
            <v>5</v>
          </cell>
          <cell r="V411">
            <v>3200</v>
          </cell>
          <cell r="W411">
            <v>5</v>
          </cell>
          <cell r="X411">
            <v>0</v>
          </cell>
          <cell r="Y411">
            <v>0</v>
          </cell>
          <cell r="Z411">
            <v>0.20300000000000001</v>
          </cell>
          <cell r="AA411" t="str">
            <v>! ! ! ! !</v>
          </cell>
          <cell r="AB411">
            <v>8640</v>
          </cell>
          <cell r="AG411">
            <v>30</v>
          </cell>
          <cell r="AJ411" t="str">
            <v>-</v>
          </cell>
          <cell r="AL411">
            <v>1800</v>
          </cell>
          <cell r="AM411">
            <v>3200</v>
          </cell>
          <cell r="AN411" t="e">
            <v>#VALUE!</v>
          </cell>
          <cell r="AO411" t="e">
            <v>#VALUE!</v>
          </cell>
          <cell r="AP411">
            <v>-1400</v>
          </cell>
        </row>
        <row r="412">
          <cell r="A412">
            <v>64255100</v>
          </cell>
          <cell r="B412">
            <v>40281100</v>
          </cell>
          <cell r="C412" t="str">
            <v> 1010852</v>
          </cell>
          <cell r="D412" t="str">
            <v>LIDL DE EW KIPFILET SATE RIJST SOJAB 400G (MIXED)</v>
          </cell>
          <cell r="E412" t="str">
            <v>Lidl INT</v>
          </cell>
          <cell r="F412" t="str">
            <v>355mm</v>
          </cell>
          <cell r="G412" t="str">
            <v>UK59 KRAFT</v>
          </cell>
          <cell r="H412">
            <v>456</v>
          </cell>
          <cell r="I412">
            <v>0.4</v>
          </cell>
          <cell r="J412" t="str">
            <v>H22</v>
          </cell>
          <cell r="K412" t="str">
            <v>NVT</v>
          </cell>
          <cell r="L412">
            <v>20</v>
          </cell>
          <cell r="M412" t="str">
            <v>H11X24</v>
          </cell>
          <cell r="N412">
            <v>48</v>
          </cell>
          <cell r="O412">
            <v>5400870425517</v>
          </cell>
          <cell r="P412" t="str">
            <v>L-2T</v>
          </cell>
          <cell r="Q412">
            <v>3</v>
          </cell>
          <cell r="R412">
            <v>2</v>
          </cell>
          <cell r="T412">
            <v>3200</v>
          </cell>
          <cell r="U412">
            <v>8</v>
          </cell>
          <cell r="V412">
            <v>3200</v>
          </cell>
          <cell r="W412">
            <v>8</v>
          </cell>
          <cell r="X412">
            <v>0</v>
          </cell>
          <cell r="Y412">
            <v>0</v>
          </cell>
          <cell r="Z412">
            <v>0.20300000000000001</v>
          </cell>
          <cell r="AA412" t="str">
            <v>X</v>
          </cell>
          <cell r="AB412">
            <v>8640</v>
          </cell>
          <cell r="AG412">
            <v>30</v>
          </cell>
          <cell r="AJ412" t="str">
            <v>-</v>
          </cell>
          <cell r="AL412">
            <v>1800</v>
          </cell>
          <cell r="AM412">
            <v>3200</v>
          </cell>
          <cell r="AN412" t="e">
            <v>#VALUE!</v>
          </cell>
          <cell r="AO412" t="e">
            <v>#VALUE!</v>
          </cell>
          <cell r="AP412">
            <v>-1400</v>
          </cell>
        </row>
        <row r="413">
          <cell r="A413">
            <v>64255200</v>
          </cell>
          <cell r="B413">
            <v>40281200</v>
          </cell>
          <cell r="C413" t="str">
            <v> 1010848</v>
          </cell>
          <cell r="D413" t="str">
            <v>LIDL DE EW CHILI SIN CARNE AVOCADO 400G (MIXED)</v>
          </cell>
          <cell r="E413" t="str">
            <v>Lidl INT</v>
          </cell>
          <cell r="F413" t="str">
            <v>355mm</v>
          </cell>
          <cell r="G413" t="str">
            <v>UK59 KRAFT</v>
          </cell>
          <cell r="H413">
            <v>456</v>
          </cell>
          <cell r="I413">
            <v>0.4</v>
          </cell>
          <cell r="J413" t="str">
            <v>H22</v>
          </cell>
          <cell r="K413" t="str">
            <v>NVT</v>
          </cell>
          <cell r="L413">
            <v>20</v>
          </cell>
          <cell r="M413" t="str">
            <v>H11X24</v>
          </cell>
          <cell r="N413">
            <v>48</v>
          </cell>
          <cell r="O413">
            <v>5400870425524</v>
          </cell>
          <cell r="P413" t="str">
            <v>2T</v>
          </cell>
          <cell r="Q413">
            <v>1</v>
          </cell>
          <cell r="R413">
            <v>2</v>
          </cell>
          <cell r="T413">
            <v>3200</v>
          </cell>
          <cell r="U413">
            <v>4</v>
          </cell>
          <cell r="V413">
            <v>3200</v>
          </cell>
          <cell r="W413">
            <v>4</v>
          </cell>
          <cell r="X413">
            <v>0</v>
          </cell>
          <cell r="Y413">
            <v>0</v>
          </cell>
          <cell r="Z413">
            <v>0.20300000000000001</v>
          </cell>
          <cell r="AA413" t="str">
            <v>! ! !</v>
          </cell>
          <cell r="AB413">
            <v>8640</v>
          </cell>
          <cell r="AG413">
            <v>30</v>
          </cell>
          <cell r="AJ413" t="str">
            <v>-</v>
          </cell>
          <cell r="AL413">
            <v>1800</v>
          </cell>
          <cell r="AM413">
            <v>3200</v>
          </cell>
          <cell r="AN413" t="e">
            <v>#VALUE!</v>
          </cell>
          <cell r="AO413" t="e">
            <v>#VALUE!</v>
          </cell>
          <cell r="AP413">
            <v>-1400</v>
          </cell>
        </row>
        <row r="414">
          <cell r="A414">
            <v>64255300</v>
          </cell>
          <cell r="B414">
            <v>40292900</v>
          </cell>
          <cell r="C414">
            <v>1010847</v>
          </cell>
          <cell r="D414" t="str">
            <v>LIDL BE NL EW KIP TERIYAKI PANDAN BROCC400G(MIXED)</v>
          </cell>
          <cell r="E414" t="str">
            <v>Lidl INT</v>
          </cell>
          <cell r="F414" t="str">
            <v>355mm</v>
          </cell>
          <cell r="G414" t="str">
            <v>UK59 KRAFT</v>
          </cell>
          <cell r="H414">
            <v>456</v>
          </cell>
          <cell r="I414">
            <v>0.4</v>
          </cell>
          <cell r="J414" t="str">
            <v>H22</v>
          </cell>
          <cell r="K414" t="str">
            <v>NVT</v>
          </cell>
          <cell r="L414">
            <v>20</v>
          </cell>
          <cell r="M414" t="str">
            <v>H11X24</v>
          </cell>
          <cell r="N414">
            <v>48</v>
          </cell>
          <cell r="O414">
            <v>5400870425531</v>
          </cell>
          <cell r="P414" t="str">
            <v>L-I-2T-K</v>
          </cell>
          <cell r="Q414">
            <v>2</v>
          </cell>
          <cell r="R414">
            <v>2</v>
          </cell>
          <cell r="T414">
            <v>3200</v>
          </cell>
          <cell r="U414">
            <v>5</v>
          </cell>
          <cell r="V414">
            <v>3200</v>
          </cell>
          <cell r="W414">
            <v>5</v>
          </cell>
          <cell r="X414">
            <v>0</v>
          </cell>
          <cell r="Y414">
            <v>0</v>
          </cell>
          <cell r="Z414">
            <v>0.17699999999999999</v>
          </cell>
          <cell r="AA414" t="str">
            <v>! ! ! ! !</v>
          </cell>
          <cell r="AG414">
            <v>30</v>
          </cell>
          <cell r="AJ414" t="str">
            <v>-</v>
          </cell>
          <cell r="AK414" t="str">
            <v>ja</v>
          </cell>
          <cell r="AL414">
            <v>1800</v>
          </cell>
          <cell r="AM414">
            <v>3200</v>
          </cell>
          <cell r="AN414" t="e">
            <v>#VALUE!</v>
          </cell>
          <cell r="AO414" t="e">
            <v>#VALUE!</v>
          </cell>
          <cell r="AP414">
            <v>-1400</v>
          </cell>
        </row>
        <row r="415">
          <cell r="A415">
            <v>64255400</v>
          </cell>
          <cell r="B415">
            <v>40293000</v>
          </cell>
          <cell r="C415" t="str">
            <v> 1010852</v>
          </cell>
          <cell r="D415" t="str">
            <v>LIDL BE NL EW KIPFILET SATE RIJST SOJAB400G(MIXED)</v>
          </cell>
          <cell r="E415" t="str">
            <v>Lidl INT</v>
          </cell>
          <cell r="F415" t="str">
            <v>355mm</v>
          </cell>
          <cell r="G415" t="str">
            <v>UK59 KRAFT</v>
          </cell>
          <cell r="H415">
            <v>456</v>
          </cell>
          <cell r="I415">
            <v>0.4</v>
          </cell>
          <cell r="J415" t="str">
            <v>H22</v>
          </cell>
          <cell r="K415" t="str">
            <v>NVT</v>
          </cell>
          <cell r="L415">
            <v>20</v>
          </cell>
          <cell r="M415" t="str">
            <v>H11X24</v>
          </cell>
          <cell r="N415">
            <v>48</v>
          </cell>
          <cell r="O415">
            <v>5400870425548</v>
          </cell>
          <cell r="P415" t="str">
            <v>L-2T</v>
          </cell>
          <cell r="Q415">
            <v>3</v>
          </cell>
          <cell r="R415">
            <v>2</v>
          </cell>
          <cell r="T415">
            <v>3200</v>
          </cell>
          <cell r="U415">
            <v>8</v>
          </cell>
          <cell r="V415">
            <v>3200</v>
          </cell>
          <cell r="W415">
            <v>8</v>
          </cell>
          <cell r="X415">
            <v>0</v>
          </cell>
          <cell r="Y415">
            <v>0</v>
          </cell>
          <cell r="Z415">
            <v>0.17699999999999999</v>
          </cell>
          <cell r="AA415" t="str">
            <v>X</v>
          </cell>
          <cell r="AG415">
            <v>30</v>
          </cell>
          <cell r="AJ415" t="str">
            <v>-</v>
          </cell>
          <cell r="AK415" t="str">
            <v>ja</v>
          </cell>
          <cell r="AL415">
            <v>1800</v>
          </cell>
          <cell r="AM415">
            <v>3200</v>
          </cell>
          <cell r="AN415" t="e">
            <v>#VALUE!</v>
          </cell>
          <cell r="AO415" t="e">
            <v>#VALUE!</v>
          </cell>
          <cell r="AP415">
            <v>-1400</v>
          </cell>
        </row>
        <row r="416">
          <cell r="A416">
            <v>64255500</v>
          </cell>
          <cell r="B416">
            <v>40293100</v>
          </cell>
          <cell r="C416">
            <v>1010847</v>
          </cell>
          <cell r="D416" t="str">
            <v>LIDL SE EW KIP TERIYAKI PANDAN BROCC 400G (MIXED)</v>
          </cell>
          <cell r="E416" t="str">
            <v>Lidl INT</v>
          </cell>
          <cell r="F416" t="str">
            <v>355mm</v>
          </cell>
          <cell r="G416" t="str">
            <v>UK59 KRAFT</v>
          </cell>
          <cell r="H416">
            <v>456</v>
          </cell>
          <cell r="I416">
            <v>0.4</v>
          </cell>
          <cell r="J416" t="str">
            <v>H22</v>
          </cell>
          <cell r="K416" t="str">
            <v>NVT</v>
          </cell>
          <cell r="L416">
            <v>20</v>
          </cell>
          <cell r="M416" t="str">
            <v>H11X24</v>
          </cell>
          <cell r="N416">
            <v>48</v>
          </cell>
          <cell r="O416">
            <v>5400870425555</v>
          </cell>
          <cell r="P416" t="str">
            <v>L-I-2T-K</v>
          </cell>
          <cell r="Q416">
            <v>2</v>
          </cell>
          <cell r="R416">
            <v>2</v>
          </cell>
          <cell r="T416">
            <v>3200</v>
          </cell>
          <cell r="U416">
            <v>5</v>
          </cell>
          <cell r="V416">
            <v>3200</v>
          </cell>
          <cell r="W416">
            <v>5</v>
          </cell>
          <cell r="X416">
            <v>0</v>
          </cell>
          <cell r="Y416">
            <v>0</v>
          </cell>
          <cell r="Z416">
            <v>0.17699999999999999</v>
          </cell>
          <cell r="AA416" t="str">
            <v>! ! ! ! !</v>
          </cell>
          <cell r="AG416">
            <v>30</v>
          </cell>
          <cell r="AJ416" t="str">
            <v>-</v>
          </cell>
          <cell r="AK416" t="str">
            <v>ja</v>
          </cell>
          <cell r="AL416">
            <v>1800</v>
          </cell>
          <cell r="AM416">
            <v>3200</v>
          </cell>
          <cell r="AN416" t="e">
            <v>#VALUE!</v>
          </cell>
          <cell r="AO416" t="e">
            <v>#VALUE!</v>
          </cell>
          <cell r="AP416">
            <v>-1400</v>
          </cell>
        </row>
        <row r="417">
          <cell r="A417">
            <v>64255600</v>
          </cell>
          <cell r="B417">
            <v>40293200</v>
          </cell>
          <cell r="C417" t="str">
            <v> 1010852</v>
          </cell>
          <cell r="D417" t="str">
            <v>LIDL SE EW KIPFILET SATE RIJST SOJAB 400G (MIXED)</v>
          </cell>
          <cell r="E417" t="str">
            <v>Lidl INT</v>
          </cell>
          <cell r="F417" t="str">
            <v>355mm</v>
          </cell>
          <cell r="G417" t="str">
            <v>UK59 KRAFT</v>
          </cell>
          <cell r="H417">
            <v>456</v>
          </cell>
          <cell r="I417">
            <v>0.4</v>
          </cell>
          <cell r="J417" t="str">
            <v>H22</v>
          </cell>
          <cell r="K417" t="str">
            <v>NVT</v>
          </cell>
          <cell r="L417">
            <v>20</v>
          </cell>
          <cell r="M417" t="str">
            <v>H11X24</v>
          </cell>
          <cell r="N417">
            <v>48</v>
          </cell>
          <cell r="O417">
            <v>5400870425562</v>
          </cell>
          <cell r="P417" t="str">
            <v>L-2T</v>
          </cell>
          <cell r="Q417">
            <v>3</v>
          </cell>
          <cell r="R417">
            <v>2</v>
          </cell>
          <cell r="T417">
            <v>3200</v>
          </cell>
          <cell r="U417">
            <v>8</v>
          </cell>
          <cell r="V417">
            <v>3200</v>
          </cell>
          <cell r="W417">
            <v>8</v>
          </cell>
          <cell r="X417">
            <v>0</v>
          </cell>
          <cell r="Y417">
            <v>0</v>
          </cell>
          <cell r="Z417">
            <v>0.17699999999999999</v>
          </cell>
          <cell r="AA417" t="str">
            <v>X</v>
          </cell>
          <cell r="AG417">
            <v>30</v>
          </cell>
          <cell r="AJ417" t="str">
            <v>-</v>
          </cell>
          <cell r="AK417" t="str">
            <v>ja</v>
          </cell>
          <cell r="AL417">
            <v>1800</v>
          </cell>
          <cell r="AM417">
            <v>3200</v>
          </cell>
          <cell r="AN417" t="e">
            <v>#VALUE!</v>
          </cell>
          <cell r="AO417" t="e">
            <v>#VALUE!</v>
          </cell>
          <cell r="AP417">
            <v>-1400</v>
          </cell>
        </row>
        <row r="418">
          <cell r="A418">
            <v>64256000</v>
          </cell>
          <cell r="B418">
            <v>40290500</v>
          </cell>
          <cell r="C418">
            <v>211227</v>
          </cell>
          <cell r="D418" t="str">
            <v>LIDL DE AT ROSTI CAMEMBERT VEENBESSEN V-LABEL 360G (MIXED)</v>
          </cell>
          <cell r="E418" t="str">
            <v>Lidl INT</v>
          </cell>
          <cell r="F418" t="str">
            <v>355mm</v>
          </cell>
          <cell r="G418" t="str">
            <v>UK59 KRAFT</v>
          </cell>
          <cell r="H418">
            <v>456</v>
          </cell>
          <cell r="I418">
            <v>0.36</v>
          </cell>
          <cell r="J418" t="str">
            <v>H22</v>
          </cell>
          <cell r="K418" t="str">
            <v>NVT</v>
          </cell>
          <cell r="L418">
            <v>10</v>
          </cell>
          <cell r="M418" t="str">
            <v>H22X10</v>
          </cell>
          <cell r="N418">
            <v>84</v>
          </cell>
          <cell r="O418">
            <v>5400870425609</v>
          </cell>
          <cell r="P418" t="str">
            <v>5T</v>
          </cell>
          <cell r="Q418">
            <v>2</v>
          </cell>
          <cell r="T418">
            <v>2100</v>
          </cell>
          <cell r="U418">
            <v>9</v>
          </cell>
          <cell r="V418">
            <v>2100</v>
          </cell>
          <cell r="W418">
            <v>9</v>
          </cell>
          <cell r="Z418">
            <v>0.23099999999999998</v>
          </cell>
          <cell r="AA418" t="str">
            <v>! ! !</v>
          </cell>
          <cell r="AG418">
            <v>42</v>
          </cell>
          <cell r="AJ418" t="str">
            <v>V-A </v>
          </cell>
          <cell r="AK418" t="str">
            <v> -</v>
          </cell>
          <cell r="AL418">
            <v>2520</v>
          </cell>
          <cell r="AM418">
            <v>2100</v>
          </cell>
          <cell r="AN418" t="e">
            <v>#VALUE!</v>
          </cell>
          <cell r="AO418" t="e">
            <v>#VALUE!</v>
          </cell>
          <cell r="AP418">
            <v>420</v>
          </cell>
        </row>
        <row r="419">
          <cell r="A419">
            <v>64256100</v>
          </cell>
          <cell r="B419">
            <v>40290600</v>
          </cell>
          <cell r="C419">
            <v>211221</v>
          </cell>
          <cell r="D419" t="str">
            <v>LIDL DE AT ROSTI HAM KAASSAUS 360G (MIXED)</v>
          </cell>
          <cell r="E419" t="str">
            <v>Lidl INT</v>
          </cell>
          <cell r="F419" t="str">
            <v>355mm</v>
          </cell>
          <cell r="G419" t="str">
            <v>UK59 KRAFT</v>
          </cell>
          <cell r="H419">
            <v>456</v>
          </cell>
          <cell r="I419">
            <v>0.36</v>
          </cell>
          <cell r="J419" t="str">
            <v>H22</v>
          </cell>
          <cell r="K419" t="str">
            <v>NVT</v>
          </cell>
          <cell r="L419">
            <v>10</v>
          </cell>
          <cell r="M419" t="str">
            <v>H22X10</v>
          </cell>
          <cell r="N419">
            <v>84</v>
          </cell>
          <cell r="O419">
            <v>5400870425616</v>
          </cell>
          <cell r="P419" t="str">
            <v>4T</v>
          </cell>
          <cell r="Q419">
            <v>1</v>
          </cell>
          <cell r="T419">
            <v>2500</v>
          </cell>
          <cell r="U419">
            <v>9</v>
          </cell>
          <cell r="V419">
            <v>2500</v>
          </cell>
          <cell r="W419">
            <v>9</v>
          </cell>
          <cell r="Z419">
            <v>0.23099999999999998</v>
          </cell>
          <cell r="AA419" t="str">
            <v>! ! !</v>
          </cell>
          <cell r="AG419">
            <v>68</v>
          </cell>
          <cell r="AJ419" t="str">
            <v>V-A </v>
          </cell>
          <cell r="AK419" t="str">
            <v> -</v>
          </cell>
          <cell r="AL419">
            <v>4080</v>
          </cell>
          <cell r="AM419">
            <v>2500</v>
          </cell>
          <cell r="AN419" t="e">
            <v>#VALUE!</v>
          </cell>
          <cell r="AO419" t="e">
            <v>#VALUE!</v>
          </cell>
          <cell r="AP419">
            <v>1580</v>
          </cell>
        </row>
        <row r="420">
          <cell r="A420">
            <v>64256200</v>
          </cell>
          <cell r="B420">
            <v>40290700</v>
          </cell>
          <cell r="C420">
            <v>211222</v>
          </cell>
          <cell r="D420" t="str">
            <v>LIDL DE AT ROSTI BERGKAASSAUS 360G (MIXED)</v>
          </cell>
          <cell r="E420" t="str">
            <v>Lidl INT</v>
          </cell>
          <cell r="F420" t="str">
            <v>355mm</v>
          </cell>
          <cell r="G420" t="str">
            <v>UK59 KRAFT</v>
          </cell>
          <cell r="H420">
            <v>456</v>
          </cell>
          <cell r="I420">
            <v>0.36</v>
          </cell>
          <cell r="J420" t="str">
            <v>H22</v>
          </cell>
          <cell r="K420" t="str">
            <v>NVT</v>
          </cell>
          <cell r="L420">
            <v>10</v>
          </cell>
          <cell r="M420" t="str">
            <v>H22X10</v>
          </cell>
          <cell r="N420">
            <v>84</v>
          </cell>
          <cell r="O420">
            <v>5400870425623</v>
          </cell>
          <cell r="P420" t="str">
            <v>4T</v>
          </cell>
          <cell r="Q420">
            <v>1</v>
          </cell>
          <cell r="T420">
            <v>2500</v>
          </cell>
          <cell r="U420">
            <v>9</v>
          </cell>
          <cell r="V420">
            <v>2500</v>
          </cell>
          <cell r="W420">
            <v>9</v>
          </cell>
          <cell r="Z420">
            <v>0.23099999999999998</v>
          </cell>
          <cell r="AA420" t="str">
            <v>! ! !</v>
          </cell>
          <cell r="AG420">
            <v>68</v>
          </cell>
          <cell r="AJ420" t="str">
            <v>V-A </v>
          </cell>
          <cell r="AK420" t="str">
            <v> -</v>
          </cell>
          <cell r="AL420">
            <v>4080</v>
          </cell>
          <cell r="AM420">
            <v>2500</v>
          </cell>
          <cell r="AN420" t="e">
            <v>#VALUE!</v>
          </cell>
          <cell r="AO420" t="e">
            <v>#VALUE!</v>
          </cell>
          <cell r="AP420">
            <v>1580</v>
          </cell>
        </row>
        <row r="421">
          <cell r="A421">
            <v>64257000</v>
          </cell>
          <cell r="B421">
            <v>40293400</v>
          </cell>
          <cell r="D421" t="str">
            <v>LIDL BE MACARONI KAASSAUS V-LABEL 400G (MIXED)</v>
          </cell>
          <cell r="E421" t="str">
            <v>Lidl INT</v>
          </cell>
          <cell r="F421" t="str">
            <v>355mm</v>
          </cell>
          <cell r="G421" t="str">
            <v>UK59 KRAFT</v>
          </cell>
          <cell r="H421">
            <v>456</v>
          </cell>
          <cell r="I421">
            <v>0.4</v>
          </cell>
          <cell r="J421" t="str">
            <v>H22</v>
          </cell>
          <cell r="K421" t="str">
            <v>NVT</v>
          </cell>
          <cell r="L421">
            <v>10</v>
          </cell>
          <cell r="M421" t="str">
            <v>H22X10</v>
          </cell>
          <cell r="N421">
            <v>84</v>
          </cell>
          <cell r="O421">
            <v>5400870425708</v>
          </cell>
          <cell r="Z421">
            <v>0.20200000000000001</v>
          </cell>
          <cell r="AA421" t="str">
            <v>! !</v>
          </cell>
          <cell r="AB421">
            <v>16086</v>
          </cell>
          <cell r="AJ421" t="str">
            <v>- </v>
          </cell>
          <cell r="AL421">
            <v>0</v>
          </cell>
          <cell r="AM421">
            <v>0</v>
          </cell>
          <cell r="AN421" t="e">
            <v>#VALUE!</v>
          </cell>
          <cell r="AO421" t="str">
            <v/>
          </cell>
        </row>
        <row r="422">
          <cell r="A422">
            <v>64257100</v>
          </cell>
          <cell r="B422">
            <v>40293500</v>
          </cell>
          <cell r="D422" t="str">
            <v>LIDL BE MACARONI HAM KAASSAUS 400G (MIXED)</v>
          </cell>
          <cell r="E422" t="str">
            <v>Lidl INT</v>
          </cell>
          <cell r="F422" t="str">
            <v>355mm</v>
          </cell>
          <cell r="G422" t="str">
            <v>UK59 KRAFT</v>
          </cell>
          <cell r="H422">
            <v>365</v>
          </cell>
          <cell r="I422">
            <v>0.4</v>
          </cell>
          <cell r="J422" t="str">
            <v>H22</v>
          </cell>
          <cell r="K422" t="str">
            <v>NVT</v>
          </cell>
          <cell r="L422">
            <v>10</v>
          </cell>
          <cell r="M422" t="str">
            <v>H22X10</v>
          </cell>
          <cell r="N422">
            <v>84</v>
          </cell>
          <cell r="O422">
            <v>5400870425715</v>
          </cell>
          <cell r="Z422">
            <v>0.20200000000000001</v>
          </cell>
          <cell r="AA422" t="str">
            <v>! !</v>
          </cell>
          <cell r="AB422">
            <v>26810</v>
          </cell>
          <cell r="AJ422" t="str">
            <v>V-A </v>
          </cell>
          <cell r="AL422">
            <v>0</v>
          </cell>
          <cell r="AM422">
            <v>0</v>
          </cell>
          <cell r="AN422" t="e">
            <v>#VALUE!</v>
          </cell>
          <cell r="AO422" t="str">
            <v/>
          </cell>
        </row>
        <row r="423">
          <cell r="A423">
            <v>64257200</v>
          </cell>
          <cell r="B423">
            <v>40293700</v>
          </cell>
          <cell r="D423" t="str">
            <v>LIDL BE MACARONI KAASSAUS TOMAAT SPEK 400G (MIXED)</v>
          </cell>
          <cell r="E423" t="str">
            <v>Lidl INT</v>
          </cell>
          <cell r="F423" t="str">
            <v>355mm</v>
          </cell>
          <cell r="G423" t="str">
            <v>UK59 KRAFT</v>
          </cell>
          <cell r="H423">
            <v>365</v>
          </cell>
          <cell r="I423">
            <v>0.4</v>
          </cell>
          <cell r="J423" t="str">
            <v>H22</v>
          </cell>
          <cell r="K423" t="str">
            <v>NVT</v>
          </cell>
          <cell r="L423">
            <v>10</v>
          </cell>
          <cell r="M423" t="str">
            <v>H22X10</v>
          </cell>
          <cell r="N423">
            <v>84</v>
          </cell>
          <cell r="O423">
            <v>5400870425722</v>
          </cell>
          <cell r="Z423">
            <v>0.20200000000000001</v>
          </cell>
          <cell r="AA423" t="str">
            <v>! ! !</v>
          </cell>
          <cell r="AB423">
            <v>10724</v>
          </cell>
          <cell r="AJ423" t="str">
            <v>V-A </v>
          </cell>
          <cell r="AL423">
            <v>0</v>
          </cell>
          <cell r="AM423">
            <v>0</v>
          </cell>
          <cell r="AN423" t="e">
            <v>#VALUE!</v>
          </cell>
          <cell r="AO423" t="str">
            <v/>
          </cell>
        </row>
        <row r="424">
          <cell r="A424">
            <v>64260300</v>
          </cell>
          <cell r="B424">
            <v>40263500</v>
          </cell>
          <cell r="C424">
            <v>87637</v>
          </cell>
          <cell r="D424" t="str">
            <v>THIRIET WITLOOF HAM KAAS 350G</v>
          </cell>
          <cell r="E424" t="str">
            <v>THIRIET</v>
          </cell>
          <cell r="F424" t="str">
            <v>355mm</v>
          </cell>
          <cell r="G424" t="str">
            <v>UK-59</v>
          </cell>
          <cell r="H424">
            <v>365</v>
          </cell>
          <cell r="I424">
            <v>0.35</v>
          </cell>
          <cell r="J424" t="str">
            <v>H22</v>
          </cell>
          <cell r="K424" t="str">
            <v>NVT</v>
          </cell>
          <cell r="L424">
            <v>10</v>
          </cell>
          <cell r="M424" t="str">
            <v>H22X10 GEPERFOREERD</v>
          </cell>
          <cell r="N424">
            <v>84</v>
          </cell>
          <cell r="O424">
            <v>13292590876378</v>
          </cell>
          <cell r="P424" t="str">
            <v>2T-K</v>
          </cell>
          <cell r="Q424">
            <v>1</v>
          </cell>
          <cell r="R424">
            <v>2</v>
          </cell>
          <cell r="S424" t="str">
            <v>HAM snijden, 2000 sneedjes hesp/werkuur</v>
          </cell>
          <cell r="T424">
            <v>1500</v>
          </cell>
          <cell r="U424">
            <v>10</v>
          </cell>
          <cell r="V424">
            <v>1500</v>
          </cell>
          <cell r="W424">
            <v>10</v>
          </cell>
          <cell r="X424">
            <v>0</v>
          </cell>
          <cell r="Y424">
            <v>0</v>
          </cell>
          <cell r="Z424">
            <v>0.04</v>
          </cell>
          <cell r="AA424" t="str">
            <v>! !</v>
          </cell>
          <cell r="AB424">
            <v>5750</v>
          </cell>
          <cell r="AC424">
            <v>0.09</v>
          </cell>
          <cell r="AJ424" t="str">
            <v>V-A</v>
          </cell>
          <cell r="AL424">
            <v>0</v>
          </cell>
          <cell r="AM424">
            <v>1500</v>
          </cell>
          <cell r="AN424" t="e">
            <v>#VALUE!</v>
          </cell>
          <cell r="AO424" t="e">
            <v>#VALUE!</v>
          </cell>
          <cell r="AP424">
            <v>-1500</v>
          </cell>
        </row>
        <row r="425">
          <cell r="A425">
            <v>64270000</v>
          </cell>
          <cell r="B425" t="str">
            <v>NVT</v>
          </cell>
          <cell r="C425">
            <v>10703</v>
          </cell>
          <cell r="D425" t="str">
            <v>BLUE GREEN BAMI 400G</v>
          </cell>
          <cell r="E425" t="str">
            <v>BLUE GREEN</v>
          </cell>
          <cell r="F425" t="str">
            <v>355mm</v>
          </cell>
          <cell r="G425" t="str">
            <v>UK-59</v>
          </cell>
          <cell r="H425">
            <v>365</v>
          </cell>
          <cell r="I425">
            <v>0.4</v>
          </cell>
          <cell r="J425" t="str">
            <v>NVT</v>
          </cell>
          <cell r="K425" t="str">
            <v>100x100 bl</v>
          </cell>
          <cell r="L425">
            <v>10</v>
          </cell>
          <cell r="M425" t="str">
            <v>H22X10</v>
          </cell>
          <cell r="N425">
            <v>84</v>
          </cell>
          <cell r="O425">
            <v>8716893025205</v>
          </cell>
          <cell r="P425" t="str">
            <v>L</v>
          </cell>
          <cell r="Q425">
            <v>2</v>
          </cell>
          <cell r="R425">
            <v>3</v>
          </cell>
          <cell r="T425">
            <v>2000</v>
          </cell>
          <cell r="U425">
            <v>6</v>
          </cell>
          <cell r="V425">
            <v>2000</v>
          </cell>
          <cell r="W425">
            <v>6</v>
          </cell>
          <cell r="X425">
            <v>0</v>
          </cell>
          <cell r="Y425">
            <v>0</v>
          </cell>
          <cell r="Z425">
            <v>0</v>
          </cell>
          <cell r="AA425" t="str">
            <v>! ! !</v>
          </cell>
          <cell r="AB425">
            <v>13400</v>
          </cell>
          <cell r="AC425">
            <v>0</v>
          </cell>
          <cell r="AG425">
            <v>50</v>
          </cell>
          <cell r="AJ425" t="str">
            <v>V-A</v>
          </cell>
          <cell r="AK425" t="str">
            <v>Ja</v>
          </cell>
          <cell r="AL425">
            <v>3000</v>
          </cell>
          <cell r="AM425">
            <v>2000</v>
          </cell>
          <cell r="AN425" t="e">
            <v>#VALUE!</v>
          </cell>
          <cell r="AO425" t="e">
            <v>#VALUE!</v>
          </cell>
          <cell r="AP425">
            <v>1000</v>
          </cell>
        </row>
        <row r="426">
          <cell r="A426">
            <v>64270100</v>
          </cell>
          <cell r="B426" t="str">
            <v>NVT</v>
          </cell>
          <cell r="C426">
            <v>10705</v>
          </cell>
          <cell r="D426" t="str">
            <v>BLUE GREEN NASI 400G</v>
          </cell>
          <cell r="E426" t="str">
            <v>BLUE GREEN</v>
          </cell>
          <cell r="F426" t="str">
            <v>355mm</v>
          </cell>
          <cell r="G426" t="str">
            <v>UK-59</v>
          </cell>
          <cell r="H426">
            <v>365</v>
          </cell>
          <cell r="I426">
            <v>0.4</v>
          </cell>
          <cell r="J426" t="str">
            <v>NVT</v>
          </cell>
          <cell r="K426" t="str">
            <v>100x100 bl</v>
          </cell>
          <cell r="L426">
            <v>10</v>
          </cell>
          <cell r="M426" t="str">
            <v>H22X10</v>
          </cell>
          <cell r="N426">
            <v>84</v>
          </cell>
          <cell r="O426">
            <v>8716893025212</v>
          </cell>
          <cell r="P426" t="str">
            <v>L</v>
          </cell>
          <cell r="Q426">
            <v>2</v>
          </cell>
          <cell r="R426">
            <v>3</v>
          </cell>
          <cell r="T426">
            <v>2000</v>
          </cell>
          <cell r="U426">
            <v>5</v>
          </cell>
          <cell r="V426">
            <v>2000</v>
          </cell>
          <cell r="W426">
            <v>5</v>
          </cell>
          <cell r="X426">
            <v>0</v>
          </cell>
          <cell r="Y426">
            <v>0</v>
          </cell>
          <cell r="Z426">
            <v>0</v>
          </cell>
          <cell r="AA426" t="str">
            <v>! ! !</v>
          </cell>
          <cell r="AB426">
            <v>13400</v>
          </cell>
          <cell r="AC426">
            <v>0</v>
          </cell>
          <cell r="AG426">
            <v>50</v>
          </cell>
          <cell r="AJ426" t="str">
            <v>V-A</v>
          </cell>
          <cell r="AK426" t="str">
            <v>Ja</v>
          </cell>
          <cell r="AL426">
            <v>3000</v>
          </cell>
          <cell r="AM426">
            <v>2000</v>
          </cell>
          <cell r="AN426" t="e">
            <v>#VALUE!</v>
          </cell>
          <cell r="AO426" t="e">
            <v>#VALUE!</v>
          </cell>
          <cell r="AP426">
            <v>1000</v>
          </cell>
        </row>
        <row r="427">
          <cell r="A427">
            <v>64270200</v>
          </cell>
          <cell r="B427" t="str">
            <v>NVT</v>
          </cell>
          <cell r="C427">
            <v>10704</v>
          </cell>
          <cell r="D427" t="str">
            <v>BLUE GREEN MACARONI 400G</v>
          </cell>
          <cell r="E427" t="str">
            <v>BLUE GREEN</v>
          </cell>
          <cell r="F427" t="str">
            <v>355mm</v>
          </cell>
          <cell r="G427" t="str">
            <v>UK-59</v>
          </cell>
          <cell r="H427">
            <v>365</v>
          </cell>
          <cell r="I427">
            <v>0.4</v>
          </cell>
          <cell r="J427" t="str">
            <v>NVT</v>
          </cell>
          <cell r="K427" t="str">
            <v>100x100 bl</v>
          </cell>
          <cell r="L427">
            <v>10</v>
          </cell>
          <cell r="M427" t="str">
            <v>H22X10</v>
          </cell>
          <cell r="N427">
            <v>84</v>
          </cell>
          <cell r="O427">
            <v>8716893025229</v>
          </cell>
          <cell r="P427" t="str">
            <v>L</v>
          </cell>
          <cell r="Q427">
            <v>2</v>
          </cell>
          <cell r="R427">
            <v>3</v>
          </cell>
          <cell r="T427">
            <v>2000</v>
          </cell>
          <cell r="U427">
            <v>5</v>
          </cell>
          <cell r="V427">
            <v>2000</v>
          </cell>
          <cell r="W427">
            <v>5</v>
          </cell>
          <cell r="X427">
            <v>0</v>
          </cell>
          <cell r="Y427">
            <v>0</v>
          </cell>
          <cell r="Z427">
            <v>0</v>
          </cell>
          <cell r="AA427" t="str">
            <v>! ! !</v>
          </cell>
          <cell r="AB427">
            <v>5000</v>
          </cell>
          <cell r="AC427">
            <v>0</v>
          </cell>
          <cell r="AG427">
            <v>40</v>
          </cell>
          <cell r="AJ427" t="str">
            <v>V-A</v>
          </cell>
          <cell r="AK427" t="str">
            <v>Ja</v>
          </cell>
          <cell r="AL427">
            <v>2400</v>
          </cell>
          <cell r="AM427">
            <v>2000</v>
          </cell>
          <cell r="AN427" t="e">
            <v>#VALUE!</v>
          </cell>
          <cell r="AO427" t="e">
            <v>#VALUE!</v>
          </cell>
          <cell r="AP427">
            <v>400</v>
          </cell>
        </row>
        <row r="428">
          <cell r="A428">
            <v>64280100</v>
          </cell>
          <cell r="B428">
            <v>40239200</v>
          </cell>
          <cell r="C428">
            <v>9912266</v>
          </cell>
          <cell r="D428" t="str">
            <v>BOF BE LASAGNE KIP 450G</v>
          </cell>
          <cell r="E428" t="str">
            <v>Bofrost BE</v>
          </cell>
          <cell r="F428" t="str">
            <v>355mm</v>
          </cell>
          <cell r="G428" t="str">
            <v>UK-59</v>
          </cell>
          <cell r="H428">
            <v>456</v>
          </cell>
          <cell r="I428">
            <v>0.45</v>
          </cell>
          <cell r="J428" t="str">
            <v>H22</v>
          </cell>
          <cell r="K428" t="str">
            <v>NVT</v>
          </cell>
          <cell r="L428">
            <v>10</v>
          </cell>
          <cell r="M428" t="str">
            <v>H22X10</v>
          </cell>
          <cell r="N428">
            <v>84</v>
          </cell>
          <cell r="O428">
            <v>5400870428013</v>
          </cell>
          <cell r="P428" t="str">
            <v>4T-H</v>
          </cell>
          <cell r="Q428">
            <v>2</v>
          </cell>
          <cell r="R428">
            <v>2</v>
          </cell>
          <cell r="T428">
            <v>2500</v>
          </cell>
          <cell r="U428">
            <v>7</v>
          </cell>
          <cell r="V428">
            <v>2500</v>
          </cell>
          <cell r="W428">
            <v>7</v>
          </cell>
          <cell r="X428">
            <v>0</v>
          </cell>
          <cell r="Y428">
            <v>0</v>
          </cell>
          <cell r="Z428">
            <v>0</v>
          </cell>
          <cell r="AA428" t="str">
            <v>! !</v>
          </cell>
          <cell r="AB428">
            <v>5500</v>
          </cell>
          <cell r="AC428">
            <v>0</v>
          </cell>
          <cell r="AG428">
            <v>50</v>
          </cell>
          <cell r="AJ428" t="str">
            <v>-</v>
          </cell>
          <cell r="AL428">
            <v>3000</v>
          </cell>
          <cell r="AM428">
            <v>2500</v>
          </cell>
          <cell r="AN428" t="e">
            <v>#VALUE!</v>
          </cell>
          <cell r="AO428" t="e">
            <v>#VALUE!</v>
          </cell>
          <cell r="AP428">
            <v>500</v>
          </cell>
        </row>
        <row r="429">
          <cell r="A429">
            <v>64280300</v>
          </cell>
          <cell r="B429">
            <v>40239400</v>
          </cell>
          <cell r="C429">
            <v>9902782</v>
          </cell>
          <cell r="D429" t="str">
            <v>BOF BE LASAGNE WITLOOF HAM KAAS 450G</v>
          </cell>
          <cell r="E429" t="str">
            <v>Bofrost BE</v>
          </cell>
          <cell r="F429" t="str">
            <v>355mm</v>
          </cell>
          <cell r="G429" t="str">
            <v>UK-59</v>
          </cell>
          <cell r="H429">
            <v>365</v>
          </cell>
          <cell r="I429">
            <v>0.45</v>
          </cell>
          <cell r="J429" t="str">
            <v>H22</v>
          </cell>
          <cell r="K429" t="str">
            <v>NVT</v>
          </cell>
          <cell r="L429">
            <v>10</v>
          </cell>
          <cell r="M429" t="str">
            <v>H22X10</v>
          </cell>
          <cell r="N429">
            <v>84</v>
          </cell>
          <cell r="O429">
            <v>5400870428037</v>
          </cell>
          <cell r="P429" t="str">
            <v>5T-K</v>
          </cell>
          <cell r="Q429">
            <v>2</v>
          </cell>
          <cell r="R429">
            <v>2</v>
          </cell>
          <cell r="S429" t="str">
            <v>HAM snijden</v>
          </cell>
          <cell r="T429">
            <v>2500</v>
          </cell>
          <cell r="U429">
            <v>6</v>
          </cell>
          <cell r="V429">
            <v>2500</v>
          </cell>
          <cell r="W429">
            <v>6</v>
          </cell>
          <cell r="X429">
            <v>0</v>
          </cell>
          <cell r="Y429">
            <v>0</v>
          </cell>
          <cell r="Z429">
            <v>0</v>
          </cell>
          <cell r="AA429" t="str">
            <v>! ! !</v>
          </cell>
          <cell r="AB429">
            <v>5000</v>
          </cell>
          <cell r="AC429">
            <v>0</v>
          </cell>
          <cell r="AG429">
            <v>50</v>
          </cell>
          <cell r="AJ429" t="str">
            <v>V-A</v>
          </cell>
          <cell r="AL429">
            <v>3000</v>
          </cell>
          <cell r="AM429">
            <v>2500</v>
          </cell>
          <cell r="AN429" t="e">
            <v>#VALUE!</v>
          </cell>
          <cell r="AO429" t="e">
            <v>#VALUE!</v>
          </cell>
          <cell r="AP429">
            <v>500</v>
          </cell>
        </row>
        <row r="430">
          <cell r="A430">
            <v>64280500</v>
          </cell>
          <cell r="B430">
            <v>40239600</v>
          </cell>
          <cell r="C430">
            <v>9912791</v>
          </cell>
          <cell r="D430" t="str">
            <v>BOF BE SPAGHETTI BOLOGNESE 450G</v>
          </cell>
          <cell r="E430" t="str">
            <v>Bofrost BE</v>
          </cell>
          <cell r="F430" t="str">
            <v>355mm</v>
          </cell>
          <cell r="G430" t="str">
            <v>UK-59</v>
          </cell>
          <cell r="H430">
            <v>365</v>
          </cell>
          <cell r="I430">
            <v>0.45</v>
          </cell>
          <cell r="J430" t="str">
            <v>H22</v>
          </cell>
          <cell r="K430" t="str">
            <v>NVT</v>
          </cell>
          <cell r="L430">
            <v>10</v>
          </cell>
          <cell r="M430" t="str">
            <v>H22X10</v>
          </cell>
          <cell r="N430">
            <v>84</v>
          </cell>
          <cell r="O430">
            <v>5400870428051</v>
          </cell>
          <cell r="P430" t="str">
            <v>L-2T</v>
          </cell>
          <cell r="Q430">
            <v>2</v>
          </cell>
          <cell r="R430">
            <v>2</v>
          </cell>
          <cell r="T430">
            <v>3500</v>
          </cell>
          <cell r="U430">
            <v>4</v>
          </cell>
          <cell r="V430">
            <v>3500</v>
          </cell>
          <cell r="W430">
            <v>4</v>
          </cell>
          <cell r="X430">
            <v>0</v>
          </cell>
          <cell r="Y430">
            <v>0</v>
          </cell>
          <cell r="Z430">
            <v>0</v>
          </cell>
          <cell r="AA430" t="str">
            <v>! ! !</v>
          </cell>
          <cell r="AC430">
            <v>0</v>
          </cell>
          <cell r="AG430">
            <v>68</v>
          </cell>
          <cell r="AJ430" t="str">
            <v>V-A</v>
          </cell>
          <cell r="AL430">
            <v>4080</v>
          </cell>
          <cell r="AM430">
            <v>3500</v>
          </cell>
          <cell r="AN430" t="e">
            <v>#VALUE!</v>
          </cell>
          <cell r="AO430" t="e">
            <v>#VALUE!</v>
          </cell>
          <cell r="AP430">
            <v>580</v>
          </cell>
        </row>
        <row r="431">
          <cell r="A431">
            <v>64280700</v>
          </cell>
          <cell r="B431">
            <v>40241900</v>
          </cell>
          <cell r="C431">
            <v>9912643</v>
          </cell>
          <cell r="D431" t="str">
            <v>BOF BE KIPPENRAGOUT VOOR VIDEES 450G</v>
          </cell>
          <cell r="E431" t="str">
            <v>Bofrost BE</v>
          </cell>
          <cell r="F431" t="str">
            <v>355mm</v>
          </cell>
          <cell r="G431" t="str">
            <v>UK-59</v>
          </cell>
          <cell r="H431">
            <v>456</v>
          </cell>
          <cell r="I431">
            <v>0.45</v>
          </cell>
          <cell r="J431" t="str">
            <v>H22</v>
          </cell>
          <cell r="K431" t="str">
            <v>NVT</v>
          </cell>
          <cell r="L431">
            <v>10</v>
          </cell>
          <cell r="M431" t="str">
            <v>H22X10</v>
          </cell>
          <cell r="N431">
            <v>84</v>
          </cell>
          <cell r="O431">
            <v>5400870428075</v>
          </cell>
          <cell r="P431" t="str">
            <v>2T</v>
          </cell>
          <cell r="Q431">
            <v>2</v>
          </cell>
          <cell r="R431">
            <v>2</v>
          </cell>
          <cell r="T431">
            <v>3500</v>
          </cell>
          <cell r="U431">
            <v>2</v>
          </cell>
          <cell r="V431">
            <v>3500</v>
          </cell>
          <cell r="W431">
            <v>2</v>
          </cell>
          <cell r="X431">
            <v>0</v>
          </cell>
          <cell r="Y431">
            <v>0</v>
          </cell>
          <cell r="Z431">
            <v>0</v>
          </cell>
          <cell r="AA431" t="str">
            <v>! !</v>
          </cell>
          <cell r="AC431">
            <v>0</v>
          </cell>
          <cell r="AG431">
            <v>68</v>
          </cell>
          <cell r="AJ431" t="str">
            <v>-</v>
          </cell>
          <cell r="AL431">
            <v>4080</v>
          </cell>
          <cell r="AM431">
            <v>3500</v>
          </cell>
          <cell r="AN431" t="e">
            <v>#VALUE!</v>
          </cell>
          <cell r="AO431" t="e">
            <v>#VALUE!</v>
          </cell>
          <cell r="AP431">
            <v>580</v>
          </cell>
        </row>
        <row r="432">
          <cell r="A432">
            <v>64280900</v>
          </cell>
          <cell r="B432">
            <v>40242200</v>
          </cell>
          <cell r="C432">
            <v>9912012</v>
          </cell>
          <cell r="D432" t="str">
            <v>BOF BE RUNDSTONG MADEIRA 400G</v>
          </cell>
          <cell r="E432" t="str">
            <v>Bofrost BE</v>
          </cell>
          <cell r="F432" t="str">
            <v>355mm</v>
          </cell>
          <cell r="G432" t="str">
            <v>UK-59</v>
          </cell>
          <cell r="H432">
            <v>548</v>
          </cell>
          <cell r="I432">
            <v>0.4</v>
          </cell>
          <cell r="J432" t="str">
            <v>H22</v>
          </cell>
          <cell r="K432" t="str">
            <v>NVT</v>
          </cell>
          <cell r="L432">
            <v>10</v>
          </cell>
          <cell r="M432" t="str">
            <v>H22X10</v>
          </cell>
          <cell r="N432">
            <v>84</v>
          </cell>
          <cell r="O432">
            <v>5400870428099</v>
          </cell>
          <cell r="P432" t="str">
            <v>2T</v>
          </cell>
          <cell r="Q432">
            <v>1</v>
          </cell>
          <cell r="R432">
            <v>2</v>
          </cell>
          <cell r="S432" t="str">
            <v>Rund: 800kg/8u/pers;voor snijden aanhechtingsstuk tong wegsnijden, check met Stephan</v>
          </cell>
          <cell r="T432">
            <v>3200</v>
          </cell>
          <cell r="U432">
            <v>11</v>
          </cell>
          <cell r="V432">
            <v>3200</v>
          </cell>
          <cell r="W432">
            <v>11</v>
          </cell>
          <cell r="X432">
            <v>0</v>
          </cell>
          <cell r="Y432">
            <v>0</v>
          </cell>
          <cell r="Z432">
            <v>0</v>
          </cell>
          <cell r="AA432" t="str">
            <v>! ! !</v>
          </cell>
          <cell r="AC432">
            <v>0</v>
          </cell>
          <cell r="AG432">
            <v>60</v>
          </cell>
          <cell r="AJ432" t="str">
            <v>V-A</v>
          </cell>
          <cell r="AL432">
            <v>3600</v>
          </cell>
          <cell r="AM432">
            <v>3200</v>
          </cell>
          <cell r="AN432" t="e">
            <v>#VALUE!</v>
          </cell>
          <cell r="AO432" t="e">
            <v>#VALUE!</v>
          </cell>
          <cell r="AP432">
            <v>400</v>
          </cell>
        </row>
        <row r="433">
          <cell r="A433">
            <v>64281000</v>
          </cell>
          <cell r="B433">
            <v>40243300</v>
          </cell>
          <cell r="C433">
            <v>9802846</v>
          </cell>
          <cell r="D433" t="str">
            <v>BOF BE MACARONI HAM KAAS 450G</v>
          </cell>
          <cell r="E433" t="str">
            <v>Bofrost BE</v>
          </cell>
          <cell r="F433" t="str">
            <v>355mm</v>
          </cell>
          <cell r="G433" t="str">
            <v>UK-59</v>
          </cell>
          <cell r="H433">
            <v>365</v>
          </cell>
          <cell r="I433">
            <v>0.45</v>
          </cell>
          <cell r="J433" t="str">
            <v>H22</v>
          </cell>
          <cell r="K433" t="str">
            <v>NVT</v>
          </cell>
          <cell r="L433">
            <v>10</v>
          </cell>
          <cell r="M433" t="str">
            <v>H22X10</v>
          </cell>
          <cell r="N433">
            <v>84</v>
          </cell>
          <cell r="O433">
            <v>5400870428105</v>
          </cell>
          <cell r="P433" t="str">
            <v>L-2T-K</v>
          </cell>
          <cell r="Q433">
            <v>2.5</v>
          </cell>
          <cell r="R433">
            <v>2</v>
          </cell>
          <cell r="S433" t="str">
            <v>HAM snijden D-1</v>
          </cell>
          <cell r="T433">
            <v>3500</v>
          </cell>
          <cell r="U433">
            <v>7</v>
          </cell>
          <cell r="V433">
            <v>3500</v>
          </cell>
          <cell r="W433">
            <v>7</v>
          </cell>
          <cell r="X433">
            <v>0</v>
          </cell>
          <cell r="Y433">
            <v>0</v>
          </cell>
          <cell r="Z433">
            <v>0</v>
          </cell>
          <cell r="AA433" t="str">
            <v>! !</v>
          </cell>
          <cell r="AC433">
            <v>0</v>
          </cell>
          <cell r="AG433">
            <v>68</v>
          </cell>
          <cell r="AJ433" t="str">
            <v>V-A</v>
          </cell>
          <cell r="AL433">
            <v>4080</v>
          </cell>
          <cell r="AM433">
            <v>3500</v>
          </cell>
          <cell r="AN433" t="e">
            <v>#VALUE!</v>
          </cell>
          <cell r="AO433" t="e">
            <v>#VALUE!</v>
          </cell>
          <cell r="AP433">
            <v>580</v>
          </cell>
        </row>
        <row r="434">
          <cell r="A434">
            <v>64281100</v>
          </cell>
          <cell r="B434">
            <v>40244100</v>
          </cell>
          <cell r="C434">
            <v>9812194</v>
          </cell>
          <cell r="D434" t="str">
            <v>BOF BE KALFSBLANKET OUDE WIJZE KRIELAARDAP 450G</v>
          </cell>
          <cell r="E434" t="str">
            <v>Bofrost BE</v>
          </cell>
          <cell r="F434" t="str">
            <v>355mm</v>
          </cell>
          <cell r="G434" t="str">
            <v>UK-59</v>
          </cell>
          <cell r="H434">
            <v>456</v>
          </cell>
          <cell r="I434">
            <v>0.45</v>
          </cell>
          <cell r="J434" t="str">
            <v>H22</v>
          </cell>
          <cell r="K434" t="str">
            <v>NVT</v>
          </cell>
          <cell r="L434">
            <v>10</v>
          </cell>
          <cell r="M434" t="str">
            <v>H22X10</v>
          </cell>
          <cell r="N434">
            <v>84</v>
          </cell>
          <cell r="O434">
            <v>5400870428112</v>
          </cell>
          <cell r="P434" t="str">
            <v>T</v>
          </cell>
          <cell r="Q434">
            <v>1</v>
          </cell>
          <cell r="R434">
            <v>2</v>
          </cell>
          <cell r="S434" t="str">
            <v>KALFSBLANKET (vacuumzakken) D-1 + KRIELEN steamen D-0</v>
          </cell>
          <cell r="T434">
            <v>2200</v>
          </cell>
          <cell r="U434">
            <v>8</v>
          </cell>
          <cell r="V434">
            <v>2200</v>
          </cell>
          <cell r="W434">
            <v>8</v>
          </cell>
          <cell r="X434">
            <v>0</v>
          </cell>
          <cell r="Y434">
            <v>0</v>
          </cell>
          <cell r="Z434">
            <v>0</v>
          </cell>
          <cell r="AA434" t="str">
            <v>! !</v>
          </cell>
          <cell r="AB434">
            <v>3000</v>
          </cell>
          <cell r="AC434">
            <v>0.18350769230769232</v>
          </cell>
          <cell r="AJ434" t="str">
            <v>V-A</v>
          </cell>
          <cell r="AL434">
            <v>0</v>
          </cell>
          <cell r="AM434">
            <v>2200</v>
          </cell>
          <cell r="AN434" t="e">
            <v>#VALUE!</v>
          </cell>
          <cell r="AO434" t="e">
            <v>#VALUE!</v>
          </cell>
          <cell r="AP434">
            <v>-2200</v>
          </cell>
        </row>
        <row r="435">
          <cell r="A435">
            <v>64281900</v>
          </cell>
          <cell r="B435">
            <v>40265400</v>
          </cell>
          <cell r="C435">
            <v>9912215</v>
          </cell>
          <cell r="D435" t="str">
            <v>BOF BE PEERTJES RODE WIJN 450G</v>
          </cell>
          <cell r="E435" t="str">
            <v>Bofrost BE</v>
          </cell>
          <cell r="F435" t="str">
            <v>355mm</v>
          </cell>
          <cell r="G435" t="str">
            <v>UK-59</v>
          </cell>
          <cell r="H435">
            <v>548</v>
          </cell>
          <cell r="I435">
            <v>0.45</v>
          </cell>
          <cell r="J435" t="str">
            <v>H22</v>
          </cell>
          <cell r="K435" t="str">
            <v>NVT</v>
          </cell>
          <cell r="L435">
            <v>10</v>
          </cell>
          <cell r="M435" t="str">
            <v>H22X10</v>
          </cell>
          <cell r="N435">
            <v>84</v>
          </cell>
          <cell r="O435">
            <v>5400870428198</v>
          </cell>
          <cell r="P435" t="str">
            <v>I-2T</v>
          </cell>
          <cell r="Q435">
            <v>2</v>
          </cell>
          <cell r="R435">
            <v>2</v>
          </cell>
          <cell r="T435">
            <v>3500</v>
          </cell>
          <cell r="U435">
            <v>6</v>
          </cell>
          <cell r="V435">
            <v>3500</v>
          </cell>
          <cell r="W435">
            <v>6</v>
          </cell>
          <cell r="Z435">
            <v>0</v>
          </cell>
          <cell r="AA435" t="str">
            <v>!</v>
          </cell>
          <cell r="AB435">
            <v>3000</v>
          </cell>
          <cell r="AJ435" t="str">
            <v>V-A</v>
          </cell>
          <cell r="AL435">
            <v>0</v>
          </cell>
          <cell r="AM435">
            <v>3500</v>
          </cell>
          <cell r="AN435" t="e">
            <v>#VALUE!</v>
          </cell>
          <cell r="AO435" t="e">
            <v>#VALUE!</v>
          </cell>
          <cell r="AP435">
            <v>-3500</v>
          </cell>
        </row>
        <row r="436">
          <cell r="A436">
            <v>64282000</v>
          </cell>
          <cell r="B436">
            <v>40265800</v>
          </cell>
          <cell r="C436">
            <v>9912228</v>
          </cell>
          <cell r="D436" t="str">
            <v>BOF BE ZWARTE PENS APPELCOMPOTE PUREE 420G</v>
          </cell>
          <cell r="E436" t="str">
            <v>Bofrost BE</v>
          </cell>
          <cell r="F436" t="str">
            <v>355mm</v>
          </cell>
          <cell r="G436" t="str">
            <v>UK-59</v>
          </cell>
          <cell r="H436">
            <v>365</v>
          </cell>
          <cell r="I436">
            <v>0.42</v>
          </cell>
          <cell r="J436" t="str">
            <v>H22</v>
          </cell>
          <cell r="K436" t="str">
            <v>NVT</v>
          </cell>
          <cell r="L436">
            <v>10</v>
          </cell>
          <cell r="M436" t="str">
            <v>H22X10</v>
          </cell>
          <cell r="N436">
            <v>84</v>
          </cell>
          <cell r="O436">
            <v>5400870428204</v>
          </cell>
          <cell r="P436" t="str">
            <v>2H-2T</v>
          </cell>
          <cell r="Q436">
            <v>2</v>
          </cell>
          <cell r="R436">
            <v>2</v>
          </cell>
          <cell r="T436">
            <v>3200</v>
          </cell>
          <cell r="U436">
            <v>5</v>
          </cell>
          <cell r="V436">
            <v>3200</v>
          </cell>
          <cell r="W436">
            <v>5</v>
          </cell>
          <cell r="X436" t="str">
            <v>X</v>
          </cell>
          <cell r="Y436" t="str">
            <v>X</v>
          </cell>
          <cell r="Z436">
            <v>0</v>
          </cell>
          <cell r="AA436" t="str">
            <v>! ! !</v>
          </cell>
          <cell r="AB436">
            <v>3000</v>
          </cell>
          <cell r="AC436">
            <v>0</v>
          </cell>
          <cell r="AJ436" t="str">
            <v>V-A</v>
          </cell>
          <cell r="AL436">
            <v>0</v>
          </cell>
          <cell r="AM436">
            <v>3200</v>
          </cell>
          <cell r="AN436" t="e">
            <v>#VALUE!</v>
          </cell>
          <cell r="AO436" t="e">
            <v>#VALUE!</v>
          </cell>
          <cell r="AP436">
            <v>-3200</v>
          </cell>
        </row>
        <row r="437">
          <cell r="A437">
            <v>64282200</v>
          </cell>
          <cell r="B437">
            <v>40275500</v>
          </cell>
          <cell r="C437">
            <v>9812264</v>
          </cell>
          <cell r="D437" t="str">
            <v>BOF BE CANNELLONI RUNDVLEES TOMATENSAUS 400G</v>
          </cell>
          <cell r="E437" t="str">
            <v>Bofrost BE</v>
          </cell>
          <cell r="F437" t="str">
            <v>355mm</v>
          </cell>
          <cell r="G437" t="str">
            <v>UK-59</v>
          </cell>
          <cell r="H437">
            <v>456</v>
          </cell>
          <cell r="I437">
            <v>0.4</v>
          </cell>
          <cell r="J437" t="str">
            <v>H22</v>
          </cell>
          <cell r="K437" t="str">
            <v>NVT</v>
          </cell>
          <cell r="L437">
            <v>10</v>
          </cell>
          <cell r="M437" t="str">
            <v>H22X10</v>
          </cell>
          <cell r="N437">
            <v>84</v>
          </cell>
          <cell r="O437">
            <v>5400870428228</v>
          </cell>
          <cell r="P437" t="str">
            <v>4T-K</v>
          </cell>
          <cell r="Q437">
            <v>1</v>
          </cell>
          <cell r="R437">
            <v>3</v>
          </cell>
          <cell r="T437">
            <v>1500</v>
          </cell>
          <cell r="U437">
            <v>4</v>
          </cell>
          <cell r="V437">
            <v>1500</v>
          </cell>
          <cell r="W437">
            <v>4</v>
          </cell>
          <cell r="X437" t="str">
            <v>X</v>
          </cell>
          <cell r="Y437" t="str">
            <v>X</v>
          </cell>
          <cell r="Z437">
            <v>0</v>
          </cell>
          <cell r="AA437" t="str">
            <v>! ! !</v>
          </cell>
          <cell r="AG437">
            <v>30</v>
          </cell>
          <cell r="AL437">
            <v>1800</v>
          </cell>
          <cell r="AM437">
            <v>1500</v>
          </cell>
          <cell r="AN437" t="e">
            <v>#VALUE!</v>
          </cell>
          <cell r="AO437" t="e">
            <v>#VALUE!</v>
          </cell>
          <cell r="AP437">
            <v>300</v>
          </cell>
        </row>
        <row r="438">
          <cell r="A438">
            <v>64282300</v>
          </cell>
          <cell r="B438">
            <v>40276900</v>
          </cell>
          <cell r="C438">
            <v>9912258</v>
          </cell>
          <cell r="D438" t="str">
            <v>BOF BE RUNDSTOOFVLEES IN BIERSAUS 450G</v>
          </cell>
          <cell r="E438" t="str">
            <v>Bofrost BE</v>
          </cell>
          <cell r="F438" t="str">
            <v>355mm</v>
          </cell>
          <cell r="G438" t="str">
            <v>UK-59</v>
          </cell>
          <cell r="H438">
            <v>548</v>
          </cell>
          <cell r="I438">
            <v>0.45</v>
          </cell>
          <cell r="J438" t="str">
            <v>H22</v>
          </cell>
          <cell r="K438" t="str">
            <v>NVT</v>
          </cell>
          <cell r="L438">
            <v>10</v>
          </cell>
          <cell r="M438" t="str">
            <v>H22X10</v>
          </cell>
          <cell r="N438">
            <v>84</v>
          </cell>
          <cell r="O438">
            <v>5400870428235</v>
          </cell>
          <cell r="P438" t="str">
            <v>I-2T</v>
          </cell>
          <cell r="Q438">
            <v>1</v>
          </cell>
          <cell r="R438">
            <v>2</v>
          </cell>
          <cell r="S438" t="str">
            <v>pulled beef tussen D-4 en D-2</v>
          </cell>
          <cell r="T438">
            <v>3500</v>
          </cell>
          <cell r="U438">
            <v>3</v>
          </cell>
          <cell r="V438">
            <v>3500</v>
          </cell>
          <cell r="W438">
            <v>3</v>
          </cell>
          <cell r="Z438">
            <v>0</v>
          </cell>
          <cell r="AA438" t="str">
            <v>! ! !</v>
          </cell>
          <cell r="AJ438" t="str">
            <v>V-A</v>
          </cell>
          <cell r="AL438">
            <v>0</v>
          </cell>
          <cell r="AM438">
            <v>3500</v>
          </cell>
          <cell r="AN438" t="e">
            <v>#VALUE!</v>
          </cell>
          <cell r="AO438" t="e">
            <v>#VALUE!</v>
          </cell>
          <cell r="AP438">
            <v>-3500</v>
          </cell>
        </row>
        <row r="439">
          <cell r="A439">
            <v>64282400</v>
          </cell>
          <cell r="B439">
            <v>40280200</v>
          </cell>
          <cell r="C439" t="str">
            <v>9912280 </v>
          </cell>
          <cell r="D439" t="str">
            <v>BOF BE WITTE PENS APPELCOMPOTE PUREE 420G</v>
          </cell>
          <cell r="E439" t="str">
            <v>Bofrost BE</v>
          </cell>
          <cell r="F439" t="str">
            <v>355mm</v>
          </cell>
          <cell r="G439" t="str">
            <v>UK-59</v>
          </cell>
          <cell r="H439">
            <v>456</v>
          </cell>
          <cell r="I439">
            <v>0.42</v>
          </cell>
          <cell r="J439" t="str">
            <v>H22</v>
          </cell>
          <cell r="K439" t="str">
            <v>NVT</v>
          </cell>
          <cell r="L439">
            <v>10</v>
          </cell>
          <cell r="M439" t="str">
            <v>H22X10</v>
          </cell>
          <cell r="N439">
            <v>84</v>
          </cell>
          <cell r="O439">
            <v>5400870428242</v>
          </cell>
          <cell r="P439" t="str">
            <v>2H-2T</v>
          </cell>
          <cell r="Q439">
            <v>2</v>
          </cell>
          <cell r="R439">
            <v>2</v>
          </cell>
          <cell r="T439">
            <v>3200</v>
          </cell>
          <cell r="U439">
            <v>5</v>
          </cell>
          <cell r="V439">
            <v>3200</v>
          </cell>
          <cell r="W439">
            <v>5</v>
          </cell>
          <cell r="X439" t="str">
            <v>X</v>
          </cell>
          <cell r="Y439" t="str">
            <v>X</v>
          </cell>
          <cell r="Z439">
            <v>0</v>
          </cell>
          <cell r="AA439" t="str">
            <v>! ! !</v>
          </cell>
          <cell r="AB439">
            <v>3500</v>
          </cell>
          <cell r="AC439">
            <v>0</v>
          </cell>
          <cell r="AJ439" t="str">
            <v>V-A</v>
          </cell>
          <cell r="AL439">
            <v>0</v>
          </cell>
          <cell r="AM439">
            <v>3200</v>
          </cell>
          <cell r="AN439" t="e">
            <v>#VALUE!</v>
          </cell>
          <cell r="AO439" t="e">
            <v>#VALUE!</v>
          </cell>
          <cell r="AP439">
            <v>-3200</v>
          </cell>
        </row>
        <row r="440">
          <cell r="A440">
            <v>64282500</v>
          </cell>
          <cell r="B440">
            <v>40285700</v>
          </cell>
          <cell r="C440">
            <v>9912292</v>
          </cell>
          <cell r="D440" t="str">
            <v>BOF BE KIPPENHAASJE ZOET ZURE RIJST GROENTEN 420G</v>
          </cell>
          <cell r="E440" t="str">
            <v>Bofrost BE</v>
          </cell>
          <cell r="F440" t="str">
            <v>355mm</v>
          </cell>
          <cell r="G440" t="str">
            <v>UK-59</v>
          </cell>
          <cell r="H440">
            <v>548</v>
          </cell>
          <cell r="I440">
            <v>0.42</v>
          </cell>
          <cell r="J440" t="str">
            <v>H22</v>
          </cell>
          <cell r="K440" t="str">
            <v>NVT</v>
          </cell>
          <cell r="L440">
            <v>10</v>
          </cell>
          <cell r="M440" t="str">
            <v>H22X10</v>
          </cell>
          <cell r="N440">
            <v>84</v>
          </cell>
          <cell r="O440">
            <v>5400870428259</v>
          </cell>
          <cell r="P440" t="str">
            <v>I-L-2T</v>
          </cell>
          <cell r="T440">
            <v>3200</v>
          </cell>
          <cell r="U440">
            <v>5</v>
          </cell>
          <cell r="V440">
            <v>3200</v>
          </cell>
          <cell r="W440">
            <v>5</v>
          </cell>
          <cell r="Z440">
            <v>0</v>
          </cell>
          <cell r="AA440" t="str">
            <v>! ! ! ! !</v>
          </cell>
          <cell r="AJ440" t="str">
            <v>-</v>
          </cell>
          <cell r="AK440" t="str">
            <v>-</v>
          </cell>
          <cell r="AL440">
            <v>0</v>
          </cell>
          <cell r="AM440">
            <v>3200</v>
          </cell>
          <cell r="AN440" t="e">
            <v>#VALUE!</v>
          </cell>
          <cell r="AO440" t="e">
            <v>#VALUE!</v>
          </cell>
          <cell r="AP440">
            <v>-3200</v>
          </cell>
        </row>
        <row r="441">
          <cell r="A441">
            <v>64282600</v>
          </cell>
          <cell r="B441">
            <v>40285800</v>
          </cell>
          <cell r="C441">
            <v>9412291</v>
          </cell>
          <cell r="D441" t="str">
            <v>BOF BE BABI PANGANG RIJSTMIX 450G</v>
          </cell>
          <cell r="E441" t="str">
            <v>Bofrost BE</v>
          </cell>
          <cell r="F441" t="str">
            <v>355mm</v>
          </cell>
          <cell r="G441" t="str">
            <v>UK-59</v>
          </cell>
          <cell r="H441">
            <v>365</v>
          </cell>
          <cell r="I441">
            <v>0.45</v>
          </cell>
          <cell r="J441" t="str">
            <v>H22</v>
          </cell>
          <cell r="K441" t="str">
            <v>NVT</v>
          </cell>
          <cell r="L441">
            <v>10</v>
          </cell>
          <cell r="M441" t="str">
            <v>H22X10</v>
          </cell>
          <cell r="N441">
            <v>84</v>
          </cell>
          <cell r="O441">
            <v>5400870428266</v>
          </cell>
          <cell r="P441" t="str">
            <v>I-L-2T</v>
          </cell>
          <cell r="Q441">
            <v>2</v>
          </cell>
          <cell r="R441">
            <v>2</v>
          </cell>
          <cell r="S441" t="str">
            <v>rijst D-1</v>
          </cell>
          <cell r="T441">
            <v>3200</v>
          </cell>
          <cell r="U441">
            <v>5</v>
          </cell>
          <cell r="V441">
            <v>3200</v>
          </cell>
          <cell r="W441">
            <v>5</v>
          </cell>
          <cell r="Z441">
            <v>0</v>
          </cell>
          <cell r="AA441" t="str">
            <v>! ! ! ! !</v>
          </cell>
          <cell r="AJ441" t="str">
            <v>V-A</v>
          </cell>
          <cell r="AK441" t="str">
            <v>-</v>
          </cell>
          <cell r="AL441">
            <v>0</v>
          </cell>
          <cell r="AM441">
            <v>3200</v>
          </cell>
          <cell r="AN441" t="e">
            <v>#VALUE!</v>
          </cell>
          <cell r="AO441" t="e">
            <v>#VALUE!</v>
          </cell>
          <cell r="AP441">
            <v>-3200</v>
          </cell>
        </row>
        <row r="442">
          <cell r="A442">
            <v>64291000</v>
          </cell>
          <cell r="B442" t="str">
            <v>NVT</v>
          </cell>
          <cell r="C442">
            <v>2818</v>
          </cell>
          <cell r="D442" t="str">
            <v>APETITO CANNELLONI RUND TOMATENSAUS 400G</v>
          </cell>
          <cell r="E442" t="str">
            <v>Apetito</v>
          </cell>
          <cell r="F442" t="str">
            <v>355mm</v>
          </cell>
          <cell r="G442" t="str">
            <v>UK-59</v>
          </cell>
          <cell r="H442">
            <v>456</v>
          </cell>
          <cell r="I442">
            <v>0.4</v>
          </cell>
          <cell r="J442" t="str">
            <v>NVT</v>
          </cell>
          <cell r="K442" t="str">
            <v>100x100 bl</v>
          </cell>
          <cell r="L442">
            <v>8</v>
          </cell>
          <cell r="M442" t="str">
            <v>UK59X8</v>
          </cell>
          <cell r="N442">
            <v>105</v>
          </cell>
          <cell r="O442">
            <v>4046755083246</v>
          </cell>
          <cell r="P442" t="str">
            <v>4T-K</v>
          </cell>
          <cell r="Q442">
            <v>1</v>
          </cell>
          <cell r="R442">
            <v>3</v>
          </cell>
          <cell r="S442" t="str">
            <v>volgende productie binding 10à 15% verhogen. R&amp;D verwittigen</v>
          </cell>
          <cell r="T442">
            <v>1500</v>
          </cell>
          <cell r="U442">
            <v>4</v>
          </cell>
          <cell r="V442">
            <v>1500</v>
          </cell>
          <cell r="W442">
            <v>4</v>
          </cell>
          <cell r="X442" t="str">
            <v>X</v>
          </cell>
          <cell r="Y442" t="str">
            <v>X</v>
          </cell>
          <cell r="Z442">
            <v>0.10299999999999999</v>
          </cell>
          <cell r="AA442" t="str">
            <v>! ! !</v>
          </cell>
          <cell r="AB442">
            <v>2600</v>
          </cell>
          <cell r="AG442">
            <v>30</v>
          </cell>
          <cell r="AJ442" t="str">
            <v>-</v>
          </cell>
          <cell r="AL442">
            <v>1800</v>
          </cell>
          <cell r="AM442">
            <v>1500</v>
          </cell>
          <cell r="AN442" t="e">
            <v>#VALUE!</v>
          </cell>
          <cell r="AO442" t="e">
            <v>#VALUE!</v>
          </cell>
          <cell r="AP442">
            <v>300</v>
          </cell>
        </row>
        <row r="443">
          <cell r="A443">
            <v>64291100</v>
          </cell>
          <cell r="B443" t="str">
            <v>NVT</v>
          </cell>
          <cell r="C443">
            <v>2813</v>
          </cell>
          <cell r="D443" t="str">
            <v>APETITO LASAGNE BOLOGNAISE 400G</v>
          </cell>
          <cell r="E443" t="str">
            <v>Apetito</v>
          </cell>
          <cell r="F443" t="str">
            <v>355mm</v>
          </cell>
          <cell r="G443" t="str">
            <v>UK-59</v>
          </cell>
          <cell r="H443">
            <v>456</v>
          </cell>
          <cell r="I443">
            <v>0.4</v>
          </cell>
          <cell r="J443" t="str">
            <v>NVT</v>
          </cell>
          <cell r="K443" t="str">
            <v>100x100 bl</v>
          </cell>
          <cell r="L443">
            <v>8</v>
          </cell>
          <cell r="M443" t="str">
            <v>UK59X8</v>
          </cell>
          <cell r="N443">
            <v>105</v>
          </cell>
          <cell r="O443">
            <v>4046755083215</v>
          </cell>
          <cell r="P443" t="str">
            <v>3T-H-K</v>
          </cell>
          <cell r="Q443">
            <v>2</v>
          </cell>
          <cell r="R443">
            <v>3</v>
          </cell>
          <cell r="S443" t="str">
            <v>OPGELET voor vuile - en open schalen</v>
          </cell>
          <cell r="T443">
            <v>2500</v>
          </cell>
          <cell r="U443">
            <v>5</v>
          </cell>
          <cell r="V443">
            <v>2500</v>
          </cell>
          <cell r="W443">
            <v>5</v>
          </cell>
          <cell r="X443" t="str">
            <v>X</v>
          </cell>
          <cell r="Y443" t="str">
            <v>X</v>
          </cell>
          <cell r="Z443">
            <v>0.10299999999999999</v>
          </cell>
          <cell r="AA443" t="str">
            <v>! ! !</v>
          </cell>
          <cell r="AB443">
            <v>3000</v>
          </cell>
          <cell r="AG443">
            <v>50</v>
          </cell>
          <cell r="AJ443" t="str">
            <v>-</v>
          </cell>
          <cell r="AL443">
            <v>3000</v>
          </cell>
          <cell r="AM443">
            <v>2500</v>
          </cell>
          <cell r="AN443" t="e">
            <v>#VALUE!</v>
          </cell>
          <cell r="AO443" t="e">
            <v>#VALUE!</v>
          </cell>
          <cell r="AP443">
            <v>500</v>
          </cell>
        </row>
        <row r="444">
          <cell r="A444">
            <v>64400100</v>
          </cell>
          <cell r="B444">
            <v>40242300</v>
          </cell>
          <cell r="C444">
            <v>9912336</v>
          </cell>
          <cell r="D444" t="str">
            <v>BOF BE FR GRATIN DAUPHINOIS 2X400G</v>
          </cell>
          <cell r="E444" t="str">
            <v>Bofrost BE</v>
          </cell>
          <cell r="F444" t="str">
            <v>355mm</v>
          </cell>
          <cell r="G444" t="str">
            <v>UK-59</v>
          </cell>
          <cell r="H444">
            <v>456</v>
          </cell>
          <cell r="I444">
            <v>0.8</v>
          </cell>
          <cell r="J444" t="str">
            <v>H44</v>
          </cell>
          <cell r="K444" t="str">
            <v>NVT</v>
          </cell>
          <cell r="L444">
            <v>4</v>
          </cell>
          <cell r="M444" t="str">
            <v>H44X4</v>
          </cell>
          <cell r="N444">
            <v>91</v>
          </cell>
          <cell r="O444">
            <v>5400870440015</v>
          </cell>
          <cell r="P444" t="str">
            <v>I-2T-K</v>
          </cell>
          <cell r="Q444">
            <v>1</v>
          </cell>
          <cell r="R444">
            <v>6</v>
          </cell>
          <cell r="S444" t="str">
            <v>COVIPEEL-ipeelcoio</v>
          </cell>
          <cell r="T444">
            <v>1750</v>
          </cell>
          <cell r="U444">
            <v>3</v>
          </cell>
          <cell r="V444">
            <v>1750</v>
          </cell>
          <cell r="W444">
            <v>3</v>
          </cell>
          <cell r="X444">
            <v>0</v>
          </cell>
          <cell r="Y444">
            <v>0</v>
          </cell>
          <cell r="Z444">
            <v>0</v>
          </cell>
          <cell r="AA444" t="str">
            <v>! !</v>
          </cell>
          <cell r="AB444">
            <v>3000</v>
          </cell>
          <cell r="AC444">
            <v>0</v>
          </cell>
          <cell r="AG444">
            <v>68</v>
          </cell>
          <cell r="AJ444" t="str">
            <v>-</v>
          </cell>
          <cell r="AL444">
            <v>4080</v>
          </cell>
          <cell r="AM444">
            <v>1750</v>
          </cell>
          <cell r="AN444" t="e">
            <v>#VALUE!</v>
          </cell>
          <cell r="AO444" t="e">
            <v>#VALUE!</v>
          </cell>
          <cell r="AP444">
            <v>2330</v>
          </cell>
        </row>
        <row r="445">
          <cell r="A445">
            <v>64400200</v>
          </cell>
          <cell r="B445">
            <v>40242400</v>
          </cell>
          <cell r="C445">
            <v>9810732</v>
          </cell>
          <cell r="D445" t="str">
            <v>BOF BE MOUSSAKA 2X400G</v>
          </cell>
          <cell r="E445" t="str">
            <v>Bofrost BE</v>
          </cell>
          <cell r="F445" t="str">
            <v>355mm</v>
          </cell>
          <cell r="G445" t="str">
            <v>UK-59</v>
          </cell>
          <cell r="H445">
            <v>456</v>
          </cell>
          <cell r="I445">
            <v>0.8</v>
          </cell>
          <cell r="J445" t="str">
            <v>H44</v>
          </cell>
          <cell r="K445" t="str">
            <v>NVT</v>
          </cell>
          <cell r="L445">
            <v>4</v>
          </cell>
          <cell r="M445" t="str">
            <v>H44X4</v>
          </cell>
          <cell r="N445">
            <v>91</v>
          </cell>
          <cell r="O445">
            <v>5400870440022</v>
          </cell>
          <cell r="P445" t="str">
            <v>I-4T-K</v>
          </cell>
          <cell r="Q445">
            <v>2</v>
          </cell>
          <cell r="R445">
            <v>3</v>
          </cell>
          <cell r="S445" t="str">
            <v>COVIPEEL-ipeelcoio</v>
          </cell>
          <cell r="T445">
            <v>1750</v>
          </cell>
          <cell r="U445">
            <v>5</v>
          </cell>
          <cell r="V445">
            <v>1750</v>
          </cell>
          <cell r="W445">
            <v>5</v>
          </cell>
          <cell r="X445">
            <v>0</v>
          </cell>
          <cell r="Y445">
            <v>0</v>
          </cell>
          <cell r="Z445">
            <v>0</v>
          </cell>
          <cell r="AA445" t="str">
            <v>! !</v>
          </cell>
          <cell r="AB445">
            <v>3000</v>
          </cell>
          <cell r="AC445">
            <v>0</v>
          </cell>
          <cell r="AG445">
            <v>68</v>
          </cell>
          <cell r="AJ445" t="str">
            <v>-</v>
          </cell>
          <cell r="AL445">
            <v>4080</v>
          </cell>
          <cell r="AM445">
            <v>1750</v>
          </cell>
          <cell r="AN445" t="e">
            <v>#VALUE!</v>
          </cell>
          <cell r="AO445" t="e">
            <v>#VALUE!</v>
          </cell>
          <cell r="AP445">
            <v>2330</v>
          </cell>
        </row>
        <row r="446">
          <cell r="A446">
            <v>64400300</v>
          </cell>
          <cell r="B446">
            <v>40278300</v>
          </cell>
          <cell r="C446">
            <v>9912246</v>
          </cell>
          <cell r="D446" t="str">
            <v>BOF BE MACARONI KAASSAUS BOLOGNAISE 2X400G</v>
          </cell>
          <cell r="E446" t="str">
            <v>Bofrost BE</v>
          </cell>
          <cell r="F446" t="str">
            <v>355mm</v>
          </cell>
          <cell r="G446" t="str">
            <v>UK-59</v>
          </cell>
          <cell r="H446">
            <v>365</v>
          </cell>
          <cell r="I446">
            <v>0.8</v>
          </cell>
          <cell r="J446" t="str">
            <v>H44</v>
          </cell>
          <cell r="K446" t="str">
            <v>NVT</v>
          </cell>
          <cell r="L446">
            <v>4</v>
          </cell>
          <cell r="M446" t="str">
            <v>H44X4</v>
          </cell>
          <cell r="N446">
            <v>91</v>
          </cell>
          <cell r="O446">
            <v>5400870440039</v>
          </cell>
          <cell r="P446" t="str">
            <v>4T-K</v>
          </cell>
          <cell r="Q446">
            <v>3</v>
          </cell>
          <cell r="R446">
            <v>6</v>
          </cell>
          <cell r="T446">
            <v>1750</v>
          </cell>
          <cell r="U446">
            <v>3</v>
          </cell>
          <cell r="V446">
            <v>1750</v>
          </cell>
          <cell r="W446">
            <v>3</v>
          </cell>
          <cell r="X446">
            <v>0</v>
          </cell>
          <cell r="Y446">
            <v>0</v>
          </cell>
          <cell r="Z446">
            <v>0</v>
          </cell>
          <cell r="AA446" t="str">
            <v>! ! !</v>
          </cell>
          <cell r="AC446">
            <v>0</v>
          </cell>
          <cell r="AG446">
            <v>68</v>
          </cell>
          <cell r="AJ446" t="str">
            <v>V-A</v>
          </cell>
          <cell r="AL446">
            <v>4080</v>
          </cell>
          <cell r="AM446">
            <v>1750</v>
          </cell>
          <cell r="AN446" t="e">
            <v>#VALUE!</v>
          </cell>
          <cell r="AO446" t="e">
            <v>#VALUE!</v>
          </cell>
          <cell r="AP446">
            <v>2330</v>
          </cell>
        </row>
        <row r="447">
          <cell r="A447">
            <v>64402000</v>
          </cell>
          <cell r="B447">
            <v>40278200</v>
          </cell>
          <cell r="C447">
            <v>9820511</v>
          </cell>
          <cell r="D447" t="str">
            <v>BOF DE GRATIN BROCCOLI WORTEL MAIS RODE UI 2X400G</v>
          </cell>
          <cell r="E447" t="str">
            <v>Bofrost DE</v>
          </cell>
          <cell r="F447" t="str">
            <v>355mm</v>
          </cell>
          <cell r="G447" t="str">
            <v>UK-59</v>
          </cell>
          <cell r="H447">
            <v>456</v>
          </cell>
          <cell r="I447">
            <v>0.8</v>
          </cell>
          <cell r="J447" t="str">
            <v>H44</v>
          </cell>
          <cell r="K447" t="str">
            <v>NVT</v>
          </cell>
          <cell r="L447">
            <v>4</v>
          </cell>
          <cell r="M447" t="str">
            <v>H44X4</v>
          </cell>
          <cell r="N447">
            <v>91</v>
          </cell>
          <cell r="O447">
            <v>5400870440206</v>
          </cell>
          <cell r="P447" t="str">
            <v>I-2T-K</v>
          </cell>
          <cell r="Q447">
            <v>2</v>
          </cell>
          <cell r="R447">
            <v>4</v>
          </cell>
          <cell r="T447">
            <v>1750</v>
          </cell>
          <cell r="U447">
            <v>6</v>
          </cell>
          <cell r="V447">
            <v>1750</v>
          </cell>
          <cell r="W447">
            <v>6</v>
          </cell>
          <cell r="Z447">
            <v>9.4E-2</v>
          </cell>
          <cell r="AA447" t="str">
            <v>! !</v>
          </cell>
          <cell r="AB447">
            <v>13405</v>
          </cell>
          <cell r="AC447">
            <v>0</v>
          </cell>
          <cell r="AJ447" t="str">
            <v>-</v>
          </cell>
          <cell r="AL447">
            <v>0</v>
          </cell>
          <cell r="AM447">
            <v>1750</v>
          </cell>
          <cell r="AN447" t="e">
            <v>#VALUE!</v>
          </cell>
          <cell r="AO447" t="e">
            <v>#VALUE!</v>
          </cell>
          <cell r="AP447">
            <v>-1750</v>
          </cell>
        </row>
        <row r="448">
          <cell r="A448">
            <v>64402100</v>
          </cell>
          <cell r="B448">
            <v>40290000</v>
          </cell>
          <cell r="C448">
            <v>9720566</v>
          </cell>
          <cell r="D448" t="str">
            <v>BOF DE MACARONI KAASSAUS BOLOGNAISE 2X400G</v>
          </cell>
          <cell r="E448" t="str">
            <v>Bofrost DE</v>
          </cell>
          <cell r="F448" t="str">
            <v>355mm</v>
          </cell>
          <cell r="G448" t="str">
            <v>UK-59</v>
          </cell>
          <cell r="H448">
            <v>365</v>
          </cell>
          <cell r="I448">
            <v>0.8</v>
          </cell>
          <cell r="J448" t="str">
            <v>H44</v>
          </cell>
          <cell r="K448" t="str">
            <v>NVT</v>
          </cell>
          <cell r="L448">
            <v>4</v>
          </cell>
          <cell r="M448" t="str">
            <v>H44X4</v>
          </cell>
          <cell r="N448">
            <v>91</v>
          </cell>
          <cell r="O448" t="str">
            <v>5400870440213 </v>
          </cell>
          <cell r="P448" t="str">
            <v>4T</v>
          </cell>
          <cell r="Q448">
            <v>2</v>
          </cell>
          <cell r="R448">
            <v>3</v>
          </cell>
          <cell r="T448">
            <v>1750</v>
          </cell>
          <cell r="U448">
            <v>3</v>
          </cell>
          <cell r="V448">
            <v>1750</v>
          </cell>
          <cell r="W448">
            <v>3</v>
          </cell>
          <cell r="Z448">
            <v>8.4000000000000005E-2</v>
          </cell>
          <cell r="AA448" t="str">
            <v>! ! !</v>
          </cell>
          <cell r="AB448">
            <v>13405</v>
          </cell>
          <cell r="AG448">
            <v>34</v>
          </cell>
          <cell r="AJ448" t="str">
            <v>V-A</v>
          </cell>
          <cell r="AL448">
            <v>2040</v>
          </cell>
          <cell r="AM448">
            <v>1750</v>
          </cell>
          <cell r="AN448" t="e">
            <v>#VALUE!</v>
          </cell>
          <cell r="AO448" t="e">
            <v>#VALUE!</v>
          </cell>
          <cell r="AP448">
            <v>290</v>
          </cell>
        </row>
        <row r="449">
          <cell r="A449">
            <v>65050000</v>
          </cell>
          <cell r="B449">
            <v>40265900</v>
          </cell>
          <cell r="C449">
            <v>107131332</v>
          </cell>
          <cell r="D449" t="str">
            <v>CARREFOUR VOL AU VENT PUREE 450G</v>
          </cell>
          <cell r="E449" t="str">
            <v>Carrefour</v>
          </cell>
          <cell r="F449" t="str">
            <v>400mm</v>
          </cell>
          <cell r="G449" t="str">
            <v>C2176-1A</v>
          </cell>
          <cell r="H449">
            <v>456</v>
          </cell>
          <cell r="I449">
            <v>0.45</v>
          </cell>
          <cell r="J449" t="str">
            <v>H29</v>
          </cell>
          <cell r="K449" t="str">
            <v>NVT</v>
          </cell>
          <cell r="L449">
            <v>10</v>
          </cell>
          <cell r="M449" t="str">
            <v>H29x10</v>
          </cell>
          <cell r="N449" t="str">
            <v>72</v>
          </cell>
          <cell r="O449">
            <v>5400102127509</v>
          </cell>
          <cell r="P449" t="str">
            <v>2H-2T</v>
          </cell>
          <cell r="Q449">
            <v>2</v>
          </cell>
          <cell r="R449">
            <v>2</v>
          </cell>
          <cell r="T449">
            <v>3500</v>
          </cell>
          <cell r="U449">
            <v>3</v>
          </cell>
          <cell r="V449">
            <v>3500</v>
          </cell>
          <cell r="W449">
            <v>3</v>
          </cell>
          <cell r="Z449">
            <v>0.14899999999999999</v>
          </cell>
          <cell r="AA449" t="str">
            <v>! ! !</v>
          </cell>
          <cell r="AB449">
            <v>5000</v>
          </cell>
          <cell r="AJ449" t="str">
            <v>-</v>
          </cell>
          <cell r="AL449">
            <v>0</v>
          </cell>
          <cell r="AM449">
            <v>3500</v>
          </cell>
          <cell r="AN449" t="e">
            <v>#VALUE!</v>
          </cell>
          <cell r="AO449" t="e">
            <v>#VALUE!</v>
          </cell>
          <cell r="AP449">
            <v>-3500</v>
          </cell>
        </row>
        <row r="450">
          <cell r="A450">
            <v>65050100</v>
          </cell>
          <cell r="B450">
            <v>40266000</v>
          </cell>
          <cell r="C450">
            <v>107131333</v>
          </cell>
          <cell r="D450" t="str">
            <v>CARREFOUR VISGRATIN MSC SPINAZIE 450G</v>
          </cell>
          <cell r="E450" t="str">
            <v>Carrefour</v>
          </cell>
          <cell r="F450" t="str">
            <v>400mm</v>
          </cell>
          <cell r="G450" t="str">
            <v>C2176-1A</v>
          </cell>
          <cell r="H450">
            <v>456</v>
          </cell>
          <cell r="I450">
            <v>0.45</v>
          </cell>
          <cell r="J450" t="str">
            <v>H29</v>
          </cell>
          <cell r="K450" t="str">
            <v>NVT</v>
          </cell>
          <cell r="L450">
            <v>10</v>
          </cell>
          <cell r="M450" t="str">
            <v>H29x10</v>
          </cell>
          <cell r="N450" t="str">
            <v>72</v>
          </cell>
          <cell r="O450">
            <v>5400102127523</v>
          </cell>
          <cell r="P450" t="str">
            <v>4T-2H</v>
          </cell>
          <cell r="Q450">
            <v>3</v>
          </cell>
          <cell r="R450">
            <v>2</v>
          </cell>
          <cell r="S450" t="str">
            <v>Alaska 227gr verzagen</v>
          </cell>
          <cell r="T450">
            <v>3500</v>
          </cell>
          <cell r="U450">
            <v>2</v>
          </cell>
          <cell r="V450">
            <v>3500</v>
          </cell>
          <cell r="W450">
            <v>2</v>
          </cell>
          <cell r="Z450">
            <v>0.14899999999999999</v>
          </cell>
          <cell r="AA450" t="str">
            <v>! ! ! !</v>
          </cell>
          <cell r="AB450">
            <v>5000</v>
          </cell>
          <cell r="AJ450" t="str">
            <v>-</v>
          </cell>
          <cell r="AL450">
            <v>0</v>
          </cell>
          <cell r="AM450">
            <v>3500</v>
          </cell>
          <cell r="AN450" t="e">
            <v>#VALUE!</v>
          </cell>
          <cell r="AO450" t="e">
            <v>#VALUE!</v>
          </cell>
          <cell r="AP450">
            <v>-3500</v>
          </cell>
        </row>
        <row r="451">
          <cell r="A451">
            <v>65050200</v>
          </cell>
          <cell r="B451">
            <v>40266100</v>
          </cell>
          <cell r="C451">
            <v>107131334</v>
          </cell>
          <cell r="D451" t="str">
            <v>CARREFOUR BALLETJES TOMATENSAUS BONEN PUREE 450G</v>
          </cell>
          <cell r="E451" t="str">
            <v>Carrefour</v>
          </cell>
          <cell r="F451" t="str">
            <v>400mm</v>
          </cell>
          <cell r="G451" t="str">
            <v>C2176-1A</v>
          </cell>
          <cell r="H451">
            <v>365</v>
          </cell>
          <cell r="I451">
            <v>0.45</v>
          </cell>
          <cell r="J451" t="str">
            <v>H29</v>
          </cell>
          <cell r="K451" t="str">
            <v>NVT</v>
          </cell>
          <cell r="L451">
            <v>10</v>
          </cell>
          <cell r="M451" t="str">
            <v>H29x10</v>
          </cell>
          <cell r="N451" t="str">
            <v>72</v>
          </cell>
          <cell r="O451">
            <v>5400102127547</v>
          </cell>
          <cell r="P451" t="str">
            <v>I-2H-2T</v>
          </cell>
          <cell r="Q451">
            <v>3</v>
          </cell>
          <cell r="R451">
            <v>2</v>
          </cell>
          <cell r="T451">
            <v>3500</v>
          </cell>
          <cell r="U451">
            <v>7</v>
          </cell>
          <cell r="V451">
            <v>3500</v>
          </cell>
          <cell r="W451">
            <v>7</v>
          </cell>
          <cell r="Z451">
            <v>0.14899999999999999</v>
          </cell>
          <cell r="AA451" t="str">
            <v>! ! !</v>
          </cell>
          <cell r="AB451">
            <v>5000</v>
          </cell>
          <cell r="AJ451" t="str">
            <v>V-A</v>
          </cell>
          <cell r="AL451">
            <v>0</v>
          </cell>
          <cell r="AM451">
            <v>3500</v>
          </cell>
          <cell r="AN451" t="e">
            <v>#VALUE!</v>
          </cell>
          <cell r="AO451" t="e">
            <v>#VALUE!</v>
          </cell>
          <cell r="AP451">
            <v>-3500</v>
          </cell>
        </row>
        <row r="452">
          <cell r="A452">
            <v>65050300</v>
          </cell>
          <cell r="B452">
            <v>40266200</v>
          </cell>
          <cell r="C452">
            <v>107131335</v>
          </cell>
          <cell r="D452" t="str">
            <v>CARREFOUR AARDAPPELGEHAKTSCHOTEL MET SPINAZIE 450G</v>
          </cell>
          <cell r="E452" t="str">
            <v>Carrefour</v>
          </cell>
          <cell r="F452" t="str">
            <v>400mm</v>
          </cell>
          <cell r="G452" t="str">
            <v>C2176-1A</v>
          </cell>
          <cell r="H452">
            <v>365</v>
          </cell>
          <cell r="I452">
            <v>0.45</v>
          </cell>
          <cell r="J452" t="str">
            <v>H29</v>
          </cell>
          <cell r="K452" t="str">
            <v>NVT</v>
          </cell>
          <cell r="L452">
            <v>10</v>
          </cell>
          <cell r="M452" t="str">
            <v>H29x10</v>
          </cell>
          <cell r="N452" t="str">
            <v>72</v>
          </cell>
          <cell r="O452">
            <v>5400102127561</v>
          </cell>
          <cell r="P452" t="str">
            <v>4T-2H</v>
          </cell>
          <cell r="Q452">
            <v>3</v>
          </cell>
          <cell r="R452">
            <v>2</v>
          </cell>
          <cell r="T452">
            <v>3500</v>
          </cell>
          <cell r="U452">
            <v>3</v>
          </cell>
          <cell r="V452">
            <v>3500</v>
          </cell>
          <cell r="W452">
            <v>3</v>
          </cell>
          <cell r="Z452">
            <v>0.14899999999999999</v>
          </cell>
          <cell r="AA452" t="str">
            <v>! ! !</v>
          </cell>
          <cell r="AB452">
            <v>5000</v>
          </cell>
          <cell r="AJ452" t="str">
            <v>V-A</v>
          </cell>
          <cell r="AL452">
            <v>0</v>
          </cell>
          <cell r="AM452">
            <v>3500</v>
          </cell>
          <cell r="AN452" t="e">
            <v>#VALUE!</v>
          </cell>
          <cell r="AO452" t="e">
            <v>#VALUE!</v>
          </cell>
          <cell r="AP452">
            <v>-3500</v>
          </cell>
        </row>
        <row r="453">
          <cell r="A453">
            <v>65050400</v>
          </cell>
          <cell r="B453">
            <v>40266300</v>
          </cell>
          <cell r="C453">
            <v>107163238</v>
          </cell>
          <cell r="D453" t="str">
            <v>CARREFOUR MACARONI HAM KAAS 450G</v>
          </cell>
          <cell r="E453" t="str">
            <v>Carrefour</v>
          </cell>
          <cell r="F453" t="str">
            <v>400mm</v>
          </cell>
          <cell r="G453" t="str">
            <v>C2176-1A</v>
          </cell>
          <cell r="H453">
            <v>365</v>
          </cell>
          <cell r="I453">
            <v>0.45</v>
          </cell>
          <cell r="J453" t="str">
            <v>H29</v>
          </cell>
          <cell r="K453" t="str">
            <v>NVT</v>
          </cell>
          <cell r="L453">
            <v>10</v>
          </cell>
          <cell r="M453" t="str">
            <v>H29x10</v>
          </cell>
          <cell r="N453" t="str">
            <v>72</v>
          </cell>
          <cell r="O453">
            <v>5400102127578</v>
          </cell>
          <cell r="P453" t="str">
            <v>l-2T</v>
          </cell>
          <cell r="Q453">
            <v>2</v>
          </cell>
          <cell r="R453">
            <v>2</v>
          </cell>
          <cell r="T453">
            <v>3500</v>
          </cell>
          <cell r="U453">
            <v>3</v>
          </cell>
          <cell r="V453">
            <v>3500</v>
          </cell>
          <cell r="W453">
            <v>3</v>
          </cell>
          <cell r="Z453">
            <v>0.14899999999999999</v>
          </cell>
          <cell r="AA453" t="str">
            <v>! !</v>
          </cell>
          <cell r="AB453">
            <v>5000</v>
          </cell>
          <cell r="AJ453" t="str">
            <v>V-A</v>
          </cell>
          <cell r="AL453">
            <v>0</v>
          </cell>
          <cell r="AM453">
            <v>3500</v>
          </cell>
          <cell r="AN453" t="e">
            <v>#VALUE!</v>
          </cell>
          <cell r="AO453" t="e">
            <v>#VALUE!</v>
          </cell>
          <cell r="AP453">
            <v>-3500</v>
          </cell>
        </row>
        <row r="454">
          <cell r="A454">
            <v>65050500</v>
          </cell>
          <cell r="B454">
            <v>40276200</v>
          </cell>
          <cell r="C454">
            <v>107223528</v>
          </cell>
          <cell r="D454" t="str">
            <v>CARREFOUR RUNDSTONG MADEIRA PUREE 450G</v>
          </cell>
          <cell r="E454" t="str">
            <v>Carrefour</v>
          </cell>
          <cell r="F454" t="str">
            <v>400mm</v>
          </cell>
          <cell r="G454" t="str">
            <v>C2176-1A</v>
          </cell>
          <cell r="H454">
            <v>365</v>
          </cell>
          <cell r="I454">
            <v>0.45</v>
          </cell>
          <cell r="J454" t="str">
            <v>H29</v>
          </cell>
          <cell r="K454" t="str">
            <v>NVT</v>
          </cell>
          <cell r="L454">
            <v>10</v>
          </cell>
          <cell r="M454" t="str">
            <v>H29x10</v>
          </cell>
          <cell r="N454" t="str">
            <v>72</v>
          </cell>
          <cell r="O454">
            <v>5400102130813</v>
          </cell>
          <cell r="P454" t="str">
            <v>2H-2T</v>
          </cell>
          <cell r="Q454">
            <v>2</v>
          </cell>
          <cell r="R454">
            <v>2</v>
          </cell>
          <cell r="S454" t="str">
            <v>RUNDSTONG snijden 1250kg/pers/8u</v>
          </cell>
          <cell r="T454">
            <v>3500</v>
          </cell>
          <cell r="U454">
            <v>10</v>
          </cell>
          <cell r="V454">
            <v>3500</v>
          </cell>
          <cell r="W454">
            <v>10</v>
          </cell>
          <cell r="X454" t="str">
            <v>X</v>
          </cell>
          <cell r="Y454" t="str">
            <v>X</v>
          </cell>
          <cell r="Z454">
            <v>0.14899999999999999</v>
          </cell>
          <cell r="AA454" t="str">
            <v>! !</v>
          </cell>
          <cell r="AB454">
            <v>5000</v>
          </cell>
          <cell r="AC454">
            <v>0</v>
          </cell>
          <cell r="AJ454" t="str">
            <v>V-A</v>
          </cell>
          <cell r="AL454">
            <v>0</v>
          </cell>
          <cell r="AM454">
            <v>3500</v>
          </cell>
          <cell r="AN454" t="e">
            <v>#VALUE!</v>
          </cell>
          <cell r="AO454" t="e">
            <v>#VALUE!</v>
          </cell>
          <cell r="AP454">
            <v>-3500</v>
          </cell>
        </row>
        <row r="455">
          <cell r="A455">
            <v>65060000</v>
          </cell>
          <cell r="B455">
            <v>40288600</v>
          </cell>
          <cell r="C455">
            <v>3014312</v>
          </cell>
          <cell r="D455" t="str">
            <v>ALDI BE GEHAKTBAL PROVENCAAL GEB AARDAP 450G (MIXED)</v>
          </cell>
          <cell r="E455" t="str">
            <v>ALDI BE</v>
          </cell>
          <cell r="F455" t="str">
            <v>400mm</v>
          </cell>
          <cell r="G455" t="str">
            <v>C2176-1A</v>
          </cell>
          <cell r="H455">
            <v>365</v>
          </cell>
          <cell r="I455">
            <v>0.45</v>
          </cell>
          <cell r="J455" t="str">
            <v>H29</v>
          </cell>
          <cell r="K455" t="str">
            <v>NVT</v>
          </cell>
          <cell r="L455">
            <v>16</v>
          </cell>
          <cell r="M455" t="str">
            <v>H29x16</v>
          </cell>
          <cell r="N455" t="str">
            <v>48</v>
          </cell>
          <cell r="O455">
            <v>4068261116775</v>
          </cell>
          <cell r="P455" t="str">
            <v>I-2T</v>
          </cell>
          <cell r="Q455">
            <v>1</v>
          </cell>
          <cell r="R455">
            <v>4</v>
          </cell>
          <cell r="T455">
            <v>3200</v>
          </cell>
          <cell r="U455">
            <v>5</v>
          </cell>
          <cell r="V455">
            <v>3200</v>
          </cell>
          <cell r="W455">
            <v>5</v>
          </cell>
          <cell r="Z455">
            <v>0.14499999999999999</v>
          </cell>
          <cell r="AA455" t="str">
            <v>! ! !</v>
          </cell>
          <cell r="AG455">
            <v>34</v>
          </cell>
          <cell r="AJ455" t="str">
            <v>V-A</v>
          </cell>
          <cell r="AL455">
            <v>2040</v>
          </cell>
          <cell r="AM455">
            <v>3200</v>
          </cell>
          <cell r="AN455" t="e">
            <v>#VALUE!</v>
          </cell>
          <cell r="AO455" t="e">
            <v>#VALUE!</v>
          </cell>
          <cell r="AP455">
            <v>-1160</v>
          </cell>
        </row>
        <row r="456">
          <cell r="A456">
            <v>65060100</v>
          </cell>
          <cell r="B456">
            <v>40288700</v>
          </cell>
          <cell r="C456">
            <v>3014312</v>
          </cell>
          <cell r="D456" t="str">
            <v>ALDI BE BALLETJES TOMATENSAUS BOON PUREE 450G(MIXED)</v>
          </cell>
          <cell r="E456" t="str">
            <v>ALDI BE</v>
          </cell>
          <cell r="F456" t="str">
            <v>400mm</v>
          </cell>
          <cell r="G456" t="str">
            <v>C2176-1A</v>
          </cell>
          <cell r="H456">
            <v>365</v>
          </cell>
          <cell r="I456">
            <v>0.45</v>
          </cell>
          <cell r="J456" t="str">
            <v>H29</v>
          </cell>
          <cell r="K456" t="str">
            <v>NVT</v>
          </cell>
          <cell r="L456">
            <v>16</v>
          </cell>
          <cell r="M456" t="str">
            <v>H29x16</v>
          </cell>
          <cell r="N456" t="str">
            <v>48</v>
          </cell>
          <cell r="O456">
            <v>4068261116775</v>
          </cell>
          <cell r="P456" t="str">
            <v>I-2H-2T</v>
          </cell>
          <cell r="Q456">
            <v>3</v>
          </cell>
          <cell r="R456">
            <v>4</v>
          </cell>
          <cell r="T456">
            <v>3200</v>
          </cell>
          <cell r="U456">
            <v>6</v>
          </cell>
          <cell r="V456">
            <v>3200</v>
          </cell>
          <cell r="W456">
            <v>6</v>
          </cell>
          <cell r="Z456">
            <v>0.14499999999999999</v>
          </cell>
          <cell r="AA456" t="str">
            <v>! ! !</v>
          </cell>
          <cell r="AG456">
            <v>34</v>
          </cell>
          <cell r="AJ456" t="str">
            <v>V-A</v>
          </cell>
          <cell r="AL456">
            <v>2040</v>
          </cell>
          <cell r="AM456">
            <v>3200</v>
          </cell>
          <cell r="AN456" t="e">
            <v>#VALUE!</v>
          </cell>
          <cell r="AO456" t="e">
            <v>#VALUE!</v>
          </cell>
          <cell r="AP456">
            <v>-1160</v>
          </cell>
        </row>
        <row r="457">
          <cell r="A457">
            <v>65060200</v>
          </cell>
          <cell r="B457">
            <v>40288800</v>
          </cell>
          <cell r="C457">
            <v>3014312</v>
          </cell>
          <cell r="D457" t="str">
            <v>ALDI BE BLINDE VINK ERWT WORTEL PUREE 450G (MIXED)</v>
          </cell>
          <cell r="E457" t="str">
            <v>ALDI BE</v>
          </cell>
          <cell r="F457" t="str">
            <v>400mm</v>
          </cell>
          <cell r="G457" t="str">
            <v>C2176-1A</v>
          </cell>
          <cell r="H457">
            <v>365</v>
          </cell>
          <cell r="I457">
            <v>0.45</v>
          </cell>
          <cell r="J457" t="str">
            <v>H29</v>
          </cell>
          <cell r="K457" t="str">
            <v>NVT</v>
          </cell>
          <cell r="L457">
            <v>16</v>
          </cell>
          <cell r="M457" t="str">
            <v>H29x16</v>
          </cell>
          <cell r="N457" t="str">
            <v>48</v>
          </cell>
          <cell r="O457">
            <v>4068261116775</v>
          </cell>
          <cell r="P457" t="str">
            <v>2T-2H</v>
          </cell>
          <cell r="Q457">
            <v>3</v>
          </cell>
          <cell r="R457">
            <v>4</v>
          </cell>
          <cell r="S457" t="str">
            <v>Blinde vink D-1</v>
          </cell>
          <cell r="T457">
            <v>3200</v>
          </cell>
          <cell r="U457">
            <v>7</v>
          </cell>
          <cell r="V457">
            <v>3200</v>
          </cell>
          <cell r="W457">
            <v>7</v>
          </cell>
          <cell r="Z457">
            <v>0.14499999999999999</v>
          </cell>
          <cell r="AA457" t="str">
            <v>! !</v>
          </cell>
          <cell r="AG457">
            <v>34</v>
          </cell>
          <cell r="AJ457" t="str">
            <v>V-A</v>
          </cell>
          <cell r="AL457">
            <v>2040</v>
          </cell>
          <cell r="AM457">
            <v>3200</v>
          </cell>
          <cell r="AN457" t="e">
            <v>#VALUE!</v>
          </cell>
          <cell r="AO457" t="e">
            <v>#VALUE!</v>
          </cell>
          <cell r="AP457">
            <v>-1160</v>
          </cell>
        </row>
        <row r="458">
          <cell r="A458">
            <v>65060300</v>
          </cell>
          <cell r="B458">
            <v>40289100</v>
          </cell>
          <cell r="C458">
            <v>3014312</v>
          </cell>
          <cell r="D458" t="str">
            <v>ALDI BE BOERENBRAADWORST AJUIN STAMPPOT 450G (MIXED)</v>
          </cell>
          <cell r="E458" t="str">
            <v>ALDI BE</v>
          </cell>
          <cell r="F458" t="str">
            <v>400mm</v>
          </cell>
          <cell r="G458" t="str">
            <v>C2176-1A</v>
          </cell>
          <cell r="H458">
            <v>365</v>
          </cell>
          <cell r="I458">
            <v>0.45</v>
          </cell>
          <cell r="J458" t="str">
            <v>H29</v>
          </cell>
          <cell r="K458" t="str">
            <v>NVT</v>
          </cell>
          <cell r="L458">
            <v>16</v>
          </cell>
          <cell r="M458" t="str">
            <v>H29x16</v>
          </cell>
          <cell r="N458" t="str">
            <v>48</v>
          </cell>
          <cell r="O458">
            <v>4068261116775</v>
          </cell>
          <cell r="P458" t="str">
            <v>2T-2H</v>
          </cell>
          <cell r="Q458">
            <v>3</v>
          </cell>
          <cell r="R458">
            <v>4</v>
          </cell>
          <cell r="T458">
            <v>3200</v>
          </cell>
          <cell r="U458">
            <v>4</v>
          </cell>
          <cell r="V458">
            <v>3200</v>
          </cell>
          <cell r="W458">
            <v>4</v>
          </cell>
          <cell r="Z458">
            <v>0.14499999999999999</v>
          </cell>
          <cell r="AA458" t="str">
            <v>! ! !</v>
          </cell>
          <cell r="AG458">
            <v>34</v>
          </cell>
          <cell r="AJ458" t="str">
            <v>V-A</v>
          </cell>
          <cell r="AL458">
            <v>2040</v>
          </cell>
          <cell r="AM458">
            <v>3200</v>
          </cell>
          <cell r="AN458" t="e">
            <v>#VALUE!</v>
          </cell>
          <cell r="AO458" t="e">
            <v>#VALUE!</v>
          </cell>
          <cell r="AP458">
            <v>-1160</v>
          </cell>
        </row>
        <row r="459">
          <cell r="A459">
            <v>65060400</v>
          </cell>
          <cell r="B459">
            <v>40289300</v>
          </cell>
          <cell r="C459">
            <v>3014312</v>
          </cell>
          <cell r="D459" t="str">
            <v>ALDI BE HAMBURGER SPINAZIEPUREE JUS 450G (MIXED)</v>
          </cell>
          <cell r="E459" t="str">
            <v>ALDI BE</v>
          </cell>
          <cell r="F459" t="str">
            <v>400mm</v>
          </cell>
          <cell r="G459" t="str">
            <v>C2176-1A</v>
          </cell>
          <cell r="H459">
            <v>365</v>
          </cell>
          <cell r="I459">
            <v>0.45</v>
          </cell>
          <cell r="J459" t="str">
            <v>H29</v>
          </cell>
          <cell r="K459" t="str">
            <v>NVT</v>
          </cell>
          <cell r="L459">
            <v>16</v>
          </cell>
          <cell r="M459" t="str">
            <v>H29x16</v>
          </cell>
          <cell r="N459" t="str">
            <v>48</v>
          </cell>
          <cell r="O459">
            <v>4068261116775</v>
          </cell>
          <cell r="P459" t="str">
            <v>2T-2H</v>
          </cell>
          <cell r="Q459">
            <v>2</v>
          </cell>
          <cell r="R459">
            <v>4</v>
          </cell>
          <cell r="T459">
            <v>3200</v>
          </cell>
          <cell r="U459">
            <v>4</v>
          </cell>
          <cell r="V459">
            <v>3200</v>
          </cell>
          <cell r="W459">
            <v>4</v>
          </cell>
          <cell r="Z459">
            <v>0.14499999999999999</v>
          </cell>
          <cell r="AA459" t="str">
            <v>! ! !</v>
          </cell>
          <cell r="AG459">
            <v>34</v>
          </cell>
          <cell r="AJ459" t="str">
            <v>V-A</v>
          </cell>
          <cell r="AL459">
            <v>2040</v>
          </cell>
          <cell r="AM459">
            <v>3200</v>
          </cell>
          <cell r="AN459" t="e">
            <v>#VALUE!</v>
          </cell>
          <cell r="AO459" t="e">
            <v>#VALUE!</v>
          </cell>
          <cell r="AP459">
            <v>-1160</v>
          </cell>
        </row>
        <row r="460">
          <cell r="A460">
            <v>65062000</v>
          </cell>
          <cell r="B460">
            <v>40289400</v>
          </cell>
          <cell r="C460">
            <v>3014313</v>
          </cell>
          <cell r="D460" t="str">
            <v>ALDI BE EW ZALM ASC PICKELS RIJSTMIX 425G (MIXED)</v>
          </cell>
          <cell r="E460" t="str">
            <v>ALDI BE</v>
          </cell>
          <cell r="F460" t="str">
            <v>400mm</v>
          </cell>
          <cell r="G460" t="str">
            <v>C2176-1A</v>
          </cell>
          <cell r="H460">
            <v>456</v>
          </cell>
          <cell r="I460">
            <v>0.42499999999999999</v>
          </cell>
          <cell r="J460" t="str">
            <v>H29</v>
          </cell>
          <cell r="K460" t="str">
            <v>NVT</v>
          </cell>
          <cell r="L460">
            <v>16</v>
          </cell>
          <cell r="M460" t="str">
            <v>H29x16</v>
          </cell>
          <cell r="N460" t="str">
            <v>48</v>
          </cell>
          <cell r="O460">
            <v>4068261116782</v>
          </cell>
          <cell r="P460" t="str">
            <v>I-L-2T</v>
          </cell>
          <cell r="Q460">
            <v>2</v>
          </cell>
          <cell r="R460">
            <v>4</v>
          </cell>
          <cell r="T460">
            <v>2500</v>
          </cell>
          <cell r="U460">
            <v>6</v>
          </cell>
          <cell r="V460">
            <v>2500</v>
          </cell>
          <cell r="W460">
            <v>6</v>
          </cell>
          <cell r="Z460">
            <v>0.14499999999999999</v>
          </cell>
          <cell r="AA460" t="str">
            <v>! ! ! !</v>
          </cell>
          <cell r="AG460">
            <v>34</v>
          </cell>
          <cell r="AJ460" t="str">
            <v>V-A</v>
          </cell>
          <cell r="AL460">
            <v>2040</v>
          </cell>
          <cell r="AM460">
            <v>2500</v>
          </cell>
          <cell r="AN460" t="e">
            <v>#VALUE!</v>
          </cell>
          <cell r="AO460" t="e">
            <v>#VALUE!</v>
          </cell>
          <cell r="AP460">
            <v>-460</v>
          </cell>
        </row>
        <row r="461">
          <cell r="A461">
            <v>65062100</v>
          </cell>
          <cell r="B461">
            <v>40289500</v>
          </cell>
          <cell r="C461">
            <v>3014313</v>
          </cell>
          <cell r="D461" t="str">
            <v>ALDI BE EW KIP BLOEMKOOLRIJST GROENTEN CURRY425G(MIXED)</v>
          </cell>
          <cell r="E461" t="str">
            <v>ALDI BE</v>
          </cell>
          <cell r="F461" t="str">
            <v>400mm</v>
          </cell>
          <cell r="G461" t="str">
            <v>C2176-1A</v>
          </cell>
          <cell r="H461">
            <v>456</v>
          </cell>
          <cell r="I461">
            <v>0.42499999999999999</v>
          </cell>
          <cell r="J461" t="str">
            <v>H29</v>
          </cell>
          <cell r="K461" t="str">
            <v>NVT</v>
          </cell>
          <cell r="L461">
            <v>16</v>
          </cell>
          <cell r="M461" t="str">
            <v>H29x16</v>
          </cell>
          <cell r="N461" t="str">
            <v>48</v>
          </cell>
          <cell r="O461">
            <v>4068261116782</v>
          </cell>
          <cell r="P461" t="str">
            <v>L-2T</v>
          </cell>
          <cell r="Q461">
            <v>2</v>
          </cell>
          <cell r="R461">
            <v>4</v>
          </cell>
          <cell r="T461">
            <v>2500</v>
          </cell>
          <cell r="U461">
            <v>5</v>
          </cell>
          <cell r="V461">
            <v>2500</v>
          </cell>
          <cell r="W461">
            <v>5</v>
          </cell>
          <cell r="Z461">
            <v>0.14499999999999999</v>
          </cell>
          <cell r="AA461" t="str">
            <v>! ! !</v>
          </cell>
          <cell r="AG461">
            <v>34</v>
          </cell>
          <cell r="AJ461" t="str">
            <v>-</v>
          </cell>
          <cell r="AL461">
            <v>2040</v>
          </cell>
          <cell r="AM461">
            <v>2500</v>
          </cell>
          <cell r="AN461" t="e">
            <v>#VALUE!</v>
          </cell>
          <cell r="AO461" t="e">
            <v>#VALUE!</v>
          </cell>
          <cell r="AP461">
            <v>-460</v>
          </cell>
        </row>
        <row r="462">
          <cell r="A462">
            <v>65062200</v>
          </cell>
          <cell r="B462">
            <v>40289600</v>
          </cell>
          <cell r="C462">
            <v>3014313</v>
          </cell>
          <cell r="D462" t="str">
            <v>ALDI BE EW KIP LINGUINE TERIYAKI BROCCOLI 425G (MIXED)</v>
          </cell>
          <cell r="E462" t="str">
            <v>ALDI BE</v>
          </cell>
          <cell r="F462" t="str">
            <v>400mm</v>
          </cell>
          <cell r="G462" t="str">
            <v>C2176-1A</v>
          </cell>
          <cell r="H462">
            <v>456</v>
          </cell>
          <cell r="I462">
            <v>0.42499999999999999</v>
          </cell>
          <cell r="J462" t="str">
            <v>H29</v>
          </cell>
          <cell r="K462" t="str">
            <v>NVT</v>
          </cell>
          <cell r="L462">
            <v>16</v>
          </cell>
          <cell r="M462" t="str">
            <v>H29x16</v>
          </cell>
          <cell r="N462" t="str">
            <v>48</v>
          </cell>
          <cell r="O462">
            <v>4068261116782</v>
          </cell>
          <cell r="P462" t="str">
            <v>I-L-2T</v>
          </cell>
          <cell r="Q462">
            <v>2</v>
          </cell>
          <cell r="R462">
            <v>4</v>
          </cell>
          <cell r="T462">
            <v>3000</v>
          </cell>
          <cell r="U462">
            <v>6</v>
          </cell>
          <cell r="V462">
            <v>3000</v>
          </cell>
          <cell r="W462">
            <v>6</v>
          </cell>
          <cell r="Z462">
            <v>0.14499999999999999</v>
          </cell>
          <cell r="AA462" t="str">
            <v>! ! !</v>
          </cell>
          <cell r="AG462">
            <v>34</v>
          </cell>
          <cell r="AJ462" t="str">
            <v>V-A</v>
          </cell>
          <cell r="AL462">
            <v>2040</v>
          </cell>
          <cell r="AM462">
            <v>3000</v>
          </cell>
          <cell r="AN462" t="e">
            <v>#VALUE!</v>
          </cell>
          <cell r="AO462" t="e">
            <v>#VALUE!</v>
          </cell>
          <cell r="AP462">
            <v>-960</v>
          </cell>
        </row>
        <row r="463">
          <cell r="A463">
            <v>65062300</v>
          </cell>
          <cell r="B463">
            <v>40289800</v>
          </cell>
          <cell r="C463">
            <v>3014313</v>
          </cell>
          <cell r="D463" t="str">
            <v>ALDI BE EW KIP RIJST TERIYAKI BROCCOLI 425G (MIXED)</v>
          </cell>
          <cell r="E463" t="str">
            <v>ALDI BE</v>
          </cell>
          <cell r="F463" t="str">
            <v>400mm</v>
          </cell>
          <cell r="G463" t="str">
            <v>C2176-1A</v>
          </cell>
          <cell r="H463">
            <v>456</v>
          </cell>
          <cell r="I463">
            <v>0.42499999999999999</v>
          </cell>
          <cell r="J463" t="str">
            <v>H29</v>
          </cell>
          <cell r="K463" t="str">
            <v>NVT</v>
          </cell>
          <cell r="L463">
            <v>16</v>
          </cell>
          <cell r="M463" t="str">
            <v>H29x16</v>
          </cell>
          <cell r="N463" t="str">
            <v>48</v>
          </cell>
          <cell r="O463">
            <v>4068261116782</v>
          </cell>
          <cell r="P463" t="str">
            <v>I-L-2T</v>
          </cell>
          <cell r="Q463">
            <v>2</v>
          </cell>
          <cell r="R463">
            <v>4</v>
          </cell>
          <cell r="T463">
            <v>3000</v>
          </cell>
          <cell r="U463">
            <v>5</v>
          </cell>
          <cell r="V463">
            <v>3000</v>
          </cell>
          <cell r="W463">
            <v>5</v>
          </cell>
          <cell r="Z463">
            <v>0.14499999999999999</v>
          </cell>
          <cell r="AA463" t="str">
            <v>! ! !</v>
          </cell>
          <cell r="AG463">
            <v>34</v>
          </cell>
          <cell r="AJ463" t="str">
            <v>V-A</v>
          </cell>
          <cell r="AL463">
            <v>2040</v>
          </cell>
          <cell r="AM463">
            <v>3000</v>
          </cell>
          <cell r="AN463" t="e">
            <v>#VALUE!</v>
          </cell>
          <cell r="AO463" t="e">
            <v>#VALUE!</v>
          </cell>
          <cell r="AP463">
            <v>-960</v>
          </cell>
        </row>
        <row r="464">
          <cell r="A464">
            <v>65062400</v>
          </cell>
          <cell r="B464">
            <v>40289900</v>
          </cell>
          <cell r="C464">
            <v>3014313</v>
          </cell>
          <cell r="D464" t="str">
            <v>ALDI BE EW ZALM ASC MOSTERD GROENTEN BULGUR 425G(MIXED)</v>
          </cell>
          <cell r="E464" t="str">
            <v>ALDI BE</v>
          </cell>
          <cell r="F464" t="str">
            <v>400mm</v>
          </cell>
          <cell r="G464" t="str">
            <v>C2176-1A</v>
          </cell>
          <cell r="H464">
            <v>456</v>
          </cell>
          <cell r="I464">
            <v>0.42499999999999999</v>
          </cell>
          <cell r="J464" t="str">
            <v>H29</v>
          </cell>
          <cell r="K464" t="str">
            <v>NVT</v>
          </cell>
          <cell r="L464">
            <v>16</v>
          </cell>
          <cell r="M464" t="str">
            <v>H29x16</v>
          </cell>
          <cell r="N464" t="str">
            <v>48</v>
          </cell>
          <cell r="O464">
            <v>4068261116782</v>
          </cell>
          <cell r="P464" t="str">
            <v>I-L-2T</v>
          </cell>
          <cell r="Q464">
            <v>3</v>
          </cell>
          <cell r="R464">
            <v>4</v>
          </cell>
          <cell r="S464" t="str">
            <v>Bulgur koken D-1</v>
          </cell>
          <cell r="T464">
            <v>2500</v>
          </cell>
          <cell r="U464">
            <v>7</v>
          </cell>
          <cell r="V464">
            <v>2500</v>
          </cell>
          <cell r="W464">
            <v>7</v>
          </cell>
          <cell r="Z464">
            <v>0.14499999999999999</v>
          </cell>
          <cell r="AA464" t="str">
            <v>! ! ! !</v>
          </cell>
          <cell r="AG464">
            <v>34</v>
          </cell>
          <cell r="AJ464" t="str">
            <v>V-A</v>
          </cell>
          <cell r="AL464">
            <v>2040</v>
          </cell>
          <cell r="AM464">
            <v>2500</v>
          </cell>
          <cell r="AN464" t="e">
            <v>#VALUE!</v>
          </cell>
          <cell r="AO464" t="e">
            <v>#VALUE!</v>
          </cell>
          <cell r="AP464">
            <v>-460</v>
          </cell>
        </row>
        <row r="465">
          <cell r="A465">
            <v>65101200</v>
          </cell>
          <cell r="D465" t="str">
            <v>DMB SCHARROLLETJES OOSTENDSE WIJZE 2,1KG</v>
          </cell>
          <cell r="E465" t="str">
            <v xml:space="preserve">DMB </v>
          </cell>
          <cell r="F465" t="str">
            <v>310mm</v>
          </cell>
          <cell r="G465" t="str">
            <v>C2325-1C</v>
          </cell>
          <cell r="H465">
            <v>456</v>
          </cell>
          <cell r="I465">
            <v>2.1</v>
          </cell>
          <cell r="J465" t="str">
            <v>NVT</v>
          </cell>
          <cell r="K465" t="str">
            <v>DELIMEAL HORECA</v>
          </cell>
          <cell r="L465">
            <v>4</v>
          </cell>
          <cell r="M465" t="str">
            <v>BULK HO</v>
          </cell>
          <cell r="N465">
            <v>48</v>
          </cell>
          <cell r="O465">
            <v>5410953996650</v>
          </cell>
          <cell r="P465" t="str">
            <v>2T</v>
          </cell>
          <cell r="Q465">
            <v>1</v>
          </cell>
          <cell r="R465">
            <v>3</v>
          </cell>
          <cell r="S465" t="str">
            <v>Folie perforeren, saus in Terlet bereiden</v>
          </cell>
          <cell r="T465">
            <v>600</v>
          </cell>
          <cell r="U465">
            <v>8</v>
          </cell>
          <cell r="V465">
            <v>600</v>
          </cell>
          <cell r="W465">
            <v>8</v>
          </cell>
          <cell r="X465">
            <v>0</v>
          </cell>
          <cell r="Y465">
            <v>0</v>
          </cell>
          <cell r="Z465">
            <v>0</v>
          </cell>
          <cell r="AA465" t="str">
            <v>! ! ! !</v>
          </cell>
          <cell r="AB465">
            <v>192</v>
          </cell>
          <cell r="AC465">
            <v>0</v>
          </cell>
          <cell r="AG465">
            <v>13</v>
          </cell>
          <cell r="AJ465" t="str">
            <v>V-A</v>
          </cell>
          <cell r="AL465">
            <v>780</v>
          </cell>
          <cell r="AM465">
            <v>600</v>
          </cell>
          <cell r="AN465" t="e">
            <v>#VALUE!</v>
          </cell>
          <cell r="AO465" t="e">
            <v>#VALUE!</v>
          </cell>
          <cell r="AP465">
            <v>180</v>
          </cell>
        </row>
        <row r="466">
          <cell r="A466">
            <v>65101800</v>
          </cell>
          <cell r="D466" t="str">
            <v>DMB ZALM FIJNE GROENTENSAUS 2,2KG</v>
          </cell>
          <cell r="E466" t="str">
            <v xml:space="preserve">DMB </v>
          </cell>
          <cell r="F466" t="str">
            <v>310mm</v>
          </cell>
          <cell r="G466" t="str">
            <v>C2325-1C</v>
          </cell>
          <cell r="H466">
            <v>456</v>
          </cell>
          <cell r="I466">
            <v>2.2000000000000002</v>
          </cell>
          <cell r="J466" t="str">
            <v>NVT</v>
          </cell>
          <cell r="K466" t="str">
            <v>DELIMEAL HORECA</v>
          </cell>
          <cell r="L466">
            <v>4</v>
          </cell>
          <cell r="M466" t="str">
            <v>BULK HO</v>
          </cell>
          <cell r="N466">
            <v>48</v>
          </cell>
          <cell r="O466">
            <v>5410953510184</v>
          </cell>
          <cell r="P466" t="str">
            <v>2T</v>
          </cell>
          <cell r="Q466">
            <v>1</v>
          </cell>
          <cell r="R466">
            <v>3</v>
          </cell>
          <cell r="S466" t="str">
            <v>Folie perforeren, ZALM verzagen (80g)</v>
          </cell>
          <cell r="T466">
            <v>550</v>
          </cell>
          <cell r="U466">
            <v>6</v>
          </cell>
          <cell r="V466">
            <v>550</v>
          </cell>
          <cell r="W466">
            <v>6</v>
          </cell>
          <cell r="X466">
            <v>0</v>
          </cell>
          <cell r="Y466">
            <v>0</v>
          </cell>
          <cell r="Z466">
            <v>0</v>
          </cell>
          <cell r="AA466" t="str">
            <v>! ! ! !</v>
          </cell>
          <cell r="AB466">
            <v>192</v>
          </cell>
          <cell r="AC466">
            <v>0</v>
          </cell>
          <cell r="AG466">
            <v>12</v>
          </cell>
          <cell r="AJ466" t="str">
            <v>V-A</v>
          </cell>
          <cell r="AL466">
            <v>720</v>
          </cell>
          <cell r="AM466">
            <v>550</v>
          </cell>
          <cell r="AN466" t="e">
            <v>#VALUE!</v>
          </cell>
          <cell r="AO466" t="e">
            <v>#VALUE!</v>
          </cell>
          <cell r="AP466">
            <v>170</v>
          </cell>
        </row>
        <row r="467">
          <cell r="A467">
            <v>65101900</v>
          </cell>
          <cell r="D467" t="str">
            <v>DMB VISFILET FIJNE KRUIDENSAUS 2,2KG</v>
          </cell>
          <cell r="E467" t="str">
            <v xml:space="preserve">DMB </v>
          </cell>
          <cell r="F467" t="str">
            <v>310mm</v>
          </cell>
          <cell r="G467" t="str">
            <v>C2325-1C</v>
          </cell>
          <cell r="H467">
            <v>456</v>
          </cell>
          <cell r="I467">
            <v>2.2000000000000002</v>
          </cell>
          <cell r="J467" t="str">
            <v>NVT</v>
          </cell>
          <cell r="K467" t="str">
            <v>DELIMEAL HORECA</v>
          </cell>
          <cell r="L467">
            <v>4</v>
          </cell>
          <cell r="M467" t="str">
            <v>BULK HO</v>
          </cell>
          <cell r="N467">
            <v>48</v>
          </cell>
          <cell r="O467">
            <v>5410953510191</v>
          </cell>
          <cell r="P467" t="str">
            <v>2T</v>
          </cell>
          <cell r="Q467">
            <v>1</v>
          </cell>
          <cell r="R467">
            <v>3</v>
          </cell>
          <cell r="S467" t="str">
            <v>Folie perforeren</v>
          </cell>
          <cell r="T467">
            <v>550</v>
          </cell>
          <cell r="U467">
            <v>5</v>
          </cell>
          <cell r="V467">
            <v>550</v>
          </cell>
          <cell r="W467">
            <v>5</v>
          </cell>
          <cell r="X467">
            <v>0</v>
          </cell>
          <cell r="Y467">
            <v>0</v>
          </cell>
          <cell r="Z467">
            <v>0</v>
          </cell>
          <cell r="AA467" t="str">
            <v>! ! ! !</v>
          </cell>
          <cell r="AB467">
            <v>192</v>
          </cell>
          <cell r="AC467">
            <v>0</v>
          </cell>
          <cell r="AG467">
            <v>12</v>
          </cell>
          <cell r="AJ467" t="str">
            <v>-</v>
          </cell>
          <cell r="AL467">
            <v>720</v>
          </cell>
          <cell r="AM467">
            <v>550</v>
          </cell>
          <cell r="AN467" t="e">
            <v>#VALUE!</v>
          </cell>
          <cell r="AO467" t="e">
            <v>#VALUE!</v>
          </cell>
          <cell r="AP467">
            <v>170</v>
          </cell>
        </row>
        <row r="468">
          <cell r="A468">
            <v>65102200</v>
          </cell>
          <cell r="D468" t="str">
            <v>DMB VARKENSLAPJE VLEESJUS 1,9KG</v>
          </cell>
          <cell r="E468" t="str">
            <v xml:space="preserve">DMB </v>
          </cell>
          <cell r="F468" t="str">
            <v>310mm</v>
          </cell>
          <cell r="G468" t="str">
            <v>C2325-1C</v>
          </cell>
          <cell r="H468">
            <v>456</v>
          </cell>
          <cell r="I468">
            <v>1.9</v>
          </cell>
          <cell r="J468" t="str">
            <v>NVT</v>
          </cell>
          <cell r="K468" t="str">
            <v>DELIMEAL HORECA</v>
          </cell>
          <cell r="L468">
            <v>4</v>
          </cell>
          <cell r="M468" t="str">
            <v>BULK HO</v>
          </cell>
          <cell r="N468">
            <v>48</v>
          </cell>
          <cell r="O468">
            <v>5410953510221</v>
          </cell>
          <cell r="P468" t="str">
            <v>2T</v>
          </cell>
          <cell r="Q468">
            <v>1</v>
          </cell>
          <cell r="R468">
            <v>3</v>
          </cell>
          <cell r="S468" t="str">
            <v>Folie perforeren</v>
          </cell>
          <cell r="T468">
            <v>650</v>
          </cell>
          <cell r="U468">
            <v>6</v>
          </cell>
          <cell r="V468">
            <v>650</v>
          </cell>
          <cell r="W468">
            <v>6</v>
          </cell>
          <cell r="X468">
            <v>0</v>
          </cell>
          <cell r="Y468">
            <v>0</v>
          </cell>
          <cell r="Z468">
            <v>0</v>
          </cell>
          <cell r="AA468" t="str">
            <v>! !</v>
          </cell>
          <cell r="AB468">
            <v>192</v>
          </cell>
          <cell r="AC468">
            <v>0</v>
          </cell>
          <cell r="AG468">
            <v>14</v>
          </cell>
          <cell r="AJ468" t="str">
            <v>V-A</v>
          </cell>
          <cell r="AL468">
            <v>840</v>
          </cell>
          <cell r="AM468">
            <v>650</v>
          </cell>
          <cell r="AN468" t="e">
            <v>#VALUE!</v>
          </cell>
          <cell r="AO468" t="e">
            <v>#VALUE!</v>
          </cell>
          <cell r="AP468">
            <v>190</v>
          </cell>
        </row>
        <row r="469">
          <cell r="A469">
            <v>65102300</v>
          </cell>
          <cell r="D469" t="str">
            <v>DMB VARKENSLAPJE GESNEDEN VLEESJUS 1,9KG</v>
          </cell>
          <cell r="E469" t="str">
            <v xml:space="preserve">DMB </v>
          </cell>
          <cell r="F469" t="str">
            <v>310mm</v>
          </cell>
          <cell r="G469" t="str">
            <v>C2325-1C</v>
          </cell>
          <cell r="H469">
            <v>456</v>
          </cell>
          <cell r="I469">
            <v>1.9</v>
          </cell>
          <cell r="J469" t="str">
            <v>NVT</v>
          </cell>
          <cell r="K469" t="str">
            <v>DELIMEAL HORECA</v>
          </cell>
          <cell r="L469">
            <v>4</v>
          </cell>
          <cell r="M469" t="str">
            <v>BULK HO</v>
          </cell>
          <cell r="N469">
            <v>48</v>
          </cell>
          <cell r="O469">
            <v>5410953510238</v>
          </cell>
          <cell r="P469" t="str">
            <v>2T</v>
          </cell>
          <cell r="Q469">
            <v>1</v>
          </cell>
          <cell r="R469">
            <v>3</v>
          </cell>
          <cell r="S469" t="str">
            <v>Folie perforeren</v>
          </cell>
          <cell r="T469">
            <v>650</v>
          </cell>
          <cell r="U469">
            <v>6</v>
          </cell>
          <cell r="V469">
            <v>650</v>
          </cell>
          <cell r="W469">
            <v>6</v>
          </cell>
          <cell r="X469">
            <v>0</v>
          </cell>
          <cell r="Y469">
            <v>0</v>
          </cell>
          <cell r="Z469">
            <v>0</v>
          </cell>
          <cell r="AA469" t="str">
            <v>! !</v>
          </cell>
          <cell r="AB469">
            <v>192</v>
          </cell>
          <cell r="AC469">
            <v>0</v>
          </cell>
          <cell r="AG469">
            <v>14</v>
          </cell>
          <cell r="AJ469" t="str">
            <v>V-A</v>
          </cell>
          <cell r="AL469">
            <v>840</v>
          </cell>
          <cell r="AM469">
            <v>650</v>
          </cell>
          <cell r="AN469" t="e">
            <v>#VALUE!</v>
          </cell>
          <cell r="AO469" t="e">
            <v>#VALUE!</v>
          </cell>
          <cell r="AP469">
            <v>190</v>
          </cell>
        </row>
        <row r="470">
          <cell r="A470">
            <v>65102400</v>
          </cell>
          <cell r="D470" t="str">
            <v>DMB VARKENSSTOOFVLEES 2,1KG</v>
          </cell>
          <cell r="E470" t="str">
            <v xml:space="preserve">DMB </v>
          </cell>
          <cell r="F470" t="str">
            <v>310mm</v>
          </cell>
          <cell r="G470" t="str">
            <v>C2325-1C</v>
          </cell>
          <cell r="H470">
            <v>456</v>
          </cell>
          <cell r="I470">
            <v>2.1</v>
          </cell>
          <cell r="J470" t="str">
            <v>NVT</v>
          </cell>
          <cell r="K470" t="str">
            <v>DELIMEAL HORECA</v>
          </cell>
          <cell r="L470">
            <v>4</v>
          </cell>
          <cell r="M470" t="str">
            <v>BULK HO</v>
          </cell>
          <cell r="N470">
            <v>48</v>
          </cell>
          <cell r="O470">
            <v>5410953996643</v>
          </cell>
          <cell r="P470" t="str">
            <v>2T</v>
          </cell>
          <cell r="Q470">
            <v>1</v>
          </cell>
          <cell r="R470">
            <v>3</v>
          </cell>
          <cell r="S470" t="str">
            <v>Folie perforeren, STOOFVLEES D-1 (vacuumzakken)</v>
          </cell>
          <cell r="T470">
            <v>600</v>
          </cell>
          <cell r="U470">
            <v>5</v>
          </cell>
          <cell r="V470">
            <v>600</v>
          </cell>
          <cell r="W470">
            <v>5</v>
          </cell>
          <cell r="X470">
            <v>0</v>
          </cell>
          <cell r="Y470">
            <v>0</v>
          </cell>
          <cell r="Z470">
            <v>0</v>
          </cell>
          <cell r="AA470" t="str">
            <v>! ! !</v>
          </cell>
          <cell r="AB470">
            <v>192</v>
          </cell>
          <cell r="AC470">
            <v>2.4437799999999998</v>
          </cell>
          <cell r="AG470">
            <v>13</v>
          </cell>
          <cell r="AJ470" t="str">
            <v>V-A</v>
          </cell>
          <cell r="AL470">
            <v>780</v>
          </cell>
          <cell r="AM470">
            <v>600</v>
          </cell>
          <cell r="AN470" t="e">
            <v>#VALUE!</v>
          </cell>
          <cell r="AO470" t="e">
            <v>#VALUE!</v>
          </cell>
          <cell r="AP470">
            <v>180</v>
          </cell>
        </row>
        <row r="471">
          <cell r="A471">
            <v>65102700</v>
          </cell>
          <cell r="D471" t="str">
            <v>DMB VARKENSREEPJES PAPRIKA-CHAMPIGNONSAUS 1,9KG</v>
          </cell>
          <cell r="E471" t="str">
            <v xml:space="preserve">DMB </v>
          </cell>
          <cell r="F471" t="str">
            <v>310mm</v>
          </cell>
          <cell r="G471" t="str">
            <v>C2325-1C</v>
          </cell>
          <cell r="H471">
            <v>456</v>
          </cell>
          <cell r="I471">
            <v>1.9</v>
          </cell>
          <cell r="J471" t="str">
            <v>NVT</v>
          </cell>
          <cell r="K471" t="str">
            <v>DELIMEAL HORECA</v>
          </cell>
          <cell r="L471">
            <v>4</v>
          </cell>
          <cell r="M471" t="str">
            <v>BULK HO</v>
          </cell>
          <cell r="N471">
            <v>48</v>
          </cell>
          <cell r="O471">
            <v>5410953510276</v>
          </cell>
          <cell r="P471" t="str">
            <v>2T</v>
          </cell>
          <cell r="Q471">
            <v>1</v>
          </cell>
          <cell r="R471">
            <v>3</v>
          </cell>
          <cell r="S471" t="str">
            <v>Folie perforeren</v>
          </cell>
          <cell r="T471">
            <v>650</v>
          </cell>
          <cell r="U471">
            <v>5</v>
          </cell>
          <cell r="V471">
            <v>650</v>
          </cell>
          <cell r="W471">
            <v>5</v>
          </cell>
          <cell r="X471">
            <v>0</v>
          </cell>
          <cell r="Y471">
            <v>0</v>
          </cell>
          <cell r="Z471">
            <v>0</v>
          </cell>
          <cell r="AA471" t="str">
            <v>! ! !</v>
          </cell>
          <cell r="AB471">
            <v>192</v>
          </cell>
          <cell r="AC471">
            <v>0</v>
          </cell>
          <cell r="AG471">
            <v>14</v>
          </cell>
          <cell r="AJ471" t="str">
            <v>V-A</v>
          </cell>
          <cell r="AL471">
            <v>840</v>
          </cell>
          <cell r="AM471">
            <v>650</v>
          </cell>
          <cell r="AN471" t="e">
            <v>#VALUE!</v>
          </cell>
          <cell r="AO471" t="e">
            <v>#VALUE!</v>
          </cell>
          <cell r="AP471">
            <v>190</v>
          </cell>
        </row>
        <row r="472">
          <cell r="A472">
            <v>65102800</v>
          </cell>
          <cell r="D472" t="str">
            <v>DMB VARKENSGYROS MEDITERRAANS 1,9KG</v>
          </cell>
          <cell r="E472" t="str">
            <v xml:space="preserve">DMB </v>
          </cell>
          <cell r="F472" t="str">
            <v>310mm</v>
          </cell>
          <cell r="G472" t="str">
            <v>C2325-1C</v>
          </cell>
          <cell r="H472">
            <v>456</v>
          </cell>
          <cell r="I472">
            <v>1.9</v>
          </cell>
          <cell r="J472" t="str">
            <v>NVT</v>
          </cell>
          <cell r="K472" t="str">
            <v>DELIMEAL HORECA</v>
          </cell>
          <cell r="L472">
            <v>4</v>
          </cell>
          <cell r="M472" t="str">
            <v>BULK HO</v>
          </cell>
          <cell r="N472">
            <v>48</v>
          </cell>
          <cell r="O472">
            <v>5410953510283</v>
          </cell>
          <cell r="P472" t="str">
            <v>2T</v>
          </cell>
          <cell r="Q472">
            <v>1</v>
          </cell>
          <cell r="R472">
            <v>3</v>
          </cell>
          <cell r="S472" t="str">
            <v>Folie perforeren</v>
          </cell>
          <cell r="T472">
            <v>650</v>
          </cell>
          <cell r="U472">
            <v>5</v>
          </cell>
          <cell r="V472">
            <v>650</v>
          </cell>
          <cell r="W472">
            <v>5</v>
          </cell>
          <cell r="X472">
            <v>0</v>
          </cell>
          <cell r="Y472">
            <v>0</v>
          </cell>
          <cell r="Z472">
            <v>0</v>
          </cell>
          <cell r="AA472" t="str">
            <v>! ! !</v>
          </cell>
          <cell r="AB472">
            <v>192</v>
          </cell>
          <cell r="AC472">
            <v>0</v>
          </cell>
          <cell r="AG472">
            <v>14</v>
          </cell>
          <cell r="AJ472" t="str">
            <v>V-A</v>
          </cell>
          <cell r="AL472">
            <v>840</v>
          </cell>
          <cell r="AM472">
            <v>650</v>
          </cell>
          <cell r="AN472" t="e">
            <v>#VALUE!</v>
          </cell>
          <cell r="AO472" t="e">
            <v>#VALUE!</v>
          </cell>
          <cell r="AP472">
            <v>190</v>
          </cell>
        </row>
        <row r="473">
          <cell r="A473">
            <v>65102900</v>
          </cell>
          <cell r="D473" t="str">
            <v>DMB WITLOOF HAM KAAS 2,35KG</v>
          </cell>
          <cell r="E473" t="str">
            <v xml:space="preserve">DMB </v>
          </cell>
          <cell r="F473" t="str">
            <v>310mm</v>
          </cell>
          <cell r="G473" t="str">
            <v>C2325-1C</v>
          </cell>
          <cell r="H473">
            <v>365</v>
          </cell>
          <cell r="I473">
            <v>2.35</v>
          </cell>
          <cell r="J473" t="str">
            <v>NVT</v>
          </cell>
          <cell r="K473" t="str">
            <v>DELIMEAL HORECA</v>
          </cell>
          <cell r="L473">
            <v>4</v>
          </cell>
          <cell r="M473" t="str">
            <v>BULK HO</v>
          </cell>
          <cell r="N473">
            <v>48</v>
          </cell>
          <cell r="O473">
            <v>5410953510290</v>
          </cell>
          <cell r="P473" t="str">
            <v>2T-K</v>
          </cell>
          <cell r="Q473">
            <v>1</v>
          </cell>
          <cell r="R473">
            <v>3</v>
          </cell>
          <cell r="S473" t="str">
            <v>Folie perforeren, HAM snijden</v>
          </cell>
          <cell r="T473">
            <v>275</v>
          </cell>
          <cell r="U473">
            <v>8</v>
          </cell>
          <cell r="V473">
            <v>275</v>
          </cell>
          <cell r="W473">
            <v>8</v>
          </cell>
          <cell r="X473">
            <v>0</v>
          </cell>
          <cell r="Y473">
            <v>0</v>
          </cell>
          <cell r="Z473">
            <v>0</v>
          </cell>
          <cell r="AA473" t="str">
            <v>! !</v>
          </cell>
          <cell r="AB473">
            <v>192</v>
          </cell>
          <cell r="AC473">
            <v>0.96218181818181814</v>
          </cell>
          <cell r="AG473">
            <v>12</v>
          </cell>
          <cell r="AJ473" t="str">
            <v>V-A</v>
          </cell>
          <cell r="AL473">
            <v>720</v>
          </cell>
          <cell r="AM473">
            <v>275</v>
          </cell>
          <cell r="AN473" t="e">
            <v>#VALUE!</v>
          </cell>
          <cell r="AO473" t="e">
            <v>#VALUE!</v>
          </cell>
          <cell r="AP473">
            <v>445</v>
          </cell>
        </row>
        <row r="474">
          <cell r="A474">
            <v>65104000</v>
          </cell>
          <cell r="D474" t="str">
            <v>DMB VLAAMSE STOVERIJ 2,1KG</v>
          </cell>
          <cell r="E474" t="str">
            <v xml:space="preserve">DMB </v>
          </cell>
          <cell r="F474" t="str">
            <v>310mm</v>
          </cell>
          <cell r="G474" t="str">
            <v>C2325-1C</v>
          </cell>
          <cell r="H474">
            <v>456</v>
          </cell>
          <cell r="I474">
            <v>2.1</v>
          </cell>
          <cell r="J474" t="str">
            <v>NVT</v>
          </cell>
          <cell r="K474" t="str">
            <v>DELIMEAL HORECA</v>
          </cell>
          <cell r="L474">
            <v>4</v>
          </cell>
          <cell r="M474" t="str">
            <v>BULK HO</v>
          </cell>
          <cell r="N474">
            <v>48</v>
          </cell>
          <cell r="O474">
            <v>5410953997862</v>
          </cell>
          <cell r="P474" t="str">
            <v>2T-I</v>
          </cell>
          <cell r="Q474">
            <v>1</v>
          </cell>
          <cell r="R474">
            <v>3</v>
          </cell>
          <cell r="S474" t="str">
            <v>Folie perforeren, Pulled beef tussen D-4 en D-2</v>
          </cell>
          <cell r="T474">
            <v>600</v>
          </cell>
          <cell r="U474">
            <v>3</v>
          </cell>
          <cell r="V474">
            <v>600</v>
          </cell>
          <cell r="W474">
            <v>3</v>
          </cell>
          <cell r="X474">
            <v>0</v>
          </cell>
          <cell r="Y474">
            <v>0</v>
          </cell>
          <cell r="Z474">
            <v>0</v>
          </cell>
          <cell r="AA474" t="str">
            <v>! ! !</v>
          </cell>
          <cell r="AB474">
            <v>192</v>
          </cell>
          <cell r="AC474">
            <v>0</v>
          </cell>
          <cell r="AG474">
            <v>13</v>
          </cell>
          <cell r="AJ474" t="str">
            <v>-</v>
          </cell>
          <cell r="AL474">
            <v>780</v>
          </cell>
          <cell r="AM474">
            <v>600</v>
          </cell>
          <cell r="AN474" t="e">
            <v>#VALUE!</v>
          </cell>
          <cell r="AO474" t="e">
            <v>#VALUE!</v>
          </cell>
          <cell r="AP474">
            <v>180</v>
          </cell>
        </row>
        <row r="475">
          <cell r="A475">
            <v>65104200</v>
          </cell>
          <cell r="D475" t="str">
            <v>DMB RUNDSGOULASH 1,9KG</v>
          </cell>
          <cell r="E475" t="str">
            <v xml:space="preserve">DMB </v>
          </cell>
          <cell r="F475" t="str">
            <v>310mm</v>
          </cell>
          <cell r="G475" t="str">
            <v>C2325-1C</v>
          </cell>
          <cell r="H475">
            <v>456</v>
          </cell>
          <cell r="I475">
            <v>1.9</v>
          </cell>
          <cell r="J475" t="str">
            <v>NVT</v>
          </cell>
          <cell r="K475" t="str">
            <v>DELIMEAL HORECA</v>
          </cell>
          <cell r="L475">
            <v>4</v>
          </cell>
          <cell r="M475" t="str">
            <v>BULK HO</v>
          </cell>
          <cell r="N475">
            <v>48</v>
          </cell>
          <cell r="O475">
            <v>5410953510429</v>
          </cell>
          <cell r="P475" t="str">
            <v>2T-I</v>
          </cell>
          <cell r="Q475">
            <v>1</v>
          </cell>
          <cell r="R475">
            <v>3</v>
          </cell>
          <cell r="S475" t="str">
            <v>Folie perforeren, Pulled beef tussen D-4 en D-2</v>
          </cell>
          <cell r="T475">
            <v>650</v>
          </cell>
          <cell r="U475">
            <v>3</v>
          </cell>
          <cell r="V475">
            <v>650</v>
          </cell>
          <cell r="W475">
            <v>3</v>
          </cell>
          <cell r="X475">
            <v>0</v>
          </cell>
          <cell r="Y475">
            <v>0</v>
          </cell>
          <cell r="Z475">
            <v>0</v>
          </cell>
          <cell r="AA475" t="str">
            <v>! !</v>
          </cell>
          <cell r="AB475">
            <v>192</v>
          </cell>
          <cell r="AC475">
            <v>0</v>
          </cell>
          <cell r="AG475">
            <v>14</v>
          </cell>
          <cell r="AJ475" t="str">
            <v>-</v>
          </cell>
          <cell r="AL475">
            <v>840</v>
          </cell>
          <cell r="AM475">
            <v>650</v>
          </cell>
          <cell r="AN475" t="e">
            <v>#VALUE!</v>
          </cell>
          <cell r="AO475" t="e">
            <v>#VALUE!</v>
          </cell>
          <cell r="AP475">
            <v>190</v>
          </cell>
        </row>
        <row r="476">
          <cell r="A476">
            <v>65105100</v>
          </cell>
          <cell r="D476" t="str">
            <v>DMB KIPPENHAASJE SUPREMESAUS 2 KG</v>
          </cell>
          <cell r="E476" t="str">
            <v xml:space="preserve">DMB </v>
          </cell>
          <cell r="F476" t="str">
            <v>310mm</v>
          </cell>
          <cell r="G476" t="str">
            <v>C2325-1C</v>
          </cell>
          <cell r="H476">
            <v>456</v>
          </cell>
          <cell r="I476">
            <v>2</v>
          </cell>
          <cell r="J476" t="str">
            <v>NVT</v>
          </cell>
          <cell r="K476" t="str">
            <v>DELIMEAL HORECA</v>
          </cell>
          <cell r="L476">
            <v>4</v>
          </cell>
          <cell r="M476" t="str">
            <v>BULK HO</v>
          </cell>
          <cell r="N476">
            <v>48</v>
          </cell>
          <cell r="O476">
            <v>5410953510511</v>
          </cell>
          <cell r="P476" t="str">
            <v>I-2T</v>
          </cell>
          <cell r="Q476">
            <v>1</v>
          </cell>
          <cell r="R476">
            <v>3</v>
          </cell>
          <cell r="S476" t="str">
            <v>Folie perforeren</v>
          </cell>
          <cell r="T476">
            <v>600</v>
          </cell>
          <cell r="U476">
            <v>3</v>
          </cell>
          <cell r="V476">
            <v>600</v>
          </cell>
          <cell r="W476">
            <v>3</v>
          </cell>
          <cell r="X476">
            <v>0</v>
          </cell>
          <cell r="Y476">
            <v>0</v>
          </cell>
          <cell r="Z476">
            <v>0</v>
          </cell>
          <cell r="AA476" t="str">
            <v>! ! !</v>
          </cell>
          <cell r="AB476">
            <v>192</v>
          </cell>
          <cell r="AC476">
            <v>0</v>
          </cell>
          <cell r="AG476">
            <v>13</v>
          </cell>
          <cell r="AJ476" t="str">
            <v>-</v>
          </cell>
          <cell r="AL476">
            <v>780</v>
          </cell>
          <cell r="AM476">
            <v>600</v>
          </cell>
          <cell r="AN476" t="e">
            <v>#VALUE!</v>
          </cell>
          <cell r="AO476" t="e">
            <v>#VALUE!</v>
          </cell>
          <cell r="AP476">
            <v>180</v>
          </cell>
        </row>
        <row r="477">
          <cell r="A477">
            <v>65105200</v>
          </cell>
          <cell r="D477" t="str">
            <v>DMB KALKOEN ROOMSAUS 2 KG</v>
          </cell>
          <cell r="E477" t="str">
            <v xml:space="preserve">DMB </v>
          </cell>
          <cell r="F477" t="str">
            <v>310mm</v>
          </cell>
          <cell r="G477" t="str">
            <v>C2325-1C</v>
          </cell>
          <cell r="H477">
            <v>456</v>
          </cell>
          <cell r="I477">
            <v>2</v>
          </cell>
          <cell r="J477" t="str">
            <v>NVT</v>
          </cell>
          <cell r="K477" t="str">
            <v>DELIMEAL HORECA</v>
          </cell>
          <cell r="L477">
            <v>4</v>
          </cell>
          <cell r="M477" t="str">
            <v>BULK HO</v>
          </cell>
          <cell r="N477">
            <v>48</v>
          </cell>
          <cell r="O477">
            <v>5410953510528</v>
          </cell>
          <cell r="P477" t="str">
            <v>2T</v>
          </cell>
          <cell r="Q477">
            <v>1</v>
          </cell>
          <cell r="R477">
            <v>3</v>
          </cell>
          <cell r="S477" t="str">
            <v>Folie perforeren</v>
          </cell>
          <cell r="T477">
            <v>600</v>
          </cell>
          <cell r="U477">
            <v>7</v>
          </cell>
          <cell r="V477">
            <v>600</v>
          </cell>
          <cell r="W477">
            <v>7</v>
          </cell>
          <cell r="X477">
            <v>0</v>
          </cell>
          <cell r="Y477">
            <v>0</v>
          </cell>
          <cell r="Z477">
            <v>0</v>
          </cell>
          <cell r="AA477" t="str">
            <v>! !</v>
          </cell>
          <cell r="AB477">
            <v>192</v>
          </cell>
          <cell r="AC477">
            <v>0</v>
          </cell>
          <cell r="AG477">
            <v>13</v>
          </cell>
          <cell r="AJ477" t="str">
            <v>-</v>
          </cell>
          <cell r="AL477">
            <v>780</v>
          </cell>
          <cell r="AM477">
            <v>600</v>
          </cell>
          <cell r="AN477" t="e">
            <v>#VALUE!</v>
          </cell>
          <cell r="AO477" t="e">
            <v>#VALUE!</v>
          </cell>
          <cell r="AP477">
            <v>180</v>
          </cell>
        </row>
        <row r="478">
          <cell r="A478">
            <v>65105300</v>
          </cell>
          <cell r="D478" t="str">
            <v>DMB KALKOEN GESNEDEN ROOMSAUS 2 KG</v>
          </cell>
          <cell r="E478" t="str">
            <v xml:space="preserve">DMB </v>
          </cell>
          <cell r="F478" t="str">
            <v>310mm</v>
          </cell>
          <cell r="G478" t="str">
            <v>C2325-1C</v>
          </cell>
          <cell r="H478">
            <v>456</v>
          </cell>
          <cell r="I478">
            <v>2</v>
          </cell>
          <cell r="J478" t="str">
            <v>NVT</v>
          </cell>
          <cell r="K478" t="str">
            <v>DELIMEAL HORECA</v>
          </cell>
          <cell r="L478">
            <v>4</v>
          </cell>
          <cell r="M478" t="str">
            <v>BULK HO</v>
          </cell>
          <cell r="N478">
            <v>48</v>
          </cell>
          <cell r="O478">
            <v>5410953510535</v>
          </cell>
          <cell r="P478" t="str">
            <v>2T</v>
          </cell>
          <cell r="Q478">
            <v>1</v>
          </cell>
          <cell r="R478">
            <v>3</v>
          </cell>
          <cell r="S478" t="str">
            <v>Folie perforeren, KALKOEN D-2 bakken, D-1 snijden (kubus)</v>
          </cell>
          <cell r="T478">
            <v>600</v>
          </cell>
          <cell r="U478">
            <v>6</v>
          </cell>
          <cell r="V478">
            <v>600</v>
          </cell>
          <cell r="W478">
            <v>6</v>
          </cell>
          <cell r="X478">
            <v>0</v>
          </cell>
          <cell r="Y478">
            <v>0</v>
          </cell>
          <cell r="Z478">
            <v>0</v>
          </cell>
          <cell r="AA478" t="str">
            <v>! !</v>
          </cell>
          <cell r="AB478">
            <v>192</v>
          </cell>
          <cell r="AC478">
            <v>0</v>
          </cell>
          <cell r="AG478">
            <v>13</v>
          </cell>
          <cell r="AJ478" t="str">
            <v>-</v>
          </cell>
          <cell r="AL478">
            <v>780</v>
          </cell>
          <cell r="AM478">
            <v>600</v>
          </cell>
          <cell r="AN478" t="e">
            <v>#VALUE!</v>
          </cell>
          <cell r="AO478" t="e">
            <v>#VALUE!</v>
          </cell>
          <cell r="AP478">
            <v>180</v>
          </cell>
        </row>
        <row r="479">
          <cell r="A479">
            <v>65106000</v>
          </cell>
          <cell r="D479" t="str">
            <v>DMB KIPPENHAASJE CURRYSAUS 2 KG</v>
          </cell>
          <cell r="E479" t="str">
            <v xml:space="preserve">DMB </v>
          </cell>
          <cell r="F479" t="str">
            <v>310mm</v>
          </cell>
          <cell r="G479" t="str">
            <v>C2325-1C</v>
          </cell>
          <cell r="H479">
            <v>456</v>
          </cell>
          <cell r="I479">
            <v>2</v>
          </cell>
          <cell r="J479" t="str">
            <v>NVT</v>
          </cell>
          <cell r="K479" t="str">
            <v>DELIMEAL HORECA</v>
          </cell>
          <cell r="L479">
            <v>4</v>
          </cell>
          <cell r="M479" t="str">
            <v>BULK HO</v>
          </cell>
          <cell r="N479">
            <v>48</v>
          </cell>
          <cell r="O479">
            <v>5410953510603</v>
          </cell>
          <cell r="P479" t="str">
            <v>2T-I</v>
          </cell>
          <cell r="Q479">
            <v>1</v>
          </cell>
          <cell r="R479">
            <v>3</v>
          </cell>
          <cell r="S479" t="str">
            <v>Folie perforeren</v>
          </cell>
          <cell r="T479">
            <v>600</v>
          </cell>
          <cell r="U479">
            <v>3</v>
          </cell>
          <cell r="V479">
            <v>600</v>
          </cell>
          <cell r="W479">
            <v>3</v>
          </cell>
          <cell r="X479">
            <v>0</v>
          </cell>
          <cell r="Y479">
            <v>0</v>
          </cell>
          <cell r="Z479">
            <v>0</v>
          </cell>
          <cell r="AA479" t="str">
            <v>! ! !</v>
          </cell>
          <cell r="AB479">
            <v>192</v>
          </cell>
          <cell r="AC479">
            <v>0</v>
          </cell>
          <cell r="AG479">
            <v>13</v>
          </cell>
          <cell r="AJ479" t="str">
            <v>-</v>
          </cell>
          <cell r="AL479">
            <v>780</v>
          </cell>
          <cell r="AM479">
            <v>600</v>
          </cell>
          <cell r="AN479" t="e">
            <v>#VALUE!</v>
          </cell>
          <cell r="AO479" t="e">
            <v>#VALUE!</v>
          </cell>
          <cell r="AP479">
            <v>180</v>
          </cell>
        </row>
        <row r="480">
          <cell r="A480">
            <v>65106100</v>
          </cell>
          <cell r="D480" t="str">
            <v>DMB VOL AU VENT 2  KG</v>
          </cell>
          <cell r="E480" t="str">
            <v xml:space="preserve">DMB </v>
          </cell>
          <cell r="F480" t="str">
            <v>310mm</v>
          </cell>
          <cell r="G480" t="str">
            <v>C2325-1C</v>
          </cell>
          <cell r="H480">
            <v>456</v>
          </cell>
          <cell r="I480">
            <v>2</v>
          </cell>
          <cell r="J480" t="str">
            <v>NVT</v>
          </cell>
          <cell r="K480" t="str">
            <v>DELIMEAL HORECA</v>
          </cell>
          <cell r="L480">
            <v>4</v>
          </cell>
          <cell r="M480" t="str">
            <v>BULK HO</v>
          </cell>
          <cell r="N480">
            <v>48</v>
          </cell>
          <cell r="O480">
            <v>5410953510610</v>
          </cell>
          <cell r="P480" t="str">
            <v>2T</v>
          </cell>
          <cell r="Q480">
            <v>1</v>
          </cell>
          <cell r="R480">
            <v>3</v>
          </cell>
          <cell r="S480" t="str">
            <v>Folie perforeren</v>
          </cell>
          <cell r="T480">
            <v>600</v>
          </cell>
          <cell r="U480">
            <v>2</v>
          </cell>
          <cell r="V480">
            <v>600</v>
          </cell>
          <cell r="W480">
            <v>2</v>
          </cell>
          <cell r="X480">
            <v>0</v>
          </cell>
          <cell r="Y480">
            <v>0</v>
          </cell>
          <cell r="Z480">
            <v>0</v>
          </cell>
          <cell r="AA480" t="str">
            <v>! !</v>
          </cell>
          <cell r="AB480">
            <v>192</v>
          </cell>
          <cell r="AC480">
            <v>0</v>
          </cell>
          <cell r="AG480">
            <v>13</v>
          </cell>
          <cell r="AJ480" t="str">
            <v>-</v>
          </cell>
          <cell r="AL480">
            <v>780</v>
          </cell>
          <cell r="AM480">
            <v>600</v>
          </cell>
          <cell r="AN480" t="e">
            <v>#VALUE!</v>
          </cell>
          <cell r="AO480" t="e">
            <v>#VALUE!</v>
          </cell>
          <cell r="AP480">
            <v>180</v>
          </cell>
        </row>
        <row r="481">
          <cell r="A481">
            <v>65106400</v>
          </cell>
          <cell r="D481" t="str">
            <v>DMB KIPPENHAASJES ZOETZUUR 2 KG</v>
          </cell>
          <cell r="E481" t="str">
            <v xml:space="preserve">DMB </v>
          </cell>
          <cell r="F481" t="str">
            <v>310mm</v>
          </cell>
          <cell r="G481" t="str">
            <v>C2325-1C</v>
          </cell>
          <cell r="H481">
            <v>456</v>
          </cell>
          <cell r="I481">
            <v>2</v>
          </cell>
          <cell r="J481" t="str">
            <v>NVT</v>
          </cell>
          <cell r="K481" t="str">
            <v>DELIMEAL HORECA</v>
          </cell>
          <cell r="L481">
            <v>4</v>
          </cell>
          <cell r="M481" t="str">
            <v>BULK HO</v>
          </cell>
          <cell r="N481">
            <v>48</v>
          </cell>
          <cell r="O481">
            <v>5410953510641</v>
          </cell>
          <cell r="P481" t="str">
            <v>2T-I</v>
          </cell>
          <cell r="Q481">
            <v>1</v>
          </cell>
          <cell r="R481">
            <v>3</v>
          </cell>
          <cell r="S481" t="str">
            <v>Folie perforeren</v>
          </cell>
          <cell r="T481">
            <v>600</v>
          </cell>
          <cell r="U481">
            <v>3</v>
          </cell>
          <cell r="V481">
            <v>600</v>
          </cell>
          <cell r="W481">
            <v>3</v>
          </cell>
          <cell r="X481">
            <v>0</v>
          </cell>
          <cell r="Y481">
            <v>0</v>
          </cell>
          <cell r="Z481">
            <v>0</v>
          </cell>
          <cell r="AA481" t="str">
            <v>! ! !</v>
          </cell>
          <cell r="AB481">
            <v>192</v>
          </cell>
          <cell r="AC481">
            <v>0</v>
          </cell>
          <cell r="AG481">
            <v>13</v>
          </cell>
          <cell r="AJ481" t="str">
            <v>V-A</v>
          </cell>
          <cell r="AL481">
            <v>780</v>
          </cell>
          <cell r="AM481">
            <v>600</v>
          </cell>
          <cell r="AN481" t="e">
            <v>#VALUE!</v>
          </cell>
          <cell r="AO481" t="e">
            <v>#VALUE!</v>
          </cell>
          <cell r="AP481">
            <v>180</v>
          </cell>
        </row>
        <row r="482">
          <cell r="A482">
            <v>65107200</v>
          </cell>
          <cell r="D482" t="str">
            <v>DMB KIPFILET PEPERROOMSAUS 2 KG</v>
          </cell>
          <cell r="E482" t="str">
            <v xml:space="preserve">DMB </v>
          </cell>
          <cell r="F482" t="str">
            <v>310mm</v>
          </cell>
          <cell r="G482" t="str">
            <v>C2325-1C</v>
          </cell>
          <cell r="H482">
            <v>456</v>
          </cell>
          <cell r="I482">
            <v>2</v>
          </cell>
          <cell r="J482" t="str">
            <v>NVT</v>
          </cell>
          <cell r="K482" t="str">
            <v>DELIMEAL HORECA</v>
          </cell>
          <cell r="L482">
            <v>4</v>
          </cell>
          <cell r="M482" t="str">
            <v>BULK HO</v>
          </cell>
          <cell r="N482">
            <v>48</v>
          </cell>
          <cell r="O482">
            <v>5410953510726</v>
          </cell>
          <cell r="P482" t="str">
            <v>2T</v>
          </cell>
          <cell r="Q482">
            <v>1</v>
          </cell>
          <cell r="R482">
            <v>3</v>
          </cell>
          <cell r="S482" t="str">
            <v>Folie perforeren</v>
          </cell>
          <cell r="T482">
            <v>600</v>
          </cell>
          <cell r="U482">
            <v>6</v>
          </cell>
          <cell r="V482">
            <v>600</v>
          </cell>
          <cell r="W482">
            <v>6</v>
          </cell>
          <cell r="X482">
            <v>0</v>
          </cell>
          <cell r="Y482">
            <v>0</v>
          </cell>
          <cell r="Z482">
            <v>0</v>
          </cell>
          <cell r="AA482" t="str">
            <v>! !</v>
          </cell>
          <cell r="AB482">
            <v>192</v>
          </cell>
          <cell r="AC482">
            <v>0</v>
          </cell>
          <cell r="AG482">
            <v>13</v>
          </cell>
          <cell r="AJ482" t="str">
            <v>V-A</v>
          </cell>
          <cell r="AL482">
            <v>780</v>
          </cell>
          <cell r="AM482">
            <v>600</v>
          </cell>
          <cell r="AN482" t="e">
            <v>#VALUE!</v>
          </cell>
          <cell r="AO482" t="e">
            <v>#VALUE!</v>
          </cell>
          <cell r="AP482">
            <v>180</v>
          </cell>
        </row>
        <row r="483">
          <cell r="A483">
            <v>65107300</v>
          </cell>
          <cell r="D483" t="str">
            <v>DMB WITTE PENS KALFSJUS 2,2KG</v>
          </cell>
          <cell r="E483" t="str">
            <v xml:space="preserve">DMB </v>
          </cell>
          <cell r="F483" t="str">
            <v>310mm</v>
          </cell>
          <cell r="G483" t="str">
            <v>C2325-1C</v>
          </cell>
          <cell r="H483">
            <v>456</v>
          </cell>
          <cell r="I483">
            <v>2.2000000000000002</v>
          </cell>
          <cell r="J483" t="str">
            <v>NVT</v>
          </cell>
          <cell r="K483" t="str">
            <v>DELIMEAL HORECA</v>
          </cell>
          <cell r="L483">
            <v>4</v>
          </cell>
          <cell r="M483" t="str">
            <v>BULK HO</v>
          </cell>
          <cell r="N483">
            <v>48</v>
          </cell>
          <cell r="O483">
            <v>5410953510733</v>
          </cell>
          <cell r="P483" t="str">
            <v>2T</v>
          </cell>
          <cell r="Q483">
            <v>1</v>
          </cell>
          <cell r="R483">
            <v>3</v>
          </cell>
          <cell r="S483" t="str">
            <v>Folie perforeren</v>
          </cell>
          <cell r="T483">
            <v>550</v>
          </cell>
          <cell r="U483">
            <v>6</v>
          </cell>
          <cell r="V483">
            <v>550</v>
          </cell>
          <cell r="W483">
            <v>6</v>
          </cell>
          <cell r="X483">
            <v>0</v>
          </cell>
          <cell r="Y483">
            <v>0</v>
          </cell>
          <cell r="Z483">
            <v>0</v>
          </cell>
          <cell r="AA483" t="str">
            <v>! ! !</v>
          </cell>
          <cell r="AB483">
            <v>192</v>
          </cell>
          <cell r="AC483">
            <v>0.46424271844660181</v>
          </cell>
          <cell r="AG483">
            <v>12</v>
          </cell>
          <cell r="AJ483" t="str">
            <v>V-A</v>
          </cell>
          <cell r="AL483">
            <v>720</v>
          </cell>
          <cell r="AM483">
            <v>550</v>
          </cell>
          <cell r="AN483" t="e">
            <v>#VALUE!</v>
          </cell>
          <cell r="AO483" t="e">
            <v>#VALUE!</v>
          </cell>
          <cell r="AP483">
            <v>170</v>
          </cell>
        </row>
        <row r="484">
          <cell r="A484">
            <v>65107400</v>
          </cell>
          <cell r="D484" t="str">
            <v>DMB WITTE PENS GESNEDEN KALFSJUS 2,2KG</v>
          </cell>
          <cell r="E484" t="str">
            <v xml:space="preserve">DMB </v>
          </cell>
          <cell r="F484" t="str">
            <v>310mm</v>
          </cell>
          <cell r="G484" t="str">
            <v>C2325-1C</v>
          </cell>
          <cell r="H484">
            <v>456</v>
          </cell>
          <cell r="I484">
            <v>2.2000000000000002</v>
          </cell>
          <cell r="J484" t="str">
            <v>NVT</v>
          </cell>
          <cell r="K484" t="str">
            <v>DELIMEAL HORECA</v>
          </cell>
          <cell r="L484">
            <v>4</v>
          </cell>
          <cell r="M484" t="str">
            <v>BULK HO</v>
          </cell>
          <cell r="N484">
            <v>48</v>
          </cell>
          <cell r="O484">
            <v>5410953510740</v>
          </cell>
          <cell r="P484" t="str">
            <v>2T</v>
          </cell>
          <cell r="Q484">
            <v>1</v>
          </cell>
          <cell r="R484">
            <v>3</v>
          </cell>
          <cell r="S484" t="str">
            <v>Folie perforeren</v>
          </cell>
          <cell r="T484">
            <v>550</v>
          </cell>
          <cell r="U484">
            <v>6</v>
          </cell>
          <cell r="V484">
            <v>550</v>
          </cell>
          <cell r="W484">
            <v>6</v>
          </cell>
          <cell r="X484">
            <v>0</v>
          </cell>
          <cell r="Y484">
            <v>0</v>
          </cell>
          <cell r="Z484">
            <v>0</v>
          </cell>
          <cell r="AA484" t="str">
            <v>! ! !</v>
          </cell>
          <cell r="AB484">
            <v>192</v>
          </cell>
          <cell r="AC484">
            <v>0</v>
          </cell>
          <cell r="AG484">
            <v>12</v>
          </cell>
          <cell r="AJ484" t="str">
            <v>V-A</v>
          </cell>
          <cell r="AL484">
            <v>720</v>
          </cell>
          <cell r="AM484">
            <v>550</v>
          </cell>
          <cell r="AN484" t="e">
            <v>#VALUE!</v>
          </cell>
          <cell r="AO484" t="e">
            <v>#VALUE!</v>
          </cell>
          <cell r="AP484">
            <v>170</v>
          </cell>
        </row>
        <row r="485">
          <cell r="A485">
            <v>65107600</v>
          </cell>
          <cell r="D485" t="str">
            <v>DMB BLINDE VINK CHAMPIGNONSAUS 2KG</v>
          </cell>
          <cell r="E485" t="str">
            <v xml:space="preserve">DMB </v>
          </cell>
          <cell r="F485" t="str">
            <v>310mm</v>
          </cell>
          <cell r="G485" t="str">
            <v>C2325-1C</v>
          </cell>
          <cell r="H485">
            <v>456</v>
          </cell>
          <cell r="I485">
            <v>2</v>
          </cell>
          <cell r="J485" t="str">
            <v>NVT</v>
          </cell>
          <cell r="K485" t="str">
            <v>DELIMEAL HORECA</v>
          </cell>
          <cell r="L485">
            <v>4</v>
          </cell>
          <cell r="M485" t="str">
            <v>BULK HO</v>
          </cell>
          <cell r="N485">
            <v>48</v>
          </cell>
          <cell r="O485">
            <v>5410953510764</v>
          </cell>
          <cell r="P485" t="str">
            <v>2T</v>
          </cell>
          <cell r="Q485">
            <v>1</v>
          </cell>
          <cell r="R485">
            <v>3</v>
          </cell>
          <cell r="S485" t="str">
            <v>Folie perforeren</v>
          </cell>
          <cell r="T485">
            <v>600</v>
          </cell>
          <cell r="U485">
            <v>6</v>
          </cell>
          <cell r="V485">
            <v>600</v>
          </cell>
          <cell r="W485">
            <v>6</v>
          </cell>
          <cell r="X485">
            <v>0</v>
          </cell>
          <cell r="Y485">
            <v>0</v>
          </cell>
          <cell r="Z485">
            <v>0</v>
          </cell>
          <cell r="AA485" t="str">
            <v>! ! !</v>
          </cell>
          <cell r="AB485">
            <v>192</v>
          </cell>
          <cell r="AC485">
            <v>0</v>
          </cell>
          <cell r="AG485">
            <v>13</v>
          </cell>
          <cell r="AJ485" t="str">
            <v>V-A</v>
          </cell>
          <cell r="AL485">
            <v>780</v>
          </cell>
          <cell r="AM485">
            <v>600</v>
          </cell>
          <cell r="AN485" t="e">
            <v>#VALUE!</v>
          </cell>
          <cell r="AO485" t="e">
            <v>#VALUE!</v>
          </cell>
          <cell r="AP485">
            <v>180</v>
          </cell>
        </row>
        <row r="486">
          <cell r="A486">
            <v>65107700</v>
          </cell>
          <cell r="D486" t="str">
            <v>DMB BLINDE VINK GESNEDEN CHAMPIGNONSAUS 2KG</v>
          </cell>
          <cell r="E486" t="str">
            <v xml:space="preserve">DMB </v>
          </cell>
          <cell r="F486" t="str">
            <v>310mm</v>
          </cell>
          <cell r="G486" t="str">
            <v>C2325-1C</v>
          </cell>
          <cell r="H486">
            <v>456</v>
          </cell>
          <cell r="I486">
            <v>2</v>
          </cell>
          <cell r="J486" t="str">
            <v>NVT</v>
          </cell>
          <cell r="K486" t="str">
            <v>DELIMEAL HORECA</v>
          </cell>
          <cell r="L486">
            <v>4</v>
          </cell>
          <cell r="M486" t="str">
            <v>BULK HO</v>
          </cell>
          <cell r="N486">
            <v>48</v>
          </cell>
          <cell r="O486">
            <v>5410953510771</v>
          </cell>
          <cell r="P486" t="str">
            <v>2T</v>
          </cell>
          <cell r="Q486">
            <v>1</v>
          </cell>
          <cell r="R486">
            <v>3</v>
          </cell>
          <cell r="S486" t="str">
            <v>Folie perforeren</v>
          </cell>
          <cell r="T486">
            <v>600</v>
          </cell>
          <cell r="U486">
            <v>5</v>
          </cell>
          <cell r="V486">
            <v>600</v>
          </cell>
          <cell r="W486">
            <v>5</v>
          </cell>
          <cell r="X486">
            <v>0</v>
          </cell>
          <cell r="Y486">
            <v>0</v>
          </cell>
          <cell r="Z486">
            <v>0</v>
          </cell>
          <cell r="AA486" t="str">
            <v>! ! !</v>
          </cell>
          <cell r="AB486">
            <v>192</v>
          </cell>
          <cell r="AC486">
            <v>0</v>
          </cell>
          <cell r="AG486">
            <v>13</v>
          </cell>
          <cell r="AJ486" t="str">
            <v>V-A</v>
          </cell>
          <cell r="AL486">
            <v>780</v>
          </cell>
          <cell r="AM486">
            <v>600</v>
          </cell>
          <cell r="AN486" t="e">
            <v>#VALUE!</v>
          </cell>
          <cell r="AO486" t="e">
            <v>#VALUE!</v>
          </cell>
          <cell r="AP486">
            <v>180</v>
          </cell>
        </row>
        <row r="487">
          <cell r="A487">
            <v>65107800</v>
          </cell>
          <cell r="D487" t="str">
            <v>DMB BOOMSTAMMETJE ZACHTE PAPRIKASAUS 2KG</v>
          </cell>
          <cell r="E487" t="str">
            <v xml:space="preserve">DMB </v>
          </cell>
          <cell r="F487" t="str">
            <v>310mm</v>
          </cell>
          <cell r="G487" t="str">
            <v>C2325-1C</v>
          </cell>
          <cell r="H487">
            <v>456</v>
          </cell>
          <cell r="I487">
            <v>2</v>
          </cell>
          <cell r="J487" t="str">
            <v>NVT</v>
          </cell>
          <cell r="K487" t="str">
            <v>DELIMEAL HORECA</v>
          </cell>
          <cell r="L487">
            <v>4</v>
          </cell>
          <cell r="M487" t="str">
            <v>BULK HO</v>
          </cell>
          <cell r="N487">
            <v>48</v>
          </cell>
          <cell r="O487">
            <v>5410953510788</v>
          </cell>
          <cell r="P487" t="str">
            <v>2T</v>
          </cell>
          <cell r="Q487">
            <v>1</v>
          </cell>
          <cell r="R487">
            <v>3</v>
          </cell>
          <cell r="S487" t="str">
            <v>Folie perforeren</v>
          </cell>
          <cell r="T487">
            <v>600</v>
          </cell>
          <cell r="U487">
            <v>5</v>
          </cell>
          <cell r="V487">
            <v>600</v>
          </cell>
          <cell r="W487">
            <v>5</v>
          </cell>
          <cell r="X487">
            <v>0</v>
          </cell>
          <cell r="Y487">
            <v>0</v>
          </cell>
          <cell r="Z487">
            <v>0</v>
          </cell>
          <cell r="AA487" t="str">
            <v>! ! !</v>
          </cell>
          <cell r="AB487">
            <v>192</v>
          </cell>
          <cell r="AC487">
            <v>0</v>
          </cell>
          <cell r="AG487">
            <v>13</v>
          </cell>
          <cell r="AJ487" t="str">
            <v>V-A</v>
          </cell>
          <cell r="AL487">
            <v>780</v>
          </cell>
          <cell r="AM487">
            <v>600</v>
          </cell>
          <cell r="AN487" t="e">
            <v>#VALUE!</v>
          </cell>
          <cell r="AO487" t="e">
            <v>#VALUE!</v>
          </cell>
          <cell r="AP487">
            <v>180</v>
          </cell>
        </row>
        <row r="488">
          <cell r="A488">
            <v>65107900</v>
          </cell>
          <cell r="D488" t="str">
            <v>DMB BOOMSTAMMETJE SCHIJFJES ZACHTE PAPRIKASAUS 2KG</v>
          </cell>
          <cell r="E488" t="str">
            <v xml:space="preserve">DMB </v>
          </cell>
          <cell r="F488" t="str">
            <v>310mm</v>
          </cell>
          <cell r="G488" t="str">
            <v>C2325-1C</v>
          </cell>
          <cell r="H488">
            <v>456</v>
          </cell>
          <cell r="I488">
            <v>2</v>
          </cell>
          <cell r="J488" t="str">
            <v>NVT</v>
          </cell>
          <cell r="K488" t="str">
            <v>DELIMEAL HORECA</v>
          </cell>
          <cell r="L488">
            <v>4</v>
          </cell>
          <cell r="M488" t="str">
            <v>BULK HO</v>
          </cell>
          <cell r="N488">
            <v>48</v>
          </cell>
          <cell r="O488">
            <v>5410953510795</v>
          </cell>
          <cell r="P488" t="str">
            <v>2T</v>
          </cell>
          <cell r="Q488">
            <v>1</v>
          </cell>
          <cell r="R488">
            <v>3</v>
          </cell>
          <cell r="S488" t="str">
            <v>Folie perforeren</v>
          </cell>
          <cell r="T488">
            <v>600</v>
          </cell>
          <cell r="U488">
            <v>5</v>
          </cell>
          <cell r="V488">
            <v>600</v>
          </cell>
          <cell r="W488">
            <v>5</v>
          </cell>
          <cell r="X488">
            <v>0</v>
          </cell>
          <cell r="Y488">
            <v>0</v>
          </cell>
          <cell r="Z488">
            <v>0</v>
          </cell>
          <cell r="AA488" t="str">
            <v>! ! !</v>
          </cell>
          <cell r="AB488">
            <v>192</v>
          </cell>
          <cell r="AC488">
            <v>0</v>
          </cell>
          <cell r="AG488">
            <v>13</v>
          </cell>
          <cell r="AJ488" t="str">
            <v>V-A</v>
          </cell>
          <cell r="AL488">
            <v>780</v>
          </cell>
          <cell r="AM488">
            <v>600</v>
          </cell>
          <cell r="AN488" t="e">
            <v>#VALUE!</v>
          </cell>
          <cell r="AO488" t="e">
            <v>#VALUE!</v>
          </cell>
          <cell r="AP488">
            <v>180</v>
          </cell>
        </row>
        <row r="489">
          <cell r="A489">
            <v>65108100</v>
          </cell>
          <cell r="D489" t="str">
            <v>DMB BALLETJES KLEIN TOMATENSAUS 2,4KG</v>
          </cell>
          <cell r="E489" t="str">
            <v xml:space="preserve">DMB </v>
          </cell>
          <cell r="F489" t="str">
            <v>310mm</v>
          </cell>
          <cell r="G489" t="str">
            <v>C2325-1C</v>
          </cell>
          <cell r="H489">
            <v>456</v>
          </cell>
          <cell r="I489">
            <v>2.4</v>
          </cell>
          <cell r="J489" t="str">
            <v>NVT</v>
          </cell>
          <cell r="K489" t="str">
            <v>DELIMEAL HORECA</v>
          </cell>
          <cell r="L489">
            <v>4</v>
          </cell>
          <cell r="M489" t="str">
            <v>BULK HO</v>
          </cell>
          <cell r="N489">
            <v>48</v>
          </cell>
          <cell r="O489">
            <v>5410953510818</v>
          </cell>
          <cell r="P489" t="str">
            <v>2T</v>
          </cell>
          <cell r="Q489">
            <v>1</v>
          </cell>
          <cell r="R489">
            <v>3</v>
          </cell>
          <cell r="S489" t="str">
            <v>Folie perforeren</v>
          </cell>
          <cell r="T489">
            <v>500</v>
          </cell>
          <cell r="U489">
            <v>5</v>
          </cell>
          <cell r="V489">
            <v>500</v>
          </cell>
          <cell r="W489">
            <v>5</v>
          </cell>
          <cell r="X489">
            <v>0</v>
          </cell>
          <cell r="Y489">
            <v>0</v>
          </cell>
          <cell r="Z489">
            <v>0</v>
          </cell>
          <cell r="AA489" t="str">
            <v>! ! !</v>
          </cell>
          <cell r="AB489">
            <v>192</v>
          </cell>
          <cell r="AC489">
            <v>0</v>
          </cell>
          <cell r="AG489">
            <v>11</v>
          </cell>
          <cell r="AJ489" t="str">
            <v>V-A</v>
          </cell>
          <cell r="AL489">
            <v>660</v>
          </cell>
          <cell r="AM489">
            <v>500</v>
          </cell>
          <cell r="AN489" t="e">
            <v>#VALUE!</v>
          </cell>
          <cell r="AO489" t="e">
            <v>#VALUE!</v>
          </cell>
          <cell r="AP489">
            <v>160</v>
          </cell>
        </row>
        <row r="490">
          <cell r="A490">
            <v>65108200</v>
          </cell>
          <cell r="D490" t="str">
            <v>DMB RUNDSHAMBURGER BRAADJUS 2KG</v>
          </cell>
          <cell r="E490" t="str">
            <v xml:space="preserve">DMB </v>
          </cell>
          <cell r="F490" t="str">
            <v>310mm</v>
          </cell>
          <cell r="G490" t="str">
            <v>C2325-1C</v>
          </cell>
          <cell r="H490">
            <v>456</v>
          </cell>
          <cell r="I490">
            <v>2</v>
          </cell>
          <cell r="J490" t="str">
            <v>NVT</v>
          </cell>
          <cell r="K490" t="str">
            <v>DELIMEAL HORECA</v>
          </cell>
          <cell r="L490">
            <v>4</v>
          </cell>
          <cell r="M490" t="str">
            <v>BULK HO</v>
          </cell>
          <cell r="N490">
            <v>48</v>
          </cell>
          <cell r="O490">
            <v>5410953510825</v>
          </cell>
          <cell r="P490" t="str">
            <v>2T</v>
          </cell>
          <cell r="Q490">
            <v>1</v>
          </cell>
          <cell r="R490">
            <v>3</v>
          </cell>
          <cell r="S490" t="str">
            <v>Folie perforeren</v>
          </cell>
          <cell r="T490">
            <v>600</v>
          </cell>
          <cell r="U490">
            <v>6</v>
          </cell>
          <cell r="V490">
            <v>600</v>
          </cell>
          <cell r="W490">
            <v>6</v>
          </cell>
          <cell r="X490">
            <v>0</v>
          </cell>
          <cell r="Y490">
            <v>0</v>
          </cell>
          <cell r="Z490">
            <v>0</v>
          </cell>
          <cell r="AA490" t="str">
            <v>-</v>
          </cell>
          <cell r="AB490">
            <v>192</v>
          </cell>
          <cell r="AC490">
            <v>0</v>
          </cell>
          <cell r="AG490">
            <v>13</v>
          </cell>
          <cell r="AJ490" t="str">
            <v>-</v>
          </cell>
          <cell r="AL490">
            <v>780</v>
          </cell>
          <cell r="AM490">
            <v>600</v>
          </cell>
          <cell r="AN490" t="e">
            <v>#VALUE!</v>
          </cell>
          <cell r="AO490" t="e">
            <v>#VALUE!</v>
          </cell>
          <cell r="AP490">
            <v>180</v>
          </cell>
        </row>
        <row r="491">
          <cell r="A491">
            <v>65108300</v>
          </cell>
          <cell r="D491" t="str">
            <v>DMB RUNDSHAMBURGER GESNEDEN BRAADJUS 2KG</v>
          </cell>
          <cell r="E491" t="str">
            <v xml:space="preserve">DMB </v>
          </cell>
          <cell r="F491" t="str">
            <v>310mm</v>
          </cell>
          <cell r="G491" t="str">
            <v>C2325-1C</v>
          </cell>
          <cell r="H491">
            <v>456</v>
          </cell>
          <cell r="I491">
            <v>2</v>
          </cell>
          <cell r="J491" t="str">
            <v>NVT</v>
          </cell>
          <cell r="K491" t="str">
            <v>DELIMEAL HORECA</v>
          </cell>
          <cell r="L491">
            <v>4</v>
          </cell>
          <cell r="M491" t="str">
            <v>BULK HO</v>
          </cell>
          <cell r="N491">
            <v>48</v>
          </cell>
          <cell r="O491">
            <v>5410953510832</v>
          </cell>
          <cell r="P491" t="str">
            <v>2T</v>
          </cell>
          <cell r="Q491">
            <v>1</v>
          </cell>
          <cell r="R491">
            <v>3</v>
          </cell>
          <cell r="S491" t="str">
            <v>Folie perforeren</v>
          </cell>
          <cell r="T491">
            <v>600</v>
          </cell>
          <cell r="U491">
            <v>6</v>
          </cell>
          <cell r="V491">
            <v>600</v>
          </cell>
          <cell r="W491">
            <v>6</v>
          </cell>
          <cell r="X491">
            <v>0</v>
          </cell>
          <cell r="Y491">
            <v>0</v>
          </cell>
          <cell r="Z491">
            <v>0</v>
          </cell>
          <cell r="AA491" t="str">
            <v>-</v>
          </cell>
          <cell r="AB491">
            <v>192</v>
          </cell>
          <cell r="AC491">
            <v>0</v>
          </cell>
          <cell r="AG491">
            <v>13</v>
          </cell>
          <cell r="AJ491" t="str">
            <v>-</v>
          </cell>
          <cell r="AL491">
            <v>780</v>
          </cell>
          <cell r="AM491">
            <v>600</v>
          </cell>
          <cell r="AN491" t="e">
            <v>#VALUE!</v>
          </cell>
          <cell r="AO491" t="e">
            <v>#VALUE!</v>
          </cell>
          <cell r="AP491">
            <v>180</v>
          </cell>
        </row>
        <row r="492">
          <cell r="A492">
            <v>65108400</v>
          </cell>
          <cell r="D492" t="str">
            <v>DMB BOERENBRAADWORST AJUINSAUS 2KG</v>
          </cell>
          <cell r="E492" t="str">
            <v xml:space="preserve">DMB </v>
          </cell>
          <cell r="F492" t="str">
            <v>310mm</v>
          </cell>
          <cell r="G492" t="str">
            <v>C2325-1C</v>
          </cell>
          <cell r="H492">
            <v>456</v>
          </cell>
          <cell r="I492">
            <v>2</v>
          </cell>
          <cell r="J492" t="str">
            <v>NVT</v>
          </cell>
          <cell r="K492" t="str">
            <v>DELIMEAL HORECA</v>
          </cell>
          <cell r="L492">
            <v>4</v>
          </cell>
          <cell r="M492" t="str">
            <v>BULK HO</v>
          </cell>
          <cell r="N492">
            <v>48</v>
          </cell>
          <cell r="O492">
            <v>5410953510849</v>
          </cell>
          <cell r="P492" t="str">
            <v>2T</v>
          </cell>
          <cell r="Q492">
            <v>1</v>
          </cell>
          <cell r="R492">
            <v>3</v>
          </cell>
          <cell r="S492" t="str">
            <v>Folie perforeren, opvolgen bijgebonden ajuinsaus</v>
          </cell>
          <cell r="T492">
            <v>600</v>
          </cell>
          <cell r="U492">
            <v>6</v>
          </cell>
          <cell r="V492">
            <v>600</v>
          </cell>
          <cell r="W492">
            <v>6</v>
          </cell>
          <cell r="X492">
            <v>0</v>
          </cell>
          <cell r="Y492">
            <v>0</v>
          </cell>
          <cell r="Z492">
            <v>0</v>
          </cell>
          <cell r="AA492" t="str">
            <v>! !</v>
          </cell>
          <cell r="AB492">
            <v>192</v>
          </cell>
          <cell r="AC492">
            <v>0</v>
          </cell>
          <cell r="AG492">
            <v>13</v>
          </cell>
          <cell r="AJ492" t="str">
            <v>V-A</v>
          </cell>
          <cell r="AL492">
            <v>780</v>
          </cell>
          <cell r="AM492">
            <v>600</v>
          </cell>
          <cell r="AN492" t="e">
            <v>#VALUE!</v>
          </cell>
          <cell r="AO492" t="e">
            <v>#VALUE!</v>
          </cell>
          <cell r="AP492">
            <v>180</v>
          </cell>
        </row>
        <row r="493">
          <cell r="A493">
            <v>65108500</v>
          </cell>
          <cell r="D493" t="str">
            <v>DMB BOERENBRAADWORST SCHIJFJES AJUINSAUS 2KG</v>
          </cell>
          <cell r="E493" t="str">
            <v xml:space="preserve">DMB </v>
          </cell>
          <cell r="F493" t="str">
            <v>310mm</v>
          </cell>
          <cell r="G493" t="str">
            <v>C2325-1C</v>
          </cell>
          <cell r="H493">
            <v>456</v>
          </cell>
          <cell r="I493">
            <v>2</v>
          </cell>
          <cell r="J493" t="str">
            <v>NVT</v>
          </cell>
          <cell r="K493" t="str">
            <v>DELIMEAL HORECA</v>
          </cell>
          <cell r="L493">
            <v>4</v>
          </cell>
          <cell r="M493" t="str">
            <v>BULK HO</v>
          </cell>
          <cell r="N493">
            <v>48</v>
          </cell>
          <cell r="O493">
            <v>5410953510856</v>
          </cell>
          <cell r="P493" t="str">
            <v>2T</v>
          </cell>
          <cell r="Q493">
            <v>1</v>
          </cell>
          <cell r="R493">
            <v>3</v>
          </cell>
          <cell r="S493" t="str">
            <v>Folie perforeren, opvolgen bijgebonden ajuinsaus</v>
          </cell>
          <cell r="T493">
            <v>600</v>
          </cell>
          <cell r="U493">
            <v>6</v>
          </cell>
          <cell r="V493">
            <v>600</v>
          </cell>
          <cell r="W493">
            <v>6</v>
          </cell>
          <cell r="X493">
            <v>0</v>
          </cell>
          <cell r="Y493">
            <v>0</v>
          </cell>
          <cell r="Z493">
            <v>0</v>
          </cell>
          <cell r="AA493" t="str">
            <v>! !</v>
          </cell>
          <cell r="AB493">
            <v>192</v>
          </cell>
          <cell r="AC493">
            <v>0</v>
          </cell>
          <cell r="AG493">
            <v>13</v>
          </cell>
          <cell r="AJ493" t="str">
            <v>V-A</v>
          </cell>
          <cell r="AL493">
            <v>780</v>
          </cell>
          <cell r="AM493">
            <v>600</v>
          </cell>
          <cell r="AN493" t="e">
            <v>#VALUE!</v>
          </cell>
          <cell r="AO493" t="e">
            <v>#VALUE!</v>
          </cell>
          <cell r="AP493">
            <v>180</v>
          </cell>
        </row>
        <row r="494">
          <cell r="A494">
            <v>65110600</v>
          </cell>
          <cell r="D494" t="str">
            <v>DMB VEGETARISCHE BALLETJES ITALIAANSE SAUS 2,4KG</v>
          </cell>
          <cell r="E494" t="str">
            <v xml:space="preserve">DMB </v>
          </cell>
          <cell r="F494" t="str">
            <v>310mm</v>
          </cell>
          <cell r="G494" t="str">
            <v>C2325-1C</v>
          </cell>
          <cell r="H494">
            <v>456</v>
          </cell>
          <cell r="I494">
            <v>2.4</v>
          </cell>
          <cell r="J494" t="str">
            <v>NVT</v>
          </cell>
          <cell r="K494" t="str">
            <v>DELIMEAL HORECA</v>
          </cell>
          <cell r="L494">
            <v>4</v>
          </cell>
          <cell r="M494" t="str">
            <v>BULK HO</v>
          </cell>
          <cell r="N494">
            <v>48</v>
          </cell>
          <cell r="O494">
            <v>5410953511068</v>
          </cell>
          <cell r="P494" t="str">
            <v>I-2T</v>
          </cell>
          <cell r="Q494">
            <v>1</v>
          </cell>
          <cell r="R494">
            <v>3</v>
          </cell>
          <cell r="S494" t="str">
            <v>Folie perforeren</v>
          </cell>
          <cell r="T494">
            <v>500</v>
          </cell>
          <cell r="U494">
            <v>4</v>
          </cell>
          <cell r="V494">
            <v>500</v>
          </cell>
          <cell r="W494">
            <v>4</v>
          </cell>
          <cell r="X494">
            <v>0</v>
          </cell>
          <cell r="Y494">
            <v>0</v>
          </cell>
          <cell r="Z494">
            <v>0</v>
          </cell>
          <cell r="AA494" t="str">
            <v>! ! !</v>
          </cell>
          <cell r="AB494">
            <v>192</v>
          </cell>
          <cell r="AC494">
            <v>0</v>
          </cell>
          <cell r="AG494">
            <v>11</v>
          </cell>
          <cell r="AJ494" t="str">
            <v>-</v>
          </cell>
          <cell r="AL494">
            <v>660</v>
          </cell>
          <cell r="AM494">
            <v>500</v>
          </cell>
          <cell r="AN494" t="e">
            <v>#VALUE!</v>
          </cell>
          <cell r="AO494" t="e">
            <v>#VALUE!</v>
          </cell>
          <cell r="AP494">
            <v>160</v>
          </cell>
        </row>
        <row r="495">
          <cell r="A495">
            <v>65120100</v>
          </cell>
          <cell r="D495" t="str">
            <v>DMB APPELMOES 1,8KG</v>
          </cell>
          <cell r="E495" t="str">
            <v xml:space="preserve">DMB </v>
          </cell>
          <cell r="F495" t="str">
            <v>310mm</v>
          </cell>
          <cell r="G495" t="str">
            <v>C2325-1C</v>
          </cell>
          <cell r="H495">
            <v>456</v>
          </cell>
          <cell r="I495">
            <v>1.8</v>
          </cell>
          <cell r="J495" t="str">
            <v>NVT</v>
          </cell>
          <cell r="K495" t="str">
            <v>DELIMEAL HORECA</v>
          </cell>
          <cell r="L495">
            <v>4</v>
          </cell>
          <cell r="M495" t="str">
            <v>BULK HO</v>
          </cell>
          <cell r="N495">
            <v>48</v>
          </cell>
          <cell r="O495">
            <v>5410953512010</v>
          </cell>
          <cell r="P495" t="str">
            <v>2H</v>
          </cell>
          <cell r="Q495">
            <v>1</v>
          </cell>
          <cell r="R495">
            <v>3</v>
          </cell>
          <cell r="S495" t="str">
            <v>Folie perforeren</v>
          </cell>
          <cell r="T495">
            <v>725</v>
          </cell>
          <cell r="U495">
            <v>2</v>
          </cell>
          <cell r="V495">
            <v>725</v>
          </cell>
          <cell r="W495">
            <v>2</v>
          </cell>
          <cell r="X495">
            <v>0</v>
          </cell>
          <cell r="Y495">
            <v>0</v>
          </cell>
          <cell r="Z495">
            <v>0</v>
          </cell>
          <cell r="AA495" t="str">
            <v>-</v>
          </cell>
          <cell r="AB495">
            <v>192</v>
          </cell>
          <cell r="AC495">
            <v>0</v>
          </cell>
          <cell r="AG495">
            <v>17</v>
          </cell>
          <cell r="AJ495" t="str">
            <v>-</v>
          </cell>
          <cell r="AL495">
            <v>1020</v>
          </cell>
          <cell r="AM495">
            <v>725</v>
          </cell>
          <cell r="AN495" t="e">
            <v>#VALUE!</v>
          </cell>
          <cell r="AO495" t="e">
            <v>#VALUE!</v>
          </cell>
          <cell r="AP495">
            <v>295</v>
          </cell>
        </row>
        <row r="496">
          <cell r="A496">
            <v>65120200</v>
          </cell>
          <cell r="D496" t="str">
            <v>DMB BLOEMKOOL KAASSAUS 1,8KG</v>
          </cell>
          <cell r="E496" t="str">
            <v xml:space="preserve">DMB </v>
          </cell>
          <cell r="F496" t="str">
            <v>310mm</v>
          </cell>
          <cell r="G496" t="str">
            <v>C2325-1C</v>
          </cell>
          <cell r="H496">
            <v>456</v>
          </cell>
          <cell r="I496">
            <v>1.8</v>
          </cell>
          <cell r="J496" t="str">
            <v>NVT</v>
          </cell>
          <cell r="K496" t="str">
            <v>DELIMEAL HORECA</v>
          </cell>
          <cell r="L496">
            <v>4</v>
          </cell>
          <cell r="M496" t="str">
            <v>BULK HO</v>
          </cell>
          <cell r="N496">
            <v>48</v>
          </cell>
          <cell r="O496">
            <v>5410953512027</v>
          </cell>
          <cell r="P496" t="str">
            <v>2T</v>
          </cell>
          <cell r="Q496">
            <v>1</v>
          </cell>
          <cell r="R496">
            <v>3</v>
          </cell>
          <cell r="S496" t="str">
            <v>Folie perforeren</v>
          </cell>
          <cell r="T496">
            <v>700</v>
          </cell>
          <cell r="U496">
            <v>5</v>
          </cell>
          <cell r="V496">
            <v>700</v>
          </cell>
          <cell r="W496">
            <v>5</v>
          </cell>
          <cell r="X496">
            <v>0</v>
          </cell>
          <cell r="Y496">
            <v>0</v>
          </cell>
          <cell r="Z496">
            <v>0</v>
          </cell>
          <cell r="AA496" t="str">
            <v>! !</v>
          </cell>
          <cell r="AB496">
            <v>192</v>
          </cell>
          <cell r="AC496">
            <v>0</v>
          </cell>
          <cell r="AG496">
            <v>15</v>
          </cell>
          <cell r="AJ496" t="str">
            <v>-</v>
          </cell>
          <cell r="AL496">
            <v>900</v>
          </cell>
          <cell r="AM496">
            <v>700</v>
          </cell>
          <cell r="AN496" t="e">
            <v>#VALUE!</v>
          </cell>
          <cell r="AO496" t="e">
            <v>#VALUE!</v>
          </cell>
          <cell r="AP496">
            <v>200</v>
          </cell>
        </row>
        <row r="497">
          <cell r="A497">
            <v>65120400</v>
          </cell>
          <cell r="D497" t="str">
            <v>DMB GESTOOFDE PREI 1,8KG</v>
          </cell>
          <cell r="E497" t="str">
            <v xml:space="preserve">DMB </v>
          </cell>
          <cell r="F497" t="str">
            <v>310mm</v>
          </cell>
          <cell r="G497" t="str">
            <v>C2325-1C</v>
          </cell>
          <cell r="H497">
            <v>456</v>
          </cell>
          <cell r="I497">
            <v>1.8</v>
          </cell>
          <cell r="J497" t="str">
            <v>NVT</v>
          </cell>
          <cell r="K497" t="str">
            <v>DELIMEAL HORECA</v>
          </cell>
          <cell r="L497">
            <v>4</v>
          </cell>
          <cell r="M497" t="str">
            <v>BULK HO</v>
          </cell>
          <cell r="N497">
            <v>48</v>
          </cell>
          <cell r="O497">
            <v>5410953512041</v>
          </cell>
          <cell r="P497" t="str">
            <v>2T</v>
          </cell>
          <cell r="Q497">
            <v>1</v>
          </cell>
          <cell r="R497">
            <v>3</v>
          </cell>
          <cell r="S497" t="str">
            <v>Folie perforeren</v>
          </cell>
          <cell r="T497">
            <v>700</v>
          </cell>
          <cell r="U497">
            <v>2</v>
          </cell>
          <cell r="V497">
            <v>700</v>
          </cell>
          <cell r="W497">
            <v>2</v>
          </cell>
          <cell r="X497">
            <v>0</v>
          </cell>
          <cell r="Y497">
            <v>0</v>
          </cell>
          <cell r="Z497">
            <v>0</v>
          </cell>
          <cell r="AA497" t="str">
            <v>! !</v>
          </cell>
          <cell r="AB497">
            <v>192</v>
          </cell>
          <cell r="AC497">
            <v>0</v>
          </cell>
          <cell r="AG497">
            <v>15</v>
          </cell>
          <cell r="AJ497" t="str">
            <v>-</v>
          </cell>
          <cell r="AL497">
            <v>900</v>
          </cell>
          <cell r="AM497">
            <v>700</v>
          </cell>
          <cell r="AN497" t="e">
            <v>#VALUE!</v>
          </cell>
          <cell r="AO497" t="e">
            <v>#VALUE!</v>
          </cell>
          <cell r="AP497">
            <v>200</v>
          </cell>
        </row>
        <row r="498">
          <cell r="A498">
            <v>65120600</v>
          </cell>
          <cell r="D498" t="str">
            <v>DMB SPINAZIE IN ROOM 1,8KG</v>
          </cell>
          <cell r="E498" t="str">
            <v xml:space="preserve">DMB </v>
          </cell>
          <cell r="F498" t="str">
            <v>310mm</v>
          </cell>
          <cell r="G498" t="str">
            <v>C2325-1C</v>
          </cell>
          <cell r="H498">
            <v>456</v>
          </cell>
          <cell r="I498">
            <v>1.8</v>
          </cell>
          <cell r="J498" t="str">
            <v>NVT</v>
          </cell>
          <cell r="K498" t="str">
            <v>DELIMEAL HORECA</v>
          </cell>
          <cell r="L498">
            <v>4</v>
          </cell>
          <cell r="M498" t="str">
            <v>BULK HO</v>
          </cell>
          <cell r="N498">
            <v>48</v>
          </cell>
          <cell r="O498">
            <v>5410953512065</v>
          </cell>
          <cell r="P498" t="str">
            <v>//////</v>
          </cell>
          <cell r="Q498">
            <v>0</v>
          </cell>
          <cell r="R498">
            <v>3</v>
          </cell>
          <cell r="S498" t="str">
            <v>Folie perforeren, 1 octabin spinaziepellets=445st</v>
          </cell>
          <cell r="T498">
            <v>725</v>
          </cell>
          <cell r="U498">
            <v>6</v>
          </cell>
          <cell r="V498">
            <v>725</v>
          </cell>
          <cell r="W498">
            <v>6</v>
          </cell>
          <cell r="X498">
            <v>0</v>
          </cell>
          <cell r="Y498">
            <v>0</v>
          </cell>
          <cell r="Z498">
            <v>0</v>
          </cell>
          <cell r="AA498" t="str">
            <v>! !</v>
          </cell>
          <cell r="AB498">
            <v>445</v>
          </cell>
          <cell r="AC498">
            <v>0</v>
          </cell>
          <cell r="AG498">
            <v>17</v>
          </cell>
          <cell r="AJ498" t="str">
            <v>-</v>
          </cell>
          <cell r="AL498">
            <v>1020</v>
          </cell>
          <cell r="AM498">
            <v>725</v>
          </cell>
          <cell r="AN498" t="e">
            <v>#VALUE!</v>
          </cell>
          <cell r="AO498" t="e">
            <v>#VALUE!</v>
          </cell>
          <cell r="AP498">
            <v>295</v>
          </cell>
        </row>
        <row r="499">
          <cell r="A499">
            <v>65120700</v>
          </cell>
          <cell r="D499" t="str">
            <v>DMB WITTE KOOL IN SAUS 1,8KG</v>
          </cell>
          <cell r="E499" t="str">
            <v xml:space="preserve">DMB </v>
          </cell>
          <cell r="F499" t="str">
            <v>310mm</v>
          </cell>
          <cell r="G499" t="str">
            <v>C2325-1C</v>
          </cell>
          <cell r="H499">
            <v>456</v>
          </cell>
          <cell r="I499">
            <v>1.8</v>
          </cell>
          <cell r="J499" t="str">
            <v>NVT</v>
          </cell>
          <cell r="K499" t="str">
            <v>DELIMEAL HORECA</v>
          </cell>
          <cell r="L499">
            <v>4</v>
          </cell>
          <cell r="M499" t="str">
            <v>BULK HO</v>
          </cell>
          <cell r="N499">
            <v>48</v>
          </cell>
          <cell r="O499">
            <v>5410953512072</v>
          </cell>
          <cell r="P499" t="str">
            <v>2T</v>
          </cell>
          <cell r="Q499">
            <v>1</v>
          </cell>
          <cell r="R499">
            <v>3</v>
          </cell>
          <cell r="S499" t="str">
            <v>Folie perforeren</v>
          </cell>
          <cell r="T499">
            <v>700</v>
          </cell>
          <cell r="U499">
            <v>2</v>
          </cell>
          <cell r="V499">
            <v>700</v>
          </cell>
          <cell r="W499">
            <v>2</v>
          </cell>
          <cell r="X499">
            <v>0</v>
          </cell>
          <cell r="Y499">
            <v>0</v>
          </cell>
          <cell r="Z499">
            <v>0</v>
          </cell>
          <cell r="AA499" t="str">
            <v>! !</v>
          </cell>
          <cell r="AB499">
            <v>192</v>
          </cell>
          <cell r="AG499">
            <v>15</v>
          </cell>
          <cell r="AJ499" t="str">
            <v>-</v>
          </cell>
          <cell r="AL499">
            <v>900</v>
          </cell>
          <cell r="AM499">
            <v>700</v>
          </cell>
          <cell r="AN499" t="e">
            <v>#VALUE!</v>
          </cell>
          <cell r="AO499" t="e">
            <v>#VALUE!</v>
          </cell>
          <cell r="AP499">
            <v>200</v>
          </cell>
        </row>
        <row r="500">
          <cell r="A500">
            <v>65125000</v>
          </cell>
          <cell r="D500" t="str">
            <v>DMB ERWTEN 1,8KG</v>
          </cell>
          <cell r="E500" t="str">
            <v xml:space="preserve">DMB </v>
          </cell>
          <cell r="F500" t="str">
            <v>310mm</v>
          </cell>
          <cell r="G500" t="str">
            <v>C2325-1C</v>
          </cell>
          <cell r="H500">
            <v>456</v>
          </cell>
          <cell r="I500">
            <v>1.8</v>
          </cell>
          <cell r="J500" t="str">
            <v>NVT</v>
          </cell>
          <cell r="K500" t="str">
            <v>DELIMEAL HORECA</v>
          </cell>
          <cell r="L500">
            <v>4</v>
          </cell>
          <cell r="M500" t="str">
            <v>BULK HO</v>
          </cell>
          <cell r="N500">
            <v>48</v>
          </cell>
          <cell r="O500">
            <v>5410953512508</v>
          </cell>
          <cell r="P500" t="str">
            <v>//////</v>
          </cell>
          <cell r="Q500">
            <v>1</v>
          </cell>
          <cell r="R500">
            <v>3</v>
          </cell>
          <cell r="S500" t="str">
            <v>Folie perforeren</v>
          </cell>
          <cell r="T500">
            <v>725</v>
          </cell>
          <cell r="U500">
            <v>5</v>
          </cell>
          <cell r="V500">
            <v>725</v>
          </cell>
          <cell r="W500">
            <v>5</v>
          </cell>
          <cell r="X500">
            <v>0</v>
          </cell>
          <cell r="Y500">
            <v>0</v>
          </cell>
          <cell r="Z500">
            <v>0</v>
          </cell>
          <cell r="AA500" t="str">
            <v>-</v>
          </cell>
          <cell r="AB500">
            <v>192</v>
          </cell>
          <cell r="AC500">
            <v>0</v>
          </cell>
          <cell r="AG500">
            <v>17</v>
          </cell>
          <cell r="AJ500" t="str">
            <v>-</v>
          </cell>
          <cell r="AL500">
            <v>1020</v>
          </cell>
          <cell r="AM500">
            <v>725</v>
          </cell>
          <cell r="AN500" t="e">
            <v>#VALUE!</v>
          </cell>
          <cell r="AO500" t="e">
            <v>#VALUE!</v>
          </cell>
          <cell r="AP500">
            <v>295</v>
          </cell>
        </row>
        <row r="501">
          <cell r="A501">
            <v>65125200</v>
          </cell>
          <cell r="D501" t="str">
            <v>DMB WORTELSCHIJFJES 1,8KG</v>
          </cell>
          <cell r="E501" t="str">
            <v xml:space="preserve">DMB </v>
          </cell>
          <cell r="F501" t="str">
            <v>310mm</v>
          </cell>
          <cell r="G501" t="str">
            <v>C2325-1C</v>
          </cell>
          <cell r="H501">
            <v>456</v>
          </cell>
          <cell r="I501">
            <v>1.8</v>
          </cell>
          <cell r="J501" t="str">
            <v>NVT</v>
          </cell>
          <cell r="K501" t="str">
            <v>DELIMEAL HORECA</v>
          </cell>
          <cell r="L501">
            <v>4</v>
          </cell>
          <cell r="M501" t="str">
            <v>BULK HO</v>
          </cell>
          <cell r="N501">
            <v>48</v>
          </cell>
          <cell r="O501">
            <v>5410953512522</v>
          </cell>
          <cell r="P501" t="str">
            <v>//////</v>
          </cell>
          <cell r="Q501">
            <v>1</v>
          </cell>
          <cell r="R501">
            <v>3</v>
          </cell>
          <cell r="S501" t="str">
            <v>Folie perforeren</v>
          </cell>
          <cell r="T501">
            <v>725</v>
          </cell>
          <cell r="U501">
            <v>5</v>
          </cell>
          <cell r="V501">
            <v>725</v>
          </cell>
          <cell r="W501">
            <v>5</v>
          </cell>
          <cell r="X501">
            <v>0</v>
          </cell>
          <cell r="Y501">
            <v>0</v>
          </cell>
          <cell r="Z501">
            <v>0</v>
          </cell>
          <cell r="AA501" t="str">
            <v>-</v>
          </cell>
          <cell r="AB501">
            <v>192</v>
          </cell>
          <cell r="AC501">
            <v>0</v>
          </cell>
          <cell r="AG501">
            <v>17</v>
          </cell>
          <cell r="AJ501" t="str">
            <v>-</v>
          </cell>
          <cell r="AL501">
            <v>1020</v>
          </cell>
          <cell r="AM501">
            <v>725</v>
          </cell>
          <cell r="AN501" t="e">
            <v>#VALUE!</v>
          </cell>
          <cell r="AO501" t="e">
            <v>#VALUE!</v>
          </cell>
          <cell r="AP501">
            <v>295</v>
          </cell>
        </row>
        <row r="502">
          <cell r="A502">
            <v>65125400</v>
          </cell>
          <cell r="D502" t="str">
            <v>DMB FIJNE GROENE BOONTJES 1,6KG</v>
          </cell>
          <cell r="E502" t="str">
            <v xml:space="preserve">DMB </v>
          </cell>
          <cell r="F502" t="str">
            <v>310mm</v>
          </cell>
          <cell r="G502" t="str">
            <v>C2325-1C</v>
          </cell>
          <cell r="H502">
            <v>456</v>
          </cell>
          <cell r="I502">
            <v>1.6</v>
          </cell>
          <cell r="J502" t="str">
            <v>NVT</v>
          </cell>
          <cell r="K502" t="str">
            <v>DELIMEAL HORECA</v>
          </cell>
          <cell r="L502">
            <v>4</v>
          </cell>
          <cell r="M502" t="str">
            <v>BULK HO</v>
          </cell>
          <cell r="N502">
            <v>48</v>
          </cell>
          <cell r="O502">
            <v>5410953512546</v>
          </cell>
          <cell r="P502" t="str">
            <v>//////</v>
          </cell>
          <cell r="Q502">
            <v>1</v>
          </cell>
          <cell r="R502">
            <v>3</v>
          </cell>
          <cell r="S502" t="str">
            <v>Folie perforeren</v>
          </cell>
          <cell r="T502">
            <v>800</v>
          </cell>
          <cell r="U502">
            <v>6</v>
          </cell>
          <cell r="V502">
            <v>800</v>
          </cell>
          <cell r="W502">
            <v>6</v>
          </cell>
          <cell r="X502">
            <v>0</v>
          </cell>
          <cell r="Y502">
            <v>0</v>
          </cell>
          <cell r="Z502">
            <v>0</v>
          </cell>
          <cell r="AA502" t="str">
            <v>-</v>
          </cell>
          <cell r="AB502">
            <v>192</v>
          </cell>
          <cell r="AC502">
            <v>0</v>
          </cell>
          <cell r="AG502">
            <v>18</v>
          </cell>
          <cell r="AJ502" t="str">
            <v>-</v>
          </cell>
          <cell r="AL502">
            <v>1080</v>
          </cell>
          <cell r="AM502">
            <v>800</v>
          </cell>
          <cell r="AN502" t="e">
            <v>#VALUE!</v>
          </cell>
          <cell r="AO502" t="e">
            <v>#VALUE!</v>
          </cell>
          <cell r="AP502">
            <v>280</v>
          </cell>
        </row>
        <row r="503">
          <cell r="A503">
            <v>65125700</v>
          </cell>
          <cell r="D503" t="str">
            <v>DMB RODE KOOL APPELTJES 1,8KG</v>
          </cell>
          <cell r="E503" t="str">
            <v xml:space="preserve">DMB </v>
          </cell>
          <cell r="F503" t="str">
            <v>310mm</v>
          </cell>
          <cell r="G503" t="str">
            <v>C2325-1C</v>
          </cell>
          <cell r="H503">
            <v>456</v>
          </cell>
          <cell r="I503">
            <v>1.8</v>
          </cell>
          <cell r="J503" t="str">
            <v>NVT</v>
          </cell>
          <cell r="K503" t="str">
            <v>DELIMEAL HORECA</v>
          </cell>
          <cell r="L503">
            <v>4</v>
          </cell>
          <cell r="M503" t="str">
            <v>BULK HO</v>
          </cell>
          <cell r="N503">
            <v>48</v>
          </cell>
          <cell r="O503">
            <v>5410953512577</v>
          </cell>
          <cell r="P503" t="str">
            <v>2T</v>
          </cell>
          <cell r="Q503">
            <v>1</v>
          </cell>
          <cell r="R503">
            <v>3</v>
          </cell>
          <cell r="S503" t="str">
            <v>Folie perforeren</v>
          </cell>
          <cell r="T503">
            <v>700</v>
          </cell>
          <cell r="U503">
            <v>2</v>
          </cell>
          <cell r="V503">
            <v>700</v>
          </cell>
          <cell r="W503">
            <v>2</v>
          </cell>
          <cell r="X503">
            <v>0</v>
          </cell>
          <cell r="Y503">
            <v>0</v>
          </cell>
          <cell r="Z503">
            <v>0</v>
          </cell>
          <cell r="AA503" t="str">
            <v>-</v>
          </cell>
          <cell r="AB503">
            <v>192</v>
          </cell>
          <cell r="AC503">
            <v>0</v>
          </cell>
          <cell r="AG503">
            <v>15</v>
          </cell>
          <cell r="AJ503" t="str">
            <v>-</v>
          </cell>
          <cell r="AL503">
            <v>900</v>
          </cell>
          <cell r="AM503">
            <v>700</v>
          </cell>
          <cell r="AN503" t="e">
            <v>#VALUE!</v>
          </cell>
          <cell r="AO503" t="e">
            <v>#VALUE!</v>
          </cell>
          <cell r="AP503">
            <v>200</v>
          </cell>
        </row>
        <row r="504">
          <cell r="A504">
            <v>65125900</v>
          </cell>
          <cell r="D504" t="str">
            <v>DMB GROENTENKRANS WORTELEN ERWTEN SPERZIEBONEN 1,8KG</v>
          </cell>
          <cell r="E504" t="str">
            <v xml:space="preserve">DMB </v>
          </cell>
          <cell r="F504" t="str">
            <v>310mm</v>
          </cell>
          <cell r="G504" t="str">
            <v>C2325-1C</v>
          </cell>
          <cell r="H504">
            <v>456</v>
          </cell>
          <cell r="I504">
            <v>1.8</v>
          </cell>
          <cell r="J504" t="str">
            <v>NVT</v>
          </cell>
          <cell r="K504" t="str">
            <v>DELIMEAL HORECA</v>
          </cell>
          <cell r="L504">
            <v>4</v>
          </cell>
          <cell r="M504" t="str">
            <v>BULK HO</v>
          </cell>
          <cell r="N504">
            <v>48</v>
          </cell>
          <cell r="O504">
            <v>5410953512591</v>
          </cell>
          <cell r="P504" t="str">
            <v>//////</v>
          </cell>
          <cell r="Q504">
            <v>1</v>
          </cell>
          <cell r="R504">
            <v>3</v>
          </cell>
          <cell r="S504" t="str">
            <v>Folie perforeren</v>
          </cell>
          <cell r="T504">
            <v>725</v>
          </cell>
          <cell r="U504">
            <v>5</v>
          </cell>
          <cell r="V504">
            <v>725</v>
          </cell>
          <cell r="W504">
            <v>5</v>
          </cell>
          <cell r="X504">
            <v>0</v>
          </cell>
          <cell r="Y504">
            <v>0</v>
          </cell>
          <cell r="Z504">
            <v>0</v>
          </cell>
          <cell r="AA504" t="str">
            <v>-</v>
          </cell>
          <cell r="AB504">
            <v>192</v>
          </cell>
          <cell r="AC504">
            <v>0</v>
          </cell>
          <cell r="AG504">
            <v>17</v>
          </cell>
          <cell r="AJ504" t="str">
            <v>-</v>
          </cell>
          <cell r="AL504">
            <v>1020</v>
          </cell>
          <cell r="AM504">
            <v>725</v>
          </cell>
          <cell r="AN504" t="e">
            <v>#VALUE!</v>
          </cell>
          <cell r="AO504" t="e">
            <v>#VALUE!</v>
          </cell>
          <cell r="AP504">
            <v>295</v>
          </cell>
        </row>
        <row r="505">
          <cell r="A505">
            <v>65126100</v>
          </cell>
          <cell r="D505" t="str">
            <v>DMB WORTELMIX MET COURGETTE 1,8KG</v>
          </cell>
          <cell r="E505" t="str">
            <v xml:space="preserve">DMB </v>
          </cell>
          <cell r="F505" t="str">
            <v>310mm</v>
          </cell>
          <cell r="G505" t="str">
            <v>C2325-1C</v>
          </cell>
          <cell r="H505">
            <v>456</v>
          </cell>
          <cell r="I505">
            <v>1.8</v>
          </cell>
          <cell r="J505" t="str">
            <v>NVT</v>
          </cell>
          <cell r="K505" t="str">
            <v>DELIMEAL HORECA</v>
          </cell>
          <cell r="L505">
            <v>4</v>
          </cell>
          <cell r="M505" t="str">
            <v>BULK HO</v>
          </cell>
          <cell r="N505">
            <v>48</v>
          </cell>
          <cell r="O505">
            <v>5410953512614</v>
          </cell>
          <cell r="P505" t="str">
            <v>//////</v>
          </cell>
          <cell r="Q505">
            <v>1</v>
          </cell>
          <cell r="R505">
            <v>3</v>
          </cell>
          <cell r="S505" t="str">
            <v>Folie perforeren</v>
          </cell>
          <cell r="T505">
            <v>725</v>
          </cell>
          <cell r="U505">
            <v>5</v>
          </cell>
          <cell r="V505">
            <v>725</v>
          </cell>
          <cell r="W505">
            <v>5</v>
          </cell>
          <cell r="X505">
            <v>0</v>
          </cell>
          <cell r="Y505">
            <v>0</v>
          </cell>
          <cell r="Z505">
            <v>0</v>
          </cell>
          <cell r="AA505" t="str">
            <v>-</v>
          </cell>
          <cell r="AB505">
            <v>192</v>
          </cell>
          <cell r="AC505">
            <v>0</v>
          </cell>
          <cell r="AG505">
            <v>17</v>
          </cell>
          <cell r="AJ505" t="str">
            <v>-</v>
          </cell>
          <cell r="AL505">
            <v>1020</v>
          </cell>
          <cell r="AM505">
            <v>725</v>
          </cell>
          <cell r="AN505" t="e">
            <v>#VALUE!</v>
          </cell>
          <cell r="AO505" t="e">
            <v>#VALUE!</v>
          </cell>
          <cell r="AP505">
            <v>295</v>
          </cell>
        </row>
        <row r="506">
          <cell r="A506">
            <v>65126400</v>
          </cell>
          <cell r="D506" t="str">
            <v>DMB GROENE GROENTEMIX 1,8KG</v>
          </cell>
          <cell r="E506" t="str">
            <v xml:space="preserve">DMB </v>
          </cell>
          <cell r="F506" t="str">
            <v>310mm</v>
          </cell>
          <cell r="G506" t="str">
            <v>C2325-1C</v>
          </cell>
          <cell r="H506">
            <v>456</v>
          </cell>
          <cell r="I506">
            <v>1.8</v>
          </cell>
          <cell r="J506" t="str">
            <v>NVT</v>
          </cell>
          <cell r="K506" t="str">
            <v>DELIMEAL HORECA</v>
          </cell>
          <cell r="L506">
            <v>4</v>
          </cell>
          <cell r="M506" t="str">
            <v>BULK HO</v>
          </cell>
          <cell r="N506">
            <v>48</v>
          </cell>
          <cell r="O506" t="str">
            <v>5410953512645</v>
          </cell>
          <cell r="P506" t="str">
            <v>//////</v>
          </cell>
          <cell r="Q506">
            <v>1</v>
          </cell>
          <cell r="R506">
            <v>3</v>
          </cell>
          <cell r="S506" t="str">
            <v>Folie perforeren</v>
          </cell>
          <cell r="T506">
            <v>725</v>
          </cell>
          <cell r="U506">
            <v>5</v>
          </cell>
          <cell r="V506">
            <v>725</v>
          </cell>
          <cell r="W506">
            <v>5</v>
          </cell>
          <cell r="X506">
            <v>0</v>
          </cell>
          <cell r="Y506">
            <v>0</v>
          </cell>
          <cell r="Z506">
            <v>0</v>
          </cell>
          <cell r="AA506" t="str">
            <v>-</v>
          </cell>
          <cell r="AB506">
            <v>192</v>
          </cell>
          <cell r="AC506">
            <v>0</v>
          </cell>
          <cell r="AG506">
            <v>17</v>
          </cell>
          <cell r="AJ506" t="str">
            <v>-</v>
          </cell>
          <cell r="AL506">
            <v>1020</v>
          </cell>
          <cell r="AM506">
            <v>725</v>
          </cell>
          <cell r="AN506" t="e">
            <v>#VALUE!</v>
          </cell>
          <cell r="AO506" t="e">
            <v>#VALUE!</v>
          </cell>
          <cell r="AP506">
            <v>295</v>
          </cell>
        </row>
        <row r="507">
          <cell r="A507">
            <v>65126500</v>
          </cell>
          <cell r="D507" t="str">
            <v>DMB BROCCOLI  1,4KG</v>
          </cell>
          <cell r="E507" t="str">
            <v xml:space="preserve">DMB </v>
          </cell>
          <cell r="F507" t="str">
            <v>310mm</v>
          </cell>
          <cell r="G507" t="str">
            <v>C2325-1C</v>
          </cell>
          <cell r="H507">
            <v>456</v>
          </cell>
          <cell r="I507">
            <v>1.4</v>
          </cell>
          <cell r="J507" t="str">
            <v>NVT</v>
          </cell>
          <cell r="K507" t="str">
            <v>DELIMEAL HORECA</v>
          </cell>
          <cell r="L507">
            <v>4</v>
          </cell>
          <cell r="M507" t="str">
            <v>BULK HO</v>
          </cell>
          <cell r="N507">
            <v>48</v>
          </cell>
          <cell r="O507">
            <v>5410953512652</v>
          </cell>
          <cell r="P507" t="str">
            <v>//////</v>
          </cell>
          <cell r="Q507">
            <v>1</v>
          </cell>
          <cell r="R507">
            <v>3</v>
          </cell>
          <cell r="S507" t="str">
            <v>Folie perforeren</v>
          </cell>
          <cell r="T507">
            <v>1000</v>
          </cell>
          <cell r="U507">
            <v>6</v>
          </cell>
          <cell r="V507">
            <v>1000</v>
          </cell>
          <cell r="W507">
            <v>6</v>
          </cell>
          <cell r="X507">
            <v>0</v>
          </cell>
          <cell r="Y507">
            <v>0</v>
          </cell>
          <cell r="Z507">
            <v>0</v>
          </cell>
          <cell r="AA507" t="str">
            <v>-</v>
          </cell>
          <cell r="AB507">
            <v>192</v>
          </cell>
          <cell r="AC507">
            <v>0</v>
          </cell>
          <cell r="AG507">
            <v>20</v>
          </cell>
          <cell r="AJ507" t="str">
            <v>-</v>
          </cell>
          <cell r="AL507">
            <v>1200</v>
          </cell>
          <cell r="AM507">
            <v>1000</v>
          </cell>
          <cell r="AN507" t="e">
            <v>#VALUE!</v>
          </cell>
          <cell r="AO507" t="e">
            <v>#VALUE!</v>
          </cell>
          <cell r="AP507">
            <v>200</v>
          </cell>
        </row>
        <row r="508">
          <cell r="A508">
            <v>65126600</v>
          </cell>
          <cell r="D508" t="str">
            <v>DMB ROMANOBONEN BLOEMKOOL WORTELREEPJES 1,8KG</v>
          </cell>
          <cell r="E508" t="str">
            <v xml:space="preserve">DMB </v>
          </cell>
          <cell r="F508" t="str">
            <v>310mm</v>
          </cell>
          <cell r="G508" t="str">
            <v>C2325-1C</v>
          </cell>
          <cell r="H508">
            <v>456</v>
          </cell>
          <cell r="I508">
            <v>1.8</v>
          </cell>
          <cell r="J508" t="str">
            <v>NVT</v>
          </cell>
          <cell r="K508" t="str">
            <v>DELIMEAL HORECA</v>
          </cell>
          <cell r="L508">
            <v>4</v>
          </cell>
          <cell r="M508" t="str">
            <v>BULK HO</v>
          </cell>
          <cell r="N508">
            <v>48</v>
          </cell>
          <cell r="O508">
            <v>5410953512669</v>
          </cell>
          <cell r="P508" t="str">
            <v>//////</v>
          </cell>
          <cell r="Q508">
            <v>1</v>
          </cell>
          <cell r="R508">
            <v>3</v>
          </cell>
          <cell r="S508" t="str">
            <v>Folie perforeren</v>
          </cell>
          <cell r="T508">
            <v>700</v>
          </cell>
          <cell r="U508">
            <v>5</v>
          </cell>
          <cell r="V508">
            <v>700</v>
          </cell>
          <cell r="W508">
            <v>5</v>
          </cell>
          <cell r="Z508">
            <v>0</v>
          </cell>
          <cell r="AA508" t="str">
            <v>-</v>
          </cell>
          <cell r="AB508">
            <v>192</v>
          </cell>
          <cell r="AG508">
            <v>15</v>
          </cell>
          <cell r="AJ508" t="str">
            <v>-</v>
          </cell>
          <cell r="AL508">
            <v>900</v>
          </cell>
          <cell r="AM508">
            <v>700</v>
          </cell>
          <cell r="AN508" t="e">
            <v>#VALUE!</v>
          </cell>
          <cell r="AO508" t="e">
            <v>#VALUE!</v>
          </cell>
        </row>
        <row r="509">
          <cell r="A509">
            <v>65130000</v>
          </cell>
          <cell r="D509" t="str">
            <v>DMB GRATIN DAUPHINOIS 1,8KG</v>
          </cell>
          <cell r="E509" t="str">
            <v xml:space="preserve">DMB </v>
          </cell>
          <cell r="F509" t="str">
            <v>310mm</v>
          </cell>
          <cell r="G509" t="str">
            <v>C2325-1C</v>
          </cell>
          <cell r="H509">
            <v>456</v>
          </cell>
          <cell r="I509">
            <v>1.8</v>
          </cell>
          <cell r="J509" t="str">
            <v>NVT</v>
          </cell>
          <cell r="K509" t="str">
            <v>DELIMEAL HORECA</v>
          </cell>
          <cell r="L509">
            <v>4</v>
          </cell>
          <cell r="M509" t="str">
            <v>BULK HO</v>
          </cell>
          <cell r="N509">
            <v>48</v>
          </cell>
          <cell r="O509">
            <v>5410953513000</v>
          </cell>
          <cell r="P509" t="str">
            <v>I-2T-K</v>
          </cell>
          <cell r="Q509">
            <v>1</v>
          </cell>
          <cell r="R509">
            <v>3</v>
          </cell>
          <cell r="S509" t="str">
            <v>Folie perforeren</v>
          </cell>
          <cell r="T509">
            <v>700</v>
          </cell>
          <cell r="U509">
            <v>3</v>
          </cell>
          <cell r="V509">
            <v>700</v>
          </cell>
          <cell r="W509">
            <v>3</v>
          </cell>
          <cell r="X509">
            <v>0</v>
          </cell>
          <cell r="Y509">
            <v>0</v>
          </cell>
          <cell r="Z509">
            <v>0</v>
          </cell>
          <cell r="AA509" t="str">
            <v>! !</v>
          </cell>
          <cell r="AB509">
            <v>192</v>
          </cell>
          <cell r="AC509">
            <v>0</v>
          </cell>
          <cell r="AG509">
            <v>15</v>
          </cell>
          <cell r="AJ509" t="str">
            <v>-</v>
          </cell>
          <cell r="AL509">
            <v>900</v>
          </cell>
          <cell r="AM509">
            <v>700</v>
          </cell>
          <cell r="AN509" t="e">
            <v>#VALUE!</v>
          </cell>
          <cell r="AO509" t="e">
            <v>#VALUE!</v>
          </cell>
          <cell r="AP509">
            <v>200</v>
          </cell>
        </row>
        <row r="510">
          <cell r="A510">
            <v>65130200</v>
          </cell>
          <cell r="D510" t="str">
            <v>DMB PUREE 2,25 KG</v>
          </cell>
          <cell r="E510" t="str">
            <v xml:space="preserve">DMB </v>
          </cell>
          <cell r="F510" t="str">
            <v>310mm</v>
          </cell>
          <cell r="G510" t="str">
            <v>C2325-1C</v>
          </cell>
          <cell r="H510">
            <v>456</v>
          </cell>
          <cell r="I510">
            <v>2.25</v>
          </cell>
          <cell r="J510" t="str">
            <v>NVT</v>
          </cell>
          <cell r="K510" t="str">
            <v>DELIMEAL HORECA</v>
          </cell>
          <cell r="L510">
            <v>4</v>
          </cell>
          <cell r="M510" t="str">
            <v>BULK HO</v>
          </cell>
          <cell r="N510">
            <v>48</v>
          </cell>
          <cell r="O510">
            <v>5410953513024</v>
          </cell>
          <cell r="P510" t="str">
            <v>2H</v>
          </cell>
          <cell r="Q510">
            <v>1</v>
          </cell>
          <cell r="R510">
            <v>3</v>
          </cell>
          <cell r="S510" t="str">
            <v>Folie perforeren, max 1000st/order</v>
          </cell>
          <cell r="T510">
            <v>550</v>
          </cell>
          <cell r="U510">
            <v>2</v>
          </cell>
          <cell r="V510">
            <v>550</v>
          </cell>
          <cell r="W510">
            <v>2</v>
          </cell>
          <cell r="X510">
            <v>0</v>
          </cell>
          <cell r="Y510">
            <v>0</v>
          </cell>
          <cell r="Z510">
            <v>0</v>
          </cell>
          <cell r="AA510" t="str">
            <v>! !</v>
          </cell>
          <cell r="AB510">
            <v>192</v>
          </cell>
          <cell r="AC510">
            <v>0</v>
          </cell>
          <cell r="AG510">
            <v>12</v>
          </cell>
          <cell r="AJ510" t="str">
            <v>-</v>
          </cell>
          <cell r="AL510">
            <v>720</v>
          </cell>
          <cell r="AM510">
            <v>550</v>
          </cell>
          <cell r="AN510" t="e">
            <v>#VALUE!</v>
          </cell>
          <cell r="AO510" t="e">
            <v>#VALUE!</v>
          </cell>
          <cell r="AP510">
            <v>170</v>
          </cell>
        </row>
        <row r="511">
          <cell r="A511">
            <v>65130300</v>
          </cell>
          <cell r="D511" t="str">
            <v>DMB WORTELSTAMPPOT 2,25KG</v>
          </cell>
          <cell r="E511" t="str">
            <v xml:space="preserve">DMB </v>
          </cell>
          <cell r="F511" t="str">
            <v>310mm</v>
          </cell>
          <cell r="G511" t="str">
            <v>C2325-1C</v>
          </cell>
          <cell r="H511">
            <v>456</v>
          </cell>
          <cell r="I511">
            <v>2.25</v>
          </cell>
          <cell r="J511" t="str">
            <v>NVT</v>
          </cell>
          <cell r="K511" t="str">
            <v>DELIMEAL HORECA</v>
          </cell>
          <cell r="L511">
            <v>4</v>
          </cell>
          <cell r="M511" t="str">
            <v>BULK HO</v>
          </cell>
          <cell r="N511">
            <v>48</v>
          </cell>
          <cell r="O511">
            <v>5410953513031</v>
          </cell>
          <cell r="P511" t="str">
            <v>2H</v>
          </cell>
          <cell r="Q511">
            <v>2</v>
          </cell>
          <cell r="R511">
            <v>3</v>
          </cell>
          <cell r="S511" t="str">
            <v>Folie perforeren, max 1000st/order</v>
          </cell>
          <cell r="T511">
            <v>550</v>
          </cell>
          <cell r="U511">
            <v>3</v>
          </cell>
          <cell r="V511">
            <v>550</v>
          </cell>
          <cell r="W511">
            <v>3</v>
          </cell>
          <cell r="X511">
            <v>0</v>
          </cell>
          <cell r="Y511">
            <v>0</v>
          </cell>
          <cell r="Z511">
            <v>0</v>
          </cell>
          <cell r="AA511" t="str">
            <v>! !</v>
          </cell>
          <cell r="AB511">
            <v>192</v>
          </cell>
          <cell r="AC511">
            <v>0</v>
          </cell>
          <cell r="AG511">
            <v>12</v>
          </cell>
          <cell r="AJ511" t="str">
            <v>-</v>
          </cell>
          <cell r="AL511">
            <v>720</v>
          </cell>
          <cell r="AM511">
            <v>550</v>
          </cell>
          <cell r="AN511" t="e">
            <v>#VALUE!</v>
          </cell>
          <cell r="AO511" t="e">
            <v>#VALUE!</v>
          </cell>
          <cell r="AP511">
            <v>170</v>
          </cell>
        </row>
        <row r="512">
          <cell r="A512">
            <v>65130400</v>
          </cell>
          <cell r="D512" t="str">
            <v>DMB SPINAZIESTAMPPOT 2,25KG</v>
          </cell>
          <cell r="E512" t="str">
            <v xml:space="preserve">DMB </v>
          </cell>
          <cell r="F512" t="str">
            <v>310mm</v>
          </cell>
          <cell r="G512" t="str">
            <v>C2325-1C</v>
          </cell>
          <cell r="H512">
            <v>456</v>
          </cell>
          <cell r="I512">
            <v>2.25</v>
          </cell>
          <cell r="J512" t="str">
            <v>NVT</v>
          </cell>
          <cell r="K512" t="str">
            <v>DELIMEAL HORECA</v>
          </cell>
          <cell r="L512">
            <v>4</v>
          </cell>
          <cell r="M512" t="str">
            <v>BULK HO</v>
          </cell>
          <cell r="N512">
            <v>48</v>
          </cell>
          <cell r="O512">
            <v>5410953513048</v>
          </cell>
          <cell r="P512" t="str">
            <v>2H</v>
          </cell>
          <cell r="Q512">
            <v>2</v>
          </cell>
          <cell r="R512">
            <v>3</v>
          </cell>
          <cell r="S512" t="str">
            <v>Folie perforeren, max 1000st/order</v>
          </cell>
          <cell r="T512">
            <v>550</v>
          </cell>
          <cell r="U512">
            <v>3</v>
          </cell>
          <cell r="V512">
            <v>550</v>
          </cell>
          <cell r="W512">
            <v>3</v>
          </cell>
          <cell r="X512">
            <v>0</v>
          </cell>
          <cell r="Y512">
            <v>0</v>
          </cell>
          <cell r="Z512">
            <v>0</v>
          </cell>
          <cell r="AA512" t="str">
            <v>! !</v>
          </cell>
          <cell r="AB512">
            <v>192</v>
          </cell>
          <cell r="AC512">
            <v>0</v>
          </cell>
          <cell r="AG512">
            <v>12</v>
          </cell>
          <cell r="AJ512" t="str">
            <v>-</v>
          </cell>
          <cell r="AL512">
            <v>720</v>
          </cell>
          <cell r="AM512">
            <v>550</v>
          </cell>
          <cell r="AN512" t="e">
            <v>#VALUE!</v>
          </cell>
          <cell r="AO512" t="e">
            <v>#VALUE!</v>
          </cell>
          <cell r="AP512">
            <v>170</v>
          </cell>
        </row>
        <row r="513">
          <cell r="A513">
            <v>65130500</v>
          </cell>
          <cell r="D513" t="str">
            <v>DMB BROCCOLISTAMPPOT 2,25KG</v>
          </cell>
          <cell r="E513" t="str">
            <v xml:space="preserve">DMB </v>
          </cell>
          <cell r="F513" t="str">
            <v>310mm</v>
          </cell>
          <cell r="G513" t="str">
            <v>C2325-1C</v>
          </cell>
          <cell r="H513">
            <v>456</v>
          </cell>
          <cell r="I513">
            <v>2.25</v>
          </cell>
          <cell r="J513" t="str">
            <v>NVT</v>
          </cell>
          <cell r="K513" t="str">
            <v>DELIMEAL HORECA</v>
          </cell>
          <cell r="L513">
            <v>4</v>
          </cell>
          <cell r="M513" t="str">
            <v>BULK HO</v>
          </cell>
          <cell r="N513">
            <v>48</v>
          </cell>
          <cell r="O513">
            <v>5410953513055</v>
          </cell>
          <cell r="P513" t="str">
            <v>2H</v>
          </cell>
          <cell r="Q513">
            <v>1</v>
          </cell>
          <cell r="R513">
            <v>3</v>
          </cell>
          <cell r="S513" t="str">
            <v>Folie perforeren, max 1000st/order</v>
          </cell>
          <cell r="T513">
            <v>550</v>
          </cell>
          <cell r="U513">
            <v>3</v>
          </cell>
          <cell r="V513">
            <v>550</v>
          </cell>
          <cell r="W513">
            <v>3</v>
          </cell>
          <cell r="X513">
            <v>0</v>
          </cell>
          <cell r="Y513">
            <v>0</v>
          </cell>
          <cell r="Z513">
            <v>0</v>
          </cell>
          <cell r="AA513" t="str">
            <v>! !</v>
          </cell>
          <cell r="AB513">
            <v>192</v>
          </cell>
          <cell r="AC513">
            <v>0</v>
          </cell>
          <cell r="AG513">
            <v>12</v>
          </cell>
          <cell r="AJ513" t="str">
            <v>-</v>
          </cell>
          <cell r="AL513">
            <v>720</v>
          </cell>
          <cell r="AM513">
            <v>550</v>
          </cell>
          <cell r="AN513" t="e">
            <v>#VALUE!</v>
          </cell>
          <cell r="AO513" t="e">
            <v>#VALUE!</v>
          </cell>
          <cell r="AP513">
            <v>170</v>
          </cell>
        </row>
        <row r="514">
          <cell r="A514">
            <v>65130600</v>
          </cell>
          <cell r="D514" t="str">
            <v>DMB PUREE SOJAMELK 2,25KG</v>
          </cell>
          <cell r="E514" t="str">
            <v>DMB HUB</v>
          </cell>
          <cell r="F514" t="str">
            <v>310mm</v>
          </cell>
          <cell r="G514" t="str">
            <v>C2325-1C</v>
          </cell>
          <cell r="H514">
            <v>456</v>
          </cell>
          <cell r="I514">
            <v>2.25</v>
          </cell>
          <cell r="J514" t="str">
            <v>NVT</v>
          </cell>
          <cell r="K514" t="str">
            <v>DELIMEAL HORECA</v>
          </cell>
          <cell r="L514">
            <v>4</v>
          </cell>
          <cell r="M514" t="str">
            <v>BULK HO</v>
          </cell>
          <cell r="N514">
            <v>48</v>
          </cell>
          <cell r="O514">
            <v>5410953513062</v>
          </cell>
          <cell r="P514" t="str">
            <v>2H</v>
          </cell>
          <cell r="Q514">
            <v>2</v>
          </cell>
          <cell r="R514">
            <v>3</v>
          </cell>
          <cell r="S514" t="str">
            <v>Folie perforeren, max 1000st/order</v>
          </cell>
          <cell r="T514">
            <v>550</v>
          </cell>
          <cell r="U514">
            <v>3</v>
          </cell>
          <cell r="V514">
            <v>550</v>
          </cell>
          <cell r="W514">
            <v>3</v>
          </cell>
          <cell r="X514">
            <v>0</v>
          </cell>
          <cell r="Y514">
            <v>0</v>
          </cell>
          <cell r="Z514">
            <v>0</v>
          </cell>
          <cell r="AA514" t="str">
            <v>! ! !</v>
          </cell>
          <cell r="AB514">
            <v>192</v>
          </cell>
          <cell r="AC514">
            <v>0</v>
          </cell>
          <cell r="AG514">
            <v>12</v>
          </cell>
          <cell r="AJ514" t="str">
            <v>-</v>
          </cell>
          <cell r="AL514">
            <v>720</v>
          </cell>
          <cell r="AM514">
            <v>550</v>
          </cell>
          <cell r="AN514" t="e">
            <v>#VALUE!</v>
          </cell>
          <cell r="AO514" t="e">
            <v>#VALUE!</v>
          </cell>
          <cell r="AP514">
            <v>170</v>
          </cell>
        </row>
        <row r="515">
          <cell r="A515">
            <v>65130700</v>
          </cell>
          <cell r="D515" t="str">
            <v>DMB HUTSEPOT 2,25KG</v>
          </cell>
          <cell r="E515" t="str">
            <v xml:space="preserve">DMB </v>
          </cell>
          <cell r="F515" t="str">
            <v>310mm</v>
          </cell>
          <cell r="G515" t="str">
            <v>C2325-1C</v>
          </cell>
          <cell r="H515">
            <v>456</v>
          </cell>
          <cell r="I515">
            <v>2.25</v>
          </cell>
          <cell r="J515" t="str">
            <v>NVT</v>
          </cell>
          <cell r="K515" t="str">
            <v>DELIMEAL HORECA</v>
          </cell>
          <cell r="L515">
            <v>4</v>
          </cell>
          <cell r="M515" t="str">
            <v>BULK HO</v>
          </cell>
          <cell r="N515">
            <v>48</v>
          </cell>
          <cell r="O515">
            <v>5410953513079</v>
          </cell>
          <cell r="P515" t="str">
            <v>2T</v>
          </cell>
          <cell r="Q515">
            <v>1</v>
          </cell>
          <cell r="R515">
            <v>3</v>
          </cell>
          <cell r="S515" t="str">
            <v>Folie perforeren, max 1000st/order</v>
          </cell>
          <cell r="T515">
            <v>550</v>
          </cell>
          <cell r="U515">
            <v>2</v>
          </cell>
          <cell r="V515">
            <v>550</v>
          </cell>
          <cell r="W515">
            <v>2</v>
          </cell>
          <cell r="AA515" t="str">
            <v>! ! !</v>
          </cell>
          <cell r="AB515">
            <v>192</v>
          </cell>
          <cell r="AG515">
            <v>12</v>
          </cell>
          <cell r="AJ515" t="str">
            <v>-</v>
          </cell>
          <cell r="AL515">
            <v>720</v>
          </cell>
          <cell r="AM515">
            <v>550</v>
          </cell>
          <cell r="AN515" t="e">
            <v>#VALUE!</v>
          </cell>
          <cell r="AO515" t="e">
            <v>#VALUE!</v>
          </cell>
          <cell r="AP515">
            <v>170</v>
          </cell>
        </row>
        <row r="516">
          <cell r="A516">
            <v>65131100</v>
          </cell>
          <cell r="D516" t="str">
            <v>DMB KOOKAARDAPPELEN 1,8KG</v>
          </cell>
          <cell r="E516" t="str">
            <v xml:space="preserve">DMB </v>
          </cell>
          <cell r="F516" t="str">
            <v>310mm</v>
          </cell>
          <cell r="G516" t="str">
            <v>C2325-1C</v>
          </cell>
          <cell r="H516">
            <v>456</v>
          </cell>
          <cell r="I516">
            <v>1.8</v>
          </cell>
          <cell r="J516" t="str">
            <v>NVT</v>
          </cell>
          <cell r="K516" t="str">
            <v>DELIMEAL HORECA</v>
          </cell>
          <cell r="L516">
            <v>4</v>
          </cell>
          <cell r="M516" t="str">
            <v>BULK HO</v>
          </cell>
          <cell r="N516">
            <v>48</v>
          </cell>
          <cell r="O516">
            <v>5410953513116</v>
          </cell>
          <cell r="P516" t="str">
            <v>//////</v>
          </cell>
          <cell r="Q516">
            <v>1</v>
          </cell>
          <cell r="R516">
            <v>3</v>
          </cell>
          <cell r="S516" t="str">
            <v>Folie perforeren</v>
          </cell>
          <cell r="T516">
            <v>725</v>
          </cell>
          <cell r="U516">
            <v>5</v>
          </cell>
          <cell r="V516">
            <v>725</v>
          </cell>
          <cell r="W516">
            <v>5</v>
          </cell>
          <cell r="X516">
            <v>0</v>
          </cell>
          <cell r="Y516">
            <v>0</v>
          </cell>
          <cell r="Z516">
            <v>0</v>
          </cell>
          <cell r="AA516" t="str">
            <v>-</v>
          </cell>
          <cell r="AB516">
            <v>192</v>
          </cell>
          <cell r="AC516">
            <v>0</v>
          </cell>
          <cell r="AG516">
            <v>17</v>
          </cell>
          <cell r="AJ516" t="str">
            <v>-</v>
          </cell>
          <cell r="AL516">
            <v>1020</v>
          </cell>
          <cell r="AM516">
            <v>725</v>
          </cell>
          <cell r="AN516" t="e">
            <v>#VALUE!</v>
          </cell>
          <cell r="AO516" t="e">
            <v>#VALUE!</v>
          </cell>
          <cell r="AP516">
            <v>295</v>
          </cell>
        </row>
        <row r="517">
          <cell r="A517">
            <v>65131300</v>
          </cell>
          <cell r="D517" t="str">
            <v>DMB AARDAPPELKUBUS GEKRUID 1,8KG</v>
          </cell>
          <cell r="E517" t="str">
            <v xml:space="preserve">DMB </v>
          </cell>
          <cell r="F517" t="str">
            <v>310mm</v>
          </cell>
          <cell r="G517" t="str">
            <v>C2325-1C</v>
          </cell>
          <cell r="H517">
            <v>456</v>
          </cell>
          <cell r="I517">
            <v>1.8</v>
          </cell>
          <cell r="J517" t="str">
            <v>NVT</v>
          </cell>
          <cell r="K517" t="str">
            <v>DELIMEAL HORECA</v>
          </cell>
          <cell r="L517">
            <v>4</v>
          </cell>
          <cell r="M517" t="str">
            <v>BULK HO</v>
          </cell>
          <cell r="N517">
            <v>48</v>
          </cell>
          <cell r="O517">
            <v>5410953513130</v>
          </cell>
          <cell r="P517" t="str">
            <v>//////</v>
          </cell>
          <cell r="Q517">
            <v>0</v>
          </cell>
          <cell r="R517">
            <v>3</v>
          </cell>
          <cell r="S517" t="str">
            <v>Folie perforeren</v>
          </cell>
          <cell r="T517">
            <v>725</v>
          </cell>
          <cell r="U517">
            <v>5</v>
          </cell>
          <cell r="V517">
            <v>725</v>
          </cell>
          <cell r="W517">
            <v>5</v>
          </cell>
          <cell r="X517">
            <v>0</v>
          </cell>
          <cell r="Y517">
            <v>0</v>
          </cell>
          <cell r="AA517" t="str">
            <v>-</v>
          </cell>
          <cell r="AB517">
            <v>192</v>
          </cell>
          <cell r="AC517">
            <v>0</v>
          </cell>
          <cell r="AG517">
            <v>17</v>
          </cell>
          <cell r="AJ517" t="str">
            <v>-</v>
          </cell>
          <cell r="AL517">
            <v>1020</v>
          </cell>
          <cell r="AM517">
            <v>725</v>
          </cell>
          <cell r="AN517" t="e">
            <v>#VALUE!</v>
          </cell>
          <cell r="AO517" t="e">
            <v>#VALUE!</v>
          </cell>
          <cell r="AP517">
            <v>295</v>
          </cell>
        </row>
        <row r="518">
          <cell r="A518">
            <v>65132600</v>
          </cell>
          <cell r="D518" t="str">
            <v>DMB SPAGHETTI 1,5KG</v>
          </cell>
          <cell r="E518" t="str">
            <v xml:space="preserve">DMB </v>
          </cell>
          <cell r="F518" t="str">
            <v>310mm</v>
          </cell>
          <cell r="G518" t="str">
            <v>C2325-1C</v>
          </cell>
          <cell r="H518">
            <v>456</v>
          </cell>
          <cell r="I518">
            <v>1.5</v>
          </cell>
          <cell r="J518" t="str">
            <v>NVT</v>
          </cell>
          <cell r="K518" t="str">
            <v>DELIMEAL HORECA</v>
          </cell>
          <cell r="L518">
            <v>4</v>
          </cell>
          <cell r="M518" t="str">
            <v>BULK HO</v>
          </cell>
          <cell r="N518">
            <v>48</v>
          </cell>
          <cell r="O518">
            <v>5410953513260</v>
          </cell>
          <cell r="P518" t="str">
            <v>//////</v>
          </cell>
          <cell r="Q518">
            <v>2</v>
          </cell>
          <cell r="R518">
            <v>3</v>
          </cell>
          <cell r="S518" t="str">
            <v>Folie perforeren</v>
          </cell>
          <cell r="T518">
            <v>850</v>
          </cell>
          <cell r="U518">
            <v>6</v>
          </cell>
          <cell r="V518">
            <v>850</v>
          </cell>
          <cell r="W518">
            <v>6</v>
          </cell>
          <cell r="X518">
            <v>0</v>
          </cell>
          <cell r="Y518">
            <v>0</v>
          </cell>
          <cell r="Z518">
            <v>0</v>
          </cell>
          <cell r="AA518" t="str">
            <v>! !</v>
          </cell>
          <cell r="AB518">
            <v>870</v>
          </cell>
          <cell r="AC518">
            <v>0</v>
          </cell>
          <cell r="AG518">
            <v>18</v>
          </cell>
          <cell r="AJ518" t="str">
            <v>-</v>
          </cell>
          <cell r="AL518">
            <v>1080</v>
          </cell>
          <cell r="AM518">
            <v>850</v>
          </cell>
          <cell r="AN518" t="e">
            <v>#VALUE!</v>
          </cell>
          <cell r="AO518" t="e">
            <v>#VALUE!</v>
          </cell>
          <cell r="AP518">
            <v>230</v>
          </cell>
        </row>
        <row r="519">
          <cell r="A519">
            <v>65132700</v>
          </cell>
          <cell r="D519" t="str">
            <v>DMB MACARONI 1,5KG</v>
          </cell>
          <cell r="E519" t="str">
            <v xml:space="preserve">DMB </v>
          </cell>
          <cell r="F519" t="str">
            <v>310mm</v>
          </cell>
          <cell r="G519" t="str">
            <v>C2325-1C</v>
          </cell>
          <cell r="H519">
            <v>456</v>
          </cell>
          <cell r="I519">
            <v>1.5</v>
          </cell>
          <cell r="J519" t="str">
            <v>NVT</v>
          </cell>
          <cell r="K519" t="str">
            <v>DELIMEAL HORECA</v>
          </cell>
          <cell r="L519">
            <v>4</v>
          </cell>
          <cell r="M519" t="str">
            <v>BULK HO</v>
          </cell>
          <cell r="N519">
            <v>48</v>
          </cell>
          <cell r="O519">
            <v>5410953513277</v>
          </cell>
          <cell r="P519" t="str">
            <v>//////</v>
          </cell>
          <cell r="Q519">
            <v>1</v>
          </cell>
          <cell r="R519">
            <v>3</v>
          </cell>
          <cell r="S519" t="str">
            <v>Folie perforeren</v>
          </cell>
          <cell r="T519">
            <v>850</v>
          </cell>
          <cell r="U519">
            <v>5</v>
          </cell>
          <cell r="V519">
            <v>850</v>
          </cell>
          <cell r="W519">
            <v>5</v>
          </cell>
          <cell r="X519">
            <v>0</v>
          </cell>
          <cell r="Y519">
            <v>0</v>
          </cell>
          <cell r="Z519">
            <v>0</v>
          </cell>
          <cell r="AA519" t="str">
            <v>! !</v>
          </cell>
          <cell r="AB519">
            <v>830</v>
          </cell>
          <cell r="AC519">
            <v>0</v>
          </cell>
          <cell r="AG519">
            <v>18</v>
          </cell>
          <cell r="AJ519" t="str">
            <v>-</v>
          </cell>
          <cell r="AL519">
            <v>1080</v>
          </cell>
          <cell r="AM519">
            <v>850</v>
          </cell>
          <cell r="AN519" t="e">
            <v>#VALUE!</v>
          </cell>
          <cell r="AO519" t="e">
            <v>#VALUE!</v>
          </cell>
          <cell r="AP519">
            <v>230</v>
          </cell>
        </row>
        <row r="520">
          <cell r="A520">
            <v>65132800</v>
          </cell>
          <cell r="D520" t="str">
            <v>DMB PENNE 1,5KG</v>
          </cell>
          <cell r="E520" t="str">
            <v xml:space="preserve">DMB </v>
          </cell>
          <cell r="F520" t="str">
            <v>310mm</v>
          </cell>
          <cell r="G520" t="str">
            <v>C2325-1C</v>
          </cell>
          <cell r="H520">
            <v>456</v>
          </cell>
          <cell r="I520">
            <v>1.5</v>
          </cell>
          <cell r="J520" t="str">
            <v>NVT</v>
          </cell>
          <cell r="K520" t="str">
            <v>DELIMEAL HORECA</v>
          </cell>
          <cell r="L520">
            <v>4</v>
          </cell>
          <cell r="M520" t="str">
            <v>BULK HO</v>
          </cell>
          <cell r="N520">
            <v>48</v>
          </cell>
          <cell r="O520">
            <v>5410953513284</v>
          </cell>
          <cell r="P520" t="str">
            <v>//////</v>
          </cell>
          <cell r="Q520">
            <v>1</v>
          </cell>
          <cell r="R520">
            <v>3</v>
          </cell>
          <cell r="S520" t="str">
            <v>Folie perforeren</v>
          </cell>
          <cell r="T520">
            <v>850</v>
          </cell>
          <cell r="U520">
            <v>5</v>
          </cell>
          <cell r="V520">
            <v>850</v>
          </cell>
          <cell r="W520">
            <v>5</v>
          </cell>
          <cell r="X520">
            <v>0</v>
          </cell>
          <cell r="Y520">
            <v>0</v>
          </cell>
          <cell r="Z520">
            <v>0</v>
          </cell>
          <cell r="AA520" t="str">
            <v>! !</v>
          </cell>
          <cell r="AB520">
            <v>710</v>
          </cell>
          <cell r="AC520">
            <v>0</v>
          </cell>
          <cell r="AG520">
            <v>18</v>
          </cell>
          <cell r="AJ520" t="str">
            <v>-</v>
          </cell>
          <cell r="AL520">
            <v>1080</v>
          </cell>
          <cell r="AM520">
            <v>850</v>
          </cell>
          <cell r="AN520" t="e">
            <v>#VALUE!</v>
          </cell>
          <cell r="AO520" t="e">
            <v>#VALUE!</v>
          </cell>
          <cell r="AP520">
            <v>230</v>
          </cell>
        </row>
        <row r="521">
          <cell r="A521">
            <v>65132900</v>
          </cell>
          <cell r="D521" t="str">
            <v>DMB SPIRELLI 1,5KG</v>
          </cell>
          <cell r="E521" t="str">
            <v xml:space="preserve">DMB </v>
          </cell>
          <cell r="F521" t="str">
            <v>310mm</v>
          </cell>
          <cell r="G521" t="str">
            <v>C2325-1C</v>
          </cell>
          <cell r="H521">
            <v>456</v>
          </cell>
          <cell r="I521">
            <v>1.5</v>
          </cell>
          <cell r="J521" t="str">
            <v>NVT</v>
          </cell>
          <cell r="K521" t="str">
            <v>DELIMEAL HORECA</v>
          </cell>
          <cell r="L521">
            <v>4</v>
          </cell>
          <cell r="M521" t="str">
            <v>BULK HO</v>
          </cell>
          <cell r="N521">
            <v>48</v>
          </cell>
          <cell r="O521">
            <v>5410953513291</v>
          </cell>
          <cell r="P521" t="str">
            <v>//////</v>
          </cell>
          <cell r="Q521">
            <v>1</v>
          </cell>
          <cell r="R521">
            <v>3</v>
          </cell>
          <cell r="S521" t="str">
            <v>Folie perforeren</v>
          </cell>
          <cell r="T521">
            <v>850</v>
          </cell>
          <cell r="U521">
            <v>5</v>
          </cell>
          <cell r="V521">
            <v>850</v>
          </cell>
          <cell r="W521">
            <v>5</v>
          </cell>
          <cell r="X521">
            <v>0</v>
          </cell>
          <cell r="Y521">
            <v>0</v>
          </cell>
          <cell r="Z521">
            <v>0</v>
          </cell>
          <cell r="AA521" t="str">
            <v>! !</v>
          </cell>
          <cell r="AB521">
            <v>800</v>
          </cell>
          <cell r="AC521">
            <v>0</v>
          </cell>
          <cell r="AG521">
            <v>18</v>
          </cell>
          <cell r="AJ521" t="str">
            <v>-</v>
          </cell>
          <cell r="AL521">
            <v>1080</v>
          </cell>
          <cell r="AM521">
            <v>850</v>
          </cell>
          <cell r="AN521" t="e">
            <v>#VALUE!</v>
          </cell>
          <cell r="AO521" t="e">
            <v>#VALUE!</v>
          </cell>
          <cell r="AP521">
            <v>230</v>
          </cell>
        </row>
        <row r="522">
          <cell r="A522">
            <v>65133000</v>
          </cell>
          <cell r="D522" t="str">
            <v>DMB PENNE VOLKOREN 1,5KG</v>
          </cell>
          <cell r="E522" t="str">
            <v xml:space="preserve">DMB </v>
          </cell>
          <cell r="F522" t="str">
            <v>310mm</v>
          </cell>
          <cell r="G522" t="str">
            <v>C2325-1C</v>
          </cell>
          <cell r="H522">
            <v>456</v>
          </cell>
          <cell r="I522">
            <v>1.5</v>
          </cell>
          <cell r="J522" t="str">
            <v>NVT</v>
          </cell>
          <cell r="K522" t="str">
            <v>DELIMEAL HORECA</v>
          </cell>
          <cell r="L522">
            <v>4</v>
          </cell>
          <cell r="M522" t="str">
            <v>BULK HO</v>
          </cell>
          <cell r="N522">
            <v>48</v>
          </cell>
          <cell r="O522">
            <v>5410953513307</v>
          </cell>
          <cell r="P522" t="str">
            <v>//////</v>
          </cell>
          <cell r="Q522">
            <v>1</v>
          </cell>
          <cell r="R522">
            <v>3</v>
          </cell>
          <cell r="S522" t="str">
            <v>Folie perforeren</v>
          </cell>
          <cell r="T522">
            <v>850</v>
          </cell>
          <cell r="U522">
            <v>5</v>
          </cell>
          <cell r="V522">
            <v>850</v>
          </cell>
          <cell r="W522">
            <v>5</v>
          </cell>
          <cell r="X522">
            <v>0</v>
          </cell>
          <cell r="Y522">
            <v>0</v>
          </cell>
          <cell r="Z522">
            <v>0</v>
          </cell>
          <cell r="AA522" t="str">
            <v>! !</v>
          </cell>
          <cell r="AB522">
            <v>710</v>
          </cell>
          <cell r="AC522">
            <v>0</v>
          </cell>
          <cell r="AG522">
            <v>18</v>
          </cell>
          <cell r="AJ522" t="str">
            <v>-</v>
          </cell>
          <cell r="AL522">
            <v>1080</v>
          </cell>
          <cell r="AM522">
            <v>850</v>
          </cell>
          <cell r="AN522" t="e">
            <v>#VALUE!</v>
          </cell>
          <cell r="AO522" t="e">
            <v>#VALUE!</v>
          </cell>
          <cell r="AP522">
            <v>230</v>
          </cell>
        </row>
        <row r="523">
          <cell r="A523">
            <v>65133200</v>
          </cell>
          <cell r="D523" t="str">
            <v>DMB LASAGNETTI 1,2KG</v>
          </cell>
          <cell r="E523" t="str">
            <v xml:space="preserve">DMB </v>
          </cell>
          <cell r="F523" t="str">
            <v>310mm</v>
          </cell>
          <cell r="G523" t="str">
            <v>C2325-1C</v>
          </cell>
          <cell r="H523">
            <v>456</v>
          </cell>
          <cell r="I523">
            <v>1.2</v>
          </cell>
          <cell r="J523" t="str">
            <v>NVT</v>
          </cell>
          <cell r="K523" t="str">
            <v>DELIMEAL HORECA</v>
          </cell>
          <cell r="L523">
            <v>4</v>
          </cell>
          <cell r="M523" t="str">
            <v>BULK HO</v>
          </cell>
          <cell r="N523">
            <v>48</v>
          </cell>
          <cell r="P523" t="str">
            <v>//////</v>
          </cell>
          <cell r="Q523">
            <v>1</v>
          </cell>
          <cell r="R523">
            <v>3</v>
          </cell>
          <cell r="S523" t="str">
            <v>Folie perforeren</v>
          </cell>
          <cell r="T523">
            <v>1000</v>
          </cell>
          <cell r="U523">
            <v>6</v>
          </cell>
          <cell r="V523">
            <v>1000</v>
          </cell>
          <cell r="W523">
            <v>6</v>
          </cell>
          <cell r="X523">
            <v>0</v>
          </cell>
          <cell r="Y523">
            <v>0</v>
          </cell>
          <cell r="Z523">
            <v>0</v>
          </cell>
          <cell r="AA523" t="str">
            <v>! !</v>
          </cell>
          <cell r="AB523">
            <v>870</v>
          </cell>
          <cell r="AC523">
            <v>0</v>
          </cell>
          <cell r="AG523">
            <v>21</v>
          </cell>
          <cell r="AJ523" t="str">
            <v>-</v>
          </cell>
          <cell r="AL523">
            <v>1260</v>
          </cell>
          <cell r="AM523">
            <v>1000</v>
          </cell>
          <cell r="AN523" t="e">
            <v>#VALUE!</v>
          </cell>
          <cell r="AO523" t="e">
            <v>#VALUE!</v>
          </cell>
          <cell r="AP523">
            <v>260</v>
          </cell>
        </row>
        <row r="524">
          <cell r="A524">
            <v>65134000</v>
          </cell>
          <cell r="D524" t="str">
            <v>DMB RIJST 1,8KG</v>
          </cell>
          <cell r="E524" t="str">
            <v xml:space="preserve">DMB </v>
          </cell>
          <cell r="F524" t="str">
            <v>310mm</v>
          </cell>
          <cell r="G524" t="str">
            <v>C2325-1C</v>
          </cell>
          <cell r="H524">
            <v>456</v>
          </cell>
          <cell r="I524">
            <v>1.8</v>
          </cell>
          <cell r="J524" t="str">
            <v>NVT</v>
          </cell>
          <cell r="K524" t="str">
            <v>DELIMEAL HORECA</v>
          </cell>
          <cell r="L524">
            <v>4</v>
          </cell>
          <cell r="M524" t="str">
            <v>BULK HO</v>
          </cell>
          <cell r="N524">
            <v>48</v>
          </cell>
          <cell r="O524">
            <v>5410953513406</v>
          </cell>
          <cell r="P524" t="str">
            <v>//////</v>
          </cell>
          <cell r="Q524">
            <v>1</v>
          </cell>
          <cell r="R524">
            <v>3</v>
          </cell>
          <cell r="S524" t="str">
            <v>Folie perforeren, RIJST D-1</v>
          </cell>
          <cell r="T524">
            <v>700</v>
          </cell>
          <cell r="U524">
            <v>5</v>
          </cell>
          <cell r="V524">
            <v>700</v>
          </cell>
          <cell r="W524">
            <v>5</v>
          </cell>
          <cell r="X524">
            <v>0</v>
          </cell>
          <cell r="Y524">
            <v>0</v>
          </cell>
          <cell r="Z524">
            <v>0</v>
          </cell>
          <cell r="AA524" t="str">
            <v>-</v>
          </cell>
          <cell r="AB524">
            <v>192</v>
          </cell>
          <cell r="AC524">
            <v>0</v>
          </cell>
          <cell r="AG524">
            <v>15</v>
          </cell>
          <cell r="AJ524" t="str">
            <v>-</v>
          </cell>
          <cell r="AL524">
            <v>900</v>
          </cell>
          <cell r="AM524">
            <v>700</v>
          </cell>
          <cell r="AN524" t="e">
            <v>#VALUE!</v>
          </cell>
          <cell r="AO524" t="e">
            <v>#VALUE!</v>
          </cell>
          <cell r="AP524">
            <v>200</v>
          </cell>
        </row>
        <row r="525">
          <cell r="A525">
            <v>65140200</v>
          </cell>
          <cell r="D525" t="str">
            <v>DMB KALKOENSCHNITZEL 1,1KG</v>
          </cell>
          <cell r="E525" t="str">
            <v xml:space="preserve">DMB </v>
          </cell>
          <cell r="F525" t="str">
            <v>310mm</v>
          </cell>
          <cell r="G525" t="str">
            <v>C2325-1C</v>
          </cell>
          <cell r="H525">
            <v>456</v>
          </cell>
          <cell r="I525">
            <v>1.1000000000000001</v>
          </cell>
          <cell r="J525" t="str">
            <v>NVT</v>
          </cell>
          <cell r="K525" t="str">
            <v>DELIMEAL HORECA</v>
          </cell>
          <cell r="L525">
            <v>4</v>
          </cell>
          <cell r="M525" t="str">
            <v>BULK HO</v>
          </cell>
          <cell r="N525">
            <v>48</v>
          </cell>
          <cell r="O525">
            <v>5410953514021</v>
          </cell>
          <cell r="P525" t="str">
            <v>//////</v>
          </cell>
          <cell r="Q525">
            <v>0</v>
          </cell>
          <cell r="R525">
            <v>3</v>
          </cell>
          <cell r="S525" t="str">
            <v>shnitzel 3 weken levertermijn, Folie perforeren</v>
          </cell>
          <cell r="T525">
            <v>1000</v>
          </cell>
          <cell r="U525">
            <v>6</v>
          </cell>
          <cell r="V525">
            <v>1000</v>
          </cell>
          <cell r="W525">
            <v>6</v>
          </cell>
          <cell r="X525">
            <v>0</v>
          </cell>
          <cell r="Y525">
            <v>0</v>
          </cell>
          <cell r="Z525">
            <v>0</v>
          </cell>
          <cell r="AA525" t="str">
            <v>! !</v>
          </cell>
          <cell r="AB525">
            <v>380</v>
          </cell>
          <cell r="AC525">
            <v>0</v>
          </cell>
          <cell r="AG525">
            <v>20</v>
          </cell>
          <cell r="AJ525" t="str">
            <v>-</v>
          </cell>
          <cell r="AL525">
            <v>1200</v>
          </cell>
          <cell r="AM525">
            <v>1000</v>
          </cell>
          <cell r="AN525" t="e">
            <v>#VALUE!</v>
          </cell>
          <cell r="AO525" t="e">
            <v>#VALUE!</v>
          </cell>
          <cell r="AP525">
            <v>200</v>
          </cell>
        </row>
        <row r="526">
          <cell r="A526">
            <v>65140600</v>
          </cell>
          <cell r="D526" t="str">
            <v>DMB CORDON BLEU 1,1KG</v>
          </cell>
          <cell r="E526" t="str">
            <v xml:space="preserve">DMB </v>
          </cell>
          <cell r="F526" t="str">
            <v>310mm</v>
          </cell>
          <cell r="G526" t="str">
            <v>C2325-1C</v>
          </cell>
          <cell r="H526">
            <v>456</v>
          </cell>
          <cell r="I526">
            <v>1.1000000000000001</v>
          </cell>
          <cell r="J526" t="str">
            <v>NVT</v>
          </cell>
          <cell r="K526" t="str">
            <v>DELIMEAL HORECA</v>
          </cell>
          <cell r="L526">
            <v>4</v>
          </cell>
          <cell r="M526" t="str">
            <v>BULK HO</v>
          </cell>
          <cell r="N526">
            <v>48</v>
          </cell>
          <cell r="O526">
            <v>5410953514069</v>
          </cell>
          <cell r="P526" t="str">
            <v>//////</v>
          </cell>
          <cell r="Q526">
            <v>0</v>
          </cell>
          <cell r="R526">
            <v>3</v>
          </cell>
          <cell r="S526" t="str">
            <v>Folie perforeren</v>
          </cell>
          <cell r="T526">
            <v>1000</v>
          </cell>
          <cell r="U526">
            <v>5</v>
          </cell>
          <cell r="V526">
            <v>1000</v>
          </cell>
          <cell r="W526">
            <v>5</v>
          </cell>
          <cell r="X526">
            <v>0</v>
          </cell>
          <cell r="Y526">
            <v>0</v>
          </cell>
          <cell r="Z526">
            <v>0</v>
          </cell>
          <cell r="AA526" t="str">
            <v>! ! !</v>
          </cell>
          <cell r="AB526">
            <v>192</v>
          </cell>
          <cell r="AC526">
            <v>0</v>
          </cell>
          <cell r="AG526">
            <v>20</v>
          </cell>
          <cell r="AJ526" t="str">
            <v>-</v>
          </cell>
          <cell r="AL526">
            <v>1200</v>
          </cell>
          <cell r="AM526">
            <v>1000</v>
          </cell>
          <cell r="AN526" t="e">
            <v>#VALUE!</v>
          </cell>
          <cell r="AO526" t="e">
            <v>#VALUE!</v>
          </cell>
          <cell r="AP526">
            <v>200</v>
          </cell>
        </row>
        <row r="527">
          <cell r="A527">
            <v>65141100</v>
          </cell>
          <cell r="D527" t="str">
            <v>DMB VISSTICK 1,26KG</v>
          </cell>
          <cell r="E527" t="str">
            <v>DMB</v>
          </cell>
          <cell r="F527" t="str">
            <v>310mm</v>
          </cell>
          <cell r="G527" t="str">
            <v>C2325-1C</v>
          </cell>
          <cell r="H527">
            <v>456</v>
          </cell>
          <cell r="I527">
            <v>1.26</v>
          </cell>
          <cell r="J527" t="str">
            <v>NVT</v>
          </cell>
          <cell r="K527" t="str">
            <v>DELIMEAL HORECA</v>
          </cell>
          <cell r="L527">
            <v>4</v>
          </cell>
          <cell r="M527" t="str">
            <v>BULK HO</v>
          </cell>
          <cell r="N527">
            <v>48</v>
          </cell>
          <cell r="O527" t="str">
            <v>5410953514113</v>
          </cell>
          <cell r="P527" t="str">
            <v>//////</v>
          </cell>
          <cell r="R527">
            <v>3</v>
          </cell>
          <cell r="S527" t="str">
            <v>Folie perforeren</v>
          </cell>
          <cell r="T527">
            <v>1000</v>
          </cell>
          <cell r="U527">
            <v>5</v>
          </cell>
          <cell r="V527">
            <v>1000</v>
          </cell>
          <cell r="W527">
            <v>5</v>
          </cell>
          <cell r="AA527" t="str">
            <v>! ! ! !</v>
          </cell>
          <cell r="AB527">
            <v>192</v>
          </cell>
          <cell r="AC527">
            <v>0</v>
          </cell>
          <cell r="AG527">
            <v>20</v>
          </cell>
          <cell r="AJ527" t="str">
            <v>-</v>
          </cell>
          <cell r="AL527">
            <v>1200</v>
          </cell>
          <cell r="AM527">
            <v>1000</v>
          </cell>
          <cell r="AN527" t="e">
            <v>#VALUE!</v>
          </cell>
          <cell r="AO527" t="e">
            <v>#VALUE!</v>
          </cell>
        </row>
        <row r="528">
          <cell r="A528">
            <v>65141200</v>
          </cell>
          <cell r="D528" t="str">
            <v>DMB CURRYBALLETJES 1,08KG</v>
          </cell>
          <cell r="E528" t="str">
            <v xml:space="preserve">DMB </v>
          </cell>
          <cell r="F528" t="str">
            <v>310mm</v>
          </cell>
          <cell r="G528" t="str">
            <v>C2325-1C</v>
          </cell>
          <cell r="H528">
            <v>456</v>
          </cell>
          <cell r="I528">
            <v>1.08</v>
          </cell>
          <cell r="J528" t="str">
            <v>NVT</v>
          </cell>
          <cell r="K528" t="str">
            <v>DELIMEAL HORECA</v>
          </cell>
          <cell r="L528">
            <v>4</v>
          </cell>
          <cell r="M528" t="str">
            <v>BULK HO</v>
          </cell>
          <cell r="N528">
            <v>48</v>
          </cell>
          <cell r="O528">
            <v>5410953514120</v>
          </cell>
          <cell r="P528" t="str">
            <v>//////</v>
          </cell>
          <cell r="Q528">
            <v>0</v>
          </cell>
          <cell r="R528">
            <v>3</v>
          </cell>
          <cell r="S528" t="str">
            <v>Folie perforeren</v>
          </cell>
          <cell r="T528">
            <v>1000</v>
          </cell>
          <cell r="U528">
            <v>5</v>
          </cell>
          <cell r="V528">
            <v>1000</v>
          </cell>
          <cell r="W528">
            <v>5</v>
          </cell>
          <cell r="X528">
            <v>0</v>
          </cell>
          <cell r="Y528">
            <v>0</v>
          </cell>
          <cell r="AA528" t="str">
            <v>! ! !</v>
          </cell>
          <cell r="AB528">
            <v>192</v>
          </cell>
          <cell r="AC528">
            <v>0</v>
          </cell>
          <cell r="AG528">
            <v>20</v>
          </cell>
          <cell r="AJ528" t="str">
            <v>V-A</v>
          </cell>
          <cell r="AL528">
            <v>1200</v>
          </cell>
          <cell r="AM528">
            <v>1000</v>
          </cell>
          <cell r="AN528" t="e">
            <v>#VALUE!</v>
          </cell>
          <cell r="AO528" t="e">
            <v>#VALUE!</v>
          </cell>
          <cell r="AP528">
            <v>200</v>
          </cell>
        </row>
        <row r="529">
          <cell r="A529">
            <v>65150000</v>
          </cell>
          <cell r="D529" t="str">
            <v>DMB BOLOGNAISESAUS 2,22KG</v>
          </cell>
          <cell r="E529" t="str">
            <v xml:space="preserve">DMB </v>
          </cell>
          <cell r="F529" t="str">
            <v>310mm</v>
          </cell>
          <cell r="G529" t="str">
            <v>C2325-1C</v>
          </cell>
          <cell r="H529">
            <v>456</v>
          </cell>
          <cell r="I529">
            <v>2.2200000000000002</v>
          </cell>
          <cell r="J529" t="str">
            <v>NVT</v>
          </cell>
          <cell r="K529" t="str">
            <v>DELIMEAL HORECA</v>
          </cell>
          <cell r="L529">
            <v>4</v>
          </cell>
          <cell r="M529" t="str">
            <v>BULK HO</v>
          </cell>
          <cell r="N529">
            <v>48</v>
          </cell>
          <cell r="O529">
            <v>5410953515004</v>
          </cell>
          <cell r="P529" t="str">
            <v>3T</v>
          </cell>
          <cell r="Q529">
            <v>1</v>
          </cell>
          <cell r="R529">
            <v>3</v>
          </cell>
          <cell r="S529" t="str">
            <v>Folie perforeren</v>
          </cell>
          <cell r="T529">
            <v>550</v>
          </cell>
          <cell r="U529">
            <v>2</v>
          </cell>
          <cell r="V529">
            <v>550</v>
          </cell>
          <cell r="W529">
            <v>2</v>
          </cell>
          <cell r="X529">
            <v>0</v>
          </cell>
          <cell r="Y529">
            <v>0</v>
          </cell>
          <cell r="Z529">
            <v>0</v>
          </cell>
          <cell r="AA529" t="str">
            <v>! ! !</v>
          </cell>
          <cell r="AB529">
            <v>192</v>
          </cell>
          <cell r="AC529">
            <v>0</v>
          </cell>
          <cell r="AG529">
            <v>12</v>
          </cell>
          <cell r="AJ529" t="str">
            <v>V-A</v>
          </cell>
          <cell r="AL529">
            <v>720</v>
          </cell>
          <cell r="AM529">
            <v>550</v>
          </cell>
          <cell r="AN529" t="e">
            <v>#VALUE!</v>
          </cell>
          <cell r="AO529" t="e">
            <v>#VALUE!</v>
          </cell>
          <cell r="AP529">
            <v>170</v>
          </cell>
        </row>
        <row r="530">
          <cell r="A530">
            <v>65150100</v>
          </cell>
          <cell r="D530" t="str">
            <v>DMB HAM KAASSAUS 2,22KG</v>
          </cell>
          <cell r="E530" t="str">
            <v xml:space="preserve">DMB </v>
          </cell>
          <cell r="F530" t="str">
            <v>310mm</v>
          </cell>
          <cell r="G530" t="str">
            <v>C2325-1C</v>
          </cell>
          <cell r="H530">
            <v>456</v>
          </cell>
          <cell r="I530">
            <v>2.2200000000000002</v>
          </cell>
          <cell r="J530" t="str">
            <v>NVT</v>
          </cell>
          <cell r="K530" t="str">
            <v>DELIMEAL HORECA</v>
          </cell>
          <cell r="L530">
            <v>4</v>
          </cell>
          <cell r="M530" t="str">
            <v>BULK HO</v>
          </cell>
          <cell r="N530">
            <v>48</v>
          </cell>
          <cell r="O530">
            <v>5410953515011</v>
          </cell>
          <cell r="P530" t="str">
            <v>3T</v>
          </cell>
          <cell r="Q530">
            <v>1</v>
          </cell>
          <cell r="R530">
            <v>3</v>
          </cell>
          <cell r="S530" t="str">
            <v>Folie perforeren, HAM snijden</v>
          </cell>
          <cell r="T530">
            <v>550</v>
          </cell>
          <cell r="U530">
            <v>2</v>
          </cell>
          <cell r="V530">
            <v>550</v>
          </cell>
          <cell r="W530">
            <v>2</v>
          </cell>
          <cell r="X530">
            <v>0</v>
          </cell>
          <cell r="Y530">
            <v>0</v>
          </cell>
          <cell r="Z530">
            <v>0</v>
          </cell>
          <cell r="AA530" t="str">
            <v>! ! !</v>
          </cell>
          <cell r="AB530">
            <v>192</v>
          </cell>
          <cell r="AC530">
            <v>0</v>
          </cell>
          <cell r="AG530">
            <v>12</v>
          </cell>
          <cell r="AJ530" t="str">
            <v>V-A</v>
          </cell>
          <cell r="AL530">
            <v>720</v>
          </cell>
          <cell r="AM530">
            <v>550</v>
          </cell>
          <cell r="AN530" t="e">
            <v>#VALUE!</v>
          </cell>
          <cell r="AO530" t="e">
            <v>#VALUE!</v>
          </cell>
          <cell r="AP530">
            <v>170</v>
          </cell>
        </row>
        <row r="531">
          <cell r="A531">
            <v>65150200</v>
          </cell>
          <cell r="D531" t="str">
            <v>DMB CARBONARA 2,22KG</v>
          </cell>
          <cell r="E531" t="str">
            <v xml:space="preserve">DMB </v>
          </cell>
          <cell r="F531" t="str">
            <v>310mm</v>
          </cell>
          <cell r="G531" t="str">
            <v>C2325-1C</v>
          </cell>
          <cell r="H531">
            <v>456</v>
          </cell>
          <cell r="I531">
            <v>2.2200000000000002</v>
          </cell>
          <cell r="J531" t="str">
            <v>NVT</v>
          </cell>
          <cell r="K531" t="str">
            <v>DELIMEAL HORECA</v>
          </cell>
          <cell r="L531">
            <v>4</v>
          </cell>
          <cell r="M531" t="str">
            <v>BULK HO</v>
          </cell>
          <cell r="N531">
            <v>48</v>
          </cell>
          <cell r="O531">
            <v>5410953515028</v>
          </cell>
          <cell r="P531" t="str">
            <v>3T</v>
          </cell>
          <cell r="Q531">
            <v>1</v>
          </cell>
          <cell r="R531">
            <v>3</v>
          </cell>
          <cell r="S531" t="str">
            <v>Folie perforeren</v>
          </cell>
          <cell r="T531">
            <v>550</v>
          </cell>
          <cell r="U531">
            <v>2</v>
          </cell>
          <cell r="V531">
            <v>550</v>
          </cell>
          <cell r="W531">
            <v>2</v>
          </cell>
          <cell r="X531">
            <v>0</v>
          </cell>
          <cell r="Y531">
            <v>0</v>
          </cell>
          <cell r="Z531">
            <v>0</v>
          </cell>
          <cell r="AA531" t="str">
            <v>! !</v>
          </cell>
          <cell r="AB531">
            <v>192</v>
          </cell>
          <cell r="AC531">
            <v>0</v>
          </cell>
          <cell r="AG531">
            <v>12</v>
          </cell>
          <cell r="AJ531" t="str">
            <v>V-A</v>
          </cell>
          <cell r="AL531">
            <v>720</v>
          </cell>
          <cell r="AM531">
            <v>550</v>
          </cell>
          <cell r="AN531" t="e">
            <v>#VALUE!</v>
          </cell>
          <cell r="AO531" t="e">
            <v>#VALUE!</v>
          </cell>
          <cell r="AP531">
            <v>170</v>
          </cell>
        </row>
        <row r="532">
          <cell r="A532">
            <v>65150700</v>
          </cell>
          <cell r="D532" t="str">
            <v>DMB KIP TOMAATMOZZARELLASAUS 2,22KG</v>
          </cell>
          <cell r="E532" t="str">
            <v xml:space="preserve">DMB </v>
          </cell>
          <cell r="F532" t="str">
            <v>310mm</v>
          </cell>
          <cell r="G532" t="str">
            <v>C2325-1C</v>
          </cell>
          <cell r="H532">
            <v>456</v>
          </cell>
          <cell r="I532">
            <v>2.2200000000000002</v>
          </cell>
          <cell r="J532" t="str">
            <v>NVT</v>
          </cell>
          <cell r="K532" t="str">
            <v>DELIMEAL HORECA</v>
          </cell>
          <cell r="L532">
            <v>4</v>
          </cell>
          <cell r="M532" t="str">
            <v>BULK HO</v>
          </cell>
          <cell r="N532">
            <v>48</v>
          </cell>
          <cell r="O532">
            <v>5410953515073</v>
          </cell>
          <cell r="P532" t="str">
            <v>3T</v>
          </cell>
          <cell r="Q532">
            <v>1</v>
          </cell>
          <cell r="R532">
            <v>3</v>
          </cell>
          <cell r="S532" t="str">
            <v>Folie perforeren</v>
          </cell>
          <cell r="T532">
            <v>550</v>
          </cell>
          <cell r="U532">
            <v>2</v>
          </cell>
          <cell r="V532">
            <v>550</v>
          </cell>
          <cell r="W532">
            <v>2</v>
          </cell>
          <cell r="X532">
            <v>0</v>
          </cell>
          <cell r="Y532">
            <v>0</v>
          </cell>
          <cell r="Z532">
            <v>0</v>
          </cell>
          <cell r="AA532" t="str">
            <v>! ! !</v>
          </cell>
          <cell r="AB532">
            <v>192</v>
          </cell>
          <cell r="AC532">
            <v>0</v>
          </cell>
          <cell r="AG532">
            <v>12</v>
          </cell>
          <cell r="AJ532" t="str">
            <v>-</v>
          </cell>
          <cell r="AL532">
            <v>720</v>
          </cell>
          <cell r="AM532">
            <v>550</v>
          </cell>
          <cell r="AN532" t="e">
            <v>#VALUE!</v>
          </cell>
          <cell r="AO532" t="e">
            <v>#VALUE!</v>
          </cell>
          <cell r="AP532">
            <v>170</v>
          </cell>
        </row>
        <row r="533">
          <cell r="A533">
            <v>65150900</v>
          </cell>
          <cell r="D533" t="str">
            <v>DMB TOMATENSAUS MET HAM EN GROENTJES</v>
          </cell>
          <cell r="E533" t="str">
            <v xml:space="preserve">DMB </v>
          </cell>
          <cell r="F533" t="str">
            <v>310mm</v>
          </cell>
          <cell r="G533" t="str">
            <v>C2325-1C</v>
          </cell>
          <cell r="H533">
            <v>456</v>
          </cell>
          <cell r="I533">
            <v>2.2200000000000002</v>
          </cell>
          <cell r="J533" t="str">
            <v>NVT</v>
          </cell>
          <cell r="K533" t="str">
            <v>DELIMEAL HORECA</v>
          </cell>
          <cell r="L533">
            <v>4</v>
          </cell>
          <cell r="M533" t="str">
            <v>BULK HO</v>
          </cell>
          <cell r="N533">
            <v>48</v>
          </cell>
          <cell r="O533">
            <v>5410953515097</v>
          </cell>
          <cell r="P533" t="str">
            <v>3T</v>
          </cell>
          <cell r="Q533">
            <v>1</v>
          </cell>
          <cell r="R533">
            <v>3</v>
          </cell>
          <cell r="S533" t="str">
            <v>Folie perforeren</v>
          </cell>
          <cell r="T533">
            <v>550</v>
          </cell>
          <cell r="U533">
            <v>2</v>
          </cell>
          <cell r="V533">
            <v>550</v>
          </cell>
          <cell r="W533">
            <v>2</v>
          </cell>
          <cell r="X533">
            <v>0</v>
          </cell>
          <cell r="Y533">
            <v>0</v>
          </cell>
          <cell r="Z533">
            <v>0</v>
          </cell>
          <cell r="AA533" t="str">
            <v>-</v>
          </cell>
          <cell r="AB533">
            <v>192</v>
          </cell>
          <cell r="AC533">
            <v>0</v>
          </cell>
          <cell r="AG533">
            <v>12</v>
          </cell>
          <cell r="AJ533" t="str">
            <v>V-A</v>
          </cell>
          <cell r="AL533">
            <v>720</v>
          </cell>
          <cell r="AM533">
            <v>550</v>
          </cell>
          <cell r="AN533" t="e">
            <v>#VALUE!</v>
          </cell>
          <cell r="AO533" t="e">
            <v>#VALUE!</v>
          </cell>
          <cell r="AP533">
            <v>170</v>
          </cell>
        </row>
        <row r="534">
          <cell r="A534">
            <v>65151200</v>
          </cell>
          <cell r="D534" t="str">
            <v>DMB BOLOGNAISESAUS VEGETARISCH 2,22KG</v>
          </cell>
          <cell r="E534" t="str">
            <v>DMB</v>
          </cell>
          <cell r="F534" t="str">
            <v>310mm</v>
          </cell>
          <cell r="G534" t="str">
            <v>C2325-1C</v>
          </cell>
          <cell r="H534">
            <v>456</v>
          </cell>
          <cell r="I534">
            <v>2.2200000000000002</v>
          </cell>
          <cell r="J534" t="str">
            <v>NVT</v>
          </cell>
          <cell r="K534" t="str">
            <v>DELIMEAL HORECA</v>
          </cell>
          <cell r="L534">
            <v>4</v>
          </cell>
          <cell r="M534" t="str">
            <v>BULK HO</v>
          </cell>
          <cell r="N534">
            <v>48</v>
          </cell>
          <cell r="O534">
            <v>5410953515127</v>
          </cell>
          <cell r="P534" t="str">
            <v>3T</v>
          </cell>
          <cell r="Q534">
            <v>1</v>
          </cell>
          <cell r="R534">
            <v>3</v>
          </cell>
          <cell r="S534" t="str">
            <v>Folie perforeren</v>
          </cell>
          <cell r="T534">
            <v>550</v>
          </cell>
          <cell r="U534">
            <v>2</v>
          </cell>
          <cell r="V534">
            <v>550</v>
          </cell>
          <cell r="W534">
            <v>2</v>
          </cell>
          <cell r="X534">
            <v>0</v>
          </cell>
          <cell r="Y534">
            <v>0</v>
          </cell>
          <cell r="Z534">
            <v>0</v>
          </cell>
          <cell r="AA534" t="str">
            <v>! ! !</v>
          </cell>
          <cell r="AB534">
            <v>100</v>
          </cell>
          <cell r="AC534">
            <v>0</v>
          </cell>
          <cell r="AG534">
            <v>12</v>
          </cell>
          <cell r="AJ534" t="str">
            <v>V-A</v>
          </cell>
          <cell r="AL534">
            <v>720</v>
          </cell>
          <cell r="AM534">
            <v>550</v>
          </cell>
          <cell r="AN534" t="e">
            <v>#VALUE!</v>
          </cell>
          <cell r="AO534" t="e">
            <v>#VALUE!</v>
          </cell>
          <cell r="AP534">
            <v>170</v>
          </cell>
        </row>
        <row r="535">
          <cell r="A535">
            <v>65151300</v>
          </cell>
          <cell r="D535" t="str">
            <v>DMB KIP ALFREDOSAUS MET BROCCOLI 2,22KG</v>
          </cell>
          <cell r="E535" t="str">
            <v xml:space="preserve">DMB </v>
          </cell>
          <cell r="F535" t="str">
            <v>310mm</v>
          </cell>
          <cell r="G535" t="str">
            <v>C2325-1C</v>
          </cell>
          <cell r="H535">
            <v>456</v>
          </cell>
          <cell r="I535">
            <v>2.2200000000000002</v>
          </cell>
          <cell r="J535" t="str">
            <v>NVT</v>
          </cell>
          <cell r="K535" t="str">
            <v>DELIMEAL HORECA</v>
          </cell>
          <cell r="L535">
            <v>4</v>
          </cell>
          <cell r="M535" t="str">
            <v>BULK HO</v>
          </cell>
          <cell r="N535">
            <v>48</v>
          </cell>
          <cell r="O535">
            <v>5410953515134</v>
          </cell>
          <cell r="P535" t="str">
            <v>2T-I</v>
          </cell>
          <cell r="Q535">
            <v>1</v>
          </cell>
          <cell r="R535">
            <v>3</v>
          </cell>
          <cell r="S535" t="str">
            <v>Folie perforeren</v>
          </cell>
          <cell r="T535">
            <v>550</v>
          </cell>
          <cell r="U535">
            <v>3</v>
          </cell>
          <cell r="V535">
            <v>550</v>
          </cell>
          <cell r="W535">
            <v>3</v>
          </cell>
          <cell r="X535">
            <v>0</v>
          </cell>
          <cell r="Y535">
            <v>0</v>
          </cell>
          <cell r="AA535" t="str">
            <v>! !</v>
          </cell>
          <cell r="AB535">
            <v>192</v>
          </cell>
          <cell r="AC535">
            <v>0</v>
          </cell>
          <cell r="AG535">
            <v>12</v>
          </cell>
          <cell r="AJ535" t="str">
            <v>-</v>
          </cell>
          <cell r="AL535">
            <v>720</v>
          </cell>
          <cell r="AM535">
            <v>550</v>
          </cell>
          <cell r="AN535" t="e">
            <v>#VALUE!</v>
          </cell>
          <cell r="AO535" t="e">
            <v>#VALUE!</v>
          </cell>
          <cell r="AP535">
            <v>170</v>
          </cell>
        </row>
        <row r="536">
          <cell r="A536">
            <v>65151500</v>
          </cell>
          <cell r="D536" t="str">
            <v>DMB LASAGNE BOLOGNAISE 2,2KG</v>
          </cell>
          <cell r="E536" t="str">
            <v xml:space="preserve">DMB </v>
          </cell>
          <cell r="F536" t="str">
            <v>310mm</v>
          </cell>
          <cell r="G536" t="str">
            <v>C2325-1C</v>
          </cell>
          <cell r="H536">
            <v>456</v>
          </cell>
          <cell r="I536">
            <v>2.2000000000000002</v>
          </cell>
          <cell r="J536" t="str">
            <v>NVT</v>
          </cell>
          <cell r="K536" t="str">
            <v>DELIMEAL HORECA</v>
          </cell>
          <cell r="L536">
            <v>4</v>
          </cell>
          <cell r="M536" t="str">
            <v>BULK HO</v>
          </cell>
          <cell r="N536">
            <v>48</v>
          </cell>
          <cell r="O536">
            <v>5410953515158</v>
          </cell>
          <cell r="P536" t="str">
            <v>2H-4T-K</v>
          </cell>
          <cell r="Q536">
            <v>2</v>
          </cell>
          <cell r="R536">
            <v>3</v>
          </cell>
          <cell r="S536" t="str">
            <v>Folie perforeren</v>
          </cell>
          <cell r="T536">
            <v>550</v>
          </cell>
          <cell r="U536">
            <v>7</v>
          </cell>
          <cell r="V536">
            <v>550</v>
          </cell>
          <cell r="W536">
            <v>7</v>
          </cell>
          <cell r="X536">
            <v>0</v>
          </cell>
          <cell r="Y536">
            <v>0</v>
          </cell>
          <cell r="Z536">
            <v>0</v>
          </cell>
          <cell r="AA536" t="str">
            <v>! ! !</v>
          </cell>
          <cell r="AB536">
            <v>192</v>
          </cell>
          <cell r="AC536">
            <v>0</v>
          </cell>
          <cell r="AG536">
            <v>12</v>
          </cell>
          <cell r="AJ536" t="str">
            <v>V-A</v>
          </cell>
          <cell r="AL536">
            <v>720</v>
          </cell>
          <cell r="AM536">
            <v>550</v>
          </cell>
          <cell r="AN536" t="e">
            <v>#VALUE!</v>
          </cell>
          <cell r="AO536" t="e">
            <v>#VALUE!</v>
          </cell>
          <cell r="AP536">
            <v>170</v>
          </cell>
        </row>
        <row r="537">
          <cell r="A537">
            <v>65151600</v>
          </cell>
          <cell r="D537" t="str">
            <v>DMB LASAGNE VEGETARISCHE BOLOGNAISE 2,2KG</v>
          </cell>
          <cell r="E537" t="str">
            <v xml:space="preserve">DMB </v>
          </cell>
          <cell r="F537" t="str">
            <v>310mm</v>
          </cell>
          <cell r="G537" t="str">
            <v>C2325-1C</v>
          </cell>
          <cell r="H537">
            <v>456</v>
          </cell>
          <cell r="I537">
            <v>2.2000000000000002</v>
          </cell>
          <cell r="J537" t="str">
            <v>NVT</v>
          </cell>
          <cell r="K537" t="str">
            <v>DELIMEAL HORECA</v>
          </cell>
          <cell r="L537">
            <v>4</v>
          </cell>
          <cell r="M537" t="str">
            <v>BULK HO</v>
          </cell>
          <cell r="N537">
            <v>48</v>
          </cell>
          <cell r="O537">
            <v>5410953515165</v>
          </cell>
          <cell r="P537" t="str">
            <v>2H-4T-K</v>
          </cell>
          <cell r="Q537">
            <v>2</v>
          </cell>
          <cell r="R537">
            <v>3</v>
          </cell>
          <cell r="S537" t="str">
            <v>Folie perforeren</v>
          </cell>
          <cell r="T537">
            <v>550</v>
          </cell>
          <cell r="U537">
            <v>6</v>
          </cell>
          <cell r="V537">
            <v>550</v>
          </cell>
          <cell r="W537">
            <v>6</v>
          </cell>
          <cell r="X537">
            <v>0</v>
          </cell>
          <cell r="Y537">
            <v>0</v>
          </cell>
          <cell r="Z537">
            <v>0</v>
          </cell>
          <cell r="AA537" t="str">
            <v>! ! !</v>
          </cell>
          <cell r="AB537">
            <v>192</v>
          </cell>
          <cell r="AC537">
            <v>0</v>
          </cell>
          <cell r="AG537">
            <v>12</v>
          </cell>
          <cell r="AJ537" t="str">
            <v>-</v>
          </cell>
          <cell r="AL537">
            <v>720</v>
          </cell>
          <cell r="AM537">
            <v>550</v>
          </cell>
          <cell r="AN537" t="e">
            <v>#VALUE!</v>
          </cell>
          <cell r="AO537" t="e">
            <v>#VALUE!</v>
          </cell>
          <cell r="AP537">
            <v>170</v>
          </cell>
        </row>
        <row r="538">
          <cell r="A538">
            <v>65420000</v>
          </cell>
          <cell r="B538">
            <v>40267800</v>
          </cell>
          <cell r="C538">
            <v>7621014</v>
          </cell>
          <cell r="D538" t="str">
            <v>DAESANG VEGAN TOFU RISOTTO BIBIMBAP 350G</v>
          </cell>
          <cell r="E538" t="str">
            <v>DAESANG</v>
          </cell>
          <cell r="F538" t="str">
            <v>225mm</v>
          </cell>
          <cell r="G538" t="str">
            <v>UK-57</v>
          </cell>
          <cell r="H538">
            <v>548</v>
          </cell>
          <cell r="I538">
            <v>0.35</v>
          </cell>
          <cell r="J538" t="str">
            <v>H34</v>
          </cell>
          <cell r="K538" t="str">
            <v>NVT</v>
          </cell>
          <cell r="L538">
            <v>6</v>
          </cell>
          <cell r="M538" t="str">
            <v>H34x6</v>
          </cell>
          <cell r="N538">
            <v>108</v>
          </cell>
          <cell r="O538">
            <v>8720589579552</v>
          </cell>
          <cell r="P538" t="str">
            <v>I-L-T</v>
          </cell>
          <cell r="Q538">
            <v>2</v>
          </cell>
          <cell r="R538">
            <v>4</v>
          </cell>
          <cell r="T538">
            <v>2500</v>
          </cell>
          <cell r="U538">
            <v>4</v>
          </cell>
          <cell r="V538">
            <v>2500</v>
          </cell>
          <cell r="W538">
            <v>4</v>
          </cell>
          <cell r="Z538">
            <v>5.8000000000000003E-2</v>
          </cell>
          <cell r="AA538" t="str">
            <v>! ! ! ! !</v>
          </cell>
          <cell r="AB538">
            <v>5000</v>
          </cell>
          <cell r="AG538">
            <v>50</v>
          </cell>
          <cell r="AJ538" t="str">
            <v>-</v>
          </cell>
          <cell r="AL538">
            <v>3000</v>
          </cell>
          <cell r="AM538">
            <v>2500</v>
          </cell>
          <cell r="AN538" t="e">
            <v>#VALUE!</v>
          </cell>
          <cell r="AO538" t="e">
            <v>#VALUE!</v>
          </cell>
          <cell r="AP538">
            <v>500</v>
          </cell>
        </row>
        <row r="539">
          <cell r="A539">
            <v>65420100</v>
          </cell>
          <cell r="B539">
            <v>40267900</v>
          </cell>
          <cell r="C539">
            <v>7621015</v>
          </cell>
          <cell r="D539" t="str">
            <v>DAESANG RISOTTO BULGOGI SAUS MET GEHAKT 350G</v>
          </cell>
          <cell r="E539" t="str">
            <v>DAESANG</v>
          </cell>
          <cell r="F539" t="str">
            <v>225mm</v>
          </cell>
          <cell r="G539" t="str">
            <v>UK-57</v>
          </cell>
          <cell r="H539">
            <v>548</v>
          </cell>
          <cell r="I539">
            <v>0.35</v>
          </cell>
          <cell r="J539" t="str">
            <v>H34</v>
          </cell>
          <cell r="K539" t="str">
            <v>NVT</v>
          </cell>
          <cell r="L539">
            <v>6</v>
          </cell>
          <cell r="M539" t="str">
            <v>H34x6</v>
          </cell>
          <cell r="N539">
            <v>108</v>
          </cell>
          <cell r="O539">
            <v>8720589579583</v>
          </cell>
          <cell r="P539" t="str">
            <v>L-T</v>
          </cell>
          <cell r="Q539">
            <v>2</v>
          </cell>
          <cell r="R539">
            <v>4</v>
          </cell>
          <cell r="S539" t="str">
            <v>Risotto met rijst, steeds als laatste Daesang plannen</v>
          </cell>
          <cell r="T539">
            <v>2500</v>
          </cell>
          <cell r="U539">
            <v>3</v>
          </cell>
          <cell r="V539">
            <v>2500</v>
          </cell>
          <cell r="W539">
            <v>3</v>
          </cell>
          <cell r="Z539">
            <v>5.8000000000000003E-2</v>
          </cell>
          <cell r="AA539" t="str">
            <v>! ! ! ! !</v>
          </cell>
          <cell r="AB539">
            <v>5000</v>
          </cell>
          <cell r="AG539">
            <v>50</v>
          </cell>
          <cell r="AJ539" t="str">
            <v>V-A</v>
          </cell>
          <cell r="AL539">
            <v>3000</v>
          </cell>
          <cell r="AM539">
            <v>2500</v>
          </cell>
          <cell r="AN539" t="e">
            <v>#VALUE!</v>
          </cell>
          <cell r="AO539" t="e">
            <v>#VALUE!</v>
          </cell>
          <cell r="AP539">
            <v>500</v>
          </cell>
        </row>
        <row r="540">
          <cell r="A540">
            <v>65420200</v>
          </cell>
          <cell r="B540">
            <v>40268000</v>
          </cell>
          <cell r="C540">
            <v>7621016</v>
          </cell>
          <cell r="D540" t="str">
            <v>DAESANG VEGAN RISOTTO KIMCHISAUS 350G</v>
          </cell>
          <cell r="E540" t="str">
            <v>DAESANG</v>
          </cell>
          <cell r="F540" t="str">
            <v>225mm</v>
          </cell>
          <cell r="G540" t="str">
            <v>UK-57</v>
          </cell>
          <cell r="H540">
            <v>548</v>
          </cell>
          <cell r="I540">
            <v>0.35</v>
          </cell>
          <cell r="J540" t="str">
            <v>H34</v>
          </cell>
          <cell r="K540" t="str">
            <v>NVT</v>
          </cell>
          <cell r="L540">
            <v>6</v>
          </cell>
          <cell r="M540" t="str">
            <v>H34x6</v>
          </cell>
          <cell r="N540">
            <v>108</v>
          </cell>
          <cell r="O540">
            <v>8720589579613</v>
          </cell>
          <cell r="P540" t="str">
            <v>L-T</v>
          </cell>
          <cell r="Q540">
            <v>2</v>
          </cell>
          <cell r="R540">
            <v>4</v>
          </cell>
          <cell r="T540">
            <v>2500</v>
          </cell>
          <cell r="U540">
            <v>3</v>
          </cell>
          <cell r="V540">
            <v>2500</v>
          </cell>
          <cell r="W540">
            <v>3</v>
          </cell>
          <cell r="Z540">
            <v>5.8000000000000003E-2</v>
          </cell>
          <cell r="AA540" t="str">
            <v>! ! ! ! !</v>
          </cell>
          <cell r="AB540">
            <v>5000</v>
          </cell>
          <cell r="AG540">
            <v>50</v>
          </cell>
          <cell r="AJ540" t="str">
            <v>-</v>
          </cell>
          <cell r="AL540">
            <v>3000</v>
          </cell>
          <cell r="AM540">
            <v>2500</v>
          </cell>
          <cell r="AN540" t="e">
            <v>#VALUE!</v>
          </cell>
          <cell r="AO540" t="e">
            <v>#VALUE!</v>
          </cell>
          <cell r="AP540">
            <v>500</v>
          </cell>
        </row>
        <row r="541">
          <cell r="A541">
            <v>65430000</v>
          </cell>
          <cell r="B541">
            <v>40290100</v>
          </cell>
          <cell r="C541">
            <v>9820538</v>
          </cell>
          <cell r="D541" t="str">
            <v>BOF DE BE KIP SATE RIJSTMIX BROCC PAPR WORTEL 450G</v>
          </cell>
          <cell r="E541" t="str">
            <v>Bofrost DE</v>
          </cell>
          <cell r="F541" t="str">
            <v>225mm</v>
          </cell>
          <cell r="G541" t="str">
            <v>UK-57</v>
          </cell>
          <cell r="H541">
            <v>365</v>
          </cell>
          <cell r="I541">
            <v>0.45</v>
          </cell>
          <cell r="J541" t="str">
            <v>H34</v>
          </cell>
          <cell r="K541" t="str">
            <v>NVT</v>
          </cell>
          <cell r="L541">
            <v>6</v>
          </cell>
          <cell r="M541" t="str">
            <v>H34x6</v>
          </cell>
          <cell r="N541">
            <v>108</v>
          </cell>
          <cell r="O541">
            <v>5400870543006</v>
          </cell>
          <cell r="P541" t="str">
            <v>I-T-L</v>
          </cell>
          <cell r="Q541">
            <v>3</v>
          </cell>
          <cell r="R541">
            <v>3</v>
          </cell>
          <cell r="T541">
            <v>2200</v>
          </cell>
          <cell r="U541">
            <v>6</v>
          </cell>
          <cell r="V541">
            <v>2200</v>
          </cell>
          <cell r="W541">
            <v>6</v>
          </cell>
          <cell r="Z541">
            <v>0.06</v>
          </cell>
          <cell r="AA541" t="str">
            <v>X</v>
          </cell>
          <cell r="AB541">
            <v>18300</v>
          </cell>
          <cell r="AG541">
            <v>45</v>
          </cell>
          <cell r="AJ541" t="str">
            <v>-</v>
          </cell>
          <cell r="AL541">
            <v>2700</v>
          </cell>
          <cell r="AM541">
            <v>2200</v>
          </cell>
          <cell r="AN541" t="e">
            <v>#VALUE!</v>
          </cell>
          <cell r="AO541" t="e">
            <v>#VALUE!</v>
          </cell>
          <cell r="AP541">
            <v>500</v>
          </cell>
        </row>
        <row r="542">
          <cell r="A542">
            <v>65430100</v>
          </cell>
          <cell r="B542">
            <v>40290300</v>
          </cell>
          <cell r="C542">
            <v>9920541</v>
          </cell>
          <cell r="D542" t="str">
            <v>BOF DE BE KIP KOREAANS BBQ ATJAR GROENTEMIX NOODL450G</v>
          </cell>
          <cell r="E542" t="str">
            <v>Bofrost DE</v>
          </cell>
          <cell r="F542" t="str">
            <v>225mm</v>
          </cell>
          <cell r="G542" t="str">
            <v>UK-57</v>
          </cell>
          <cell r="H542">
            <v>456</v>
          </cell>
          <cell r="I542">
            <v>0.45</v>
          </cell>
          <cell r="J542" t="str">
            <v>H34</v>
          </cell>
          <cell r="K542" t="str">
            <v>NVT</v>
          </cell>
          <cell r="L542">
            <v>6</v>
          </cell>
          <cell r="M542" t="str">
            <v>H34x6</v>
          </cell>
          <cell r="N542">
            <v>108</v>
          </cell>
          <cell r="O542">
            <v>5400870543013</v>
          </cell>
          <cell r="P542" t="str">
            <v>I-L-T</v>
          </cell>
          <cell r="Q542">
            <v>3</v>
          </cell>
          <cell r="R542">
            <v>2</v>
          </cell>
          <cell r="T542">
            <v>2200</v>
          </cell>
          <cell r="U542">
            <v>6</v>
          </cell>
          <cell r="V542">
            <v>2200</v>
          </cell>
          <cell r="W542">
            <v>6</v>
          </cell>
          <cell r="Z542">
            <v>0.06</v>
          </cell>
          <cell r="AA542" t="str">
            <v>! ! ! ! !</v>
          </cell>
          <cell r="AB542">
            <v>18300</v>
          </cell>
          <cell r="AG542">
            <v>45</v>
          </cell>
          <cell r="AJ542" t="str">
            <v>-</v>
          </cell>
          <cell r="AK542" t="str">
            <v>-</v>
          </cell>
          <cell r="AL542">
            <v>2700</v>
          </cell>
          <cell r="AM542">
            <v>2200</v>
          </cell>
          <cell r="AN542" t="e">
            <v>#VALUE!</v>
          </cell>
          <cell r="AO542" t="e">
            <v>#VALUE!</v>
          </cell>
          <cell r="AP542">
            <v>500</v>
          </cell>
        </row>
        <row r="543">
          <cell r="A543">
            <v>65430200</v>
          </cell>
          <cell r="B543">
            <v>40290400</v>
          </cell>
          <cell r="C543">
            <v>9920542</v>
          </cell>
          <cell r="D543" t="str">
            <v>BOF DE BE SCAMPI ASC LIMOEN KOKOS NOODLE 450G</v>
          </cell>
          <cell r="E543" t="str">
            <v>Bofrost DE</v>
          </cell>
          <cell r="F543" t="str">
            <v>225mm</v>
          </cell>
          <cell r="G543" t="str">
            <v>UK-57</v>
          </cell>
          <cell r="H543">
            <v>456</v>
          </cell>
          <cell r="I543">
            <v>0.45</v>
          </cell>
          <cell r="J543" t="str">
            <v>H34</v>
          </cell>
          <cell r="K543" t="str">
            <v>NVT</v>
          </cell>
          <cell r="L543">
            <v>6</v>
          </cell>
          <cell r="M543" t="str">
            <v>H34x6</v>
          </cell>
          <cell r="N543">
            <v>108</v>
          </cell>
          <cell r="O543">
            <v>5400870543020</v>
          </cell>
          <cell r="P543" t="str">
            <v>I-L-2T</v>
          </cell>
          <cell r="Q543">
            <v>3</v>
          </cell>
          <cell r="R543">
            <v>2</v>
          </cell>
          <cell r="T543">
            <v>2500</v>
          </cell>
          <cell r="U543">
            <v>7</v>
          </cell>
          <cell r="V543">
            <v>2500</v>
          </cell>
          <cell r="W543">
            <v>7</v>
          </cell>
          <cell r="Z543">
            <v>0.06</v>
          </cell>
          <cell r="AA543" t="str">
            <v>! ! ! !</v>
          </cell>
          <cell r="AB543">
            <v>18300</v>
          </cell>
          <cell r="AG543">
            <v>50</v>
          </cell>
          <cell r="AJ543" t="str">
            <v>-</v>
          </cell>
          <cell r="AK543" t="str">
            <v>-</v>
          </cell>
          <cell r="AL543">
            <v>3000</v>
          </cell>
          <cell r="AM543">
            <v>2500</v>
          </cell>
          <cell r="AN543" t="e">
            <v>#VALUE!</v>
          </cell>
          <cell r="AO543" t="e">
            <v>#VALUE!</v>
          </cell>
          <cell r="AP543">
            <v>500</v>
          </cell>
        </row>
        <row r="544">
          <cell r="A544">
            <v>65701500</v>
          </cell>
          <cell r="B544">
            <v>40226600</v>
          </cell>
          <cell r="C544">
            <v>5312</v>
          </cell>
          <cell r="D544" t="str">
            <v xml:space="preserve">ALDI BE KABELJAUW MSC NOORSE SAUS 2X225G (VR MIXED KARTON) </v>
          </cell>
          <cell r="E544" t="str">
            <v>Aldi BE</v>
          </cell>
          <cell r="F544" t="str">
            <v>40371000 zacht 100µ</v>
          </cell>
          <cell r="G544" t="str">
            <v>40370400 zacht</v>
          </cell>
          <cell r="H544">
            <v>548</v>
          </cell>
          <cell r="I544">
            <v>0.45</v>
          </cell>
          <cell r="J544" t="str">
            <v>H8</v>
          </cell>
          <cell r="K544" t="str">
            <v>NVT</v>
          </cell>
          <cell r="L544">
            <v>24</v>
          </cell>
          <cell r="M544" t="str">
            <v>H8X24</v>
          </cell>
          <cell r="N544">
            <v>42</v>
          </cell>
          <cell r="O544">
            <v>4068261114061</v>
          </cell>
          <cell r="P544" t="str">
            <v>CFS</v>
          </cell>
          <cell r="Q544">
            <v>1</v>
          </cell>
          <cell r="R544">
            <v>3</v>
          </cell>
          <cell r="S544" t="str">
            <v>KABELJAUW verzagen (110g), ZALMSNIPPERS D-1 ontdooien</v>
          </cell>
          <cell r="T544">
            <v>2300</v>
          </cell>
          <cell r="U544">
            <v>5</v>
          </cell>
          <cell r="V544">
            <v>2300</v>
          </cell>
          <cell r="W544">
            <v>5</v>
          </cell>
          <cell r="X544">
            <v>0</v>
          </cell>
          <cell r="Y544">
            <v>0</v>
          </cell>
          <cell r="Z544">
            <v>0.121</v>
          </cell>
          <cell r="AA544" t="str">
            <v>! ! ! !</v>
          </cell>
          <cell r="AB544">
            <v>17600</v>
          </cell>
          <cell r="AC544">
            <v>0</v>
          </cell>
          <cell r="AG544">
            <v>42</v>
          </cell>
          <cell r="AJ544" t="str">
            <v>-</v>
          </cell>
          <cell r="AL544">
            <v>2520</v>
          </cell>
          <cell r="AM544">
            <v>2300</v>
          </cell>
          <cell r="AN544" t="e">
            <v>#VALUE!</v>
          </cell>
          <cell r="AO544" t="e">
            <v>#VALUE!</v>
          </cell>
          <cell r="AP544">
            <v>220</v>
          </cell>
        </row>
        <row r="545">
          <cell r="A545">
            <v>65701600</v>
          </cell>
          <cell r="B545">
            <v>40226800</v>
          </cell>
          <cell r="C545">
            <v>5312</v>
          </cell>
          <cell r="D545" t="str">
            <v xml:space="preserve">ALDI BE KABELJAUW MSC WATERKERS 2X225G (VR MIXED KARTON) </v>
          </cell>
          <cell r="E545" t="str">
            <v>Aldi BE</v>
          </cell>
          <cell r="F545" t="str">
            <v>40371000 zacht 100µ</v>
          </cell>
          <cell r="G545" t="str">
            <v>40370400 zacht</v>
          </cell>
          <cell r="H545">
            <v>548</v>
          </cell>
          <cell r="I545">
            <v>0.45</v>
          </cell>
          <cell r="J545" t="str">
            <v>H8</v>
          </cell>
          <cell r="K545" t="str">
            <v>NVT</v>
          </cell>
          <cell r="L545">
            <v>24</v>
          </cell>
          <cell r="M545" t="str">
            <v>H8X24</v>
          </cell>
          <cell r="N545">
            <v>42</v>
          </cell>
          <cell r="O545">
            <v>4068261114061</v>
          </cell>
          <cell r="P545" t="str">
            <v>CFS</v>
          </cell>
          <cell r="Q545">
            <v>1</v>
          </cell>
          <cell r="R545">
            <v>3</v>
          </cell>
          <cell r="S545" t="str">
            <v>KABELJAUW verzagen (110g)</v>
          </cell>
          <cell r="T545">
            <v>2300</v>
          </cell>
          <cell r="U545">
            <v>5</v>
          </cell>
          <cell r="V545">
            <v>2300</v>
          </cell>
          <cell r="W545">
            <v>5</v>
          </cell>
          <cell r="X545">
            <v>0</v>
          </cell>
          <cell r="Y545">
            <v>0</v>
          </cell>
          <cell r="Z545">
            <v>0.121</v>
          </cell>
          <cell r="AA545" t="str">
            <v>! ! ! !</v>
          </cell>
          <cell r="AB545">
            <v>17600</v>
          </cell>
          <cell r="AC545">
            <v>0</v>
          </cell>
          <cell r="AG545">
            <v>42</v>
          </cell>
          <cell r="AJ545" t="str">
            <v>-</v>
          </cell>
          <cell r="AL545">
            <v>2520</v>
          </cell>
          <cell r="AM545">
            <v>2300</v>
          </cell>
          <cell r="AN545" t="e">
            <v>#VALUE!</v>
          </cell>
          <cell r="AO545" t="e">
            <v>#VALUE!</v>
          </cell>
          <cell r="AP545">
            <v>220</v>
          </cell>
        </row>
        <row r="546">
          <cell r="A546">
            <v>65704800</v>
          </cell>
          <cell r="B546">
            <v>40263700</v>
          </cell>
          <cell r="C546">
            <v>5006063</v>
          </cell>
          <cell r="D546" t="str">
            <v>ALDI FR ZALM MSC PREISAUS 2X200G (VR MIXED KARTON)</v>
          </cell>
          <cell r="E546" t="str">
            <v>Aldi FR</v>
          </cell>
          <cell r="F546" t="str">
            <v>40371000 zacht 100µ</v>
          </cell>
          <cell r="G546" t="str">
            <v>40370400 zacht</v>
          </cell>
          <cell r="H546">
            <v>548</v>
          </cell>
          <cell r="I546">
            <v>0.4</v>
          </cell>
          <cell r="J546" t="str">
            <v>H8</v>
          </cell>
          <cell r="K546" t="str">
            <v>NVT</v>
          </cell>
          <cell r="L546">
            <v>24</v>
          </cell>
          <cell r="M546" t="str">
            <v>H8X24</v>
          </cell>
          <cell r="N546">
            <v>42</v>
          </cell>
          <cell r="O546">
            <v>5400870570484</v>
          </cell>
          <cell r="P546" t="str">
            <v>CFS</v>
          </cell>
          <cell r="Q546">
            <v>1</v>
          </cell>
          <cell r="R546">
            <v>3</v>
          </cell>
          <cell r="S546" t="str">
            <v>ZALM verzagen (100g)</v>
          </cell>
          <cell r="T546">
            <v>2300</v>
          </cell>
          <cell r="U546">
            <v>5</v>
          </cell>
          <cell r="V546">
            <v>2300</v>
          </cell>
          <cell r="W546">
            <v>5</v>
          </cell>
          <cell r="X546">
            <v>0</v>
          </cell>
          <cell r="Y546">
            <v>0</v>
          </cell>
          <cell r="Z546">
            <v>0.28700000000000003</v>
          </cell>
          <cell r="AA546" t="str">
            <v>! ! ! !</v>
          </cell>
          <cell r="AB546">
            <v>14112</v>
          </cell>
          <cell r="AC546">
            <v>0</v>
          </cell>
          <cell r="AJ546" t="str">
            <v>V-A</v>
          </cell>
          <cell r="AL546">
            <v>0</v>
          </cell>
          <cell r="AM546">
            <v>2300</v>
          </cell>
          <cell r="AN546" t="e">
            <v>#VALUE!</v>
          </cell>
          <cell r="AO546" t="e">
            <v>#VALUE!</v>
          </cell>
          <cell r="AP546">
            <v>-2300</v>
          </cell>
        </row>
        <row r="547">
          <cell r="A547">
            <v>65704900</v>
          </cell>
          <cell r="B547">
            <v>40263800</v>
          </cell>
          <cell r="C547">
            <v>5006063</v>
          </cell>
          <cell r="D547" t="str">
            <v>ALDI FR ZALM MSC ZURINGSAUS 2X200G (VR MIXED KARTON)</v>
          </cell>
          <cell r="E547" t="str">
            <v>Aldi FR</v>
          </cell>
          <cell r="F547" t="str">
            <v>40371000 zacht 100µ</v>
          </cell>
          <cell r="G547" t="str">
            <v>40370400 zacht</v>
          </cell>
          <cell r="H547">
            <v>548</v>
          </cell>
          <cell r="I547">
            <v>0.4</v>
          </cell>
          <cell r="J547" t="str">
            <v>H8</v>
          </cell>
          <cell r="K547" t="str">
            <v>NVT</v>
          </cell>
          <cell r="L547">
            <v>24</v>
          </cell>
          <cell r="M547" t="str">
            <v>H8X24</v>
          </cell>
          <cell r="N547">
            <v>42</v>
          </cell>
          <cell r="O547">
            <v>5400870570491</v>
          </cell>
          <cell r="P547" t="str">
            <v>CFS</v>
          </cell>
          <cell r="Q547">
            <v>1</v>
          </cell>
          <cell r="R547">
            <v>3</v>
          </cell>
          <cell r="S547" t="str">
            <v>ZALM verzagen (100g)</v>
          </cell>
          <cell r="T547">
            <v>2300</v>
          </cell>
          <cell r="U547">
            <v>5</v>
          </cell>
          <cell r="V547">
            <v>2300</v>
          </cell>
          <cell r="W547">
            <v>5</v>
          </cell>
          <cell r="X547">
            <v>0</v>
          </cell>
          <cell r="Y547">
            <v>0</v>
          </cell>
          <cell r="Z547">
            <v>0.28700000000000003</v>
          </cell>
          <cell r="AA547" t="str">
            <v>! ! ! !</v>
          </cell>
          <cell r="AB547">
            <v>17640</v>
          </cell>
          <cell r="AC547">
            <v>0</v>
          </cell>
          <cell r="AJ547" t="str">
            <v>V-A</v>
          </cell>
          <cell r="AL547">
            <v>0</v>
          </cell>
          <cell r="AM547">
            <v>2300</v>
          </cell>
          <cell r="AN547" t="e">
            <v>#VALUE!</v>
          </cell>
          <cell r="AO547" t="e">
            <v>#VALUE!</v>
          </cell>
          <cell r="AP547">
            <v>-2300</v>
          </cell>
        </row>
        <row r="548">
          <cell r="A548">
            <v>65705000</v>
          </cell>
          <cell r="B548">
            <v>40263900</v>
          </cell>
          <cell r="C548">
            <v>5006063</v>
          </cell>
          <cell r="D548" t="str">
            <v>ALDI FR ZALM MSC BOTERSAUS 2X200G (VR MIXED KARTON)</v>
          </cell>
          <cell r="E548" t="str">
            <v>Aldi FR</v>
          </cell>
          <cell r="F548" t="str">
            <v>40371000 zacht 100µ</v>
          </cell>
          <cell r="G548" t="str">
            <v>40370400 zacht</v>
          </cell>
          <cell r="H548">
            <v>548</v>
          </cell>
          <cell r="I548">
            <v>0.4</v>
          </cell>
          <cell r="J548" t="str">
            <v>H8</v>
          </cell>
          <cell r="K548" t="str">
            <v>NVT</v>
          </cell>
          <cell r="L548">
            <v>24</v>
          </cell>
          <cell r="M548" t="str">
            <v>H8X24</v>
          </cell>
          <cell r="N548">
            <v>42</v>
          </cell>
          <cell r="O548">
            <v>5400870570507</v>
          </cell>
          <cell r="P548" t="str">
            <v>CFS</v>
          </cell>
          <cell r="Q548">
            <v>1</v>
          </cell>
          <cell r="R548">
            <v>3</v>
          </cell>
          <cell r="S548" t="str">
            <v>ZALM verzagen (100g)</v>
          </cell>
          <cell r="T548">
            <v>2300</v>
          </cell>
          <cell r="U548">
            <v>5</v>
          </cell>
          <cell r="V548">
            <v>2300</v>
          </cell>
          <cell r="W548">
            <v>5</v>
          </cell>
          <cell r="X548">
            <v>0</v>
          </cell>
          <cell r="Y548">
            <v>0</v>
          </cell>
          <cell r="Z548">
            <v>0.28700000000000003</v>
          </cell>
          <cell r="AA548" t="str">
            <v>! ! ! !</v>
          </cell>
          <cell r="AB548">
            <v>10584</v>
          </cell>
          <cell r="AC548">
            <v>0</v>
          </cell>
          <cell r="AJ548" t="str">
            <v>V-A</v>
          </cell>
          <cell r="AL548">
            <v>0</v>
          </cell>
          <cell r="AM548">
            <v>2300</v>
          </cell>
          <cell r="AN548" t="e">
            <v>#VALUE!</v>
          </cell>
          <cell r="AO548" t="e">
            <v>#VALUE!</v>
          </cell>
          <cell r="AP548">
            <v>-2300</v>
          </cell>
        </row>
        <row r="549">
          <cell r="A549">
            <v>65705100</v>
          </cell>
          <cell r="B549">
            <v>40282600</v>
          </cell>
          <cell r="C549">
            <v>5312</v>
          </cell>
          <cell r="D549" t="str">
            <v>ALDI BE KABELJ MSC HOLLANDAISE 2X225G(MIXED KARTON)</v>
          </cell>
          <cell r="E549" t="str">
            <v>Aldi BE</v>
          </cell>
          <cell r="F549" t="str">
            <v>40371000 zacht 100µ</v>
          </cell>
          <cell r="G549" t="str">
            <v>40370400 zacht</v>
          </cell>
          <cell r="H549">
            <v>548</v>
          </cell>
          <cell r="I549">
            <v>0.45</v>
          </cell>
          <cell r="J549" t="str">
            <v>H8</v>
          </cell>
          <cell r="K549" t="str">
            <v>NVT</v>
          </cell>
          <cell r="L549">
            <v>24</v>
          </cell>
          <cell r="M549" t="str">
            <v>H8X24</v>
          </cell>
          <cell r="N549">
            <v>42</v>
          </cell>
          <cell r="O549">
            <v>4068261114061</v>
          </cell>
          <cell r="P549" t="str">
            <v>CFS</v>
          </cell>
          <cell r="Q549">
            <v>1</v>
          </cell>
          <cell r="R549">
            <v>3</v>
          </cell>
          <cell r="S549" t="str">
            <v>KABELJAUW verzagen (110g)</v>
          </cell>
          <cell r="T549">
            <v>2300</v>
          </cell>
          <cell r="U549">
            <v>5</v>
          </cell>
          <cell r="V549">
            <v>2300</v>
          </cell>
          <cell r="W549">
            <v>5</v>
          </cell>
          <cell r="X549">
            <v>0</v>
          </cell>
          <cell r="Y549">
            <v>0</v>
          </cell>
          <cell r="Z549">
            <v>0.121</v>
          </cell>
          <cell r="AA549" t="str">
            <v>! ! ! !</v>
          </cell>
          <cell r="AB549">
            <v>17600</v>
          </cell>
          <cell r="AJ549" t="str">
            <v>-</v>
          </cell>
          <cell r="AL549">
            <v>0</v>
          </cell>
          <cell r="AM549">
            <v>2300</v>
          </cell>
          <cell r="AN549" t="e">
            <v>#VALUE!</v>
          </cell>
          <cell r="AO549" t="e">
            <v>#VALUE!</v>
          </cell>
          <cell r="AP549">
            <v>-2300</v>
          </cell>
        </row>
        <row r="550">
          <cell r="A550">
            <v>65705500</v>
          </cell>
          <cell r="B550">
            <v>40296200</v>
          </cell>
          <cell r="C550">
            <v>5006063</v>
          </cell>
          <cell r="D550" t="str">
            <v>ALDI FR ZALM ASC PREISAUS 2X200G (5X)</v>
          </cell>
          <cell r="E550" t="str">
            <v>Aldi FR</v>
          </cell>
          <cell r="F550" t="str">
            <v>40371000 zacht 100µ</v>
          </cell>
          <cell r="G550" t="str">
            <v>40370400 zacht</v>
          </cell>
          <cell r="H550">
            <v>548</v>
          </cell>
          <cell r="I550">
            <v>0.4</v>
          </cell>
          <cell r="J550" t="str">
            <v>H8</v>
          </cell>
          <cell r="K550" t="str">
            <v>NVT</v>
          </cell>
          <cell r="L550">
            <v>16</v>
          </cell>
          <cell r="M550" t="str">
            <v>H8X16</v>
          </cell>
          <cell r="N550">
            <v>60</v>
          </cell>
          <cell r="P550" t="str">
            <v>CFS</v>
          </cell>
          <cell r="Q550">
            <v>1</v>
          </cell>
          <cell r="R550">
            <v>3</v>
          </cell>
          <cell r="S550" t="str">
            <v>ZALM verzagen (100g)</v>
          </cell>
          <cell r="T550">
            <v>2300</v>
          </cell>
          <cell r="U550">
            <v>5</v>
          </cell>
          <cell r="V550">
            <v>2300</v>
          </cell>
          <cell r="W550">
            <v>5</v>
          </cell>
          <cell r="X550">
            <v>0</v>
          </cell>
          <cell r="Y550">
            <v>0</v>
          </cell>
          <cell r="Z550">
            <v>0.28700000000000003</v>
          </cell>
          <cell r="AA550" t="str">
            <v>! ! ! !</v>
          </cell>
          <cell r="AC550">
            <v>0</v>
          </cell>
          <cell r="AJ550" t="str">
            <v>V-A</v>
          </cell>
          <cell r="AL550">
            <v>0</v>
          </cell>
          <cell r="AM550">
            <v>2300</v>
          </cell>
          <cell r="AN550" t="e">
            <v>#VALUE!</v>
          </cell>
          <cell r="AO550" t="e">
            <v>#VALUE!</v>
          </cell>
          <cell r="AP550">
            <v>-2300</v>
          </cell>
        </row>
        <row r="551">
          <cell r="A551">
            <v>65705600</v>
          </cell>
          <cell r="B551">
            <v>40296300</v>
          </cell>
          <cell r="C551">
            <v>5006063</v>
          </cell>
          <cell r="D551" t="str">
            <v>ALDI FR ZALM ASC ZURING 2X200G  (7X)</v>
          </cell>
          <cell r="E551" t="str">
            <v>Aldi FR</v>
          </cell>
          <cell r="F551" t="str">
            <v>40371000 zacht 100µ</v>
          </cell>
          <cell r="G551" t="str">
            <v>40370400 zacht</v>
          </cell>
          <cell r="H551">
            <v>548</v>
          </cell>
          <cell r="I551">
            <v>0.4</v>
          </cell>
          <cell r="J551" t="str">
            <v>H8</v>
          </cell>
          <cell r="K551" t="str">
            <v>NVT</v>
          </cell>
          <cell r="L551">
            <v>16</v>
          </cell>
          <cell r="M551" t="str">
            <v>H8X16</v>
          </cell>
          <cell r="N551">
            <v>60</v>
          </cell>
          <cell r="P551" t="str">
            <v>CFS</v>
          </cell>
          <cell r="Q551">
            <v>1</v>
          </cell>
          <cell r="R551">
            <v>3</v>
          </cell>
          <cell r="S551" t="str">
            <v>ZALM verzagen (100g)</v>
          </cell>
          <cell r="T551">
            <v>2300</v>
          </cell>
          <cell r="U551">
            <v>5</v>
          </cell>
          <cell r="V551">
            <v>2300</v>
          </cell>
          <cell r="W551">
            <v>5</v>
          </cell>
          <cell r="X551">
            <v>0</v>
          </cell>
          <cell r="Y551">
            <v>0</v>
          </cell>
          <cell r="Z551">
            <v>0.28700000000000003</v>
          </cell>
          <cell r="AA551" t="str">
            <v>! ! ! !</v>
          </cell>
          <cell r="AC551">
            <v>0</v>
          </cell>
          <cell r="AJ551" t="str">
            <v>V-A</v>
          </cell>
          <cell r="AL551">
            <v>0</v>
          </cell>
          <cell r="AM551">
            <v>2300</v>
          </cell>
          <cell r="AN551" t="e">
            <v>#VALUE!</v>
          </cell>
          <cell r="AO551" t="e">
            <v>#VALUE!</v>
          </cell>
          <cell r="AP551">
            <v>-2300</v>
          </cell>
        </row>
        <row r="552">
          <cell r="A552">
            <v>65705700</v>
          </cell>
          <cell r="B552">
            <v>40296400</v>
          </cell>
          <cell r="C552">
            <v>5006063</v>
          </cell>
          <cell r="D552" t="str">
            <v>ALDI FR ZALM ASC BOTER 2X200G (4X)</v>
          </cell>
          <cell r="E552" t="str">
            <v>Aldi FR</v>
          </cell>
          <cell r="F552" t="str">
            <v>40371000 zacht 100µ</v>
          </cell>
          <cell r="G552" t="str">
            <v>40370400 zacht</v>
          </cell>
          <cell r="H552">
            <v>548</v>
          </cell>
          <cell r="I552">
            <v>0.4</v>
          </cell>
          <cell r="J552" t="str">
            <v>H8</v>
          </cell>
          <cell r="K552" t="str">
            <v>NVT</v>
          </cell>
          <cell r="L552">
            <v>16</v>
          </cell>
          <cell r="M552" t="str">
            <v>H8X16</v>
          </cell>
          <cell r="N552">
            <v>60</v>
          </cell>
          <cell r="P552" t="str">
            <v>CFS</v>
          </cell>
          <cell r="Q552">
            <v>1</v>
          </cell>
          <cell r="R552">
            <v>3</v>
          </cell>
          <cell r="S552" t="str">
            <v>ZALM verzagen (100g)</v>
          </cell>
          <cell r="T552">
            <v>2300</v>
          </cell>
          <cell r="U552">
            <v>5</v>
          </cell>
          <cell r="V552">
            <v>2300</v>
          </cell>
          <cell r="W552">
            <v>5</v>
          </cell>
          <cell r="X552">
            <v>0</v>
          </cell>
          <cell r="Y552">
            <v>0</v>
          </cell>
          <cell r="Z552">
            <v>0.28700000000000003</v>
          </cell>
          <cell r="AA552" t="str">
            <v>! ! ! !</v>
          </cell>
          <cell r="AC552">
            <v>0</v>
          </cell>
          <cell r="AJ552" t="str">
            <v>V-A</v>
          </cell>
          <cell r="AL552">
            <v>0</v>
          </cell>
          <cell r="AM552">
            <v>2300</v>
          </cell>
          <cell r="AN552" t="e">
            <v>#VALUE!</v>
          </cell>
          <cell r="AO552" t="e">
            <v>#VALUE!</v>
          </cell>
          <cell r="AP552">
            <v>-2300</v>
          </cell>
        </row>
        <row r="553">
          <cell r="A553">
            <v>65706000</v>
          </cell>
          <cell r="B553">
            <v>40290800</v>
          </cell>
          <cell r="C553">
            <v>3197</v>
          </cell>
          <cell r="D553" t="str">
            <v>ALDI BE ZALM MSC BEARNAISE 2X225G (MIXED)</v>
          </cell>
          <cell r="E553" t="str">
            <v>Aldi BE</v>
          </cell>
          <cell r="F553" t="str">
            <v>40371000 zacht 100µ</v>
          </cell>
          <cell r="G553" t="str">
            <v>40370400 zacht</v>
          </cell>
          <cell r="H553">
            <v>548</v>
          </cell>
          <cell r="I553">
            <v>0.45</v>
          </cell>
          <cell r="J553" t="str">
            <v>H8</v>
          </cell>
          <cell r="K553" t="str">
            <v>NVT</v>
          </cell>
          <cell r="L553">
            <v>24</v>
          </cell>
          <cell r="M553" t="str">
            <v>H8X24</v>
          </cell>
          <cell r="N553">
            <v>42</v>
          </cell>
          <cell r="O553">
            <v>4068261122578</v>
          </cell>
          <cell r="P553" t="str">
            <v>CFS</v>
          </cell>
          <cell r="Q553">
            <v>1</v>
          </cell>
          <cell r="R553">
            <v>3</v>
          </cell>
          <cell r="T553">
            <v>2300</v>
          </cell>
          <cell r="U553">
            <v>5</v>
          </cell>
          <cell r="V553">
            <v>2300</v>
          </cell>
          <cell r="W553">
            <v>5</v>
          </cell>
          <cell r="Z553">
            <v>0.114</v>
          </cell>
          <cell r="AA553" t="str">
            <v>! ! ! !</v>
          </cell>
          <cell r="AJ553" t="str">
            <v>V-A</v>
          </cell>
          <cell r="AL553">
            <v>0</v>
          </cell>
          <cell r="AM553">
            <v>2300</v>
          </cell>
          <cell r="AN553" t="e">
            <v>#VALUE!</v>
          </cell>
          <cell r="AO553" t="e">
            <v>#VALUE!</v>
          </cell>
          <cell r="AP553">
            <v>-2300</v>
          </cell>
        </row>
        <row r="554">
          <cell r="A554">
            <v>65706100</v>
          </cell>
          <cell r="B554">
            <v>40290900</v>
          </cell>
          <cell r="C554">
            <v>3197</v>
          </cell>
          <cell r="D554" t="str">
            <v>ALDI BE ZALM MSC PROVENCAALS 2X225G (MIXED)</v>
          </cell>
          <cell r="E554" t="str">
            <v>Aldi BE</v>
          </cell>
          <cell r="F554" t="str">
            <v>40371000 zacht 100µ</v>
          </cell>
          <cell r="G554" t="str">
            <v>40370400 zacht</v>
          </cell>
          <cell r="H554">
            <v>548</v>
          </cell>
          <cell r="I554">
            <v>0.45</v>
          </cell>
          <cell r="J554" t="str">
            <v>H8</v>
          </cell>
          <cell r="K554" t="str">
            <v>NVT</v>
          </cell>
          <cell r="L554">
            <v>24</v>
          </cell>
          <cell r="M554" t="str">
            <v>H8X24</v>
          </cell>
          <cell r="N554">
            <v>42</v>
          </cell>
          <cell r="O554">
            <v>4068261122578</v>
          </cell>
          <cell r="P554" t="str">
            <v>CFS</v>
          </cell>
          <cell r="Q554">
            <v>1</v>
          </cell>
          <cell r="R554">
            <v>3</v>
          </cell>
          <cell r="T554">
            <v>2300</v>
          </cell>
          <cell r="U554">
            <v>5</v>
          </cell>
          <cell r="V554">
            <v>2300</v>
          </cell>
          <cell r="W554">
            <v>5</v>
          </cell>
          <cell r="Z554">
            <v>0.114</v>
          </cell>
          <cell r="AA554" t="str">
            <v>! ! ! !</v>
          </cell>
          <cell r="AJ554" t="str">
            <v>-</v>
          </cell>
          <cell r="AL554">
            <v>0</v>
          </cell>
          <cell r="AM554">
            <v>2300</v>
          </cell>
          <cell r="AN554" t="e">
            <v>#VALUE!</v>
          </cell>
          <cell r="AO554" t="e">
            <v>#VALUE!</v>
          </cell>
          <cell r="AP554">
            <v>-2300</v>
          </cell>
        </row>
        <row r="555">
          <cell r="A555">
            <v>65706200</v>
          </cell>
          <cell r="B555">
            <v>40291000</v>
          </cell>
          <cell r="C555">
            <v>3197</v>
          </cell>
          <cell r="D555" t="str">
            <v>ALDI BE ZALM MSC VERMOUTHSAUS 2X225G (MIXED)</v>
          </cell>
          <cell r="E555" t="str">
            <v>Aldi BE</v>
          </cell>
          <cell r="F555" t="str">
            <v>40371000 zacht 100µ</v>
          </cell>
          <cell r="G555" t="str">
            <v>40370400 zacht</v>
          </cell>
          <cell r="H555">
            <v>548</v>
          </cell>
          <cell r="I555">
            <v>0.45</v>
          </cell>
          <cell r="J555" t="str">
            <v>H8</v>
          </cell>
          <cell r="K555" t="str">
            <v>NVT</v>
          </cell>
          <cell r="L555">
            <v>24</v>
          </cell>
          <cell r="M555" t="str">
            <v>H8X24</v>
          </cell>
          <cell r="N555">
            <v>42</v>
          </cell>
          <cell r="O555">
            <v>4068261122578</v>
          </cell>
          <cell r="P555" t="str">
            <v>CFS</v>
          </cell>
          <cell r="Q555">
            <v>1</v>
          </cell>
          <cell r="R555">
            <v>3</v>
          </cell>
          <cell r="T555">
            <v>2300</v>
          </cell>
          <cell r="U555">
            <v>5</v>
          </cell>
          <cell r="V555">
            <v>2300</v>
          </cell>
          <cell r="W555">
            <v>5</v>
          </cell>
          <cell r="Z555">
            <v>0.114</v>
          </cell>
          <cell r="AA555" t="str">
            <v>! ! ! !</v>
          </cell>
          <cell r="AJ555" t="str">
            <v>V-A</v>
          </cell>
          <cell r="AL555">
            <v>0</v>
          </cell>
          <cell r="AM555">
            <v>2300</v>
          </cell>
          <cell r="AN555" t="e">
            <v>#VALUE!</v>
          </cell>
          <cell r="AO555" t="e">
            <v>#VALUE!</v>
          </cell>
          <cell r="AP555">
            <v>-2300</v>
          </cell>
        </row>
        <row r="556">
          <cell r="A556">
            <v>65706300</v>
          </cell>
          <cell r="B556">
            <v>40295900</v>
          </cell>
          <cell r="C556">
            <v>3197</v>
          </cell>
          <cell r="D556" t="str">
            <v>ALDI BE ZALM ASC BEARNAISE 2X225G (7X)</v>
          </cell>
          <cell r="E556" t="str">
            <v>Aldi BE</v>
          </cell>
          <cell r="F556" t="str">
            <v>40371000 zacht 100µ</v>
          </cell>
          <cell r="G556" t="str">
            <v>40370400 zacht</v>
          </cell>
          <cell r="H556">
            <v>548</v>
          </cell>
          <cell r="I556">
            <v>0.45</v>
          </cell>
          <cell r="J556" t="str">
            <v>H8</v>
          </cell>
          <cell r="K556" t="str">
            <v>NVT</v>
          </cell>
          <cell r="L556">
            <v>16</v>
          </cell>
          <cell r="M556" t="str">
            <v>H8X16</v>
          </cell>
          <cell r="N556">
            <v>60</v>
          </cell>
          <cell r="P556" t="str">
            <v>CFS</v>
          </cell>
          <cell r="Q556">
            <v>1</v>
          </cell>
          <cell r="R556">
            <v>3</v>
          </cell>
          <cell r="T556">
            <v>2300</v>
          </cell>
          <cell r="U556">
            <v>5</v>
          </cell>
          <cell r="V556">
            <v>2300</v>
          </cell>
          <cell r="W556">
            <v>5</v>
          </cell>
          <cell r="Z556">
            <v>0.15479999999999999</v>
          </cell>
          <cell r="AA556" t="str">
            <v>! ! ! !</v>
          </cell>
          <cell r="AJ556" t="str">
            <v>V-A</v>
          </cell>
          <cell r="AL556">
            <v>0</v>
          </cell>
          <cell r="AM556">
            <v>2300</v>
          </cell>
          <cell r="AN556" t="e">
            <v>#VALUE!</v>
          </cell>
          <cell r="AO556" t="e">
            <v>#VALUE!</v>
          </cell>
          <cell r="AP556">
            <v>-2300</v>
          </cell>
        </row>
        <row r="557">
          <cell r="A557">
            <v>65706400</v>
          </cell>
          <cell r="B557">
            <v>40296000</v>
          </cell>
          <cell r="C557">
            <v>3197</v>
          </cell>
          <cell r="D557" t="str">
            <v>ALDI BE ZALM ASC PROVENCAALS 2X225G (5X)</v>
          </cell>
          <cell r="E557" t="str">
            <v>Aldi BE</v>
          </cell>
          <cell r="F557" t="str">
            <v>40371000 zacht 100µ</v>
          </cell>
          <cell r="G557" t="str">
            <v>40370400 zacht</v>
          </cell>
          <cell r="H557">
            <v>548</v>
          </cell>
          <cell r="I557">
            <v>0.45</v>
          </cell>
          <cell r="J557" t="str">
            <v>H8</v>
          </cell>
          <cell r="K557" t="str">
            <v>NVT</v>
          </cell>
          <cell r="L557">
            <v>16</v>
          </cell>
          <cell r="M557" t="str">
            <v>H8X16</v>
          </cell>
          <cell r="N557">
            <v>60</v>
          </cell>
          <cell r="P557" t="str">
            <v>CFS</v>
          </cell>
          <cell r="Q557">
            <v>1</v>
          </cell>
          <cell r="R557">
            <v>3</v>
          </cell>
          <cell r="T557">
            <v>2300</v>
          </cell>
          <cell r="U557">
            <v>5</v>
          </cell>
          <cell r="V557">
            <v>2300</v>
          </cell>
          <cell r="W557">
            <v>5</v>
          </cell>
          <cell r="Z557">
            <v>0.15479999999999999</v>
          </cell>
          <cell r="AA557" t="str">
            <v>! ! ! !</v>
          </cell>
          <cell r="AJ557" t="str">
            <v>-</v>
          </cell>
          <cell r="AL557">
            <v>0</v>
          </cell>
          <cell r="AM557">
            <v>2300</v>
          </cell>
          <cell r="AN557" t="e">
            <v>#VALUE!</v>
          </cell>
          <cell r="AO557" t="e">
            <v>#VALUE!</v>
          </cell>
          <cell r="AP557">
            <v>-2300</v>
          </cell>
        </row>
        <row r="558">
          <cell r="A558">
            <v>65706500</v>
          </cell>
          <cell r="B558">
            <v>40296100</v>
          </cell>
          <cell r="C558">
            <v>3197</v>
          </cell>
          <cell r="D558" t="str">
            <v>ALDI BE ZALM ASC VERMOUTHSAUS 2X225G (4X)</v>
          </cell>
          <cell r="E558" t="str">
            <v>Aldi BE</v>
          </cell>
          <cell r="F558" t="str">
            <v>40371000 zacht 100µ</v>
          </cell>
          <cell r="G558" t="str">
            <v>40370400 zacht</v>
          </cell>
          <cell r="H558">
            <v>548</v>
          </cell>
          <cell r="I558">
            <v>0.45</v>
          </cell>
          <cell r="J558" t="str">
            <v>H8</v>
          </cell>
          <cell r="K558" t="str">
            <v>NVT</v>
          </cell>
          <cell r="L558">
            <v>16</v>
          </cell>
          <cell r="M558" t="str">
            <v>H8X16</v>
          </cell>
          <cell r="N558">
            <v>60</v>
          </cell>
          <cell r="P558" t="str">
            <v>CFS</v>
          </cell>
          <cell r="Q558">
            <v>1</v>
          </cell>
          <cell r="R558">
            <v>3</v>
          </cell>
          <cell r="T558">
            <v>2300</v>
          </cell>
          <cell r="U558">
            <v>5</v>
          </cell>
          <cell r="V558">
            <v>2300</v>
          </cell>
          <cell r="W558">
            <v>5</v>
          </cell>
          <cell r="Z558">
            <v>0.15479999999999999</v>
          </cell>
          <cell r="AA558" t="str">
            <v>! ! ! !</v>
          </cell>
          <cell r="AJ558" t="str">
            <v>V-A</v>
          </cell>
          <cell r="AL558">
            <v>0</v>
          </cell>
          <cell r="AM558">
            <v>2300</v>
          </cell>
          <cell r="AN558" t="e">
            <v>#VALUE!</v>
          </cell>
          <cell r="AO558" t="e">
            <v>#VALUE!</v>
          </cell>
          <cell r="AP558">
            <v>-2300</v>
          </cell>
        </row>
        <row r="559">
          <cell r="A559">
            <v>66000100</v>
          </cell>
          <cell r="B559">
            <v>40339800</v>
          </cell>
          <cell r="C559">
            <v>9920550</v>
          </cell>
          <cell r="D559" t="str">
            <v>BOF DE GEHAKTSCHOTEL AARDAPPEL PAPRIKA 2X400G</v>
          </cell>
          <cell r="E559" t="str">
            <v>Bofrost DE</v>
          </cell>
          <cell r="F559" t="str">
            <v>40371000 zacht 100µ</v>
          </cell>
          <cell r="G559" t="str">
            <v>40370400 zacht</v>
          </cell>
          <cell r="H559">
            <v>365</v>
          </cell>
          <cell r="I559">
            <v>0.8</v>
          </cell>
          <cell r="J559" t="str">
            <v>Bedrukte folie 470x300</v>
          </cell>
          <cell r="K559" t="str">
            <v>NVT</v>
          </cell>
          <cell r="L559">
            <v>12</v>
          </cell>
          <cell r="M559" t="str">
            <v xml:space="preserve">Z8x20 </v>
          </cell>
          <cell r="N559">
            <v>42</v>
          </cell>
          <cell r="O559">
            <v>5400870600013</v>
          </cell>
          <cell r="P559" t="str">
            <v>CFS</v>
          </cell>
          <cell r="Q559">
            <v>1</v>
          </cell>
          <cell r="R559">
            <v>6</v>
          </cell>
          <cell r="T559">
            <v>1150</v>
          </cell>
          <cell r="U559">
            <v>6</v>
          </cell>
          <cell r="V559">
            <v>1150</v>
          </cell>
          <cell r="W559">
            <v>6</v>
          </cell>
          <cell r="X559">
            <v>0</v>
          </cell>
          <cell r="Y559">
            <v>0</v>
          </cell>
          <cell r="Z559">
            <v>7.3999999999999996E-2</v>
          </cell>
          <cell r="AA559" t="str">
            <v>-</v>
          </cell>
          <cell r="AB559">
            <v>8800</v>
          </cell>
          <cell r="AC559">
            <v>0</v>
          </cell>
          <cell r="AJ559" t="str">
            <v>V-A</v>
          </cell>
          <cell r="AL559">
            <v>0</v>
          </cell>
          <cell r="AM559">
            <v>1150</v>
          </cell>
          <cell r="AN559" t="e">
            <v>#VALUE!</v>
          </cell>
          <cell r="AO559" t="e">
            <v>#VALUE!</v>
          </cell>
          <cell r="AP559">
            <v>-1150</v>
          </cell>
        </row>
        <row r="560">
          <cell r="A560">
            <v>66000200</v>
          </cell>
          <cell r="B560">
            <v>40339900</v>
          </cell>
          <cell r="C560">
            <v>9820917</v>
          </cell>
          <cell r="D560" t="str">
            <v>BOF DE FR RATATOUILLE GEGRILDE GROENTEN 2x400G</v>
          </cell>
          <cell r="E560" t="str">
            <v>Bofrost DE</v>
          </cell>
          <cell r="F560" t="str">
            <v>40371000 zacht 100µ</v>
          </cell>
          <cell r="G560" t="str">
            <v>40370400 zacht</v>
          </cell>
          <cell r="H560">
            <v>456</v>
          </cell>
          <cell r="I560">
            <v>0.8</v>
          </cell>
          <cell r="J560" t="str">
            <v>Bedrukte folie 470x300</v>
          </cell>
          <cell r="K560" t="str">
            <v>NVT</v>
          </cell>
          <cell r="L560">
            <v>12</v>
          </cell>
          <cell r="M560" t="str">
            <v xml:space="preserve">Z8x20 </v>
          </cell>
          <cell r="N560">
            <v>42</v>
          </cell>
          <cell r="O560">
            <v>5400870600020</v>
          </cell>
          <cell r="P560" t="str">
            <v>CFS</v>
          </cell>
          <cell r="Q560">
            <v>1</v>
          </cell>
          <cell r="R560">
            <v>6</v>
          </cell>
          <cell r="T560">
            <v>1150</v>
          </cell>
          <cell r="U560">
            <v>3</v>
          </cell>
          <cell r="V560">
            <v>1150</v>
          </cell>
          <cell r="W560">
            <v>3</v>
          </cell>
          <cell r="X560">
            <v>0</v>
          </cell>
          <cell r="Y560">
            <v>0</v>
          </cell>
          <cell r="Z560">
            <v>7.3999999999999996E-2</v>
          </cell>
          <cell r="AA560" t="str">
            <v>-</v>
          </cell>
          <cell r="AB560">
            <v>8800</v>
          </cell>
          <cell r="AC560">
            <v>0</v>
          </cell>
          <cell r="AJ560" t="str">
            <v>-</v>
          </cell>
          <cell r="AL560">
            <v>0</v>
          </cell>
          <cell r="AM560">
            <v>1150</v>
          </cell>
          <cell r="AN560" t="e">
            <v>#VALUE!</v>
          </cell>
          <cell r="AO560" t="e">
            <v>#VALUE!</v>
          </cell>
          <cell r="AP560">
            <v>-1150</v>
          </cell>
        </row>
        <row r="561">
          <cell r="A561">
            <v>66200100</v>
          </cell>
          <cell r="B561">
            <v>40339300</v>
          </cell>
          <cell r="C561" t="str">
            <v>0020689</v>
          </cell>
          <cell r="D561" t="str">
            <v>BOF DE KIPFILET PAPRIKAROOMSAUS 2X250G</v>
          </cell>
          <cell r="E561" t="str">
            <v>Bofrost DE</v>
          </cell>
          <cell r="F561" t="str">
            <v>40371000 zacht 100µ</v>
          </cell>
          <cell r="G561" t="str">
            <v>40370400 zacht</v>
          </cell>
          <cell r="H561">
            <v>365</v>
          </cell>
          <cell r="I561">
            <v>0.5</v>
          </cell>
          <cell r="J561" t="str">
            <v>Bedrukte folie 420x240</v>
          </cell>
          <cell r="K561" t="str">
            <v>NVT</v>
          </cell>
          <cell r="L561">
            <v>20</v>
          </cell>
          <cell r="M561" t="str">
            <v xml:space="preserve">Z8x20 </v>
          </cell>
          <cell r="N561">
            <v>42</v>
          </cell>
          <cell r="O561">
            <v>5400870620011</v>
          </cell>
          <cell r="P561" t="str">
            <v>CFS</v>
          </cell>
          <cell r="Q561">
            <v>1</v>
          </cell>
          <cell r="R561">
            <v>6</v>
          </cell>
          <cell r="T561">
            <v>2300</v>
          </cell>
          <cell r="U561">
            <v>5</v>
          </cell>
          <cell r="V561">
            <v>2300</v>
          </cell>
          <cell r="W561">
            <v>5</v>
          </cell>
          <cell r="X561">
            <v>0</v>
          </cell>
          <cell r="Y561">
            <v>0</v>
          </cell>
          <cell r="Z561">
            <v>4.2000000000000003E-2</v>
          </cell>
          <cell r="AA561" t="str">
            <v>! !</v>
          </cell>
          <cell r="AB561">
            <v>17618</v>
          </cell>
          <cell r="AC561">
            <v>0</v>
          </cell>
          <cell r="AJ561" t="str">
            <v>-</v>
          </cell>
          <cell r="AL561">
            <v>0</v>
          </cell>
          <cell r="AM561">
            <v>2300</v>
          </cell>
          <cell r="AN561" t="e">
            <v>#VALUE!</v>
          </cell>
          <cell r="AO561" t="e">
            <v>#VALUE!</v>
          </cell>
          <cell r="AP561">
            <v>-2300</v>
          </cell>
        </row>
        <row r="562">
          <cell r="A562">
            <v>66801100</v>
          </cell>
          <cell r="B562">
            <v>40268100</v>
          </cell>
          <cell r="C562">
            <v>66801100</v>
          </cell>
          <cell r="D562" t="str">
            <v>MAMA'S INDISCHE KIP SATE BAMI SAMBALBOONTJES 400G</v>
          </cell>
          <cell r="E562" t="str">
            <v>MAMA'S</v>
          </cell>
          <cell r="F562" t="str">
            <v>355mm</v>
          </cell>
          <cell r="G562" t="str">
            <v>NOVATO KRAFT</v>
          </cell>
          <cell r="H562">
            <v>456</v>
          </cell>
          <cell r="I562">
            <v>0.4</v>
          </cell>
          <cell r="J562" t="str">
            <v>H25</v>
          </cell>
          <cell r="K562" t="str">
            <v>NVT</v>
          </cell>
          <cell r="L562">
            <v>5</v>
          </cell>
          <cell r="M562" t="str">
            <v>Shrink H25 x 5</v>
          </cell>
          <cell r="N562">
            <v>154</v>
          </cell>
          <cell r="O562">
            <v>8721249768576</v>
          </cell>
          <cell r="P562" t="str">
            <v>I-L-2T</v>
          </cell>
          <cell r="Q562">
            <v>3</v>
          </cell>
          <cell r="R562">
            <v>2</v>
          </cell>
          <cell r="T562">
            <v>3500</v>
          </cell>
          <cell r="U562">
            <v>7</v>
          </cell>
          <cell r="V562">
            <v>3500</v>
          </cell>
          <cell r="W562">
            <v>7</v>
          </cell>
          <cell r="X562">
            <v>0</v>
          </cell>
          <cell r="Y562">
            <v>0</v>
          </cell>
          <cell r="Z562">
            <v>4.2999999999999997E-2</v>
          </cell>
          <cell r="AA562" t="str">
            <v>X</v>
          </cell>
          <cell r="AB562">
            <v>26810</v>
          </cell>
          <cell r="AC562">
            <v>0</v>
          </cell>
          <cell r="AG562">
            <v>68</v>
          </cell>
          <cell r="AJ562" t="str">
            <v>V-A </v>
          </cell>
          <cell r="AL562">
            <v>4080</v>
          </cell>
          <cell r="AM562">
            <v>3500</v>
          </cell>
          <cell r="AN562" t="e">
            <v>#VALUE!</v>
          </cell>
          <cell r="AO562" t="e">
            <v>#VALUE!</v>
          </cell>
          <cell r="AP562">
            <v>580</v>
          </cell>
        </row>
        <row r="563">
          <cell r="A563">
            <v>66801200</v>
          </cell>
          <cell r="B563">
            <v>40268200</v>
          </cell>
          <cell r="C563">
            <v>66801200</v>
          </cell>
          <cell r="D563" t="str">
            <v>MAMA'S BABI PANGANG RIJST SOJABONEN 400G</v>
          </cell>
          <cell r="E563" t="str">
            <v>MAMA'S</v>
          </cell>
          <cell r="F563" t="str">
            <v>355mm</v>
          </cell>
          <cell r="G563" t="str">
            <v>NOVATO KRAFT</v>
          </cell>
          <cell r="H563">
            <v>365</v>
          </cell>
          <cell r="I563">
            <v>0.4</v>
          </cell>
          <cell r="J563" t="str">
            <v>H25</v>
          </cell>
          <cell r="K563" t="str">
            <v>NVT</v>
          </cell>
          <cell r="L563">
            <v>5</v>
          </cell>
          <cell r="M563" t="str">
            <v>Shrink H25 x 5</v>
          </cell>
          <cell r="N563">
            <v>154</v>
          </cell>
          <cell r="O563">
            <v>8721249768569</v>
          </cell>
          <cell r="P563" t="str">
            <v>I-L-2T</v>
          </cell>
          <cell r="Q563">
            <v>3</v>
          </cell>
          <cell r="R563">
            <v>2</v>
          </cell>
          <cell r="T563">
            <v>3500</v>
          </cell>
          <cell r="U563">
            <v>6</v>
          </cell>
          <cell r="V563">
            <v>3500</v>
          </cell>
          <cell r="W563">
            <v>6</v>
          </cell>
          <cell r="X563">
            <v>0</v>
          </cell>
          <cell r="Y563">
            <v>0</v>
          </cell>
          <cell r="Z563">
            <v>4.2999999999999997E-2</v>
          </cell>
          <cell r="AA563" t="str">
            <v>! ! ! ! !</v>
          </cell>
          <cell r="AB563">
            <v>26810</v>
          </cell>
          <cell r="AC563">
            <v>0</v>
          </cell>
          <cell r="AG563">
            <v>68</v>
          </cell>
          <cell r="AJ563" t="str">
            <v>V-A </v>
          </cell>
          <cell r="AL563">
            <v>4080</v>
          </cell>
          <cell r="AM563">
            <v>3500</v>
          </cell>
          <cell r="AN563" t="e">
            <v>#VALUE!</v>
          </cell>
          <cell r="AO563" t="e">
            <v>#VALUE!</v>
          </cell>
          <cell r="AP563">
            <v>580</v>
          </cell>
        </row>
        <row r="564">
          <cell r="A564">
            <v>66801300</v>
          </cell>
          <cell r="B564">
            <v>40281900</v>
          </cell>
          <cell r="C564">
            <v>66801300</v>
          </cell>
          <cell r="D564" t="str">
            <v>MAMA'S KIP MADRAS BASMATI RODE RIJST GROENTEN NL FR D 400G</v>
          </cell>
          <cell r="E564" t="str">
            <v>MAMA'S</v>
          </cell>
          <cell r="F564" t="str">
            <v>355mm</v>
          </cell>
          <cell r="G564" t="str">
            <v>NOVATO KRAFT</v>
          </cell>
          <cell r="H564">
            <v>456</v>
          </cell>
          <cell r="I564">
            <v>0.4</v>
          </cell>
          <cell r="J564" t="str">
            <v>H25</v>
          </cell>
          <cell r="K564" t="str">
            <v>NVT</v>
          </cell>
          <cell r="L564">
            <v>5</v>
          </cell>
          <cell r="M564" t="str">
            <v>Shrink H25 x 5</v>
          </cell>
          <cell r="N564">
            <v>154</v>
          </cell>
          <cell r="O564">
            <v>8721249768514</v>
          </cell>
          <cell r="P564" t="str">
            <v>I-L-2T</v>
          </cell>
          <cell r="Q564">
            <v>3</v>
          </cell>
          <cell r="R564">
            <v>2</v>
          </cell>
          <cell r="S564" t="str">
            <v>Rijst D-1</v>
          </cell>
          <cell r="T564">
            <v>3500</v>
          </cell>
          <cell r="U564">
            <v>7</v>
          </cell>
          <cell r="V564">
            <v>3500</v>
          </cell>
          <cell r="W564">
            <v>7</v>
          </cell>
          <cell r="X564">
            <v>0</v>
          </cell>
          <cell r="Y564">
            <v>0</v>
          </cell>
          <cell r="Z564">
            <v>4.2999999999999997E-2</v>
          </cell>
          <cell r="AA564" t="str">
            <v>! !</v>
          </cell>
          <cell r="AB564">
            <v>26810</v>
          </cell>
          <cell r="AC564">
            <v>0</v>
          </cell>
          <cell r="AG564">
            <v>68</v>
          </cell>
          <cell r="AJ564" t="str">
            <v>- </v>
          </cell>
          <cell r="AL564">
            <v>4080</v>
          </cell>
          <cell r="AM564">
            <v>3500</v>
          </cell>
          <cell r="AN564" t="e">
            <v>#VALUE!</v>
          </cell>
          <cell r="AO564" t="e">
            <v>#VALUE!</v>
          </cell>
          <cell r="AP564">
            <v>580</v>
          </cell>
        </row>
        <row r="565">
          <cell r="A565">
            <v>66801400</v>
          </cell>
          <cell r="B565">
            <v>40268400</v>
          </cell>
          <cell r="C565">
            <v>66801400</v>
          </cell>
          <cell r="D565" t="str">
            <v>MAMA'S KIP TERIYAKI PANDAN GROENTEMIX 400G</v>
          </cell>
          <cell r="E565" t="str">
            <v>MAMA'S</v>
          </cell>
          <cell r="F565" t="str">
            <v>355mm</v>
          </cell>
          <cell r="G565" t="str">
            <v>NOVATO KRAFT</v>
          </cell>
          <cell r="H565">
            <v>456</v>
          </cell>
          <cell r="I565">
            <v>0.4</v>
          </cell>
          <cell r="J565" t="str">
            <v>H25</v>
          </cell>
          <cell r="K565" t="str">
            <v>NVT</v>
          </cell>
          <cell r="L565">
            <v>5</v>
          </cell>
          <cell r="M565" t="str">
            <v>Shrink H25 x 5</v>
          </cell>
          <cell r="N565">
            <v>154</v>
          </cell>
          <cell r="O565">
            <v>8721249768538</v>
          </cell>
          <cell r="P565" t="str">
            <v>I-L-2T</v>
          </cell>
          <cell r="Q565">
            <v>3</v>
          </cell>
          <cell r="R565">
            <v>2</v>
          </cell>
          <cell r="T565">
            <v>3500</v>
          </cell>
          <cell r="U565">
            <v>6</v>
          </cell>
          <cell r="V565">
            <v>3500</v>
          </cell>
          <cell r="W565">
            <v>6</v>
          </cell>
          <cell r="X565">
            <v>0</v>
          </cell>
          <cell r="Y565">
            <v>0</v>
          </cell>
          <cell r="Z565">
            <v>4.2999999999999997E-2</v>
          </cell>
          <cell r="AA565" t="str">
            <v>! ! ! ! !</v>
          </cell>
          <cell r="AB565">
            <v>26810</v>
          </cell>
          <cell r="AC565">
            <v>0</v>
          </cell>
          <cell r="AG565">
            <v>68</v>
          </cell>
          <cell r="AJ565" t="str">
            <v>- </v>
          </cell>
          <cell r="AL565">
            <v>4080</v>
          </cell>
          <cell r="AM565">
            <v>3500</v>
          </cell>
          <cell r="AN565" t="e">
            <v>#VALUE!</v>
          </cell>
          <cell r="AO565" t="e">
            <v>#VALUE!</v>
          </cell>
          <cell r="AP565">
            <v>580</v>
          </cell>
        </row>
        <row r="566">
          <cell r="A566">
            <v>66801700</v>
          </cell>
          <cell r="B566">
            <v>40269300</v>
          </cell>
          <cell r="C566">
            <v>66801700</v>
          </cell>
          <cell r="D566" t="str">
            <v>MAMA'S RISOTTO KIP BOSCHAMPIGNON 400G</v>
          </cell>
          <cell r="E566" t="str">
            <v>MAMA'S</v>
          </cell>
          <cell r="F566" t="str">
            <v>355mm</v>
          </cell>
          <cell r="G566" t="str">
            <v>NOVATO KRAFT</v>
          </cell>
          <cell r="H566">
            <v>456</v>
          </cell>
          <cell r="I566">
            <v>0.4</v>
          </cell>
          <cell r="J566" t="str">
            <v>H25</v>
          </cell>
          <cell r="K566" t="str">
            <v>NVT</v>
          </cell>
          <cell r="L566">
            <v>5</v>
          </cell>
          <cell r="M566" t="str">
            <v>Shrink H25 x 5</v>
          </cell>
          <cell r="N566">
            <v>154</v>
          </cell>
          <cell r="O566">
            <v>8721249768521</v>
          </cell>
          <cell r="P566" t="str">
            <v>I-L-2T-K</v>
          </cell>
          <cell r="Q566">
            <v>2</v>
          </cell>
          <cell r="R566">
            <v>2</v>
          </cell>
          <cell r="T566">
            <v>3500</v>
          </cell>
          <cell r="U566">
            <v>3</v>
          </cell>
          <cell r="V566">
            <v>3500</v>
          </cell>
          <cell r="W566">
            <v>3</v>
          </cell>
          <cell r="X566">
            <v>0</v>
          </cell>
          <cell r="Y566">
            <v>0</v>
          </cell>
          <cell r="Z566">
            <v>4.2999999999999997E-2</v>
          </cell>
          <cell r="AA566" t="str">
            <v>! !</v>
          </cell>
          <cell r="AB566">
            <v>26810</v>
          </cell>
          <cell r="AC566">
            <v>0</v>
          </cell>
          <cell r="AG566">
            <v>68</v>
          </cell>
          <cell r="AJ566" t="str">
            <v>-</v>
          </cell>
          <cell r="AL566">
            <v>4080</v>
          </cell>
          <cell r="AM566">
            <v>3500</v>
          </cell>
          <cell r="AN566" t="e">
            <v>#VALUE!</v>
          </cell>
          <cell r="AO566" t="e">
            <v>#VALUE!</v>
          </cell>
          <cell r="AP566">
            <v>580</v>
          </cell>
        </row>
        <row r="567">
          <cell r="A567">
            <v>66802500</v>
          </cell>
          <cell r="B567">
            <v>40288500</v>
          </cell>
          <cell r="C567">
            <v>66802500</v>
          </cell>
          <cell r="D567" t="str">
            <v>MAMA S MELANZANE TOMATENSAUS GEHAKT NL-FR-D 400G</v>
          </cell>
          <cell r="E567" t="str">
            <v>MAMA'S</v>
          </cell>
          <cell r="F567" t="str">
            <v>355mm</v>
          </cell>
          <cell r="G567" t="str">
            <v>NOVATO KRAFT</v>
          </cell>
          <cell r="H567">
            <v>365</v>
          </cell>
          <cell r="I567">
            <v>0.4</v>
          </cell>
          <cell r="J567" t="str">
            <v>H25</v>
          </cell>
          <cell r="K567" t="str">
            <v>NVT</v>
          </cell>
          <cell r="L567">
            <v>5</v>
          </cell>
          <cell r="M567" t="str">
            <v>Shrink H25 x 5</v>
          </cell>
          <cell r="N567">
            <v>154</v>
          </cell>
          <cell r="O567" t="str">
            <v>8721325521897 </v>
          </cell>
          <cell r="P567" t="str">
            <v>I-4T</v>
          </cell>
          <cell r="Q567">
            <v>2</v>
          </cell>
          <cell r="R567">
            <v>2</v>
          </cell>
          <cell r="T567">
            <v>3500</v>
          </cell>
          <cell r="U567">
            <v>4</v>
          </cell>
          <cell r="V567">
            <v>3500</v>
          </cell>
          <cell r="W567">
            <v>4</v>
          </cell>
          <cell r="Z567">
            <v>4.2999999999999997E-2</v>
          </cell>
          <cell r="AA567" t="str">
            <v>! ! !</v>
          </cell>
          <cell r="AG567">
            <v>68</v>
          </cell>
          <cell r="AJ567" t="str">
            <v>V-A </v>
          </cell>
          <cell r="AK567" t="str">
            <v>ja</v>
          </cell>
          <cell r="AL567">
            <v>4080</v>
          </cell>
          <cell r="AM567">
            <v>3500</v>
          </cell>
          <cell r="AN567" t="e">
            <v>#VALUE!</v>
          </cell>
          <cell r="AO567" t="e">
            <v>#VALUE!</v>
          </cell>
          <cell r="AP567">
            <v>580</v>
          </cell>
        </row>
        <row r="568">
          <cell r="A568">
            <v>66811300</v>
          </cell>
          <cell r="B568">
            <v>40275600</v>
          </cell>
          <cell r="C568">
            <v>66811300</v>
          </cell>
          <cell r="D568" t="str">
            <v>FITMEALS EW KIP RIJST TERIYAKI HALAL 425G NL FR D</v>
          </cell>
          <cell r="E568" t="str">
            <v>FITMEALS</v>
          </cell>
          <cell r="F568" t="str">
            <v>355mm</v>
          </cell>
          <cell r="G568" t="str">
            <v>NOVATO ZWART</v>
          </cell>
          <cell r="H568">
            <v>548</v>
          </cell>
          <cell r="I568">
            <v>0.42499999999999999</v>
          </cell>
          <cell r="J568" t="str">
            <v>H25</v>
          </cell>
          <cell r="K568" t="str">
            <v>NVT</v>
          </cell>
          <cell r="L568">
            <v>5</v>
          </cell>
          <cell r="M568" t="str">
            <v>Shrink H25 x 5</v>
          </cell>
          <cell r="N568">
            <v>154</v>
          </cell>
          <cell r="O568">
            <v>8721249768644</v>
          </cell>
          <cell r="P568" t="str">
            <v>I-L-2T</v>
          </cell>
          <cell r="Q568">
            <v>2</v>
          </cell>
          <cell r="R568">
            <v>2</v>
          </cell>
          <cell r="S568" t="str">
            <v>HALAL</v>
          </cell>
          <cell r="T568">
            <v>3500</v>
          </cell>
          <cell r="U568">
            <v>7</v>
          </cell>
          <cell r="V568">
            <v>3500</v>
          </cell>
          <cell r="W568">
            <v>7</v>
          </cell>
          <cell r="X568">
            <v>0</v>
          </cell>
          <cell r="Y568">
            <v>0</v>
          </cell>
          <cell r="Z568">
            <v>0.03</v>
          </cell>
          <cell r="AA568" t="str">
            <v>! ! ! ! !</v>
          </cell>
          <cell r="AB568">
            <v>26810</v>
          </cell>
          <cell r="AC568">
            <v>0</v>
          </cell>
          <cell r="AG568">
            <v>68</v>
          </cell>
          <cell r="AJ568" t="str">
            <v>-</v>
          </cell>
          <cell r="AL568">
            <v>4080</v>
          </cell>
          <cell r="AM568">
            <v>3500</v>
          </cell>
          <cell r="AN568" t="e">
            <v>#VALUE!</v>
          </cell>
          <cell r="AO568" t="e">
            <v>#VALUE!</v>
          </cell>
          <cell r="AP568">
            <v>580</v>
          </cell>
        </row>
        <row r="569">
          <cell r="A569">
            <v>66811400</v>
          </cell>
          <cell r="B569">
            <v>40275700</v>
          </cell>
          <cell r="C569">
            <v>66811400</v>
          </cell>
          <cell r="D569" t="str">
            <v>FITMEALS EW PULLED KIP CURRY HALAL 425G NL FR D</v>
          </cell>
          <cell r="E569" t="str">
            <v>FITMEALS</v>
          </cell>
          <cell r="F569" t="str">
            <v>355mm</v>
          </cell>
          <cell r="G569" t="str">
            <v>NOVATO ZWART</v>
          </cell>
          <cell r="H569">
            <v>548</v>
          </cell>
          <cell r="I569">
            <v>0.42499999999999999</v>
          </cell>
          <cell r="J569" t="str">
            <v>H25</v>
          </cell>
          <cell r="K569" t="str">
            <v>NVT</v>
          </cell>
          <cell r="L569">
            <v>5</v>
          </cell>
          <cell r="M569" t="str">
            <v>Shrink H25 x 5</v>
          </cell>
          <cell r="N569">
            <v>154</v>
          </cell>
          <cell r="O569">
            <v>8721249768637</v>
          </cell>
          <cell r="P569" t="str">
            <v>L-2T</v>
          </cell>
          <cell r="Q569">
            <v>3</v>
          </cell>
          <cell r="R569">
            <v>2</v>
          </cell>
          <cell r="S569" t="str">
            <v>PULLED CHICKEN D-2 ontdooien / HALAL</v>
          </cell>
          <cell r="T569">
            <v>3500</v>
          </cell>
          <cell r="U569">
            <v>6</v>
          </cell>
          <cell r="V569">
            <v>3500</v>
          </cell>
          <cell r="W569">
            <v>6</v>
          </cell>
          <cell r="X569">
            <v>0</v>
          </cell>
          <cell r="Y569">
            <v>0</v>
          </cell>
          <cell r="Z569">
            <v>0.03</v>
          </cell>
          <cell r="AA569" t="str">
            <v>! ! !</v>
          </cell>
          <cell r="AB569">
            <v>26810</v>
          </cell>
          <cell r="AC569">
            <v>0</v>
          </cell>
          <cell r="AG569">
            <v>68</v>
          </cell>
          <cell r="AJ569" t="str">
            <v>-</v>
          </cell>
          <cell r="AL569">
            <v>4080</v>
          </cell>
          <cell r="AM569">
            <v>3500</v>
          </cell>
          <cell r="AN569" t="e">
            <v>#VALUE!</v>
          </cell>
          <cell r="AO569" t="e">
            <v>#VALUE!</v>
          </cell>
          <cell r="AP569">
            <v>580</v>
          </cell>
        </row>
        <row r="570">
          <cell r="A570">
            <v>66811500</v>
          </cell>
          <cell r="B570">
            <v>40275800</v>
          </cell>
          <cell r="C570">
            <v>66811500</v>
          </cell>
          <cell r="D570" t="str">
            <v>FITMEALS EW KIP PASTA HALAL 425G NL FR D</v>
          </cell>
          <cell r="E570" t="str">
            <v>FITMEALS</v>
          </cell>
          <cell r="F570" t="str">
            <v>355mm</v>
          </cell>
          <cell r="G570" t="str">
            <v>NOVATO ZWART</v>
          </cell>
          <cell r="H570">
            <v>548</v>
          </cell>
          <cell r="I570">
            <v>0.42499999999999999</v>
          </cell>
          <cell r="J570" t="str">
            <v>H25</v>
          </cell>
          <cell r="K570" t="str">
            <v>NVT</v>
          </cell>
          <cell r="L570">
            <v>5</v>
          </cell>
          <cell r="M570" t="str">
            <v>Shrink H25 x 5</v>
          </cell>
          <cell r="N570">
            <v>154</v>
          </cell>
          <cell r="O570">
            <v>8721249768613</v>
          </cell>
          <cell r="P570" t="str">
            <v>I-L-2T</v>
          </cell>
          <cell r="Q570">
            <v>2</v>
          </cell>
          <cell r="R570">
            <v>2</v>
          </cell>
          <cell r="S570" t="str">
            <v>HALAL</v>
          </cell>
          <cell r="T570">
            <v>3500</v>
          </cell>
          <cell r="U570">
            <v>7</v>
          </cell>
          <cell r="V570">
            <v>3500</v>
          </cell>
          <cell r="W570">
            <v>7</v>
          </cell>
          <cell r="X570">
            <v>0</v>
          </cell>
          <cell r="Y570">
            <v>0</v>
          </cell>
          <cell r="Z570">
            <v>0.03</v>
          </cell>
          <cell r="AA570" t="str">
            <v>! !</v>
          </cell>
          <cell r="AB570">
            <v>26810</v>
          </cell>
          <cell r="AC570">
            <v>0</v>
          </cell>
          <cell r="AG570">
            <v>68</v>
          </cell>
          <cell r="AJ570" t="str">
            <v>-</v>
          </cell>
          <cell r="AL570">
            <v>4080</v>
          </cell>
          <cell r="AM570">
            <v>3500</v>
          </cell>
          <cell r="AN570" t="e">
            <v>#VALUE!</v>
          </cell>
          <cell r="AO570" t="e">
            <v>#VALUE!</v>
          </cell>
          <cell r="AP570">
            <v>580</v>
          </cell>
        </row>
        <row r="571">
          <cell r="A571">
            <v>66811600</v>
          </cell>
          <cell r="B571">
            <v>40275900</v>
          </cell>
          <cell r="C571">
            <v>66811600</v>
          </cell>
          <cell r="D571" t="str">
            <v xml:space="preserve">FITMEALS EW SPAGHETTI BOLOGNAISE NL FR D  425G </v>
          </cell>
          <cell r="E571" t="str">
            <v>FITMEALS</v>
          </cell>
          <cell r="F571" t="str">
            <v>355mm</v>
          </cell>
          <cell r="G571" t="str">
            <v>NOVATO KRAFT</v>
          </cell>
          <cell r="H571">
            <v>548</v>
          </cell>
          <cell r="I571">
            <v>0.42499999999999999</v>
          </cell>
          <cell r="J571" t="str">
            <v>H25</v>
          </cell>
          <cell r="K571" t="str">
            <v>NVT</v>
          </cell>
          <cell r="L571">
            <v>5</v>
          </cell>
          <cell r="M571" t="str">
            <v>Shrink H25 x 5</v>
          </cell>
          <cell r="N571">
            <v>154</v>
          </cell>
          <cell r="O571">
            <v>8721249768668</v>
          </cell>
          <cell r="P571" t="str">
            <v>L-2T</v>
          </cell>
          <cell r="Q571">
            <v>2</v>
          </cell>
          <cell r="R571">
            <v>2</v>
          </cell>
          <cell r="T571">
            <v>3500</v>
          </cell>
          <cell r="U571">
            <v>6</v>
          </cell>
          <cell r="V571">
            <v>3500</v>
          </cell>
          <cell r="W571">
            <v>6</v>
          </cell>
          <cell r="X571">
            <v>0</v>
          </cell>
          <cell r="Y571">
            <v>0</v>
          </cell>
          <cell r="Z571">
            <v>0.03</v>
          </cell>
          <cell r="AA571" t="str">
            <v>! ! !</v>
          </cell>
          <cell r="AB571">
            <v>26810</v>
          </cell>
          <cell r="AC571">
            <v>0</v>
          </cell>
          <cell r="AG571">
            <v>68</v>
          </cell>
          <cell r="AJ571" t="str">
            <v>-</v>
          </cell>
          <cell r="AL571">
            <v>4080</v>
          </cell>
          <cell r="AM571">
            <v>3500</v>
          </cell>
          <cell r="AN571" t="e">
            <v>#VALUE!</v>
          </cell>
          <cell r="AO571" t="e">
            <v>#VALUE!</v>
          </cell>
          <cell r="AP571">
            <v>580</v>
          </cell>
        </row>
        <row r="572">
          <cell r="A572">
            <v>66811700</v>
          </cell>
          <cell r="B572">
            <v>40276000</v>
          </cell>
          <cell r="C572">
            <v>66811700</v>
          </cell>
          <cell r="D572" t="str">
            <v>FITMEALS EW KIP SATE RIJST HALAL 425G NL FR D</v>
          </cell>
          <cell r="E572" t="str">
            <v>FITMEALS</v>
          </cell>
          <cell r="F572" t="str">
            <v>355mm</v>
          </cell>
          <cell r="G572" t="str">
            <v>NOVATO ZWART</v>
          </cell>
          <cell r="H572">
            <v>548</v>
          </cell>
          <cell r="I572">
            <v>0.42499999999999999</v>
          </cell>
          <cell r="J572" t="str">
            <v>H25</v>
          </cell>
          <cell r="K572" t="str">
            <v>NVT</v>
          </cell>
          <cell r="L572">
            <v>5</v>
          </cell>
          <cell r="M572" t="str">
            <v>Shrink H25 x 5</v>
          </cell>
          <cell r="N572">
            <v>154</v>
          </cell>
          <cell r="O572">
            <v>8721249768620</v>
          </cell>
          <cell r="P572" t="str">
            <v>I-L-2T</v>
          </cell>
          <cell r="Q572">
            <v>3</v>
          </cell>
          <cell r="R572">
            <v>2</v>
          </cell>
          <cell r="S572" t="str">
            <v>HALAL</v>
          </cell>
          <cell r="T572">
            <v>3500</v>
          </cell>
          <cell r="U572">
            <v>7</v>
          </cell>
          <cell r="V572">
            <v>3500</v>
          </cell>
          <cell r="W572">
            <v>7</v>
          </cell>
          <cell r="X572">
            <v>0</v>
          </cell>
          <cell r="Y572">
            <v>0</v>
          </cell>
          <cell r="Z572">
            <v>0.03</v>
          </cell>
          <cell r="AA572" t="str">
            <v>X</v>
          </cell>
          <cell r="AB572">
            <v>26810</v>
          </cell>
          <cell r="AC572">
            <v>0</v>
          </cell>
          <cell r="AG572">
            <v>68</v>
          </cell>
          <cell r="AJ572" t="str">
            <v>-</v>
          </cell>
          <cell r="AL572">
            <v>4080</v>
          </cell>
          <cell r="AM572">
            <v>3500</v>
          </cell>
          <cell r="AN572" t="e">
            <v>#VALUE!</v>
          </cell>
          <cell r="AO572" t="e">
            <v>#VALUE!</v>
          </cell>
          <cell r="AP572">
            <v>580</v>
          </cell>
        </row>
        <row r="573">
          <cell r="A573">
            <v>66811800</v>
          </cell>
          <cell r="B573">
            <v>40276100</v>
          </cell>
          <cell r="C573">
            <v>66811800</v>
          </cell>
          <cell r="D573" t="str">
            <v>FITMEALS EW KIP LINGUINE TERIYAKI HALAL 425G NL FR D</v>
          </cell>
          <cell r="E573" t="str">
            <v>FITMEALS</v>
          </cell>
          <cell r="F573" t="str">
            <v>355mm</v>
          </cell>
          <cell r="G573" t="str">
            <v>NOVATO ZWART</v>
          </cell>
          <cell r="H573">
            <v>548</v>
          </cell>
          <cell r="I573">
            <v>0.42499999999999999</v>
          </cell>
          <cell r="J573" t="str">
            <v>H25</v>
          </cell>
          <cell r="K573" t="str">
            <v>NVT</v>
          </cell>
          <cell r="L573">
            <v>5</v>
          </cell>
          <cell r="M573" t="str">
            <v>Shrink H25 x 5</v>
          </cell>
          <cell r="N573">
            <v>154</v>
          </cell>
          <cell r="O573">
            <v>8721249768651</v>
          </cell>
          <cell r="P573" t="str">
            <v>I-L-2T</v>
          </cell>
          <cell r="Q573">
            <v>2</v>
          </cell>
          <cell r="R573">
            <v>2</v>
          </cell>
          <cell r="S573" t="str">
            <v>HALAL</v>
          </cell>
          <cell r="T573">
            <v>3500</v>
          </cell>
          <cell r="U573">
            <v>7</v>
          </cell>
          <cell r="V573">
            <v>3500</v>
          </cell>
          <cell r="W573">
            <v>7</v>
          </cell>
          <cell r="X573">
            <v>0</v>
          </cell>
          <cell r="Y573">
            <v>0</v>
          </cell>
          <cell r="Z573">
            <v>0.03</v>
          </cell>
          <cell r="AA573" t="str">
            <v>! ! ! ! !</v>
          </cell>
          <cell r="AB573">
            <v>26810</v>
          </cell>
          <cell r="AC573">
            <v>0</v>
          </cell>
          <cell r="AG573">
            <v>68</v>
          </cell>
          <cell r="AJ573" t="str">
            <v>-</v>
          </cell>
          <cell r="AL573">
            <v>4080</v>
          </cell>
          <cell r="AM573">
            <v>3500</v>
          </cell>
          <cell r="AN573" t="e">
            <v>#VALUE!</v>
          </cell>
          <cell r="AO573" t="e">
            <v>#VALUE!</v>
          </cell>
          <cell r="AP573">
            <v>580</v>
          </cell>
        </row>
        <row r="574">
          <cell r="A574">
            <v>66811900</v>
          </cell>
          <cell r="B574">
            <v>40279100</v>
          </cell>
          <cell r="C574">
            <v>66811900</v>
          </cell>
          <cell r="D574" t="str">
            <v>FITMEALS EW LASAGNE BOLOGNAISE GEGR GROENTEN 425G</v>
          </cell>
          <cell r="E574" t="str">
            <v>FITMEALS</v>
          </cell>
          <cell r="F574" t="str">
            <v>355mm</v>
          </cell>
          <cell r="G574" t="str">
            <v>NOVATO KRAFT</v>
          </cell>
          <cell r="H574">
            <v>548</v>
          </cell>
          <cell r="I574">
            <v>0.42499999999999999</v>
          </cell>
          <cell r="J574" t="str">
            <v>H25</v>
          </cell>
          <cell r="K574" t="str">
            <v>NVT</v>
          </cell>
          <cell r="L574">
            <v>5</v>
          </cell>
          <cell r="M574" t="str">
            <v>Shrink H25 x 5</v>
          </cell>
          <cell r="N574">
            <v>154</v>
          </cell>
          <cell r="P574" t="str">
            <v>5T-H-K</v>
          </cell>
          <cell r="Q574">
            <v>3</v>
          </cell>
          <cell r="R574">
            <v>2</v>
          </cell>
          <cell r="T574">
            <v>3500</v>
          </cell>
          <cell r="U574">
            <v>7</v>
          </cell>
          <cell r="V574">
            <v>3500</v>
          </cell>
          <cell r="W574">
            <v>7</v>
          </cell>
          <cell r="Z574">
            <v>0.03</v>
          </cell>
          <cell r="AA574" t="str">
            <v>! ! !</v>
          </cell>
          <cell r="AB574">
            <v>6000</v>
          </cell>
          <cell r="AC574">
            <v>0</v>
          </cell>
          <cell r="AG574">
            <v>68</v>
          </cell>
          <cell r="AJ574" t="str">
            <v>-</v>
          </cell>
          <cell r="AL574">
            <v>4080</v>
          </cell>
          <cell r="AM574">
            <v>3500</v>
          </cell>
          <cell r="AN574" t="e">
            <v>#VALUE!</v>
          </cell>
          <cell r="AO574" t="e">
            <v>#VALUE!</v>
          </cell>
          <cell r="AP574">
            <v>580</v>
          </cell>
        </row>
        <row r="575">
          <cell r="A575">
            <v>66812000</v>
          </cell>
          <cell r="B575">
            <v>40279200</v>
          </cell>
          <cell r="C575">
            <v>66812000</v>
          </cell>
          <cell r="D575" t="str">
            <v>FITMEALS EW CHILI CON CARNE RIJST 425G</v>
          </cell>
          <cell r="E575" t="str">
            <v>FITMEALS</v>
          </cell>
          <cell r="F575" t="str">
            <v>355mm</v>
          </cell>
          <cell r="G575" t="str">
            <v>NOVATO KRAFT</v>
          </cell>
          <cell r="H575">
            <v>548</v>
          </cell>
          <cell r="I575">
            <v>0.42499999999999999</v>
          </cell>
          <cell r="J575" t="str">
            <v>H25</v>
          </cell>
          <cell r="K575" t="str">
            <v>NVT</v>
          </cell>
          <cell r="L575">
            <v>5</v>
          </cell>
          <cell r="M575" t="str">
            <v>Shrink H25 x 5</v>
          </cell>
          <cell r="N575">
            <v>154</v>
          </cell>
          <cell r="P575" t="str">
            <v>L-2T-K</v>
          </cell>
          <cell r="Q575">
            <v>3</v>
          </cell>
          <cell r="R575">
            <v>2</v>
          </cell>
          <cell r="T575">
            <v>3500</v>
          </cell>
          <cell r="U575">
            <v>6</v>
          </cell>
          <cell r="V575">
            <v>3500</v>
          </cell>
          <cell r="W575">
            <v>6</v>
          </cell>
          <cell r="Z575">
            <v>0.03</v>
          </cell>
          <cell r="AA575" t="str">
            <v>! !</v>
          </cell>
          <cell r="AB575">
            <v>6000</v>
          </cell>
          <cell r="AC575">
            <v>0</v>
          </cell>
          <cell r="AG575">
            <v>68</v>
          </cell>
          <cell r="AJ575" t="str">
            <v>-</v>
          </cell>
          <cell r="AL575">
            <v>4080</v>
          </cell>
          <cell r="AM575">
            <v>3500</v>
          </cell>
          <cell r="AN575" t="e">
            <v>#VALUE!</v>
          </cell>
          <cell r="AO575" t="e">
            <v>#VALUE!</v>
          </cell>
          <cell r="AP575">
            <v>580</v>
          </cell>
        </row>
        <row r="576">
          <cell r="A576">
            <v>66812100</v>
          </cell>
          <cell r="B576">
            <v>40279300</v>
          </cell>
          <cell r="C576">
            <v>66812100</v>
          </cell>
          <cell r="D576" t="str">
            <v>FITMEALS EW INDISCHE RENDANG RIJSTMIX GROENTEN425G</v>
          </cell>
          <cell r="E576" t="str">
            <v>FITMEALS</v>
          </cell>
          <cell r="F576" t="str">
            <v>355mm</v>
          </cell>
          <cell r="G576" t="str">
            <v>NOVATO KRAFT</v>
          </cell>
          <cell r="H576">
            <v>548</v>
          </cell>
          <cell r="I576">
            <v>0.42499999999999999</v>
          </cell>
          <cell r="J576" t="str">
            <v>H25</v>
          </cell>
          <cell r="K576" t="str">
            <v>NVT</v>
          </cell>
          <cell r="L576">
            <v>5</v>
          </cell>
          <cell r="M576" t="str">
            <v>Shrink H25 x 5</v>
          </cell>
          <cell r="N576">
            <v>154</v>
          </cell>
          <cell r="P576" t="str">
            <v>L-2T</v>
          </cell>
          <cell r="Q576">
            <v>3</v>
          </cell>
          <cell r="R576">
            <v>2</v>
          </cell>
          <cell r="S576" t="str">
            <v>Rode rijst D-1 - PULLED CHICKEN D-2 ontdooien</v>
          </cell>
          <cell r="T576">
            <v>3500</v>
          </cell>
          <cell r="U576">
            <v>6</v>
          </cell>
          <cell r="V576">
            <v>3500</v>
          </cell>
          <cell r="W576">
            <v>6</v>
          </cell>
          <cell r="Z576">
            <v>0.03</v>
          </cell>
          <cell r="AA576" t="str">
            <v>! ! ! ! !</v>
          </cell>
          <cell r="AB576">
            <v>6000</v>
          </cell>
          <cell r="AC576">
            <v>0</v>
          </cell>
          <cell r="AG576">
            <v>68</v>
          </cell>
          <cell r="AJ576" t="str">
            <v>-</v>
          </cell>
          <cell r="AL576">
            <v>4080</v>
          </cell>
          <cell r="AM576">
            <v>3500</v>
          </cell>
          <cell r="AN576" t="e">
            <v>#VALUE!</v>
          </cell>
          <cell r="AO576" t="e">
            <v>#VALUE!</v>
          </cell>
          <cell r="AP576">
            <v>580</v>
          </cell>
        </row>
        <row r="577">
          <cell r="A577">
            <v>66812200</v>
          </cell>
          <cell r="B577">
            <v>40279400</v>
          </cell>
          <cell r="C577">
            <v>66812200</v>
          </cell>
          <cell r="D577" t="str">
            <v>FITMEALS EW KOOLVIS DUGLERE RIJST GR GROENTEN 425G</v>
          </cell>
          <cell r="E577" t="str">
            <v>FITMEALS</v>
          </cell>
          <cell r="F577" t="str">
            <v>355mm</v>
          </cell>
          <cell r="G577" t="str">
            <v>NOVATO KRAFT</v>
          </cell>
          <cell r="H577">
            <v>548</v>
          </cell>
          <cell r="I577">
            <v>0.42499999999999999</v>
          </cell>
          <cell r="J577" t="str">
            <v>H25</v>
          </cell>
          <cell r="K577" t="str">
            <v>NVT</v>
          </cell>
          <cell r="L577">
            <v>5</v>
          </cell>
          <cell r="M577" t="str">
            <v>Shrink H25 x 5</v>
          </cell>
          <cell r="N577">
            <v>154</v>
          </cell>
          <cell r="P577" t="str">
            <v>L-2T</v>
          </cell>
          <cell r="Q577">
            <v>3</v>
          </cell>
          <cell r="R577">
            <v>2</v>
          </cell>
          <cell r="T577">
            <v>3500</v>
          </cell>
          <cell r="U577">
            <v>8</v>
          </cell>
          <cell r="V577">
            <v>3500</v>
          </cell>
          <cell r="W577">
            <v>8</v>
          </cell>
          <cell r="Z577">
            <v>0.03</v>
          </cell>
          <cell r="AA577" t="str">
            <v>! ! ! !</v>
          </cell>
          <cell r="AB577">
            <v>6000</v>
          </cell>
          <cell r="AC577">
            <v>0</v>
          </cell>
          <cell r="AG577">
            <v>68</v>
          </cell>
          <cell r="AJ577" t="str">
            <v>V-A </v>
          </cell>
          <cell r="AL577">
            <v>4080</v>
          </cell>
          <cell r="AM577">
            <v>3500</v>
          </cell>
          <cell r="AN577" t="e">
            <v>#VALUE!</v>
          </cell>
          <cell r="AO577" t="e">
            <v>#VALUE!</v>
          </cell>
          <cell r="AP577">
            <v>580</v>
          </cell>
        </row>
        <row r="578">
          <cell r="A578">
            <v>66812300</v>
          </cell>
          <cell r="B578">
            <v>40279500</v>
          </cell>
          <cell r="C578">
            <v>66812300</v>
          </cell>
          <cell r="D578" t="str">
            <v>FITMEALS EW RISOTTO KIP BOSCHAMPIGNON 425G</v>
          </cell>
          <cell r="E578" t="str">
            <v>FITMEALS</v>
          </cell>
          <cell r="F578" t="str">
            <v>355mm</v>
          </cell>
          <cell r="G578" t="str">
            <v>NOVATO KRAFT</v>
          </cell>
          <cell r="H578">
            <v>548</v>
          </cell>
          <cell r="I578">
            <v>0.42499999999999999</v>
          </cell>
          <cell r="J578" t="str">
            <v>H25</v>
          </cell>
          <cell r="K578" t="str">
            <v>NVT</v>
          </cell>
          <cell r="L578">
            <v>5</v>
          </cell>
          <cell r="M578" t="str">
            <v>Shrink H25 x 5</v>
          </cell>
          <cell r="N578">
            <v>154</v>
          </cell>
          <cell r="O578">
            <v>8721516630506</v>
          </cell>
          <cell r="P578" t="str">
            <v>I-2T-K</v>
          </cell>
          <cell r="Q578">
            <v>2</v>
          </cell>
          <cell r="R578">
            <v>2</v>
          </cell>
          <cell r="T578">
            <v>3500</v>
          </cell>
          <cell r="U578">
            <v>7</v>
          </cell>
          <cell r="V578">
            <v>3500</v>
          </cell>
          <cell r="W578">
            <v>7</v>
          </cell>
          <cell r="Z578">
            <v>3.2000000000000001E-2</v>
          </cell>
          <cell r="AA578" t="str">
            <v>! ! !</v>
          </cell>
          <cell r="AB578">
            <v>26800</v>
          </cell>
          <cell r="AC578">
            <v>0</v>
          </cell>
          <cell r="AG578">
            <v>68</v>
          </cell>
          <cell r="AJ578" t="str">
            <v>-</v>
          </cell>
          <cell r="AL578">
            <v>4080</v>
          </cell>
          <cell r="AM578">
            <v>3500</v>
          </cell>
          <cell r="AN578" t="e">
            <v>#VALUE!</v>
          </cell>
          <cell r="AO578" t="e">
            <v>#VALUE!</v>
          </cell>
          <cell r="AP578">
            <v>580</v>
          </cell>
        </row>
        <row r="579">
          <cell r="A579">
            <v>66812400</v>
          </cell>
          <cell r="B579">
            <v>40279600</v>
          </cell>
          <cell r="C579">
            <v>66812400</v>
          </cell>
          <cell r="D579" t="str">
            <v>FITMEALS EW KIP SATE BAMI GORENG BROCC HALAL 425G</v>
          </cell>
          <cell r="E579" t="str">
            <v>FITMEALS</v>
          </cell>
          <cell r="F579" t="str">
            <v>355mm</v>
          </cell>
          <cell r="G579" t="str">
            <v>NOVATO KRAFT</v>
          </cell>
          <cell r="H579">
            <v>548</v>
          </cell>
          <cell r="I579">
            <v>0.42499999999999999</v>
          </cell>
          <cell r="J579" t="str">
            <v>H25</v>
          </cell>
          <cell r="K579" t="str">
            <v>NVT</v>
          </cell>
          <cell r="L579">
            <v>5</v>
          </cell>
          <cell r="M579" t="str">
            <v>Shrink H25 x 5</v>
          </cell>
          <cell r="N579">
            <v>154</v>
          </cell>
          <cell r="O579">
            <v>8721325521590</v>
          </cell>
          <cell r="P579" t="str">
            <v>I-L-2T</v>
          </cell>
          <cell r="Q579">
            <v>3</v>
          </cell>
          <cell r="R579">
            <v>2</v>
          </cell>
          <cell r="S579" t="str">
            <v>HALAL</v>
          </cell>
          <cell r="T579">
            <v>3500</v>
          </cell>
          <cell r="U579">
            <v>7</v>
          </cell>
          <cell r="V579">
            <v>3500</v>
          </cell>
          <cell r="W579">
            <v>7</v>
          </cell>
          <cell r="X579">
            <v>0</v>
          </cell>
          <cell r="Y579">
            <v>0</v>
          </cell>
          <cell r="Z579">
            <v>0.03</v>
          </cell>
          <cell r="AA579" t="str">
            <v>X</v>
          </cell>
          <cell r="AB579">
            <v>6000</v>
          </cell>
          <cell r="AG579">
            <v>68</v>
          </cell>
          <cell r="AJ579" t="str">
            <v>-</v>
          </cell>
          <cell r="AL579">
            <v>4080</v>
          </cell>
          <cell r="AM579">
            <v>3500</v>
          </cell>
          <cell r="AN579" t="e">
            <v>#VALUE!</v>
          </cell>
          <cell r="AO579" t="e">
            <v>#VALUE!</v>
          </cell>
          <cell r="AP579">
            <v>580</v>
          </cell>
        </row>
        <row r="580">
          <cell r="A580">
            <v>66812500</v>
          </cell>
          <cell r="B580">
            <v>40279700</v>
          </cell>
          <cell r="C580">
            <v>66812500</v>
          </cell>
          <cell r="D580" t="str">
            <v>FITMEALS EW KEBAB BBQ SAUS GEBAKKEN AARDAP 425G</v>
          </cell>
          <cell r="E580" t="str">
            <v>FITMEALS</v>
          </cell>
          <cell r="F580" t="str">
            <v>355mm</v>
          </cell>
          <cell r="G580" t="str">
            <v>NOVATO KRAFT</v>
          </cell>
          <cell r="H580">
            <v>456</v>
          </cell>
          <cell r="I580">
            <v>0.42499999999999999</v>
          </cell>
          <cell r="J580" t="str">
            <v>H25</v>
          </cell>
          <cell r="K580" t="str">
            <v>NVT</v>
          </cell>
          <cell r="L580">
            <v>5</v>
          </cell>
          <cell r="M580" t="str">
            <v>Shrink H25 x 5</v>
          </cell>
          <cell r="N580">
            <v>154</v>
          </cell>
          <cell r="P580" t="str">
            <v>I-2T</v>
          </cell>
          <cell r="Q580">
            <v>2</v>
          </cell>
          <cell r="R580">
            <v>2</v>
          </cell>
          <cell r="T580">
            <v>3500</v>
          </cell>
          <cell r="U580">
            <v>7</v>
          </cell>
          <cell r="V580">
            <v>3500</v>
          </cell>
          <cell r="W580">
            <v>7</v>
          </cell>
          <cell r="X580">
            <v>0</v>
          </cell>
          <cell r="Y580">
            <v>0</v>
          </cell>
          <cell r="Z580">
            <v>0.03</v>
          </cell>
          <cell r="AA580" t="str">
            <v>! ! !</v>
          </cell>
          <cell r="AB580">
            <v>6000</v>
          </cell>
          <cell r="AG580">
            <v>68</v>
          </cell>
          <cell r="AJ580" t="str">
            <v>-</v>
          </cell>
          <cell r="AL580">
            <v>4080</v>
          </cell>
          <cell r="AM580">
            <v>3500</v>
          </cell>
          <cell r="AN580" t="e">
            <v>#VALUE!</v>
          </cell>
          <cell r="AO580" t="e">
            <v>#VALUE!</v>
          </cell>
          <cell r="AP580">
            <v>580</v>
          </cell>
        </row>
        <row r="581">
          <cell r="A581">
            <v>66812600</v>
          </cell>
          <cell r="B581">
            <v>40292800</v>
          </cell>
          <cell r="C581">
            <v>66812600</v>
          </cell>
          <cell r="D581" t="str">
            <v>FITMEALS EW SPAGHETTI KIP CARBONARA ERWT BROC 425G</v>
          </cell>
          <cell r="E581" t="str">
            <v>FITMEALS</v>
          </cell>
          <cell r="F581" t="str">
            <v>355mm</v>
          </cell>
          <cell r="G581" t="str">
            <v>NOVATO KRAFT</v>
          </cell>
          <cell r="H581">
            <v>456</v>
          </cell>
          <cell r="I581">
            <v>0.42499999999999999</v>
          </cell>
          <cell r="J581" t="str">
            <v>H25</v>
          </cell>
          <cell r="K581" t="str">
            <v>NVT</v>
          </cell>
          <cell r="L581">
            <v>5</v>
          </cell>
          <cell r="M581" t="str">
            <v>Shrink H25 x 5</v>
          </cell>
          <cell r="N581">
            <v>154</v>
          </cell>
          <cell r="O581" t="str">
            <v>8721516630490 </v>
          </cell>
          <cell r="P581" t="str">
            <v>I-L-2T</v>
          </cell>
          <cell r="Q581">
            <v>2</v>
          </cell>
          <cell r="R581">
            <v>2</v>
          </cell>
          <cell r="T581">
            <v>3500</v>
          </cell>
          <cell r="U581">
            <v>7</v>
          </cell>
          <cell r="V581">
            <v>3500</v>
          </cell>
          <cell r="W581">
            <v>7</v>
          </cell>
          <cell r="Z581">
            <v>3.2000000000000001E-2</v>
          </cell>
          <cell r="AA581" t="str">
            <v>! !</v>
          </cell>
          <cell r="AB581">
            <v>26800</v>
          </cell>
          <cell r="AG581">
            <v>68</v>
          </cell>
          <cell r="AJ581" t="str">
            <v>V-A </v>
          </cell>
          <cell r="AL581">
            <v>4080</v>
          </cell>
          <cell r="AM581">
            <v>3500</v>
          </cell>
          <cell r="AN581" t="e">
            <v>#VALUE!</v>
          </cell>
          <cell r="AO581" t="e">
            <v>#VALUE!</v>
          </cell>
          <cell r="AP581">
            <v>580</v>
          </cell>
        </row>
        <row r="582">
          <cell r="A582">
            <v>66812700</v>
          </cell>
          <cell r="C582">
            <v>66812700</v>
          </cell>
          <cell r="D582" t="str">
            <v>FITMEALS EW KIP THAI RED CURRY RIJSTMIX 425G</v>
          </cell>
          <cell r="AL582">
            <v>0</v>
          </cell>
          <cell r="AM582">
            <v>0</v>
          </cell>
          <cell r="AN582" t="e">
            <v>#VALUE!</v>
          </cell>
          <cell r="AO582" t="str">
            <v/>
          </cell>
        </row>
        <row r="583">
          <cell r="A583">
            <v>66812800</v>
          </cell>
          <cell r="C583">
            <v>66812800</v>
          </cell>
          <cell r="D583" t="str">
            <v>FITMEALS EW MACARONI KAASSAUS KIP 350G MONO</v>
          </cell>
          <cell r="AL583">
            <v>0</v>
          </cell>
          <cell r="AM583">
            <v>0</v>
          </cell>
          <cell r="AN583" t="e">
            <v>#VALUE!</v>
          </cell>
          <cell r="AO583" t="str">
            <v/>
          </cell>
        </row>
        <row r="584">
          <cell r="A584">
            <v>66812900</v>
          </cell>
          <cell r="C584">
            <v>66812900</v>
          </cell>
          <cell r="D584" t="str">
            <v>FITMEALS EW CHICKEN PULLED MEXICAN RIJST 425G</v>
          </cell>
          <cell r="AL584">
            <v>0</v>
          </cell>
          <cell r="AM584">
            <v>0</v>
          </cell>
          <cell r="AN584" t="e">
            <v>#VALUE!</v>
          </cell>
          <cell r="AO584" t="str">
            <v/>
          </cell>
        </row>
        <row r="585">
          <cell r="A585">
            <v>66830000</v>
          </cell>
          <cell r="B585">
            <v>40279600</v>
          </cell>
          <cell r="C585">
            <v>66830000</v>
          </cell>
          <cell r="D585" t="str">
            <v>FITMEALS EW KIP SATE BAMI GORENG HALAL 425G (MIXED)</v>
          </cell>
          <cell r="E585" t="str">
            <v>FITMEALS</v>
          </cell>
          <cell r="F585" t="str">
            <v>355mm</v>
          </cell>
          <cell r="G585" t="str">
            <v>NOVATO KRAFT</v>
          </cell>
          <cell r="H585">
            <v>548</v>
          </cell>
          <cell r="I585">
            <v>0.42499999999999999</v>
          </cell>
          <cell r="J585" t="str">
            <v>H25</v>
          </cell>
          <cell r="K585" t="str">
            <v>NVT</v>
          </cell>
          <cell r="L585">
            <v>16</v>
          </cell>
          <cell r="M585" t="str">
            <v>DOOS H25x16</v>
          </cell>
          <cell r="N585">
            <v>36</v>
          </cell>
          <cell r="O585" t="str">
            <v>8721516630360 </v>
          </cell>
          <cell r="P585" t="str">
            <v>I-L-2T</v>
          </cell>
          <cell r="Q585">
            <v>3</v>
          </cell>
          <cell r="R585">
            <v>2</v>
          </cell>
          <cell r="S585" t="str">
            <v>HALAL</v>
          </cell>
          <cell r="T585">
            <v>3500</v>
          </cell>
          <cell r="U585">
            <v>7</v>
          </cell>
          <cell r="V585">
            <v>3500</v>
          </cell>
          <cell r="W585">
            <v>7</v>
          </cell>
          <cell r="Z585">
            <v>0.1691</v>
          </cell>
          <cell r="AA585" t="str">
            <v>X</v>
          </cell>
          <cell r="AB585">
            <v>26810</v>
          </cell>
          <cell r="AG585">
            <v>68</v>
          </cell>
          <cell r="AJ585" t="str">
            <v>-</v>
          </cell>
          <cell r="AL585">
            <v>4080</v>
          </cell>
          <cell r="AM585">
            <v>3500</v>
          </cell>
          <cell r="AN585" t="e">
            <v>#VALUE!</v>
          </cell>
          <cell r="AO585" t="e">
            <v>#VALUE!</v>
          </cell>
        </row>
        <row r="586">
          <cell r="A586">
            <v>66830100</v>
          </cell>
          <cell r="B586">
            <v>40284200</v>
          </cell>
          <cell r="C586">
            <v>66830100</v>
          </cell>
          <cell r="D586" t="str">
            <v>FITMEALS EW MACARONI KAASSAUS KIP 350G (MIXED)</v>
          </cell>
          <cell r="E586" t="str">
            <v>FITMEALS</v>
          </cell>
          <cell r="F586" t="str">
            <v>355mm</v>
          </cell>
          <cell r="G586" t="str">
            <v>NOVATO KRAFT</v>
          </cell>
          <cell r="H586">
            <v>548</v>
          </cell>
          <cell r="I586">
            <v>0.35</v>
          </cell>
          <cell r="J586" t="str">
            <v>H25</v>
          </cell>
          <cell r="K586" t="str">
            <v>NVT</v>
          </cell>
          <cell r="L586">
            <v>16</v>
          </cell>
          <cell r="M586" t="str">
            <v>DOOS H25x16</v>
          </cell>
          <cell r="N586">
            <v>36</v>
          </cell>
          <cell r="O586" t="str">
            <v>8721516630339 </v>
          </cell>
          <cell r="P586" t="str">
            <v>I-L-2T</v>
          </cell>
          <cell r="Q586">
            <v>2</v>
          </cell>
          <cell r="R586">
            <v>2</v>
          </cell>
          <cell r="T586">
            <v>3500</v>
          </cell>
          <cell r="U586">
            <v>7</v>
          </cell>
          <cell r="V586">
            <v>3500</v>
          </cell>
          <cell r="W586">
            <v>7</v>
          </cell>
          <cell r="Z586">
            <v>0.1691</v>
          </cell>
          <cell r="AA586" t="str">
            <v>! !</v>
          </cell>
          <cell r="AB586">
            <v>26810</v>
          </cell>
          <cell r="AG586">
            <v>68</v>
          </cell>
          <cell r="AJ586" t="str">
            <v>-</v>
          </cell>
          <cell r="AL586">
            <v>4080</v>
          </cell>
          <cell r="AM586">
            <v>3500</v>
          </cell>
          <cell r="AN586" t="e">
            <v>#VALUE!</v>
          </cell>
          <cell r="AO586" t="e">
            <v>#VALUE!</v>
          </cell>
        </row>
        <row r="587">
          <cell r="A587">
            <v>66840000</v>
          </cell>
          <cell r="B587">
            <v>40295700</v>
          </cell>
          <cell r="D587" t="str">
            <v>ALDI NL KIPFILET CHAMPIGN GEB AARDAP 450G (8X)</v>
          </cell>
          <cell r="E587" t="str">
            <v>ALDI NL</v>
          </cell>
          <cell r="F587" t="str">
            <v>355mm</v>
          </cell>
          <cell r="G587" t="str">
            <v>NOVATO KRAFT</v>
          </cell>
          <cell r="H587">
            <v>456</v>
          </cell>
          <cell r="I587">
            <v>0.45</v>
          </cell>
          <cell r="J587" t="str">
            <v>H25</v>
          </cell>
          <cell r="K587" t="str">
            <v>NVT</v>
          </cell>
          <cell r="L587">
            <v>16</v>
          </cell>
          <cell r="M587" t="str">
            <v>DOOS H25x16</v>
          </cell>
          <cell r="N587">
            <v>36</v>
          </cell>
          <cell r="Z587">
            <v>0.38019999999999998</v>
          </cell>
        </row>
        <row r="588">
          <cell r="A588">
            <v>66840100</v>
          </cell>
          <cell r="B588">
            <v>40295800</v>
          </cell>
          <cell r="D588" t="str">
            <v>ALDI NL OVENSCHOTEL GEHAKT PREI PUREE 450G (8X)</v>
          </cell>
          <cell r="E588" t="str">
            <v>ALDI NL</v>
          </cell>
          <cell r="F588" t="str">
            <v>355mm</v>
          </cell>
          <cell r="G588" t="str">
            <v>NOVATO KRAFT</v>
          </cell>
          <cell r="H588">
            <v>365</v>
          </cell>
          <cell r="I588">
            <v>0.45</v>
          </cell>
          <cell r="J588" t="str">
            <v>H25</v>
          </cell>
          <cell r="K588" t="str">
            <v>NVT</v>
          </cell>
          <cell r="L588">
            <v>16</v>
          </cell>
          <cell r="M588" t="str">
            <v>DOOS H25x16</v>
          </cell>
          <cell r="N588">
            <v>36</v>
          </cell>
          <cell r="Z588">
            <v>0.38019999999999998</v>
          </cell>
        </row>
        <row r="589">
          <cell r="A589">
            <v>66841000</v>
          </cell>
          <cell r="B589">
            <v>40296500</v>
          </cell>
          <cell r="D589" t="str">
            <v>ALDI NL EW KIP SATE NOEDEL BROCCOLI 425G (8X)</v>
          </cell>
          <cell r="E589" t="str">
            <v>ALDI NL</v>
          </cell>
          <cell r="F589" t="str">
            <v>355mm</v>
          </cell>
          <cell r="G589" t="str">
            <v>NOVATO KRAFT</v>
          </cell>
          <cell r="H589">
            <v>456</v>
          </cell>
          <cell r="I589">
            <v>0.42499999999999999</v>
          </cell>
          <cell r="J589" t="str">
            <v>H25</v>
          </cell>
          <cell r="K589" t="str">
            <v>NVT</v>
          </cell>
          <cell r="L589">
            <v>16</v>
          </cell>
          <cell r="M589" t="str">
            <v>DOOS H25x16</v>
          </cell>
          <cell r="N589">
            <v>36</v>
          </cell>
          <cell r="Z589">
            <v>0.376</v>
          </cell>
        </row>
        <row r="590">
          <cell r="A590">
            <v>66841100</v>
          </cell>
          <cell r="B590">
            <v>40296600</v>
          </cell>
          <cell r="D590" t="str">
            <v>ALDI NL EW KIP TERIYAKI PANDAN EDAMAME 425G (8X)</v>
          </cell>
          <cell r="E590" t="str">
            <v>ALDI NL</v>
          </cell>
          <cell r="F590" t="str">
            <v>355mm</v>
          </cell>
          <cell r="G590" t="str">
            <v>NOVATO KRAFT</v>
          </cell>
          <cell r="H590">
            <v>456</v>
          </cell>
          <cell r="I590">
            <v>0.42499999999999999</v>
          </cell>
          <cell r="J590" t="str">
            <v>H25</v>
          </cell>
          <cell r="K590" t="str">
            <v>NVT</v>
          </cell>
          <cell r="L590">
            <v>16</v>
          </cell>
          <cell r="M590" t="str">
            <v>DOOS H25x16</v>
          </cell>
          <cell r="N590">
            <v>36</v>
          </cell>
          <cell r="Z590">
            <v>0.376</v>
          </cell>
        </row>
        <row r="591">
          <cell r="A591">
            <v>66850000</v>
          </cell>
          <cell r="B591">
            <v>40291900</v>
          </cell>
          <cell r="D591" t="str">
            <v>AH TORTELLONI RICOTTA SPINAZIE TOMAATSAUS 450G</v>
          </cell>
          <cell r="E591" t="str">
            <v>Albert Heijn</v>
          </cell>
          <cell r="F591" t="str">
            <v>355mm</v>
          </cell>
          <cell r="G591" t="str">
            <v>SOFITRAY KRAFT</v>
          </cell>
          <cell r="H591">
            <v>456</v>
          </cell>
          <cell r="I591">
            <v>0.45</v>
          </cell>
          <cell r="J591" t="str">
            <v>H25</v>
          </cell>
          <cell r="K591" t="str">
            <v>NVT</v>
          </cell>
          <cell r="L591">
            <v>5</v>
          </cell>
          <cell r="M591" t="str">
            <v>Shrink H25 x 5</v>
          </cell>
          <cell r="N591">
            <v>154</v>
          </cell>
          <cell r="T591">
            <v>3500</v>
          </cell>
          <cell r="V591">
            <v>3500</v>
          </cell>
          <cell r="Z591">
            <v>0.16</v>
          </cell>
          <cell r="AB591">
            <v>22000</v>
          </cell>
          <cell r="AG591">
            <v>68</v>
          </cell>
          <cell r="AL591">
            <v>4080</v>
          </cell>
          <cell r="AM591">
            <v>3500</v>
          </cell>
          <cell r="AN591" t="e">
            <v>#VALUE!</v>
          </cell>
          <cell r="AO591" t="e">
            <v>#VALUE!</v>
          </cell>
        </row>
        <row r="592">
          <cell r="A592">
            <v>66850100</v>
          </cell>
          <cell r="B592">
            <v>40292000</v>
          </cell>
          <cell r="D592" t="str">
            <v>AH KIP BLK BUTTER MASALA BASMATI UIEN CHUTNEY450G</v>
          </cell>
          <cell r="E592" t="str">
            <v>Albert Heijn</v>
          </cell>
          <cell r="F592" t="str">
            <v>355mm</v>
          </cell>
          <cell r="G592" t="str">
            <v>SOFITRAY KRAFT</v>
          </cell>
          <cell r="H592">
            <v>456</v>
          </cell>
          <cell r="I592">
            <v>0.45</v>
          </cell>
          <cell r="J592" t="str">
            <v>H25</v>
          </cell>
          <cell r="K592" t="str">
            <v>NVT</v>
          </cell>
          <cell r="L592">
            <v>5</v>
          </cell>
          <cell r="M592" t="str">
            <v>Shrink H25 x 5</v>
          </cell>
          <cell r="N592">
            <v>154</v>
          </cell>
          <cell r="T592">
            <v>3500</v>
          </cell>
          <cell r="V592">
            <v>3500</v>
          </cell>
          <cell r="Z592">
            <v>0.16</v>
          </cell>
          <cell r="AB592">
            <v>22000</v>
          </cell>
          <cell r="AG592">
            <v>68</v>
          </cell>
          <cell r="AL592">
            <v>4080</v>
          </cell>
          <cell r="AM592">
            <v>3500</v>
          </cell>
          <cell r="AN592" t="e">
            <v>#VALUE!</v>
          </cell>
          <cell r="AO592" t="e">
            <v>#VALUE!</v>
          </cell>
        </row>
        <row r="593">
          <cell r="A593">
            <v>66850200</v>
          </cell>
          <cell r="B593">
            <v>40292100</v>
          </cell>
          <cell r="D593" t="str">
            <v>AH KIP BLK TERIYAKI KIMCHI PANDAN RIJST SOJAB 450G</v>
          </cell>
          <cell r="E593" t="str">
            <v>Albert Heijn</v>
          </cell>
          <cell r="F593" t="str">
            <v>355mm</v>
          </cell>
          <cell r="G593" t="str">
            <v>SOFITRAY KRAFT</v>
          </cell>
          <cell r="H593">
            <v>456</v>
          </cell>
          <cell r="I593">
            <v>0.45</v>
          </cell>
          <cell r="J593" t="str">
            <v>H25</v>
          </cell>
          <cell r="K593" t="str">
            <v>NVT</v>
          </cell>
          <cell r="L593">
            <v>5</v>
          </cell>
          <cell r="M593" t="str">
            <v>Shrink H25 x 5</v>
          </cell>
          <cell r="N593">
            <v>154</v>
          </cell>
          <cell r="T593">
            <v>3500</v>
          </cell>
          <cell r="V593">
            <v>3500</v>
          </cell>
          <cell r="Z593">
            <v>0.16</v>
          </cell>
          <cell r="AB593">
            <v>22000</v>
          </cell>
          <cell r="AG593">
            <v>68</v>
          </cell>
          <cell r="AL593">
            <v>4080</v>
          </cell>
          <cell r="AM593">
            <v>3500</v>
          </cell>
          <cell r="AN593" t="e">
            <v>#VALUE!</v>
          </cell>
          <cell r="AO593" t="e">
            <v>#VALUE!</v>
          </cell>
        </row>
        <row r="594">
          <cell r="A594">
            <v>66850300</v>
          </cell>
          <cell r="B594">
            <v>40292200</v>
          </cell>
          <cell r="D594" t="str">
            <v>AH KIP BLK TERIYAKI UDON NOEDELS WOKGROENTEN 450G</v>
          </cell>
          <cell r="E594" t="str">
            <v>Albert Heijn</v>
          </cell>
          <cell r="F594" t="str">
            <v>355mm</v>
          </cell>
          <cell r="G594" t="str">
            <v>SOFITRAY KRAFT</v>
          </cell>
          <cell r="H594">
            <v>456</v>
          </cell>
          <cell r="I594">
            <v>0.45</v>
          </cell>
          <cell r="J594" t="str">
            <v>H25</v>
          </cell>
          <cell r="K594" t="str">
            <v>NVT</v>
          </cell>
          <cell r="L594">
            <v>5</v>
          </cell>
          <cell r="M594" t="str">
            <v>Shrink H25 x 5</v>
          </cell>
          <cell r="N594">
            <v>154</v>
          </cell>
          <cell r="T594">
            <v>3500</v>
          </cell>
          <cell r="V594">
            <v>3500</v>
          </cell>
          <cell r="Z594">
            <v>0.16</v>
          </cell>
          <cell r="AB594">
            <v>22000</v>
          </cell>
          <cell r="AG594">
            <v>68</v>
          </cell>
          <cell r="AL594">
            <v>4080</v>
          </cell>
          <cell r="AM594">
            <v>3500</v>
          </cell>
          <cell r="AN594" t="e">
            <v>#VALUE!</v>
          </cell>
          <cell r="AO594" t="e">
            <v>#VALUE!</v>
          </cell>
        </row>
        <row r="595">
          <cell r="A595">
            <v>66850400</v>
          </cell>
          <cell r="B595">
            <v>40292300</v>
          </cell>
          <cell r="D595" t="str">
            <v>AH KIP BLK GRAANMOSTERD GEB AARDAP WORTEL 450G</v>
          </cell>
          <cell r="E595" t="str">
            <v>Albert Heijn</v>
          </cell>
          <cell r="F595" t="str">
            <v>355mm</v>
          </cell>
          <cell r="G595" t="str">
            <v>SOFITRAY KRAFT</v>
          </cell>
          <cell r="H595">
            <v>456</v>
          </cell>
          <cell r="I595">
            <v>0.45</v>
          </cell>
          <cell r="J595" t="str">
            <v>H25</v>
          </cell>
          <cell r="K595" t="str">
            <v>NVT</v>
          </cell>
          <cell r="L595">
            <v>5</v>
          </cell>
          <cell r="M595" t="str">
            <v>Shrink H25 x 5</v>
          </cell>
          <cell r="N595">
            <v>154</v>
          </cell>
          <cell r="T595">
            <v>3500</v>
          </cell>
          <cell r="V595">
            <v>3500</v>
          </cell>
          <cell r="Z595">
            <v>0.16</v>
          </cell>
          <cell r="AB595">
            <v>22000</v>
          </cell>
          <cell r="AG595">
            <v>68</v>
          </cell>
          <cell r="AL595">
            <v>4080</v>
          </cell>
          <cell r="AM595">
            <v>3500</v>
          </cell>
          <cell r="AN595" t="e">
            <v>#VALUE!</v>
          </cell>
          <cell r="AO595" t="e">
            <v>#VALUE!</v>
          </cell>
        </row>
        <row r="596">
          <cell r="A596">
            <v>66850500</v>
          </cell>
          <cell r="B596">
            <v>40292400</v>
          </cell>
          <cell r="D596" t="str">
            <v>AH RENDANG RUND BLK GELE BASMATI BONEN ATJAR 450G</v>
          </cell>
          <cell r="E596" t="str">
            <v>Albert Heijn</v>
          </cell>
          <cell r="F596" t="str">
            <v>355mm</v>
          </cell>
          <cell r="G596" t="str">
            <v>SOFITRAY KRAFT</v>
          </cell>
          <cell r="H596">
            <v>456</v>
          </cell>
          <cell r="I596">
            <v>0.45</v>
          </cell>
          <cell r="J596" t="str">
            <v>H25</v>
          </cell>
          <cell r="K596" t="str">
            <v>NVT</v>
          </cell>
          <cell r="L596">
            <v>5</v>
          </cell>
          <cell r="M596" t="str">
            <v>Shrink H25 x 5</v>
          </cell>
          <cell r="N596">
            <v>154</v>
          </cell>
          <cell r="T596">
            <v>3500</v>
          </cell>
          <cell r="V596">
            <v>3500</v>
          </cell>
          <cell r="Z596">
            <v>0.16</v>
          </cell>
          <cell r="AB596">
            <v>22000</v>
          </cell>
          <cell r="AG596">
            <v>68</v>
          </cell>
          <cell r="AL596">
            <v>4080</v>
          </cell>
          <cell r="AM596">
            <v>3500</v>
          </cell>
          <cell r="AN596" t="e">
            <v>#VALUE!</v>
          </cell>
          <cell r="AO596" t="e">
            <v>#VALUE!</v>
          </cell>
        </row>
        <row r="597">
          <cell r="A597">
            <v>66850600</v>
          </cell>
          <cell r="B597">
            <v>40292500</v>
          </cell>
          <cell r="D597" t="str">
            <v>AH TAGLIATELLE ITALIAANSE RAGU VA RU BLK 450G</v>
          </cell>
          <cell r="E597" t="str">
            <v>Albert Heijn</v>
          </cell>
          <cell r="F597" t="str">
            <v>355mm</v>
          </cell>
          <cell r="G597" t="str">
            <v>SOFITRAY KRAFT</v>
          </cell>
          <cell r="H597">
            <v>365</v>
          </cell>
          <cell r="I597">
            <v>0.45</v>
          </cell>
          <cell r="J597" t="str">
            <v>H25</v>
          </cell>
          <cell r="K597" t="str">
            <v>NVT</v>
          </cell>
          <cell r="L597">
            <v>5</v>
          </cell>
          <cell r="M597" t="str">
            <v>Shrink H25 x 5</v>
          </cell>
          <cell r="N597">
            <v>154</v>
          </cell>
          <cell r="T597">
            <v>3500</v>
          </cell>
          <cell r="V597">
            <v>3500</v>
          </cell>
          <cell r="Z597">
            <v>0.16</v>
          </cell>
          <cell r="AB597">
            <v>22000</v>
          </cell>
          <cell r="AG597">
            <v>68</v>
          </cell>
          <cell r="AL597">
            <v>4080</v>
          </cell>
          <cell r="AM597">
            <v>3500</v>
          </cell>
          <cell r="AN597" t="e">
            <v>#VALUE!</v>
          </cell>
          <cell r="AO597" t="e">
            <v>#VALUE!</v>
          </cell>
        </row>
        <row r="598">
          <cell r="A598">
            <v>66850700</v>
          </cell>
          <cell r="B598">
            <v>40292600</v>
          </cell>
          <cell r="D598" t="str">
            <v>AH GARNALEN ASC THAI PANANG CURRY RIJST 450G</v>
          </cell>
          <cell r="E598" t="str">
            <v>Albert Heijn</v>
          </cell>
          <cell r="F598" t="str">
            <v>355mm</v>
          </cell>
          <cell r="G598" t="str">
            <v>SOFITRAY KRAFT</v>
          </cell>
          <cell r="H598">
            <v>456</v>
          </cell>
          <cell r="I598">
            <v>0.45</v>
          </cell>
          <cell r="J598" t="str">
            <v>H25</v>
          </cell>
          <cell r="K598" t="str">
            <v>NVT</v>
          </cell>
          <cell r="L598">
            <v>5</v>
          </cell>
          <cell r="M598" t="str">
            <v>Shrink H25 x 5</v>
          </cell>
          <cell r="N598">
            <v>154</v>
          </cell>
          <cell r="T598">
            <v>3500</v>
          </cell>
          <cell r="V598">
            <v>3500</v>
          </cell>
          <cell r="Z598">
            <v>0.16</v>
          </cell>
          <cell r="AB598">
            <v>22000</v>
          </cell>
          <cell r="AG598">
            <v>68</v>
          </cell>
          <cell r="AL598">
            <v>4080</v>
          </cell>
          <cell r="AM598">
            <v>3500</v>
          </cell>
          <cell r="AN598" t="e">
            <v>#VALUE!</v>
          </cell>
          <cell r="AO598" t="e">
            <v>#VALUE!</v>
          </cell>
        </row>
        <row r="599">
          <cell r="A599">
            <v>66850800</v>
          </cell>
          <cell r="B599">
            <v>40292700</v>
          </cell>
          <cell r="D599" t="str">
            <v>AH ZALM ASC BLANKE BOTERSAUS RIJST BONEN 450G</v>
          </cell>
          <cell r="E599" t="str">
            <v>Albert Heijn</v>
          </cell>
          <cell r="F599" t="str">
            <v>355mm</v>
          </cell>
          <cell r="G599" t="str">
            <v>SOFITRAY KRAFT</v>
          </cell>
          <cell r="H599">
            <v>456</v>
          </cell>
          <cell r="I599">
            <v>0.45</v>
          </cell>
          <cell r="J599" t="str">
            <v>H25</v>
          </cell>
          <cell r="K599" t="str">
            <v>NVT</v>
          </cell>
          <cell r="L599">
            <v>5</v>
          </cell>
          <cell r="M599" t="str">
            <v>Shrink H25 x 5</v>
          </cell>
          <cell r="N599">
            <v>154</v>
          </cell>
          <cell r="S599" t="str">
            <v>Rode rijst D-1</v>
          </cell>
          <cell r="Z599">
            <v>0.16</v>
          </cell>
          <cell r="AB599">
            <v>22000</v>
          </cell>
          <cell r="AL599">
            <v>0</v>
          </cell>
          <cell r="AM599">
            <v>0</v>
          </cell>
          <cell r="AN599" t="e">
            <v>#VALUE!</v>
          </cell>
          <cell r="AO599" t="str">
            <v/>
          </cell>
        </row>
        <row r="600">
          <cell r="A600">
            <v>66901700</v>
          </cell>
          <cell r="B600">
            <v>40283900</v>
          </cell>
          <cell r="C600" t="str">
            <v>204917 </v>
          </cell>
          <cell r="D600" t="str">
            <v>LIDL IE PT CH CZ AT FRIET CHEDDAR SPEK 280G(MIXED)</v>
          </cell>
          <cell r="E600" t="str">
            <v>Lidl INT</v>
          </cell>
          <cell r="F600" t="str">
            <v>290mm</v>
          </cell>
          <cell r="G600" t="str">
            <v>AR 1150-8 white/white</v>
          </cell>
          <cell r="H600">
            <v>456</v>
          </cell>
          <cell r="I600">
            <v>0.28000000000000003</v>
          </cell>
          <cell r="J600" t="str">
            <v>H9 45mm</v>
          </cell>
          <cell r="K600" t="str">
            <v>NVT</v>
          </cell>
          <cell r="L600">
            <v>15</v>
          </cell>
          <cell r="M600" t="str">
            <v>H10X18</v>
          </cell>
          <cell r="N600">
            <v>36</v>
          </cell>
          <cell r="O600">
            <v>5400870690175</v>
          </cell>
          <cell r="P600" t="str">
            <v>I-T</v>
          </cell>
          <cell r="Q600">
            <v>1</v>
          </cell>
          <cell r="R600">
            <v>2</v>
          </cell>
          <cell r="T600">
            <v>2200</v>
          </cell>
          <cell r="U600">
            <v>6</v>
          </cell>
          <cell r="V600">
            <v>2200</v>
          </cell>
          <cell r="W600">
            <v>6</v>
          </cell>
          <cell r="Z600">
            <v>0.248</v>
          </cell>
          <cell r="AA600" t="str">
            <v>! !</v>
          </cell>
          <cell r="AG600">
            <v>45</v>
          </cell>
          <cell r="AJ600" t="str">
            <v>V-A </v>
          </cell>
          <cell r="AL600">
            <v>2700</v>
          </cell>
          <cell r="AM600">
            <v>2200</v>
          </cell>
          <cell r="AN600" t="e">
            <v>#VALUE!</v>
          </cell>
          <cell r="AO600" t="e">
            <v>#VALUE!</v>
          </cell>
          <cell r="AP600">
            <v>500</v>
          </cell>
        </row>
        <row r="601">
          <cell r="A601">
            <v>66901800</v>
          </cell>
          <cell r="B601">
            <v>40284000</v>
          </cell>
          <cell r="C601" t="str">
            <v> 204918</v>
          </cell>
          <cell r="D601" t="str">
            <v>LIDL IE PT CH CZ AT FRIET CHEDDAR CHILI 280G(MIXED</v>
          </cell>
          <cell r="E601" t="str">
            <v>Lidl INT</v>
          </cell>
          <cell r="F601" t="str">
            <v>290mm</v>
          </cell>
          <cell r="G601" t="str">
            <v>AR 1150-8 white/white</v>
          </cell>
          <cell r="H601">
            <v>456</v>
          </cell>
          <cell r="I601">
            <v>0.28000000000000003</v>
          </cell>
          <cell r="J601" t="str">
            <v>H9 45mm</v>
          </cell>
          <cell r="K601" t="str">
            <v>NVT</v>
          </cell>
          <cell r="L601">
            <v>15</v>
          </cell>
          <cell r="M601" t="str">
            <v>H10X18</v>
          </cell>
          <cell r="N601">
            <v>36</v>
          </cell>
          <cell r="O601">
            <v>5400870690182</v>
          </cell>
          <cell r="P601" t="str">
            <v>I-T</v>
          </cell>
          <cell r="Q601">
            <v>1</v>
          </cell>
          <cell r="R601">
            <v>2</v>
          </cell>
          <cell r="T601">
            <v>2200</v>
          </cell>
          <cell r="U601">
            <v>6</v>
          </cell>
          <cell r="V601">
            <v>2200</v>
          </cell>
          <cell r="W601">
            <v>6</v>
          </cell>
          <cell r="Z601">
            <v>0.248</v>
          </cell>
          <cell r="AA601" t="str">
            <v>! !</v>
          </cell>
          <cell r="AG601">
            <v>45</v>
          </cell>
          <cell r="AJ601" t="str">
            <v>-</v>
          </cell>
          <cell r="AL601">
            <v>2700</v>
          </cell>
          <cell r="AM601">
            <v>2200</v>
          </cell>
          <cell r="AN601" t="e">
            <v>#VALUE!</v>
          </cell>
          <cell r="AO601" t="e">
            <v>#VALUE!</v>
          </cell>
          <cell r="AP601">
            <v>500</v>
          </cell>
        </row>
        <row r="602">
          <cell r="A602">
            <v>66901900</v>
          </cell>
          <cell r="B602">
            <v>40285400</v>
          </cell>
          <cell r="C602" t="str">
            <v> 204919</v>
          </cell>
          <cell r="D602" t="str">
            <v>LIDL IE PT CH CZ AT FRIET BBQ PULLED CHICK280G(MIXED)</v>
          </cell>
          <cell r="E602" t="str">
            <v>Lidl INT</v>
          </cell>
          <cell r="F602" t="str">
            <v>290mm</v>
          </cell>
          <cell r="G602" t="str">
            <v>AR 1150-8 white/white</v>
          </cell>
          <cell r="H602">
            <v>456</v>
          </cell>
          <cell r="I602">
            <v>0.28000000000000003</v>
          </cell>
          <cell r="J602" t="str">
            <v>H9 45mm</v>
          </cell>
          <cell r="K602" t="str">
            <v>NVT</v>
          </cell>
          <cell r="L602">
            <v>15</v>
          </cell>
          <cell r="M602" t="str">
            <v>H10X18</v>
          </cell>
          <cell r="N602">
            <v>36</v>
          </cell>
          <cell r="O602">
            <v>5400870690199</v>
          </cell>
          <cell r="P602" t="str">
            <v>I-T</v>
          </cell>
          <cell r="Q602">
            <v>1</v>
          </cell>
          <cell r="R602">
            <v>2</v>
          </cell>
          <cell r="S602" t="str">
            <v>PULLED CHICKEN D-2 ontdooien</v>
          </cell>
          <cell r="T602">
            <v>2200</v>
          </cell>
          <cell r="U602">
            <v>6</v>
          </cell>
          <cell r="V602">
            <v>2200</v>
          </cell>
          <cell r="W602">
            <v>6</v>
          </cell>
          <cell r="Z602">
            <v>0.248</v>
          </cell>
          <cell r="AA602" t="str">
            <v>-</v>
          </cell>
          <cell r="AG602">
            <v>45</v>
          </cell>
          <cell r="AJ602" t="str">
            <v> -</v>
          </cell>
          <cell r="AL602">
            <v>2700</v>
          </cell>
          <cell r="AM602">
            <v>2200</v>
          </cell>
          <cell r="AN602" t="e">
            <v>#VALUE!</v>
          </cell>
          <cell r="AO602" t="e">
            <v>#VALUE!</v>
          </cell>
          <cell r="AP602">
            <v>500</v>
          </cell>
        </row>
        <row r="603">
          <cell r="A603">
            <v>66902000</v>
          </cell>
          <cell r="B603">
            <v>40295400</v>
          </cell>
          <cell r="D603" t="str">
            <v>LIDL AT CH BE LV LT FRIET CHEDDAR SPEK 350G(MIXED)</v>
          </cell>
          <cell r="E603" t="str">
            <v>Lidl INT</v>
          </cell>
          <cell r="F603" t="str">
            <v>290mm</v>
          </cell>
          <cell r="G603" t="str">
            <v>AR 1150-8 white/kraft</v>
          </cell>
          <cell r="H603">
            <v>456</v>
          </cell>
          <cell r="I603">
            <v>0.35</v>
          </cell>
          <cell r="J603" t="str">
            <v>H9 45mm</v>
          </cell>
          <cell r="K603" t="str">
            <v>NVT</v>
          </cell>
          <cell r="L603">
            <v>15</v>
          </cell>
          <cell r="M603" t="str">
            <v>H10X18</v>
          </cell>
          <cell r="N603">
            <v>36</v>
          </cell>
          <cell r="P603" t="str">
            <v>I-T</v>
          </cell>
          <cell r="Q603">
            <v>1</v>
          </cell>
          <cell r="R603">
            <v>2</v>
          </cell>
          <cell r="T603">
            <v>2200</v>
          </cell>
          <cell r="U603">
            <v>6</v>
          </cell>
          <cell r="V603">
            <v>2200</v>
          </cell>
          <cell r="W603">
            <v>6</v>
          </cell>
          <cell r="Z603">
            <v>0.318</v>
          </cell>
          <cell r="AG603">
            <v>45</v>
          </cell>
          <cell r="AL603">
            <v>2700</v>
          </cell>
          <cell r="AM603">
            <v>2200</v>
          </cell>
        </row>
        <row r="604">
          <cell r="A604">
            <v>66902100</v>
          </cell>
          <cell r="B604">
            <v>40295500</v>
          </cell>
          <cell r="D604" t="str">
            <v>LIDL AT CH BE LV LT FRIET CHILI V-LABEL 350G(MIXED</v>
          </cell>
          <cell r="E604" t="str">
            <v>Lidl INT</v>
          </cell>
          <cell r="F604" t="str">
            <v>290mm</v>
          </cell>
          <cell r="G604" t="str">
            <v>AR 1150-8 white/kraft</v>
          </cell>
          <cell r="H604">
            <v>456</v>
          </cell>
          <cell r="I604">
            <v>0.35</v>
          </cell>
          <cell r="J604" t="str">
            <v>H9 45mm</v>
          </cell>
          <cell r="K604" t="str">
            <v>NVT</v>
          </cell>
          <cell r="L604">
            <v>15</v>
          </cell>
          <cell r="M604" t="str">
            <v>H10X18</v>
          </cell>
          <cell r="N604">
            <v>36</v>
          </cell>
          <cell r="P604" t="str">
            <v>I-T</v>
          </cell>
          <cell r="Q604">
            <v>1</v>
          </cell>
          <cell r="R604">
            <v>2</v>
          </cell>
          <cell r="T604">
            <v>2200</v>
          </cell>
          <cell r="U604">
            <v>6</v>
          </cell>
          <cell r="V604">
            <v>2200</v>
          </cell>
          <cell r="W604">
            <v>6</v>
          </cell>
          <cell r="Z604">
            <v>0.318</v>
          </cell>
          <cell r="AG604">
            <v>45</v>
          </cell>
          <cell r="AL604">
            <v>2700</v>
          </cell>
          <cell r="AM604">
            <v>2200</v>
          </cell>
        </row>
        <row r="605">
          <cell r="A605">
            <v>66902200</v>
          </cell>
          <cell r="B605">
            <v>40295600</v>
          </cell>
          <cell r="D605" t="str">
            <v>LIDL AT CH BE LV LT FRIET BBQ PULLED CHICK 350g (MIXED)</v>
          </cell>
          <cell r="E605" t="str">
            <v>Lidl INT</v>
          </cell>
          <cell r="F605" t="str">
            <v>290mm</v>
          </cell>
          <cell r="G605" t="str">
            <v>AR 1150-8 white/kraft</v>
          </cell>
          <cell r="H605">
            <v>456</v>
          </cell>
          <cell r="I605">
            <v>0.35</v>
          </cell>
          <cell r="J605" t="str">
            <v>H9 45mm</v>
          </cell>
          <cell r="K605" t="str">
            <v>NVT</v>
          </cell>
          <cell r="L605">
            <v>15</v>
          </cell>
          <cell r="M605" t="str">
            <v>H10X18</v>
          </cell>
          <cell r="N605">
            <v>36</v>
          </cell>
          <cell r="P605" t="str">
            <v>I-T</v>
          </cell>
          <cell r="Q605">
            <v>1</v>
          </cell>
          <cell r="R605">
            <v>2</v>
          </cell>
          <cell r="T605">
            <v>2200</v>
          </cell>
          <cell r="U605">
            <v>6</v>
          </cell>
          <cell r="V605">
            <v>2200</v>
          </cell>
          <cell r="W605">
            <v>6</v>
          </cell>
          <cell r="Z605">
            <v>0.318</v>
          </cell>
          <cell r="AG605">
            <v>45</v>
          </cell>
          <cell r="AL605">
            <v>2700</v>
          </cell>
          <cell r="AM605">
            <v>2200</v>
          </cell>
        </row>
        <row r="606">
          <cell r="A606">
            <v>67100100</v>
          </cell>
          <cell r="B606">
            <v>40278000</v>
          </cell>
          <cell r="C606">
            <v>86501</v>
          </cell>
          <cell r="D606" t="str">
            <v>PICARD BUDDHA BOWL SATE RISOTTO GR MIX V-LABEL350G</v>
          </cell>
          <cell r="E606" t="str">
            <v>PICARD</v>
          </cell>
          <cell r="F606" t="str">
            <v>40339700 FOLIE PP 380mm</v>
          </cell>
          <cell r="G606" t="str">
            <v>KRAFT ROND</v>
          </cell>
          <cell r="H606">
            <v>456</v>
          </cell>
          <cell r="I606">
            <v>0.35</v>
          </cell>
          <cell r="J606" t="str">
            <v>S16</v>
          </cell>
          <cell r="K606" t="str">
            <v>NVT</v>
          </cell>
          <cell r="L606">
            <v>8</v>
          </cell>
          <cell r="M606" t="str">
            <v>H/S16X8</v>
          </cell>
          <cell r="N606">
            <v>84</v>
          </cell>
          <cell r="O606">
            <v>3270161089948</v>
          </cell>
          <cell r="P606" t="str">
            <v>I-T</v>
          </cell>
          <cell r="Q606">
            <v>3</v>
          </cell>
          <cell r="R606">
            <v>8</v>
          </cell>
          <cell r="T606">
            <v>1800</v>
          </cell>
          <cell r="U606">
            <v>8</v>
          </cell>
          <cell r="V606">
            <v>1800</v>
          </cell>
          <cell r="W606">
            <v>8</v>
          </cell>
          <cell r="X606">
            <v>0</v>
          </cell>
          <cell r="Y606">
            <v>0</v>
          </cell>
          <cell r="Z606">
            <v>0.04</v>
          </cell>
          <cell r="AA606" t="str">
            <v>X</v>
          </cell>
          <cell r="AC606">
            <v>0</v>
          </cell>
          <cell r="AG606">
            <v>37</v>
          </cell>
          <cell r="AJ606" t="str">
            <v> -</v>
          </cell>
          <cell r="AK606" t="str">
            <v>Ja</v>
          </cell>
          <cell r="AL606">
            <v>2220</v>
          </cell>
          <cell r="AM606">
            <v>1800</v>
          </cell>
          <cell r="AN606" t="e">
            <v>#VALUE!</v>
          </cell>
          <cell r="AO606" t="e">
            <v>#VALUE!</v>
          </cell>
          <cell r="AP606">
            <v>420</v>
          </cell>
        </row>
        <row r="607">
          <cell r="A607">
            <v>67110100</v>
          </cell>
          <cell r="B607">
            <v>40280600</v>
          </cell>
          <cell r="C607">
            <v>1016112</v>
          </cell>
          <cell r="D607" t="str">
            <v>LIDL CH SE DK FR LV LT RUND PHO SOEP 400G (MIXED)</v>
          </cell>
          <cell r="E607" t="str">
            <v>Lidl INT</v>
          </cell>
          <cell r="F607" t="str">
            <v>40339700 FOLIE PP 380mm</v>
          </cell>
          <cell r="G607" t="str">
            <v>KRAFT ROND</v>
          </cell>
          <cell r="H607">
            <v>456</v>
          </cell>
          <cell r="I607">
            <v>0.4</v>
          </cell>
          <cell r="J607" t="str">
            <v>H16</v>
          </cell>
          <cell r="K607" t="str">
            <v>NVT</v>
          </cell>
          <cell r="L607">
            <v>8</v>
          </cell>
          <cell r="M607" t="str">
            <v>H/S16X8</v>
          </cell>
          <cell r="N607">
            <v>84</v>
          </cell>
          <cell r="O607" t="str">
            <v>5400870711016 </v>
          </cell>
          <cell r="P607" t="str">
            <v>I-L-2T</v>
          </cell>
          <cell r="Q607">
            <v>3</v>
          </cell>
          <cell r="R607">
            <v>2</v>
          </cell>
          <cell r="T607">
            <v>3000</v>
          </cell>
          <cell r="U607">
            <v>5</v>
          </cell>
          <cell r="V607">
            <v>3000</v>
          </cell>
          <cell r="W607">
            <v>5</v>
          </cell>
          <cell r="Z607">
            <v>0.16699999999999998</v>
          </cell>
          <cell r="AA607" t="str">
            <v>! ! ! !</v>
          </cell>
          <cell r="AG607">
            <v>60</v>
          </cell>
          <cell r="AJ607" t="str">
            <v>V-A </v>
          </cell>
          <cell r="AL607">
            <v>3600</v>
          </cell>
          <cell r="AM607">
            <v>3000</v>
          </cell>
          <cell r="AN607" t="e">
            <v>#VALUE!</v>
          </cell>
          <cell r="AO607" t="e">
            <v>#VALUE!</v>
          </cell>
          <cell r="AP607">
            <v>600</v>
          </cell>
        </row>
        <row r="608">
          <cell r="A608">
            <v>67110200</v>
          </cell>
          <cell r="B608">
            <v>40280700</v>
          </cell>
          <cell r="C608">
            <v>1016113</v>
          </cell>
          <cell r="D608" t="str">
            <v>LIDL CH SE DK FR LV LT KIP TOM KHAI SOEP 400G (MIXED)</v>
          </cell>
          <cell r="E608" t="str">
            <v>Lidl INT</v>
          </cell>
          <cell r="F608" t="str">
            <v>40339700 FOLIE PP 380mm</v>
          </cell>
          <cell r="G608" t="str">
            <v>KRAFT ROND</v>
          </cell>
          <cell r="H608">
            <v>456</v>
          </cell>
          <cell r="I608">
            <v>0.4</v>
          </cell>
          <cell r="J608" t="str">
            <v>H16</v>
          </cell>
          <cell r="K608" t="str">
            <v>NVT</v>
          </cell>
          <cell r="L608">
            <v>8</v>
          </cell>
          <cell r="M608" t="str">
            <v>H/S16X8</v>
          </cell>
          <cell r="N608">
            <v>84</v>
          </cell>
          <cell r="O608" t="str">
            <v>5400870711023 </v>
          </cell>
          <cell r="P608" t="str">
            <v>I-L-2T</v>
          </cell>
          <cell r="Q608">
            <v>3</v>
          </cell>
          <cell r="R608">
            <v>2</v>
          </cell>
          <cell r="T608">
            <v>3000</v>
          </cell>
          <cell r="U608">
            <v>5</v>
          </cell>
          <cell r="V608">
            <v>3000</v>
          </cell>
          <cell r="W608">
            <v>5</v>
          </cell>
          <cell r="Z608">
            <v>0.16699999999999998</v>
          </cell>
          <cell r="AA608" t="str">
            <v>! ! ! ! !</v>
          </cell>
          <cell r="AG608">
            <v>60</v>
          </cell>
          <cell r="AJ608" t="str">
            <v> -</v>
          </cell>
          <cell r="AL608">
            <v>3600</v>
          </cell>
          <cell r="AM608">
            <v>3000</v>
          </cell>
          <cell r="AN608" t="e">
            <v>#VALUE!</v>
          </cell>
          <cell r="AO608" t="e">
            <v>#VALUE!</v>
          </cell>
          <cell r="AP608">
            <v>600</v>
          </cell>
        </row>
        <row r="609">
          <cell r="A609">
            <v>67110300</v>
          </cell>
          <cell r="B609">
            <v>40295000</v>
          </cell>
          <cell r="C609">
            <v>1016112</v>
          </cell>
          <cell r="D609" t="str">
            <v>LIDL CH IE NI FR BE RUND PHO SOEP 400G (MIXED)</v>
          </cell>
          <cell r="E609" t="str">
            <v>Lidl INT</v>
          </cell>
          <cell r="F609" t="str">
            <v>40339700 FOLIE PP 380mm</v>
          </cell>
          <cell r="G609" t="str">
            <v>KRAFT ROND</v>
          </cell>
          <cell r="H609">
            <v>456</v>
          </cell>
          <cell r="I609">
            <v>0.4</v>
          </cell>
          <cell r="J609" t="str">
            <v>H16</v>
          </cell>
          <cell r="K609" t="str">
            <v>NVT</v>
          </cell>
          <cell r="L609">
            <v>8</v>
          </cell>
          <cell r="M609" t="str">
            <v>H/S16X8</v>
          </cell>
          <cell r="N609">
            <v>84</v>
          </cell>
          <cell r="O609">
            <v>5400870711030</v>
          </cell>
          <cell r="P609" t="str">
            <v>I-L-2T</v>
          </cell>
          <cell r="Q609">
            <v>3</v>
          </cell>
          <cell r="R609">
            <v>2</v>
          </cell>
          <cell r="T609">
            <v>3000</v>
          </cell>
          <cell r="U609">
            <v>5</v>
          </cell>
          <cell r="V609">
            <v>3000</v>
          </cell>
          <cell r="W609">
            <v>5</v>
          </cell>
          <cell r="Z609">
            <v>0.23699999999999999</v>
          </cell>
          <cell r="AA609" t="str">
            <v>! ! ! !</v>
          </cell>
          <cell r="AG609">
            <v>60</v>
          </cell>
          <cell r="AJ609" t="str">
            <v>V-A </v>
          </cell>
          <cell r="AL609">
            <v>3600</v>
          </cell>
          <cell r="AM609">
            <v>3000</v>
          </cell>
          <cell r="AN609" t="e">
            <v>#VALUE!</v>
          </cell>
          <cell r="AO609" t="e">
            <v>#VALUE!</v>
          </cell>
          <cell r="AP609">
            <v>600</v>
          </cell>
        </row>
        <row r="610">
          <cell r="A610">
            <v>67110400</v>
          </cell>
          <cell r="B610">
            <v>40295100</v>
          </cell>
          <cell r="C610">
            <v>1016113</v>
          </cell>
          <cell r="D610" t="str">
            <v>LIDL CH IE NI FR BE KIP TOM KHAI SOEP 400G (MIXED)</v>
          </cell>
          <cell r="E610" t="str">
            <v>Lidl INT</v>
          </cell>
          <cell r="F610" t="str">
            <v>40339700 FOLIE PP 380mm</v>
          </cell>
          <cell r="G610" t="str">
            <v>KRAFT ROND</v>
          </cell>
          <cell r="H610">
            <v>456</v>
          </cell>
          <cell r="I610">
            <v>0.4</v>
          </cell>
          <cell r="J610" t="str">
            <v>H16</v>
          </cell>
          <cell r="K610" t="str">
            <v>NVT</v>
          </cell>
          <cell r="L610">
            <v>8</v>
          </cell>
          <cell r="M610" t="str">
            <v>H/S16X8</v>
          </cell>
          <cell r="N610">
            <v>84</v>
          </cell>
          <cell r="O610">
            <v>5400870711047</v>
          </cell>
          <cell r="P610" t="str">
            <v>I-L-2T</v>
          </cell>
          <cell r="Q610">
            <v>3</v>
          </cell>
          <cell r="R610">
            <v>2</v>
          </cell>
          <cell r="T610">
            <v>3000</v>
          </cell>
          <cell r="U610">
            <v>5</v>
          </cell>
          <cell r="V610">
            <v>3000</v>
          </cell>
          <cell r="W610">
            <v>5</v>
          </cell>
          <cell r="Z610">
            <v>0.23699999999999999</v>
          </cell>
          <cell r="AA610" t="str">
            <v>! ! ! ! !</v>
          </cell>
          <cell r="AG610">
            <v>60</v>
          </cell>
          <cell r="AJ610" t="str">
            <v> -</v>
          </cell>
          <cell r="AL610">
            <v>3600</v>
          </cell>
          <cell r="AM610">
            <v>3000</v>
          </cell>
          <cell r="AN610" t="e">
            <v>#VALUE!</v>
          </cell>
          <cell r="AO610" t="e">
            <v>#VALUE!</v>
          </cell>
          <cell r="AP610">
            <v>600</v>
          </cell>
        </row>
        <row r="611">
          <cell r="A611">
            <v>67110500</v>
          </cell>
          <cell r="B611">
            <v>40295200</v>
          </cell>
          <cell r="C611">
            <v>1016112</v>
          </cell>
          <cell r="D611" t="str">
            <v>LIDL LT LV ES CS RUND PHO SOEP 400G (MIXED)</v>
          </cell>
          <cell r="E611" t="str">
            <v>Lidl INT</v>
          </cell>
          <cell r="F611" t="str">
            <v>40339700 FOLIE PP 380mm</v>
          </cell>
          <cell r="G611" t="str">
            <v>KRAFT ROND</v>
          </cell>
          <cell r="H611">
            <v>456</v>
          </cell>
          <cell r="I611">
            <v>0.4</v>
          </cell>
          <cell r="J611" t="str">
            <v>H16</v>
          </cell>
          <cell r="K611" t="str">
            <v>NVT</v>
          </cell>
          <cell r="L611">
            <v>8</v>
          </cell>
          <cell r="M611" t="str">
            <v>H/S16X8</v>
          </cell>
          <cell r="N611">
            <v>84</v>
          </cell>
          <cell r="O611">
            <v>5400870711054</v>
          </cell>
          <cell r="P611" t="str">
            <v>I-L-2T</v>
          </cell>
          <cell r="Q611">
            <v>3</v>
          </cell>
          <cell r="R611">
            <v>2</v>
          </cell>
          <cell r="T611">
            <v>3000</v>
          </cell>
          <cell r="U611">
            <v>5</v>
          </cell>
          <cell r="V611">
            <v>3000</v>
          </cell>
          <cell r="W611">
            <v>5</v>
          </cell>
          <cell r="Z611">
            <v>0.23699999999999999</v>
          </cell>
          <cell r="AA611" t="str">
            <v>! ! ! !</v>
          </cell>
          <cell r="AG611">
            <v>60</v>
          </cell>
          <cell r="AJ611" t="str">
            <v>V-A </v>
          </cell>
          <cell r="AL611">
            <v>3600</v>
          </cell>
          <cell r="AM611">
            <v>3000</v>
          </cell>
          <cell r="AN611" t="e">
            <v>#VALUE!</v>
          </cell>
          <cell r="AO611" t="e">
            <v>#VALUE!</v>
          </cell>
          <cell r="AP611">
            <v>600</v>
          </cell>
        </row>
        <row r="612">
          <cell r="A612">
            <v>67110600</v>
          </cell>
          <cell r="B612">
            <v>40295300</v>
          </cell>
          <cell r="C612">
            <v>1016113</v>
          </cell>
          <cell r="D612" t="str">
            <v>LIDL LT LV ES CS KIP TOM KHAI SOEP400G (MIXED)</v>
          </cell>
          <cell r="E612" t="str">
            <v>Lidl INT</v>
          </cell>
          <cell r="F612" t="str">
            <v>40339700 FOLIE PP 380mm</v>
          </cell>
          <cell r="G612" t="str">
            <v>KRAFT ROND</v>
          </cell>
          <cell r="H612">
            <v>456</v>
          </cell>
          <cell r="I612">
            <v>0.4</v>
          </cell>
          <cell r="J612" t="str">
            <v>H16</v>
          </cell>
          <cell r="K612" t="str">
            <v>NVT</v>
          </cell>
          <cell r="L612">
            <v>8</v>
          </cell>
          <cell r="M612" t="str">
            <v>H/S16X8</v>
          </cell>
          <cell r="N612">
            <v>84</v>
          </cell>
          <cell r="O612">
            <v>5400870711061</v>
          </cell>
          <cell r="P612" t="str">
            <v>I-L-2T</v>
          </cell>
          <cell r="Q612">
            <v>3</v>
          </cell>
          <cell r="R612">
            <v>2</v>
          </cell>
          <cell r="T612">
            <v>3000</v>
          </cell>
          <cell r="U612">
            <v>5</v>
          </cell>
          <cell r="V612">
            <v>3000</v>
          </cell>
          <cell r="W612">
            <v>5</v>
          </cell>
          <cell r="Z612">
            <v>0.23699999999999999</v>
          </cell>
          <cell r="AA612" t="str">
            <v>! ! ! ! !</v>
          </cell>
          <cell r="AG612">
            <v>60</v>
          </cell>
          <cell r="AJ612" t="str">
            <v> -</v>
          </cell>
          <cell r="AL612">
            <v>3600</v>
          </cell>
          <cell r="AM612">
            <v>3000</v>
          </cell>
          <cell r="AN612" t="e">
            <v>#VALUE!</v>
          </cell>
          <cell r="AO612" t="e">
            <v>#VALUE!</v>
          </cell>
          <cell r="AP612">
            <v>600</v>
          </cell>
        </row>
        <row r="613">
          <cell r="A613">
            <v>67120100</v>
          </cell>
          <cell r="B613">
            <v>40291700</v>
          </cell>
          <cell r="C613">
            <v>6101208</v>
          </cell>
          <cell r="D613" t="str">
            <v>GEIA EW KIP CURRY SOUP 370G</v>
          </cell>
          <cell r="E613" t="str">
            <v>GEIA</v>
          </cell>
          <cell r="F613" t="str">
            <v>40339700 FOLIE PP 380mm</v>
          </cell>
          <cell r="G613" t="str">
            <v>KRAFT ROND</v>
          </cell>
          <cell r="H613">
            <v>456</v>
          </cell>
          <cell r="I613">
            <v>0.37</v>
          </cell>
          <cell r="J613" t="str">
            <v>H16</v>
          </cell>
          <cell r="K613" t="str">
            <v>NVT</v>
          </cell>
          <cell r="L613">
            <v>8</v>
          </cell>
          <cell r="M613" t="str">
            <v>H/S16X8</v>
          </cell>
          <cell r="N613">
            <v>84</v>
          </cell>
          <cell r="O613">
            <v>5712878938716</v>
          </cell>
          <cell r="P613" t="str">
            <v>I-2T</v>
          </cell>
          <cell r="Q613">
            <v>2</v>
          </cell>
          <cell r="R613">
            <v>2</v>
          </cell>
          <cell r="S613" t="str">
            <v>Linzen D-1</v>
          </cell>
          <cell r="T613">
            <v>3000</v>
          </cell>
          <cell r="U613">
            <v>5</v>
          </cell>
          <cell r="V613">
            <v>3000</v>
          </cell>
          <cell r="W613">
            <v>5</v>
          </cell>
          <cell r="Z613">
            <v>0.06</v>
          </cell>
          <cell r="AA613" t="str">
            <v>! !</v>
          </cell>
          <cell r="AG613">
            <v>60</v>
          </cell>
          <cell r="AJ613" t="str">
            <v>-</v>
          </cell>
          <cell r="AL613">
            <v>3600</v>
          </cell>
          <cell r="AM613">
            <v>3000</v>
          </cell>
          <cell r="AN613" t="e">
            <v>#VALUE!</v>
          </cell>
          <cell r="AO613" t="e">
            <v>#VALUE!</v>
          </cell>
        </row>
        <row r="614">
          <cell r="A614">
            <v>67120200</v>
          </cell>
          <cell r="B614">
            <v>40291800</v>
          </cell>
          <cell r="C614">
            <v>6101209</v>
          </cell>
          <cell r="D614" t="str">
            <v>GEIA EW KIP RAMEN SOEP 370G</v>
          </cell>
          <cell r="E614" t="str">
            <v>GEIA</v>
          </cell>
          <cell r="F614" t="str">
            <v>40339700 FOLIE PP 380mm</v>
          </cell>
          <cell r="G614" t="str">
            <v>KRAFT ROND</v>
          </cell>
          <cell r="H614">
            <v>456</v>
          </cell>
          <cell r="I614">
            <v>0.37</v>
          </cell>
          <cell r="J614" t="str">
            <v>H16</v>
          </cell>
          <cell r="K614" t="str">
            <v>NVT</v>
          </cell>
          <cell r="L614">
            <v>8</v>
          </cell>
          <cell r="M614" t="str">
            <v>H/S16X8</v>
          </cell>
          <cell r="N614">
            <v>84</v>
          </cell>
          <cell r="O614">
            <v>5712878938730</v>
          </cell>
          <cell r="P614" t="str">
            <v>I-L-2T</v>
          </cell>
          <cell r="Q614">
            <v>2</v>
          </cell>
          <cell r="R614">
            <v>2</v>
          </cell>
          <cell r="T614">
            <v>3000</v>
          </cell>
          <cell r="U614">
            <v>5</v>
          </cell>
          <cell r="V614">
            <v>3000</v>
          </cell>
          <cell r="W614">
            <v>5</v>
          </cell>
          <cell r="Z614">
            <v>0.06</v>
          </cell>
          <cell r="AA614" t="str">
            <v>! ! ! ! !</v>
          </cell>
          <cell r="AG614">
            <v>60</v>
          </cell>
          <cell r="AJ614" t="str">
            <v>-</v>
          </cell>
          <cell r="AL614">
            <v>3600</v>
          </cell>
          <cell r="AM614">
            <v>3000</v>
          </cell>
          <cell r="AN614" t="e">
            <v>#VALUE!</v>
          </cell>
          <cell r="AO614" t="e">
            <v>#VALUE!</v>
          </cell>
        </row>
        <row r="615">
          <cell r="A615">
            <v>69900900</v>
          </cell>
          <cell r="D615" t="str">
            <v>JEBO RUNDSTONG GESNEDEN 5MM</v>
          </cell>
          <cell r="E615" t="str">
            <v>Jebo</v>
          </cell>
          <cell r="F615" t="str">
            <v>kratzak</v>
          </cell>
          <cell r="G615" t="str">
            <v>krat 20kg</v>
          </cell>
          <cell r="H615">
            <v>4</v>
          </cell>
          <cell r="I615">
            <v>20</v>
          </cell>
          <cell r="O615" t="str">
            <v>5410953990092</v>
          </cell>
          <cell r="P615" t="str">
            <v>//////</v>
          </cell>
          <cell r="Q615">
            <v>0</v>
          </cell>
          <cell r="R615">
            <v>0</v>
          </cell>
          <cell r="T615">
            <v>60</v>
          </cell>
          <cell r="U615">
            <v>1</v>
          </cell>
          <cell r="V615">
            <v>60</v>
          </cell>
          <cell r="W615">
            <v>1</v>
          </cell>
          <cell r="X615">
            <v>0</v>
          </cell>
          <cell r="Y615">
            <v>0</v>
          </cell>
          <cell r="Z615">
            <v>0</v>
          </cell>
          <cell r="AA615" t="str">
            <v>-</v>
          </cell>
          <cell r="AC615">
            <v>0</v>
          </cell>
          <cell r="AJ615" t="str">
            <v>-</v>
          </cell>
          <cell r="AL615">
            <v>0</v>
          </cell>
          <cell r="AM615">
            <v>60</v>
          </cell>
          <cell r="AN615" t="e">
            <v>#VALUE!</v>
          </cell>
          <cell r="AO615" t="e">
            <v>#VALUE!</v>
          </cell>
          <cell r="AP615">
            <v>-60</v>
          </cell>
        </row>
        <row r="616">
          <cell r="A616">
            <v>83110900</v>
          </cell>
          <cell r="C616">
            <v>3144</v>
          </cell>
          <cell r="D616" t="str">
            <v>ALDI BE VISPAN ASC MSC * ASSORTIMENT 24X300G</v>
          </cell>
          <cell r="E616" t="str">
            <v>Aldi BE</v>
          </cell>
          <cell r="H616">
            <v>548</v>
          </cell>
          <cell r="I616">
            <v>7.2</v>
          </cell>
          <cell r="J616" t="str">
            <v>H11</v>
          </cell>
          <cell r="K616" t="str">
            <v>NVT</v>
          </cell>
          <cell r="L616">
            <v>24</v>
          </cell>
          <cell r="M616" t="str">
            <v>H11X24</v>
          </cell>
          <cell r="N616">
            <v>48</v>
          </cell>
          <cell r="O616">
            <v>4068261113378</v>
          </cell>
          <cell r="S616" t="str">
            <v>8 x (63110200) + 8 x (63110300) + 8 x (63110900)</v>
          </cell>
          <cell r="AA616" t="str">
            <v>! ! ! !</v>
          </cell>
          <cell r="AJ616" t="str">
            <v>V-A</v>
          </cell>
          <cell r="AL616">
            <v>0</v>
          </cell>
          <cell r="AM616">
            <v>0</v>
          </cell>
          <cell r="AN616" t="e">
            <v>#VALUE!</v>
          </cell>
          <cell r="AO616" t="str">
            <v/>
          </cell>
          <cell r="AP616">
            <v>0</v>
          </cell>
        </row>
        <row r="617">
          <cell r="A617">
            <v>84255000</v>
          </cell>
          <cell r="C617">
            <v>1014642</v>
          </cell>
          <cell r="D617" t="str">
            <v>LIDL DE EW HIGH PROTEIN ASSORTIMENT 20X400G</v>
          </cell>
          <cell r="E617" t="str">
            <v>Lidl INT</v>
          </cell>
          <cell r="H617">
            <v>456</v>
          </cell>
          <cell r="I617">
            <v>8</v>
          </cell>
          <cell r="J617" t="str">
            <v>H22</v>
          </cell>
          <cell r="K617" t="str">
            <v>NVT</v>
          </cell>
          <cell r="L617">
            <v>20</v>
          </cell>
          <cell r="M617" t="str">
            <v>H11X24</v>
          </cell>
          <cell r="N617" t="str">
            <v>48</v>
          </cell>
          <cell r="O617" t="str">
            <v>5400870999452 </v>
          </cell>
          <cell r="S617" t="str">
            <v>10x (64255000) + 8x (64255100) + 2x (64255200)</v>
          </cell>
          <cell r="AA617" t="str">
            <v>X</v>
          </cell>
          <cell r="AJ617" t="str">
            <v>-</v>
          </cell>
          <cell r="AL617">
            <v>0</v>
          </cell>
          <cell r="AM617">
            <v>0</v>
          </cell>
          <cell r="AN617" t="e">
            <v>#VALUE!</v>
          </cell>
          <cell r="AO617" t="str">
            <v/>
          </cell>
          <cell r="AP617">
            <v>0</v>
          </cell>
        </row>
        <row r="618">
          <cell r="A618">
            <v>84255300</v>
          </cell>
          <cell r="D618" t="str">
            <v>LIDL BE NL EW HIGH PROTEIN ASSORTIMENT 20X400G</v>
          </cell>
          <cell r="E618" t="str">
            <v>Lidl INT</v>
          </cell>
          <cell r="H618">
            <v>456</v>
          </cell>
          <cell r="I618">
            <v>8</v>
          </cell>
          <cell r="J618" t="str">
            <v>H22</v>
          </cell>
          <cell r="K618" t="str">
            <v>NVT</v>
          </cell>
          <cell r="L618">
            <v>20</v>
          </cell>
          <cell r="M618" t="str">
            <v>H11X24</v>
          </cell>
          <cell r="N618" t="str">
            <v>48</v>
          </cell>
          <cell r="O618">
            <v>5400870993702</v>
          </cell>
          <cell r="S618" t="str">
            <v>10x (64255300) + 10x (64255400)</v>
          </cell>
          <cell r="AA618" t="str">
            <v>X</v>
          </cell>
          <cell r="AJ618" t="str">
            <v>-</v>
          </cell>
          <cell r="AL618">
            <v>0</v>
          </cell>
          <cell r="AM618">
            <v>0</v>
          </cell>
          <cell r="AN618" t="e">
            <v>#VALUE!</v>
          </cell>
          <cell r="AO618" t="str">
            <v/>
          </cell>
          <cell r="AP618">
            <v>0</v>
          </cell>
        </row>
        <row r="619">
          <cell r="A619">
            <v>84255500</v>
          </cell>
          <cell r="D619" t="str">
            <v>LIDL SE EW HIGH PROTEIN ASSORTIMENT 20X400G</v>
          </cell>
          <cell r="E619" t="str">
            <v>Lidl INT</v>
          </cell>
          <cell r="H619">
            <v>456</v>
          </cell>
          <cell r="I619">
            <v>8</v>
          </cell>
          <cell r="J619" t="str">
            <v>H22</v>
          </cell>
          <cell r="K619" t="str">
            <v>NVT</v>
          </cell>
          <cell r="L619">
            <v>20</v>
          </cell>
          <cell r="M619" t="str">
            <v>H11X24</v>
          </cell>
          <cell r="N619" t="str">
            <v>48</v>
          </cell>
          <cell r="O619">
            <v>5400870993603</v>
          </cell>
          <cell r="S619" t="str">
            <v>10x (64255500) + 10x (64255600)</v>
          </cell>
          <cell r="AA619" t="str">
            <v>X</v>
          </cell>
          <cell r="AJ619" t="str">
            <v>-</v>
          </cell>
          <cell r="AL619">
            <v>0</v>
          </cell>
          <cell r="AM619">
            <v>0</v>
          </cell>
          <cell r="AN619" t="e">
            <v>#VALUE!</v>
          </cell>
          <cell r="AO619" t="str">
            <v/>
          </cell>
          <cell r="AP619">
            <v>0</v>
          </cell>
        </row>
        <row r="620">
          <cell r="A620">
            <v>84256000</v>
          </cell>
          <cell r="C620">
            <v>211228</v>
          </cell>
          <cell r="D620" t="str">
            <v>LIDL DE AT ROSTI TOAST ASSORTIMENT 10X360G</v>
          </cell>
          <cell r="E620" t="str">
            <v>Lidl INT</v>
          </cell>
          <cell r="H620">
            <v>456</v>
          </cell>
          <cell r="I620">
            <v>3.6</v>
          </cell>
          <cell r="J620" t="str">
            <v>H22</v>
          </cell>
          <cell r="K620" t="str">
            <v>NVT</v>
          </cell>
          <cell r="L620">
            <v>10</v>
          </cell>
          <cell r="M620" t="str">
            <v>H22X10</v>
          </cell>
          <cell r="N620" t="str">
            <v>84</v>
          </cell>
          <cell r="O620">
            <v>5400870999391</v>
          </cell>
          <cell r="S620" t="str">
            <v>3x (64256000) + 4x (64256100) + 3x(64256200)</v>
          </cell>
          <cell r="AA620" t="str">
            <v>! ! !</v>
          </cell>
          <cell r="AJ620" t="str">
            <v>V-A </v>
          </cell>
          <cell r="AK620" t="str">
            <v> -</v>
          </cell>
          <cell r="AL620">
            <v>0</v>
          </cell>
          <cell r="AM620">
            <v>0</v>
          </cell>
          <cell r="AN620" t="e">
            <v>#VALUE!</v>
          </cell>
          <cell r="AO620" t="str">
            <v/>
          </cell>
          <cell r="AP620">
            <v>0</v>
          </cell>
        </row>
        <row r="621">
          <cell r="A621">
            <v>84257000</v>
          </cell>
          <cell r="D621" t="str">
            <v>LIDL BE MACARONI ASSORTIMENT 10X400G</v>
          </cell>
          <cell r="E621" t="str">
            <v>Lidl INT</v>
          </cell>
          <cell r="H621">
            <v>365</v>
          </cell>
          <cell r="I621">
            <v>4</v>
          </cell>
          <cell r="J621" t="str">
            <v>H22</v>
          </cell>
          <cell r="K621" t="str">
            <v>NVT</v>
          </cell>
          <cell r="L621">
            <v>10</v>
          </cell>
          <cell r="M621" t="str">
            <v>H22X10</v>
          </cell>
          <cell r="N621" t="str">
            <v>84</v>
          </cell>
          <cell r="O621">
            <v>5400870999353</v>
          </cell>
          <cell r="S621" t="str">
            <v>3x (64257000) + 5x (64257100) + 2x(64257200)</v>
          </cell>
          <cell r="AA621" t="str">
            <v>! ! !</v>
          </cell>
          <cell r="AJ621" t="str">
            <v>V-A </v>
          </cell>
          <cell r="AL621">
            <v>0</v>
          </cell>
          <cell r="AM621">
            <v>0</v>
          </cell>
          <cell r="AN621" t="e">
            <v>#VALUE!</v>
          </cell>
          <cell r="AO621" t="str">
            <v/>
          </cell>
        </row>
        <row r="622">
          <cell r="A622">
            <v>85060000</v>
          </cell>
          <cell r="C622">
            <v>3014312</v>
          </cell>
          <cell r="D622" t="str">
            <v>ALDI BE MAALTIJDEN TRADITIONEEL ASSORT 16X450G</v>
          </cell>
          <cell r="E622" t="str">
            <v>ALDI BE</v>
          </cell>
          <cell r="H622">
            <v>365</v>
          </cell>
          <cell r="I622">
            <v>7.2</v>
          </cell>
          <cell r="J622" t="str">
            <v>H29</v>
          </cell>
          <cell r="K622" t="str">
            <v>NVT</v>
          </cell>
          <cell r="L622">
            <v>16</v>
          </cell>
          <cell r="M622" t="str">
            <v>H29x16</v>
          </cell>
          <cell r="N622" t="str">
            <v>48</v>
          </cell>
          <cell r="O622">
            <v>4068261116775</v>
          </cell>
          <cell r="S622" t="str">
            <v>4x (65060000) + 4x (65060100) + 3x (65060200) + 2x (65060300) + 3x (65060400)</v>
          </cell>
          <cell r="AA622" t="str">
            <v>! ! !</v>
          </cell>
          <cell r="AJ622" t="str">
            <v>V-A </v>
          </cell>
          <cell r="AL622">
            <v>0</v>
          </cell>
          <cell r="AM622">
            <v>0</v>
          </cell>
          <cell r="AN622" t="e">
            <v>#VALUE!</v>
          </cell>
          <cell r="AO622" t="str">
            <v/>
          </cell>
          <cell r="AP622">
            <v>0</v>
          </cell>
        </row>
        <row r="623">
          <cell r="A623">
            <v>85060100</v>
          </cell>
          <cell r="C623">
            <v>3014312</v>
          </cell>
          <cell r="D623" t="str">
            <v>ALDI BE MAALTIJDEN TRADITIONEEL ASSORT 16X450G</v>
          </cell>
          <cell r="E623" t="str">
            <v>ALDI BE</v>
          </cell>
          <cell r="H623">
            <v>365</v>
          </cell>
          <cell r="I623">
            <v>7.2</v>
          </cell>
          <cell r="J623" t="str">
            <v>H29</v>
          </cell>
          <cell r="K623" t="str">
            <v>NVT</v>
          </cell>
          <cell r="L623">
            <v>16</v>
          </cell>
          <cell r="M623" t="str">
            <v>H29x16</v>
          </cell>
          <cell r="N623" t="str">
            <v>48</v>
          </cell>
          <cell r="O623">
            <v>4068261129904</v>
          </cell>
          <cell r="S623" t="str">
            <v>4x (65060000) + 3x (65060100) + 3x (65060200) + 3x (65060300) + 3x (65060400)</v>
          </cell>
          <cell r="AA623" t="str">
            <v>! ! !</v>
          </cell>
          <cell r="AJ623" t="str">
            <v>V-A </v>
          </cell>
          <cell r="AL623">
            <v>0</v>
          </cell>
          <cell r="AM623">
            <v>0</v>
          </cell>
          <cell r="AN623" t="e">
            <v>#VALUE!</v>
          </cell>
          <cell r="AO623" t="str">
            <v/>
          </cell>
          <cell r="AP623">
            <v>0</v>
          </cell>
        </row>
        <row r="624">
          <cell r="A624">
            <v>85062000</v>
          </cell>
          <cell r="C624">
            <v>3014313</v>
          </cell>
          <cell r="D624" t="str">
            <v>ALDI BE EW MAALTIJDEN ASC HIGH PROTEIN ASSORT 16X425G</v>
          </cell>
          <cell r="E624" t="str">
            <v>ALDI BE</v>
          </cell>
          <cell r="H624">
            <v>456</v>
          </cell>
          <cell r="I624">
            <v>6.8</v>
          </cell>
          <cell r="J624" t="str">
            <v>H29</v>
          </cell>
          <cell r="K624" t="str">
            <v>NVT</v>
          </cell>
          <cell r="L624">
            <v>16</v>
          </cell>
          <cell r="M624" t="str">
            <v>H29x16</v>
          </cell>
          <cell r="N624" t="str">
            <v>48</v>
          </cell>
          <cell r="O624">
            <v>4068261116782</v>
          </cell>
          <cell r="S624" t="str">
            <v>3x (65062000) + 5x (65062100) + 3x (65062200) + 2x (65062300) + 3x (65062400)</v>
          </cell>
          <cell r="AA624" t="str">
            <v>! ! ! !</v>
          </cell>
          <cell r="AJ624" t="str">
            <v>V-A </v>
          </cell>
          <cell r="AL624">
            <v>0</v>
          </cell>
          <cell r="AM624">
            <v>0</v>
          </cell>
          <cell r="AN624" t="e">
            <v>#VALUE!</v>
          </cell>
          <cell r="AO624" t="str">
            <v/>
          </cell>
          <cell r="AP624">
            <v>0</v>
          </cell>
        </row>
        <row r="625">
          <cell r="A625">
            <v>85701600</v>
          </cell>
          <cell r="C625">
            <v>5312</v>
          </cell>
          <cell r="D625" t="str">
            <v>ALDI BE KABELJAUW MSC IN SAUS ASSORTIMENT 24X450G</v>
          </cell>
          <cell r="E625" t="str">
            <v>Aldi BE</v>
          </cell>
          <cell r="I625">
            <v>10.8</v>
          </cell>
          <cell r="J625" t="str">
            <v>H8</v>
          </cell>
          <cell r="L625">
            <v>24</v>
          </cell>
          <cell r="M625" t="str">
            <v>H8X24</v>
          </cell>
          <cell r="N625" t="str">
            <v>42</v>
          </cell>
          <cell r="O625">
            <v>4068261114061</v>
          </cell>
          <cell r="S625" t="str">
            <v>8 x (65701500) + 8 x (65701600) + 8 x (65705100)</v>
          </cell>
          <cell r="AA625" t="str">
            <v>! ! ! !</v>
          </cell>
          <cell r="AJ625" t="str">
            <v>-</v>
          </cell>
          <cell r="AL625">
            <v>0</v>
          </cell>
          <cell r="AM625">
            <v>0</v>
          </cell>
          <cell r="AN625" t="e">
            <v>#VALUE!</v>
          </cell>
          <cell r="AO625" t="str">
            <v/>
          </cell>
          <cell r="AP625">
            <v>0</v>
          </cell>
        </row>
        <row r="626">
          <cell r="A626">
            <v>85704400</v>
          </cell>
          <cell r="C626">
            <v>3197</v>
          </cell>
          <cell r="D626" t="str">
            <v>ALDI BE ZALM MSC IN SAUS ASSORTIMENT 24X450G TUSSENOPLOSSING</v>
          </cell>
          <cell r="E626" t="str">
            <v>Aldi BE</v>
          </cell>
          <cell r="I626">
            <v>10.8</v>
          </cell>
          <cell r="J626" t="str">
            <v>H8</v>
          </cell>
          <cell r="L626">
            <v>24</v>
          </cell>
          <cell r="M626" t="str">
            <v>H8X24</v>
          </cell>
          <cell r="N626" t="str">
            <v>42</v>
          </cell>
          <cell r="Q626">
            <v>0</v>
          </cell>
          <cell r="R626">
            <v>8</v>
          </cell>
          <cell r="S626" t="str">
            <v>9 x (65704400) + 8 x (65704500) + 7 x (65704600)</v>
          </cell>
          <cell r="AA626" t="str">
            <v>! ! ! !</v>
          </cell>
          <cell r="AJ626" t="str">
            <v>NVT</v>
          </cell>
          <cell r="AL626">
            <v>0</v>
          </cell>
          <cell r="AM626">
            <v>0</v>
          </cell>
          <cell r="AN626" t="e">
            <v>#VALUE!</v>
          </cell>
          <cell r="AO626" t="str">
            <v/>
          </cell>
          <cell r="AP626">
            <v>0</v>
          </cell>
        </row>
        <row r="627">
          <cell r="A627">
            <v>85704800</v>
          </cell>
          <cell r="C627">
            <v>5006063</v>
          </cell>
          <cell r="D627" t="str">
            <v>ALDI FR ZALM MSC IN SAUS ASSORTIMENT 24X400G</v>
          </cell>
          <cell r="E627" t="str">
            <v>Aldi FR</v>
          </cell>
          <cell r="I627">
            <v>9.6</v>
          </cell>
          <cell r="J627" t="str">
            <v>H8</v>
          </cell>
          <cell r="L627">
            <v>24</v>
          </cell>
          <cell r="M627" t="str">
            <v>H8X24</v>
          </cell>
          <cell r="N627" t="str">
            <v>42</v>
          </cell>
          <cell r="O627">
            <v>5400870999568</v>
          </cell>
          <cell r="Q627">
            <v>0</v>
          </cell>
          <cell r="R627">
            <v>8</v>
          </cell>
          <cell r="S627" t="str">
            <v>10 x (65704900) + 6 x (65705000) + 8 x (65704800)</v>
          </cell>
          <cell r="AA627" t="str">
            <v>! ! ! !</v>
          </cell>
          <cell r="AJ627" t="str">
            <v>NVT</v>
          </cell>
          <cell r="AL627">
            <v>0</v>
          </cell>
          <cell r="AM627">
            <v>0</v>
          </cell>
          <cell r="AN627" t="e">
            <v>#VALUE!</v>
          </cell>
          <cell r="AO627" t="str">
            <v/>
          </cell>
          <cell r="AP627">
            <v>0</v>
          </cell>
        </row>
        <row r="628">
          <cell r="A628">
            <v>85705500</v>
          </cell>
          <cell r="C628">
            <v>5006063</v>
          </cell>
          <cell r="D628" t="str">
            <v>ALDI FR ZALM ASC IN SAUS ASSORTIMENT 16X400G</v>
          </cell>
          <cell r="E628" t="str">
            <v>Aldi FR</v>
          </cell>
          <cell r="I628">
            <v>6.4</v>
          </cell>
          <cell r="J628" t="str">
            <v>H8</v>
          </cell>
          <cell r="L628">
            <v>16</v>
          </cell>
          <cell r="M628" t="str">
            <v>H8X16</v>
          </cell>
          <cell r="N628" t="str">
            <v>60</v>
          </cell>
          <cell r="Q628">
            <v>0</v>
          </cell>
          <cell r="R628">
            <v>8</v>
          </cell>
          <cell r="S628" t="str">
            <v>5 x (65705500) + 7 x (65705600) + 4 x (65705700)</v>
          </cell>
          <cell r="AA628" t="str">
            <v>! ! ! !</v>
          </cell>
          <cell r="AJ628" t="str">
            <v>NVT</v>
          </cell>
          <cell r="AL628">
            <v>0</v>
          </cell>
          <cell r="AM628">
            <v>0</v>
          </cell>
          <cell r="AN628" t="e">
            <v>#VALUE!</v>
          </cell>
          <cell r="AO628" t="str">
            <v/>
          </cell>
          <cell r="AP628">
            <v>0</v>
          </cell>
        </row>
        <row r="629">
          <cell r="A629">
            <v>85706000</v>
          </cell>
          <cell r="C629">
            <v>3197</v>
          </cell>
          <cell r="D629" t="str">
            <v>ALDI BE ZALM MSC IN SAUS ASSORTIMENT 24X450G NIEUW</v>
          </cell>
          <cell r="E629" t="str">
            <v>Aldi BE</v>
          </cell>
          <cell r="I629">
            <v>10.8</v>
          </cell>
          <cell r="J629" t="str">
            <v>H8</v>
          </cell>
          <cell r="L629">
            <v>24</v>
          </cell>
          <cell r="M629" t="str">
            <v>H8X24</v>
          </cell>
          <cell r="N629" t="str">
            <v>42</v>
          </cell>
          <cell r="O629">
            <v>4068261122578</v>
          </cell>
          <cell r="Q629">
            <v>0</v>
          </cell>
          <cell r="R629">
            <v>8</v>
          </cell>
          <cell r="S629" t="str">
            <v>10 x (65706000) + 8 x(65706100) + 6 x (65706200)</v>
          </cell>
          <cell r="AA629" t="str">
            <v>! ! ! !</v>
          </cell>
          <cell r="AL629">
            <v>0</v>
          </cell>
          <cell r="AM629">
            <v>0</v>
          </cell>
          <cell r="AN629" t="e">
            <v>#VALUE!</v>
          </cell>
          <cell r="AO629" t="str">
            <v/>
          </cell>
          <cell r="AP629">
            <v>0</v>
          </cell>
        </row>
        <row r="630">
          <cell r="A630">
            <v>85706300</v>
          </cell>
          <cell r="C630">
            <v>3197</v>
          </cell>
          <cell r="D630" t="str">
            <v>ALDI BE ZALM ASC IN SAUS ASSORTIMENT 16X450G</v>
          </cell>
          <cell r="E630" t="str">
            <v>Aldi BE</v>
          </cell>
          <cell r="I630">
            <v>7.2</v>
          </cell>
          <cell r="J630" t="str">
            <v>H8</v>
          </cell>
          <cell r="L630">
            <v>16</v>
          </cell>
          <cell r="M630" t="str">
            <v>H8X16</v>
          </cell>
          <cell r="N630" t="str">
            <v>60</v>
          </cell>
          <cell r="Q630">
            <v>0</v>
          </cell>
          <cell r="R630">
            <v>8</v>
          </cell>
          <cell r="S630" t="str">
            <v>7 x (65706300) + 5 x(65706400) + 4 x (65706500)</v>
          </cell>
          <cell r="AA630" t="str">
            <v>! ! ! !</v>
          </cell>
          <cell r="AL630">
            <v>0</v>
          </cell>
          <cell r="AM630">
            <v>0</v>
          </cell>
          <cell r="AN630" t="e">
            <v>#VALUE!</v>
          </cell>
          <cell r="AO630" t="str">
            <v/>
          </cell>
          <cell r="AP630">
            <v>0</v>
          </cell>
        </row>
        <row r="631">
          <cell r="A631">
            <v>86830000</v>
          </cell>
          <cell r="D631" t="str">
            <v>FITMEALS EW MAALTIJDBOX 8X350G 8X425G</v>
          </cell>
          <cell r="E631" t="str">
            <v>FITMEALS</v>
          </cell>
          <cell r="H631">
            <v>548</v>
          </cell>
          <cell r="I631">
            <v>6.2</v>
          </cell>
          <cell r="J631" t="str">
            <v>H25</v>
          </cell>
          <cell r="L631">
            <v>16</v>
          </cell>
          <cell r="M631" t="str">
            <v>H25X16</v>
          </cell>
          <cell r="N631" t="str">
            <v>36</v>
          </cell>
          <cell r="O631" t="str">
            <v>8721516630346 </v>
          </cell>
          <cell r="S631" t="str">
            <v>8 x (66830000) + 8 x (66830100)</v>
          </cell>
          <cell r="AA631" t="str">
            <v>X</v>
          </cell>
          <cell r="AJ631" t="str">
            <v>-</v>
          </cell>
          <cell r="AL631">
            <v>0</v>
          </cell>
          <cell r="AM631">
            <v>0</v>
          </cell>
          <cell r="AN631" t="e">
            <v>#VALUE!</v>
          </cell>
          <cell r="AO631" t="str">
            <v/>
          </cell>
        </row>
        <row r="632">
          <cell r="A632">
            <v>86840000</v>
          </cell>
          <cell r="D632" t="str">
            <v>ALDI NL MAALTIJDBOX NL 16X450G</v>
          </cell>
          <cell r="E632" t="str">
            <v>ALDI NL</v>
          </cell>
          <cell r="H632">
            <v>365</v>
          </cell>
          <cell r="I632">
            <v>7.2</v>
          </cell>
          <cell r="J632" t="str">
            <v>H25</v>
          </cell>
          <cell r="L632">
            <v>16</v>
          </cell>
          <cell r="M632" t="str">
            <v>H25X16</v>
          </cell>
          <cell r="N632" t="str">
            <v>36</v>
          </cell>
          <cell r="S632" t="str">
            <v>8 x (66840000) + 8 x (66840100)</v>
          </cell>
        </row>
        <row r="633">
          <cell r="A633">
            <v>86841000</v>
          </cell>
          <cell r="D633" t="str">
            <v>ALDI NL MAALTIJDBOX HP 16X425G</v>
          </cell>
          <cell r="E633" t="str">
            <v>ALDI NL</v>
          </cell>
          <cell r="H633">
            <v>456</v>
          </cell>
          <cell r="I633">
            <v>6.8</v>
          </cell>
          <cell r="J633" t="str">
            <v>H25</v>
          </cell>
          <cell r="L633">
            <v>16</v>
          </cell>
          <cell r="M633" t="str">
            <v>H25X16</v>
          </cell>
          <cell r="N633" t="str">
            <v>36</v>
          </cell>
          <cell r="S633" t="str">
            <v>8 x (66841000) + 8 x (66841100)</v>
          </cell>
        </row>
        <row r="634">
          <cell r="A634">
            <v>86901700</v>
          </cell>
          <cell r="C634">
            <v>1000072</v>
          </cell>
          <cell r="D634" t="str">
            <v>LIDL IE PT CH CZ AT LOADED FRIES 15X280G</v>
          </cell>
          <cell r="E634" t="str">
            <v>Lidl INT</v>
          </cell>
          <cell r="H634">
            <v>456</v>
          </cell>
          <cell r="I634">
            <v>4.2</v>
          </cell>
          <cell r="J634" t="str">
            <v>H9 45mm</v>
          </cell>
          <cell r="L634">
            <v>15</v>
          </cell>
          <cell r="M634" t="str">
            <v>H10X18</v>
          </cell>
          <cell r="N634" t="str">
            <v>42</v>
          </cell>
          <cell r="O634">
            <v>5400870999421</v>
          </cell>
          <cell r="S634" t="str">
            <v>4x (66901700) + 6 x (66901800) +  5 x (66901900)</v>
          </cell>
          <cell r="AA634" t="str">
            <v>! !</v>
          </cell>
          <cell r="AJ634" t="str">
            <v>V-A </v>
          </cell>
          <cell r="AL634">
            <v>0</v>
          </cell>
          <cell r="AM634">
            <v>0</v>
          </cell>
          <cell r="AN634" t="e">
            <v>#VALUE!</v>
          </cell>
          <cell r="AO634" t="str">
            <v/>
          </cell>
          <cell r="AP634">
            <v>0</v>
          </cell>
        </row>
        <row r="635">
          <cell r="A635">
            <v>86902000</v>
          </cell>
          <cell r="D635" t="str">
            <v>LIDL AT CH BE LV LT LOADED FRIES 15X350G</v>
          </cell>
          <cell r="E635" t="str">
            <v>Lidl INT</v>
          </cell>
          <cell r="H635">
            <v>456</v>
          </cell>
          <cell r="I635">
            <v>5.25</v>
          </cell>
          <cell r="J635" t="str">
            <v>H9 45mm</v>
          </cell>
          <cell r="L635">
            <v>15</v>
          </cell>
          <cell r="M635" t="str">
            <v>H10X18</v>
          </cell>
          <cell r="N635" t="str">
            <v>42</v>
          </cell>
          <cell r="S635" t="str">
            <v>4x (66902000) + 6 x (66902100) +  5 x (66902200)</v>
          </cell>
        </row>
        <row r="636">
          <cell r="A636">
            <v>87110100</v>
          </cell>
          <cell r="C636">
            <v>1016122</v>
          </cell>
          <cell r="D636" t="str">
            <v>LIDL CH SE DK FR LV LT ASIA SOEP 8X400G</v>
          </cell>
          <cell r="E636" t="str">
            <v>Lidl INT</v>
          </cell>
          <cell r="H636">
            <v>456</v>
          </cell>
          <cell r="I636">
            <v>3.2</v>
          </cell>
          <cell r="J636" t="str">
            <v>H16</v>
          </cell>
          <cell r="L636">
            <v>8</v>
          </cell>
          <cell r="M636" t="str">
            <v>H/S16X8</v>
          </cell>
          <cell r="N636" t="str">
            <v>98</v>
          </cell>
          <cell r="O636">
            <v>5400870999445</v>
          </cell>
          <cell r="S636" t="str">
            <v>4x (67110100) + 4x (67110200)</v>
          </cell>
          <cell r="AA636" t="str">
            <v>! ! ! ! !</v>
          </cell>
          <cell r="AJ636" t="str">
            <v>V-A </v>
          </cell>
          <cell r="AL636">
            <v>0</v>
          </cell>
          <cell r="AM636">
            <v>0</v>
          </cell>
          <cell r="AN636" t="e">
            <v>#VALUE!</v>
          </cell>
          <cell r="AO636" t="str">
            <v/>
          </cell>
          <cell r="AP636">
            <v>0</v>
          </cell>
        </row>
        <row r="637">
          <cell r="A637">
            <v>87110300</v>
          </cell>
          <cell r="D637" t="str">
            <v>LIDL CH IE NI FR BE ASIA SOEP 8X400G</v>
          </cell>
          <cell r="E637" t="str">
            <v>Lidl INT</v>
          </cell>
          <cell r="H637">
            <v>456</v>
          </cell>
          <cell r="I637">
            <v>3.2</v>
          </cell>
          <cell r="J637" t="str">
            <v>H16</v>
          </cell>
          <cell r="L637">
            <v>8</v>
          </cell>
          <cell r="M637" t="str">
            <v>H/S16X8</v>
          </cell>
          <cell r="N637" t="str">
            <v>98</v>
          </cell>
          <cell r="O637">
            <v>5400870999346</v>
          </cell>
          <cell r="S637" t="str">
            <v>4x (67110300) + 4x (67110400)</v>
          </cell>
          <cell r="AA637" t="str">
            <v>! ! ! ! !</v>
          </cell>
          <cell r="AJ637" t="str">
            <v>V-A </v>
          </cell>
          <cell r="AL637">
            <v>0</v>
          </cell>
          <cell r="AM637">
            <v>0</v>
          </cell>
          <cell r="AN637" t="e">
            <v>#VALUE!</v>
          </cell>
          <cell r="AO637" t="str">
            <v/>
          </cell>
          <cell r="AP637">
            <v>0</v>
          </cell>
        </row>
        <row r="638">
          <cell r="A638">
            <v>87110500</v>
          </cell>
          <cell r="D638" t="str">
            <v>LIDL LT LV ES CS ASIA SOEP 8X400G</v>
          </cell>
          <cell r="E638" t="str">
            <v>Lidl INT</v>
          </cell>
          <cell r="H638">
            <v>456</v>
          </cell>
          <cell r="I638">
            <v>3.2</v>
          </cell>
          <cell r="J638" t="str">
            <v>H16</v>
          </cell>
          <cell r="L638">
            <v>8</v>
          </cell>
          <cell r="M638" t="str">
            <v>H/S16X8</v>
          </cell>
          <cell r="N638" t="str">
            <v>98</v>
          </cell>
          <cell r="O638">
            <v>5400870999339</v>
          </cell>
          <cell r="S638" t="str">
            <v>4x (67110500) + 4x (67110600)</v>
          </cell>
          <cell r="AA638" t="str">
            <v>! ! ! ! !</v>
          </cell>
          <cell r="AJ638" t="str">
            <v>V-A </v>
          </cell>
          <cell r="AL638">
            <v>0</v>
          </cell>
          <cell r="AM638">
            <v>0</v>
          </cell>
          <cell r="AN638" t="e">
            <v>#VALUE!</v>
          </cell>
          <cell r="AO638" t="str">
            <v/>
          </cell>
          <cell r="AP638">
            <v>0</v>
          </cell>
        </row>
        <row r="639">
          <cell r="A639">
            <v>54800400</v>
          </cell>
          <cell r="C639">
            <v>80005321</v>
          </cell>
          <cell r="D639" t="str">
            <v>2397 TULIP TFS VLEESLASAGNE 310G</v>
          </cell>
          <cell r="E639" t="str">
            <v>Tulip</v>
          </cell>
          <cell r="F639" t="str">
            <v>nvt</v>
          </cell>
          <cell r="G639" t="str">
            <v>nvt</v>
          </cell>
          <cell r="H639">
            <v>365</v>
          </cell>
          <cell r="I639">
            <v>0.31</v>
          </cell>
          <cell r="J639" t="str">
            <v>NVT</v>
          </cell>
          <cell r="K639" t="str">
            <v>NVT</v>
          </cell>
          <cell r="L639">
            <v>16</v>
          </cell>
          <cell r="M639" t="str">
            <v>TULIP KL</v>
          </cell>
          <cell r="N639" t="str">
            <v>96</v>
          </cell>
          <cell r="P639" t="str">
            <v>H</v>
          </cell>
          <cell r="Q639">
            <v>2</v>
          </cell>
          <cell r="R639">
            <v>2</v>
          </cell>
          <cell r="T639">
            <v>3300</v>
          </cell>
          <cell r="U639">
            <v>10</v>
          </cell>
          <cell r="V639">
            <v>3300</v>
          </cell>
          <cell r="W639">
            <v>10</v>
          </cell>
          <cell r="X639">
            <v>3300</v>
          </cell>
          <cell r="Y639">
            <v>10</v>
          </cell>
          <cell r="Z639">
            <v>0</v>
          </cell>
          <cell r="AA639" t="str">
            <v>! ! !</v>
          </cell>
          <cell r="AB639">
            <v>25278</v>
          </cell>
          <cell r="AC639">
            <v>0</v>
          </cell>
          <cell r="AJ639" t="str">
            <v>-</v>
          </cell>
          <cell r="AL639">
            <v>0</v>
          </cell>
          <cell r="AM639">
            <v>3300</v>
          </cell>
          <cell r="AN639" t="e">
            <v>#VALUE!</v>
          </cell>
          <cell r="AO639" t="e">
            <v>#VALUE!</v>
          </cell>
          <cell r="AP639">
            <v>-3300</v>
          </cell>
        </row>
        <row r="640">
          <cell r="A640">
            <v>54800700</v>
          </cell>
          <cell r="C640">
            <v>70002525</v>
          </cell>
          <cell r="D640" t="str">
            <v>2525 TULIP TFS AUFLAUF SPINAZIE 310G</v>
          </cell>
          <cell r="E640" t="str">
            <v>Tulip</v>
          </cell>
          <cell r="F640" t="str">
            <v>nvt</v>
          </cell>
          <cell r="G640" t="str">
            <v>nvt</v>
          </cell>
          <cell r="H640">
            <v>365</v>
          </cell>
          <cell r="I640">
            <v>0.31</v>
          </cell>
          <cell r="J640" t="str">
            <v>NVT</v>
          </cell>
          <cell r="K640" t="str">
            <v>NVT</v>
          </cell>
          <cell r="L640">
            <v>30</v>
          </cell>
          <cell r="M640" t="str">
            <v>TULIP GR</v>
          </cell>
          <cell r="N640" t="str">
            <v>44</v>
          </cell>
          <cell r="P640" t="str">
            <v>H</v>
          </cell>
          <cell r="Q640">
            <v>2</v>
          </cell>
          <cell r="R640">
            <v>2</v>
          </cell>
          <cell r="T640">
            <v>2640</v>
          </cell>
          <cell r="U640">
            <v>8</v>
          </cell>
          <cell r="V640">
            <v>2640</v>
          </cell>
          <cell r="W640">
            <v>8</v>
          </cell>
          <cell r="X640">
            <v>2640</v>
          </cell>
          <cell r="Y640">
            <v>8</v>
          </cell>
          <cell r="Z640">
            <v>0</v>
          </cell>
          <cell r="AA640" t="str">
            <v>! ! !</v>
          </cell>
          <cell r="AB640">
            <v>20222.400000000001</v>
          </cell>
          <cell r="AC640">
            <v>0</v>
          </cell>
          <cell r="AJ640" t="str">
            <v>-</v>
          </cell>
          <cell r="AL640">
            <v>0</v>
          </cell>
          <cell r="AM640">
            <v>2640</v>
          </cell>
          <cell r="AN640" t="e">
            <v>#VALUE!</v>
          </cell>
          <cell r="AO640" t="e">
            <v>#VALUE!</v>
          </cell>
          <cell r="AP640">
            <v>-2640</v>
          </cell>
        </row>
        <row r="641">
          <cell r="A641">
            <v>54800900</v>
          </cell>
          <cell r="C641">
            <v>70002539</v>
          </cell>
          <cell r="D641" t="str">
            <v>2539 TULIP TFS LASAGNE BOLOGNAISE MET BECHAMEL 310G</v>
          </cell>
          <cell r="E641" t="str">
            <v>Tulip</v>
          </cell>
          <cell r="F641" t="str">
            <v>nvt</v>
          </cell>
          <cell r="G641" t="str">
            <v>nvt</v>
          </cell>
          <cell r="H641">
            <v>365</v>
          </cell>
          <cell r="I641">
            <v>0.31</v>
          </cell>
          <cell r="J641" t="str">
            <v>NVT</v>
          </cell>
          <cell r="K641" t="str">
            <v>NVT</v>
          </cell>
          <cell r="L641">
            <v>16</v>
          </cell>
          <cell r="M641" t="str">
            <v>TULIP KL</v>
          </cell>
          <cell r="N641" t="str">
            <v>96</v>
          </cell>
          <cell r="P641" t="str">
            <v>H</v>
          </cell>
          <cell r="Q641">
            <v>2</v>
          </cell>
          <cell r="R641">
            <v>2</v>
          </cell>
          <cell r="S641" t="str">
            <v>idem 64810000</v>
          </cell>
          <cell r="T641">
            <v>3300</v>
          </cell>
          <cell r="U641">
            <v>10</v>
          </cell>
          <cell r="V641">
            <v>3300</v>
          </cell>
          <cell r="W641">
            <v>10</v>
          </cell>
          <cell r="X641">
            <v>3300</v>
          </cell>
          <cell r="Y641">
            <v>10</v>
          </cell>
          <cell r="Z641">
            <v>0</v>
          </cell>
          <cell r="AA641" t="str">
            <v>! ! !</v>
          </cell>
          <cell r="AB641">
            <v>25278</v>
          </cell>
          <cell r="AC641">
            <v>0</v>
          </cell>
          <cell r="AJ641" t="str">
            <v>-</v>
          </cell>
          <cell r="AL641">
            <v>0</v>
          </cell>
          <cell r="AM641">
            <v>3300</v>
          </cell>
          <cell r="AN641" t="e">
            <v>#VALUE!</v>
          </cell>
          <cell r="AO641" t="e">
            <v>#VALUE!</v>
          </cell>
          <cell r="AP641">
            <v>-3300</v>
          </cell>
        </row>
        <row r="642">
          <cell r="A642">
            <v>54801000</v>
          </cell>
          <cell r="C642">
            <v>70005048</v>
          </cell>
          <cell r="D642" t="str">
            <v>5048 TULIP TFS LASAGNE BOLOGNAISE 310G</v>
          </cell>
          <cell r="E642" t="str">
            <v>Tulip</v>
          </cell>
          <cell r="F642" t="str">
            <v>nvt</v>
          </cell>
          <cell r="G642" t="str">
            <v>nvt</v>
          </cell>
          <cell r="H642">
            <v>365</v>
          </cell>
          <cell r="I642">
            <v>0.31</v>
          </cell>
          <cell r="J642" t="str">
            <v>NVT</v>
          </cell>
          <cell r="K642" t="str">
            <v>NVT</v>
          </cell>
          <cell r="L642">
            <v>16</v>
          </cell>
          <cell r="M642" t="str">
            <v>TULIP KL</v>
          </cell>
          <cell r="N642" t="str">
            <v>128</v>
          </cell>
          <cell r="P642" t="str">
            <v>H</v>
          </cell>
          <cell r="Q642">
            <v>1.5</v>
          </cell>
          <cell r="R642">
            <v>2</v>
          </cell>
          <cell r="T642">
            <v>3300</v>
          </cell>
          <cell r="U642">
            <v>10</v>
          </cell>
          <cell r="V642">
            <v>3300</v>
          </cell>
          <cell r="W642">
            <v>10</v>
          </cell>
          <cell r="X642">
            <v>3300</v>
          </cell>
          <cell r="Y642">
            <v>10</v>
          </cell>
          <cell r="Z642">
            <v>0</v>
          </cell>
          <cell r="AA642" t="str">
            <v>! ! !</v>
          </cell>
          <cell r="AB642">
            <v>25278</v>
          </cell>
          <cell r="AC642">
            <v>0</v>
          </cell>
          <cell r="AJ642" t="str">
            <v>-</v>
          </cell>
          <cell r="AL642">
            <v>0</v>
          </cell>
          <cell r="AM642">
            <v>3300</v>
          </cell>
          <cell r="AN642" t="e">
            <v>#VALUE!</v>
          </cell>
          <cell r="AO642" t="e">
            <v>#VALUE!</v>
          </cell>
          <cell r="AP642">
            <v>-3300</v>
          </cell>
        </row>
        <row r="643">
          <cell r="A643">
            <v>54810000</v>
          </cell>
          <cell r="D643" t="str">
            <v>FS LASAGNE BOLOGNAISE 310G</v>
          </cell>
          <cell r="E643" t="str">
            <v>DMB, lasagne</v>
          </cell>
          <cell r="F643" t="str">
            <v>nvt</v>
          </cell>
          <cell r="G643" t="str">
            <v>nvt</v>
          </cell>
          <cell r="H643">
            <v>456</v>
          </cell>
          <cell r="I643">
            <v>0.31</v>
          </cell>
          <cell r="J643" t="str">
            <v>NVT</v>
          </cell>
          <cell r="K643" t="str">
            <v>NVT</v>
          </cell>
          <cell r="L643">
            <v>16</v>
          </cell>
          <cell r="M643" t="str">
            <v>TULIP KL</v>
          </cell>
          <cell r="N643" t="str">
            <v>176</v>
          </cell>
          <cell r="P643" t="str">
            <v>H</v>
          </cell>
          <cell r="Q643">
            <v>2</v>
          </cell>
          <cell r="R643">
            <v>2</v>
          </cell>
          <cell r="S643" t="str">
            <v>NIET gratineren, idem 64800900</v>
          </cell>
          <cell r="T643">
            <v>3300</v>
          </cell>
          <cell r="U643">
            <v>10</v>
          </cell>
          <cell r="V643">
            <v>3300</v>
          </cell>
          <cell r="W643">
            <v>10</v>
          </cell>
          <cell r="X643">
            <v>3300</v>
          </cell>
          <cell r="Y643">
            <v>10</v>
          </cell>
          <cell r="Z643">
            <v>0</v>
          </cell>
          <cell r="AA643" t="str">
            <v>! ! !</v>
          </cell>
          <cell r="AB643" t="str">
            <v>combi</v>
          </cell>
          <cell r="AC643">
            <v>0</v>
          </cell>
          <cell r="AJ643" t="str">
            <v>-</v>
          </cell>
          <cell r="AL643">
            <v>0</v>
          </cell>
          <cell r="AM643">
            <v>3300</v>
          </cell>
          <cell r="AN643" t="e">
            <v>#VALUE!</v>
          </cell>
          <cell r="AO643" t="e">
            <v>#VALUE!</v>
          </cell>
          <cell r="AP643">
            <v>-3300</v>
          </cell>
        </row>
        <row r="644">
          <cell r="A644">
            <v>54810100</v>
          </cell>
          <cell r="D644" t="str">
            <v>FS LASAGNE BOLOGNAISE 400G</v>
          </cell>
          <cell r="E644" t="str">
            <v>DMB, lasagne</v>
          </cell>
          <cell r="F644" t="str">
            <v>nvt</v>
          </cell>
          <cell r="G644" t="str">
            <v>nvt</v>
          </cell>
          <cell r="H644">
            <v>456</v>
          </cell>
          <cell r="I644">
            <v>0.4</v>
          </cell>
          <cell r="J644" t="str">
            <v>NVT</v>
          </cell>
          <cell r="K644" t="str">
            <v>NVT</v>
          </cell>
          <cell r="L644">
            <v>18</v>
          </cell>
          <cell r="M644" t="str">
            <v>TULIP GR</v>
          </cell>
          <cell r="N644" t="str">
            <v>88</v>
          </cell>
          <cell r="P644" t="str">
            <v>H</v>
          </cell>
          <cell r="Q644">
            <v>2</v>
          </cell>
          <cell r="R644">
            <v>2</v>
          </cell>
          <cell r="S644" t="str">
            <v>NIET gratineren, vers gehakt</v>
          </cell>
          <cell r="T644">
            <v>2640</v>
          </cell>
          <cell r="U644">
            <v>10</v>
          </cell>
          <cell r="V644">
            <v>2640</v>
          </cell>
          <cell r="W644">
            <v>10</v>
          </cell>
          <cell r="X644">
            <v>2640</v>
          </cell>
          <cell r="Y644">
            <v>10</v>
          </cell>
          <cell r="Z644">
            <v>0</v>
          </cell>
          <cell r="AA644" t="str">
            <v>! ! !</v>
          </cell>
          <cell r="AC644">
            <v>0</v>
          </cell>
          <cell r="AJ644" t="str">
            <v>V-A</v>
          </cell>
          <cell r="AL644">
            <v>0</v>
          </cell>
          <cell r="AM644">
            <v>2640</v>
          </cell>
          <cell r="AN644" t="e">
            <v>#VALUE!</v>
          </cell>
          <cell r="AO644" t="e">
            <v>#VALUE!</v>
          </cell>
          <cell r="AP644">
            <v>-2640</v>
          </cell>
        </row>
        <row r="645">
          <cell r="A645">
            <v>54820100</v>
          </cell>
          <cell r="D645" t="str">
            <v>EAT CASPER LASAGNE CLASSIC 450G</v>
          </cell>
          <cell r="E645" t="str">
            <v>Casper</v>
          </cell>
          <cell r="F645" t="str">
            <v>nvt</v>
          </cell>
          <cell r="G645" t="str">
            <v>nvt</v>
          </cell>
          <cell r="H645">
            <v>365</v>
          </cell>
          <cell r="I645">
            <v>0.45</v>
          </cell>
          <cell r="J645" t="str">
            <v>NVT</v>
          </cell>
          <cell r="K645" t="str">
            <v>NVT</v>
          </cell>
          <cell r="L645">
            <v>18</v>
          </cell>
          <cell r="M645" t="str">
            <v>TULIP GR</v>
          </cell>
          <cell r="N645" t="str">
            <v>88</v>
          </cell>
          <cell r="P645" t="str">
            <v>H</v>
          </cell>
          <cell r="Q645">
            <v>2</v>
          </cell>
          <cell r="R645">
            <v>2</v>
          </cell>
          <cell r="S645" t="str">
            <v>NIET gratineren, vers gehakt</v>
          </cell>
          <cell r="T645">
            <v>2310</v>
          </cell>
          <cell r="U645">
            <v>11</v>
          </cell>
          <cell r="V645">
            <v>2310</v>
          </cell>
          <cell r="W645">
            <v>11</v>
          </cell>
          <cell r="X645">
            <v>2310</v>
          </cell>
          <cell r="Y645">
            <v>11</v>
          </cell>
          <cell r="AA645" t="str">
            <v>! ! !</v>
          </cell>
          <cell r="AB645">
            <v>6491.1</v>
          </cell>
          <cell r="AC645">
            <v>0</v>
          </cell>
          <cell r="AJ645" t="str">
            <v>V-A</v>
          </cell>
          <cell r="AL645">
            <v>0</v>
          </cell>
          <cell r="AM645">
            <v>2310</v>
          </cell>
          <cell r="AN645" t="e">
            <v>#VALUE!</v>
          </cell>
          <cell r="AO645" t="e">
            <v>#VALUE!</v>
          </cell>
          <cell r="AP645">
            <v>-2310</v>
          </cell>
        </row>
        <row r="646">
          <cell r="A646">
            <v>54820200</v>
          </cell>
          <cell r="D646" t="str">
            <v>EAT CASPER LASAGNE HOLY GRAIL 450G</v>
          </cell>
          <cell r="E646" t="str">
            <v>Casper</v>
          </cell>
          <cell r="F646" t="str">
            <v>nvt</v>
          </cell>
          <cell r="G646" t="str">
            <v>nvt</v>
          </cell>
          <cell r="H646">
            <v>365</v>
          </cell>
          <cell r="I646">
            <v>0.45</v>
          </cell>
          <cell r="J646" t="str">
            <v>NVT</v>
          </cell>
          <cell r="K646" t="str">
            <v>NVT</v>
          </cell>
          <cell r="L646">
            <v>18</v>
          </cell>
          <cell r="M646" t="str">
            <v>TULIP GR</v>
          </cell>
          <cell r="N646" t="str">
            <v>88</v>
          </cell>
          <cell r="P646" t="str">
            <v>H</v>
          </cell>
          <cell r="Q646">
            <v>2.5</v>
          </cell>
          <cell r="R646">
            <v>2</v>
          </cell>
          <cell r="S646" t="str">
            <v>NIET gratineren, vers gehakt</v>
          </cell>
          <cell r="T646">
            <v>2310</v>
          </cell>
          <cell r="U646">
            <v>11</v>
          </cell>
          <cell r="V646">
            <v>2310</v>
          </cell>
          <cell r="W646">
            <v>11</v>
          </cell>
          <cell r="X646">
            <v>2310</v>
          </cell>
          <cell r="Y646">
            <v>11</v>
          </cell>
          <cell r="AA646" t="str">
            <v>! ! !</v>
          </cell>
          <cell r="AB646">
            <v>6491.1</v>
          </cell>
          <cell r="AC646">
            <v>0</v>
          </cell>
          <cell r="AJ646" t="str">
            <v>V-A</v>
          </cell>
          <cell r="AL646">
            <v>0</v>
          </cell>
          <cell r="AM646">
            <v>2310</v>
          </cell>
          <cell r="AN646" t="e">
            <v>#VALUE!</v>
          </cell>
          <cell r="AO646" t="e">
            <v>#VALUE!</v>
          </cell>
          <cell r="AP646">
            <v>-2310</v>
          </cell>
        </row>
        <row r="647">
          <cell r="A647">
            <v>54820300</v>
          </cell>
          <cell r="D647" t="str">
            <v>EAT CASPER VEGETARISCHE LASAGNE BOLOGNAISE 450G</v>
          </cell>
          <cell r="E647" t="str">
            <v>Casper</v>
          </cell>
          <cell r="F647" t="str">
            <v>nvt</v>
          </cell>
          <cell r="G647" t="str">
            <v>nvt</v>
          </cell>
          <cell r="H647">
            <v>456</v>
          </cell>
          <cell r="I647">
            <v>0.45</v>
          </cell>
          <cell r="J647" t="str">
            <v>NVT</v>
          </cell>
          <cell r="K647" t="str">
            <v>NVT</v>
          </cell>
          <cell r="L647">
            <v>18</v>
          </cell>
          <cell r="M647" t="str">
            <v>TULIP GR</v>
          </cell>
          <cell r="N647" t="str">
            <v>88</v>
          </cell>
          <cell r="P647" t="str">
            <v>H</v>
          </cell>
          <cell r="Q647">
            <v>2</v>
          </cell>
          <cell r="R647">
            <v>2</v>
          </cell>
          <cell r="S647" t="str">
            <v>NIET gratineren</v>
          </cell>
          <cell r="T647">
            <v>2310</v>
          </cell>
          <cell r="U647">
            <v>11</v>
          </cell>
          <cell r="V647">
            <v>2310</v>
          </cell>
          <cell r="W647">
            <v>11</v>
          </cell>
          <cell r="X647">
            <v>2310</v>
          </cell>
          <cell r="Y647">
            <v>11</v>
          </cell>
          <cell r="AA647" t="str">
            <v>! ! !</v>
          </cell>
          <cell r="AC647">
            <v>0</v>
          </cell>
          <cell r="AJ647" t="str">
            <v>-</v>
          </cell>
          <cell r="AL647">
            <v>0</v>
          </cell>
          <cell r="AM647">
            <v>2310</v>
          </cell>
          <cell r="AN647" t="e">
            <v>#VALUE!</v>
          </cell>
          <cell r="AO647" t="e">
            <v>#VALUE!</v>
          </cell>
          <cell r="AP647">
            <v>-2310</v>
          </cell>
        </row>
        <row r="648">
          <cell r="A648">
            <v>60920300</v>
          </cell>
          <cell r="B648" t="str">
            <v>-</v>
          </cell>
          <cell r="C648">
            <v>60920300</v>
          </cell>
          <cell r="D648" t="str">
            <v>DMB ASPERGEVELOUTE 900G</v>
          </cell>
          <cell r="E648" t="str">
            <v>DMB, SOEP</v>
          </cell>
          <cell r="F648" t="str">
            <v>40336300 OLAF 30 290MM</v>
          </cell>
          <cell r="G648" t="str">
            <v>C2227-1H evolve</v>
          </cell>
          <cell r="H648">
            <v>548</v>
          </cell>
          <cell r="I648">
            <v>0.9</v>
          </cell>
          <cell r="J648" t="str">
            <v>NVT</v>
          </cell>
          <cell r="K648" t="str">
            <v>DELIMEAL HORECA</v>
          </cell>
          <cell r="L648">
            <v>6</v>
          </cell>
          <cell r="M648" t="str">
            <v>CATERING</v>
          </cell>
          <cell r="N648">
            <v>110</v>
          </cell>
          <cell r="O648">
            <v>5410953092031</v>
          </cell>
          <cell r="P648" t="str">
            <v>2T</v>
          </cell>
          <cell r="Q648">
            <v>1</v>
          </cell>
          <cell r="R648">
            <v>3</v>
          </cell>
          <cell r="S648" t="str">
            <v>Folie perforeren</v>
          </cell>
          <cell r="T648">
            <v>1750</v>
          </cell>
          <cell r="U648">
            <v>3</v>
          </cell>
          <cell r="V648">
            <v>1750</v>
          </cell>
          <cell r="W648">
            <v>3</v>
          </cell>
          <cell r="X648">
            <v>0</v>
          </cell>
          <cell r="Y648">
            <v>0</v>
          </cell>
          <cell r="Z648">
            <v>0</v>
          </cell>
          <cell r="AA648" t="str">
            <v>! !</v>
          </cell>
          <cell r="AB648">
            <v>1200</v>
          </cell>
          <cell r="AC648">
            <v>0</v>
          </cell>
          <cell r="AE648" t="str">
            <v>x</v>
          </cell>
          <cell r="AG648">
            <v>35</v>
          </cell>
          <cell r="AJ648" t="str">
            <v>-</v>
          </cell>
          <cell r="AL648">
            <v>2100</v>
          </cell>
          <cell r="AM648">
            <v>1750</v>
          </cell>
          <cell r="AN648" t="e">
            <v>#VALUE!</v>
          </cell>
          <cell r="AO648" t="e">
            <v>#VALUE!</v>
          </cell>
          <cell r="AP648">
            <v>350</v>
          </cell>
        </row>
        <row r="649">
          <cell r="A649">
            <v>61630900</v>
          </cell>
          <cell r="B649">
            <v>40288100</v>
          </cell>
          <cell r="C649">
            <v>7641</v>
          </cell>
          <cell r="D649" t="str">
            <v xml:space="preserve">EISM RUNDERSTOOFPOTJE ANDIJVIE PUREE 450G         </v>
          </cell>
          <cell r="E649" t="str">
            <v>Eism NL</v>
          </cell>
          <cell r="F649" t="str">
            <v>40336300 OLAF 30 290MM</v>
          </cell>
          <cell r="G649" t="str">
            <v>C2227-3C evolve</v>
          </cell>
          <cell r="H649">
            <v>548</v>
          </cell>
          <cell r="I649">
            <v>0.45</v>
          </cell>
          <cell r="J649" t="str">
            <v>H10</v>
          </cell>
          <cell r="K649" t="str">
            <v>NVT</v>
          </cell>
          <cell r="L649">
            <v>8</v>
          </cell>
          <cell r="M649" t="str">
            <v>H10X8</v>
          </cell>
          <cell r="N649">
            <v>81</v>
          </cell>
          <cell r="O649">
            <v>5410953163090</v>
          </cell>
          <cell r="P649" t="str">
            <v>I-H-2T</v>
          </cell>
          <cell r="Q649">
            <v>2.5</v>
          </cell>
          <cell r="R649">
            <v>4</v>
          </cell>
          <cell r="T649">
            <v>2200</v>
          </cell>
          <cell r="U649">
            <v>2</v>
          </cell>
          <cell r="V649">
            <v>2200</v>
          </cell>
          <cell r="W649">
            <v>2</v>
          </cell>
          <cell r="X649" t="str">
            <v>X</v>
          </cell>
          <cell r="Y649">
            <v>0</v>
          </cell>
          <cell r="Z649">
            <v>0.35</v>
          </cell>
          <cell r="AA649" t="str">
            <v>! ! !</v>
          </cell>
          <cell r="AB649">
            <v>2500</v>
          </cell>
          <cell r="AC649">
            <v>0</v>
          </cell>
          <cell r="AE649" t="str">
            <v>x</v>
          </cell>
          <cell r="AG649">
            <v>45</v>
          </cell>
          <cell r="AJ649" t="str">
            <v>V-A</v>
          </cell>
          <cell r="AL649">
            <v>2700</v>
          </cell>
          <cell r="AM649">
            <v>2200</v>
          </cell>
          <cell r="AN649" t="e">
            <v>#VALUE!</v>
          </cell>
          <cell r="AO649" t="e">
            <v>#VALUE!</v>
          </cell>
          <cell r="AP649">
            <v>500</v>
          </cell>
        </row>
        <row r="650">
          <cell r="A650">
            <v>61631200</v>
          </cell>
          <cell r="B650">
            <v>40287200</v>
          </cell>
          <cell r="C650">
            <v>1965</v>
          </cell>
          <cell r="D650" t="str">
            <v>EISM OMA'S GEHAKTBAL SPINAZIE KOOKAARDAPPELEN 460G</v>
          </cell>
          <cell r="E650" t="str">
            <v>Eism NL</v>
          </cell>
          <cell r="F650" t="str">
            <v>40336300 OLAF 30 290MM</v>
          </cell>
          <cell r="G650" t="str">
            <v>C2227-3C evolve</v>
          </cell>
          <cell r="H650">
            <v>456</v>
          </cell>
          <cell r="I650">
            <v>0.46</v>
          </cell>
          <cell r="J650" t="str">
            <v>H10</v>
          </cell>
          <cell r="K650" t="str">
            <v>NVT</v>
          </cell>
          <cell r="L650">
            <v>8</v>
          </cell>
          <cell r="M650" t="str">
            <v>H10X8</v>
          </cell>
          <cell r="N650">
            <v>81</v>
          </cell>
          <cell r="O650" t="str">
            <v>5410953163120</v>
          </cell>
          <cell r="P650" t="str">
            <v>2T-I</v>
          </cell>
          <cell r="Q650">
            <v>2</v>
          </cell>
          <cell r="R650">
            <v>4</v>
          </cell>
          <cell r="T650">
            <v>2200</v>
          </cell>
          <cell r="U650">
            <v>3</v>
          </cell>
          <cell r="V650">
            <v>2200</v>
          </cell>
          <cell r="W650">
            <v>3</v>
          </cell>
          <cell r="X650" t="str">
            <v>X</v>
          </cell>
          <cell r="Y650">
            <v>0</v>
          </cell>
          <cell r="Z650">
            <v>0.35</v>
          </cell>
          <cell r="AA650" t="str">
            <v>! ! !</v>
          </cell>
          <cell r="AB650">
            <v>2200</v>
          </cell>
          <cell r="AC650">
            <v>0</v>
          </cell>
          <cell r="AE650" t="str">
            <v>x</v>
          </cell>
          <cell r="AG650">
            <v>45</v>
          </cell>
          <cell r="AJ650" t="str">
            <v>V-A</v>
          </cell>
          <cell r="AL650">
            <v>2700</v>
          </cell>
          <cell r="AM650">
            <v>2200</v>
          </cell>
          <cell r="AN650" t="e">
            <v>#VALUE!</v>
          </cell>
          <cell r="AO650" t="e">
            <v>#VALUE!</v>
          </cell>
          <cell r="AP650">
            <v>500</v>
          </cell>
        </row>
        <row r="651">
          <cell r="A651">
            <v>61631300</v>
          </cell>
          <cell r="B651">
            <v>40287300</v>
          </cell>
          <cell r="C651">
            <v>2100</v>
          </cell>
          <cell r="D651" t="str">
            <v xml:space="preserve">EISM KALKOEN WORT. BROCC. AARDAPPELGRATIN 480G    </v>
          </cell>
          <cell r="E651" t="str">
            <v>Eism NL</v>
          </cell>
          <cell r="F651" t="str">
            <v>40336300 OLAF 30 290MM</v>
          </cell>
          <cell r="G651" t="str">
            <v>C2227-3C evolve</v>
          </cell>
          <cell r="H651">
            <v>548</v>
          </cell>
          <cell r="I651">
            <v>0.48</v>
          </cell>
          <cell r="J651" t="str">
            <v>H10</v>
          </cell>
          <cell r="K651" t="str">
            <v>NVT</v>
          </cell>
          <cell r="L651">
            <v>8</v>
          </cell>
          <cell r="M651" t="str">
            <v>H10X8</v>
          </cell>
          <cell r="N651">
            <v>81</v>
          </cell>
          <cell r="O651" t="str">
            <v>5410953163137</v>
          </cell>
          <cell r="P651" t="str">
            <v>2T</v>
          </cell>
          <cell r="Q651">
            <v>3</v>
          </cell>
          <cell r="R651">
            <v>4</v>
          </cell>
          <cell r="S651" t="str">
            <v>KALKOEN snijden (0,5cm)</v>
          </cell>
          <cell r="T651">
            <v>1500</v>
          </cell>
          <cell r="U651">
            <v>9</v>
          </cell>
          <cell r="V651">
            <v>1500</v>
          </cell>
          <cell r="W651">
            <v>9</v>
          </cell>
          <cell r="X651" t="str">
            <v>X</v>
          </cell>
          <cell r="Y651">
            <v>0</v>
          </cell>
          <cell r="Z651">
            <v>0.35</v>
          </cell>
          <cell r="AA651" t="str">
            <v>! ! !</v>
          </cell>
          <cell r="AB651">
            <v>1500</v>
          </cell>
          <cell r="AC651">
            <v>4.8000000000000001E-2</v>
          </cell>
          <cell r="AE651" t="str">
            <v>x</v>
          </cell>
          <cell r="AG651">
            <v>30</v>
          </cell>
          <cell r="AJ651" t="str">
            <v>V-A</v>
          </cell>
          <cell r="AL651">
            <v>1800</v>
          </cell>
          <cell r="AM651">
            <v>1500</v>
          </cell>
          <cell r="AN651" t="e">
            <v>#VALUE!</v>
          </cell>
          <cell r="AO651" t="e">
            <v>#VALUE!</v>
          </cell>
          <cell r="AP651">
            <v>300</v>
          </cell>
        </row>
        <row r="652">
          <cell r="A652">
            <v>61632000</v>
          </cell>
          <cell r="B652">
            <v>40276400</v>
          </cell>
          <cell r="C652">
            <v>2248</v>
          </cell>
          <cell r="D652" t="str">
            <v>EISM CHIPOLATA BLOEMKOOL PUREE 500G</v>
          </cell>
          <cell r="E652" t="str">
            <v>Eism NL</v>
          </cell>
          <cell r="F652" t="str">
            <v>40336300 OLAF 30 290MM</v>
          </cell>
          <cell r="G652" t="str">
            <v>C2227-3C evolve</v>
          </cell>
          <cell r="H652">
            <v>365</v>
          </cell>
          <cell r="I652">
            <v>0.5</v>
          </cell>
          <cell r="J652" t="str">
            <v>H10</v>
          </cell>
          <cell r="K652" t="str">
            <v>NVT</v>
          </cell>
          <cell r="L652">
            <v>8</v>
          </cell>
          <cell r="M652" t="str">
            <v>H10X8</v>
          </cell>
          <cell r="N652">
            <v>81</v>
          </cell>
          <cell r="O652" t="str">
            <v>5410953163205</v>
          </cell>
          <cell r="P652" t="str">
            <v>H-2T</v>
          </cell>
          <cell r="Q652">
            <v>2.5</v>
          </cell>
          <cell r="R652">
            <v>4</v>
          </cell>
          <cell r="S652" t="str">
            <v xml:space="preserve">OLAF-foli </v>
          </cell>
          <cell r="T652">
            <v>2000</v>
          </cell>
          <cell r="U652">
            <v>5</v>
          </cell>
          <cell r="V652">
            <v>2000</v>
          </cell>
          <cell r="W652">
            <v>5</v>
          </cell>
          <cell r="X652" t="str">
            <v>X</v>
          </cell>
          <cell r="Y652">
            <v>0</v>
          </cell>
          <cell r="Z652">
            <v>0.35</v>
          </cell>
          <cell r="AA652" t="str">
            <v>! !</v>
          </cell>
          <cell r="AB652">
            <v>1500</v>
          </cell>
          <cell r="AC652">
            <v>8.9062499999999989E-2</v>
          </cell>
          <cell r="AE652" t="str">
            <v>x</v>
          </cell>
          <cell r="AG652">
            <v>42</v>
          </cell>
          <cell r="AJ652" t="str">
            <v>V-A</v>
          </cell>
          <cell r="AL652">
            <v>2520</v>
          </cell>
          <cell r="AM652">
            <v>2000</v>
          </cell>
          <cell r="AN652" t="e">
            <v>#VALUE!</v>
          </cell>
          <cell r="AO652" t="e">
            <v>#VALUE!</v>
          </cell>
          <cell r="AP652">
            <v>520</v>
          </cell>
        </row>
        <row r="653">
          <cell r="A653">
            <v>61642200</v>
          </cell>
          <cell r="B653">
            <v>40271600</v>
          </cell>
          <cell r="C653">
            <v>38608</v>
          </cell>
          <cell r="D653" t="str">
            <v>SPAR KIP PEPERROOMSAUS WORTEL AARD KUBUS 500G</v>
          </cell>
          <cell r="E653" t="str">
            <v>SPAR</v>
          </cell>
          <cell r="F653" t="str">
            <v>40336300 OLAF 30 290MM</v>
          </cell>
          <cell r="G653" t="str">
            <v>C2227-3C evolve</v>
          </cell>
          <cell r="H653">
            <v>456</v>
          </cell>
          <cell r="I653">
            <v>0.5</v>
          </cell>
          <cell r="J653" t="str">
            <v>H10</v>
          </cell>
          <cell r="K653" t="str">
            <v>NVT</v>
          </cell>
          <cell r="L653">
            <v>8</v>
          </cell>
          <cell r="M653" t="str">
            <v>H10X8</v>
          </cell>
          <cell r="N653">
            <v>81</v>
          </cell>
          <cell r="O653">
            <v>15400141850465</v>
          </cell>
          <cell r="P653" t="str">
            <v>I-T</v>
          </cell>
          <cell r="Q653">
            <v>2</v>
          </cell>
          <cell r="R653">
            <v>2</v>
          </cell>
          <cell r="T653">
            <v>2200</v>
          </cell>
          <cell r="U653">
            <v>6</v>
          </cell>
          <cell r="V653">
            <v>2200</v>
          </cell>
          <cell r="W653">
            <v>6</v>
          </cell>
          <cell r="X653" t="str">
            <v>X</v>
          </cell>
          <cell r="Y653">
            <v>0</v>
          </cell>
          <cell r="Z653">
            <v>0.107</v>
          </cell>
          <cell r="AA653" t="str">
            <v>! !</v>
          </cell>
          <cell r="AB653">
            <v>4000</v>
          </cell>
          <cell r="AC653">
            <v>0</v>
          </cell>
          <cell r="AG653">
            <v>45</v>
          </cell>
          <cell r="AJ653" t="str">
            <v>V-A</v>
          </cell>
          <cell r="AL653">
            <v>2700</v>
          </cell>
          <cell r="AM653">
            <v>2200</v>
          </cell>
          <cell r="AN653" t="e">
            <v>#VALUE!</v>
          </cell>
          <cell r="AO653" t="e">
            <v>#VALUE!</v>
          </cell>
          <cell r="AP653">
            <v>500</v>
          </cell>
        </row>
        <row r="654">
          <cell r="A654">
            <v>61642600</v>
          </cell>
          <cell r="B654">
            <v>40209600</v>
          </cell>
          <cell r="C654">
            <v>38603</v>
          </cell>
          <cell r="D654" t="str">
            <v>COLR ALASKA POLLAK MSC FIJNEKRUIDENSAUS ERWT WORTEL PUREE 500G</v>
          </cell>
          <cell r="E654" t="str">
            <v>Colruyt</v>
          </cell>
          <cell r="F654" t="str">
            <v>40336300 OLAF 30 290MM</v>
          </cell>
          <cell r="G654" t="str">
            <v>C2227-2X evolve</v>
          </cell>
          <cell r="H654">
            <v>456</v>
          </cell>
          <cell r="I654">
            <v>0.5</v>
          </cell>
          <cell r="J654" t="str">
            <v>H10</v>
          </cell>
          <cell r="K654" t="str">
            <v>NVT</v>
          </cell>
          <cell r="L654">
            <v>8</v>
          </cell>
          <cell r="M654" t="str">
            <v>H10X8</v>
          </cell>
          <cell r="N654">
            <v>81</v>
          </cell>
          <cell r="O654">
            <v>15400141850458</v>
          </cell>
          <cell r="P654" t="str">
            <v xml:space="preserve">H-T </v>
          </cell>
          <cell r="Q654">
            <v>2.5</v>
          </cell>
          <cell r="R654">
            <v>4</v>
          </cell>
          <cell r="S654" t="str">
            <v>ALASKA POLLAK verzagen (100g)</v>
          </cell>
          <cell r="T654">
            <v>2200</v>
          </cell>
          <cell r="U654">
            <v>4</v>
          </cell>
          <cell r="V654">
            <v>2200</v>
          </cell>
          <cell r="W654">
            <v>4</v>
          </cell>
          <cell r="X654" t="str">
            <v>X</v>
          </cell>
          <cell r="Y654">
            <v>0</v>
          </cell>
          <cell r="Z654">
            <v>9.1999999999999998E-2</v>
          </cell>
          <cell r="AA654" t="str">
            <v>! ! ! !</v>
          </cell>
          <cell r="AB654">
            <v>8052</v>
          </cell>
          <cell r="AC654">
            <v>0</v>
          </cell>
          <cell r="AG654">
            <v>45</v>
          </cell>
          <cell r="AJ654" t="str">
            <v>V-A</v>
          </cell>
          <cell r="AL654">
            <v>2700</v>
          </cell>
          <cell r="AM654">
            <v>2200</v>
          </cell>
          <cell r="AN654" t="e">
            <v>#VALUE!</v>
          </cell>
          <cell r="AO654" t="e">
            <v>#VALUE!</v>
          </cell>
          <cell r="AP654">
            <v>500</v>
          </cell>
        </row>
        <row r="655">
          <cell r="A655">
            <v>61658500</v>
          </cell>
          <cell r="B655">
            <v>40215400</v>
          </cell>
          <cell r="C655">
            <v>5170</v>
          </cell>
          <cell r="D655" t="str">
            <v xml:space="preserve">ALDI BE RUNDSTONG MADEIRASAUS 750G </v>
          </cell>
          <cell r="E655" t="str">
            <v>Aldi BE</v>
          </cell>
          <cell r="F655" t="str">
            <v>40336300 OLAF 30 290MM</v>
          </cell>
          <cell r="G655" t="str">
            <v>C2227-1E evolve</v>
          </cell>
          <cell r="H655">
            <v>456</v>
          </cell>
          <cell r="I655">
            <v>0.75</v>
          </cell>
          <cell r="J655" t="str">
            <v>H10</v>
          </cell>
          <cell r="K655" t="str">
            <v>NVT</v>
          </cell>
          <cell r="L655">
            <v>18</v>
          </cell>
          <cell r="M655" t="str">
            <v>H10x18</v>
          </cell>
          <cell r="N655">
            <v>36</v>
          </cell>
          <cell r="O655">
            <v>27051702</v>
          </cell>
          <cell r="P655" t="str">
            <v>2T-I</v>
          </cell>
          <cell r="Q655">
            <v>2</v>
          </cell>
          <cell r="R655">
            <v>4</v>
          </cell>
          <cell r="S655" t="str">
            <v>om de 4u multipond reinigen+ontsmetten</v>
          </cell>
          <cell r="T655">
            <v>2000</v>
          </cell>
          <cell r="U655">
            <v>7</v>
          </cell>
          <cell r="V655">
            <v>2000</v>
          </cell>
          <cell r="W655">
            <v>7</v>
          </cell>
          <cell r="X655" t="str">
            <v>X</v>
          </cell>
          <cell r="Y655">
            <v>0</v>
          </cell>
          <cell r="Z655">
            <v>0.08</v>
          </cell>
          <cell r="AA655" t="str">
            <v>! ! !</v>
          </cell>
          <cell r="AB655">
            <v>15320</v>
          </cell>
          <cell r="AC655">
            <v>0</v>
          </cell>
          <cell r="AG655">
            <v>45</v>
          </cell>
          <cell r="AJ655" t="str">
            <v>V-A</v>
          </cell>
          <cell r="AL655">
            <v>2700</v>
          </cell>
          <cell r="AM655">
            <v>2000</v>
          </cell>
          <cell r="AN655" t="e">
            <v>#VALUE!</v>
          </cell>
          <cell r="AO655" t="e">
            <v>#VALUE!</v>
          </cell>
          <cell r="AP655">
            <v>700</v>
          </cell>
        </row>
        <row r="656">
          <cell r="A656">
            <v>61658700</v>
          </cell>
          <cell r="B656">
            <v>40227200</v>
          </cell>
          <cell r="C656">
            <v>5374</v>
          </cell>
          <cell r="D656" t="str">
            <v xml:space="preserve">ALDI BE KIP WITLOOF PUREE 500G (VR MIXED KARTON) </v>
          </cell>
          <cell r="E656" t="str">
            <v>Aldi BE</v>
          </cell>
          <cell r="F656" t="str">
            <v>290MM</v>
          </cell>
          <cell r="G656" t="str">
            <v>C2227-2X</v>
          </cell>
          <cell r="H656">
            <v>456</v>
          </cell>
          <cell r="I656">
            <v>0.5</v>
          </cell>
          <cell r="J656" t="str">
            <v>H10</v>
          </cell>
          <cell r="K656" t="str">
            <v>NVT</v>
          </cell>
          <cell r="L656">
            <v>18</v>
          </cell>
          <cell r="M656" t="str">
            <v>H10x18</v>
          </cell>
          <cell r="N656">
            <v>36</v>
          </cell>
          <cell r="O656">
            <v>5400870165871</v>
          </cell>
          <cell r="P656" t="str">
            <v>H-T-I</v>
          </cell>
          <cell r="Q656">
            <v>2</v>
          </cell>
          <cell r="R656">
            <v>2</v>
          </cell>
          <cell r="T656">
            <v>2400</v>
          </cell>
          <cell r="U656">
            <v>2</v>
          </cell>
          <cell r="V656">
            <v>2400</v>
          </cell>
          <cell r="W656">
            <v>2</v>
          </cell>
          <cell r="X656" t="str">
            <v>X</v>
          </cell>
          <cell r="Y656">
            <v>0</v>
          </cell>
          <cell r="Z656">
            <v>0.17299999999999999</v>
          </cell>
          <cell r="AA656" t="str">
            <v>! !</v>
          </cell>
          <cell r="AB656">
            <v>18384</v>
          </cell>
          <cell r="AC656">
            <v>0</v>
          </cell>
          <cell r="AG656">
            <v>45</v>
          </cell>
          <cell r="AJ656" t="str">
            <v>-</v>
          </cell>
          <cell r="AL656">
            <v>2700</v>
          </cell>
          <cell r="AM656">
            <v>2400</v>
          </cell>
          <cell r="AN656" t="e">
            <v>#VALUE!</v>
          </cell>
          <cell r="AO656" t="e">
            <v>#VALUE!</v>
          </cell>
          <cell r="AP656">
            <v>300</v>
          </cell>
        </row>
        <row r="657">
          <cell r="A657">
            <v>61658800</v>
          </cell>
          <cell r="B657">
            <v>40227300</v>
          </cell>
          <cell r="C657">
            <v>5374</v>
          </cell>
          <cell r="D657" t="str">
            <v xml:space="preserve">ALDI BE VA SNEETJES MOSTERD KNOLSELDERPUREE 500G (VR MIXED KARTON) </v>
          </cell>
          <cell r="E657" t="str">
            <v>Aldi BE</v>
          </cell>
          <cell r="F657" t="str">
            <v>290MM</v>
          </cell>
          <cell r="G657" t="str">
            <v>C2227-2X</v>
          </cell>
          <cell r="H657">
            <v>548</v>
          </cell>
          <cell r="I657">
            <v>0.5</v>
          </cell>
          <cell r="J657" t="str">
            <v>H10</v>
          </cell>
          <cell r="K657" t="str">
            <v>NVT</v>
          </cell>
          <cell r="L657">
            <v>18</v>
          </cell>
          <cell r="M657" t="str">
            <v>H10x18</v>
          </cell>
          <cell r="N657">
            <v>36</v>
          </cell>
          <cell r="O657">
            <v>5400870165888</v>
          </cell>
          <cell r="P657" t="str">
            <v>I-H-T</v>
          </cell>
          <cell r="Q657">
            <v>3</v>
          </cell>
          <cell r="R657">
            <v>2</v>
          </cell>
          <cell r="S657" t="str">
            <v>inox plaatje voorzien op multipond (afschermen klein vak)</v>
          </cell>
          <cell r="T657">
            <v>2400</v>
          </cell>
          <cell r="U657">
            <v>5</v>
          </cell>
          <cell r="V657">
            <v>2400</v>
          </cell>
          <cell r="W657">
            <v>5</v>
          </cell>
          <cell r="X657" t="str">
            <v>X</v>
          </cell>
          <cell r="Y657">
            <v>0</v>
          </cell>
          <cell r="Z657">
            <v>0.17299999999999999</v>
          </cell>
          <cell r="AA657" t="str">
            <v>! ! !</v>
          </cell>
          <cell r="AB657">
            <v>18384</v>
          </cell>
          <cell r="AC657">
            <v>0</v>
          </cell>
          <cell r="AG657">
            <v>45</v>
          </cell>
          <cell r="AJ657" t="str">
            <v>V-A</v>
          </cell>
          <cell r="AL657">
            <v>2700</v>
          </cell>
          <cell r="AM657">
            <v>2400</v>
          </cell>
          <cell r="AN657" t="e">
            <v>#VALUE!</v>
          </cell>
          <cell r="AO657" t="e">
            <v>#VALUE!</v>
          </cell>
          <cell r="AP657">
            <v>300</v>
          </cell>
        </row>
        <row r="658">
          <cell r="A658">
            <v>61658900</v>
          </cell>
          <cell r="B658">
            <v>40227400</v>
          </cell>
          <cell r="C658">
            <v>5374</v>
          </cell>
          <cell r="D658" t="str">
            <v xml:space="preserve">ALDI BE BLINDE VINK SPINAZIE PUREE 500G (VR MIXED KARTON) </v>
          </cell>
          <cell r="E658" t="str">
            <v>Aldi BE</v>
          </cell>
          <cell r="F658" t="str">
            <v>290MM</v>
          </cell>
          <cell r="G658" t="str">
            <v>C2227-3C</v>
          </cell>
          <cell r="H658">
            <v>365</v>
          </cell>
          <cell r="I658">
            <v>0.5</v>
          </cell>
          <cell r="J658" t="str">
            <v>H10</v>
          </cell>
          <cell r="K658" t="str">
            <v>NVT</v>
          </cell>
          <cell r="L658">
            <v>18</v>
          </cell>
          <cell r="M658" t="str">
            <v>H10x18</v>
          </cell>
          <cell r="N658">
            <v>36</v>
          </cell>
          <cell r="O658">
            <v>5400870165895</v>
          </cell>
          <cell r="P658" t="str">
            <v>H-2T</v>
          </cell>
          <cell r="Q658">
            <v>3</v>
          </cell>
          <cell r="R658">
            <v>2</v>
          </cell>
          <cell r="T658">
            <v>2400</v>
          </cell>
          <cell r="U658">
            <v>2</v>
          </cell>
          <cell r="V658">
            <v>2400</v>
          </cell>
          <cell r="W658">
            <v>2</v>
          </cell>
          <cell r="X658" t="str">
            <v>X</v>
          </cell>
          <cell r="Y658">
            <v>0</v>
          </cell>
          <cell r="Z658">
            <v>0.17299999999999999</v>
          </cell>
          <cell r="AA658" t="str">
            <v>! !</v>
          </cell>
          <cell r="AB658">
            <v>18384</v>
          </cell>
          <cell r="AC658">
            <v>3.1818181818181815E-2</v>
          </cell>
          <cell r="AG658">
            <v>45</v>
          </cell>
          <cell r="AJ658" t="str">
            <v>V-A</v>
          </cell>
          <cell r="AL658">
            <v>2700</v>
          </cell>
          <cell r="AM658">
            <v>2400</v>
          </cell>
          <cell r="AN658" t="e">
            <v>#VALUE!</v>
          </cell>
          <cell r="AO658" t="e">
            <v>#VALUE!</v>
          </cell>
          <cell r="AP658">
            <v>300</v>
          </cell>
        </row>
        <row r="659">
          <cell r="A659">
            <v>61659000</v>
          </cell>
          <cell r="B659">
            <v>40227500</v>
          </cell>
          <cell r="C659">
            <v>5374</v>
          </cell>
          <cell r="D659" t="str">
            <v xml:space="preserve">ALDI BE BALLETJES TOMATENSAUS PUREE 500G (VR MIXED KARTON) </v>
          </cell>
          <cell r="E659" t="str">
            <v>Aldi BE</v>
          </cell>
          <cell r="F659" t="str">
            <v>290MM</v>
          </cell>
          <cell r="G659" t="str">
            <v>C2227-2X</v>
          </cell>
          <cell r="H659">
            <v>365</v>
          </cell>
          <cell r="I659">
            <v>0.5</v>
          </cell>
          <cell r="J659" t="str">
            <v>H10</v>
          </cell>
          <cell r="K659" t="str">
            <v>NVT</v>
          </cell>
          <cell r="L659">
            <v>18</v>
          </cell>
          <cell r="M659" t="str">
            <v>H10x18</v>
          </cell>
          <cell r="N659">
            <v>36</v>
          </cell>
          <cell r="O659">
            <v>5400870165901</v>
          </cell>
          <cell r="P659" t="str">
            <v>I-H-T</v>
          </cell>
          <cell r="Q659">
            <v>3</v>
          </cell>
          <cell r="R659">
            <v>2</v>
          </cell>
          <cell r="T659">
            <v>2400</v>
          </cell>
          <cell r="U659">
            <v>4</v>
          </cell>
          <cell r="V659">
            <v>2400</v>
          </cell>
          <cell r="W659">
            <v>4</v>
          </cell>
          <cell r="X659" t="str">
            <v>X</v>
          </cell>
          <cell r="Y659">
            <v>0</v>
          </cell>
          <cell r="Z659">
            <v>0.17299999999999999</v>
          </cell>
          <cell r="AA659" t="str">
            <v>! ! !</v>
          </cell>
          <cell r="AB659">
            <v>18384</v>
          </cell>
          <cell r="AC659">
            <v>0</v>
          </cell>
          <cell r="AG659">
            <v>45</v>
          </cell>
          <cell r="AJ659" t="str">
            <v>V-A</v>
          </cell>
          <cell r="AL659">
            <v>2700</v>
          </cell>
          <cell r="AM659">
            <v>2400</v>
          </cell>
          <cell r="AN659" t="e">
            <v>#VALUE!</v>
          </cell>
          <cell r="AO659" t="e">
            <v>#VALUE!</v>
          </cell>
          <cell r="AP659">
            <v>300</v>
          </cell>
        </row>
        <row r="660">
          <cell r="A660">
            <v>61659100</v>
          </cell>
          <cell r="B660">
            <v>40227600</v>
          </cell>
          <cell r="C660">
            <v>5374</v>
          </cell>
          <cell r="D660" t="str">
            <v xml:space="preserve">ALDI BE KABELJ MSC SPINAZIESAUS PUREE 500g (VR MIXED KARTON) </v>
          </cell>
          <cell r="E660" t="str">
            <v>Aldi BE</v>
          </cell>
          <cell r="F660" t="str">
            <v>290MM</v>
          </cell>
          <cell r="G660" t="str">
            <v>C2227-2X</v>
          </cell>
          <cell r="H660">
            <v>548</v>
          </cell>
          <cell r="I660">
            <v>0.5</v>
          </cell>
          <cell r="J660" t="str">
            <v>H10</v>
          </cell>
          <cell r="K660" t="str">
            <v>NVT</v>
          </cell>
          <cell r="L660">
            <v>18</v>
          </cell>
          <cell r="M660" t="str">
            <v>H10x18</v>
          </cell>
          <cell r="N660">
            <v>36</v>
          </cell>
          <cell r="O660">
            <v>5400870165918</v>
          </cell>
          <cell r="P660" t="str">
            <v>H-2T</v>
          </cell>
          <cell r="Q660">
            <v>3</v>
          </cell>
          <cell r="R660">
            <v>2</v>
          </cell>
          <cell r="S660" t="str">
            <v>verzagen kabeljauw 80g</v>
          </cell>
          <cell r="T660">
            <v>2400</v>
          </cell>
          <cell r="U660">
            <v>2</v>
          </cell>
          <cell r="V660">
            <v>2400</v>
          </cell>
          <cell r="W660">
            <v>2</v>
          </cell>
          <cell r="X660" t="str">
            <v>X</v>
          </cell>
          <cell r="Y660">
            <v>0</v>
          </cell>
          <cell r="Z660">
            <v>0.17299999999999999</v>
          </cell>
          <cell r="AA660" t="str">
            <v>! ! ! !</v>
          </cell>
          <cell r="AB660">
            <v>18384</v>
          </cell>
          <cell r="AC660">
            <v>0</v>
          </cell>
          <cell r="AG660">
            <v>45</v>
          </cell>
          <cell r="AJ660" t="str">
            <v>V-A</v>
          </cell>
          <cell r="AL660">
            <v>2700</v>
          </cell>
          <cell r="AM660">
            <v>2400</v>
          </cell>
          <cell r="AN660" t="e">
            <v>#VALUE!</v>
          </cell>
          <cell r="AO660" t="e">
            <v>#VALUE!</v>
          </cell>
          <cell r="AP660">
            <v>300</v>
          </cell>
        </row>
        <row r="661">
          <cell r="A661">
            <v>61659200</v>
          </cell>
          <cell r="B661">
            <v>40272900</v>
          </cell>
          <cell r="C661">
            <v>5170</v>
          </cell>
          <cell r="D661" t="str">
            <v xml:space="preserve">ALDI BE RUNDSTONG EU MADEIRASAUS 750G </v>
          </cell>
          <cell r="E661" t="str">
            <v>Aldi BE</v>
          </cell>
          <cell r="F661" t="str">
            <v>40336300 OLAF 30 290MM</v>
          </cell>
          <cell r="G661" t="str">
            <v>C2227-1E evolve</v>
          </cell>
          <cell r="H661">
            <v>456</v>
          </cell>
          <cell r="I661">
            <v>0.75</v>
          </cell>
          <cell r="J661" t="str">
            <v>H10</v>
          </cell>
          <cell r="K661" t="str">
            <v>NVT</v>
          </cell>
          <cell r="L661">
            <v>18</v>
          </cell>
          <cell r="M661" t="str">
            <v>H10x18</v>
          </cell>
          <cell r="N661">
            <v>36</v>
          </cell>
          <cell r="O661">
            <v>4068261066971</v>
          </cell>
          <cell r="P661" t="str">
            <v>2T</v>
          </cell>
          <cell r="Q661">
            <v>2</v>
          </cell>
          <cell r="R661">
            <v>2</v>
          </cell>
          <cell r="S661" t="str">
            <v>om de 4u multipond reinigen en ontsmetten</v>
          </cell>
          <cell r="T661">
            <v>2000</v>
          </cell>
          <cell r="U661">
            <v>8</v>
          </cell>
          <cell r="V661">
            <v>2000</v>
          </cell>
          <cell r="W661">
            <v>8</v>
          </cell>
          <cell r="X661" t="str">
            <v>X</v>
          </cell>
          <cell r="Y661">
            <v>0</v>
          </cell>
          <cell r="Z661">
            <v>4.4999999999999998E-2</v>
          </cell>
          <cell r="AA661" t="str">
            <v>! ! !</v>
          </cell>
          <cell r="AB661">
            <v>15320</v>
          </cell>
          <cell r="AC661">
            <v>0</v>
          </cell>
          <cell r="AL661">
            <v>0</v>
          </cell>
          <cell r="AM661">
            <v>2000</v>
          </cell>
          <cell r="AN661" t="e">
            <v>#VALUE!</v>
          </cell>
          <cell r="AO661" t="e">
            <v>#VALUE!</v>
          </cell>
          <cell r="AP661">
            <v>-2000</v>
          </cell>
        </row>
        <row r="662">
          <cell r="A662">
            <v>61660100</v>
          </cell>
          <cell r="B662">
            <v>40282700</v>
          </cell>
          <cell r="D662" t="str">
            <v>ALVO VIDEEVULLING VAN DE CHEF 500G</v>
          </cell>
          <cell r="E662" t="str">
            <v>Alvo</v>
          </cell>
          <cell r="F662" t="str">
            <v>40336300 OLAF 30 290MM</v>
          </cell>
          <cell r="G662" t="str">
            <v>C2227-2X evolve</v>
          </cell>
          <cell r="H662">
            <v>548</v>
          </cell>
          <cell r="I662">
            <v>0.5</v>
          </cell>
          <cell r="J662" t="str">
            <v>H10</v>
          </cell>
          <cell r="K662" t="str">
            <v>NVT</v>
          </cell>
          <cell r="L662">
            <v>8</v>
          </cell>
          <cell r="M662" t="str">
            <v>H10X8</v>
          </cell>
          <cell r="N662" t="str">
            <v>81</v>
          </cell>
          <cell r="O662">
            <v>5411952071034</v>
          </cell>
          <cell r="P662" t="str">
            <v>H-T</v>
          </cell>
          <cell r="Q662">
            <v>2</v>
          </cell>
          <cell r="R662">
            <v>4</v>
          </cell>
          <cell r="T662">
            <v>2200</v>
          </cell>
          <cell r="U662">
            <v>1</v>
          </cell>
          <cell r="V662">
            <v>2200</v>
          </cell>
          <cell r="W662">
            <v>1</v>
          </cell>
          <cell r="X662" t="str">
            <v>X</v>
          </cell>
          <cell r="Y662">
            <v>0</v>
          </cell>
          <cell r="Z662">
            <v>6.7299999999999999E-2</v>
          </cell>
          <cell r="AA662" t="str">
            <v>! ! !</v>
          </cell>
          <cell r="AB662">
            <v>1000</v>
          </cell>
          <cell r="AC662">
            <v>0</v>
          </cell>
          <cell r="AE662" t="str">
            <v>x</v>
          </cell>
          <cell r="AG662">
            <v>45</v>
          </cell>
          <cell r="AJ662" t="str">
            <v>-</v>
          </cell>
          <cell r="AL662">
            <v>2700</v>
          </cell>
          <cell r="AM662">
            <v>2200</v>
          </cell>
          <cell r="AN662" t="e">
            <v>#VALUE!</v>
          </cell>
          <cell r="AO662" t="e">
            <v>#VALUE!</v>
          </cell>
          <cell r="AP662">
            <v>500</v>
          </cell>
        </row>
        <row r="663">
          <cell r="A663">
            <v>61660300</v>
          </cell>
          <cell r="B663">
            <v>40282900</v>
          </cell>
          <cell r="D663" t="str">
            <v>ALVO HAMROLLETJES 500G</v>
          </cell>
          <cell r="E663" t="str">
            <v>Alvo</v>
          </cell>
          <cell r="F663" t="str">
            <v>40336300 OLAF 30 290MM</v>
          </cell>
          <cell r="G663" t="str">
            <v>C2227-2X evolve</v>
          </cell>
          <cell r="H663">
            <v>548</v>
          </cell>
          <cell r="I663">
            <v>0.5</v>
          </cell>
          <cell r="J663" t="str">
            <v>H10</v>
          </cell>
          <cell r="K663" t="str">
            <v>NVT</v>
          </cell>
          <cell r="L663">
            <v>8</v>
          </cell>
          <cell r="M663" t="str">
            <v>H10X8</v>
          </cell>
          <cell r="N663" t="str">
            <v>81</v>
          </cell>
          <cell r="O663">
            <v>5411952071058</v>
          </cell>
          <cell r="P663" t="str">
            <v>H-T</v>
          </cell>
          <cell r="Q663">
            <v>2</v>
          </cell>
          <cell r="R663">
            <v>4</v>
          </cell>
          <cell r="S663" t="str">
            <v>HAM snijden, 2000 sneetjes hesp/werkuur</v>
          </cell>
          <cell r="T663">
            <v>1500</v>
          </cell>
          <cell r="U663">
            <v>10</v>
          </cell>
          <cell r="V663">
            <v>1500</v>
          </cell>
          <cell r="W663">
            <v>10</v>
          </cell>
          <cell r="X663" t="str">
            <v>X</v>
          </cell>
          <cell r="Y663">
            <v>0</v>
          </cell>
          <cell r="Z663">
            <v>6.7299999999999999E-2</v>
          </cell>
          <cell r="AA663" t="str">
            <v>! !</v>
          </cell>
          <cell r="AB663">
            <v>1000</v>
          </cell>
          <cell r="AC663">
            <v>0.15578181818181819</v>
          </cell>
          <cell r="AE663" t="str">
            <v>x</v>
          </cell>
          <cell r="AJ663" t="str">
            <v>V-A</v>
          </cell>
          <cell r="AL663">
            <v>0</v>
          </cell>
          <cell r="AM663">
            <v>1500</v>
          </cell>
          <cell r="AN663" t="e">
            <v>#VALUE!</v>
          </cell>
          <cell r="AO663" t="e">
            <v>#VALUE!</v>
          </cell>
          <cell r="AP663">
            <v>-1500</v>
          </cell>
        </row>
        <row r="664">
          <cell r="A664">
            <v>61660400</v>
          </cell>
          <cell r="B664">
            <v>40283000</v>
          </cell>
          <cell r="D664" t="str">
            <v>ALVO BOOMSTAMMETJE ERWTEN WORTELEN PUREE 500G</v>
          </cell>
          <cell r="E664" t="str">
            <v>Alvo</v>
          </cell>
          <cell r="F664" t="str">
            <v>40336300 OLAF 30 290MM</v>
          </cell>
          <cell r="G664" t="str">
            <v>C2227-2X evolve</v>
          </cell>
          <cell r="H664">
            <v>548</v>
          </cell>
          <cell r="I664">
            <v>0.5</v>
          </cell>
          <cell r="J664" t="str">
            <v>H10</v>
          </cell>
          <cell r="K664" t="str">
            <v>NVT</v>
          </cell>
          <cell r="L664">
            <v>8</v>
          </cell>
          <cell r="M664" t="str">
            <v>H10X8</v>
          </cell>
          <cell r="N664" t="str">
            <v>81</v>
          </cell>
          <cell r="O664">
            <v>5411952071065</v>
          </cell>
          <cell r="P664" t="str">
            <v>H-T</v>
          </cell>
          <cell r="Q664">
            <v>2.5</v>
          </cell>
          <cell r="R664">
            <v>4</v>
          </cell>
          <cell r="T664">
            <v>2000</v>
          </cell>
          <cell r="U664">
            <v>5</v>
          </cell>
          <cell r="V664">
            <v>2000</v>
          </cell>
          <cell r="W664">
            <v>5</v>
          </cell>
          <cell r="X664" t="str">
            <v>X</v>
          </cell>
          <cell r="Y664">
            <v>0</v>
          </cell>
          <cell r="Z664">
            <v>6.7299999999999999E-2</v>
          </cell>
          <cell r="AA664" t="str">
            <v>! !</v>
          </cell>
          <cell r="AB664">
            <v>1000</v>
          </cell>
          <cell r="AC664">
            <v>8.0152671755725186E-2</v>
          </cell>
          <cell r="AE664" t="str">
            <v>x</v>
          </cell>
          <cell r="AG664">
            <v>40</v>
          </cell>
          <cell r="AJ664" t="str">
            <v>V-A</v>
          </cell>
          <cell r="AL664">
            <v>2400</v>
          </cell>
          <cell r="AM664">
            <v>2000</v>
          </cell>
          <cell r="AN664" t="e">
            <v>#VALUE!</v>
          </cell>
          <cell r="AO664" t="e">
            <v>#VALUE!</v>
          </cell>
          <cell r="AP664">
            <v>400</v>
          </cell>
        </row>
        <row r="665">
          <cell r="A665">
            <v>61660600</v>
          </cell>
          <cell r="B665">
            <v>40283200</v>
          </cell>
          <cell r="D665" t="str">
            <v>ALVO RUNDSTONG MADEIRASAUS 500G</v>
          </cell>
          <cell r="E665" t="str">
            <v>Alvo</v>
          </cell>
          <cell r="F665" t="str">
            <v>40336300 OLAF 30 290MM</v>
          </cell>
          <cell r="G665" t="str">
            <v>C2227-2X evolve</v>
          </cell>
          <cell r="H665">
            <v>548</v>
          </cell>
          <cell r="I665">
            <v>0.5</v>
          </cell>
          <cell r="J665" t="str">
            <v>H10</v>
          </cell>
          <cell r="K665" t="str">
            <v>NVT</v>
          </cell>
          <cell r="L665">
            <v>8</v>
          </cell>
          <cell r="M665" t="str">
            <v>H10X8</v>
          </cell>
          <cell r="N665" t="str">
            <v>81</v>
          </cell>
          <cell r="O665">
            <v>5411952071089</v>
          </cell>
          <cell r="P665" t="str">
            <v>H-2T</v>
          </cell>
          <cell r="Q665">
            <v>2</v>
          </cell>
          <cell r="R665">
            <v>4</v>
          </cell>
          <cell r="S665" t="str">
            <v>TONG D-5 uithalen en openleggen / D-1 snijden</v>
          </cell>
          <cell r="T665">
            <v>2000</v>
          </cell>
          <cell r="U665">
            <v>6</v>
          </cell>
          <cell r="V665">
            <v>2000</v>
          </cell>
          <cell r="W665">
            <v>6</v>
          </cell>
          <cell r="X665" t="str">
            <v>X</v>
          </cell>
          <cell r="Y665">
            <v>0</v>
          </cell>
          <cell r="Z665">
            <v>6.7299999999999999E-2</v>
          </cell>
          <cell r="AA665" t="str">
            <v>! ! !</v>
          </cell>
          <cell r="AB665">
            <v>1000</v>
          </cell>
          <cell r="AC665">
            <v>0</v>
          </cell>
          <cell r="AE665" t="str">
            <v>x</v>
          </cell>
          <cell r="AJ665" t="str">
            <v>V-A</v>
          </cell>
          <cell r="AL665">
            <v>0</v>
          </cell>
          <cell r="AM665">
            <v>2000</v>
          </cell>
          <cell r="AN665" t="e">
            <v>#VALUE!</v>
          </cell>
          <cell r="AO665" t="e">
            <v>#VALUE!</v>
          </cell>
          <cell r="AP665">
            <v>-2000</v>
          </cell>
        </row>
        <row r="666">
          <cell r="A666">
            <v>61660900</v>
          </cell>
          <cell r="B666">
            <v>40215700</v>
          </cell>
          <cell r="D666" t="str">
            <v>ALVO KABELJAUW VISROOMSAUS BROCCOLI PUREE 500G</v>
          </cell>
          <cell r="E666" t="str">
            <v>Alvo</v>
          </cell>
          <cell r="F666" t="str">
            <v>40336300 OLAF 30 290MM</v>
          </cell>
          <cell r="G666" t="str">
            <v>C2227-2X evolve</v>
          </cell>
          <cell r="H666">
            <v>548</v>
          </cell>
          <cell r="I666">
            <v>0.5</v>
          </cell>
          <cell r="J666" t="str">
            <v>H10</v>
          </cell>
          <cell r="K666" t="str">
            <v>NVT</v>
          </cell>
          <cell r="L666">
            <v>8</v>
          </cell>
          <cell r="M666" t="str">
            <v>H10X8</v>
          </cell>
          <cell r="N666" t="str">
            <v>81</v>
          </cell>
          <cell r="O666">
            <v>5411952151026</v>
          </cell>
          <cell r="P666" t="str">
            <v>H-T</v>
          </cell>
          <cell r="Q666">
            <v>2.5</v>
          </cell>
          <cell r="R666">
            <v>4</v>
          </cell>
          <cell r="T666">
            <v>2000</v>
          </cell>
          <cell r="U666">
            <v>5</v>
          </cell>
          <cell r="V666">
            <v>2000</v>
          </cell>
          <cell r="W666">
            <v>5</v>
          </cell>
          <cell r="X666" t="str">
            <v>X</v>
          </cell>
          <cell r="Y666">
            <v>0</v>
          </cell>
          <cell r="Z666">
            <v>6.7299999999999999E-2</v>
          </cell>
          <cell r="AA666" t="str">
            <v>! ! ! !</v>
          </cell>
          <cell r="AB666">
            <v>1000</v>
          </cell>
          <cell r="AC666">
            <v>0</v>
          </cell>
          <cell r="AG666">
            <v>42</v>
          </cell>
          <cell r="AJ666" t="str">
            <v>V-A</v>
          </cell>
          <cell r="AL666">
            <v>2520</v>
          </cell>
          <cell r="AM666">
            <v>2000</v>
          </cell>
          <cell r="AN666" t="e">
            <v>#VALUE!</v>
          </cell>
          <cell r="AO666" t="e">
            <v>#VALUE!</v>
          </cell>
          <cell r="AP666">
            <v>520</v>
          </cell>
        </row>
        <row r="667">
          <cell r="A667">
            <v>61661000</v>
          </cell>
          <cell r="B667">
            <v>40202300</v>
          </cell>
          <cell r="D667" t="str">
            <v>ALVO KIPFILET WITLOOFSAUS PUREE 500G</v>
          </cell>
          <cell r="E667" t="str">
            <v>Alvo</v>
          </cell>
          <cell r="F667" t="str">
            <v>40336300 OLAF 30 290MM</v>
          </cell>
          <cell r="G667" t="str">
            <v>C2227-2X evolve</v>
          </cell>
          <cell r="H667">
            <v>456</v>
          </cell>
          <cell r="I667">
            <v>0.5</v>
          </cell>
          <cell r="J667" t="str">
            <v>H10</v>
          </cell>
          <cell r="K667" t="str">
            <v>NVT</v>
          </cell>
          <cell r="L667">
            <v>8</v>
          </cell>
          <cell r="M667" t="str">
            <v>H10X8</v>
          </cell>
          <cell r="N667" t="str">
            <v>81</v>
          </cell>
          <cell r="O667">
            <v>5410953166107</v>
          </cell>
          <cell r="P667" t="str">
            <v>H-T</v>
          </cell>
          <cell r="Q667">
            <v>2</v>
          </cell>
          <cell r="R667">
            <v>4</v>
          </cell>
          <cell r="T667">
            <v>2200</v>
          </cell>
          <cell r="U667">
            <v>2</v>
          </cell>
          <cell r="V667">
            <v>2200</v>
          </cell>
          <cell r="W667">
            <v>2</v>
          </cell>
          <cell r="X667" t="str">
            <v>X</v>
          </cell>
          <cell r="Y667">
            <v>0</v>
          </cell>
          <cell r="Z667">
            <v>6.7299999999999999E-2</v>
          </cell>
          <cell r="AA667" t="str">
            <v>! !</v>
          </cell>
          <cell r="AB667">
            <v>1000</v>
          </cell>
          <cell r="AC667">
            <v>0</v>
          </cell>
          <cell r="AG667">
            <v>45</v>
          </cell>
          <cell r="AJ667" t="str">
            <v>-</v>
          </cell>
          <cell r="AL667">
            <v>2700</v>
          </cell>
          <cell r="AM667">
            <v>2200</v>
          </cell>
          <cell r="AN667" t="e">
            <v>#VALUE!</v>
          </cell>
          <cell r="AO667" t="e">
            <v>#VALUE!</v>
          </cell>
          <cell r="AP667">
            <v>500</v>
          </cell>
        </row>
        <row r="668">
          <cell r="A668">
            <v>61684800</v>
          </cell>
          <cell r="B668">
            <v>40202700</v>
          </cell>
          <cell r="D668" t="str">
            <v>LIDL BE KABELJAUW MSC PREIROOMSAUS PUREE 500G (VOOR MIXED KARTON)</v>
          </cell>
          <cell r="E668" t="str">
            <v>Lidl BE</v>
          </cell>
          <cell r="F668" t="str">
            <v>40336300 OLAF 30 290MM</v>
          </cell>
          <cell r="G668" t="str">
            <v>C2227-2X evolve</v>
          </cell>
          <cell r="H668">
            <v>456</v>
          </cell>
          <cell r="I668">
            <v>0.5</v>
          </cell>
          <cell r="J668" t="str">
            <v>H10</v>
          </cell>
          <cell r="K668" t="str">
            <v>NVT</v>
          </cell>
          <cell r="L668">
            <v>8</v>
          </cell>
          <cell r="M668" t="str">
            <v>H10X8</v>
          </cell>
          <cell r="N668">
            <v>81</v>
          </cell>
          <cell r="O668">
            <v>5410953168484</v>
          </cell>
          <cell r="P668" t="str">
            <v>H-T</v>
          </cell>
          <cell r="Q668">
            <v>3</v>
          </cell>
          <cell r="R668">
            <v>3</v>
          </cell>
          <cell r="T668">
            <v>2200</v>
          </cell>
          <cell r="U668">
            <v>3</v>
          </cell>
          <cell r="V668">
            <v>2200</v>
          </cell>
          <cell r="W668">
            <v>3</v>
          </cell>
          <cell r="X668" t="str">
            <v>X</v>
          </cell>
          <cell r="Y668">
            <v>0</v>
          </cell>
          <cell r="Z668">
            <v>0.1</v>
          </cell>
          <cell r="AA668" t="str">
            <v>! ! ! !</v>
          </cell>
          <cell r="AB668">
            <v>4022</v>
          </cell>
          <cell r="AC668">
            <v>0</v>
          </cell>
          <cell r="AG668">
            <v>45</v>
          </cell>
          <cell r="AJ668" t="str">
            <v>V-A</v>
          </cell>
          <cell r="AL668">
            <v>2700</v>
          </cell>
          <cell r="AM668">
            <v>2200</v>
          </cell>
          <cell r="AN668" t="e">
            <v>#VALUE!</v>
          </cell>
          <cell r="AO668" t="e">
            <v>#VALUE!</v>
          </cell>
          <cell r="AP668">
            <v>500</v>
          </cell>
        </row>
        <row r="669">
          <cell r="A669">
            <v>61684900</v>
          </cell>
          <cell r="B669">
            <v>40203000</v>
          </cell>
          <cell r="D669" t="str">
            <v>LIDL BE KIP WITLOOFROOMSAUS PUREE 500G (VOOR MIXED KARTON)</v>
          </cell>
          <cell r="E669" t="str">
            <v>Lidl BE</v>
          </cell>
          <cell r="F669" t="str">
            <v>40336300 OLAF 30 290MM</v>
          </cell>
          <cell r="G669" t="str">
            <v>C2227-2X evolve</v>
          </cell>
          <cell r="H669">
            <v>456</v>
          </cell>
          <cell r="I669">
            <v>0.5</v>
          </cell>
          <cell r="J669" t="str">
            <v>H10</v>
          </cell>
          <cell r="K669" t="str">
            <v>NVT</v>
          </cell>
          <cell r="L669">
            <v>8</v>
          </cell>
          <cell r="M669" t="str">
            <v>H10X8</v>
          </cell>
          <cell r="N669">
            <v>81</v>
          </cell>
          <cell r="O669">
            <v>5410953168491</v>
          </cell>
          <cell r="P669" t="str">
            <v>I-H-T</v>
          </cell>
          <cell r="Q669">
            <v>2</v>
          </cell>
          <cell r="R669">
            <v>7</v>
          </cell>
          <cell r="S669" t="str">
            <v>mix, max 42</v>
          </cell>
          <cell r="T669">
            <v>2000</v>
          </cell>
          <cell r="U669">
            <v>2</v>
          </cell>
          <cell r="V669">
            <v>2000</v>
          </cell>
          <cell r="W669">
            <v>2</v>
          </cell>
          <cell r="X669" t="str">
            <v>X</v>
          </cell>
          <cell r="Y669">
            <v>0</v>
          </cell>
          <cell r="Z669">
            <v>0.1</v>
          </cell>
          <cell r="AA669" t="str">
            <v>! !</v>
          </cell>
          <cell r="AB669">
            <v>15320</v>
          </cell>
          <cell r="AC669">
            <v>0</v>
          </cell>
          <cell r="AG669">
            <v>42</v>
          </cell>
          <cell r="AJ669" t="str">
            <v>-</v>
          </cell>
          <cell r="AL669">
            <v>2520</v>
          </cell>
          <cell r="AM669">
            <v>2000</v>
          </cell>
          <cell r="AN669" t="e">
            <v>#VALUE!</v>
          </cell>
          <cell r="AO669" t="e">
            <v>#VALUE!</v>
          </cell>
          <cell r="AP669">
            <v>520</v>
          </cell>
        </row>
        <row r="670">
          <cell r="A670">
            <v>61685100</v>
          </cell>
          <cell r="B670">
            <v>40203200</v>
          </cell>
          <cell r="D670" t="str">
            <v>LIDL BE KIP ARCHIDUCSAUS ERWT WORTEL GEB AARDAP 500G (VOOR MIXED KARTON)</v>
          </cell>
          <cell r="E670" t="str">
            <v>Lidl BE</v>
          </cell>
          <cell r="F670" t="str">
            <v>40336300 OLAF 30 290MM</v>
          </cell>
          <cell r="G670" t="str">
            <v>C2227-3C evolve</v>
          </cell>
          <cell r="H670">
            <v>456</v>
          </cell>
          <cell r="I670">
            <v>0.5</v>
          </cell>
          <cell r="J670" t="str">
            <v>H10</v>
          </cell>
          <cell r="K670" t="str">
            <v>NVT</v>
          </cell>
          <cell r="L670">
            <v>8</v>
          </cell>
          <cell r="M670" t="str">
            <v>H10X8</v>
          </cell>
          <cell r="N670">
            <v>81</v>
          </cell>
          <cell r="O670">
            <v>5410953168514</v>
          </cell>
          <cell r="P670" t="str">
            <v>I-T</v>
          </cell>
          <cell r="Q670">
            <v>2.5</v>
          </cell>
          <cell r="R670">
            <v>3</v>
          </cell>
          <cell r="T670">
            <v>2000</v>
          </cell>
          <cell r="U670">
            <v>6</v>
          </cell>
          <cell r="V670">
            <v>2000</v>
          </cell>
          <cell r="W670">
            <v>6</v>
          </cell>
          <cell r="X670" t="str">
            <v>X</v>
          </cell>
          <cell r="Y670">
            <v>0</v>
          </cell>
          <cell r="Z670">
            <v>0.1</v>
          </cell>
          <cell r="AA670" t="str">
            <v>! !</v>
          </cell>
          <cell r="AB670">
            <v>4022</v>
          </cell>
          <cell r="AC670">
            <v>0</v>
          </cell>
          <cell r="AG670">
            <v>40</v>
          </cell>
          <cell r="AJ670" t="str">
            <v>V-A</v>
          </cell>
          <cell r="AL670">
            <v>2400</v>
          </cell>
          <cell r="AM670">
            <v>2000</v>
          </cell>
          <cell r="AN670" t="e">
            <v>#VALUE!</v>
          </cell>
          <cell r="AO670" t="e">
            <v>#VALUE!</v>
          </cell>
          <cell r="AP670">
            <v>400</v>
          </cell>
        </row>
        <row r="671">
          <cell r="A671">
            <v>61685300</v>
          </cell>
          <cell r="B671">
            <v>40202900</v>
          </cell>
          <cell r="D671" t="str">
            <v>LIDL BE BALLETJES TOMATENSAUS BONEN PUREE 500G (VOOR MIXED KARTON)</v>
          </cell>
          <cell r="E671" t="str">
            <v>Lidl BE</v>
          </cell>
          <cell r="F671" t="str">
            <v>40336300 OLAF 30 290MM</v>
          </cell>
          <cell r="G671" t="str">
            <v>C2227-3C evolve</v>
          </cell>
          <cell r="H671">
            <v>456</v>
          </cell>
          <cell r="I671">
            <v>0.5</v>
          </cell>
          <cell r="J671" t="str">
            <v>H10</v>
          </cell>
          <cell r="K671" t="str">
            <v>NVT</v>
          </cell>
          <cell r="L671">
            <v>8</v>
          </cell>
          <cell r="M671" t="str">
            <v>H10X8</v>
          </cell>
          <cell r="N671">
            <v>81</v>
          </cell>
          <cell r="O671">
            <v>5410953168538</v>
          </cell>
          <cell r="P671" t="str">
            <v>I-H-2T</v>
          </cell>
          <cell r="Q671">
            <v>3</v>
          </cell>
          <cell r="R671">
            <v>3</v>
          </cell>
          <cell r="T671">
            <v>2000</v>
          </cell>
          <cell r="U671">
            <v>4</v>
          </cell>
          <cell r="V671">
            <v>2000</v>
          </cell>
          <cell r="W671">
            <v>4</v>
          </cell>
          <cell r="X671" t="str">
            <v>X</v>
          </cell>
          <cell r="Y671">
            <v>0</v>
          </cell>
          <cell r="Z671">
            <v>0.1</v>
          </cell>
          <cell r="AA671" t="str">
            <v>! ! !</v>
          </cell>
          <cell r="AB671">
            <v>8043</v>
          </cell>
          <cell r="AC671">
            <v>0</v>
          </cell>
          <cell r="AG671">
            <v>38</v>
          </cell>
          <cell r="AJ671" t="str">
            <v>V-A</v>
          </cell>
          <cell r="AL671">
            <v>2280</v>
          </cell>
          <cell r="AM671">
            <v>2000</v>
          </cell>
          <cell r="AN671" t="e">
            <v>#VALUE!</v>
          </cell>
          <cell r="AO671" t="e">
            <v>#VALUE!</v>
          </cell>
          <cell r="AP671">
            <v>280</v>
          </cell>
        </row>
        <row r="672">
          <cell r="A672">
            <v>61686100</v>
          </cell>
          <cell r="B672">
            <v>40233300</v>
          </cell>
          <cell r="C672" t="str">
            <v>7405707/02</v>
          </cell>
          <cell r="D672" t="str">
            <v>LIDL BE GRATIN BOSCHAMPIGNON TRUFFEL 700G</v>
          </cell>
          <cell r="E672" t="str">
            <v>Lidl BE</v>
          </cell>
          <cell r="F672" t="str">
            <v>40336300 OLAF 30 290MM</v>
          </cell>
          <cell r="G672" t="str">
            <v>C2227-1E evolve</v>
          </cell>
          <cell r="H672">
            <v>456</v>
          </cell>
          <cell r="I672">
            <v>0.7</v>
          </cell>
          <cell r="J672" t="str">
            <v>H10</v>
          </cell>
          <cell r="K672" t="str">
            <v>NVT</v>
          </cell>
          <cell r="L672">
            <v>8</v>
          </cell>
          <cell r="M672" t="str">
            <v>H10X8</v>
          </cell>
          <cell r="N672">
            <v>81</v>
          </cell>
          <cell r="O672">
            <v>5400870168612</v>
          </cell>
          <cell r="P672" t="str">
            <v>I-2T</v>
          </cell>
          <cell r="Q672">
            <v>1</v>
          </cell>
          <cell r="R672">
            <v>3</v>
          </cell>
          <cell r="T672">
            <v>2200</v>
          </cell>
          <cell r="U672">
            <v>2</v>
          </cell>
          <cell r="V672">
            <v>2200</v>
          </cell>
          <cell r="W672">
            <v>2</v>
          </cell>
          <cell r="X672">
            <v>0</v>
          </cell>
          <cell r="Y672">
            <v>0</v>
          </cell>
          <cell r="Z672">
            <v>0.11</v>
          </cell>
          <cell r="AA672" t="str">
            <v>! ! !</v>
          </cell>
          <cell r="AC672">
            <v>0</v>
          </cell>
          <cell r="AG672">
            <v>45</v>
          </cell>
          <cell r="AJ672" t="str">
            <v>-</v>
          </cell>
          <cell r="AL672">
            <v>2700</v>
          </cell>
          <cell r="AM672">
            <v>2200</v>
          </cell>
          <cell r="AN672" t="e">
            <v>#VALUE!</v>
          </cell>
          <cell r="AO672" t="e">
            <v>#VALUE!</v>
          </cell>
          <cell r="AP672">
            <v>500</v>
          </cell>
        </row>
        <row r="673">
          <cell r="A673">
            <v>61686200</v>
          </cell>
          <cell r="B673">
            <v>40233400</v>
          </cell>
          <cell r="C673" t="str">
            <v>7405707/01</v>
          </cell>
          <cell r="D673" t="str">
            <v>LIDL BE GRATIN SAVOOI SPITSKOOL RACLETTE 700G</v>
          </cell>
          <cell r="E673" t="str">
            <v>Lidl BE</v>
          </cell>
          <cell r="F673" t="str">
            <v>40336300 OLAF 30 290MM</v>
          </cell>
          <cell r="G673" t="str">
            <v>C2227-1E evolve</v>
          </cell>
          <cell r="H673">
            <v>456</v>
          </cell>
          <cell r="I673">
            <v>0.7</v>
          </cell>
          <cell r="J673" t="str">
            <v>H10</v>
          </cell>
          <cell r="K673" t="str">
            <v>NVT</v>
          </cell>
          <cell r="L673">
            <v>8</v>
          </cell>
          <cell r="M673" t="str">
            <v>H10X8</v>
          </cell>
          <cell r="N673">
            <v>81</v>
          </cell>
          <cell r="O673">
            <v>5400870168629</v>
          </cell>
          <cell r="P673" t="str">
            <v>I-2T</v>
          </cell>
          <cell r="Q673">
            <v>1</v>
          </cell>
          <cell r="R673">
            <v>5</v>
          </cell>
          <cell r="S673" t="str">
            <v>mix</v>
          </cell>
          <cell r="T673">
            <v>2200</v>
          </cell>
          <cell r="U673">
            <v>9</v>
          </cell>
          <cell r="V673">
            <v>2200</v>
          </cell>
          <cell r="W673">
            <v>9</v>
          </cell>
          <cell r="X673">
            <v>0</v>
          </cell>
          <cell r="Y673">
            <v>0</v>
          </cell>
          <cell r="Z673">
            <v>0.11</v>
          </cell>
          <cell r="AA673" t="str">
            <v>! ! !</v>
          </cell>
          <cell r="AC673">
            <v>0</v>
          </cell>
          <cell r="AG673">
            <v>45</v>
          </cell>
          <cell r="AJ673" t="str">
            <v>-</v>
          </cell>
          <cell r="AL673">
            <v>2700</v>
          </cell>
          <cell r="AM673">
            <v>2200</v>
          </cell>
          <cell r="AN673" t="e">
            <v>#VALUE!</v>
          </cell>
          <cell r="AO673" t="e">
            <v>#VALUE!</v>
          </cell>
          <cell r="AP673">
            <v>500</v>
          </cell>
        </row>
        <row r="674">
          <cell r="A674">
            <v>61690400</v>
          </cell>
          <cell r="B674">
            <v>40203700</v>
          </cell>
          <cell r="C674">
            <v>6902336</v>
          </cell>
          <cell r="D674" t="str">
            <v>BOF BE GRATIN DAUPHINOIS 800G</v>
          </cell>
          <cell r="E674" t="str">
            <v>Bofrost BE</v>
          </cell>
          <cell r="F674" t="str">
            <v>40336300 OLAF 30 290MM</v>
          </cell>
          <cell r="G674" t="str">
            <v>C2227-1E evolve</v>
          </cell>
          <cell r="H674">
            <v>456</v>
          </cell>
          <cell r="I674">
            <v>0.8</v>
          </cell>
          <cell r="J674" t="str">
            <v>H10</v>
          </cell>
          <cell r="K674" t="str">
            <v>NVT</v>
          </cell>
          <cell r="L674">
            <v>8</v>
          </cell>
          <cell r="M674" t="str">
            <v>H10X8</v>
          </cell>
          <cell r="N674" t="str">
            <v>81</v>
          </cell>
          <cell r="O674">
            <v>5410953169047</v>
          </cell>
          <cell r="P674" t="str">
            <v>K-I-2T</v>
          </cell>
          <cell r="Q674">
            <v>1</v>
          </cell>
          <cell r="R674">
            <v>4</v>
          </cell>
          <cell r="S674" t="str">
            <v>OLAF-folio</v>
          </cell>
          <cell r="T674">
            <v>1750</v>
          </cell>
          <cell r="U674">
            <v>4</v>
          </cell>
          <cell r="V674">
            <v>1750</v>
          </cell>
          <cell r="W674">
            <v>4</v>
          </cell>
          <cell r="X674" t="str">
            <v>X</v>
          </cell>
          <cell r="Y674">
            <v>0</v>
          </cell>
          <cell r="Z674">
            <v>0</v>
          </cell>
          <cell r="AA674" t="str">
            <v>! !</v>
          </cell>
          <cell r="AB674">
            <v>4000</v>
          </cell>
          <cell r="AC674">
            <v>0</v>
          </cell>
          <cell r="AG674">
            <v>36</v>
          </cell>
          <cell r="AJ674" t="str">
            <v>-</v>
          </cell>
          <cell r="AL674">
            <v>2160</v>
          </cell>
          <cell r="AM674">
            <v>1750</v>
          </cell>
          <cell r="AN674" t="e">
            <v>#VALUE!</v>
          </cell>
          <cell r="AO674" t="e">
            <v>#VALUE!</v>
          </cell>
          <cell r="AP674">
            <v>410</v>
          </cell>
        </row>
        <row r="675">
          <cell r="A675">
            <v>61690600</v>
          </cell>
          <cell r="B675">
            <v>40203900</v>
          </cell>
          <cell r="C675">
            <v>6902419</v>
          </cell>
          <cell r="D675" t="str">
            <v>BOF HAM WITLOOFROLLETJES MET AARDAPPELPUREE 550G</v>
          </cell>
          <cell r="E675" t="str">
            <v>Bofrost BE</v>
          </cell>
          <cell r="F675" t="str">
            <v>40336300 OLAF 30 290MM</v>
          </cell>
          <cell r="G675" t="str">
            <v>C2227-2X evolve</v>
          </cell>
          <cell r="H675">
            <v>365</v>
          </cell>
          <cell r="I675">
            <v>0.55000000000000004</v>
          </cell>
          <cell r="J675" t="str">
            <v>H10</v>
          </cell>
          <cell r="K675" t="str">
            <v>NVT</v>
          </cell>
          <cell r="L675">
            <v>8</v>
          </cell>
          <cell r="M675" t="str">
            <v>H10X8</v>
          </cell>
          <cell r="N675">
            <v>81</v>
          </cell>
          <cell r="O675">
            <v>5410953169061</v>
          </cell>
          <cell r="P675" t="str">
            <v>H-T</v>
          </cell>
          <cell r="Q675">
            <v>2</v>
          </cell>
          <cell r="R675">
            <v>4</v>
          </cell>
          <cell r="S675" t="str">
            <v>ham snijden</v>
          </cell>
          <cell r="T675">
            <v>1500</v>
          </cell>
          <cell r="U675">
            <v>11</v>
          </cell>
          <cell r="V675">
            <v>1500</v>
          </cell>
          <cell r="W675">
            <v>11</v>
          </cell>
          <cell r="X675" t="str">
            <v>X</v>
          </cell>
          <cell r="Y675">
            <v>0</v>
          </cell>
          <cell r="Z675">
            <v>0.1</v>
          </cell>
          <cell r="AA675" t="str">
            <v>! !</v>
          </cell>
          <cell r="AB675">
            <v>5490</v>
          </cell>
          <cell r="AC675">
            <v>0.16036363636363637</v>
          </cell>
          <cell r="AG675">
            <v>35</v>
          </cell>
          <cell r="AJ675" t="str">
            <v>V-A</v>
          </cell>
          <cell r="AL675">
            <v>2100</v>
          </cell>
          <cell r="AM675">
            <v>1500</v>
          </cell>
          <cell r="AN675" t="e">
            <v>#VALUE!</v>
          </cell>
          <cell r="AO675" t="e">
            <v>#VALUE!</v>
          </cell>
          <cell r="AP675">
            <v>600</v>
          </cell>
        </row>
        <row r="676">
          <cell r="A676">
            <v>61690700</v>
          </cell>
          <cell r="B676">
            <v>40204000</v>
          </cell>
          <cell r="C676">
            <v>6902555</v>
          </cell>
          <cell r="D676" t="str">
            <v>BOF OOSTENDS VISPANNETJE 500G</v>
          </cell>
          <cell r="E676" t="str">
            <v>Bofrost BE</v>
          </cell>
          <cell r="F676" t="str">
            <v>40336300 OLAF 30 290MM</v>
          </cell>
          <cell r="G676" t="str">
            <v>C2227-1E evolve</v>
          </cell>
          <cell r="H676">
            <v>456</v>
          </cell>
          <cell r="I676">
            <v>0.5</v>
          </cell>
          <cell r="J676" t="str">
            <v>H10</v>
          </cell>
          <cell r="K676" t="str">
            <v>NVT</v>
          </cell>
          <cell r="L676">
            <v>8</v>
          </cell>
          <cell r="M676" t="str">
            <v>H10X8</v>
          </cell>
          <cell r="N676">
            <v>81</v>
          </cell>
          <cell r="O676">
            <v>5410953169078</v>
          </cell>
          <cell r="P676" t="str">
            <v>K-2T</v>
          </cell>
          <cell r="Q676">
            <v>2</v>
          </cell>
          <cell r="R676">
            <v>4</v>
          </cell>
          <cell r="S676" t="str">
            <v>OLAF-folio</v>
          </cell>
          <cell r="T676">
            <v>2200</v>
          </cell>
          <cell r="U676">
            <v>8</v>
          </cell>
          <cell r="V676">
            <v>2200</v>
          </cell>
          <cell r="W676">
            <v>8</v>
          </cell>
          <cell r="X676" t="str">
            <v>X</v>
          </cell>
          <cell r="Y676">
            <v>0</v>
          </cell>
          <cell r="Z676">
            <v>0.1</v>
          </cell>
          <cell r="AA676" t="str">
            <v>! ! ! !</v>
          </cell>
          <cell r="AB676">
            <v>6000</v>
          </cell>
          <cell r="AC676">
            <v>0</v>
          </cell>
          <cell r="AG676">
            <v>45</v>
          </cell>
          <cell r="AJ676" t="str">
            <v>V-A</v>
          </cell>
          <cell r="AL676">
            <v>2700</v>
          </cell>
          <cell r="AM676">
            <v>2200</v>
          </cell>
          <cell r="AN676" t="e">
            <v>#VALUE!</v>
          </cell>
          <cell r="AO676" t="e">
            <v>#VALUE!</v>
          </cell>
          <cell r="AP676">
            <v>500</v>
          </cell>
        </row>
        <row r="677">
          <cell r="A677">
            <v>61690800</v>
          </cell>
          <cell r="B677">
            <v>40204100</v>
          </cell>
          <cell r="C677">
            <v>6902791</v>
          </cell>
          <cell r="D677" t="str">
            <v>BOF SPAGHETTI BOLOGNESE 500G</v>
          </cell>
          <cell r="E677" t="str">
            <v>Bofrost BE</v>
          </cell>
          <cell r="F677" t="str">
            <v>40336300 OLAF 30 290MM</v>
          </cell>
          <cell r="G677" t="str">
            <v>C2227-1E evolve</v>
          </cell>
          <cell r="H677">
            <v>365</v>
          </cell>
          <cell r="I677">
            <v>0.5</v>
          </cell>
          <cell r="J677" t="str">
            <v>H10</v>
          </cell>
          <cell r="K677" t="str">
            <v>NVT</v>
          </cell>
          <cell r="L677">
            <v>8</v>
          </cell>
          <cell r="M677" t="str">
            <v>H10X8</v>
          </cell>
          <cell r="N677">
            <v>81</v>
          </cell>
          <cell r="O677">
            <v>5410953169085</v>
          </cell>
          <cell r="P677" t="str">
            <v>2T</v>
          </cell>
          <cell r="Q677">
            <v>2</v>
          </cell>
          <cell r="R677">
            <v>4</v>
          </cell>
          <cell r="S677" t="str">
            <v>Spaghetti in continu systeem, kleinere batch, bak per bak in inpak</v>
          </cell>
          <cell r="T677">
            <v>2000</v>
          </cell>
          <cell r="U677">
            <v>9</v>
          </cell>
          <cell r="V677">
            <v>2000</v>
          </cell>
          <cell r="W677">
            <v>9</v>
          </cell>
          <cell r="X677" t="str">
            <v>X</v>
          </cell>
          <cell r="Y677">
            <v>0</v>
          </cell>
          <cell r="Z677">
            <v>0</v>
          </cell>
          <cell r="AA677" t="str">
            <v>! ! !</v>
          </cell>
          <cell r="AB677">
            <v>7320</v>
          </cell>
          <cell r="AC677">
            <v>0</v>
          </cell>
          <cell r="AG677">
            <v>38</v>
          </cell>
          <cell r="AJ677" t="str">
            <v>V-A</v>
          </cell>
          <cell r="AL677">
            <v>2280</v>
          </cell>
          <cell r="AM677">
            <v>2000</v>
          </cell>
          <cell r="AN677" t="e">
            <v>#VALUE!</v>
          </cell>
          <cell r="AO677" t="e">
            <v>#VALUE!</v>
          </cell>
          <cell r="AP677">
            <v>280</v>
          </cell>
        </row>
        <row r="678">
          <cell r="A678">
            <v>61691100</v>
          </cell>
          <cell r="B678">
            <v>40212100</v>
          </cell>
          <cell r="C678">
            <v>9902461</v>
          </cell>
          <cell r="D678" t="str">
            <v>BOF BOERENKOOLSTAMPPOT MET BOOMSTAMMETJE 450G</v>
          </cell>
          <cell r="E678" t="str">
            <v>Bofrost BE</v>
          </cell>
          <cell r="F678" t="str">
            <v>40336300 OLAF 30 290MM</v>
          </cell>
          <cell r="G678" t="str">
            <v>C2227-2X evolve</v>
          </cell>
          <cell r="H678">
            <v>365</v>
          </cell>
          <cell r="I678">
            <v>0.45</v>
          </cell>
          <cell r="J678" t="str">
            <v>H10</v>
          </cell>
          <cell r="K678" t="str">
            <v>NVT</v>
          </cell>
          <cell r="L678">
            <v>8</v>
          </cell>
          <cell r="M678" t="str">
            <v>H10X8</v>
          </cell>
          <cell r="N678">
            <v>81</v>
          </cell>
          <cell r="O678">
            <v>5410953169115</v>
          </cell>
          <cell r="P678" t="str">
            <v>H-T</v>
          </cell>
          <cell r="Q678">
            <v>2</v>
          </cell>
          <cell r="R678">
            <v>4</v>
          </cell>
          <cell r="S678" t="str">
            <v>OLAF-folio</v>
          </cell>
          <cell r="T678">
            <v>2200</v>
          </cell>
          <cell r="U678">
            <v>3</v>
          </cell>
          <cell r="V678">
            <v>2200</v>
          </cell>
          <cell r="W678">
            <v>3</v>
          </cell>
          <cell r="X678" t="str">
            <v>X</v>
          </cell>
          <cell r="Y678">
            <v>0</v>
          </cell>
          <cell r="Z678">
            <v>9.9000000000000005E-2</v>
          </cell>
          <cell r="AA678" t="str">
            <v>! !</v>
          </cell>
          <cell r="AC678">
            <v>4.5419847328244278E-2</v>
          </cell>
          <cell r="AG678">
            <v>45</v>
          </cell>
          <cell r="AJ678" t="str">
            <v>V-A</v>
          </cell>
          <cell r="AL678">
            <v>2700</v>
          </cell>
          <cell r="AM678">
            <v>2200</v>
          </cell>
          <cell r="AN678" t="e">
            <v>#VALUE!</v>
          </cell>
          <cell r="AO678" t="e">
            <v>#VALUE!</v>
          </cell>
          <cell r="AP678">
            <v>500</v>
          </cell>
        </row>
        <row r="679">
          <cell r="A679">
            <v>61691200</v>
          </cell>
          <cell r="B679">
            <v>40212200</v>
          </cell>
          <cell r="C679">
            <v>9902464</v>
          </cell>
          <cell r="D679" t="str">
            <v>BOF KIPPENRAGOUT BIESLOOK-PETERSELIEPUREE 525G</v>
          </cell>
          <cell r="E679" t="str">
            <v>Bofrost BE</v>
          </cell>
          <cell r="F679" t="str">
            <v>40336300 OLAF 30 290MM</v>
          </cell>
          <cell r="G679" t="str">
            <v>C2227-2X evolve</v>
          </cell>
          <cell r="H679">
            <v>456</v>
          </cell>
          <cell r="I679">
            <v>0.52500000000000002</v>
          </cell>
          <cell r="J679" t="str">
            <v>H10</v>
          </cell>
          <cell r="K679" t="str">
            <v>NVT</v>
          </cell>
          <cell r="L679">
            <v>8</v>
          </cell>
          <cell r="M679" t="str">
            <v>H10X8</v>
          </cell>
          <cell r="N679">
            <v>81</v>
          </cell>
          <cell r="O679">
            <v>5410953169122</v>
          </cell>
          <cell r="P679" t="str">
            <v>H-T</v>
          </cell>
          <cell r="Q679">
            <v>2.5</v>
          </cell>
          <cell r="R679">
            <v>4</v>
          </cell>
          <cell r="S679" t="str">
            <v>OLAF-folio</v>
          </cell>
          <cell r="T679">
            <v>2200</v>
          </cell>
          <cell r="U679">
            <v>2</v>
          </cell>
          <cell r="V679">
            <v>2200</v>
          </cell>
          <cell r="W679">
            <v>2</v>
          </cell>
          <cell r="X679" t="str">
            <v>X</v>
          </cell>
          <cell r="Y679">
            <v>0</v>
          </cell>
          <cell r="Z679">
            <v>0</v>
          </cell>
          <cell r="AA679" t="str">
            <v>! !</v>
          </cell>
          <cell r="AB679">
            <v>5000</v>
          </cell>
          <cell r="AC679">
            <v>0</v>
          </cell>
          <cell r="AG679">
            <v>45</v>
          </cell>
          <cell r="AJ679" t="str">
            <v>-</v>
          </cell>
          <cell r="AL679">
            <v>2700</v>
          </cell>
          <cell r="AM679">
            <v>2200</v>
          </cell>
          <cell r="AN679" t="e">
            <v>#VALUE!</v>
          </cell>
          <cell r="AO679" t="e">
            <v>#VALUE!</v>
          </cell>
          <cell r="AP679">
            <v>500</v>
          </cell>
        </row>
        <row r="680">
          <cell r="A680">
            <v>61691600</v>
          </cell>
          <cell r="B680">
            <v>40204800</v>
          </cell>
          <cell r="C680">
            <v>6902478</v>
          </cell>
          <cell r="D680" t="str">
            <v>BOF BE VA HAASJE PEPERROOMSAUS WORTEL PUREE 500G</v>
          </cell>
          <cell r="E680" t="str">
            <v>Bofrost BE</v>
          </cell>
          <cell r="F680" t="str">
            <v>40336300 OLAF 30 290MM</v>
          </cell>
          <cell r="G680" t="str">
            <v>C2227-3C evolve</v>
          </cell>
          <cell r="H680">
            <v>456</v>
          </cell>
          <cell r="I680">
            <v>0.5</v>
          </cell>
          <cell r="J680" t="str">
            <v>H10</v>
          </cell>
          <cell r="K680" t="str">
            <v>NVT</v>
          </cell>
          <cell r="L680">
            <v>8</v>
          </cell>
          <cell r="M680" t="str">
            <v>H10X8</v>
          </cell>
          <cell r="N680" t="str">
            <v>81</v>
          </cell>
          <cell r="O680">
            <v>5410953169160</v>
          </cell>
          <cell r="P680" t="str">
            <v>H-T</v>
          </cell>
          <cell r="Q680">
            <v>3</v>
          </cell>
          <cell r="R680">
            <v>4</v>
          </cell>
          <cell r="S680" t="str">
            <v>VA HAASJE snijden (2cm), levering va haasje altijd woe 12u</v>
          </cell>
          <cell r="T680">
            <v>2200</v>
          </cell>
          <cell r="U680">
            <v>9</v>
          </cell>
          <cell r="V680">
            <v>2200</v>
          </cell>
          <cell r="W680">
            <v>9</v>
          </cell>
          <cell r="X680" t="str">
            <v>X</v>
          </cell>
          <cell r="Y680">
            <v>0</v>
          </cell>
          <cell r="Z680">
            <v>0</v>
          </cell>
          <cell r="AA680" t="str">
            <v>! !</v>
          </cell>
          <cell r="AB680">
            <v>5500</v>
          </cell>
          <cell r="AC680">
            <v>3.711340206185567E-2</v>
          </cell>
          <cell r="AG680">
            <v>45</v>
          </cell>
          <cell r="AJ680" t="str">
            <v>V-A</v>
          </cell>
          <cell r="AL680">
            <v>2700</v>
          </cell>
          <cell r="AM680">
            <v>2200</v>
          </cell>
          <cell r="AN680" t="e">
            <v>#VALUE!</v>
          </cell>
          <cell r="AO680" t="e">
            <v>#VALUE!</v>
          </cell>
          <cell r="AP680">
            <v>500</v>
          </cell>
        </row>
        <row r="681">
          <cell r="A681">
            <v>61691900</v>
          </cell>
          <cell r="B681">
            <v>40202500</v>
          </cell>
          <cell r="C681">
            <v>9902392</v>
          </cell>
          <cell r="D681" t="str">
            <v>BOF BE RUNDSTOOFPOTJE WORTELSTAMPPOT 500G</v>
          </cell>
          <cell r="E681" t="str">
            <v>Bofrost BE</v>
          </cell>
          <cell r="F681" t="str">
            <v>40336300 OLAF 30 290MM</v>
          </cell>
          <cell r="G681" t="str">
            <v>C2227-2X evolve</v>
          </cell>
          <cell r="H681">
            <v>548</v>
          </cell>
          <cell r="I681">
            <v>0.5</v>
          </cell>
          <cell r="J681" t="str">
            <v>H10</v>
          </cell>
          <cell r="K681" t="str">
            <v>NVT</v>
          </cell>
          <cell r="L681">
            <v>8</v>
          </cell>
          <cell r="M681" t="str">
            <v>H10X8</v>
          </cell>
          <cell r="N681" t="str">
            <v>81</v>
          </cell>
          <cell r="O681">
            <v>5410953169191</v>
          </cell>
          <cell r="P681" t="str">
            <v>I-T-H</v>
          </cell>
          <cell r="Q681">
            <v>3</v>
          </cell>
          <cell r="R681">
            <v>2</v>
          </cell>
          <cell r="T681">
            <v>2200</v>
          </cell>
          <cell r="U681">
            <v>3</v>
          </cell>
          <cell r="V681">
            <v>2200</v>
          </cell>
          <cell r="W681">
            <v>3</v>
          </cell>
          <cell r="X681" t="str">
            <v>X</v>
          </cell>
          <cell r="Y681">
            <v>0</v>
          </cell>
          <cell r="Z681">
            <v>0</v>
          </cell>
          <cell r="AA681" t="str">
            <v>! !</v>
          </cell>
          <cell r="AB681">
            <v>4000</v>
          </cell>
          <cell r="AC681">
            <v>0</v>
          </cell>
          <cell r="AG681">
            <v>45</v>
          </cell>
          <cell r="AJ681" t="str">
            <v>-</v>
          </cell>
          <cell r="AL681">
            <v>2700</v>
          </cell>
          <cell r="AM681">
            <v>2200</v>
          </cell>
          <cell r="AN681" t="e">
            <v>#VALUE!</v>
          </cell>
          <cell r="AO681" t="e">
            <v>#VALUE!</v>
          </cell>
          <cell r="AP681">
            <v>500</v>
          </cell>
        </row>
        <row r="682">
          <cell r="A682">
            <v>61692500</v>
          </cell>
          <cell r="B682">
            <v>40220900</v>
          </cell>
          <cell r="C682">
            <v>6902347</v>
          </cell>
          <cell r="D682" t="str">
            <v>BOF KABELJAUWHAASJE MSC MOSTERDSAUS 2X225G</v>
          </cell>
          <cell r="E682" t="str">
            <v>Bofrost BE</v>
          </cell>
          <cell r="F682" t="str">
            <v>40336300 OLAF 30 290MM</v>
          </cell>
          <cell r="G682" t="str">
            <v>C2227-2N</v>
          </cell>
          <cell r="H682">
            <v>548</v>
          </cell>
          <cell r="I682">
            <v>0.45</v>
          </cell>
          <cell r="J682" t="str">
            <v>H10</v>
          </cell>
          <cell r="K682" t="str">
            <v>NVT</v>
          </cell>
          <cell r="L682">
            <v>8</v>
          </cell>
          <cell r="M682" t="str">
            <v>H10X8</v>
          </cell>
          <cell r="N682" t="str">
            <v>81</v>
          </cell>
          <cell r="O682">
            <v>5410953169252</v>
          </cell>
          <cell r="P682" t="str">
            <v>2T</v>
          </cell>
          <cell r="Q682">
            <v>1</v>
          </cell>
          <cell r="R682">
            <v>4</v>
          </cell>
          <cell r="S682" t="str">
            <v>OLAF-folio</v>
          </cell>
          <cell r="T682">
            <v>1750</v>
          </cell>
          <cell r="U682">
            <v>6</v>
          </cell>
          <cell r="V682">
            <v>1750</v>
          </cell>
          <cell r="W682">
            <v>6</v>
          </cell>
          <cell r="X682">
            <v>0</v>
          </cell>
          <cell r="Y682">
            <v>0</v>
          </cell>
          <cell r="Z682">
            <v>0.1</v>
          </cell>
          <cell r="AA682" t="str">
            <v>! ! ! !</v>
          </cell>
          <cell r="AC682">
            <v>0</v>
          </cell>
          <cell r="AG682">
            <v>35</v>
          </cell>
          <cell r="AJ682" t="str">
            <v>V-A</v>
          </cell>
          <cell r="AL682">
            <v>2100</v>
          </cell>
          <cell r="AM682">
            <v>1750</v>
          </cell>
          <cell r="AN682" t="e">
            <v>#VALUE!</v>
          </cell>
          <cell r="AO682" t="e">
            <v>#VALUE!</v>
          </cell>
          <cell r="AP682">
            <v>350</v>
          </cell>
        </row>
        <row r="683">
          <cell r="A683">
            <v>61692600</v>
          </cell>
          <cell r="B683">
            <v>40221000</v>
          </cell>
          <cell r="C683">
            <v>6902348</v>
          </cell>
          <cell r="D683" t="str">
            <v>BOF BE KABELJAUWHAASJE MSC LENTESAUS 2X225G</v>
          </cell>
          <cell r="E683" t="str">
            <v>Bofrost BE</v>
          </cell>
          <cell r="F683" t="str">
            <v>40336300 OLAF 30 290MM</v>
          </cell>
          <cell r="G683" t="str">
            <v>C2227-2N</v>
          </cell>
          <cell r="H683">
            <v>548</v>
          </cell>
          <cell r="I683">
            <v>0.45</v>
          </cell>
          <cell r="J683" t="str">
            <v>H10</v>
          </cell>
          <cell r="K683" t="str">
            <v>NVT</v>
          </cell>
          <cell r="L683">
            <v>8</v>
          </cell>
          <cell r="M683" t="str">
            <v>H10X8</v>
          </cell>
          <cell r="N683" t="str">
            <v>81</v>
          </cell>
          <cell r="O683">
            <v>5410953169269</v>
          </cell>
          <cell r="P683" t="str">
            <v>2T</v>
          </cell>
          <cell r="Q683">
            <v>2</v>
          </cell>
          <cell r="R683">
            <v>4</v>
          </cell>
          <cell r="S683" t="str">
            <v>OLAF-folio</v>
          </cell>
          <cell r="T683">
            <v>1750</v>
          </cell>
          <cell r="U683">
            <v>6</v>
          </cell>
          <cell r="V683">
            <v>1750</v>
          </cell>
          <cell r="W683">
            <v>6</v>
          </cell>
          <cell r="X683">
            <v>0</v>
          </cell>
          <cell r="Y683">
            <v>0</v>
          </cell>
          <cell r="Z683">
            <v>0</v>
          </cell>
          <cell r="AA683" t="str">
            <v>! ! ! !</v>
          </cell>
          <cell r="AB683">
            <v>3000</v>
          </cell>
          <cell r="AC683">
            <v>0</v>
          </cell>
          <cell r="AG683">
            <v>35</v>
          </cell>
          <cell r="AJ683" t="str">
            <v>V-A</v>
          </cell>
          <cell r="AL683">
            <v>2100</v>
          </cell>
          <cell r="AM683">
            <v>1750</v>
          </cell>
          <cell r="AN683" t="e">
            <v>#VALUE!</v>
          </cell>
          <cell r="AO683" t="e">
            <v>#VALUE!</v>
          </cell>
          <cell r="AP683">
            <v>350</v>
          </cell>
        </row>
        <row r="684">
          <cell r="A684">
            <v>61692700</v>
          </cell>
          <cell r="B684">
            <v>40221200</v>
          </cell>
          <cell r="C684">
            <v>6902346</v>
          </cell>
          <cell r="D684" t="str">
            <v>BOF BE REUZENGARNALEN KNOFLOOKROOMSAUS 2X200G</v>
          </cell>
          <cell r="E684" t="str">
            <v>Bofrost BE</v>
          </cell>
          <cell r="F684" t="str">
            <v>40336300 OLAF 30 290MM</v>
          </cell>
          <cell r="G684" t="str">
            <v>C2227-2N</v>
          </cell>
          <cell r="H684">
            <v>548</v>
          </cell>
          <cell r="I684">
            <v>0.4</v>
          </cell>
          <cell r="J684" t="str">
            <v>H10</v>
          </cell>
          <cell r="K684" t="str">
            <v>NVT</v>
          </cell>
          <cell r="L684">
            <v>8</v>
          </cell>
          <cell r="M684" t="str">
            <v>H10X8</v>
          </cell>
          <cell r="N684" t="str">
            <v>81</v>
          </cell>
          <cell r="O684">
            <v>5410953169276</v>
          </cell>
          <cell r="P684" t="str">
            <v>2T-I</v>
          </cell>
          <cell r="Q684">
            <v>1</v>
          </cell>
          <cell r="R684">
            <v>4</v>
          </cell>
          <cell r="S684" t="str">
            <v>OLAF-folio</v>
          </cell>
          <cell r="T684">
            <v>2000</v>
          </cell>
          <cell r="U684">
            <v>4</v>
          </cell>
          <cell r="V684">
            <v>2000</v>
          </cell>
          <cell r="W684">
            <v>4</v>
          </cell>
          <cell r="X684">
            <v>0</v>
          </cell>
          <cell r="Y684">
            <v>0</v>
          </cell>
          <cell r="Z684">
            <v>0</v>
          </cell>
          <cell r="AA684" t="str">
            <v>! ! ! !</v>
          </cell>
          <cell r="AB684">
            <v>3000</v>
          </cell>
          <cell r="AC684">
            <v>0</v>
          </cell>
          <cell r="AG684">
            <v>37</v>
          </cell>
          <cell r="AJ684" t="str">
            <v>-</v>
          </cell>
          <cell r="AL684">
            <v>2220</v>
          </cell>
          <cell r="AM684">
            <v>2000</v>
          </cell>
          <cell r="AN684" t="e">
            <v>#VALUE!</v>
          </cell>
          <cell r="AO684" t="e">
            <v>#VALUE!</v>
          </cell>
          <cell r="AP684">
            <v>220</v>
          </cell>
        </row>
        <row r="685">
          <cell r="A685">
            <v>61692800</v>
          </cell>
          <cell r="B685">
            <v>40221100</v>
          </cell>
          <cell r="C685">
            <v>6902343</v>
          </cell>
          <cell r="D685" t="str">
            <v>BOF BE REUZENGARNALEN PITTIGE TOMATENSAUS 2X200G</v>
          </cell>
          <cell r="E685" t="str">
            <v>Bofrost BE</v>
          </cell>
          <cell r="F685" t="str">
            <v>40336300 OLAF 30 290MM</v>
          </cell>
          <cell r="G685" t="str">
            <v>C2227-2N</v>
          </cell>
          <cell r="H685">
            <v>548</v>
          </cell>
          <cell r="I685">
            <v>0.4</v>
          </cell>
          <cell r="J685" t="str">
            <v>H10</v>
          </cell>
          <cell r="K685" t="str">
            <v>NVT</v>
          </cell>
          <cell r="L685">
            <v>8</v>
          </cell>
          <cell r="M685" t="str">
            <v>H10X8</v>
          </cell>
          <cell r="N685" t="str">
            <v>81</v>
          </cell>
          <cell r="O685">
            <v>5410953169283</v>
          </cell>
          <cell r="P685" t="str">
            <v>2T-I</v>
          </cell>
          <cell r="Q685">
            <v>1</v>
          </cell>
          <cell r="R685">
            <v>4</v>
          </cell>
          <cell r="T685">
            <v>2000</v>
          </cell>
          <cell r="U685">
            <v>4</v>
          </cell>
          <cell r="V685">
            <v>2000</v>
          </cell>
          <cell r="W685">
            <v>4</v>
          </cell>
          <cell r="X685">
            <v>0</v>
          </cell>
          <cell r="Y685">
            <v>0</v>
          </cell>
          <cell r="Z685">
            <v>0</v>
          </cell>
          <cell r="AA685" t="str">
            <v>! ! ! !</v>
          </cell>
          <cell r="AB685">
            <v>3000</v>
          </cell>
          <cell r="AC685">
            <v>0</v>
          </cell>
          <cell r="AG685">
            <v>37</v>
          </cell>
          <cell r="AJ685" t="str">
            <v>V-A</v>
          </cell>
          <cell r="AL685">
            <v>2220</v>
          </cell>
          <cell r="AM685">
            <v>2000</v>
          </cell>
          <cell r="AN685" t="e">
            <v>#VALUE!</v>
          </cell>
          <cell r="AO685" t="e">
            <v>#VALUE!</v>
          </cell>
          <cell r="AP685">
            <v>220</v>
          </cell>
        </row>
        <row r="686">
          <cell r="A686">
            <v>61693200</v>
          </cell>
          <cell r="B686">
            <v>40231900</v>
          </cell>
          <cell r="C686">
            <v>6912016</v>
          </cell>
          <cell r="D686" t="str">
            <v>BOF BE ZALM BEARNAISE BONEN SJALOTTENPUREE 450G</v>
          </cell>
          <cell r="E686" t="str">
            <v>Bofrost BE</v>
          </cell>
          <cell r="F686" t="str">
            <v>40336300 OLAF 30 290MM</v>
          </cell>
          <cell r="G686" t="str">
            <v>C2227-3C evolve</v>
          </cell>
          <cell r="H686">
            <v>456</v>
          </cell>
          <cell r="I686">
            <v>0.45</v>
          </cell>
          <cell r="J686" t="str">
            <v>H10</v>
          </cell>
          <cell r="K686" t="str">
            <v>NVT</v>
          </cell>
          <cell r="L686">
            <v>8</v>
          </cell>
          <cell r="M686" t="str">
            <v>H10X8</v>
          </cell>
          <cell r="N686" t="str">
            <v>81</v>
          </cell>
          <cell r="O686">
            <v>5400870169329</v>
          </cell>
          <cell r="P686" t="str">
            <v>H-T</v>
          </cell>
          <cell r="Q686">
            <v>3</v>
          </cell>
          <cell r="R686">
            <v>4</v>
          </cell>
          <cell r="S686" t="str">
            <v>ZALM verzagen (100g)</v>
          </cell>
          <cell r="T686">
            <v>2200</v>
          </cell>
          <cell r="U686">
            <v>5</v>
          </cell>
          <cell r="V686">
            <v>2200</v>
          </cell>
          <cell r="W686">
            <v>5</v>
          </cell>
          <cell r="X686">
            <v>0</v>
          </cell>
          <cell r="Y686">
            <v>0</v>
          </cell>
          <cell r="Z686">
            <v>0</v>
          </cell>
          <cell r="AA686" t="str">
            <v>! ! ! !</v>
          </cell>
          <cell r="AB686">
            <v>5000</v>
          </cell>
          <cell r="AC686">
            <v>0</v>
          </cell>
          <cell r="AG686">
            <v>45</v>
          </cell>
          <cell r="AJ686" t="str">
            <v>V-A</v>
          </cell>
          <cell r="AL686">
            <v>2700</v>
          </cell>
          <cell r="AM686">
            <v>2200</v>
          </cell>
          <cell r="AN686" t="e">
            <v>#VALUE!</v>
          </cell>
          <cell r="AO686" t="e">
            <v>#VALUE!</v>
          </cell>
          <cell r="AP686">
            <v>500</v>
          </cell>
        </row>
        <row r="687">
          <cell r="A687">
            <v>61693400</v>
          </cell>
          <cell r="B687">
            <v>40235200</v>
          </cell>
          <cell r="C687">
            <v>9912057</v>
          </cell>
          <cell r="D687" t="str">
            <v>BOF BE REUZENGARNALEN CURRYSAUS 2X200G</v>
          </cell>
          <cell r="E687" t="str">
            <v>Bofrost BE</v>
          </cell>
          <cell r="F687" t="str">
            <v>40336300 OLAF 30 290MM</v>
          </cell>
          <cell r="G687" t="str">
            <v>C2227-2N</v>
          </cell>
          <cell r="H687">
            <v>548</v>
          </cell>
          <cell r="I687">
            <v>0.4</v>
          </cell>
          <cell r="J687" t="str">
            <v>H10</v>
          </cell>
          <cell r="K687" t="str">
            <v>NVT</v>
          </cell>
          <cell r="L687">
            <v>8</v>
          </cell>
          <cell r="M687" t="str">
            <v>H10X8</v>
          </cell>
          <cell r="N687" t="str">
            <v>81</v>
          </cell>
          <cell r="O687">
            <v>5400870169343</v>
          </cell>
          <cell r="P687" t="str">
            <v>2T-I</v>
          </cell>
          <cell r="Q687">
            <v>1</v>
          </cell>
          <cell r="R687">
            <v>4</v>
          </cell>
          <cell r="T687">
            <v>2000</v>
          </cell>
          <cell r="U687">
            <v>4</v>
          </cell>
          <cell r="V687">
            <v>2000</v>
          </cell>
          <cell r="W687">
            <v>4</v>
          </cell>
          <cell r="X687">
            <v>0</v>
          </cell>
          <cell r="Y687">
            <v>0</v>
          </cell>
          <cell r="Z687">
            <v>0</v>
          </cell>
          <cell r="AA687" t="str">
            <v>! ! ! !</v>
          </cell>
          <cell r="AB687">
            <v>5000</v>
          </cell>
          <cell r="AC687">
            <v>0</v>
          </cell>
          <cell r="AG687">
            <v>37</v>
          </cell>
          <cell r="AJ687" t="str">
            <v>-</v>
          </cell>
          <cell r="AL687">
            <v>2220</v>
          </cell>
          <cell r="AM687">
            <v>2000</v>
          </cell>
          <cell r="AN687" t="e">
            <v>#VALUE!</v>
          </cell>
          <cell r="AO687" t="e">
            <v>#VALUE!</v>
          </cell>
          <cell r="AP687">
            <v>220</v>
          </cell>
        </row>
        <row r="688">
          <cell r="A688">
            <v>61693500</v>
          </cell>
          <cell r="B688">
            <v>40262300</v>
          </cell>
          <cell r="C688">
            <v>9912076</v>
          </cell>
          <cell r="D688" t="str">
            <v>BOF BE SCAMPI THAI RODE CURRY LINGUINI 450G</v>
          </cell>
          <cell r="E688" t="str">
            <v>Bofrost BE</v>
          </cell>
          <cell r="F688" t="str">
            <v>40336300 OLAF 30 290MM</v>
          </cell>
          <cell r="G688" t="str">
            <v>C2227-1E evolve</v>
          </cell>
          <cell r="H688">
            <v>548</v>
          </cell>
          <cell r="I688">
            <v>0.45</v>
          </cell>
          <cell r="J688" t="str">
            <v>H10</v>
          </cell>
          <cell r="K688" t="str">
            <v>NVT</v>
          </cell>
          <cell r="L688">
            <v>8</v>
          </cell>
          <cell r="M688" t="str">
            <v>H10X8</v>
          </cell>
          <cell r="N688" t="str">
            <v>81</v>
          </cell>
          <cell r="O688">
            <v>5400870169350</v>
          </cell>
          <cell r="P688" t="str">
            <v>I-L-T</v>
          </cell>
          <cell r="Q688">
            <v>3</v>
          </cell>
          <cell r="R688">
            <v>4</v>
          </cell>
          <cell r="T688">
            <v>2200</v>
          </cell>
          <cell r="U688">
            <v>7</v>
          </cell>
          <cell r="V688">
            <v>2200</v>
          </cell>
          <cell r="W688">
            <v>7</v>
          </cell>
          <cell r="X688">
            <v>0</v>
          </cell>
          <cell r="Y688">
            <v>0</v>
          </cell>
          <cell r="Z688">
            <v>0</v>
          </cell>
          <cell r="AA688" t="str">
            <v>! ! ! !</v>
          </cell>
          <cell r="AB688">
            <v>5000</v>
          </cell>
          <cell r="AC688">
            <v>0</v>
          </cell>
          <cell r="AG688">
            <v>45</v>
          </cell>
          <cell r="AL688">
            <v>2700</v>
          </cell>
          <cell r="AM688">
            <v>2200</v>
          </cell>
          <cell r="AN688" t="e">
            <v>#VALUE!</v>
          </cell>
          <cell r="AO688" t="e">
            <v>#VALUE!</v>
          </cell>
          <cell r="AP688">
            <v>500</v>
          </cell>
        </row>
        <row r="689">
          <cell r="A689">
            <v>61693600</v>
          </cell>
          <cell r="B689">
            <v>40240000</v>
          </cell>
          <cell r="C689">
            <v>9912391</v>
          </cell>
          <cell r="D689" t="str">
            <v>BOF BE STOOFVLEES ANDIJVIESTAMPPOT 500G</v>
          </cell>
          <cell r="E689" t="str">
            <v>Bofrost BE</v>
          </cell>
          <cell r="F689" t="str">
            <v>40336300 OLAF 30 290MM</v>
          </cell>
          <cell r="G689" t="str">
            <v>C2227-2X evolve</v>
          </cell>
          <cell r="H689">
            <v>548</v>
          </cell>
          <cell r="I689">
            <v>0.5</v>
          </cell>
          <cell r="J689" t="str">
            <v>H10</v>
          </cell>
          <cell r="K689" t="str">
            <v>NVT</v>
          </cell>
          <cell r="L689">
            <v>8</v>
          </cell>
          <cell r="M689" t="str">
            <v>H10X8</v>
          </cell>
          <cell r="N689" t="str">
            <v>81</v>
          </cell>
          <cell r="O689">
            <v>5400870169367</v>
          </cell>
          <cell r="P689" t="str">
            <v>I-T-H</v>
          </cell>
          <cell r="Q689">
            <v>2</v>
          </cell>
          <cell r="R689">
            <v>4</v>
          </cell>
          <cell r="T689">
            <v>2200</v>
          </cell>
          <cell r="U689">
            <v>3</v>
          </cell>
          <cell r="V689">
            <v>2200</v>
          </cell>
          <cell r="W689">
            <v>3</v>
          </cell>
          <cell r="X689" t="str">
            <v>X</v>
          </cell>
          <cell r="Y689">
            <v>0</v>
          </cell>
          <cell r="Z689">
            <v>0</v>
          </cell>
          <cell r="AA689" t="str">
            <v>! !</v>
          </cell>
          <cell r="AB689">
            <v>4000</v>
          </cell>
          <cell r="AC689">
            <v>0</v>
          </cell>
          <cell r="AG689">
            <v>45</v>
          </cell>
          <cell r="AJ689" t="str">
            <v>-</v>
          </cell>
          <cell r="AL689">
            <v>2700</v>
          </cell>
          <cell r="AM689">
            <v>2200</v>
          </cell>
          <cell r="AN689" t="e">
            <v>#VALUE!</v>
          </cell>
          <cell r="AO689" t="e">
            <v>#VALUE!</v>
          </cell>
          <cell r="AP689">
            <v>500</v>
          </cell>
        </row>
        <row r="690">
          <cell r="A690">
            <v>61693900</v>
          </cell>
          <cell r="B690">
            <v>40245700</v>
          </cell>
          <cell r="D690" t="str">
            <v>BOF BE SCAMPI ASC THAI RODE CURRY 450G</v>
          </cell>
          <cell r="E690" t="str">
            <v>Bofrost BE</v>
          </cell>
          <cell r="F690" t="str">
            <v>40336300 OLAF 30 290MM</v>
          </cell>
          <cell r="G690" t="str">
            <v>C2227-1E evolve</v>
          </cell>
          <cell r="H690">
            <v>548</v>
          </cell>
          <cell r="I690">
            <v>0.45</v>
          </cell>
          <cell r="J690" t="str">
            <v>H10</v>
          </cell>
          <cell r="K690" t="str">
            <v>NVT</v>
          </cell>
          <cell r="L690">
            <v>8</v>
          </cell>
          <cell r="M690" t="str">
            <v>H10X8</v>
          </cell>
          <cell r="N690" t="str">
            <v>81</v>
          </cell>
          <cell r="P690" t="str">
            <v>I-L-T</v>
          </cell>
          <cell r="Q690">
            <v>3</v>
          </cell>
          <cell r="R690">
            <v>4</v>
          </cell>
          <cell r="T690">
            <v>2200</v>
          </cell>
          <cell r="U690">
            <v>7</v>
          </cell>
          <cell r="V690">
            <v>2200</v>
          </cell>
          <cell r="W690">
            <v>7</v>
          </cell>
          <cell r="X690">
            <v>0</v>
          </cell>
          <cell r="Y690">
            <v>0</v>
          </cell>
          <cell r="Z690">
            <v>0</v>
          </cell>
          <cell r="AA690" t="str">
            <v>! ! ! !</v>
          </cell>
          <cell r="AB690">
            <v>5000</v>
          </cell>
          <cell r="AC690">
            <v>0</v>
          </cell>
          <cell r="AG690">
            <v>45</v>
          </cell>
          <cell r="AL690">
            <v>2700</v>
          </cell>
          <cell r="AM690">
            <v>2200</v>
          </cell>
          <cell r="AN690" t="e">
            <v>#VALUE!</v>
          </cell>
          <cell r="AO690" t="e">
            <v>#VALUE!</v>
          </cell>
          <cell r="AP690">
            <v>500</v>
          </cell>
        </row>
        <row r="691">
          <cell r="A691">
            <v>61694100</v>
          </cell>
          <cell r="B691">
            <v>40280000</v>
          </cell>
          <cell r="C691" t="str">
            <v>9912252 </v>
          </cell>
          <cell r="D691" t="str">
            <v>BOF BE KIP BEARNAISE RIJSTMIX ERWTEN 420G</v>
          </cell>
          <cell r="E691" t="str">
            <v>Bofrost BE</v>
          </cell>
          <cell r="F691" t="str">
            <v>290MM</v>
          </cell>
          <cell r="G691" t="str">
            <v>C2227-2X</v>
          </cell>
          <cell r="H691">
            <v>456</v>
          </cell>
          <cell r="I691">
            <v>0.42</v>
          </cell>
          <cell r="J691" t="str">
            <v>H10</v>
          </cell>
          <cell r="K691" t="str">
            <v>NVT</v>
          </cell>
          <cell r="L691">
            <v>8</v>
          </cell>
          <cell r="M691" t="str">
            <v>H10X8</v>
          </cell>
          <cell r="N691" t="str">
            <v>81</v>
          </cell>
          <cell r="O691">
            <v>5400870169411</v>
          </cell>
          <cell r="P691" t="str">
            <v>T-H</v>
          </cell>
          <cell r="Q691">
            <v>2</v>
          </cell>
          <cell r="R691">
            <v>2</v>
          </cell>
          <cell r="T691">
            <v>2200</v>
          </cell>
          <cell r="U691">
            <v>3</v>
          </cell>
          <cell r="V691">
            <v>2200</v>
          </cell>
          <cell r="W691">
            <v>3</v>
          </cell>
          <cell r="X691">
            <v>0</v>
          </cell>
          <cell r="Y691">
            <v>0</v>
          </cell>
          <cell r="Z691">
            <v>0</v>
          </cell>
          <cell r="AA691" t="str">
            <v>! !</v>
          </cell>
          <cell r="AB691">
            <v>3500</v>
          </cell>
          <cell r="AC691">
            <v>0</v>
          </cell>
          <cell r="AG691">
            <v>45</v>
          </cell>
          <cell r="AJ691" t="str">
            <v>V-A</v>
          </cell>
          <cell r="AL691">
            <v>2700</v>
          </cell>
          <cell r="AM691">
            <v>2200</v>
          </cell>
          <cell r="AN691" t="e">
            <v>#VALUE!</v>
          </cell>
          <cell r="AO691" t="e">
            <v>#VALUE!</v>
          </cell>
          <cell r="AP691">
            <v>500</v>
          </cell>
        </row>
        <row r="692">
          <cell r="A692">
            <v>61699700</v>
          </cell>
          <cell r="B692">
            <v>40262900</v>
          </cell>
          <cell r="C692" t="str">
            <v>0020546</v>
          </cell>
          <cell r="D692" t="str">
            <v>BOF DE KIP BEARNAISE RIJSTMIX ERWTEN 400G</v>
          </cell>
          <cell r="E692" t="str">
            <v>Bofrost DE</v>
          </cell>
          <cell r="F692" t="str">
            <v>40336300 OLAF 30 290MM</v>
          </cell>
          <cell r="G692" t="str">
            <v>C2227-2X evolve</v>
          </cell>
          <cell r="H692">
            <v>456</v>
          </cell>
          <cell r="I692">
            <v>0.4</v>
          </cell>
          <cell r="J692" t="str">
            <v>H10</v>
          </cell>
          <cell r="K692" t="str">
            <v>NVT</v>
          </cell>
          <cell r="L692">
            <v>8</v>
          </cell>
          <cell r="M692" t="str">
            <v>H10X8</v>
          </cell>
          <cell r="N692" t="str">
            <v>81</v>
          </cell>
          <cell r="O692">
            <v>5400870169978</v>
          </cell>
          <cell r="P692" t="str">
            <v>L-2T</v>
          </cell>
          <cell r="Q692">
            <v>3</v>
          </cell>
          <cell r="R692">
            <v>2</v>
          </cell>
          <cell r="T692">
            <v>2200</v>
          </cell>
          <cell r="U692">
            <v>3</v>
          </cell>
          <cell r="V692">
            <v>2200</v>
          </cell>
          <cell r="W692">
            <v>3</v>
          </cell>
          <cell r="X692">
            <v>0</v>
          </cell>
          <cell r="Y692">
            <v>0</v>
          </cell>
          <cell r="Z692">
            <v>5.1999999999999998E-2</v>
          </cell>
          <cell r="AA692" t="str">
            <v>! !</v>
          </cell>
          <cell r="AB692">
            <v>16852</v>
          </cell>
          <cell r="AC692">
            <v>0</v>
          </cell>
          <cell r="AG692">
            <v>45</v>
          </cell>
          <cell r="AJ692" t="str">
            <v>V-A</v>
          </cell>
          <cell r="AL692">
            <v>2700</v>
          </cell>
          <cell r="AM692">
            <v>2200</v>
          </cell>
          <cell r="AN692" t="e">
            <v>#VALUE!</v>
          </cell>
          <cell r="AO692" t="e">
            <v>#VALUE!</v>
          </cell>
          <cell r="AP692">
            <v>500</v>
          </cell>
        </row>
        <row r="693">
          <cell r="A693">
            <v>61699800</v>
          </cell>
          <cell r="B693">
            <v>40238800</v>
          </cell>
          <cell r="C693" t="str">
            <v>0010944</v>
          </cell>
          <cell r="D693" t="str">
            <v>BOF DE KIP MADAGASCAR RIJST 420G</v>
          </cell>
          <cell r="E693" t="str">
            <v>Bofrost DE</v>
          </cell>
          <cell r="F693" t="str">
            <v>40336300 OLAF 30 290MM</v>
          </cell>
          <cell r="G693" t="str">
            <v>C2227-2X WIT</v>
          </cell>
          <cell r="H693">
            <v>456</v>
          </cell>
          <cell r="I693">
            <v>0.42</v>
          </cell>
          <cell r="J693" t="str">
            <v>H10</v>
          </cell>
          <cell r="K693" t="str">
            <v>NVT</v>
          </cell>
          <cell r="L693">
            <v>8</v>
          </cell>
          <cell r="M693" t="str">
            <v>H10X8</v>
          </cell>
          <cell r="N693" t="str">
            <v>81</v>
          </cell>
          <cell r="O693">
            <v>5400870169985</v>
          </cell>
          <cell r="P693" t="str">
            <v>L-2T</v>
          </cell>
          <cell r="Q693">
            <v>2</v>
          </cell>
          <cell r="R693">
            <v>4</v>
          </cell>
          <cell r="S693" t="str">
            <v>BLIKKEN openen D-1 (1u/2100st); opvolgen fruitstukjes</v>
          </cell>
          <cell r="T693">
            <v>2200</v>
          </cell>
          <cell r="U693">
            <v>4</v>
          </cell>
          <cell r="V693">
            <v>2200</v>
          </cell>
          <cell r="W693">
            <v>4</v>
          </cell>
          <cell r="X693">
            <v>0</v>
          </cell>
          <cell r="Y693">
            <v>0</v>
          </cell>
          <cell r="Z693">
            <v>0.04</v>
          </cell>
          <cell r="AA693" t="str">
            <v>! ! !</v>
          </cell>
          <cell r="AB693">
            <v>16852</v>
          </cell>
          <cell r="AC693">
            <v>0</v>
          </cell>
          <cell r="AG693">
            <v>45</v>
          </cell>
          <cell r="AJ693" t="str">
            <v>-</v>
          </cell>
          <cell r="AL693">
            <v>2700</v>
          </cell>
          <cell r="AM693">
            <v>2200</v>
          </cell>
          <cell r="AN693" t="e">
            <v>#VALUE!</v>
          </cell>
          <cell r="AO693" t="e">
            <v>#VALUE!</v>
          </cell>
          <cell r="AP693">
            <v>500</v>
          </cell>
        </row>
        <row r="694">
          <cell r="A694">
            <v>61699900</v>
          </cell>
          <cell r="B694">
            <v>40236600</v>
          </cell>
          <cell r="C694">
            <v>10707</v>
          </cell>
          <cell r="D694" t="str">
            <v>BOF DE KIP PROVENCAALSE GROENTESAUS KRIEL 450G</v>
          </cell>
          <cell r="E694" t="str">
            <v>Bofrost DE</v>
          </cell>
          <cell r="F694" t="str">
            <v>40336300 OLAF 30 290MM</v>
          </cell>
          <cell r="G694" t="str">
            <v>C2227-2X WIT</v>
          </cell>
          <cell r="H694">
            <v>456</v>
          </cell>
          <cell r="I694">
            <v>0.45</v>
          </cell>
          <cell r="J694" t="str">
            <v>H10</v>
          </cell>
          <cell r="K694" t="str">
            <v>NVT</v>
          </cell>
          <cell r="L694">
            <v>8</v>
          </cell>
          <cell r="M694" t="str">
            <v>H10X8</v>
          </cell>
          <cell r="N694" t="str">
            <v>81</v>
          </cell>
          <cell r="O694">
            <v>5400870169992</v>
          </cell>
          <cell r="P694" t="str">
            <v>T</v>
          </cell>
          <cell r="Q694">
            <v>3</v>
          </cell>
          <cell r="R694">
            <v>4</v>
          </cell>
          <cell r="S694" t="str">
            <v>KRIELEN KRUIDEN + STEAMEN D-0</v>
          </cell>
          <cell r="T694">
            <v>2200</v>
          </cell>
          <cell r="U694">
            <v>4</v>
          </cell>
          <cell r="V694">
            <v>2200</v>
          </cell>
          <cell r="W694">
            <v>4</v>
          </cell>
          <cell r="X694">
            <v>0</v>
          </cell>
          <cell r="Y694">
            <v>0</v>
          </cell>
          <cell r="Z694">
            <v>0.04</v>
          </cell>
          <cell r="AA694" t="str">
            <v>-</v>
          </cell>
          <cell r="AB694">
            <v>8052</v>
          </cell>
          <cell r="AC694">
            <v>5.7586143999999999E-2</v>
          </cell>
          <cell r="AG694">
            <v>45</v>
          </cell>
          <cell r="AJ694" t="str">
            <v>-</v>
          </cell>
          <cell r="AL694">
            <v>2700</v>
          </cell>
          <cell r="AM694">
            <v>2200</v>
          </cell>
          <cell r="AN694" t="e">
            <v>#VALUE!</v>
          </cell>
          <cell r="AO694" t="e">
            <v>#VALUE!</v>
          </cell>
          <cell r="AP694">
            <v>500</v>
          </cell>
        </row>
        <row r="695">
          <cell r="A695">
            <v>63110000</v>
          </cell>
          <cell r="B695">
            <v>40237200</v>
          </cell>
          <cell r="C695">
            <v>3002042</v>
          </cell>
          <cell r="D695" t="str">
            <v>ALDI BE MACARONI HAM KAAS 450G (23)</v>
          </cell>
          <cell r="E695" t="str">
            <v>Aldi BE</v>
          </cell>
          <cell r="F695" t="str">
            <v>40336500 COVIPEEL 32 370MM</v>
          </cell>
          <cell r="G695" t="str">
            <v>C2187-1F evolve</v>
          </cell>
          <cell r="H695">
            <v>365</v>
          </cell>
          <cell r="I695">
            <v>0.45</v>
          </cell>
          <cell r="J695" t="str">
            <v>H11</v>
          </cell>
          <cell r="K695" t="str">
            <v>NVT</v>
          </cell>
          <cell r="L695">
            <v>10</v>
          </cell>
          <cell r="M695" t="str">
            <v>H11X10</v>
          </cell>
          <cell r="N695">
            <v>104</v>
          </cell>
          <cell r="O695">
            <v>5400870311001</v>
          </cell>
          <cell r="P695" t="str">
            <v>I-2T-K</v>
          </cell>
          <cell r="Q695">
            <v>2.5</v>
          </cell>
          <cell r="R695">
            <v>4</v>
          </cell>
          <cell r="S695" t="str">
            <v xml:space="preserve">COVIPEEL-ipeelcoi </v>
          </cell>
          <cell r="T695">
            <v>3500</v>
          </cell>
          <cell r="U695">
            <v>3</v>
          </cell>
          <cell r="V695">
            <v>3500</v>
          </cell>
          <cell r="W695">
            <v>3</v>
          </cell>
          <cell r="X695" t="str">
            <v>X</v>
          </cell>
          <cell r="Y695" t="str">
            <v>X</v>
          </cell>
          <cell r="Z695">
            <v>0.1</v>
          </cell>
          <cell r="AA695" t="str">
            <v>! ! !</v>
          </cell>
          <cell r="AB695">
            <v>22340</v>
          </cell>
          <cell r="AC695">
            <v>0</v>
          </cell>
          <cell r="AJ695" t="str">
            <v>V-A</v>
          </cell>
          <cell r="AL695">
            <v>0</v>
          </cell>
          <cell r="AM695">
            <v>3500</v>
          </cell>
          <cell r="AN695" t="e">
            <v>#VALUE!</v>
          </cell>
          <cell r="AO695" t="e">
            <v>#VALUE!</v>
          </cell>
          <cell r="AP695">
            <v>-3500</v>
          </cell>
        </row>
        <row r="696">
          <cell r="A696">
            <v>63110100</v>
          </cell>
          <cell r="B696">
            <v>40240400</v>
          </cell>
          <cell r="C696">
            <v>3003311</v>
          </cell>
          <cell r="D696" t="str">
            <v>ALDI BE HACHIS PARMENTIER 450G (24)</v>
          </cell>
          <cell r="E696" t="str">
            <v>Aldi BE</v>
          </cell>
          <cell r="F696" t="str">
            <v>40336500 COVIPEEL 32 370MM</v>
          </cell>
          <cell r="G696" t="str">
            <v>C2187-1F evolve</v>
          </cell>
          <cell r="H696">
            <v>365</v>
          </cell>
          <cell r="I696">
            <v>0.45</v>
          </cell>
          <cell r="J696" t="str">
            <v>H11</v>
          </cell>
          <cell r="K696" t="str">
            <v>NVT</v>
          </cell>
          <cell r="L696">
            <v>10</v>
          </cell>
          <cell r="M696" t="str">
            <v>H11X10</v>
          </cell>
          <cell r="N696">
            <v>104</v>
          </cell>
          <cell r="O696">
            <v>5400870311018</v>
          </cell>
          <cell r="P696" t="str">
            <v>2H-4T-K</v>
          </cell>
          <cell r="Q696">
            <v>3</v>
          </cell>
          <cell r="R696">
            <v>4</v>
          </cell>
          <cell r="S696" t="str">
            <v xml:space="preserve">COVIPEEL-ipeelcoi </v>
          </cell>
          <cell r="T696">
            <v>3500</v>
          </cell>
          <cell r="U696">
            <v>1</v>
          </cell>
          <cell r="V696">
            <v>3500</v>
          </cell>
          <cell r="W696">
            <v>1</v>
          </cell>
          <cell r="X696">
            <v>0</v>
          </cell>
          <cell r="Y696">
            <v>0</v>
          </cell>
          <cell r="Z696">
            <v>0.1</v>
          </cell>
          <cell r="AA696" t="str">
            <v>! ! !</v>
          </cell>
          <cell r="AB696">
            <v>16110</v>
          </cell>
          <cell r="AC696">
            <v>0</v>
          </cell>
          <cell r="AG696">
            <v>68</v>
          </cell>
          <cell r="AJ696" t="str">
            <v>V-A</v>
          </cell>
          <cell r="AL696">
            <v>4080</v>
          </cell>
          <cell r="AM696">
            <v>3500</v>
          </cell>
          <cell r="AN696" t="e">
            <v>#VALUE!</v>
          </cell>
          <cell r="AO696" t="e">
            <v>#VALUE!</v>
          </cell>
          <cell r="AP696">
            <v>580</v>
          </cell>
        </row>
        <row r="697">
          <cell r="A697">
            <v>63110400</v>
          </cell>
          <cell r="B697">
            <v>40243000</v>
          </cell>
          <cell r="C697">
            <v>3144</v>
          </cell>
          <cell r="D697" t="str">
            <v>ALDI BE VISPAN ASC MSC GG KREEFTENSAUS 300G (27)</v>
          </cell>
          <cell r="E697" t="str">
            <v>Aldi BE</v>
          </cell>
          <cell r="F697" t="str">
            <v>40337500 COVIPEEL 32 355mm</v>
          </cell>
          <cell r="G697" t="str">
            <v>C2187-1F evolve</v>
          </cell>
          <cell r="H697">
            <v>548</v>
          </cell>
          <cell r="I697">
            <v>0.3</v>
          </cell>
          <cell r="J697" t="str">
            <v>H11</v>
          </cell>
          <cell r="K697" t="str">
            <v>NVT</v>
          </cell>
          <cell r="L697">
            <v>24</v>
          </cell>
          <cell r="M697" t="str">
            <v>H11X24</v>
          </cell>
          <cell r="N697" t="str">
            <v>48</v>
          </cell>
          <cell r="O697">
            <v>5400870311049</v>
          </cell>
          <cell r="P697" t="str">
            <v>2T</v>
          </cell>
          <cell r="Q697">
            <v>2</v>
          </cell>
          <cell r="R697">
            <v>4</v>
          </cell>
          <cell r="T697">
            <v>3500</v>
          </cell>
          <cell r="U697">
            <v>8</v>
          </cell>
          <cell r="V697">
            <v>3500</v>
          </cell>
          <cell r="W697">
            <v>8</v>
          </cell>
          <cell r="X697">
            <v>0</v>
          </cell>
          <cell r="Y697">
            <v>0</v>
          </cell>
          <cell r="Z697">
            <v>0.05</v>
          </cell>
          <cell r="AA697" t="str">
            <v>! ! ! !</v>
          </cell>
          <cell r="AB697">
            <v>27000</v>
          </cell>
          <cell r="AC697">
            <v>0</v>
          </cell>
          <cell r="AG697">
            <v>68</v>
          </cell>
          <cell r="AJ697" t="str">
            <v>V-A</v>
          </cell>
          <cell r="AL697">
            <v>4080</v>
          </cell>
          <cell r="AM697">
            <v>3500</v>
          </cell>
          <cell r="AN697" t="e">
            <v>#VALUE!</v>
          </cell>
          <cell r="AO697" t="e">
            <v>#VALUE!</v>
          </cell>
          <cell r="AP697">
            <v>580</v>
          </cell>
        </row>
        <row r="698">
          <cell r="A698">
            <v>63110500</v>
          </cell>
          <cell r="B698">
            <v>40243100</v>
          </cell>
          <cell r="C698">
            <v>3144</v>
          </cell>
          <cell r="D698" t="str">
            <v>ALDI BE VISPAN MSC OSTENDAISE 300G (MIXED)</v>
          </cell>
          <cell r="E698" t="str">
            <v>Aldi BE</v>
          </cell>
          <cell r="F698" t="str">
            <v>40337500 COVIPEEL 32 355mm</v>
          </cell>
          <cell r="G698" t="str">
            <v>C2187-1F evolve</v>
          </cell>
          <cell r="H698">
            <v>548</v>
          </cell>
          <cell r="I698">
            <v>0.3</v>
          </cell>
          <cell r="J698" t="str">
            <v>H11</v>
          </cell>
          <cell r="K698" t="str">
            <v>NVT</v>
          </cell>
          <cell r="L698">
            <v>20</v>
          </cell>
          <cell r="M698" t="str">
            <v>H11X24</v>
          </cell>
          <cell r="N698" t="str">
            <v>48</v>
          </cell>
          <cell r="O698">
            <v>5400870311056</v>
          </cell>
          <cell r="P698" t="str">
            <v>I-2T</v>
          </cell>
          <cell r="Q698">
            <v>1</v>
          </cell>
          <cell r="R698">
            <v>2</v>
          </cell>
          <cell r="T698">
            <v>3500</v>
          </cell>
          <cell r="U698">
            <v>3</v>
          </cell>
          <cell r="V698">
            <v>3500</v>
          </cell>
          <cell r="W698">
            <v>3</v>
          </cell>
          <cell r="X698">
            <v>0</v>
          </cell>
          <cell r="Y698">
            <v>0</v>
          </cell>
          <cell r="Z698">
            <v>0.05</v>
          </cell>
          <cell r="AA698" t="str">
            <v>! ! ! !</v>
          </cell>
          <cell r="AB698">
            <v>8000</v>
          </cell>
          <cell r="AC698">
            <v>0</v>
          </cell>
          <cell r="AG698">
            <v>68</v>
          </cell>
          <cell r="AJ698" t="str">
            <v>V-A</v>
          </cell>
          <cell r="AL698">
            <v>4080</v>
          </cell>
          <cell r="AM698">
            <v>3500</v>
          </cell>
          <cell r="AN698" t="e">
            <v>#VALUE!</v>
          </cell>
          <cell r="AO698" t="e">
            <v>#VALUE!</v>
          </cell>
          <cell r="AP698">
            <v>580</v>
          </cell>
        </row>
        <row r="699">
          <cell r="A699">
            <v>63110600</v>
          </cell>
          <cell r="B699">
            <v>40266700</v>
          </cell>
          <cell r="C699">
            <v>3144</v>
          </cell>
          <cell r="D699" t="str">
            <v>ALDI BE VISPAN ASC MSC KREEFTENSAUS 300G (MIXED)</v>
          </cell>
          <cell r="E699" t="str">
            <v>Aldi BE</v>
          </cell>
          <cell r="F699" t="str">
            <v>40337500 COVIPEEL 32 355mm</v>
          </cell>
          <cell r="G699" t="str">
            <v>C2187-1F evolve</v>
          </cell>
          <cell r="H699">
            <v>548</v>
          </cell>
          <cell r="I699">
            <v>0.3</v>
          </cell>
          <cell r="J699" t="str">
            <v>H11</v>
          </cell>
          <cell r="K699" t="str">
            <v>NVT</v>
          </cell>
          <cell r="L699">
            <v>24</v>
          </cell>
          <cell r="M699" t="str">
            <v>H11X24</v>
          </cell>
          <cell r="N699" t="str">
            <v>48</v>
          </cell>
          <cell r="O699">
            <v>5400870311063</v>
          </cell>
          <cell r="P699" t="str">
            <v>2T</v>
          </cell>
          <cell r="Q699">
            <v>2</v>
          </cell>
          <cell r="R699">
            <v>2</v>
          </cell>
          <cell r="T699">
            <v>3500</v>
          </cell>
          <cell r="U699">
            <v>8</v>
          </cell>
          <cell r="V699">
            <v>3500</v>
          </cell>
          <cell r="W699">
            <v>8</v>
          </cell>
          <cell r="X699">
            <v>0</v>
          </cell>
          <cell r="Y699">
            <v>0</v>
          </cell>
          <cell r="Z699">
            <v>0.05</v>
          </cell>
          <cell r="AA699" t="str">
            <v>! ! ! !</v>
          </cell>
          <cell r="AB699">
            <v>9600</v>
          </cell>
          <cell r="AC699">
            <v>0</v>
          </cell>
          <cell r="AJ699" t="str">
            <v>V-A</v>
          </cell>
          <cell r="AL699">
            <v>0</v>
          </cell>
          <cell r="AM699">
            <v>3500</v>
          </cell>
          <cell r="AN699" t="e">
            <v>#VALUE!</v>
          </cell>
          <cell r="AO699" t="e">
            <v>#VALUE!</v>
          </cell>
          <cell r="AP699">
            <v>-3500</v>
          </cell>
        </row>
        <row r="700">
          <cell r="A700">
            <v>63110700</v>
          </cell>
          <cell r="B700">
            <v>40278900</v>
          </cell>
          <cell r="C700">
            <v>2377</v>
          </cell>
          <cell r="D700" t="str">
            <v>ALDI BE SCAMPI ASC LOOKSAUS 250G (MIXED)</v>
          </cell>
          <cell r="E700" t="str">
            <v>Aldi BE</v>
          </cell>
          <cell r="F700" t="str">
            <v>355MM</v>
          </cell>
          <cell r="G700" t="str">
            <v>C2187-1F</v>
          </cell>
          <cell r="H700">
            <v>548</v>
          </cell>
          <cell r="I700">
            <v>0.25</v>
          </cell>
          <cell r="J700" t="str">
            <v>H11</v>
          </cell>
          <cell r="K700" t="str">
            <v>NVT</v>
          </cell>
          <cell r="L700">
            <v>10</v>
          </cell>
          <cell r="M700" t="str">
            <v>H11x10</v>
          </cell>
          <cell r="N700">
            <v>105</v>
          </cell>
          <cell r="O700">
            <v>4068261057221</v>
          </cell>
          <cell r="P700" t="str">
            <v>I-2T</v>
          </cell>
          <cell r="Q700">
            <v>1</v>
          </cell>
          <cell r="R700">
            <v>2</v>
          </cell>
          <cell r="T700">
            <v>3500</v>
          </cell>
          <cell r="U700">
            <v>2</v>
          </cell>
          <cell r="V700">
            <v>3500</v>
          </cell>
          <cell r="W700">
            <v>3</v>
          </cell>
          <cell r="X700">
            <v>0</v>
          </cell>
          <cell r="Y700">
            <v>0</v>
          </cell>
          <cell r="Z700">
            <v>0.14900000000000002</v>
          </cell>
          <cell r="AA700" t="str">
            <v>! ! ! !</v>
          </cell>
          <cell r="AC700">
            <v>0</v>
          </cell>
          <cell r="AJ700" t="str">
            <v>-</v>
          </cell>
          <cell r="AL700">
            <v>0</v>
          </cell>
          <cell r="AM700">
            <v>3500</v>
          </cell>
          <cell r="AN700" t="e">
            <v>#VALUE!</v>
          </cell>
          <cell r="AO700" t="e">
            <v>#VALUE!</v>
          </cell>
          <cell r="AP700">
            <v>-3500</v>
          </cell>
        </row>
        <row r="701">
          <cell r="A701">
            <v>63110800</v>
          </cell>
          <cell r="B701">
            <v>40279000</v>
          </cell>
          <cell r="C701">
            <v>2377</v>
          </cell>
          <cell r="D701" t="str">
            <v>ALDI BE SCAMPI ASC DIABOLIQUE 250G (MIXED)</v>
          </cell>
          <cell r="E701" t="str">
            <v>Aldi BE</v>
          </cell>
          <cell r="F701" t="str">
            <v>355MM</v>
          </cell>
          <cell r="G701" t="str">
            <v>C2187-1F</v>
          </cell>
          <cell r="H701">
            <v>548</v>
          </cell>
          <cell r="I701">
            <v>0.25</v>
          </cell>
          <cell r="J701" t="str">
            <v>H11</v>
          </cell>
          <cell r="K701" t="str">
            <v>NVT</v>
          </cell>
          <cell r="L701">
            <v>10</v>
          </cell>
          <cell r="M701" t="str">
            <v>H11x10</v>
          </cell>
          <cell r="N701">
            <v>105</v>
          </cell>
          <cell r="O701">
            <v>4068261057221</v>
          </cell>
          <cell r="P701" t="str">
            <v>I-2T</v>
          </cell>
          <cell r="Q701">
            <v>1</v>
          </cell>
          <cell r="R701">
            <v>2</v>
          </cell>
          <cell r="T701">
            <v>3500</v>
          </cell>
          <cell r="U701">
            <v>2</v>
          </cell>
          <cell r="V701">
            <v>3500</v>
          </cell>
          <cell r="W701">
            <v>3</v>
          </cell>
          <cell r="X701">
            <v>0</v>
          </cell>
          <cell r="Y701">
            <v>0</v>
          </cell>
          <cell r="Z701">
            <v>0.14900000000000002</v>
          </cell>
          <cell r="AA701" t="str">
            <v>! ! ! !</v>
          </cell>
          <cell r="AC701">
            <v>0</v>
          </cell>
          <cell r="AJ701" t="str">
            <v>V-A</v>
          </cell>
          <cell r="AL701">
            <v>0</v>
          </cell>
          <cell r="AM701">
            <v>3500</v>
          </cell>
          <cell r="AN701" t="e">
            <v>#VALUE!</v>
          </cell>
          <cell r="AO701" t="e">
            <v>#VALUE!</v>
          </cell>
          <cell r="AP701">
            <v>-3500</v>
          </cell>
        </row>
        <row r="702">
          <cell r="A702">
            <v>63131400</v>
          </cell>
          <cell r="B702">
            <v>40293800</v>
          </cell>
          <cell r="C702">
            <v>2317</v>
          </cell>
          <cell r="D702" t="str">
            <v>EISM WITLOOF HAM KAAS 400G</v>
          </cell>
          <cell r="E702" t="str">
            <v>Eism NL + FR</v>
          </cell>
          <cell r="F702" t="str">
            <v>40336500 COVIPEEL 32 370MM</v>
          </cell>
          <cell r="G702" t="str">
            <v>C2187-1F evolve</v>
          </cell>
          <cell r="H702">
            <v>365</v>
          </cell>
          <cell r="I702">
            <v>0.4</v>
          </cell>
          <cell r="J702" t="str">
            <v>H11</v>
          </cell>
          <cell r="K702" t="str">
            <v>NVT</v>
          </cell>
          <cell r="L702">
            <v>10</v>
          </cell>
          <cell r="M702" t="str">
            <v>H11X10</v>
          </cell>
          <cell r="N702">
            <v>104</v>
          </cell>
          <cell r="O702">
            <v>5410953313143</v>
          </cell>
          <cell r="P702" t="str">
            <v>2T-K</v>
          </cell>
          <cell r="Q702">
            <v>1</v>
          </cell>
          <cell r="R702">
            <v>4</v>
          </cell>
          <cell r="S702" t="str">
            <v>2000 sneedjes hesp/werkuur</v>
          </cell>
          <cell r="T702">
            <v>2400</v>
          </cell>
          <cell r="U702">
            <v>11</v>
          </cell>
          <cell r="V702">
            <v>2400</v>
          </cell>
          <cell r="W702">
            <v>11</v>
          </cell>
          <cell r="X702" t="str">
            <v>X</v>
          </cell>
          <cell r="Y702">
            <v>0</v>
          </cell>
          <cell r="Z702">
            <v>6.2E-2</v>
          </cell>
          <cell r="AA702" t="str">
            <v>! !</v>
          </cell>
          <cell r="AB702">
            <v>3000</v>
          </cell>
          <cell r="AC702">
            <v>0.16036363636363637</v>
          </cell>
          <cell r="AE702" t="str">
            <v>x</v>
          </cell>
          <cell r="AG702">
            <v>50</v>
          </cell>
          <cell r="AJ702" t="str">
            <v>V-A</v>
          </cell>
          <cell r="AL702">
            <v>3000</v>
          </cell>
          <cell r="AM702">
            <v>2400</v>
          </cell>
          <cell r="AN702" t="e">
            <v>#VALUE!</v>
          </cell>
          <cell r="AO702" t="e">
            <v>#VALUE!</v>
          </cell>
          <cell r="AP702">
            <v>600</v>
          </cell>
        </row>
        <row r="703">
          <cell r="A703">
            <v>63131800</v>
          </cell>
          <cell r="B703">
            <v>40209700</v>
          </cell>
          <cell r="C703">
            <v>7400</v>
          </cell>
          <cell r="D703" t="str">
            <v>EISM FR LASAGNE TONIJN 430G</v>
          </cell>
          <cell r="E703" t="str">
            <v>Eism FR</v>
          </cell>
          <cell r="F703" t="str">
            <v>40336500 COVIPEEL 32 370MM</v>
          </cell>
          <cell r="G703" t="str">
            <v>C2187-1F evolve</v>
          </cell>
          <cell r="H703">
            <v>365</v>
          </cell>
          <cell r="I703">
            <v>0.43</v>
          </cell>
          <cell r="J703" t="str">
            <v>H11</v>
          </cell>
          <cell r="K703" t="str">
            <v>NVT</v>
          </cell>
          <cell r="L703">
            <v>10</v>
          </cell>
          <cell r="M703" t="str">
            <v>H11X10</v>
          </cell>
          <cell r="N703">
            <v>104</v>
          </cell>
          <cell r="O703" t="str">
            <v>5410953313181</v>
          </cell>
          <cell r="P703" t="str">
            <v>5T-K</v>
          </cell>
          <cell r="Q703">
            <v>2</v>
          </cell>
          <cell r="R703">
            <v>4</v>
          </cell>
          <cell r="S703" t="str">
            <v xml:space="preserve">COVIPEEL-ipeelcoi </v>
          </cell>
          <cell r="T703">
            <v>2500</v>
          </cell>
          <cell r="U703">
            <v>5</v>
          </cell>
          <cell r="V703">
            <v>2500</v>
          </cell>
          <cell r="W703">
            <v>5</v>
          </cell>
          <cell r="X703" t="str">
            <v>X</v>
          </cell>
          <cell r="Y703">
            <v>0</v>
          </cell>
          <cell r="Z703">
            <v>0.03</v>
          </cell>
          <cell r="AA703" t="str">
            <v>! ! ! !</v>
          </cell>
          <cell r="AB703">
            <v>3000</v>
          </cell>
          <cell r="AC703">
            <v>0</v>
          </cell>
          <cell r="AG703">
            <v>50</v>
          </cell>
          <cell r="AJ703" t="str">
            <v>V-A</v>
          </cell>
          <cell r="AL703">
            <v>3000</v>
          </cell>
          <cell r="AM703">
            <v>2500</v>
          </cell>
          <cell r="AN703" t="e">
            <v>#VALUE!</v>
          </cell>
          <cell r="AO703" t="e">
            <v>#VALUE!</v>
          </cell>
          <cell r="AP703">
            <v>500</v>
          </cell>
        </row>
        <row r="704">
          <cell r="A704">
            <v>63131900</v>
          </cell>
          <cell r="B704">
            <v>40209800</v>
          </cell>
          <cell r="C704">
            <v>19157</v>
          </cell>
          <cell r="D704" t="str">
            <v>EISM FR LASAGNE GEITENKAAS SPINAZIE 400G</v>
          </cell>
          <cell r="E704" t="str">
            <v>Eism FR</v>
          </cell>
          <cell r="F704" t="str">
            <v>40336500 COVIPEEL 32 370MM</v>
          </cell>
          <cell r="G704" t="str">
            <v>C2187-1F evolve</v>
          </cell>
          <cell r="H704">
            <v>456</v>
          </cell>
          <cell r="I704">
            <v>0.4</v>
          </cell>
          <cell r="J704" t="str">
            <v>H11</v>
          </cell>
          <cell r="K704" t="str">
            <v>NVT</v>
          </cell>
          <cell r="L704">
            <v>10</v>
          </cell>
          <cell r="M704" t="str">
            <v>H11X10</v>
          </cell>
          <cell r="N704">
            <v>104</v>
          </cell>
          <cell r="O704" t="str">
            <v>5410953313198</v>
          </cell>
          <cell r="P704" t="str">
            <v>5T-K</v>
          </cell>
          <cell r="Q704">
            <v>2.5</v>
          </cell>
          <cell r="R704">
            <v>4</v>
          </cell>
          <cell r="S704" t="str">
            <v>geitenkaas snijden met treiff</v>
          </cell>
          <cell r="T704">
            <v>2500</v>
          </cell>
          <cell r="U704">
            <v>8</v>
          </cell>
          <cell r="V704">
            <v>2500</v>
          </cell>
          <cell r="W704">
            <v>8</v>
          </cell>
          <cell r="X704" t="str">
            <v>X</v>
          </cell>
          <cell r="Y704">
            <v>0</v>
          </cell>
          <cell r="Z704">
            <v>0.03</v>
          </cell>
          <cell r="AA704" t="str">
            <v>! !</v>
          </cell>
          <cell r="AB704">
            <v>3000</v>
          </cell>
          <cell r="AC704">
            <v>0</v>
          </cell>
          <cell r="AG704">
            <v>50</v>
          </cell>
          <cell r="AJ704" t="str">
            <v>-</v>
          </cell>
          <cell r="AL704">
            <v>3000</v>
          </cell>
          <cell r="AM704">
            <v>2500</v>
          </cell>
          <cell r="AN704" t="e">
            <v>#VALUE!</v>
          </cell>
          <cell r="AO704" t="e">
            <v>#VALUE!</v>
          </cell>
          <cell r="AP704">
            <v>500</v>
          </cell>
        </row>
        <row r="705">
          <cell r="A705">
            <v>63141200</v>
          </cell>
          <cell r="B705">
            <v>40232800</v>
          </cell>
          <cell r="C705">
            <v>3029</v>
          </cell>
          <cell r="D705" t="str">
            <v>COLR VISPANNETJE FIJNE GROENTEN 300G</v>
          </cell>
          <cell r="E705" t="str">
            <v>Colruyt</v>
          </cell>
          <cell r="F705" t="str">
            <v>40336500 COVIPEEL 32 370MM</v>
          </cell>
          <cell r="G705" t="str">
            <v>C2187-1F evolve</v>
          </cell>
          <cell r="H705">
            <v>456</v>
          </cell>
          <cell r="I705">
            <v>0.3</v>
          </cell>
          <cell r="J705" t="str">
            <v>H11</v>
          </cell>
          <cell r="K705" t="str">
            <v>NVT</v>
          </cell>
          <cell r="L705">
            <v>10</v>
          </cell>
          <cell r="M705" t="str">
            <v>H11X10</v>
          </cell>
          <cell r="N705">
            <v>91</v>
          </cell>
          <cell r="O705">
            <v>15400141632818</v>
          </cell>
          <cell r="P705" t="str">
            <v>I-2T</v>
          </cell>
          <cell r="Q705">
            <v>2</v>
          </cell>
          <cell r="R705">
            <v>4</v>
          </cell>
          <cell r="T705">
            <v>3200</v>
          </cell>
          <cell r="U705">
            <v>6</v>
          </cell>
          <cell r="V705">
            <v>3200</v>
          </cell>
          <cell r="W705">
            <v>6</v>
          </cell>
          <cell r="X705" t="str">
            <v>X</v>
          </cell>
          <cell r="Y705">
            <v>0</v>
          </cell>
          <cell r="Z705">
            <v>5.8999999999999997E-2</v>
          </cell>
          <cell r="AA705" t="str">
            <v>! ! ! !</v>
          </cell>
          <cell r="AB705">
            <v>11712</v>
          </cell>
          <cell r="AC705">
            <v>0</v>
          </cell>
          <cell r="AG705">
            <v>64</v>
          </cell>
          <cell r="AJ705" t="str">
            <v>V-A</v>
          </cell>
          <cell r="AL705">
            <v>3840</v>
          </cell>
          <cell r="AM705">
            <v>3200</v>
          </cell>
          <cell r="AN705" t="e">
            <v>#VALUE!</v>
          </cell>
          <cell r="AO705" t="e">
            <v>#VALUE!</v>
          </cell>
          <cell r="AP705">
            <v>640</v>
          </cell>
        </row>
        <row r="706">
          <cell r="A706">
            <v>63141300</v>
          </cell>
          <cell r="B706">
            <v>40232900</v>
          </cell>
          <cell r="C706">
            <v>3034</v>
          </cell>
          <cell r="D706" t="str">
            <v>COLR VISPANNETJE ZACHTE CURRYSAUS 300G</v>
          </cell>
          <cell r="E706" t="str">
            <v>Colruyt</v>
          </cell>
          <cell r="F706" t="str">
            <v>40336500 COVIPEEL 32 370MM</v>
          </cell>
          <cell r="G706" t="str">
            <v>C2187-1F evolve</v>
          </cell>
          <cell r="H706">
            <v>456</v>
          </cell>
          <cell r="I706">
            <v>0.3</v>
          </cell>
          <cell r="J706" t="str">
            <v>H11</v>
          </cell>
          <cell r="K706" t="str">
            <v>NVT</v>
          </cell>
          <cell r="L706">
            <v>10</v>
          </cell>
          <cell r="M706" t="str">
            <v>H11X10</v>
          </cell>
          <cell r="N706">
            <v>104</v>
          </cell>
          <cell r="O706">
            <v>15400141851011</v>
          </cell>
          <cell r="P706" t="str">
            <v>2T</v>
          </cell>
          <cell r="Q706">
            <v>2</v>
          </cell>
          <cell r="R706">
            <v>4</v>
          </cell>
          <cell r="T706">
            <v>3200</v>
          </cell>
          <cell r="U706">
            <v>6</v>
          </cell>
          <cell r="V706">
            <v>3200</v>
          </cell>
          <cell r="W706">
            <v>6</v>
          </cell>
          <cell r="X706" t="str">
            <v>X</v>
          </cell>
          <cell r="Y706">
            <v>0</v>
          </cell>
          <cell r="Z706">
            <v>5.8999999999999997E-2</v>
          </cell>
          <cell r="AA706" t="str">
            <v>! ! ! !</v>
          </cell>
          <cell r="AB706">
            <v>4000</v>
          </cell>
          <cell r="AC706">
            <v>0</v>
          </cell>
          <cell r="AG706">
            <v>64</v>
          </cell>
          <cell r="AJ706" t="str">
            <v>-</v>
          </cell>
          <cell r="AL706">
            <v>3840</v>
          </cell>
          <cell r="AM706">
            <v>3200</v>
          </cell>
          <cell r="AN706" t="e">
            <v>#VALUE!</v>
          </cell>
          <cell r="AO706" t="e">
            <v>#VALUE!</v>
          </cell>
          <cell r="AP706">
            <v>640</v>
          </cell>
        </row>
        <row r="707">
          <cell r="A707">
            <v>63141600</v>
          </cell>
          <cell r="B707">
            <v>40283400</v>
          </cell>
          <cell r="C707">
            <v>3029</v>
          </cell>
          <cell r="D707" t="str">
            <v>COLR VISPANNETJE FIJNE GROENTEN 300G</v>
          </cell>
          <cell r="E707" t="str">
            <v>Colruyt</v>
          </cell>
          <cell r="F707" t="str">
            <v>40337500 COVIPEEL 32 355mm</v>
          </cell>
          <cell r="G707" t="str">
            <v>C2187-1F evolve</v>
          </cell>
          <cell r="H707">
            <v>456</v>
          </cell>
          <cell r="I707">
            <v>0.3</v>
          </cell>
          <cell r="J707" t="str">
            <v>H11</v>
          </cell>
          <cell r="K707" t="str">
            <v>NVT</v>
          </cell>
          <cell r="L707">
            <v>10</v>
          </cell>
          <cell r="M707" t="str">
            <v>H11X10</v>
          </cell>
          <cell r="N707">
            <v>105</v>
          </cell>
          <cell r="O707">
            <v>15400141562030</v>
          </cell>
          <cell r="P707" t="str">
            <v>I-2T</v>
          </cell>
          <cell r="Q707">
            <v>2</v>
          </cell>
          <cell r="R707">
            <v>2</v>
          </cell>
          <cell r="T707">
            <v>3200</v>
          </cell>
          <cell r="U707">
            <v>6</v>
          </cell>
          <cell r="V707">
            <v>3200</v>
          </cell>
          <cell r="W707">
            <v>6</v>
          </cell>
          <cell r="X707" t="str">
            <v>X</v>
          </cell>
          <cell r="Y707">
            <v>0</v>
          </cell>
          <cell r="Z707">
            <v>5.8999999999999997E-2</v>
          </cell>
          <cell r="AA707" t="str">
            <v>! ! ! !</v>
          </cell>
          <cell r="AB707">
            <v>11712</v>
          </cell>
          <cell r="AC707">
            <v>0</v>
          </cell>
          <cell r="AG707">
            <v>64</v>
          </cell>
          <cell r="AJ707" t="str">
            <v>V-A</v>
          </cell>
          <cell r="AL707">
            <v>3840</v>
          </cell>
          <cell r="AM707">
            <v>3200</v>
          </cell>
          <cell r="AN707" t="e">
            <v>#VALUE!</v>
          </cell>
          <cell r="AO707" t="e">
            <v>#VALUE!</v>
          </cell>
          <cell r="AP707">
            <v>640</v>
          </cell>
        </row>
        <row r="708">
          <cell r="A708">
            <v>63152200</v>
          </cell>
          <cell r="B708">
            <v>40202000</v>
          </cell>
          <cell r="C708">
            <v>7400325</v>
          </cell>
          <cell r="D708" t="str">
            <v>LIDL BE SCAMPI ASC LOOK 275G</v>
          </cell>
          <cell r="E708" t="str">
            <v>Lidl BE</v>
          </cell>
          <cell r="F708" t="str">
            <v>40336500 COVIPEEL 32 370MM</v>
          </cell>
          <cell r="G708" t="str">
            <v>C2187-1F evolve</v>
          </cell>
          <cell r="H708">
            <v>487</v>
          </cell>
          <cell r="I708">
            <v>0.27500000000000002</v>
          </cell>
          <cell r="J708" t="str">
            <v>H11</v>
          </cell>
          <cell r="K708" t="str">
            <v>NVT</v>
          </cell>
          <cell r="L708">
            <v>10</v>
          </cell>
          <cell r="M708" t="str">
            <v>H11X10</v>
          </cell>
          <cell r="N708">
            <v>105</v>
          </cell>
          <cell r="O708">
            <v>5410953315222</v>
          </cell>
          <cell r="P708" t="str">
            <v>I</v>
          </cell>
          <cell r="Q708">
            <v>0</v>
          </cell>
          <cell r="R708">
            <v>4</v>
          </cell>
          <cell r="S708" t="str">
            <v>idem 63153100, 63153300 en 63153500</v>
          </cell>
          <cell r="T708">
            <v>3500</v>
          </cell>
          <cell r="U708">
            <v>6</v>
          </cell>
          <cell r="V708">
            <v>3500</v>
          </cell>
          <cell r="W708">
            <v>6</v>
          </cell>
          <cell r="X708" t="str">
            <v>X</v>
          </cell>
          <cell r="Y708">
            <v>0</v>
          </cell>
          <cell r="Z708">
            <v>0.06</v>
          </cell>
          <cell r="AA708" t="str">
            <v>! ! ! !</v>
          </cell>
          <cell r="AB708">
            <v>26810</v>
          </cell>
          <cell r="AC708">
            <v>0</v>
          </cell>
          <cell r="AG708">
            <v>68</v>
          </cell>
          <cell r="AJ708" t="str">
            <v>-</v>
          </cell>
          <cell r="AL708">
            <v>4080</v>
          </cell>
          <cell r="AM708">
            <v>3500</v>
          </cell>
          <cell r="AN708" t="e">
            <v>#VALUE!</v>
          </cell>
          <cell r="AO708" t="e">
            <v>#VALUE!</v>
          </cell>
          <cell r="AP708">
            <v>580</v>
          </cell>
        </row>
        <row r="709">
          <cell r="A709">
            <v>63152300</v>
          </cell>
          <cell r="B709">
            <v>40202100</v>
          </cell>
          <cell r="C709">
            <v>7400324</v>
          </cell>
          <cell r="D709" t="str">
            <v>LIDL BE SCAMPI ASC DIABOLIQUE 250G</v>
          </cell>
          <cell r="E709" t="str">
            <v>Lidl BE</v>
          </cell>
          <cell r="F709" t="str">
            <v>40336500 COVIPEEL 32 370MM</v>
          </cell>
          <cell r="G709" t="str">
            <v>C2187-1F evolve</v>
          </cell>
          <cell r="H709">
            <v>487</v>
          </cell>
          <cell r="I709">
            <v>0.25</v>
          </cell>
          <cell r="J709" t="str">
            <v>H11</v>
          </cell>
          <cell r="K709" t="str">
            <v>NVT</v>
          </cell>
          <cell r="L709">
            <v>10</v>
          </cell>
          <cell r="M709" t="str">
            <v>H11X10</v>
          </cell>
          <cell r="N709">
            <v>105</v>
          </cell>
          <cell r="O709">
            <v>5410953315239</v>
          </cell>
          <cell r="P709" t="str">
            <v>I-2T</v>
          </cell>
          <cell r="Q709">
            <v>1</v>
          </cell>
          <cell r="R709">
            <v>4</v>
          </cell>
          <cell r="S709" t="str">
            <v>idem 63154100 en 63154200</v>
          </cell>
          <cell r="T709">
            <v>3500</v>
          </cell>
          <cell r="U709">
            <v>2</v>
          </cell>
          <cell r="V709">
            <v>3500</v>
          </cell>
          <cell r="W709">
            <v>2</v>
          </cell>
          <cell r="X709" t="str">
            <v>X</v>
          </cell>
          <cell r="Y709">
            <v>0</v>
          </cell>
          <cell r="Z709">
            <v>0.06</v>
          </cell>
          <cell r="AA709" t="str">
            <v>! ! ! !</v>
          </cell>
          <cell r="AB709">
            <v>26810</v>
          </cell>
          <cell r="AC709">
            <v>0</v>
          </cell>
          <cell r="AG709">
            <v>68</v>
          </cell>
          <cell r="AJ709" t="str">
            <v>V-A</v>
          </cell>
          <cell r="AL709">
            <v>4080</v>
          </cell>
          <cell r="AM709">
            <v>3500</v>
          </cell>
          <cell r="AN709" t="e">
            <v>#VALUE!</v>
          </cell>
          <cell r="AO709" t="e">
            <v>#VALUE!</v>
          </cell>
          <cell r="AP709">
            <v>580</v>
          </cell>
        </row>
        <row r="710">
          <cell r="A710">
            <v>63152800</v>
          </cell>
          <cell r="B710">
            <v>40219900</v>
          </cell>
          <cell r="C710" t="str">
            <v>7402914/01</v>
          </cell>
          <cell r="D710" t="str">
            <v>LIDL BE SCAMPI ASC CURRY 250G (VOOR MIXED KARTON)</v>
          </cell>
          <cell r="E710" t="str">
            <v>Lidl BE</v>
          </cell>
          <cell r="F710" t="str">
            <v>40336500 COVIPEEL 32 370MM</v>
          </cell>
          <cell r="G710" t="str">
            <v>C2187-1F evolve</v>
          </cell>
          <cell r="H710">
            <v>487</v>
          </cell>
          <cell r="I710">
            <v>0.25</v>
          </cell>
          <cell r="J710" t="str">
            <v>H11</v>
          </cell>
          <cell r="K710" t="str">
            <v>NVT</v>
          </cell>
          <cell r="L710">
            <v>10</v>
          </cell>
          <cell r="M710" t="str">
            <v>H11X10</v>
          </cell>
          <cell r="N710">
            <v>90</v>
          </cell>
          <cell r="O710">
            <v>5400870315283</v>
          </cell>
          <cell r="P710" t="str">
            <v>I-2T</v>
          </cell>
          <cell r="Q710">
            <v>1</v>
          </cell>
          <cell r="R710">
            <v>5</v>
          </cell>
          <cell r="S710" t="str">
            <v>mix, idem 63153900</v>
          </cell>
          <cell r="T710">
            <v>3000</v>
          </cell>
          <cell r="U710">
            <v>2</v>
          </cell>
          <cell r="V710">
            <v>3000</v>
          </cell>
          <cell r="W710">
            <v>2</v>
          </cell>
          <cell r="X710" t="str">
            <v>X</v>
          </cell>
          <cell r="Y710">
            <v>0</v>
          </cell>
          <cell r="Z710">
            <v>0.06</v>
          </cell>
          <cell r="AA710" t="str">
            <v>! ! ! !</v>
          </cell>
          <cell r="AC710">
            <v>0</v>
          </cell>
          <cell r="AG710">
            <v>58</v>
          </cell>
          <cell r="AJ710" t="str">
            <v>V-A</v>
          </cell>
          <cell r="AL710">
            <v>3480</v>
          </cell>
          <cell r="AM710">
            <v>3000</v>
          </cell>
          <cell r="AN710" t="e">
            <v>#VALUE!</v>
          </cell>
          <cell r="AO710" t="e">
            <v>#VALUE!</v>
          </cell>
          <cell r="AP710">
            <v>480</v>
          </cell>
        </row>
        <row r="711">
          <cell r="A711">
            <v>63152900</v>
          </cell>
          <cell r="B711">
            <v>40220000</v>
          </cell>
          <cell r="C711" t="str">
            <v>7402914/02</v>
          </cell>
          <cell r="D711" t="str">
            <v>LIDL BE SCAMPI ASC PASTIS 250G (VOOR MIXED KARTON)</v>
          </cell>
          <cell r="E711" t="str">
            <v>Lidl BE</v>
          </cell>
          <cell r="F711" t="str">
            <v>40336500 COVIPEEL 32 370MM</v>
          </cell>
          <cell r="G711" t="str">
            <v>C2187-1F evolve</v>
          </cell>
          <cell r="H711">
            <v>487</v>
          </cell>
          <cell r="I711">
            <v>0.25</v>
          </cell>
          <cell r="J711" t="str">
            <v>H11</v>
          </cell>
          <cell r="K711" t="str">
            <v>NVT</v>
          </cell>
          <cell r="L711">
            <v>10</v>
          </cell>
          <cell r="M711" t="str">
            <v>H11X10</v>
          </cell>
          <cell r="N711">
            <v>90</v>
          </cell>
          <cell r="O711">
            <v>5400870315290</v>
          </cell>
          <cell r="P711" t="str">
            <v>I-2T</v>
          </cell>
          <cell r="Q711">
            <v>1</v>
          </cell>
          <cell r="R711">
            <v>3</v>
          </cell>
          <cell r="S711" t="str">
            <v>idem 63154000</v>
          </cell>
          <cell r="T711">
            <v>3500</v>
          </cell>
          <cell r="U711">
            <v>2</v>
          </cell>
          <cell r="V711">
            <v>3500</v>
          </cell>
          <cell r="W711">
            <v>2</v>
          </cell>
          <cell r="X711" t="str">
            <v>X</v>
          </cell>
          <cell r="Y711">
            <v>0</v>
          </cell>
          <cell r="Z711">
            <v>0.06</v>
          </cell>
          <cell r="AA711" t="str">
            <v>! ! ! !</v>
          </cell>
          <cell r="AC711">
            <v>0</v>
          </cell>
          <cell r="AJ711" t="str">
            <v>V-A</v>
          </cell>
          <cell r="AL711">
            <v>0</v>
          </cell>
          <cell r="AM711">
            <v>3500</v>
          </cell>
          <cell r="AN711" t="e">
            <v>#VALUE!</v>
          </cell>
          <cell r="AO711" t="e">
            <v>#VALUE!</v>
          </cell>
          <cell r="AP711">
            <v>-3500</v>
          </cell>
        </row>
        <row r="712">
          <cell r="A712">
            <v>63153000</v>
          </cell>
          <cell r="B712">
            <v>40205400</v>
          </cell>
          <cell r="C712">
            <v>7402029</v>
          </cell>
          <cell r="D712" t="str">
            <v>LIDL BE MACARONI HAM KAAS 450G</v>
          </cell>
          <cell r="E712" t="str">
            <v>Lidl BE</v>
          </cell>
          <cell r="F712" t="str">
            <v>40336500 COVIPEEL 32 370MM</v>
          </cell>
          <cell r="G712" t="str">
            <v>C2187-1F evolve</v>
          </cell>
          <cell r="H712">
            <v>365</v>
          </cell>
          <cell r="I712">
            <v>0.45</v>
          </cell>
          <cell r="J712" t="str">
            <v>H11</v>
          </cell>
          <cell r="K712" t="str">
            <v>NVT</v>
          </cell>
          <cell r="L712">
            <v>10</v>
          </cell>
          <cell r="M712" t="str">
            <v>H11X10</v>
          </cell>
          <cell r="N712">
            <v>104</v>
          </cell>
          <cell r="O712">
            <v>5410953315307</v>
          </cell>
          <cell r="P712" t="str">
            <v>L-2T-K</v>
          </cell>
          <cell r="Q712">
            <v>2.5</v>
          </cell>
          <cell r="R712">
            <v>4</v>
          </cell>
          <cell r="S712" t="str">
            <v>HAM snijden</v>
          </cell>
          <cell r="T712">
            <v>3500</v>
          </cell>
          <cell r="U712">
            <v>2</v>
          </cell>
          <cell r="V712">
            <v>3500</v>
          </cell>
          <cell r="W712">
            <v>2</v>
          </cell>
          <cell r="X712" t="str">
            <v>X</v>
          </cell>
          <cell r="Y712" t="str">
            <v>X</v>
          </cell>
          <cell r="Z712">
            <v>0.06</v>
          </cell>
          <cell r="AA712" t="str">
            <v>! !</v>
          </cell>
          <cell r="AB712">
            <v>26810</v>
          </cell>
          <cell r="AC712">
            <v>0</v>
          </cell>
          <cell r="AG712">
            <v>68</v>
          </cell>
          <cell r="AJ712" t="str">
            <v>V-A</v>
          </cell>
          <cell r="AL712">
            <v>4080</v>
          </cell>
          <cell r="AM712">
            <v>3500</v>
          </cell>
          <cell r="AN712" t="e">
            <v>#VALUE!</v>
          </cell>
          <cell r="AO712" t="e">
            <v>#VALUE!</v>
          </cell>
          <cell r="AP712">
            <v>580</v>
          </cell>
        </row>
        <row r="713">
          <cell r="A713">
            <v>63154100</v>
          </cell>
          <cell r="B713">
            <v>40236900</v>
          </cell>
          <cell r="C713">
            <v>7400324</v>
          </cell>
          <cell r="D713" t="str">
            <v>LIDL HR RS SCAMPI ASC DIABOLIQUE 250G</v>
          </cell>
          <cell r="E713" t="str">
            <v>Lidl INT</v>
          </cell>
          <cell r="F713" t="str">
            <v>40336500 COVIPEEL 32 370MM</v>
          </cell>
          <cell r="G713" t="str">
            <v>C2187-1F evolve</v>
          </cell>
          <cell r="H713">
            <v>487</v>
          </cell>
          <cell r="I713">
            <v>0.25</v>
          </cell>
          <cell r="J713" t="str">
            <v>H11</v>
          </cell>
          <cell r="K713" t="str">
            <v>NVT</v>
          </cell>
          <cell r="L713">
            <v>10</v>
          </cell>
          <cell r="M713" t="str">
            <v>H11X10</v>
          </cell>
          <cell r="N713">
            <v>104</v>
          </cell>
          <cell r="O713">
            <v>5400870315412</v>
          </cell>
          <cell r="P713" t="str">
            <v>I-2T</v>
          </cell>
          <cell r="Q713">
            <v>1</v>
          </cell>
          <cell r="R713">
            <v>4</v>
          </cell>
          <cell r="S713" t="str">
            <v>idem 63152300 en 63154200</v>
          </cell>
          <cell r="T713">
            <v>3700</v>
          </cell>
          <cell r="U713">
            <v>3</v>
          </cell>
          <cell r="V713">
            <v>3700</v>
          </cell>
          <cell r="W713">
            <v>3</v>
          </cell>
          <cell r="X713" t="str">
            <v>X</v>
          </cell>
          <cell r="Y713" t="str">
            <v>X</v>
          </cell>
          <cell r="Z713">
            <v>0.17</v>
          </cell>
          <cell r="AA713" t="str">
            <v>! ! ! !</v>
          </cell>
          <cell r="AC713">
            <v>0</v>
          </cell>
          <cell r="AJ713" t="str">
            <v>V-A</v>
          </cell>
          <cell r="AL713">
            <v>0</v>
          </cell>
          <cell r="AM713">
            <v>3700</v>
          </cell>
          <cell r="AN713" t="e">
            <v>#VALUE!</v>
          </cell>
          <cell r="AO713" t="e">
            <v>#VALUE!</v>
          </cell>
          <cell r="AP713">
            <v>-3700</v>
          </cell>
        </row>
        <row r="714">
          <cell r="A714">
            <v>63154200</v>
          </cell>
          <cell r="B714">
            <v>40237000</v>
          </cell>
          <cell r="C714">
            <v>7400324</v>
          </cell>
          <cell r="D714" t="str">
            <v>LIDL FI IE NI SCAMPI ASC DIABOLIQUE 250G</v>
          </cell>
          <cell r="E714" t="str">
            <v>Lidl INT</v>
          </cell>
          <cell r="F714" t="str">
            <v>40336500 COVIPEEL 32 370MM</v>
          </cell>
          <cell r="G714" t="str">
            <v>C2187-1F evolve</v>
          </cell>
          <cell r="H714">
            <v>487</v>
          </cell>
          <cell r="I714">
            <v>0.25</v>
          </cell>
          <cell r="J714" t="str">
            <v>H11</v>
          </cell>
          <cell r="K714" t="str">
            <v>NVT</v>
          </cell>
          <cell r="L714">
            <v>10</v>
          </cell>
          <cell r="M714" t="str">
            <v>H11X10</v>
          </cell>
          <cell r="N714">
            <v>104</v>
          </cell>
          <cell r="O714">
            <v>5400870315429</v>
          </cell>
          <cell r="P714" t="str">
            <v>I-2T</v>
          </cell>
          <cell r="Q714">
            <v>1</v>
          </cell>
          <cell r="R714">
            <v>4</v>
          </cell>
          <cell r="S714" t="str">
            <v>idem 63152300 en 63154100</v>
          </cell>
          <cell r="T714">
            <v>3700</v>
          </cell>
          <cell r="U714">
            <v>3</v>
          </cell>
          <cell r="V714">
            <v>3700</v>
          </cell>
          <cell r="W714">
            <v>3</v>
          </cell>
          <cell r="X714" t="str">
            <v>X</v>
          </cell>
          <cell r="Y714" t="str">
            <v>X</v>
          </cell>
          <cell r="Z714">
            <v>0.13</v>
          </cell>
          <cell r="AA714" t="str">
            <v>! ! ! !</v>
          </cell>
          <cell r="AC714">
            <v>0</v>
          </cell>
          <cell r="AJ714" t="str">
            <v>V-A</v>
          </cell>
          <cell r="AL714">
            <v>0</v>
          </cell>
          <cell r="AM714">
            <v>3700</v>
          </cell>
          <cell r="AN714" t="e">
            <v>#VALUE!</v>
          </cell>
          <cell r="AO714" t="e">
            <v>#VALUE!</v>
          </cell>
          <cell r="AP714">
            <v>-3700</v>
          </cell>
        </row>
        <row r="715">
          <cell r="A715">
            <v>63154300</v>
          </cell>
          <cell r="B715">
            <v>40241200</v>
          </cell>
          <cell r="C715">
            <v>7402912</v>
          </cell>
          <cell r="D715" t="str">
            <v>LIDL AT HR BG SCAMPI ASC CURRY 250G</v>
          </cell>
          <cell r="E715" t="str">
            <v>Lidl INT</v>
          </cell>
          <cell r="F715" t="str">
            <v>40336500 COVIPEEL 32 370MM</v>
          </cell>
          <cell r="G715" t="str">
            <v>C2187-1F evolve</v>
          </cell>
          <cell r="H715">
            <v>487</v>
          </cell>
          <cell r="I715">
            <v>0.25</v>
          </cell>
          <cell r="J715" t="str">
            <v>H11</v>
          </cell>
          <cell r="K715" t="str">
            <v>NVT</v>
          </cell>
          <cell r="L715">
            <v>10</v>
          </cell>
          <cell r="M715" t="str">
            <v>H11X10</v>
          </cell>
          <cell r="N715">
            <v>78</v>
          </cell>
          <cell r="O715">
            <v>5400870315436</v>
          </cell>
          <cell r="P715" t="str">
            <v>I-2T</v>
          </cell>
          <cell r="Q715">
            <v>1</v>
          </cell>
          <cell r="R715">
            <v>3</v>
          </cell>
          <cell r="T715">
            <v>3500</v>
          </cell>
          <cell r="U715">
            <v>2</v>
          </cell>
          <cell r="V715">
            <v>3500</v>
          </cell>
          <cell r="W715">
            <v>2</v>
          </cell>
          <cell r="X715" t="str">
            <v>X</v>
          </cell>
          <cell r="Y715" t="str">
            <v>X</v>
          </cell>
          <cell r="Z715">
            <v>0.123</v>
          </cell>
          <cell r="AA715" t="str">
            <v>! ! ! !</v>
          </cell>
          <cell r="AC715">
            <v>0</v>
          </cell>
          <cell r="AG715">
            <v>68</v>
          </cell>
          <cell r="AJ715" t="str">
            <v>V-A</v>
          </cell>
          <cell r="AL715">
            <v>4080</v>
          </cell>
          <cell r="AM715">
            <v>3500</v>
          </cell>
          <cell r="AN715" t="e">
            <v>#VALUE!</v>
          </cell>
          <cell r="AO715" t="e">
            <v>#VALUE!</v>
          </cell>
          <cell r="AP715">
            <v>580</v>
          </cell>
        </row>
        <row r="716">
          <cell r="A716">
            <v>63154400</v>
          </cell>
          <cell r="B716">
            <v>40241300</v>
          </cell>
          <cell r="C716">
            <v>7402913</v>
          </cell>
          <cell r="D716" t="str">
            <v>LIDL AT HR BG SCAMPI ASC PASTIS 250G</v>
          </cell>
          <cell r="E716" t="str">
            <v>Lidl INT</v>
          </cell>
          <cell r="F716" t="str">
            <v>40336500 COVIPEEL 32 370MM</v>
          </cell>
          <cell r="G716" t="str">
            <v>C2187-1F evolve</v>
          </cell>
          <cell r="H716">
            <v>487</v>
          </cell>
          <cell r="I716">
            <v>0.25</v>
          </cell>
          <cell r="J716" t="str">
            <v>H11</v>
          </cell>
          <cell r="K716" t="str">
            <v>NVT</v>
          </cell>
          <cell r="L716">
            <v>10</v>
          </cell>
          <cell r="M716" t="str">
            <v>H11X10</v>
          </cell>
          <cell r="N716">
            <v>78</v>
          </cell>
          <cell r="O716">
            <v>5400870315443</v>
          </cell>
          <cell r="P716" t="str">
            <v>I-2T</v>
          </cell>
          <cell r="Q716">
            <v>1</v>
          </cell>
          <cell r="R716">
            <v>5</v>
          </cell>
          <cell r="S716" t="str">
            <v>mix</v>
          </cell>
          <cell r="T716">
            <v>3000</v>
          </cell>
          <cell r="U716">
            <v>2</v>
          </cell>
          <cell r="V716">
            <v>3000</v>
          </cell>
          <cell r="W716">
            <v>2</v>
          </cell>
          <cell r="X716" t="str">
            <v>X</v>
          </cell>
          <cell r="Y716" t="str">
            <v>X</v>
          </cell>
          <cell r="Z716">
            <v>0.123</v>
          </cell>
          <cell r="AA716" t="str">
            <v>! ! ! !</v>
          </cell>
          <cell r="AC716">
            <v>0</v>
          </cell>
          <cell r="AG716">
            <v>60</v>
          </cell>
          <cell r="AJ716" t="str">
            <v>V-A</v>
          </cell>
          <cell r="AL716">
            <v>3600</v>
          </cell>
          <cell r="AM716">
            <v>3000</v>
          </cell>
          <cell r="AN716" t="e">
            <v>#VALUE!</v>
          </cell>
          <cell r="AO716" t="e">
            <v>#VALUE!</v>
          </cell>
          <cell r="AP716">
            <v>600</v>
          </cell>
        </row>
        <row r="717">
          <cell r="A717">
            <v>63154500</v>
          </cell>
          <cell r="B717">
            <v>40241400</v>
          </cell>
          <cell r="C717">
            <v>7400324</v>
          </cell>
          <cell r="D717" t="str">
            <v>LIDL RS IE NI FI SCAMPI ASC DIABOLIQUE 250G</v>
          </cell>
          <cell r="E717" t="str">
            <v>Lidl INT</v>
          </cell>
          <cell r="F717" t="str">
            <v>40336500 COVIPEEL 32 370MM</v>
          </cell>
          <cell r="G717" t="str">
            <v>C2187-1F evolve</v>
          </cell>
          <cell r="H717">
            <v>487</v>
          </cell>
          <cell r="I717">
            <v>0.25</v>
          </cell>
          <cell r="J717" t="str">
            <v>H11</v>
          </cell>
          <cell r="K717" t="str">
            <v>NVT</v>
          </cell>
          <cell r="L717">
            <v>10</v>
          </cell>
          <cell r="M717" t="str">
            <v>H11X10</v>
          </cell>
          <cell r="N717">
            <v>104</v>
          </cell>
          <cell r="O717">
            <v>5400870315450</v>
          </cell>
          <cell r="P717" t="str">
            <v>I-2T</v>
          </cell>
          <cell r="Q717">
            <v>1</v>
          </cell>
          <cell r="R717">
            <v>4</v>
          </cell>
          <cell r="S717" t="str">
            <v>idem 63152300, RS pallet met stempel gebruiken</v>
          </cell>
          <cell r="T717">
            <v>3500</v>
          </cell>
          <cell r="U717">
            <v>2</v>
          </cell>
          <cell r="V717">
            <v>3500</v>
          </cell>
          <cell r="W717">
            <v>2</v>
          </cell>
          <cell r="X717" t="str">
            <v>X</v>
          </cell>
          <cell r="Y717" t="str">
            <v>X</v>
          </cell>
          <cell r="Z717">
            <v>0.123</v>
          </cell>
          <cell r="AA717" t="str">
            <v>! ! ! !</v>
          </cell>
          <cell r="AC717">
            <v>0</v>
          </cell>
          <cell r="AG717">
            <v>68</v>
          </cell>
          <cell r="AJ717" t="str">
            <v>V-A</v>
          </cell>
          <cell r="AL717">
            <v>4080</v>
          </cell>
          <cell r="AM717">
            <v>3500</v>
          </cell>
          <cell r="AN717" t="e">
            <v>#VALUE!</v>
          </cell>
          <cell r="AO717" t="e">
            <v>#VALUE!</v>
          </cell>
          <cell r="AP717">
            <v>580</v>
          </cell>
        </row>
        <row r="718">
          <cell r="A718">
            <v>63154600</v>
          </cell>
          <cell r="B718">
            <v>40241500</v>
          </cell>
          <cell r="C718">
            <v>7400324</v>
          </cell>
          <cell r="D718" t="str">
            <v>LIDL DK NL SCAMPI ASC DIABOLIQUE 250G</v>
          </cell>
          <cell r="E718" t="str">
            <v>Lidl INT</v>
          </cell>
          <cell r="F718" t="str">
            <v>40336500 COVIPEEL 32 370MM</v>
          </cell>
          <cell r="G718" t="str">
            <v>C2187-1F evolve</v>
          </cell>
          <cell r="H718">
            <v>487</v>
          </cell>
          <cell r="I718">
            <v>0.25</v>
          </cell>
          <cell r="J718" t="str">
            <v>H11</v>
          </cell>
          <cell r="K718" t="str">
            <v>NVT</v>
          </cell>
          <cell r="L718">
            <v>10</v>
          </cell>
          <cell r="M718" t="str">
            <v>H11X10</v>
          </cell>
          <cell r="N718">
            <v>105</v>
          </cell>
          <cell r="O718">
            <v>5400870315467</v>
          </cell>
          <cell r="P718" t="str">
            <v>I-2T</v>
          </cell>
          <cell r="Q718">
            <v>1</v>
          </cell>
          <cell r="R718">
            <v>4</v>
          </cell>
          <cell r="S718" t="str">
            <v>idem 63152300</v>
          </cell>
          <cell r="T718">
            <v>3500</v>
          </cell>
          <cell r="U718">
            <v>2</v>
          </cell>
          <cell r="V718">
            <v>3500</v>
          </cell>
          <cell r="W718">
            <v>2</v>
          </cell>
          <cell r="X718" t="str">
            <v>X</v>
          </cell>
          <cell r="Y718" t="str">
            <v>X</v>
          </cell>
          <cell r="Z718">
            <v>0.16800000000000001</v>
          </cell>
          <cell r="AA718" t="str">
            <v>! ! ! !</v>
          </cell>
          <cell r="AC718">
            <v>0</v>
          </cell>
          <cell r="AG718">
            <v>68</v>
          </cell>
          <cell r="AJ718" t="str">
            <v>V-A</v>
          </cell>
          <cell r="AL718">
            <v>4080</v>
          </cell>
          <cell r="AM718">
            <v>3500</v>
          </cell>
          <cell r="AN718" t="e">
            <v>#VALUE!</v>
          </cell>
          <cell r="AO718" t="e">
            <v>#VALUE!</v>
          </cell>
          <cell r="AP718">
            <v>580</v>
          </cell>
        </row>
        <row r="719">
          <cell r="A719">
            <v>63154700</v>
          </cell>
          <cell r="B719">
            <v>40262000</v>
          </cell>
          <cell r="C719">
            <v>7400324</v>
          </cell>
          <cell r="D719" t="str">
            <v>LIDL FI LT LV SCAMPI ASC DIABOLIQUE 250G</v>
          </cell>
          <cell r="E719" t="str">
            <v>Lidl INT</v>
          </cell>
          <cell r="F719" t="str">
            <v>40336500 COVIPEEL 32 370MM</v>
          </cell>
          <cell r="G719" t="str">
            <v>C2187-1F evolve</v>
          </cell>
          <cell r="H719">
            <v>487</v>
          </cell>
          <cell r="I719">
            <v>0.25</v>
          </cell>
          <cell r="J719" t="str">
            <v>H11</v>
          </cell>
          <cell r="K719" t="str">
            <v>NVT</v>
          </cell>
          <cell r="L719">
            <v>10</v>
          </cell>
          <cell r="M719" t="str">
            <v>H11X10</v>
          </cell>
          <cell r="N719">
            <v>105</v>
          </cell>
          <cell r="O719">
            <v>5400870315474</v>
          </cell>
          <cell r="P719" t="str">
            <v>I-2T</v>
          </cell>
          <cell r="Q719">
            <v>1</v>
          </cell>
          <cell r="R719">
            <v>4</v>
          </cell>
          <cell r="S719" t="str">
            <v>idem 63152300</v>
          </cell>
          <cell r="T719">
            <v>3500</v>
          </cell>
          <cell r="U719">
            <v>2</v>
          </cell>
          <cell r="V719">
            <v>3500</v>
          </cell>
          <cell r="W719">
            <v>2</v>
          </cell>
          <cell r="X719" t="str">
            <v>X</v>
          </cell>
          <cell r="Y719" t="str">
            <v>X</v>
          </cell>
          <cell r="Z719">
            <v>0.27700000000000002</v>
          </cell>
          <cell r="AA719" t="str">
            <v>! ! ! !</v>
          </cell>
          <cell r="AC719">
            <v>0</v>
          </cell>
          <cell r="AG719">
            <v>68</v>
          </cell>
          <cell r="AJ719" t="str">
            <v>V-A</v>
          </cell>
          <cell r="AL719">
            <v>4080</v>
          </cell>
          <cell r="AM719">
            <v>3500</v>
          </cell>
          <cell r="AN719" t="e">
            <v>#VALUE!</v>
          </cell>
          <cell r="AO719" t="e">
            <v>#VALUE!</v>
          </cell>
          <cell r="AP719">
            <v>580</v>
          </cell>
        </row>
        <row r="720">
          <cell r="A720">
            <v>63154800</v>
          </cell>
          <cell r="B720">
            <v>40262700</v>
          </cell>
          <cell r="C720" t="str">
            <v>7402914/01</v>
          </cell>
          <cell r="D720" t="str">
            <v>LIDL BG GR SCAMPI ASC CURRY 250G (VOOR MIXED KARTON)</v>
          </cell>
          <cell r="E720" t="str">
            <v>Lidl INT</v>
          </cell>
          <cell r="F720" t="str">
            <v>40336500 COVIPEEL 32 370MM</v>
          </cell>
          <cell r="G720" t="str">
            <v>C2187-1F evolve</v>
          </cell>
          <cell r="H720">
            <v>487</v>
          </cell>
          <cell r="I720">
            <v>0.25</v>
          </cell>
          <cell r="J720" t="str">
            <v>H11</v>
          </cell>
          <cell r="K720" t="str">
            <v>NVT</v>
          </cell>
          <cell r="L720">
            <v>10</v>
          </cell>
          <cell r="M720" t="str">
            <v>H11X10</v>
          </cell>
          <cell r="N720">
            <v>90</v>
          </cell>
          <cell r="O720">
            <v>5400870315481</v>
          </cell>
          <cell r="P720" t="str">
            <v>I-2T</v>
          </cell>
          <cell r="Q720">
            <v>1</v>
          </cell>
          <cell r="R720">
            <v>4</v>
          </cell>
          <cell r="T720">
            <v>3000</v>
          </cell>
          <cell r="U720">
            <v>2</v>
          </cell>
          <cell r="V720">
            <v>3000</v>
          </cell>
          <cell r="W720">
            <v>2</v>
          </cell>
          <cell r="X720" t="str">
            <v>X</v>
          </cell>
          <cell r="Y720" t="str">
            <v>X</v>
          </cell>
          <cell r="Z720">
            <v>0.36799999999999999</v>
          </cell>
          <cell r="AA720" t="str">
            <v>! ! ! !</v>
          </cell>
          <cell r="AC720">
            <v>0</v>
          </cell>
          <cell r="AG720">
            <v>58</v>
          </cell>
          <cell r="AJ720" t="str">
            <v>V-A</v>
          </cell>
          <cell r="AL720">
            <v>3480</v>
          </cell>
          <cell r="AM720">
            <v>3000</v>
          </cell>
          <cell r="AN720" t="e">
            <v>#VALUE!</v>
          </cell>
          <cell r="AO720" t="e">
            <v>#VALUE!</v>
          </cell>
          <cell r="AP720">
            <v>480</v>
          </cell>
        </row>
        <row r="721">
          <cell r="A721">
            <v>63154900</v>
          </cell>
          <cell r="B721">
            <v>40262800</v>
          </cell>
          <cell r="C721" t="str">
            <v>7402914/02</v>
          </cell>
          <cell r="D721" t="str">
            <v>LIDL BG GR SCAMPI ASC PASTIS 250G (VOOR MIXED KARTON)</v>
          </cell>
          <cell r="E721" t="str">
            <v>Lidl INT</v>
          </cell>
          <cell r="F721" t="str">
            <v>40336500 COVIPEEL 32 370MM</v>
          </cell>
          <cell r="G721" t="str">
            <v>C2187-1F evolve</v>
          </cell>
          <cell r="H721">
            <v>487</v>
          </cell>
          <cell r="I721">
            <v>0.25</v>
          </cell>
          <cell r="J721" t="str">
            <v>H11</v>
          </cell>
          <cell r="K721" t="str">
            <v>NVT</v>
          </cell>
          <cell r="L721">
            <v>10</v>
          </cell>
          <cell r="M721" t="str">
            <v>H11X10</v>
          </cell>
          <cell r="N721">
            <v>90</v>
          </cell>
          <cell r="O721">
            <v>5400870315498</v>
          </cell>
          <cell r="P721" t="str">
            <v>I-2T</v>
          </cell>
          <cell r="Q721">
            <v>1</v>
          </cell>
          <cell r="R721">
            <v>5</v>
          </cell>
          <cell r="T721">
            <v>3000</v>
          </cell>
          <cell r="U721">
            <v>2</v>
          </cell>
          <cell r="V721">
            <v>3500</v>
          </cell>
          <cell r="W721">
            <v>2</v>
          </cell>
          <cell r="X721" t="str">
            <v>X</v>
          </cell>
          <cell r="Y721" t="str">
            <v>X</v>
          </cell>
          <cell r="Z721">
            <v>0.36799999999999999</v>
          </cell>
          <cell r="AA721" t="str">
            <v>! ! ! !</v>
          </cell>
          <cell r="AC721">
            <v>0</v>
          </cell>
          <cell r="AJ721" t="str">
            <v>V-A</v>
          </cell>
          <cell r="AL721">
            <v>0</v>
          </cell>
          <cell r="AM721">
            <v>3000</v>
          </cell>
          <cell r="AN721" t="e">
            <v>#VALUE!</v>
          </cell>
          <cell r="AO721" t="e">
            <v>#VALUE!</v>
          </cell>
          <cell r="AP721">
            <v>-3000</v>
          </cell>
        </row>
        <row r="722">
          <cell r="A722">
            <v>63160700</v>
          </cell>
          <cell r="B722">
            <v>40211800</v>
          </cell>
          <cell r="D722" t="str">
            <v>ALVO MACARONI KAAS HAM 450G</v>
          </cell>
          <cell r="E722" t="str">
            <v>Alvo</v>
          </cell>
          <cell r="F722" t="str">
            <v>40337500 COVIPEEL 32 355mm</v>
          </cell>
          <cell r="G722" t="str">
            <v>C2187-1F evolve</v>
          </cell>
          <cell r="H722">
            <v>548</v>
          </cell>
          <cell r="I722">
            <v>0.45</v>
          </cell>
          <cell r="J722" t="str">
            <v>H11</v>
          </cell>
          <cell r="K722" t="str">
            <v>NVT</v>
          </cell>
          <cell r="L722">
            <v>10</v>
          </cell>
          <cell r="M722" t="str">
            <v>H11X10</v>
          </cell>
          <cell r="N722">
            <v>105</v>
          </cell>
          <cell r="O722">
            <v>5411952071096</v>
          </cell>
          <cell r="P722" t="str">
            <v>M-2T</v>
          </cell>
          <cell r="Q722">
            <v>2.5</v>
          </cell>
          <cell r="R722">
            <v>4</v>
          </cell>
          <cell r="T722">
            <v>3500</v>
          </cell>
          <cell r="U722">
            <v>4</v>
          </cell>
          <cell r="V722">
            <v>3500</v>
          </cell>
          <cell r="W722">
            <v>4</v>
          </cell>
          <cell r="X722" t="str">
            <v>X</v>
          </cell>
          <cell r="Y722">
            <v>0</v>
          </cell>
          <cell r="Z722">
            <v>6.7299999999999999E-2</v>
          </cell>
          <cell r="AA722" t="str">
            <v>! !</v>
          </cell>
          <cell r="AB722">
            <v>1500</v>
          </cell>
          <cell r="AC722">
            <v>0</v>
          </cell>
          <cell r="AG722">
            <v>68</v>
          </cell>
          <cell r="AJ722" t="str">
            <v>V-A</v>
          </cell>
          <cell r="AL722">
            <v>4080</v>
          </cell>
          <cell r="AM722">
            <v>3500</v>
          </cell>
          <cell r="AN722" t="e">
            <v>#VALUE!</v>
          </cell>
          <cell r="AO722" t="e">
            <v>#VALUE!</v>
          </cell>
          <cell r="AP722">
            <v>580</v>
          </cell>
        </row>
        <row r="723">
          <cell r="A723">
            <v>63170900</v>
          </cell>
          <cell r="B723">
            <v>40235800</v>
          </cell>
          <cell r="C723" t="str">
            <v>106640768 </v>
          </cell>
          <cell r="D723" t="str">
            <v>CARREFOUR SCAMPI ASC DIABOLIQUE 250G</v>
          </cell>
          <cell r="E723" t="str">
            <v>Carrefour</v>
          </cell>
          <cell r="F723" t="str">
            <v>40337500 COVIPEEL 32 355mm</v>
          </cell>
          <cell r="G723" t="str">
            <v>C2187-1F evolve</v>
          </cell>
          <cell r="H723">
            <v>456</v>
          </cell>
          <cell r="I723">
            <v>0.25</v>
          </cell>
          <cell r="J723" t="str">
            <v>H11</v>
          </cell>
          <cell r="K723" t="str">
            <v>NVT</v>
          </cell>
          <cell r="L723">
            <v>10</v>
          </cell>
          <cell r="M723" t="str">
            <v>H11X10</v>
          </cell>
          <cell r="N723">
            <v>105</v>
          </cell>
          <cell r="O723">
            <v>5400102108928</v>
          </cell>
          <cell r="P723" t="str">
            <v>I-2T</v>
          </cell>
          <cell r="Q723">
            <v>1</v>
          </cell>
          <cell r="R723">
            <v>4</v>
          </cell>
          <cell r="T723">
            <v>3500</v>
          </cell>
          <cell r="U723">
            <v>3</v>
          </cell>
          <cell r="V723">
            <v>3500</v>
          </cell>
          <cell r="W723">
            <v>3</v>
          </cell>
          <cell r="X723">
            <v>0</v>
          </cell>
          <cell r="Y723">
            <v>0</v>
          </cell>
          <cell r="Z723">
            <v>8.6999999999999994E-2</v>
          </cell>
          <cell r="AA723" t="str">
            <v>! ! ! !</v>
          </cell>
          <cell r="AB723">
            <v>8000</v>
          </cell>
          <cell r="AC723">
            <v>0</v>
          </cell>
          <cell r="AJ723" t="str">
            <v>V-A</v>
          </cell>
          <cell r="AL723">
            <v>0</v>
          </cell>
          <cell r="AM723">
            <v>3500</v>
          </cell>
          <cell r="AN723" t="e">
            <v>#VALUE!</v>
          </cell>
          <cell r="AO723" t="e">
            <v>#VALUE!</v>
          </cell>
          <cell r="AP723">
            <v>-3500</v>
          </cell>
        </row>
        <row r="724">
          <cell r="A724">
            <v>63171000</v>
          </cell>
          <cell r="B724">
            <v>40235900</v>
          </cell>
          <cell r="C724" t="str">
            <v>106640716 </v>
          </cell>
          <cell r="D724" t="str">
            <v>CARREFOUR SCAMPI ASC LOOKSAUS 250G</v>
          </cell>
          <cell r="E724" t="str">
            <v>Carrefour</v>
          </cell>
          <cell r="F724" t="str">
            <v>40337500 COVIPEEL 32 355mm</v>
          </cell>
          <cell r="G724" t="str">
            <v>C2187-1F evolve</v>
          </cell>
          <cell r="H724">
            <v>456</v>
          </cell>
          <cell r="I724">
            <v>0.25</v>
          </cell>
          <cell r="J724" t="str">
            <v>H11</v>
          </cell>
          <cell r="K724" t="str">
            <v>NVT</v>
          </cell>
          <cell r="L724">
            <v>10</v>
          </cell>
          <cell r="M724" t="str">
            <v>H11X10</v>
          </cell>
          <cell r="N724">
            <v>105</v>
          </cell>
          <cell r="O724">
            <v>5400102108911</v>
          </cell>
          <cell r="P724" t="str">
            <v>I-2T</v>
          </cell>
          <cell r="Q724">
            <v>1</v>
          </cell>
          <cell r="R724">
            <v>4</v>
          </cell>
          <cell r="T724">
            <v>3500</v>
          </cell>
          <cell r="U724">
            <v>3</v>
          </cell>
          <cell r="V724">
            <v>3500</v>
          </cell>
          <cell r="W724">
            <v>3</v>
          </cell>
          <cell r="X724">
            <v>0</v>
          </cell>
          <cell r="Y724">
            <v>0</v>
          </cell>
          <cell r="Z724">
            <v>8.6999999999999994E-2</v>
          </cell>
          <cell r="AA724" t="str">
            <v>! ! ! !</v>
          </cell>
          <cell r="AB724">
            <v>8000</v>
          </cell>
          <cell r="AC724">
            <v>0</v>
          </cell>
          <cell r="AJ724" t="str">
            <v>-</v>
          </cell>
          <cell r="AL724">
            <v>0</v>
          </cell>
          <cell r="AM724">
            <v>3500</v>
          </cell>
          <cell r="AN724" t="e">
            <v>#VALUE!</v>
          </cell>
          <cell r="AO724" t="e">
            <v>#VALUE!</v>
          </cell>
          <cell r="AP724">
            <v>-3500</v>
          </cell>
        </row>
        <row r="725">
          <cell r="A725">
            <v>63180100</v>
          </cell>
          <cell r="B725">
            <v>40230600</v>
          </cell>
          <cell r="C725">
            <v>9902643</v>
          </cell>
          <cell r="D725" t="str">
            <v>BOF KIPPENRAGOUT VOOR VIDEES 500G</v>
          </cell>
          <cell r="E725" t="str">
            <v>Bofrost BE</v>
          </cell>
          <cell r="F725" t="str">
            <v>40336500 COVIPEEL 32 370MM</v>
          </cell>
          <cell r="G725" t="str">
            <v>C2187-1F evolve</v>
          </cell>
          <cell r="H725">
            <v>456</v>
          </cell>
          <cell r="I725">
            <v>0.5</v>
          </cell>
          <cell r="J725" t="str">
            <v>H11</v>
          </cell>
          <cell r="K725" t="str">
            <v>NVT</v>
          </cell>
          <cell r="L725">
            <v>10</v>
          </cell>
          <cell r="M725" t="str">
            <v>H11X10</v>
          </cell>
          <cell r="N725">
            <v>104</v>
          </cell>
          <cell r="O725" t="str">
            <v>5410953318018</v>
          </cell>
          <cell r="P725" t="str">
            <v>2T</v>
          </cell>
          <cell r="Q725">
            <v>2.5</v>
          </cell>
          <cell r="R725">
            <v>4</v>
          </cell>
          <cell r="S725" t="str">
            <v>COVIPEEL-ipeelcoio</v>
          </cell>
          <cell r="T725">
            <v>3500</v>
          </cell>
          <cell r="U725">
            <v>2</v>
          </cell>
          <cell r="V725">
            <v>3500</v>
          </cell>
          <cell r="W725">
            <v>2</v>
          </cell>
          <cell r="X725" t="str">
            <v>X</v>
          </cell>
          <cell r="Y725">
            <v>0</v>
          </cell>
          <cell r="Z725">
            <v>0</v>
          </cell>
          <cell r="AA725" t="str">
            <v>! ! !</v>
          </cell>
          <cell r="AB725">
            <v>7500</v>
          </cell>
          <cell r="AC725">
            <v>0</v>
          </cell>
          <cell r="AE725" t="str">
            <v>x</v>
          </cell>
          <cell r="AG725">
            <v>68</v>
          </cell>
          <cell r="AJ725" t="str">
            <v>-</v>
          </cell>
          <cell r="AL725">
            <v>4080</v>
          </cell>
          <cell r="AM725">
            <v>3500</v>
          </cell>
          <cell r="AN725" t="e">
            <v>#VALUE!</v>
          </cell>
          <cell r="AO725" t="e">
            <v>#VALUE!</v>
          </cell>
          <cell r="AP725">
            <v>580</v>
          </cell>
        </row>
        <row r="726">
          <cell r="A726">
            <v>63180200</v>
          </cell>
          <cell r="B726">
            <v>40230700</v>
          </cell>
          <cell r="C726">
            <v>9902645</v>
          </cell>
          <cell r="D726" t="str">
            <v>BOF RUNDSTOOFVLEES IN BIERSAUS 500G</v>
          </cell>
          <cell r="E726" t="str">
            <v>Bofrost BE</v>
          </cell>
          <cell r="F726" t="str">
            <v>40336500 COVIPEEL 32 370MM</v>
          </cell>
          <cell r="G726" t="str">
            <v>C2187-1F evolve</v>
          </cell>
          <cell r="H726">
            <v>548</v>
          </cell>
          <cell r="I726">
            <v>0.5</v>
          </cell>
          <cell r="J726" t="str">
            <v>H11</v>
          </cell>
          <cell r="K726" t="str">
            <v>NVT</v>
          </cell>
          <cell r="L726">
            <v>10</v>
          </cell>
          <cell r="M726" t="str">
            <v>H11X10</v>
          </cell>
          <cell r="N726">
            <v>104</v>
          </cell>
          <cell r="O726" t="str">
            <v>5410953318025</v>
          </cell>
          <cell r="P726" t="str">
            <v>I-2T</v>
          </cell>
          <cell r="Q726">
            <v>1</v>
          </cell>
          <cell r="R726">
            <v>4</v>
          </cell>
          <cell r="S726" t="str">
            <v>COVIPEEL-ipeelcoio</v>
          </cell>
          <cell r="T726">
            <v>3500</v>
          </cell>
          <cell r="U726">
            <v>2</v>
          </cell>
          <cell r="V726">
            <v>3500</v>
          </cell>
          <cell r="W726">
            <v>2</v>
          </cell>
          <cell r="X726" t="str">
            <v>X</v>
          </cell>
          <cell r="Y726">
            <v>0</v>
          </cell>
          <cell r="Z726">
            <v>6.2E-2</v>
          </cell>
          <cell r="AA726" t="str">
            <v>! ! !</v>
          </cell>
          <cell r="AB726">
            <v>7500</v>
          </cell>
          <cell r="AC726">
            <v>0</v>
          </cell>
          <cell r="AE726" t="str">
            <v>x</v>
          </cell>
          <cell r="AG726">
            <v>68</v>
          </cell>
          <cell r="AJ726" t="str">
            <v>V-A</v>
          </cell>
          <cell r="AL726">
            <v>4080</v>
          </cell>
          <cell r="AM726">
            <v>3500</v>
          </cell>
          <cell r="AN726" t="e">
            <v>#VALUE!</v>
          </cell>
          <cell r="AO726" t="e">
            <v>#VALUE!</v>
          </cell>
          <cell r="AP726">
            <v>580</v>
          </cell>
        </row>
        <row r="727">
          <cell r="A727">
            <v>63180600</v>
          </cell>
          <cell r="B727">
            <v>40211900</v>
          </cell>
          <cell r="C727">
            <v>9902782</v>
          </cell>
          <cell r="D727" t="str">
            <v>BOF LASAGNE WITLOOF HAM KAAS 450G</v>
          </cell>
          <cell r="E727" t="str">
            <v>Bofrost BE</v>
          </cell>
          <cell r="F727" t="str">
            <v>40336500 COVIPEEL 32 370MM</v>
          </cell>
          <cell r="G727" t="str">
            <v>C2187-1F evolve</v>
          </cell>
          <cell r="H727">
            <v>365</v>
          </cell>
          <cell r="I727">
            <v>0.45</v>
          </cell>
          <cell r="J727" t="str">
            <v>H11</v>
          </cell>
          <cell r="K727" t="str">
            <v>NVT</v>
          </cell>
          <cell r="L727">
            <v>10</v>
          </cell>
          <cell r="M727" t="str">
            <v>H11X10</v>
          </cell>
          <cell r="N727">
            <v>104</v>
          </cell>
          <cell r="O727">
            <v>5410953318063</v>
          </cell>
          <cell r="P727" t="str">
            <v>5T-K</v>
          </cell>
          <cell r="Q727">
            <v>2</v>
          </cell>
          <cell r="R727">
            <v>4</v>
          </cell>
          <cell r="S727" t="str">
            <v>HAM SNIJDEN</v>
          </cell>
          <cell r="T727">
            <v>2500</v>
          </cell>
          <cell r="U727">
            <v>6</v>
          </cell>
          <cell r="V727">
            <v>2500</v>
          </cell>
          <cell r="W727">
            <v>6</v>
          </cell>
          <cell r="X727" t="str">
            <v>X</v>
          </cell>
          <cell r="Y727">
            <v>0</v>
          </cell>
          <cell r="Z727">
            <v>6.2E-2</v>
          </cell>
          <cell r="AA727" t="str">
            <v>! !</v>
          </cell>
          <cell r="AB727">
            <v>5000</v>
          </cell>
          <cell r="AC727">
            <v>0</v>
          </cell>
          <cell r="AG727">
            <v>50</v>
          </cell>
          <cell r="AJ727" t="str">
            <v>V-A</v>
          </cell>
          <cell r="AL727">
            <v>3000</v>
          </cell>
          <cell r="AM727">
            <v>2500</v>
          </cell>
          <cell r="AN727" t="e">
            <v>#VALUE!</v>
          </cell>
          <cell r="AO727" t="e">
            <v>#VALUE!</v>
          </cell>
          <cell r="AP727">
            <v>500</v>
          </cell>
        </row>
        <row r="728">
          <cell r="A728">
            <v>63181400</v>
          </cell>
          <cell r="B728">
            <v>40204300</v>
          </cell>
          <cell r="C728">
            <v>9802846</v>
          </cell>
          <cell r="D728" t="str">
            <v>BOF MACARONI HAM KAAS 450G</v>
          </cell>
          <cell r="E728" t="str">
            <v>Bofrost BE</v>
          </cell>
          <cell r="F728" t="str">
            <v>40336500 COVIPEEL 32 370MM</v>
          </cell>
          <cell r="G728" t="str">
            <v>C2187-1F evolve</v>
          </cell>
          <cell r="H728">
            <v>365</v>
          </cell>
          <cell r="I728">
            <v>0.45</v>
          </cell>
          <cell r="J728" t="str">
            <v>H11</v>
          </cell>
          <cell r="K728" t="str">
            <v>NVT</v>
          </cell>
          <cell r="L728">
            <v>10</v>
          </cell>
          <cell r="M728" t="str">
            <v>H11X10</v>
          </cell>
          <cell r="N728">
            <v>104</v>
          </cell>
          <cell r="O728">
            <v>5410953318148</v>
          </cell>
          <cell r="P728" t="str">
            <v>L-2T-K</v>
          </cell>
          <cell r="Q728">
            <v>2.5</v>
          </cell>
          <cell r="R728">
            <v>4</v>
          </cell>
          <cell r="S728" t="str">
            <v>HAM SNIJDEN MET TREIFF</v>
          </cell>
          <cell r="T728">
            <v>3500</v>
          </cell>
          <cell r="U728">
            <v>7</v>
          </cell>
          <cell r="V728">
            <v>3500</v>
          </cell>
          <cell r="W728">
            <v>7</v>
          </cell>
          <cell r="X728" t="str">
            <v>X</v>
          </cell>
          <cell r="Y728">
            <v>0</v>
          </cell>
          <cell r="Z728">
            <v>0</v>
          </cell>
          <cell r="AA728" t="str">
            <v>! !</v>
          </cell>
          <cell r="AB728">
            <v>12810</v>
          </cell>
          <cell r="AC728">
            <v>0</v>
          </cell>
          <cell r="AG728">
            <v>68</v>
          </cell>
          <cell r="AJ728" t="str">
            <v>V-A</v>
          </cell>
          <cell r="AL728">
            <v>4080</v>
          </cell>
          <cell r="AM728">
            <v>3500</v>
          </cell>
          <cell r="AN728" t="e">
            <v>#VALUE!</v>
          </cell>
          <cell r="AO728" t="e">
            <v>#VALUE!</v>
          </cell>
          <cell r="AP728">
            <v>580</v>
          </cell>
        </row>
        <row r="729">
          <cell r="A729">
            <v>63183600</v>
          </cell>
          <cell r="B729">
            <v>40231800</v>
          </cell>
          <cell r="C729">
            <v>9912012</v>
          </cell>
          <cell r="D729" t="str">
            <v>BOF RUNDSTONG MADEIRASAUS 400G</v>
          </cell>
          <cell r="E729" t="str">
            <v>Bofrost BE</v>
          </cell>
          <cell r="F729" t="str">
            <v>40336500 COVIPEEL 32 370MM</v>
          </cell>
          <cell r="G729" t="str">
            <v>C2187-1F evolve</v>
          </cell>
          <cell r="H729">
            <v>548</v>
          </cell>
          <cell r="I729">
            <v>0.4</v>
          </cell>
          <cell r="J729" t="str">
            <v>H11</v>
          </cell>
          <cell r="K729" t="str">
            <v>NVT</v>
          </cell>
          <cell r="L729">
            <v>10</v>
          </cell>
          <cell r="M729" t="str">
            <v>H11X10</v>
          </cell>
          <cell r="N729">
            <v>104</v>
          </cell>
          <cell r="O729">
            <v>5400870318369</v>
          </cell>
          <cell r="P729" t="str">
            <v>2T</v>
          </cell>
          <cell r="Q729">
            <v>1</v>
          </cell>
          <cell r="R729">
            <v>4</v>
          </cell>
          <cell r="S729" t="str">
            <v>Rundtong: 800kg/8u/pers;voor snijden aanhechtingsstuk rundtong wegsnijden, check met Stephan</v>
          </cell>
          <cell r="T729">
            <v>3200</v>
          </cell>
          <cell r="U729">
            <v>12</v>
          </cell>
          <cell r="V729">
            <v>3200</v>
          </cell>
          <cell r="W729">
            <v>12</v>
          </cell>
          <cell r="X729">
            <v>0</v>
          </cell>
          <cell r="Y729">
            <v>0</v>
          </cell>
          <cell r="Z729">
            <v>0</v>
          </cell>
          <cell r="AA729" t="str">
            <v>! ! !</v>
          </cell>
          <cell r="AB729">
            <v>4000</v>
          </cell>
          <cell r="AC729">
            <v>0</v>
          </cell>
          <cell r="AG729">
            <v>60</v>
          </cell>
          <cell r="AJ729" t="str">
            <v>V-A</v>
          </cell>
          <cell r="AL729">
            <v>3600</v>
          </cell>
          <cell r="AM729">
            <v>3200</v>
          </cell>
          <cell r="AN729" t="e">
            <v>#VALUE!</v>
          </cell>
          <cell r="AO729" t="e">
            <v>#VALUE!</v>
          </cell>
          <cell r="AP729">
            <v>400</v>
          </cell>
        </row>
        <row r="730">
          <cell r="A730">
            <v>63230100</v>
          </cell>
          <cell r="B730">
            <v>40203800</v>
          </cell>
          <cell r="C730">
            <v>3002333</v>
          </cell>
          <cell r="D730" t="str">
            <v>EISM KIPPENBOUT APPELMOES PUREE 530G</v>
          </cell>
          <cell r="E730" t="str">
            <v>Eism NL</v>
          </cell>
          <cell r="F730" t="str">
            <v>40336300 OLAF 30 290MM</v>
          </cell>
          <cell r="G730" t="str">
            <v>C2227-2K evolve</v>
          </cell>
          <cell r="H730">
            <v>456</v>
          </cell>
          <cell r="I730">
            <v>0.53</v>
          </cell>
          <cell r="J730" t="str">
            <v>H9 NEW</v>
          </cell>
          <cell r="K730" t="str">
            <v>NVT</v>
          </cell>
          <cell r="L730">
            <v>6</v>
          </cell>
          <cell r="M730" t="str">
            <v>H10X8</v>
          </cell>
          <cell r="N730" t="str">
            <v>81</v>
          </cell>
          <cell r="O730">
            <v>5410953313013</v>
          </cell>
          <cell r="P730" t="str">
            <v>2T-H</v>
          </cell>
          <cell r="Q730">
            <v>2.5</v>
          </cell>
          <cell r="R730">
            <v>4</v>
          </cell>
          <cell r="T730">
            <v>2000</v>
          </cell>
          <cell r="U730">
            <v>3</v>
          </cell>
          <cell r="V730">
            <v>2000</v>
          </cell>
          <cell r="W730">
            <v>3</v>
          </cell>
          <cell r="X730">
            <v>0</v>
          </cell>
          <cell r="Y730">
            <v>0</v>
          </cell>
          <cell r="Z730">
            <v>0.34</v>
          </cell>
          <cell r="AA730" t="str">
            <v>! ! !</v>
          </cell>
          <cell r="AB730">
            <v>1500</v>
          </cell>
          <cell r="AC730">
            <v>0.1</v>
          </cell>
          <cell r="AE730" t="str">
            <v>x</v>
          </cell>
          <cell r="AG730">
            <v>40</v>
          </cell>
          <cell r="AJ730" t="str">
            <v>-</v>
          </cell>
          <cell r="AL730">
            <v>2400</v>
          </cell>
          <cell r="AM730">
            <v>2000</v>
          </cell>
          <cell r="AN730" t="e">
            <v>#VALUE!</v>
          </cell>
          <cell r="AO730" t="e">
            <v>#VALUE!</v>
          </cell>
          <cell r="AP730">
            <v>400</v>
          </cell>
        </row>
        <row r="731">
          <cell r="A731">
            <v>63292100</v>
          </cell>
          <cell r="B731">
            <v>40204600</v>
          </cell>
          <cell r="C731">
            <v>6902387</v>
          </cell>
          <cell r="D731" t="str">
            <v>BOF JACHTSCHOTEL RODE KOOL PUREE 550G</v>
          </cell>
          <cell r="E731" t="str">
            <v>Bofrost BE</v>
          </cell>
          <cell r="F731" t="str">
            <v>40336300 OLAF 30 290MM</v>
          </cell>
          <cell r="G731" t="str">
            <v>C2227-3R evolve</v>
          </cell>
          <cell r="H731">
            <v>456</v>
          </cell>
          <cell r="I731">
            <v>0.55000000000000004</v>
          </cell>
          <cell r="J731" t="str">
            <v>H9 NEW</v>
          </cell>
          <cell r="K731" t="str">
            <v>NVT</v>
          </cell>
          <cell r="L731">
            <v>6</v>
          </cell>
          <cell r="M731" t="str">
            <v>H10X8</v>
          </cell>
          <cell r="N731" t="str">
            <v>81</v>
          </cell>
          <cell r="O731">
            <v>5410953329212</v>
          </cell>
          <cell r="P731" t="str">
            <v>2T-H</v>
          </cell>
          <cell r="Q731">
            <v>3</v>
          </cell>
          <cell r="R731">
            <v>4</v>
          </cell>
          <cell r="S731" t="str">
            <v>vlees koken (D-1)</v>
          </cell>
          <cell r="T731">
            <v>2000</v>
          </cell>
          <cell r="U731">
            <v>7</v>
          </cell>
          <cell r="V731">
            <v>2000</v>
          </cell>
          <cell r="W731">
            <v>7</v>
          </cell>
          <cell r="X731">
            <v>0</v>
          </cell>
          <cell r="Y731">
            <v>0</v>
          </cell>
          <cell r="Z731">
            <v>0.13</v>
          </cell>
          <cell r="AA731" t="str">
            <v>! ! !</v>
          </cell>
          <cell r="AB731">
            <v>7320</v>
          </cell>
          <cell r="AC731">
            <v>0</v>
          </cell>
          <cell r="AG731">
            <v>42</v>
          </cell>
          <cell r="AJ731" t="str">
            <v>V-A</v>
          </cell>
          <cell r="AL731">
            <v>2520</v>
          </cell>
          <cell r="AM731">
            <v>2000</v>
          </cell>
          <cell r="AN731" t="e">
            <v>#VALUE!</v>
          </cell>
          <cell r="AO731" t="e">
            <v>#VALUE!</v>
          </cell>
          <cell r="AP731">
            <v>520</v>
          </cell>
        </row>
        <row r="732">
          <cell r="A732">
            <v>63292300</v>
          </cell>
          <cell r="B732">
            <v>40265500</v>
          </cell>
          <cell r="C732">
            <v>9912214</v>
          </cell>
          <cell r="D732" t="str">
            <v>BOF BE TONGROLLETJES MSC SPINAZIESTAMPPOT 500G</v>
          </cell>
          <cell r="E732" t="str">
            <v>Bofrost BE</v>
          </cell>
          <cell r="F732" t="str">
            <v>40336300 OLAF 30 290MM</v>
          </cell>
          <cell r="G732" t="str">
            <v>C2227-2K evolve</v>
          </cell>
          <cell r="H732">
            <v>456</v>
          </cell>
          <cell r="I732">
            <v>0.5</v>
          </cell>
          <cell r="J732" t="str">
            <v>H9 NEW</v>
          </cell>
          <cell r="K732" t="str">
            <v>NVT</v>
          </cell>
          <cell r="L732">
            <v>6</v>
          </cell>
          <cell r="M732" t="str">
            <v>H10X8</v>
          </cell>
          <cell r="N732" t="str">
            <v>81</v>
          </cell>
          <cell r="O732">
            <v>5400870329235</v>
          </cell>
          <cell r="P732" t="str">
            <v>H-T</v>
          </cell>
          <cell r="Q732">
            <v>2</v>
          </cell>
          <cell r="R732">
            <v>2</v>
          </cell>
          <cell r="T732">
            <v>2200</v>
          </cell>
          <cell r="U732">
            <v>3</v>
          </cell>
          <cell r="V732">
            <v>2200</v>
          </cell>
          <cell r="W732">
            <v>3</v>
          </cell>
          <cell r="X732">
            <v>0</v>
          </cell>
          <cell r="Y732">
            <v>0</v>
          </cell>
          <cell r="Z732">
            <v>0</v>
          </cell>
          <cell r="AA732" t="str">
            <v>! ! ! !</v>
          </cell>
          <cell r="AB732">
            <v>3000</v>
          </cell>
          <cell r="AC732">
            <v>0</v>
          </cell>
          <cell r="AG732">
            <v>45</v>
          </cell>
          <cell r="AJ732" t="str">
            <v>V-A</v>
          </cell>
          <cell r="AL732">
            <v>2700</v>
          </cell>
          <cell r="AM732">
            <v>2200</v>
          </cell>
          <cell r="AN732" t="e">
            <v>#VALUE!</v>
          </cell>
          <cell r="AO732" t="e">
            <v>#VALUE!</v>
          </cell>
          <cell r="AP732">
            <v>500</v>
          </cell>
        </row>
        <row r="733">
          <cell r="A733">
            <v>63293200</v>
          </cell>
          <cell r="B733">
            <v>40273100</v>
          </cell>
          <cell r="C733">
            <v>9416900</v>
          </cell>
          <cell r="D733" t="str">
            <v>BOF FR VIS MET ZUURKOOL ASC MSC 700G</v>
          </cell>
          <cell r="E733" t="str">
            <v>Bofrost FR</v>
          </cell>
          <cell r="F733" t="str">
            <v>40336300 OLAF 30 290MM</v>
          </cell>
          <cell r="G733" t="str">
            <v>AR 1150-8</v>
          </cell>
          <cell r="H733">
            <v>365</v>
          </cell>
          <cell r="I733">
            <v>0.7</v>
          </cell>
          <cell r="J733" t="str">
            <v>H9 NEW</v>
          </cell>
          <cell r="K733" t="str">
            <v>NVT</v>
          </cell>
          <cell r="L733">
            <v>6</v>
          </cell>
          <cell r="M733" t="str">
            <v>H10X8</v>
          </cell>
          <cell r="N733" t="str">
            <v>81</v>
          </cell>
          <cell r="O733">
            <v>5400870329327</v>
          </cell>
          <cell r="P733" t="str">
            <v>I-4T</v>
          </cell>
          <cell r="Q733">
            <v>2</v>
          </cell>
          <cell r="R733">
            <v>4</v>
          </cell>
          <cell r="T733">
            <v>1750</v>
          </cell>
          <cell r="U733">
            <v>4</v>
          </cell>
          <cell r="V733">
            <v>1750</v>
          </cell>
          <cell r="W733">
            <v>4</v>
          </cell>
          <cell r="Z733">
            <v>0.04</v>
          </cell>
          <cell r="AA733" t="str">
            <v>! ! ! !</v>
          </cell>
          <cell r="AB733">
            <v>10000</v>
          </cell>
          <cell r="AC733">
            <v>0</v>
          </cell>
          <cell r="AJ733" t="str">
            <v>V-A</v>
          </cell>
          <cell r="AL733">
            <v>0</v>
          </cell>
          <cell r="AM733">
            <v>1750</v>
          </cell>
          <cell r="AN733" t="e">
            <v>#VALUE!</v>
          </cell>
          <cell r="AO733" t="e">
            <v>#VALUE!</v>
          </cell>
          <cell r="AP733">
            <v>-1750</v>
          </cell>
        </row>
        <row r="734">
          <cell r="A734">
            <v>63293400</v>
          </cell>
          <cell r="B734">
            <v>40278800</v>
          </cell>
          <cell r="C734">
            <v>3316951</v>
          </cell>
          <cell r="D734" t="str">
            <v>BOF FR RUNDSTOOFPOT PROVENCAAL PUREE 750G</v>
          </cell>
          <cell r="E734" t="str">
            <v>Bofrost FR</v>
          </cell>
          <cell r="F734" t="str">
            <v>290MM</v>
          </cell>
          <cell r="G734" t="str">
            <v>AR 1150-8</v>
          </cell>
          <cell r="H734">
            <v>548</v>
          </cell>
          <cell r="I734">
            <v>0.75</v>
          </cell>
          <cell r="J734" t="str">
            <v>H9 NEW</v>
          </cell>
          <cell r="K734" t="str">
            <v>NVT</v>
          </cell>
          <cell r="L734">
            <v>6</v>
          </cell>
          <cell r="M734" t="str">
            <v>H10X8</v>
          </cell>
          <cell r="N734" t="str">
            <v>81</v>
          </cell>
          <cell r="O734">
            <v>5400870329341</v>
          </cell>
          <cell r="P734" t="str">
            <v>H-T</v>
          </cell>
          <cell r="Q734">
            <v>2</v>
          </cell>
          <cell r="R734">
            <v>2</v>
          </cell>
          <cell r="S734" t="str">
            <v>Pulled Beef tussen D-4 en D-2</v>
          </cell>
          <cell r="T734">
            <v>1750</v>
          </cell>
          <cell r="U734">
            <v>2</v>
          </cell>
          <cell r="V734">
            <v>1750</v>
          </cell>
          <cell r="W734">
            <v>2</v>
          </cell>
          <cell r="X734">
            <v>0</v>
          </cell>
          <cell r="Y734">
            <v>0</v>
          </cell>
          <cell r="Z734">
            <v>4.2999999999999997E-2</v>
          </cell>
          <cell r="AA734" t="str">
            <v>! !</v>
          </cell>
          <cell r="AB734">
            <v>10000</v>
          </cell>
          <cell r="AC734">
            <v>0</v>
          </cell>
          <cell r="AG734">
            <v>35</v>
          </cell>
          <cell r="AJ734" t="str">
            <v>V-A</v>
          </cell>
          <cell r="AL734">
            <v>2100</v>
          </cell>
          <cell r="AM734">
            <v>1750</v>
          </cell>
          <cell r="AN734" t="e">
            <v>#VALUE!</v>
          </cell>
          <cell r="AO734" t="e">
            <v>#VALUE!</v>
          </cell>
          <cell r="AP734">
            <v>350</v>
          </cell>
        </row>
        <row r="735">
          <cell r="A735">
            <v>63295000</v>
          </cell>
          <cell r="B735">
            <v>40245200</v>
          </cell>
          <cell r="C735" t="str">
            <v>0010952</v>
          </cell>
          <cell r="D735" t="str">
            <v>BOF DE KIPFILET RODE WIJNSAUS BONEN ROSTI 450G</v>
          </cell>
          <cell r="E735" t="str">
            <v>Bofrost DE</v>
          </cell>
          <cell r="F735" t="str">
            <v>40336300 OLAF 30 290MM</v>
          </cell>
          <cell r="G735" t="str">
            <v>C2227-3R WIT</v>
          </cell>
          <cell r="H735">
            <v>456</v>
          </cell>
          <cell r="I735">
            <v>0.45</v>
          </cell>
          <cell r="J735" t="str">
            <v>H9 NEW</v>
          </cell>
          <cell r="K735" t="str">
            <v>NVT</v>
          </cell>
          <cell r="L735">
            <v>6</v>
          </cell>
          <cell r="M735" t="str">
            <v>H10X8</v>
          </cell>
          <cell r="N735" t="str">
            <v>81</v>
          </cell>
          <cell r="O735">
            <v>5400870329501</v>
          </cell>
          <cell r="P735" t="str">
            <v>I-T</v>
          </cell>
          <cell r="Q735">
            <v>2.5</v>
          </cell>
          <cell r="R735">
            <v>4</v>
          </cell>
          <cell r="T735">
            <v>2000</v>
          </cell>
          <cell r="U735">
            <v>5</v>
          </cell>
          <cell r="V735">
            <v>2000</v>
          </cell>
          <cell r="W735">
            <v>5</v>
          </cell>
          <cell r="X735">
            <v>0</v>
          </cell>
          <cell r="Y735">
            <v>0</v>
          </cell>
          <cell r="Z735">
            <v>0.05</v>
          </cell>
          <cell r="AA735" t="str">
            <v>! !</v>
          </cell>
          <cell r="AB735">
            <v>16500</v>
          </cell>
          <cell r="AC735">
            <v>0</v>
          </cell>
          <cell r="AG735">
            <v>40</v>
          </cell>
          <cell r="AL735">
            <v>2400</v>
          </cell>
          <cell r="AM735">
            <v>2000</v>
          </cell>
          <cell r="AN735" t="e">
            <v>#VALUE!</v>
          </cell>
          <cell r="AO735" t="e">
            <v>#VALUE!</v>
          </cell>
          <cell r="AP735">
            <v>400</v>
          </cell>
        </row>
        <row r="736">
          <cell r="A736">
            <v>63295100</v>
          </cell>
          <cell r="B736">
            <v>40280300</v>
          </cell>
          <cell r="C736">
            <v>9920517</v>
          </cell>
          <cell r="D736" t="str">
            <v>BOF DE VA STOOFVLEES CHAMPIGN SAUS GRATIN WORTEL 450G</v>
          </cell>
          <cell r="E736" t="str">
            <v>Bof DE</v>
          </cell>
          <cell r="F736" t="str">
            <v>290MM</v>
          </cell>
          <cell r="G736" t="str">
            <v>C2227-3R WIT</v>
          </cell>
          <cell r="H736">
            <v>365</v>
          </cell>
          <cell r="I736">
            <v>0.45</v>
          </cell>
          <cell r="J736" t="str">
            <v>H9 45mm</v>
          </cell>
          <cell r="K736" t="str">
            <v>NVT</v>
          </cell>
          <cell r="L736">
            <v>6</v>
          </cell>
          <cell r="M736" t="str">
            <v>H10X8</v>
          </cell>
          <cell r="N736" t="str">
            <v>81</v>
          </cell>
          <cell r="O736">
            <v>5400870329518</v>
          </cell>
          <cell r="P736" t="str">
            <v>2T</v>
          </cell>
          <cell r="Q736">
            <v>3</v>
          </cell>
          <cell r="R736">
            <v>2</v>
          </cell>
          <cell r="S736" t="str">
            <v>STOOFVLEES D-1 (vacuumzakken)</v>
          </cell>
          <cell r="T736">
            <v>2200</v>
          </cell>
          <cell r="U736">
            <v>11</v>
          </cell>
          <cell r="V736">
            <v>2200</v>
          </cell>
          <cell r="W736">
            <v>11</v>
          </cell>
          <cell r="X736">
            <v>0</v>
          </cell>
          <cell r="Y736">
            <v>0</v>
          </cell>
          <cell r="Z736">
            <v>5.8999999999999997E-2</v>
          </cell>
          <cell r="AA736" t="str">
            <v>! !</v>
          </cell>
          <cell r="AB736">
            <v>10000</v>
          </cell>
          <cell r="AC736">
            <v>0.19425000000000001</v>
          </cell>
          <cell r="AG736">
            <v>45</v>
          </cell>
          <cell r="AJ736" t="str">
            <v>V-A</v>
          </cell>
          <cell r="AL736">
            <v>2700</v>
          </cell>
          <cell r="AM736">
            <v>2200</v>
          </cell>
          <cell r="AN736" t="e">
            <v>#VALUE!</v>
          </cell>
          <cell r="AO736" t="e">
            <v>#VALUE!</v>
          </cell>
          <cell r="AP736">
            <v>500</v>
          </cell>
        </row>
        <row r="737">
          <cell r="A737">
            <v>63310100</v>
          </cell>
          <cell r="B737" t="str">
            <v>-</v>
          </cell>
          <cell r="C737">
            <v>63310100</v>
          </cell>
          <cell r="D737" t="str">
            <v xml:space="preserve">DMH LASAGNE BOLOGNAISE                       </v>
          </cell>
          <cell r="E737" t="str">
            <v>DMH</v>
          </cell>
          <cell r="F737" t="str">
            <v>40336800 OLAF 30 225MM</v>
          </cell>
          <cell r="G737" t="str">
            <v>UK-57</v>
          </cell>
          <cell r="H737">
            <v>456</v>
          </cell>
          <cell r="I737">
            <v>0.5</v>
          </cell>
          <cell r="J737" t="str">
            <v>NVT</v>
          </cell>
          <cell r="K737" t="str">
            <v>DELIMEAL HORECA</v>
          </cell>
          <cell r="L737">
            <v>6</v>
          </cell>
          <cell r="M737" t="str">
            <v>HORECA X6</v>
          </cell>
          <cell r="N737">
            <v>108</v>
          </cell>
          <cell r="O737">
            <v>5410953331017</v>
          </cell>
          <cell r="P737" t="str">
            <v>4T-H-K</v>
          </cell>
          <cell r="Q737">
            <v>2</v>
          </cell>
          <cell r="R737">
            <v>3</v>
          </cell>
          <cell r="T737">
            <v>2500</v>
          </cell>
          <cell r="U737">
            <v>6</v>
          </cell>
          <cell r="V737">
            <v>2500</v>
          </cell>
          <cell r="W737">
            <v>6</v>
          </cell>
          <cell r="X737">
            <v>0</v>
          </cell>
          <cell r="Y737">
            <v>0</v>
          </cell>
          <cell r="Z737">
            <v>0</v>
          </cell>
          <cell r="AA737" t="str">
            <v>! ! !</v>
          </cell>
          <cell r="AB737">
            <v>9150</v>
          </cell>
          <cell r="AC737">
            <v>0</v>
          </cell>
          <cell r="AE737" t="str">
            <v>x</v>
          </cell>
          <cell r="AG737">
            <v>50</v>
          </cell>
          <cell r="AJ737" t="str">
            <v>V-A</v>
          </cell>
          <cell r="AL737">
            <v>3000</v>
          </cell>
          <cell r="AM737">
            <v>2500</v>
          </cell>
          <cell r="AN737" t="e">
            <v>#VALUE!</v>
          </cell>
          <cell r="AO737" t="e">
            <v>#VALUE!</v>
          </cell>
          <cell r="AP737">
            <v>500</v>
          </cell>
        </row>
        <row r="738">
          <cell r="A738">
            <v>63310700</v>
          </cell>
          <cell r="B738" t="str">
            <v>-</v>
          </cell>
          <cell r="C738">
            <v>63310700</v>
          </cell>
          <cell r="D738" t="str">
            <v xml:space="preserve">DMH SPAGHETTI BOLOGNESE                          </v>
          </cell>
          <cell r="E738" t="str">
            <v>DMH</v>
          </cell>
          <cell r="F738" t="str">
            <v>40336800 OLAF 30 225MM</v>
          </cell>
          <cell r="G738" t="str">
            <v>UK-57</v>
          </cell>
          <cell r="H738">
            <v>456</v>
          </cell>
          <cell r="I738">
            <v>0.55000000000000004</v>
          </cell>
          <cell r="J738" t="str">
            <v>NVT</v>
          </cell>
          <cell r="K738" t="str">
            <v>DELIMEAL HORECA</v>
          </cell>
          <cell r="L738">
            <v>6</v>
          </cell>
          <cell r="M738" t="str">
            <v>HORECA X6</v>
          </cell>
          <cell r="N738">
            <v>108</v>
          </cell>
          <cell r="O738">
            <v>5410953331079</v>
          </cell>
          <cell r="P738" t="str">
            <v>M-2T</v>
          </cell>
          <cell r="Q738">
            <v>2.5</v>
          </cell>
          <cell r="R738">
            <v>3</v>
          </cell>
          <cell r="T738">
            <v>2500</v>
          </cell>
          <cell r="U738">
            <v>4</v>
          </cell>
          <cell r="V738">
            <v>2500</v>
          </cell>
          <cell r="W738">
            <v>4</v>
          </cell>
          <cell r="X738">
            <v>0</v>
          </cell>
          <cell r="Y738">
            <v>0</v>
          </cell>
          <cell r="Z738">
            <v>0</v>
          </cell>
          <cell r="AA738" t="str">
            <v>! ! !</v>
          </cell>
          <cell r="AB738">
            <v>9150</v>
          </cell>
          <cell r="AC738">
            <v>0</v>
          </cell>
          <cell r="AE738" t="str">
            <v>x</v>
          </cell>
          <cell r="AJ738" t="str">
            <v>V-A</v>
          </cell>
          <cell r="AL738">
            <v>0</v>
          </cell>
          <cell r="AM738">
            <v>2500</v>
          </cell>
          <cell r="AN738" t="e">
            <v>#VALUE!</v>
          </cell>
          <cell r="AO738" t="e">
            <v>#VALUE!</v>
          </cell>
          <cell r="AP738">
            <v>-2500</v>
          </cell>
        </row>
        <row r="739">
          <cell r="A739">
            <v>63319600</v>
          </cell>
          <cell r="C739">
            <v>63319600</v>
          </cell>
          <cell r="D739" t="str">
            <v>DMH KABELJAUWHAASJE MOSTERDSAUS GROENE GROENTEN</v>
          </cell>
          <cell r="E739" t="str">
            <v>DMH</v>
          </cell>
          <cell r="F739" t="str">
            <v>40336800 OLAF 30 225MM</v>
          </cell>
          <cell r="G739" t="str">
            <v>UK-57</v>
          </cell>
          <cell r="H739">
            <v>456</v>
          </cell>
          <cell r="I739">
            <v>0.5</v>
          </cell>
          <cell r="J739" t="str">
            <v>NVT</v>
          </cell>
          <cell r="K739" t="str">
            <v>DELIMEAL HORECA</v>
          </cell>
          <cell r="L739">
            <v>6</v>
          </cell>
          <cell r="M739" t="str">
            <v>DMH X 6</v>
          </cell>
          <cell r="N739">
            <v>108</v>
          </cell>
          <cell r="O739">
            <v>5410953331963</v>
          </cell>
          <cell r="P739" t="str">
            <v>T</v>
          </cell>
          <cell r="Q739">
            <v>2</v>
          </cell>
          <cell r="R739">
            <v>3</v>
          </cell>
          <cell r="T739">
            <v>2500</v>
          </cell>
          <cell r="U739">
            <v>6</v>
          </cell>
          <cell r="V739">
            <v>2500</v>
          </cell>
          <cell r="W739">
            <v>6</v>
          </cell>
          <cell r="X739">
            <v>0</v>
          </cell>
          <cell r="Y739">
            <v>0</v>
          </cell>
          <cell r="Z739">
            <v>0</v>
          </cell>
          <cell r="AA739" t="str">
            <v>! ! ! !</v>
          </cell>
          <cell r="AC739">
            <v>0</v>
          </cell>
          <cell r="AJ739" t="str">
            <v>V-A</v>
          </cell>
          <cell r="AL739">
            <v>0</v>
          </cell>
          <cell r="AM739">
            <v>2500</v>
          </cell>
          <cell r="AN739" t="e">
            <v>#VALUE!</v>
          </cell>
          <cell r="AO739" t="e">
            <v>#VALUE!</v>
          </cell>
          <cell r="AP739">
            <v>-2500</v>
          </cell>
        </row>
        <row r="740">
          <cell r="A740">
            <v>63319700</v>
          </cell>
          <cell r="C740">
            <v>63319700</v>
          </cell>
          <cell r="D740" t="str">
            <v>DMH VEG LASAGNE MET LINZEN EN QUORN</v>
          </cell>
          <cell r="E740" t="str">
            <v>DMH</v>
          </cell>
          <cell r="F740" t="str">
            <v>40336800 OLAF 30 225MM</v>
          </cell>
          <cell r="G740" t="str">
            <v>UK-57</v>
          </cell>
          <cell r="H740">
            <v>456</v>
          </cell>
          <cell r="I740">
            <v>0.5</v>
          </cell>
          <cell r="J740" t="str">
            <v>NVT</v>
          </cell>
          <cell r="K740" t="str">
            <v>DELIMEAL HORECA</v>
          </cell>
          <cell r="L740">
            <v>6</v>
          </cell>
          <cell r="M740" t="str">
            <v>DMH X 6</v>
          </cell>
          <cell r="N740">
            <v>108</v>
          </cell>
          <cell r="O740">
            <v>5410953331970</v>
          </cell>
          <cell r="P740" t="str">
            <v>3T-H-K</v>
          </cell>
          <cell r="Q740">
            <v>3</v>
          </cell>
          <cell r="R740">
            <v>3</v>
          </cell>
          <cell r="T740">
            <v>2500</v>
          </cell>
          <cell r="U740">
            <v>8</v>
          </cell>
          <cell r="V740">
            <v>2500</v>
          </cell>
          <cell r="W740">
            <v>8</v>
          </cell>
          <cell r="X740">
            <v>0</v>
          </cell>
          <cell r="Y740">
            <v>0</v>
          </cell>
          <cell r="Z740">
            <v>0</v>
          </cell>
          <cell r="AA740" t="str">
            <v>! !</v>
          </cell>
          <cell r="AC740">
            <v>0</v>
          </cell>
          <cell r="AJ740" t="str">
            <v>-</v>
          </cell>
          <cell r="AL740">
            <v>0</v>
          </cell>
          <cell r="AM740">
            <v>2500</v>
          </cell>
          <cell r="AN740" t="e">
            <v>#VALUE!</v>
          </cell>
          <cell r="AO740" t="e">
            <v>#VALUE!</v>
          </cell>
          <cell r="AP740">
            <v>-2500</v>
          </cell>
        </row>
        <row r="741">
          <cell r="A741">
            <v>63319900</v>
          </cell>
          <cell r="C741">
            <v>63319900</v>
          </cell>
          <cell r="D741" t="str">
            <v>DMH DAHL MET RODE LINZEN EN GELE RIJSTMIX</v>
          </cell>
          <cell r="E741" t="str">
            <v>DMH</v>
          </cell>
          <cell r="F741" t="str">
            <v>40336800 OLAF 30 225MM</v>
          </cell>
          <cell r="G741" t="str">
            <v>UK-57</v>
          </cell>
          <cell r="H741">
            <v>456</v>
          </cell>
          <cell r="I741">
            <v>0.5</v>
          </cell>
          <cell r="J741" t="str">
            <v>NVT</v>
          </cell>
          <cell r="K741" t="str">
            <v>DELIMEAL HORECA</v>
          </cell>
          <cell r="L741">
            <v>6</v>
          </cell>
          <cell r="M741" t="str">
            <v>HORECA X6</v>
          </cell>
          <cell r="N741">
            <v>108</v>
          </cell>
          <cell r="O741">
            <v>5410953331994</v>
          </cell>
          <cell r="P741" t="str">
            <v>2T</v>
          </cell>
          <cell r="Q741">
            <v>2</v>
          </cell>
          <cell r="R741">
            <v>3</v>
          </cell>
          <cell r="S741" t="str">
            <v>rijst D-1</v>
          </cell>
          <cell r="T741">
            <v>2500</v>
          </cell>
          <cell r="U741">
            <v>4</v>
          </cell>
          <cell r="V741">
            <v>2500</v>
          </cell>
          <cell r="W741">
            <v>4</v>
          </cell>
          <cell r="X741">
            <v>0</v>
          </cell>
          <cell r="Y741">
            <v>0</v>
          </cell>
          <cell r="Z741">
            <v>0</v>
          </cell>
          <cell r="AA741" t="str">
            <v>! ! ! ! !</v>
          </cell>
          <cell r="AC741">
            <v>0</v>
          </cell>
          <cell r="AJ741" t="str">
            <v>-</v>
          </cell>
          <cell r="AL741">
            <v>0</v>
          </cell>
          <cell r="AM741">
            <v>2500</v>
          </cell>
          <cell r="AN741" t="e">
            <v>#VALUE!</v>
          </cell>
          <cell r="AO741" t="e">
            <v>#VALUE!</v>
          </cell>
          <cell r="AP741">
            <v>-2500</v>
          </cell>
        </row>
        <row r="742">
          <cell r="A742">
            <v>63320000</v>
          </cell>
          <cell r="B742" t="str">
            <v>-</v>
          </cell>
          <cell r="C742">
            <v>63320000</v>
          </cell>
          <cell r="D742" t="str">
            <v>DMH COUSCOUS ROZIJNTJES TOMAAT</v>
          </cell>
          <cell r="E742" t="str">
            <v>DMH</v>
          </cell>
          <cell r="F742" t="str">
            <v>40336800 OLAF 30 225MM</v>
          </cell>
          <cell r="G742" t="str">
            <v>UK-57</v>
          </cell>
          <cell r="H742">
            <v>456</v>
          </cell>
          <cell r="I742">
            <v>0.17499999999999999</v>
          </cell>
          <cell r="J742" t="str">
            <v>NVT</v>
          </cell>
          <cell r="K742" t="str">
            <v>DELIMEAL HORECA</v>
          </cell>
          <cell r="L742">
            <v>6</v>
          </cell>
          <cell r="M742" t="str">
            <v>HORECA X6</v>
          </cell>
          <cell r="N742">
            <v>108</v>
          </cell>
          <cell r="O742">
            <v>5410953332007</v>
          </cell>
          <cell r="P742" t="str">
            <v>///////////</v>
          </cell>
          <cell r="Q742">
            <v>1</v>
          </cell>
          <cell r="R742">
            <v>3</v>
          </cell>
          <cell r="S742" t="str">
            <v>OLAF-foliM</v>
          </cell>
          <cell r="T742">
            <v>2000</v>
          </cell>
          <cell r="U742">
            <v>5</v>
          </cell>
          <cell r="V742">
            <v>2000</v>
          </cell>
          <cell r="W742">
            <v>5</v>
          </cell>
          <cell r="X742">
            <v>0</v>
          </cell>
          <cell r="Y742">
            <v>0</v>
          </cell>
          <cell r="Z742">
            <v>0</v>
          </cell>
          <cell r="AA742" t="str">
            <v>! !</v>
          </cell>
          <cell r="AC742">
            <v>0</v>
          </cell>
          <cell r="AJ742" t="str">
            <v>-</v>
          </cell>
          <cell r="AL742">
            <v>0</v>
          </cell>
          <cell r="AM742">
            <v>2000</v>
          </cell>
          <cell r="AN742" t="e">
            <v>#VALUE!</v>
          </cell>
          <cell r="AO742" t="e">
            <v>#VALUE!</v>
          </cell>
          <cell r="AP742">
            <v>-2000</v>
          </cell>
        </row>
        <row r="743">
          <cell r="A743">
            <v>63320100</v>
          </cell>
          <cell r="B743" t="str">
            <v>-</v>
          </cell>
          <cell r="C743">
            <v>63320100</v>
          </cell>
          <cell r="D743" t="str">
            <v>DMH KALFSRAGOUT ZONGEDROOGDE TOMATEN GROENTEN</v>
          </cell>
          <cell r="E743" t="str">
            <v>DMH</v>
          </cell>
          <cell r="F743" t="str">
            <v>40336800 OLAF 30 225MM</v>
          </cell>
          <cell r="G743" t="str">
            <v>UK-57</v>
          </cell>
          <cell r="H743">
            <v>456</v>
          </cell>
          <cell r="I743">
            <v>0.39</v>
          </cell>
          <cell r="J743" t="str">
            <v>NVT</v>
          </cell>
          <cell r="K743" t="str">
            <v>DELIMEAL HORECA</v>
          </cell>
          <cell r="L743">
            <v>6</v>
          </cell>
          <cell r="M743" t="str">
            <v>HORECA X6</v>
          </cell>
          <cell r="N743">
            <v>108</v>
          </cell>
          <cell r="O743">
            <v>5410953332014</v>
          </cell>
          <cell r="P743" t="str">
            <v>T</v>
          </cell>
          <cell r="Q743">
            <v>2</v>
          </cell>
          <cell r="R743">
            <v>3</v>
          </cell>
          <cell r="S743" t="str">
            <v>kalfsblanket (vacuumzakken)</v>
          </cell>
          <cell r="T743">
            <v>2500</v>
          </cell>
          <cell r="U743">
            <v>6</v>
          </cell>
          <cell r="V743">
            <v>2500</v>
          </cell>
          <cell r="W743">
            <v>6</v>
          </cell>
          <cell r="X743">
            <v>0</v>
          </cell>
          <cell r="Y743">
            <v>0</v>
          </cell>
          <cell r="Z743">
            <v>0</v>
          </cell>
          <cell r="AA743" t="str">
            <v>-</v>
          </cell>
          <cell r="AC743">
            <v>0.52446153846153842</v>
          </cell>
          <cell r="AJ743" t="str">
            <v>-</v>
          </cell>
          <cell r="AL743">
            <v>0</v>
          </cell>
          <cell r="AM743">
            <v>2500</v>
          </cell>
          <cell r="AN743" t="e">
            <v>#VALUE!</v>
          </cell>
          <cell r="AO743" t="e">
            <v>#VALUE!</v>
          </cell>
          <cell r="AP743">
            <v>-2500</v>
          </cell>
        </row>
        <row r="744">
          <cell r="A744">
            <v>63320500</v>
          </cell>
          <cell r="B744" t="str">
            <v>-</v>
          </cell>
          <cell r="C744">
            <v>63320500</v>
          </cell>
          <cell r="D744" t="str">
            <v>DMH ZALM WITTE WIJNSAUS JONGE GROENTEN</v>
          </cell>
          <cell r="E744" t="str">
            <v>DMH</v>
          </cell>
          <cell r="F744" t="str">
            <v>40336800 OLAF 30 225MM</v>
          </cell>
          <cell r="G744" t="str">
            <v>UK-57</v>
          </cell>
          <cell r="H744">
            <v>456</v>
          </cell>
          <cell r="I744">
            <v>0.35</v>
          </cell>
          <cell r="J744" t="str">
            <v>NVT</v>
          </cell>
          <cell r="K744" t="str">
            <v>DELIMEAL HORECA</v>
          </cell>
          <cell r="L744">
            <v>6</v>
          </cell>
          <cell r="M744" t="str">
            <v>HORECA X6</v>
          </cell>
          <cell r="N744">
            <v>108</v>
          </cell>
          <cell r="O744">
            <v>5410953332052</v>
          </cell>
          <cell r="P744" t="str">
            <v>T</v>
          </cell>
          <cell r="Q744">
            <v>2</v>
          </cell>
          <cell r="R744">
            <v>3</v>
          </cell>
          <cell r="S744" t="str">
            <v>OLAF-foliM</v>
          </cell>
          <cell r="T744">
            <v>2200</v>
          </cell>
          <cell r="U744">
            <v>6</v>
          </cell>
          <cell r="V744">
            <v>2200</v>
          </cell>
          <cell r="W744">
            <v>6</v>
          </cell>
          <cell r="X744">
            <v>0</v>
          </cell>
          <cell r="Y744">
            <v>0</v>
          </cell>
          <cell r="Z744">
            <v>0</v>
          </cell>
          <cell r="AA744" t="str">
            <v>! ! ! !</v>
          </cell>
          <cell r="AC744">
            <v>0</v>
          </cell>
          <cell r="AJ744" t="str">
            <v>V-A</v>
          </cell>
          <cell r="AL744">
            <v>0</v>
          </cell>
          <cell r="AM744">
            <v>2200</v>
          </cell>
          <cell r="AN744" t="e">
            <v>#VALUE!</v>
          </cell>
          <cell r="AO744" t="e">
            <v>#VALUE!</v>
          </cell>
          <cell r="AP744">
            <v>-2200</v>
          </cell>
        </row>
        <row r="745">
          <cell r="A745">
            <v>63320800</v>
          </cell>
          <cell r="B745" t="str">
            <v>-</v>
          </cell>
          <cell r="C745">
            <v>63320800</v>
          </cell>
          <cell r="D745" t="str">
            <v>DMH TAJINE KIPPENBOUT</v>
          </cell>
          <cell r="E745" t="str">
            <v>DMH</v>
          </cell>
          <cell r="F745" t="str">
            <v>40336800 OLAF 30 225MM</v>
          </cell>
          <cell r="G745" t="str">
            <v>UK-57</v>
          </cell>
          <cell r="H745">
            <v>456</v>
          </cell>
          <cell r="I745">
            <v>0.495</v>
          </cell>
          <cell r="J745" t="str">
            <v>NVT</v>
          </cell>
          <cell r="K745" t="str">
            <v>DELIMEAL HORECA</v>
          </cell>
          <cell r="L745">
            <v>6</v>
          </cell>
          <cell r="M745" t="str">
            <v>HORECA X6</v>
          </cell>
          <cell r="N745">
            <v>108</v>
          </cell>
          <cell r="O745">
            <v>5410953332083</v>
          </cell>
          <cell r="P745" t="str">
            <v>T</v>
          </cell>
          <cell r="Q745">
            <v>2</v>
          </cell>
          <cell r="R745">
            <v>3</v>
          </cell>
          <cell r="S745" t="str">
            <v>abrikozen D-1 snijden + wellen</v>
          </cell>
          <cell r="T745">
            <v>2000</v>
          </cell>
          <cell r="U745">
            <v>6</v>
          </cell>
          <cell r="V745">
            <v>2000</v>
          </cell>
          <cell r="W745">
            <v>6</v>
          </cell>
          <cell r="X745">
            <v>0</v>
          </cell>
          <cell r="Y745">
            <v>0</v>
          </cell>
          <cell r="Z745">
            <v>0</v>
          </cell>
          <cell r="AA745" t="str">
            <v>!</v>
          </cell>
          <cell r="AC745">
            <v>0.18824304000000003</v>
          </cell>
          <cell r="AJ745" t="str">
            <v>-</v>
          </cell>
          <cell r="AL745">
            <v>0</v>
          </cell>
          <cell r="AM745">
            <v>2000</v>
          </cell>
          <cell r="AN745" t="e">
            <v>#VALUE!</v>
          </cell>
          <cell r="AO745" t="e">
            <v>#VALUE!</v>
          </cell>
          <cell r="AP745">
            <v>-2000</v>
          </cell>
        </row>
        <row r="746">
          <cell r="A746">
            <v>63321000</v>
          </cell>
          <cell r="B746" t="str">
            <v>-</v>
          </cell>
          <cell r="C746">
            <v>63321000</v>
          </cell>
          <cell r="D746" t="str">
            <v>DMH REUZEN GARNALEN THAISE RODE CURRY</v>
          </cell>
          <cell r="E746" t="str">
            <v>DMH</v>
          </cell>
          <cell r="F746" t="str">
            <v>40336800 OLAF 30 225MM</v>
          </cell>
          <cell r="G746" t="str">
            <v>UK-57</v>
          </cell>
          <cell r="H746">
            <v>456</v>
          </cell>
          <cell r="I746">
            <v>0.39</v>
          </cell>
          <cell r="J746" t="str">
            <v>NVT</v>
          </cell>
          <cell r="K746" t="str">
            <v>DELIMEAL HORECA</v>
          </cell>
          <cell r="L746">
            <v>6</v>
          </cell>
          <cell r="M746" t="str">
            <v>HORECA X6</v>
          </cell>
          <cell r="N746">
            <v>108</v>
          </cell>
          <cell r="O746">
            <v>5410953332106</v>
          </cell>
          <cell r="P746" t="str">
            <v>T</v>
          </cell>
          <cell r="Q746">
            <v>2</v>
          </cell>
          <cell r="R746">
            <v>3</v>
          </cell>
          <cell r="S746" t="str">
            <v>OLAF-foliM</v>
          </cell>
          <cell r="T746">
            <v>2000</v>
          </cell>
          <cell r="U746">
            <v>7</v>
          </cell>
          <cell r="V746">
            <v>2000</v>
          </cell>
          <cell r="W746">
            <v>7</v>
          </cell>
          <cell r="X746">
            <v>0</v>
          </cell>
          <cell r="Y746">
            <v>0</v>
          </cell>
          <cell r="Z746">
            <v>0</v>
          </cell>
          <cell r="AA746" t="str">
            <v>! ! ! !</v>
          </cell>
          <cell r="AC746">
            <v>0</v>
          </cell>
          <cell r="AJ746" t="str">
            <v>V-A</v>
          </cell>
          <cell r="AL746">
            <v>0</v>
          </cell>
          <cell r="AM746">
            <v>2000</v>
          </cell>
          <cell r="AN746" t="e">
            <v>#VALUE!</v>
          </cell>
          <cell r="AO746" t="e">
            <v>#VALUE!</v>
          </cell>
          <cell r="AP746">
            <v>-2000</v>
          </cell>
        </row>
        <row r="747">
          <cell r="A747">
            <v>63321100</v>
          </cell>
          <cell r="B747" t="str">
            <v>-</v>
          </cell>
          <cell r="C747">
            <v>63321100</v>
          </cell>
          <cell r="D747" t="str">
            <v>DMH LINGUINE NATUREL</v>
          </cell>
          <cell r="E747" t="str">
            <v>DMH</v>
          </cell>
          <cell r="F747" t="str">
            <v>40336800 OLAF 30 225MM</v>
          </cell>
          <cell r="G747" t="str">
            <v>UK-57</v>
          </cell>
          <cell r="H747">
            <v>456</v>
          </cell>
          <cell r="I747">
            <v>0.2</v>
          </cell>
          <cell r="J747" t="str">
            <v>NVT</v>
          </cell>
          <cell r="K747" t="str">
            <v>DELIMEAL HORECA</v>
          </cell>
          <cell r="L747">
            <v>6</v>
          </cell>
          <cell r="M747" t="str">
            <v>HORECA X6</v>
          </cell>
          <cell r="N747">
            <v>108</v>
          </cell>
          <cell r="O747">
            <v>5410953332113</v>
          </cell>
          <cell r="P747" t="str">
            <v>///////////</v>
          </cell>
          <cell r="Q747">
            <v>1</v>
          </cell>
          <cell r="R747">
            <v>3</v>
          </cell>
          <cell r="S747" t="str">
            <v>OLAF-foliM</v>
          </cell>
          <cell r="T747">
            <v>2200</v>
          </cell>
          <cell r="U747">
            <v>5</v>
          </cell>
          <cell r="V747">
            <v>2200</v>
          </cell>
          <cell r="W747">
            <v>5</v>
          </cell>
          <cell r="X747">
            <v>0</v>
          </cell>
          <cell r="Y747">
            <v>0</v>
          </cell>
          <cell r="Z747">
            <v>0</v>
          </cell>
          <cell r="AA747" t="str">
            <v>! !</v>
          </cell>
          <cell r="AC747">
            <v>0</v>
          </cell>
          <cell r="AJ747" t="str">
            <v>-</v>
          </cell>
          <cell r="AL747">
            <v>0</v>
          </cell>
          <cell r="AM747">
            <v>2200</v>
          </cell>
          <cell r="AN747" t="e">
            <v>#VALUE!</v>
          </cell>
          <cell r="AO747" t="e">
            <v>#VALUE!</v>
          </cell>
          <cell r="AP747">
            <v>-2200</v>
          </cell>
        </row>
        <row r="748">
          <cell r="A748">
            <v>63321500</v>
          </cell>
          <cell r="B748" t="str">
            <v>-</v>
          </cell>
          <cell r="C748">
            <v>63321500</v>
          </cell>
          <cell r="D748" t="str">
            <v>DMH BASMATI RIJST PAPRIKA KORIANDER</v>
          </cell>
          <cell r="E748" t="str">
            <v>DMH</v>
          </cell>
          <cell r="F748" t="str">
            <v>40336800 OLAF 30 225MM</v>
          </cell>
          <cell r="G748" t="str">
            <v>UK-57</v>
          </cell>
          <cell r="H748">
            <v>456</v>
          </cell>
          <cell r="I748">
            <v>0.16</v>
          </cell>
          <cell r="J748" t="str">
            <v>NVT</v>
          </cell>
          <cell r="K748" t="str">
            <v>DELIMEAL HORECA</v>
          </cell>
          <cell r="L748">
            <v>6</v>
          </cell>
          <cell r="M748" t="str">
            <v>HORECA X6</v>
          </cell>
          <cell r="N748">
            <v>108</v>
          </cell>
          <cell r="O748">
            <v>5410953332151</v>
          </cell>
          <cell r="P748" t="str">
            <v>///////////</v>
          </cell>
          <cell r="Q748">
            <v>2</v>
          </cell>
          <cell r="R748">
            <v>3</v>
          </cell>
          <cell r="S748" t="str">
            <v>OLAF-foliM</v>
          </cell>
          <cell r="T748">
            <v>2000</v>
          </cell>
          <cell r="U748">
            <v>5</v>
          </cell>
          <cell r="V748">
            <v>2000</v>
          </cell>
          <cell r="W748">
            <v>5</v>
          </cell>
          <cell r="X748">
            <v>0</v>
          </cell>
          <cell r="Y748">
            <v>0</v>
          </cell>
          <cell r="Z748">
            <v>0</v>
          </cell>
          <cell r="AA748" t="str">
            <v>-</v>
          </cell>
          <cell r="AC748">
            <v>0</v>
          </cell>
          <cell r="AJ748" t="str">
            <v>-</v>
          </cell>
          <cell r="AL748">
            <v>0</v>
          </cell>
          <cell r="AM748">
            <v>2000</v>
          </cell>
          <cell r="AN748" t="e">
            <v>#VALUE!</v>
          </cell>
          <cell r="AO748" t="e">
            <v>#VALUE!</v>
          </cell>
          <cell r="AP748">
            <v>-2000</v>
          </cell>
        </row>
        <row r="749">
          <cell r="A749">
            <v>63321600</v>
          </cell>
          <cell r="C749">
            <v>63321600</v>
          </cell>
          <cell r="D749" t="str">
            <v>DMH AARDAPPELPUREE MET ROOMBOTER</v>
          </cell>
          <cell r="E749" t="str">
            <v>DMH</v>
          </cell>
          <cell r="F749" t="str">
            <v>40336800 OLAF 30 225MM</v>
          </cell>
          <cell r="G749" t="str">
            <v>UK-57</v>
          </cell>
          <cell r="H749">
            <v>456</v>
          </cell>
          <cell r="I749">
            <v>0.2</v>
          </cell>
          <cell r="J749" t="str">
            <v>NVT</v>
          </cell>
          <cell r="K749" t="str">
            <v>DELIMEAL HORECA</v>
          </cell>
          <cell r="L749">
            <v>6</v>
          </cell>
          <cell r="M749" t="str">
            <v>HORECA X6</v>
          </cell>
          <cell r="N749">
            <v>108</v>
          </cell>
          <cell r="O749">
            <v>5410953332168</v>
          </cell>
          <cell r="P749" t="str">
            <v>H</v>
          </cell>
          <cell r="Q749">
            <v>1</v>
          </cell>
          <cell r="R749">
            <v>3</v>
          </cell>
          <cell r="S749" t="str">
            <v>OLAF-foliM</v>
          </cell>
          <cell r="T749">
            <v>2500</v>
          </cell>
          <cell r="U749">
            <v>2</v>
          </cell>
          <cell r="V749">
            <v>2500</v>
          </cell>
          <cell r="W749">
            <v>2</v>
          </cell>
          <cell r="X749">
            <v>0</v>
          </cell>
          <cell r="Y749">
            <v>0</v>
          </cell>
          <cell r="Z749">
            <v>0</v>
          </cell>
          <cell r="AA749" t="str">
            <v>! !</v>
          </cell>
          <cell r="AC749">
            <v>0</v>
          </cell>
          <cell r="AJ749" t="str">
            <v>-</v>
          </cell>
          <cell r="AL749">
            <v>0</v>
          </cell>
          <cell r="AM749">
            <v>2500</v>
          </cell>
          <cell r="AN749" t="e">
            <v>#VALUE!</v>
          </cell>
          <cell r="AO749" t="e">
            <v>#VALUE!</v>
          </cell>
          <cell r="AP749">
            <v>-2500</v>
          </cell>
        </row>
        <row r="750">
          <cell r="A750">
            <v>63405200</v>
          </cell>
          <cell r="B750">
            <v>40226000</v>
          </cell>
          <cell r="C750">
            <v>6902804</v>
          </cell>
          <cell r="D750" t="str">
            <v xml:space="preserve">BOF LASAGNE MET ZALM EN SPINAZIE 500G            </v>
          </cell>
          <cell r="E750" t="str">
            <v>Bofrost BE</v>
          </cell>
          <cell r="F750" t="str">
            <v>40336800 OLAF 30 225MM</v>
          </cell>
          <cell r="G750" t="str">
            <v>C2208-1A evolve</v>
          </cell>
          <cell r="H750">
            <v>456</v>
          </cell>
          <cell r="I750">
            <v>0.5</v>
          </cell>
          <cell r="J750" t="str">
            <v>H24</v>
          </cell>
          <cell r="K750" t="str">
            <v>NVT</v>
          </cell>
          <cell r="L750">
            <v>6</v>
          </cell>
          <cell r="M750" t="str">
            <v>H24X6</v>
          </cell>
          <cell r="N750">
            <v>121</v>
          </cell>
          <cell r="O750">
            <v>5410953340521</v>
          </cell>
          <cell r="P750" t="str">
            <v>H-2T-K</v>
          </cell>
          <cell r="Q750">
            <v>2</v>
          </cell>
          <cell r="R750">
            <v>4</v>
          </cell>
          <cell r="S750" t="str">
            <v>verzagen zalm (74g)</v>
          </cell>
          <cell r="T750">
            <v>2400</v>
          </cell>
          <cell r="U750">
            <v>6</v>
          </cell>
          <cell r="V750">
            <v>2400</v>
          </cell>
          <cell r="W750">
            <v>6</v>
          </cell>
          <cell r="X750" t="str">
            <v>X</v>
          </cell>
          <cell r="Y750">
            <v>0</v>
          </cell>
          <cell r="Z750">
            <v>0</v>
          </cell>
          <cell r="AA750" t="str">
            <v>! ! ! !</v>
          </cell>
          <cell r="AB750">
            <v>4000</v>
          </cell>
          <cell r="AC750">
            <v>0</v>
          </cell>
          <cell r="AE750" t="str">
            <v>x</v>
          </cell>
          <cell r="AG750">
            <v>45</v>
          </cell>
          <cell r="AJ750" t="str">
            <v>V-A</v>
          </cell>
          <cell r="AL750">
            <v>2700</v>
          </cell>
          <cell r="AM750">
            <v>2400</v>
          </cell>
          <cell r="AN750" t="e">
            <v>#VALUE!</v>
          </cell>
          <cell r="AO750" t="e">
            <v>#VALUE!</v>
          </cell>
          <cell r="AP750">
            <v>300</v>
          </cell>
        </row>
        <row r="751">
          <cell r="A751">
            <v>63405600</v>
          </cell>
          <cell r="B751">
            <v>40226700</v>
          </cell>
          <cell r="C751">
            <v>9902404</v>
          </cell>
          <cell r="D751" t="str">
            <v xml:space="preserve">BOF BE KIP CHAMPIGNON ERWTEN WORT. GEB. AARDAPP. 460G  </v>
          </cell>
          <cell r="E751" t="str">
            <v>Bofrost BE</v>
          </cell>
          <cell r="F751" t="str">
            <v>40336800 OLAF 30 225MM</v>
          </cell>
          <cell r="G751" t="str">
            <v>C2208-3C evolve</v>
          </cell>
          <cell r="H751">
            <v>548</v>
          </cell>
          <cell r="I751">
            <v>0.46</v>
          </cell>
          <cell r="J751" t="str">
            <v>H24</v>
          </cell>
          <cell r="K751" t="str">
            <v>NVT</v>
          </cell>
          <cell r="L751">
            <v>6</v>
          </cell>
          <cell r="M751" t="str">
            <v>H24X6</v>
          </cell>
          <cell r="N751">
            <v>121</v>
          </cell>
          <cell r="O751">
            <v>5410953340569</v>
          </cell>
          <cell r="P751" t="str">
            <v>T</v>
          </cell>
          <cell r="Q751">
            <v>2</v>
          </cell>
          <cell r="R751">
            <v>4</v>
          </cell>
          <cell r="T751">
            <v>2000</v>
          </cell>
          <cell r="U751">
            <v>8</v>
          </cell>
          <cell r="V751">
            <v>2000</v>
          </cell>
          <cell r="W751">
            <v>8</v>
          </cell>
          <cell r="X751" t="str">
            <v>X</v>
          </cell>
          <cell r="Y751">
            <v>0</v>
          </cell>
          <cell r="Z751">
            <v>0</v>
          </cell>
          <cell r="AA751" t="str">
            <v>! !</v>
          </cell>
          <cell r="AB751">
            <v>6000</v>
          </cell>
          <cell r="AC751">
            <v>0</v>
          </cell>
          <cell r="AE751" t="str">
            <v>x</v>
          </cell>
          <cell r="AG751">
            <v>42</v>
          </cell>
          <cell r="AJ751" t="str">
            <v>V-A</v>
          </cell>
          <cell r="AL751">
            <v>2520</v>
          </cell>
          <cell r="AM751">
            <v>2000</v>
          </cell>
          <cell r="AN751" t="e">
            <v>#VALUE!</v>
          </cell>
          <cell r="AO751" t="e">
            <v>#VALUE!</v>
          </cell>
          <cell r="AP751">
            <v>520</v>
          </cell>
        </row>
        <row r="752">
          <cell r="A752">
            <v>63406200</v>
          </cell>
          <cell r="B752">
            <v>40231100</v>
          </cell>
          <cell r="C752">
            <v>9902819</v>
          </cell>
          <cell r="D752" t="str">
            <v>BOF BE BLINDE VINK RODE KOOL AARD.KUBUS 460G</v>
          </cell>
          <cell r="E752" t="str">
            <v>Bofrost BE</v>
          </cell>
          <cell r="F752" t="str">
            <v>40336800 OLAF 30 225MM</v>
          </cell>
          <cell r="G752" t="str">
            <v>C2208-3C evolve</v>
          </cell>
          <cell r="H752">
            <v>365</v>
          </cell>
          <cell r="I752">
            <v>0.46</v>
          </cell>
          <cell r="J752" t="str">
            <v>H24</v>
          </cell>
          <cell r="K752" t="str">
            <v>NVT</v>
          </cell>
          <cell r="L752">
            <v>6</v>
          </cell>
          <cell r="M752" t="str">
            <v>H24X6</v>
          </cell>
          <cell r="N752">
            <v>121</v>
          </cell>
          <cell r="O752">
            <v>5410953340620</v>
          </cell>
          <cell r="P752" t="str">
            <v>2T</v>
          </cell>
          <cell r="Q752">
            <v>2</v>
          </cell>
          <cell r="R752">
            <v>4</v>
          </cell>
          <cell r="S752" t="str">
            <v>OLAF-folio</v>
          </cell>
          <cell r="T752">
            <v>2200</v>
          </cell>
          <cell r="U752">
            <v>6</v>
          </cell>
          <cell r="V752">
            <v>2200</v>
          </cell>
          <cell r="W752">
            <v>6</v>
          </cell>
          <cell r="X752" t="str">
            <v>X</v>
          </cell>
          <cell r="Y752">
            <v>0</v>
          </cell>
          <cell r="Z752">
            <v>0</v>
          </cell>
          <cell r="AA752" t="str">
            <v>! !</v>
          </cell>
          <cell r="AB752">
            <v>4000</v>
          </cell>
          <cell r="AC752">
            <v>3.6666666666666667E-2</v>
          </cell>
          <cell r="AE752" t="str">
            <v>x</v>
          </cell>
          <cell r="AG752">
            <v>45</v>
          </cell>
          <cell r="AJ752" t="str">
            <v>V-A</v>
          </cell>
          <cell r="AL752">
            <v>2700</v>
          </cell>
          <cell r="AM752">
            <v>2200</v>
          </cell>
          <cell r="AN752" t="e">
            <v>#VALUE!</v>
          </cell>
          <cell r="AO752" t="e">
            <v>#VALUE!</v>
          </cell>
          <cell r="AP752">
            <v>500</v>
          </cell>
        </row>
        <row r="753">
          <cell r="A753">
            <v>63406400</v>
          </cell>
          <cell r="B753">
            <v>40231300</v>
          </cell>
          <cell r="C753">
            <v>6902454</v>
          </cell>
          <cell r="D753" t="str">
            <v>BOF BE CHIPOLATA BLOEMKOOL BECHAMEL PUREE 500G</v>
          </cell>
          <cell r="E753" t="str">
            <v>Bofrost BE</v>
          </cell>
          <cell r="F753" t="str">
            <v>40336800 OLAF 30 225MM</v>
          </cell>
          <cell r="G753" t="str">
            <v>C2208-3C evolve</v>
          </cell>
          <cell r="H753">
            <v>365</v>
          </cell>
          <cell r="I753">
            <v>0.5</v>
          </cell>
          <cell r="J753" t="str">
            <v>H24</v>
          </cell>
          <cell r="K753" t="str">
            <v>NVT</v>
          </cell>
          <cell r="L753">
            <v>6</v>
          </cell>
          <cell r="M753" t="str">
            <v>H24X6</v>
          </cell>
          <cell r="N753">
            <v>121</v>
          </cell>
          <cell r="O753">
            <v>5410953340644</v>
          </cell>
          <cell r="P753" t="str">
            <v>H-3T</v>
          </cell>
          <cell r="Q753">
            <v>3</v>
          </cell>
          <cell r="R753">
            <v>4</v>
          </cell>
          <cell r="S753" t="str">
            <v>OLAF-folio</v>
          </cell>
          <cell r="T753">
            <v>2200</v>
          </cell>
          <cell r="U753">
            <v>8</v>
          </cell>
          <cell r="V753">
            <v>2200</v>
          </cell>
          <cell r="W753">
            <v>8</v>
          </cell>
          <cell r="X753" t="str">
            <v>X</v>
          </cell>
          <cell r="Y753">
            <v>0</v>
          </cell>
          <cell r="Z753">
            <v>0</v>
          </cell>
          <cell r="AA753" t="str">
            <v>! !</v>
          </cell>
          <cell r="AB753">
            <v>4000</v>
          </cell>
          <cell r="AC753">
            <v>8.9062499999999989E-2</v>
          </cell>
          <cell r="AE753" t="str">
            <v>x</v>
          </cell>
          <cell r="AG753">
            <v>43</v>
          </cell>
          <cell r="AJ753" t="str">
            <v>V-A</v>
          </cell>
          <cell r="AL753">
            <v>2580</v>
          </cell>
          <cell r="AM753">
            <v>2200</v>
          </cell>
          <cell r="AN753" t="e">
            <v>#VALUE!</v>
          </cell>
          <cell r="AO753" t="e">
            <v>#VALUE!</v>
          </cell>
          <cell r="AP753">
            <v>380</v>
          </cell>
        </row>
        <row r="754">
          <cell r="A754">
            <v>63406700</v>
          </cell>
          <cell r="B754">
            <v>40207900</v>
          </cell>
          <cell r="C754">
            <v>6902833</v>
          </cell>
          <cell r="D754" t="str">
            <v>BOF KABELJAUW MSC PREIROOM PUREE 500G</v>
          </cell>
          <cell r="E754" t="str">
            <v>Bofrost BE</v>
          </cell>
          <cell r="F754" t="str">
            <v>40336800 OLAF 30 225MM</v>
          </cell>
          <cell r="G754" t="str">
            <v>C2208-2D evolve</v>
          </cell>
          <cell r="H754">
            <v>548</v>
          </cell>
          <cell r="I754">
            <v>0.5</v>
          </cell>
          <cell r="J754" t="str">
            <v>H24</v>
          </cell>
          <cell r="K754" t="str">
            <v>NVT</v>
          </cell>
          <cell r="L754">
            <v>6</v>
          </cell>
          <cell r="M754" t="str">
            <v>H24X6</v>
          </cell>
          <cell r="N754">
            <v>121</v>
          </cell>
          <cell r="O754">
            <v>5410953340682</v>
          </cell>
          <cell r="P754" t="str">
            <v>T-H</v>
          </cell>
          <cell r="Q754">
            <v>2.5</v>
          </cell>
          <cell r="R754">
            <v>4</v>
          </cell>
          <cell r="S754" t="str">
            <v>OLAF-folio</v>
          </cell>
          <cell r="T754">
            <v>2200</v>
          </cell>
          <cell r="U754">
            <v>5</v>
          </cell>
          <cell r="V754">
            <v>2200</v>
          </cell>
          <cell r="W754">
            <v>5</v>
          </cell>
          <cell r="X754" t="str">
            <v>X</v>
          </cell>
          <cell r="Y754">
            <v>0</v>
          </cell>
          <cell r="Z754">
            <v>8.7999999999999995E-2</v>
          </cell>
          <cell r="AA754" t="str">
            <v>! ! ! !</v>
          </cell>
          <cell r="AB754">
            <v>6000</v>
          </cell>
          <cell r="AC754">
            <v>0</v>
          </cell>
          <cell r="AJ754" t="str">
            <v>V-A</v>
          </cell>
          <cell r="AL754">
            <v>0</v>
          </cell>
          <cell r="AM754">
            <v>2200</v>
          </cell>
          <cell r="AN754" t="e">
            <v>#VALUE!</v>
          </cell>
          <cell r="AO754" t="e">
            <v>#VALUE!</v>
          </cell>
          <cell r="AP754">
            <v>-2200</v>
          </cell>
        </row>
        <row r="755">
          <cell r="A755">
            <v>63407000</v>
          </cell>
          <cell r="B755">
            <v>40213100</v>
          </cell>
          <cell r="C755">
            <v>9902839</v>
          </cell>
          <cell r="D755" t="str">
            <v>BOF BE KALKOENHAASJE FINE CHAMPAGNE 450G</v>
          </cell>
          <cell r="E755" t="str">
            <v>Bofrost BE</v>
          </cell>
          <cell r="F755" t="str">
            <v>40336800 OLAF 30 225MM</v>
          </cell>
          <cell r="G755" t="str">
            <v>C2208-1A evolve</v>
          </cell>
          <cell r="H755">
            <v>548</v>
          </cell>
          <cell r="I755">
            <v>0.45</v>
          </cell>
          <cell r="J755" t="str">
            <v>H24</v>
          </cell>
          <cell r="K755" t="str">
            <v>NVT</v>
          </cell>
          <cell r="L755">
            <v>6</v>
          </cell>
          <cell r="M755" t="str">
            <v>H24X6</v>
          </cell>
          <cell r="N755">
            <v>121</v>
          </cell>
          <cell r="O755">
            <v>5410953340705</v>
          </cell>
          <cell r="P755" t="str">
            <v>2T</v>
          </cell>
          <cell r="Q755">
            <v>1</v>
          </cell>
          <cell r="R755">
            <v>4</v>
          </cell>
          <cell r="S755" t="str">
            <v>KALKOENHAASJES snijden (1 cm)</v>
          </cell>
          <cell r="T755">
            <v>2200</v>
          </cell>
          <cell r="U755">
            <v>10</v>
          </cell>
          <cell r="V755">
            <v>2200</v>
          </cell>
          <cell r="W755">
            <v>10</v>
          </cell>
          <cell r="X755" t="str">
            <v>X</v>
          </cell>
          <cell r="Y755">
            <v>0</v>
          </cell>
          <cell r="Z755">
            <v>0</v>
          </cell>
          <cell r="AA755" t="str">
            <v>! !</v>
          </cell>
          <cell r="AC755">
            <v>0.13800000000000001</v>
          </cell>
          <cell r="AG755">
            <v>45</v>
          </cell>
          <cell r="AJ755" t="str">
            <v>V-A</v>
          </cell>
          <cell r="AL755">
            <v>2700</v>
          </cell>
          <cell r="AM755">
            <v>2200</v>
          </cell>
          <cell r="AN755" t="e">
            <v>#VALUE!</v>
          </cell>
          <cell r="AO755" t="e">
            <v>#VALUE!</v>
          </cell>
          <cell r="AP755">
            <v>500</v>
          </cell>
        </row>
        <row r="756">
          <cell r="A756">
            <v>63407300</v>
          </cell>
          <cell r="B756">
            <v>40216000</v>
          </cell>
          <cell r="C756">
            <v>6902469</v>
          </cell>
          <cell r="D756" t="str">
            <v>BOF BE VA GEBRAAD BOONTJES PUREE 450G</v>
          </cell>
          <cell r="E756" t="str">
            <v>Bofrost BE</v>
          </cell>
          <cell r="F756" t="str">
            <v>40336800 OLAF 30 225MM</v>
          </cell>
          <cell r="G756" t="str">
            <v>C2208-2D evolve</v>
          </cell>
          <cell r="H756">
            <v>456</v>
          </cell>
          <cell r="I756">
            <v>0.45</v>
          </cell>
          <cell r="J756" t="str">
            <v>H24</v>
          </cell>
          <cell r="K756" t="str">
            <v>NVT</v>
          </cell>
          <cell r="L756">
            <v>6</v>
          </cell>
          <cell r="M756" t="str">
            <v>H24X6</v>
          </cell>
          <cell r="N756">
            <v>121</v>
          </cell>
          <cell r="O756">
            <v>5410953340736</v>
          </cell>
          <cell r="P756" t="str">
            <v>T-H</v>
          </cell>
          <cell r="Q756">
            <v>3</v>
          </cell>
          <cell r="R756">
            <v>4</v>
          </cell>
          <cell r="S756" t="str">
            <v>Productie op Do of Vr - VA GEBRAAD snijden (1cm)</v>
          </cell>
          <cell r="T756">
            <v>2000</v>
          </cell>
          <cell r="U756">
            <v>9</v>
          </cell>
          <cell r="V756">
            <v>2000</v>
          </cell>
          <cell r="W756">
            <v>9</v>
          </cell>
          <cell r="X756" t="str">
            <v>X</v>
          </cell>
          <cell r="Y756">
            <v>0</v>
          </cell>
          <cell r="Z756">
            <v>0</v>
          </cell>
          <cell r="AA756" t="str">
            <v>! ! !</v>
          </cell>
          <cell r="AB756">
            <v>5000</v>
          </cell>
          <cell r="AC756">
            <v>9.6153846153846159E-2</v>
          </cell>
          <cell r="AG756">
            <v>38</v>
          </cell>
          <cell r="AJ756" t="str">
            <v>V-A</v>
          </cell>
          <cell r="AL756">
            <v>2280</v>
          </cell>
          <cell r="AM756">
            <v>2000</v>
          </cell>
          <cell r="AN756" t="e">
            <v>#VALUE!</v>
          </cell>
          <cell r="AO756" t="e">
            <v>#VALUE!</v>
          </cell>
          <cell r="AP756">
            <v>280</v>
          </cell>
        </row>
        <row r="757">
          <cell r="A757">
            <v>63407500</v>
          </cell>
          <cell r="B757">
            <v>40202400</v>
          </cell>
          <cell r="C757">
            <v>9902133</v>
          </cell>
          <cell r="D757" t="str">
            <v>BOF BE KIP KERRIESAUS RIJST 450G</v>
          </cell>
          <cell r="E757" t="str">
            <v>Bofrost BE</v>
          </cell>
          <cell r="F757" t="str">
            <v>40336800 OLAF 30 225MM</v>
          </cell>
          <cell r="G757" t="str">
            <v>C2208-2D evolve</v>
          </cell>
          <cell r="H757">
            <v>548</v>
          </cell>
          <cell r="I757">
            <v>0.45</v>
          </cell>
          <cell r="J757" t="str">
            <v>H24</v>
          </cell>
          <cell r="K757" t="str">
            <v>NVT</v>
          </cell>
          <cell r="L757">
            <v>6</v>
          </cell>
          <cell r="M757" t="str">
            <v>H24X6</v>
          </cell>
          <cell r="N757">
            <v>121</v>
          </cell>
          <cell r="O757">
            <v>5410953340750</v>
          </cell>
          <cell r="P757" t="str">
            <v>I-T</v>
          </cell>
          <cell r="Q757">
            <v>2</v>
          </cell>
          <cell r="R757">
            <v>4</v>
          </cell>
          <cell r="T757">
            <v>2200</v>
          </cell>
          <cell r="U757">
            <v>6</v>
          </cell>
          <cell r="V757">
            <v>2200</v>
          </cell>
          <cell r="W757">
            <v>6</v>
          </cell>
          <cell r="X757" t="str">
            <v>X</v>
          </cell>
          <cell r="Y757">
            <v>0</v>
          </cell>
          <cell r="Z757">
            <v>0</v>
          </cell>
          <cell r="AA757" t="str">
            <v>! ! !</v>
          </cell>
          <cell r="AB757">
            <v>8052</v>
          </cell>
          <cell r="AC757">
            <v>0</v>
          </cell>
          <cell r="AG757">
            <v>43</v>
          </cell>
          <cell r="AJ757" t="str">
            <v>-</v>
          </cell>
          <cell r="AL757">
            <v>2580</v>
          </cell>
          <cell r="AM757">
            <v>2200</v>
          </cell>
          <cell r="AN757" t="e">
            <v>#VALUE!</v>
          </cell>
          <cell r="AO757" t="e">
            <v>#VALUE!</v>
          </cell>
          <cell r="AP757">
            <v>380</v>
          </cell>
        </row>
        <row r="758">
          <cell r="A758">
            <v>63407600</v>
          </cell>
          <cell r="B758">
            <v>40218200</v>
          </cell>
          <cell r="C758">
            <v>9902146</v>
          </cell>
          <cell r="D758" t="str">
            <v>BOF BE HERTENSTOOFPOT APPEL VEENBES POMPOENPUREE 450G</v>
          </cell>
          <cell r="E758" t="str">
            <v>Bofrost BE</v>
          </cell>
          <cell r="F758" t="str">
            <v>40336800 OLAF 30 225MM</v>
          </cell>
          <cell r="G758" t="str">
            <v>C2208-3C evolve</v>
          </cell>
          <cell r="H758">
            <v>456</v>
          </cell>
          <cell r="I758">
            <v>0.45</v>
          </cell>
          <cell r="J758" t="str">
            <v>H24</v>
          </cell>
          <cell r="K758" t="str">
            <v>NVT</v>
          </cell>
          <cell r="L758">
            <v>6</v>
          </cell>
          <cell r="M758" t="str">
            <v>H24X6</v>
          </cell>
          <cell r="N758">
            <v>121</v>
          </cell>
          <cell r="O758">
            <v>5410953340767</v>
          </cell>
          <cell r="P758" t="str">
            <v>2T-H</v>
          </cell>
          <cell r="Q758">
            <v>3</v>
          </cell>
          <cell r="R758">
            <v>4</v>
          </cell>
          <cell r="S758" t="str">
            <v xml:space="preserve">18% veenbescompote meer maken, hert D-1 (vacuumkookzakken). Klacht puree te smeuïg, geen stukjes pompoen te zien, </v>
          </cell>
          <cell r="T758">
            <v>2000</v>
          </cell>
          <cell r="U758">
            <v>9</v>
          </cell>
          <cell r="V758">
            <v>2000</v>
          </cell>
          <cell r="W758">
            <v>9</v>
          </cell>
          <cell r="X758" t="str">
            <v>X</v>
          </cell>
          <cell r="Y758">
            <v>0</v>
          </cell>
          <cell r="Z758">
            <v>0</v>
          </cell>
          <cell r="AA758" t="str">
            <v>! !</v>
          </cell>
          <cell r="AC758">
            <v>0.19405215360000003</v>
          </cell>
          <cell r="AJ758" t="str">
            <v>V-A</v>
          </cell>
          <cell r="AL758">
            <v>0</v>
          </cell>
          <cell r="AM758">
            <v>2000</v>
          </cell>
          <cell r="AN758" t="e">
            <v>#VALUE!</v>
          </cell>
          <cell r="AO758" t="e">
            <v>#VALUE!</v>
          </cell>
          <cell r="AP758">
            <v>-2000</v>
          </cell>
        </row>
        <row r="759">
          <cell r="A759">
            <v>63407700</v>
          </cell>
          <cell r="B759">
            <v>40220800</v>
          </cell>
          <cell r="C759">
            <v>6902193</v>
          </cell>
          <cell r="D759" t="str">
            <v xml:space="preserve">BOF GENTSE WATERZOOI KRIELTJES 450G </v>
          </cell>
          <cell r="E759" t="str">
            <v>Bofrost BE</v>
          </cell>
          <cell r="F759" t="str">
            <v>40336800 OLAF 30 225MM</v>
          </cell>
          <cell r="G759" t="str">
            <v>C2208-1A evolve</v>
          </cell>
          <cell r="H759">
            <v>548</v>
          </cell>
          <cell r="I759">
            <v>0.45</v>
          </cell>
          <cell r="J759" t="str">
            <v>H24</v>
          </cell>
          <cell r="K759" t="str">
            <v>NVT</v>
          </cell>
          <cell r="L759">
            <v>6</v>
          </cell>
          <cell r="M759" t="str">
            <v>H24X6</v>
          </cell>
          <cell r="N759">
            <v>121</v>
          </cell>
          <cell r="O759">
            <v>5410953340774</v>
          </cell>
          <cell r="P759" t="str">
            <v>I-T</v>
          </cell>
          <cell r="Q759">
            <v>2</v>
          </cell>
          <cell r="R759">
            <v>4</v>
          </cell>
          <cell r="S759" t="str">
            <v>Extra opvolging productie nav klacht (groenten)</v>
          </cell>
          <cell r="T759">
            <v>2000</v>
          </cell>
          <cell r="U759">
            <v>5</v>
          </cell>
          <cell r="V759">
            <v>2000</v>
          </cell>
          <cell r="W759">
            <v>5</v>
          </cell>
          <cell r="X759">
            <v>0</v>
          </cell>
          <cell r="Y759">
            <v>0</v>
          </cell>
          <cell r="Z759">
            <v>0</v>
          </cell>
          <cell r="AA759" t="str">
            <v>! ! !</v>
          </cell>
          <cell r="AB759">
            <v>4000</v>
          </cell>
          <cell r="AC759">
            <v>0</v>
          </cell>
          <cell r="AG759">
            <v>40</v>
          </cell>
          <cell r="AJ759" t="str">
            <v>-</v>
          </cell>
          <cell r="AL759">
            <v>2400</v>
          </cell>
          <cell r="AM759">
            <v>2000</v>
          </cell>
          <cell r="AN759" t="e">
            <v>#VALUE!</v>
          </cell>
          <cell r="AO759" t="e">
            <v>#VALUE!</v>
          </cell>
          <cell r="AP759">
            <v>400</v>
          </cell>
        </row>
        <row r="760">
          <cell r="A760">
            <v>63407800</v>
          </cell>
          <cell r="B760">
            <v>40224900</v>
          </cell>
          <cell r="C760">
            <v>6902360</v>
          </cell>
          <cell r="D760" t="str">
            <v>BOF KIP RODE WIJNSAUS WORTEL AARDAPPELBLOKJES</v>
          </cell>
          <cell r="E760" t="str">
            <v>Bofrost BE</v>
          </cell>
          <cell r="F760" t="str">
            <v>40336800 OLAF 30 225MM</v>
          </cell>
          <cell r="G760" t="str">
            <v>C2208-3C evolve</v>
          </cell>
          <cell r="H760">
            <v>456</v>
          </cell>
          <cell r="I760">
            <v>0.45</v>
          </cell>
          <cell r="J760" t="str">
            <v>H24</v>
          </cell>
          <cell r="K760" t="str">
            <v>NVT</v>
          </cell>
          <cell r="L760">
            <v>6</v>
          </cell>
          <cell r="M760" t="str">
            <v>H24X6</v>
          </cell>
          <cell r="N760">
            <v>121</v>
          </cell>
          <cell r="O760">
            <v>5410953340781</v>
          </cell>
          <cell r="P760" t="str">
            <v>T</v>
          </cell>
          <cell r="Q760">
            <v>2</v>
          </cell>
          <cell r="R760">
            <v>4</v>
          </cell>
          <cell r="S760" t="str">
            <v>OLAF-folio</v>
          </cell>
          <cell r="T760">
            <v>2200</v>
          </cell>
          <cell r="U760">
            <v>8</v>
          </cell>
          <cell r="V760">
            <v>2200</v>
          </cell>
          <cell r="W760">
            <v>8</v>
          </cell>
          <cell r="X760">
            <v>0</v>
          </cell>
          <cell r="Y760">
            <v>0</v>
          </cell>
          <cell r="Z760">
            <v>0.09</v>
          </cell>
          <cell r="AA760" t="str">
            <v>! !</v>
          </cell>
          <cell r="AB760">
            <v>3000</v>
          </cell>
          <cell r="AC760">
            <v>0</v>
          </cell>
          <cell r="AG760">
            <v>42</v>
          </cell>
          <cell r="AJ760" t="str">
            <v>V-A</v>
          </cell>
          <cell r="AL760">
            <v>2520</v>
          </cell>
          <cell r="AM760">
            <v>2200</v>
          </cell>
          <cell r="AN760" t="e">
            <v>#VALUE!</v>
          </cell>
          <cell r="AO760" t="e">
            <v>#VALUE!</v>
          </cell>
          <cell r="AP760">
            <v>320</v>
          </cell>
        </row>
        <row r="761">
          <cell r="A761">
            <v>63407900</v>
          </cell>
          <cell r="B761">
            <v>40233000</v>
          </cell>
          <cell r="C761">
            <v>6912015</v>
          </cell>
          <cell r="D761" t="str">
            <v>BOF BE BALLETJES TOMATENSAUS PUREE 450G</v>
          </cell>
          <cell r="E761" t="str">
            <v>Bofrost BE</v>
          </cell>
          <cell r="F761" t="str">
            <v>225MM</v>
          </cell>
          <cell r="G761" t="str">
            <v>C2208-2D</v>
          </cell>
          <cell r="H761">
            <v>456</v>
          </cell>
          <cell r="I761">
            <v>0.45</v>
          </cell>
          <cell r="J761" t="str">
            <v>H24</v>
          </cell>
          <cell r="K761" t="str">
            <v>NVT</v>
          </cell>
          <cell r="L761">
            <v>6</v>
          </cell>
          <cell r="M761" t="str">
            <v>H24X6</v>
          </cell>
          <cell r="N761">
            <v>121</v>
          </cell>
          <cell r="O761">
            <v>5400870340797</v>
          </cell>
          <cell r="P761" t="str">
            <v>I-T-H</v>
          </cell>
          <cell r="Q761">
            <v>2</v>
          </cell>
          <cell r="R761">
            <v>4</v>
          </cell>
          <cell r="T761">
            <v>2200</v>
          </cell>
          <cell r="U761">
            <v>4</v>
          </cell>
          <cell r="V761">
            <v>2200</v>
          </cell>
          <cell r="W761">
            <v>4</v>
          </cell>
          <cell r="X761">
            <v>0</v>
          </cell>
          <cell r="Y761">
            <v>0</v>
          </cell>
          <cell r="Z761">
            <v>0</v>
          </cell>
          <cell r="AA761" t="str">
            <v>! !</v>
          </cell>
          <cell r="AB761">
            <v>6000</v>
          </cell>
          <cell r="AC761">
            <v>0</v>
          </cell>
          <cell r="AG761">
            <v>40</v>
          </cell>
          <cell r="AJ761" t="str">
            <v>V-A</v>
          </cell>
          <cell r="AL761">
            <v>2400</v>
          </cell>
          <cell r="AM761">
            <v>2200</v>
          </cell>
          <cell r="AN761" t="e">
            <v>#VALUE!</v>
          </cell>
          <cell r="AO761" t="e">
            <v>#VALUE!</v>
          </cell>
          <cell r="AP761">
            <v>200</v>
          </cell>
        </row>
        <row r="762">
          <cell r="A762">
            <v>63408000</v>
          </cell>
          <cell r="B762">
            <v>40239000</v>
          </cell>
          <cell r="C762">
            <v>9912171</v>
          </cell>
          <cell r="D762" t="str">
            <v>BOF BE BALLETJES LUIKSE SAUS GEBAKKEN AARD 450G</v>
          </cell>
          <cell r="E762" t="str">
            <v>Bofrost BE</v>
          </cell>
          <cell r="F762" t="str">
            <v>40336800 OLAF 30 225MM</v>
          </cell>
          <cell r="G762" t="str">
            <v>C2208-2D evolve</v>
          </cell>
          <cell r="H762">
            <v>456</v>
          </cell>
          <cell r="I762">
            <v>0.45</v>
          </cell>
          <cell r="J762" t="str">
            <v>H24</v>
          </cell>
          <cell r="K762" t="str">
            <v>NVT</v>
          </cell>
          <cell r="L762">
            <v>6</v>
          </cell>
          <cell r="M762" t="str">
            <v>H24X6</v>
          </cell>
          <cell r="N762">
            <v>121</v>
          </cell>
          <cell r="O762">
            <v>5400870340803</v>
          </cell>
          <cell r="P762" t="str">
            <v>I-T</v>
          </cell>
          <cell r="Q762">
            <v>1</v>
          </cell>
          <cell r="R762">
            <v>4</v>
          </cell>
          <cell r="T762">
            <v>2000</v>
          </cell>
          <cell r="U762">
            <v>6</v>
          </cell>
          <cell r="V762">
            <v>2000</v>
          </cell>
          <cell r="W762">
            <v>6</v>
          </cell>
          <cell r="X762">
            <v>0</v>
          </cell>
          <cell r="Y762">
            <v>0</v>
          </cell>
          <cell r="Z762">
            <v>0</v>
          </cell>
          <cell r="AA762" t="str">
            <v>! !</v>
          </cell>
          <cell r="AC762">
            <v>0</v>
          </cell>
          <cell r="AG762">
            <v>42</v>
          </cell>
          <cell r="AJ762" t="str">
            <v>V-A</v>
          </cell>
          <cell r="AL762">
            <v>2520</v>
          </cell>
          <cell r="AM762">
            <v>2000</v>
          </cell>
          <cell r="AN762" t="e">
            <v>#VALUE!</v>
          </cell>
          <cell r="AO762" t="e">
            <v>#VALUE!</v>
          </cell>
          <cell r="AP762">
            <v>520</v>
          </cell>
        </row>
        <row r="763">
          <cell r="A763">
            <v>63408100</v>
          </cell>
          <cell r="B763">
            <v>40239800</v>
          </cell>
          <cell r="C763">
            <v>9912387</v>
          </cell>
          <cell r="D763" t="str">
            <v>BOF BE JACHTSCHOTEL RODE KOOL PUREE 450G</v>
          </cell>
          <cell r="E763" t="str">
            <v>Bofrost BE</v>
          </cell>
          <cell r="F763" t="str">
            <v>225MM</v>
          </cell>
          <cell r="G763" t="str">
            <v>C2208-3C</v>
          </cell>
          <cell r="H763">
            <v>456</v>
          </cell>
          <cell r="I763">
            <v>0.45</v>
          </cell>
          <cell r="J763" t="str">
            <v>H24</v>
          </cell>
          <cell r="K763" t="str">
            <v>NVT</v>
          </cell>
          <cell r="L763">
            <v>6</v>
          </cell>
          <cell r="M763" t="str">
            <v>H24X6</v>
          </cell>
          <cell r="N763">
            <v>121</v>
          </cell>
          <cell r="O763">
            <v>5400870340810</v>
          </cell>
          <cell r="P763" t="str">
            <v>2T-H</v>
          </cell>
          <cell r="Q763">
            <v>3</v>
          </cell>
          <cell r="R763">
            <v>4</v>
          </cell>
          <cell r="S763" t="str">
            <v>D-1 STOOFVLEES (vacuumzakken)</v>
          </cell>
          <cell r="T763">
            <v>2000</v>
          </cell>
          <cell r="U763">
            <v>7</v>
          </cell>
          <cell r="V763">
            <v>2000</v>
          </cell>
          <cell r="W763">
            <v>7</v>
          </cell>
          <cell r="X763">
            <v>0</v>
          </cell>
          <cell r="Y763">
            <v>0</v>
          </cell>
          <cell r="Z763">
            <v>0</v>
          </cell>
          <cell r="AA763" t="str">
            <v>! ! !</v>
          </cell>
          <cell r="AC763">
            <v>0.20311667999999997</v>
          </cell>
          <cell r="AG763">
            <v>40</v>
          </cell>
          <cell r="AJ763" t="str">
            <v>V-A</v>
          </cell>
          <cell r="AL763">
            <v>2400</v>
          </cell>
          <cell r="AM763">
            <v>2000</v>
          </cell>
          <cell r="AN763" t="e">
            <v>#VALUE!</v>
          </cell>
          <cell r="AO763" t="e">
            <v>#VALUE!</v>
          </cell>
          <cell r="AP763">
            <v>400</v>
          </cell>
        </row>
        <row r="764">
          <cell r="A764">
            <v>63408200</v>
          </cell>
          <cell r="B764">
            <v>40239900</v>
          </cell>
          <cell r="C764">
            <v>9912847</v>
          </cell>
          <cell r="D764" t="str">
            <v>BOF BE KABELJAUW MSC FIJNE GROENTEN PUREE 450G</v>
          </cell>
          <cell r="E764" t="str">
            <v>Bofrost BE</v>
          </cell>
          <cell r="F764" t="str">
            <v>40336800 OLAF 30 225MM</v>
          </cell>
          <cell r="G764" t="str">
            <v>C2208-2D evolve</v>
          </cell>
          <cell r="H764">
            <v>548</v>
          </cell>
          <cell r="I764">
            <v>0.45</v>
          </cell>
          <cell r="J764" t="str">
            <v>H24</v>
          </cell>
          <cell r="K764" t="str">
            <v>NVT</v>
          </cell>
          <cell r="L764">
            <v>6</v>
          </cell>
          <cell r="M764" t="str">
            <v>H24X6</v>
          </cell>
          <cell r="N764">
            <v>121</v>
          </cell>
          <cell r="O764">
            <v>5400870340827</v>
          </cell>
          <cell r="P764" t="str">
            <v>H-T</v>
          </cell>
          <cell r="Q764">
            <v>3</v>
          </cell>
          <cell r="R764">
            <v>4</v>
          </cell>
          <cell r="S764" t="str">
            <v>KABELJAUW verzagen (110g)</v>
          </cell>
          <cell r="T764">
            <v>2200</v>
          </cell>
          <cell r="U764">
            <v>4</v>
          </cell>
          <cell r="V764">
            <v>2200</v>
          </cell>
          <cell r="W764">
            <v>4</v>
          </cell>
          <cell r="X764">
            <v>0</v>
          </cell>
          <cell r="Y764">
            <v>0</v>
          </cell>
          <cell r="Z764">
            <v>0</v>
          </cell>
          <cell r="AA764" t="str">
            <v>! ! ! !</v>
          </cell>
          <cell r="AC764">
            <v>0</v>
          </cell>
          <cell r="AG764">
            <v>45</v>
          </cell>
          <cell r="AJ764" t="str">
            <v>-</v>
          </cell>
          <cell r="AL764">
            <v>2700</v>
          </cell>
          <cell r="AM764">
            <v>2200</v>
          </cell>
          <cell r="AN764" t="e">
            <v>#VALUE!</v>
          </cell>
          <cell r="AO764" t="e">
            <v>#VALUE!</v>
          </cell>
          <cell r="AP764">
            <v>500</v>
          </cell>
        </row>
        <row r="765">
          <cell r="A765">
            <v>63408300</v>
          </cell>
          <cell r="B765">
            <v>40240200</v>
          </cell>
          <cell r="C765">
            <v>9912833</v>
          </cell>
          <cell r="D765" t="str">
            <v>BOF BE KABELJAUW MSC PREIROOM PUREE 450G</v>
          </cell>
          <cell r="E765" t="str">
            <v>Bofrost BE</v>
          </cell>
          <cell r="F765" t="str">
            <v>40336800 OLAF 30 225MM</v>
          </cell>
          <cell r="G765" t="str">
            <v>C2208-2D evolve</v>
          </cell>
          <cell r="H765">
            <v>548</v>
          </cell>
          <cell r="I765">
            <v>0.45</v>
          </cell>
          <cell r="J765" t="str">
            <v>H24</v>
          </cell>
          <cell r="K765" t="str">
            <v>NVT</v>
          </cell>
          <cell r="L765">
            <v>6</v>
          </cell>
          <cell r="M765" t="str">
            <v>H24X6</v>
          </cell>
          <cell r="N765">
            <v>121</v>
          </cell>
          <cell r="O765">
            <v>5400870340834</v>
          </cell>
          <cell r="P765" t="str">
            <v>T-H</v>
          </cell>
          <cell r="Q765">
            <v>3</v>
          </cell>
          <cell r="R765">
            <v>4</v>
          </cell>
          <cell r="T765">
            <v>2200</v>
          </cell>
          <cell r="U765">
            <v>5</v>
          </cell>
          <cell r="V765">
            <v>2200</v>
          </cell>
          <cell r="W765">
            <v>5</v>
          </cell>
          <cell r="X765" t="str">
            <v>X</v>
          </cell>
          <cell r="Y765">
            <v>0</v>
          </cell>
          <cell r="Z765">
            <v>0</v>
          </cell>
          <cell r="AA765" t="str">
            <v>! ! ! !</v>
          </cell>
          <cell r="AB765">
            <v>6000</v>
          </cell>
          <cell r="AC765">
            <v>0</v>
          </cell>
          <cell r="AG765">
            <v>45</v>
          </cell>
          <cell r="AJ765" t="str">
            <v>V-A</v>
          </cell>
          <cell r="AL765">
            <v>2700</v>
          </cell>
          <cell r="AM765">
            <v>2200</v>
          </cell>
          <cell r="AN765" t="e">
            <v>#VALUE!</v>
          </cell>
          <cell r="AO765" t="e">
            <v>#VALUE!</v>
          </cell>
          <cell r="AP765">
            <v>500</v>
          </cell>
        </row>
        <row r="766">
          <cell r="A766">
            <v>63408400</v>
          </cell>
          <cell r="B766">
            <v>40240300</v>
          </cell>
          <cell r="C766">
            <v>9912555</v>
          </cell>
          <cell r="D766" t="str">
            <v>BOF BE OOSTENDS VISPANNETJE 420G</v>
          </cell>
          <cell r="E766" t="str">
            <v>Bofrost BE</v>
          </cell>
          <cell r="F766" t="str">
            <v>40336800 OLAF 30 225MM</v>
          </cell>
          <cell r="G766" t="str">
            <v>C2208-1A evolve</v>
          </cell>
          <cell r="H766">
            <v>456</v>
          </cell>
          <cell r="I766">
            <v>0.42</v>
          </cell>
          <cell r="J766" t="str">
            <v>H24</v>
          </cell>
          <cell r="K766" t="str">
            <v>NVT</v>
          </cell>
          <cell r="L766">
            <v>6</v>
          </cell>
          <cell r="M766" t="str">
            <v>H24X6</v>
          </cell>
          <cell r="N766">
            <v>121</v>
          </cell>
          <cell r="O766">
            <v>5400870340841</v>
          </cell>
          <cell r="P766" t="str">
            <v>K-2T</v>
          </cell>
          <cell r="Q766">
            <v>2</v>
          </cell>
          <cell r="R766">
            <v>4</v>
          </cell>
          <cell r="T766">
            <v>2200</v>
          </cell>
          <cell r="U766">
            <v>8</v>
          </cell>
          <cell r="V766">
            <v>2200</v>
          </cell>
          <cell r="W766">
            <v>8</v>
          </cell>
          <cell r="X766">
            <v>0</v>
          </cell>
          <cell r="Y766">
            <v>0</v>
          </cell>
          <cell r="Z766">
            <v>0</v>
          </cell>
          <cell r="AA766" t="str">
            <v>! ! ! !</v>
          </cell>
          <cell r="AC766">
            <v>0</v>
          </cell>
          <cell r="AG766">
            <v>45</v>
          </cell>
          <cell r="AJ766" t="str">
            <v>V-A</v>
          </cell>
          <cell r="AL766">
            <v>2700</v>
          </cell>
          <cell r="AM766">
            <v>2200</v>
          </cell>
          <cell r="AN766" t="e">
            <v>#VALUE!</v>
          </cell>
          <cell r="AO766" t="e">
            <v>#VALUE!</v>
          </cell>
          <cell r="AP766">
            <v>500</v>
          </cell>
        </row>
        <row r="767">
          <cell r="A767">
            <v>63408500</v>
          </cell>
          <cell r="B767">
            <v>40241600</v>
          </cell>
          <cell r="C767">
            <v>9912478</v>
          </cell>
          <cell r="D767" t="str">
            <v>BOF BE VARKENSHAASJE PEPERROOM WORTELEN PUREE 450G</v>
          </cell>
          <cell r="E767" t="str">
            <v>Bofrost BE</v>
          </cell>
          <cell r="F767" t="str">
            <v>40336800 OLAF 30 225MM</v>
          </cell>
          <cell r="G767" t="str">
            <v>C2208-3C evolve</v>
          </cell>
          <cell r="H767">
            <v>456</v>
          </cell>
          <cell r="I767">
            <v>0.45</v>
          </cell>
          <cell r="J767" t="str">
            <v>H24</v>
          </cell>
          <cell r="K767" t="str">
            <v>NVT</v>
          </cell>
          <cell r="L767">
            <v>6</v>
          </cell>
          <cell r="M767" t="str">
            <v>H24X6</v>
          </cell>
          <cell r="N767">
            <v>121</v>
          </cell>
          <cell r="O767">
            <v>5400870340858</v>
          </cell>
          <cell r="P767" t="str">
            <v>H-T</v>
          </cell>
          <cell r="Q767">
            <v>3</v>
          </cell>
          <cell r="R767">
            <v>4</v>
          </cell>
          <cell r="S767" t="str">
            <v>VA HAASJE snijden (2cm), levering va haasje altijd woe 12u</v>
          </cell>
          <cell r="T767">
            <v>2200</v>
          </cell>
          <cell r="U767">
            <v>9</v>
          </cell>
          <cell r="V767">
            <v>2200</v>
          </cell>
          <cell r="W767">
            <v>9</v>
          </cell>
          <cell r="X767">
            <v>0</v>
          </cell>
          <cell r="Y767">
            <v>0</v>
          </cell>
          <cell r="Z767">
            <v>0</v>
          </cell>
          <cell r="AA767" t="str">
            <v>! !</v>
          </cell>
          <cell r="AC767">
            <v>4.8430762886597929E-2</v>
          </cell>
          <cell r="AG767">
            <v>45</v>
          </cell>
          <cell r="AJ767" t="str">
            <v>V-A</v>
          </cell>
          <cell r="AL767">
            <v>2700</v>
          </cell>
          <cell r="AM767">
            <v>2200</v>
          </cell>
          <cell r="AN767" t="e">
            <v>#VALUE!</v>
          </cell>
          <cell r="AO767" t="e">
            <v>#VALUE!</v>
          </cell>
          <cell r="AP767">
            <v>500</v>
          </cell>
        </row>
        <row r="768">
          <cell r="A768">
            <v>63408600</v>
          </cell>
          <cell r="B768">
            <v>40241700</v>
          </cell>
          <cell r="C768">
            <v>9912464</v>
          </cell>
          <cell r="D768" t="str">
            <v>BOF BE KIPPENRAGOUT BIESLOOK-PETERSELIEPUREE 450G</v>
          </cell>
          <cell r="E768" t="str">
            <v>Bofrost BE</v>
          </cell>
          <cell r="F768" t="str">
            <v>40336800 OLAF 30 225MM</v>
          </cell>
          <cell r="G768" t="str">
            <v>C2208-2D evolve</v>
          </cell>
          <cell r="H768">
            <v>456</v>
          </cell>
          <cell r="I768">
            <v>0.45</v>
          </cell>
          <cell r="J768" t="str">
            <v>H24</v>
          </cell>
          <cell r="K768" t="str">
            <v>NVT</v>
          </cell>
          <cell r="L768">
            <v>6</v>
          </cell>
          <cell r="M768" t="str">
            <v>H24X6</v>
          </cell>
          <cell r="N768">
            <v>121</v>
          </cell>
          <cell r="O768">
            <v>5400870340865</v>
          </cell>
          <cell r="P768" t="str">
            <v>T-H</v>
          </cell>
          <cell r="Q768">
            <v>2</v>
          </cell>
          <cell r="R768">
            <v>4</v>
          </cell>
          <cell r="S768" t="str">
            <v>Keuken: saus opvolgen</v>
          </cell>
          <cell r="T768">
            <v>2200</v>
          </cell>
          <cell r="U768">
            <v>3</v>
          </cell>
          <cell r="V768">
            <v>2200</v>
          </cell>
          <cell r="W768">
            <v>3</v>
          </cell>
          <cell r="X768">
            <v>0</v>
          </cell>
          <cell r="Y768">
            <v>0</v>
          </cell>
          <cell r="Z768">
            <v>0</v>
          </cell>
          <cell r="AA768" t="str">
            <v>! !</v>
          </cell>
          <cell r="AC768">
            <v>0</v>
          </cell>
          <cell r="AG768">
            <v>45</v>
          </cell>
          <cell r="AJ768" t="str">
            <v>-</v>
          </cell>
          <cell r="AL768">
            <v>2700</v>
          </cell>
          <cell r="AM768">
            <v>2200</v>
          </cell>
          <cell r="AN768" t="e">
            <v>#VALUE!</v>
          </cell>
          <cell r="AO768" t="e">
            <v>#VALUE!</v>
          </cell>
          <cell r="AP768">
            <v>500</v>
          </cell>
        </row>
        <row r="769">
          <cell r="A769">
            <v>63408700</v>
          </cell>
          <cell r="B769">
            <v>40241800</v>
          </cell>
          <cell r="C769">
            <v>9912819</v>
          </cell>
          <cell r="D769" t="str">
            <v>BOF BE BLINDE VINK RODE KOOL AARD.KUBUS 450G</v>
          </cell>
          <cell r="E769" t="str">
            <v>Bofrost BE</v>
          </cell>
          <cell r="F769" t="str">
            <v>40336800 OLAF 30 225MM</v>
          </cell>
          <cell r="G769" t="str">
            <v>C2208-3C evolve</v>
          </cell>
          <cell r="H769">
            <v>365</v>
          </cell>
          <cell r="I769">
            <v>0.45</v>
          </cell>
          <cell r="J769" t="str">
            <v>H24</v>
          </cell>
          <cell r="K769" t="str">
            <v>NVT</v>
          </cell>
          <cell r="L769">
            <v>6</v>
          </cell>
          <cell r="M769" t="str">
            <v>H24X6</v>
          </cell>
          <cell r="N769">
            <v>121</v>
          </cell>
          <cell r="O769">
            <v>5400870340872</v>
          </cell>
          <cell r="P769" t="str">
            <v>2T</v>
          </cell>
          <cell r="Q769">
            <v>2</v>
          </cell>
          <cell r="R769">
            <v>4</v>
          </cell>
          <cell r="T769">
            <v>2200</v>
          </cell>
          <cell r="U769">
            <v>6</v>
          </cell>
          <cell r="V769">
            <v>2200</v>
          </cell>
          <cell r="W769">
            <v>6</v>
          </cell>
          <cell r="X769">
            <v>0</v>
          </cell>
          <cell r="Y769">
            <v>0</v>
          </cell>
          <cell r="Z769">
            <v>0</v>
          </cell>
          <cell r="AA769" t="str">
            <v>! !</v>
          </cell>
          <cell r="AC769">
            <v>3.78E-2</v>
          </cell>
          <cell r="AG769">
            <v>45</v>
          </cell>
          <cell r="AJ769" t="str">
            <v>V-A</v>
          </cell>
          <cell r="AL769">
            <v>2700</v>
          </cell>
          <cell r="AM769">
            <v>2200</v>
          </cell>
          <cell r="AN769" t="e">
            <v>#VALUE!</v>
          </cell>
          <cell r="AO769" t="e">
            <v>#VALUE!</v>
          </cell>
          <cell r="AP769">
            <v>500</v>
          </cell>
        </row>
        <row r="770">
          <cell r="A770">
            <v>63408800</v>
          </cell>
          <cell r="B770">
            <v>40242000</v>
          </cell>
          <cell r="C770">
            <v>9912454</v>
          </cell>
          <cell r="D770" t="str">
            <v>BOF BE CHIPOLATA BLOEMKOOL BECHAMEL PUREE 450G</v>
          </cell>
          <cell r="E770" t="str">
            <v>Bofrost BE</v>
          </cell>
          <cell r="F770" t="str">
            <v>40336800 OLAF 30 225MM</v>
          </cell>
          <cell r="G770" t="str">
            <v>C2208-3C evolve</v>
          </cell>
          <cell r="H770">
            <v>365</v>
          </cell>
          <cell r="I770">
            <v>0.45</v>
          </cell>
          <cell r="J770" t="str">
            <v>H24</v>
          </cell>
          <cell r="K770" t="str">
            <v>NVT</v>
          </cell>
          <cell r="L770">
            <v>6</v>
          </cell>
          <cell r="M770" t="str">
            <v>H24X6</v>
          </cell>
          <cell r="N770">
            <v>121</v>
          </cell>
          <cell r="O770">
            <v>5400870340889</v>
          </cell>
          <cell r="P770" t="str">
            <v>H-3T</v>
          </cell>
          <cell r="Q770">
            <v>3</v>
          </cell>
          <cell r="R770">
            <v>4</v>
          </cell>
          <cell r="T770">
            <v>2200</v>
          </cell>
          <cell r="U770">
            <v>8</v>
          </cell>
          <cell r="V770">
            <v>2200</v>
          </cell>
          <cell r="W770">
            <v>8</v>
          </cell>
          <cell r="X770">
            <v>0</v>
          </cell>
          <cell r="Y770">
            <v>0</v>
          </cell>
          <cell r="Z770">
            <v>0</v>
          </cell>
          <cell r="AA770" t="str">
            <v>! !</v>
          </cell>
          <cell r="AC770">
            <v>0.103359375</v>
          </cell>
          <cell r="AG770">
            <v>45</v>
          </cell>
          <cell r="AJ770" t="str">
            <v>V-A</v>
          </cell>
          <cell r="AL770">
            <v>2700</v>
          </cell>
          <cell r="AM770">
            <v>2200</v>
          </cell>
          <cell r="AN770" t="e">
            <v>#VALUE!</v>
          </cell>
          <cell r="AO770" t="e">
            <v>#VALUE!</v>
          </cell>
          <cell r="AP770">
            <v>500</v>
          </cell>
        </row>
        <row r="771">
          <cell r="A771">
            <v>63408900</v>
          </cell>
          <cell r="B771">
            <v>40245400</v>
          </cell>
          <cell r="C771">
            <v>9912555</v>
          </cell>
          <cell r="D771" t="str">
            <v>BOF BE OOSTENDS VISPANNETJE ASC MSC 420G</v>
          </cell>
          <cell r="E771" t="str">
            <v>Bofrost BE</v>
          </cell>
          <cell r="F771" t="str">
            <v>40336800 OLAF 30 225MM</v>
          </cell>
          <cell r="G771" t="str">
            <v>C2208-1A evolve</v>
          </cell>
          <cell r="H771">
            <v>456</v>
          </cell>
          <cell r="I771">
            <v>0.42</v>
          </cell>
          <cell r="J771" t="str">
            <v>H24</v>
          </cell>
          <cell r="K771" t="str">
            <v>NVT</v>
          </cell>
          <cell r="L771">
            <v>6</v>
          </cell>
          <cell r="M771" t="str">
            <v>H24X6</v>
          </cell>
          <cell r="N771">
            <v>121</v>
          </cell>
          <cell r="O771">
            <v>5400870340896</v>
          </cell>
          <cell r="P771" t="str">
            <v>K-2T</v>
          </cell>
          <cell r="Q771">
            <v>2</v>
          </cell>
          <cell r="R771">
            <v>4</v>
          </cell>
          <cell r="T771">
            <v>2200</v>
          </cell>
          <cell r="U771">
            <v>8</v>
          </cell>
          <cell r="V771">
            <v>2200</v>
          </cell>
          <cell r="W771">
            <v>8</v>
          </cell>
          <cell r="X771">
            <v>0</v>
          </cell>
          <cell r="Y771">
            <v>0</v>
          </cell>
          <cell r="Z771">
            <v>0</v>
          </cell>
          <cell r="AA771" t="str">
            <v>! ! ! !</v>
          </cell>
          <cell r="AJ771" t="str">
            <v>V-A</v>
          </cell>
          <cell r="AL771">
            <v>0</v>
          </cell>
          <cell r="AM771">
            <v>2200</v>
          </cell>
          <cell r="AN771" t="e">
            <v>#VALUE!</v>
          </cell>
          <cell r="AO771" t="e">
            <v>#VALUE!</v>
          </cell>
          <cell r="AP771">
            <v>-2200</v>
          </cell>
        </row>
        <row r="772">
          <cell r="A772">
            <v>63502700</v>
          </cell>
          <cell r="C772">
            <v>5027</v>
          </cell>
          <cell r="D772" t="str">
            <v xml:space="preserve">DMC VARKENSREEPJES ZOETZUUR RIJST MET GROENTEN   </v>
          </cell>
          <cell r="E772" t="str">
            <v>DMC</v>
          </cell>
          <cell r="F772" t="str">
            <v>40336300 OLAF 30 290MM</v>
          </cell>
          <cell r="G772" t="str">
            <v>C2227-2K evolve</v>
          </cell>
          <cell r="H772">
            <v>456</v>
          </cell>
          <cell r="I772">
            <v>0.51</v>
          </cell>
          <cell r="J772" t="str">
            <v>NVT</v>
          </cell>
          <cell r="K772" t="str">
            <v>DM ROND + 65X155</v>
          </cell>
          <cell r="L772">
            <v>6</v>
          </cell>
          <cell r="M772" t="str">
            <v>DMC X 6</v>
          </cell>
          <cell r="N772">
            <v>110</v>
          </cell>
          <cell r="O772">
            <v>5410953350278</v>
          </cell>
          <cell r="P772" t="str">
            <v>M-I-2T</v>
          </cell>
          <cell r="Q772">
            <v>3</v>
          </cell>
          <cell r="R772">
            <v>3</v>
          </cell>
          <cell r="S772" t="str">
            <v>Folie perforeren, RIJST D-1, T voor I</v>
          </cell>
          <cell r="T772">
            <v>2200</v>
          </cell>
          <cell r="U772">
            <v>3</v>
          </cell>
          <cell r="V772">
            <v>2200</v>
          </cell>
          <cell r="W772">
            <v>3</v>
          </cell>
          <cell r="X772">
            <v>0</v>
          </cell>
          <cell r="Y772">
            <v>0</v>
          </cell>
          <cell r="Z772">
            <v>0</v>
          </cell>
          <cell r="AA772" t="str">
            <v>! ! ! ! !</v>
          </cell>
          <cell r="AC772">
            <v>0</v>
          </cell>
          <cell r="AE772" t="str">
            <v>x</v>
          </cell>
          <cell r="AG772">
            <v>45</v>
          </cell>
          <cell r="AJ772" t="str">
            <v>V-A</v>
          </cell>
          <cell r="AL772">
            <v>2700</v>
          </cell>
          <cell r="AM772">
            <v>2200</v>
          </cell>
          <cell r="AN772" t="e">
            <v>#VALUE!</v>
          </cell>
          <cell r="AO772" t="e">
            <v>#VALUE!</v>
          </cell>
          <cell r="AP772">
            <v>500</v>
          </cell>
        </row>
        <row r="773">
          <cell r="A773">
            <v>63503400</v>
          </cell>
          <cell r="C773">
            <v>5034</v>
          </cell>
          <cell r="D773" t="str">
            <v xml:space="preserve">DMC FISH STICKS TOMATENSAUS PUREE              </v>
          </cell>
          <cell r="E773" t="str">
            <v>DMC</v>
          </cell>
          <cell r="F773" t="str">
            <v>40336300 OLAF 30 290MM</v>
          </cell>
          <cell r="G773" t="str">
            <v>C2227-3R evolve</v>
          </cell>
          <cell r="H773">
            <v>456</v>
          </cell>
          <cell r="I773">
            <v>0.49</v>
          </cell>
          <cell r="J773" t="str">
            <v>NVT</v>
          </cell>
          <cell r="K773" t="str">
            <v>DM ROND + 65X155</v>
          </cell>
          <cell r="L773">
            <v>6</v>
          </cell>
          <cell r="M773" t="str">
            <v>DMC X 6</v>
          </cell>
          <cell r="N773">
            <v>110</v>
          </cell>
          <cell r="O773">
            <v>5410953350346</v>
          </cell>
          <cell r="P773" t="str">
            <v>H-T</v>
          </cell>
          <cell r="Q773">
            <v>2</v>
          </cell>
          <cell r="R773">
            <v>3</v>
          </cell>
          <cell r="S773" t="str">
            <v>Folie perforeren</v>
          </cell>
          <cell r="T773">
            <v>1750</v>
          </cell>
          <cell r="U773">
            <v>4</v>
          </cell>
          <cell r="V773">
            <v>1750</v>
          </cell>
          <cell r="W773">
            <v>4</v>
          </cell>
          <cell r="X773">
            <v>0</v>
          </cell>
          <cell r="Y773">
            <v>0</v>
          </cell>
          <cell r="Z773">
            <v>0</v>
          </cell>
          <cell r="AA773" t="str">
            <v>! ! ! !</v>
          </cell>
          <cell r="AC773">
            <v>0</v>
          </cell>
          <cell r="AE773" t="str">
            <v>x</v>
          </cell>
          <cell r="AG773">
            <v>35</v>
          </cell>
          <cell r="AJ773" t="str">
            <v>-</v>
          </cell>
          <cell r="AL773">
            <v>2100</v>
          </cell>
          <cell r="AM773">
            <v>1750</v>
          </cell>
          <cell r="AN773" t="e">
            <v>#VALUE!</v>
          </cell>
          <cell r="AO773" t="e">
            <v>#VALUE!</v>
          </cell>
          <cell r="AP773">
            <v>350</v>
          </cell>
        </row>
        <row r="774">
          <cell r="A774">
            <v>63504100</v>
          </cell>
          <cell r="C774">
            <v>5041</v>
          </cell>
          <cell r="D774" t="str">
            <v xml:space="preserve">DMC TAGLIATELLE HAM/CHAMPIGNONS KAASSAUS       </v>
          </cell>
          <cell r="E774" t="str">
            <v>DMC</v>
          </cell>
          <cell r="F774" t="str">
            <v>40336300 OLAF 30 290MM</v>
          </cell>
          <cell r="G774" t="str">
            <v>C2227-1H evolve</v>
          </cell>
          <cell r="H774">
            <v>456</v>
          </cell>
          <cell r="I774">
            <v>0.5</v>
          </cell>
          <cell r="J774" t="str">
            <v>NVT</v>
          </cell>
          <cell r="K774" t="str">
            <v>DM ROND + 65X155</v>
          </cell>
          <cell r="L774">
            <v>6</v>
          </cell>
          <cell r="M774" t="str">
            <v>DMC X 6</v>
          </cell>
          <cell r="N774">
            <v>110</v>
          </cell>
          <cell r="O774">
            <v>5410953350414</v>
          </cell>
          <cell r="P774" t="str">
            <v>M-2T</v>
          </cell>
          <cell r="Q774">
            <v>2.5</v>
          </cell>
          <cell r="R774">
            <v>3</v>
          </cell>
          <cell r="S774" t="str">
            <v>Folie perforeren</v>
          </cell>
          <cell r="T774">
            <v>2200</v>
          </cell>
          <cell r="U774">
            <v>3</v>
          </cell>
          <cell r="V774">
            <v>2200</v>
          </cell>
          <cell r="W774">
            <v>3</v>
          </cell>
          <cell r="X774">
            <v>0</v>
          </cell>
          <cell r="Y774">
            <v>0</v>
          </cell>
          <cell r="Z774">
            <v>0</v>
          </cell>
          <cell r="AA774" t="str">
            <v>! ! !</v>
          </cell>
          <cell r="AC774">
            <v>0</v>
          </cell>
          <cell r="AE774" t="str">
            <v>x</v>
          </cell>
          <cell r="AG774">
            <v>45</v>
          </cell>
          <cell r="AJ774" t="str">
            <v>V-A</v>
          </cell>
          <cell r="AL774">
            <v>2700</v>
          </cell>
          <cell r="AM774">
            <v>2200</v>
          </cell>
          <cell r="AN774" t="e">
            <v>#VALUE!</v>
          </cell>
          <cell r="AO774" t="e">
            <v>#VALUE!</v>
          </cell>
          <cell r="AP774">
            <v>500</v>
          </cell>
        </row>
        <row r="775">
          <cell r="A775">
            <v>63504400</v>
          </cell>
          <cell r="C775">
            <v>5044</v>
          </cell>
          <cell r="D775" t="str">
            <v xml:space="preserve">DMC LAMSSLAVINK BLOEMKOOL BECHAMEL AARDAPPELEN </v>
          </cell>
          <cell r="E775" t="str">
            <v>DMC</v>
          </cell>
          <cell r="F775" t="str">
            <v>40336300 OLAF 30 290MM</v>
          </cell>
          <cell r="G775" t="str">
            <v>C2227-3R evolve</v>
          </cell>
          <cell r="H775">
            <v>456</v>
          </cell>
          <cell r="I775">
            <v>0.47</v>
          </cell>
          <cell r="J775" t="str">
            <v>NVT</v>
          </cell>
          <cell r="K775" t="str">
            <v>DM ROND + 65X155</v>
          </cell>
          <cell r="L775">
            <v>6</v>
          </cell>
          <cell r="M775" t="str">
            <v>DMC X 6</v>
          </cell>
          <cell r="N775">
            <v>110</v>
          </cell>
          <cell r="O775">
            <v>5410953350445</v>
          </cell>
          <cell r="P775" t="str">
            <v>2T</v>
          </cell>
          <cell r="Q775">
            <v>2.5</v>
          </cell>
          <cell r="R775">
            <v>3</v>
          </cell>
          <cell r="S775" t="str">
            <v>Folie perforeren</v>
          </cell>
          <cell r="T775">
            <v>1750</v>
          </cell>
          <cell r="U775">
            <v>6</v>
          </cell>
          <cell r="V775">
            <v>1750</v>
          </cell>
          <cell r="W775">
            <v>6</v>
          </cell>
          <cell r="X775">
            <v>0</v>
          </cell>
          <cell r="Y775">
            <v>0</v>
          </cell>
          <cell r="Z775">
            <v>0</v>
          </cell>
          <cell r="AA775" t="str">
            <v>! ! !</v>
          </cell>
          <cell r="AC775">
            <v>5.9062499999999997E-2</v>
          </cell>
          <cell r="AJ775" t="str">
            <v>V-A</v>
          </cell>
          <cell r="AL775">
            <v>0</v>
          </cell>
          <cell r="AM775">
            <v>1750</v>
          </cell>
          <cell r="AN775" t="e">
            <v>#VALUE!</v>
          </cell>
          <cell r="AO775" t="e">
            <v>#VALUE!</v>
          </cell>
          <cell r="AP775">
            <v>-1750</v>
          </cell>
        </row>
        <row r="776">
          <cell r="A776">
            <v>63505600</v>
          </cell>
          <cell r="C776">
            <v>5056</v>
          </cell>
          <cell r="D776" t="str">
            <v xml:space="preserve">DMC RUNDERSTOOFPOT CHAMPIGNONS GROENTENMIX PUREE     </v>
          </cell>
          <cell r="E776" t="str">
            <v>DMC</v>
          </cell>
          <cell r="F776" t="str">
            <v>40336300 OLAF 30 290MM</v>
          </cell>
          <cell r="G776" t="str">
            <v>C2227-2K evolve</v>
          </cell>
          <cell r="H776">
            <v>456</v>
          </cell>
          <cell r="I776">
            <v>0.5</v>
          </cell>
          <cell r="J776" t="str">
            <v>NVT</v>
          </cell>
          <cell r="K776" t="str">
            <v>DM ROND + 65X155</v>
          </cell>
          <cell r="L776">
            <v>6</v>
          </cell>
          <cell r="M776" t="str">
            <v>DMC X 6</v>
          </cell>
          <cell r="N776">
            <v>110</v>
          </cell>
          <cell r="O776">
            <v>5410953350568</v>
          </cell>
          <cell r="P776" t="str">
            <v>I-H-T</v>
          </cell>
          <cell r="Q776">
            <v>3</v>
          </cell>
          <cell r="R776">
            <v>3</v>
          </cell>
          <cell r="S776" t="str">
            <v>Folie perforeren, Pulled beef tussen D-4 en D-2</v>
          </cell>
          <cell r="T776">
            <v>2200</v>
          </cell>
          <cell r="U776">
            <v>4</v>
          </cell>
          <cell r="V776">
            <v>2200</v>
          </cell>
          <cell r="W776">
            <v>4</v>
          </cell>
          <cell r="X776">
            <v>0</v>
          </cell>
          <cell r="Y776">
            <v>0</v>
          </cell>
          <cell r="Z776">
            <v>0</v>
          </cell>
          <cell r="AA776" t="str">
            <v>! ! !</v>
          </cell>
          <cell r="AC776">
            <v>0</v>
          </cell>
          <cell r="AG776">
            <v>45</v>
          </cell>
          <cell r="AJ776" t="str">
            <v>-</v>
          </cell>
          <cell r="AL776">
            <v>2700</v>
          </cell>
          <cell r="AM776">
            <v>2200</v>
          </cell>
          <cell r="AN776" t="e">
            <v>#VALUE!</v>
          </cell>
          <cell r="AO776" t="e">
            <v>#VALUE!</v>
          </cell>
          <cell r="AP776">
            <v>500</v>
          </cell>
        </row>
        <row r="777">
          <cell r="A777">
            <v>63506100</v>
          </cell>
          <cell r="C777">
            <v>5061</v>
          </cell>
          <cell r="D777" t="str">
            <v>DMC DIEET VLAAMSE STOVERIJ APPELMOES AARDAPPELEN</v>
          </cell>
          <cell r="E777" t="str">
            <v>DMC, DIEET</v>
          </cell>
          <cell r="F777" t="str">
            <v>40336300 OLAF 30 290MM</v>
          </cell>
          <cell r="G777" t="str">
            <v>C2227-3R evolve</v>
          </cell>
          <cell r="H777">
            <v>456</v>
          </cell>
          <cell r="I777">
            <v>0.47</v>
          </cell>
          <cell r="J777" t="str">
            <v>NVT</v>
          </cell>
          <cell r="K777" t="str">
            <v>DM ROND + 65X155</v>
          </cell>
          <cell r="L777">
            <v>6</v>
          </cell>
          <cell r="M777" t="str">
            <v>DMC X 6</v>
          </cell>
          <cell r="N777">
            <v>110</v>
          </cell>
          <cell r="O777">
            <v>5410953350612</v>
          </cell>
          <cell r="P777" t="str">
            <v>2T</v>
          </cell>
          <cell r="Q777">
            <v>2</v>
          </cell>
          <cell r="R777">
            <v>3</v>
          </cell>
          <cell r="S777" t="str">
            <v xml:space="preserve">Folie perforeren, STOOFVLEES (vacuumzakken) </v>
          </cell>
          <cell r="T777">
            <v>1750</v>
          </cell>
          <cell r="U777">
            <v>7</v>
          </cell>
          <cell r="V777">
            <v>1750</v>
          </cell>
          <cell r="W777">
            <v>7</v>
          </cell>
          <cell r="X777">
            <v>0</v>
          </cell>
          <cell r="Y777">
            <v>0</v>
          </cell>
          <cell r="Z777">
            <v>0</v>
          </cell>
          <cell r="AA777" t="str">
            <v>! ! !</v>
          </cell>
          <cell r="AB777">
            <v>650</v>
          </cell>
          <cell r="AC777">
            <v>0</v>
          </cell>
          <cell r="AE777" t="str">
            <v>x</v>
          </cell>
          <cell r="AG777">
            <v>38</v>
          </cell>
          <cell r="AJ777" t="str">
            <v>-</v>
          </cell>
          <cell r="AL777">
            <v>2280</v>
          </cell>
          <cell r="AM777">
            <v>1750</v>
          </cell>
          <cell r="AN777" t="e">
            <v>#VALUE!</v>
          </cell>
          <cell r="AO777" t="e">
            <v>#VALUE!</v>
          </cell>
          <cell r="AP777">
            <v>530</v>
          </cell>
        </row>
        <row r="778">
          <cell r="A778">
            <v>63506200</v>
          </cell>
          <cell r="C778">
            <v>5062</v>
          </cell>
          <cell r="D778" t="str">
            <v xml:space="preserve">DMC DIEET KALFSWORST RODE KOOL APPELTJES AARDAPP </v>
          </cell>
          <cell r="E778" t="str">
            <v>DMC, DIEET</v>
          </cell>
          <cell r="F778" t="str">
            <v>40336300 OLAF 30 290MM</v>
          </cell>
          <cell r="G778" t="str">
            <v>C2227-3R evolve</v>
          </cell>
          <cell r="H778">
            <v>456</v>
          </cell>
          <cell r="I778">
            <v>0.42</v>
          </cell>
          <cell r="J778" t="str">
            <v>NVT</v>
          </cell>
          <cell r="K778" t="str">
            <v>DM ROND + 65X155</v>
          </cell>
          <cell r="L778">
            <v>6</v>
          </cell>
          <cell r="M778" t="str">
            <v>DMC X 6</v>
          </cell>
          <cell r="N778">
            <v>110</v>
          </cell>
          <cell r="O778">
            <v>5410953350629</v>
          </cell>
          <cell r="P778" t="str">
            <v>2T</v>
          </cell>
          <cell r="Q778">
            <v>2</v>
          </cell>
          <cell r="R778">
            <v>3</v>
          </cell>
          <cell r="S778" t="str">
            <v>Folie perforeren</v>
          </cell>
          <cell r="T778">
            <v>2000</v>
          </cell>
          <cell r="U778">
            <v>4</v>
          </cell>
          <cell r="V778">
            <v>2000</v>
          </cell>
          <cell r="W778">
            <v>4</v>
          </cell>
          <cell r="X778">
            <v>0</v>
          </cell>
          <cell r="Y778">
            <v>0</v>
          </cell>
          <cell r="Z778">
            <v>0</v>
          </cell>
          <cell r="AA778" t="str">
            <v>! ! !</v>
          </cell>
          <cell r="AB778">
            <v>650</v>
          </cell>
          <cell r="AC778">
            <v>2.3161764705882354E-2</v>
          </cell>
          <cell r="AE778" t="str">
            <v>x</v>
          </cell>
          <cell r="AJ778" t="str">
            <v>V-A</v>
          </cell>
          <cell r="AL778">
            <v>0</v>
          </cell>
          <cell r="AM778">
            <v>2000</v>
          </cell>
          <cell r="AN778" t="e">
            <v>#VALUE!</v>
          </cell>
          <cell r="AO778" t="e">
            <v>#VALUE!</v>
          </cell>
          <cell r="AP778">
            <v>-2000</v>
          </cell>
        </row>
        <row r="779">
          <cell r="A779">
            <v>63506700</v>
          </cell>
          <cell r="C779">
            <v>5067</v>
          </cell>
          <cell r="D779" t="str">
            <v xml:space="preserve">DMC DIEET KALFSBLANKET TOMATENSAUS PRINSESSEN PUREE  </v>
          </cell>
          <cell r="E779" t="str">
            <v>DMC, DIEET</v>
          </cell>
          <cell r="F779" t="str">
            <v>40336300 OLAF 30 290MM</v>
          </cell>
          <cell r="G779" t="str">
            <v>C2227-3R evolve</v>
          </cell>
          <cell r="H779">
            <v>456</v>
          </cell>
          <cell r="I779">
            <v>0.48</v>
          </cell>
          <cell r="J779" t="str">
            <v>NVT</v>
          </cell>
          <cell r="K779" t="str">
            <v>DM ROND + 65X155</v>
          </cell>
          <cell r="L779">
            <v>6</v>
          </cell>
          <cell r="M779" t="str">
            <v>DMC X 6</v>
          </cell>
          <cell r="N779">
            <v>110</v>
          </cell>
          <cell r="O779">
            <v>5410953350674</v>
          </cell>
          <cell r="P779" t="str">
            <v>H-T</v>
          </cell>
          <cell r="Q779">
            <v>3</v>
          </cell>
          <cell r="R779">
            <v>3</v>
          </cell>
          <cell r="S779" t="str">
            <v>Folie perforeren</v>
          </cell>
          <cell r="T779">
            <v>2000</v>
          </cell>
          <cell r="U779">
            <v>8</v>
          </cell>
          <cell r="V779">
            <v>2000</v>
          </cell>
          <cell r="W779">
            <v>8</v>
          </cell>
          <cell r="X779">
            <v>0</v>
          </cell>
          <cell r="Y779">
            <v>0</v>
          </cell>
          <cell r="Z779">
            <v>0</v>
          </cell>
          <cell r="AA779" t="str">
            <v>! ! !</v>
          </cell>
          <cell r="AB779">
            <v>650</v>
          </cell>
          <cell r="AC779">
            <v>0</v>
          </cell>
          <cell r="AG779">
            <v>42</v>
          </cell>
          <cell r="AJ779" t="str">
            <v>-</v>
          </cell>
          <cell r="AL779">
            <v>2520</v>
          </cell>
          <cell r="AM779">
            <v>2000</v>
          </cell>
          <cell r="AN779" t="e">
            <v>#VALUE!</v>
          </cell>
          <cell r="AO779" t="e">
            <v>#VALUE!</v>
          </cell>
          <cell r="AP779">
            <v>520</v>
          </cell>
        </row>
        <row r="780">
          <cell r="A780">
            <v>63506800</v>
          </cell>
          <cell r="C780">
            <v>5068</v>
          </cell>
          <cell r="D780" t="str">
            <v xml:space="preserve">DMC DIEET KIPBLANKET  BROCCOLI  WORTELEN  PUREE    </v>
          </cell>
          <cell r="E780" t="str">
            <v>DMC, DIEET</v>
          </cell>
          <cell r="F780" t="str">
            <v>40336300 OLAF 30 290MM</v>
          </cell>
          <cell r="G780" t="str">
            <v>C2227-3R evolve</v>
          </cell>
          <cell r="H780">
            <v>456</v>
          </cell>
          <cell r="I780">
            <v>0.51</v>
          </cell>
          <cell r="J780" t="str">
            <v>NVT</v>
          </cell>
          <cell r="K780" t="str">
            <v>DM ROND + 65X155</v>
          </cell>
          <cell r="L780">
            <v>6</v>
          </cell>
          <cell r="M780" t="str">
            <v>DMC X 6</v>
          </cell>
          <cell r="N780">
            <v>110</v>
          </cell>
          <cell r="O780">
            <v>5410953350681</v>
          </cell>
          <cell r="P780" t="str">
            <v>H-T</v>
          </cell>
          <cell r="Q780">
            <v>3</v>
          </cell>
          <cell r="R780">
            <v>3</v>
          </cell>
          <cell r="S780" t="str">
            <v>Folie perforeren</v>
          </cell>
          <cell r="T780">
            <v>2000</v>
          </cell>
          <cell r="U780">
            <v>8</v>
          </cell>
          <cell r="V780">
            <v>2000</v>
          </cell>
          <cell r="W780">
            <v>8</v>
          </cell>
          <cell r="X780">
            <v>0</v>
          </cell>
          <cell r="Y780">
            <v>0</v>
          </cell>
          <cell r="Z780">
            <v>0</v>
          </cell>
          <cell r="AA780" t="str">
            <v>! ! !</v>
          </cell>
          <cell r="AB780">
            <v>650</v>
          </cell>
          <cell r="AC780">
            <v>0</v>
          </cell>
          <cell r="AG780">
            <v>40</v>
          </cell>
          <cell r="AJ780" t="str">
            <v>-</v>
          </cell>
          <cell r="AL780">
            <v>2400</v>
          </cell>
          <cell r="AM780">
            <v>2000</v>
          </cell>
          <cell r="AN780" t="e">
            <v>#VALUE!</v>
          </cell>
          <cell r="AO780" t="e">
            <v>#VALUE!</v>
          </cell>
          <cell r="AP780">
            <v>400</v>
          </cell>
        </row>
        <row r="781">
          <cell r="A781">
            <v>63506900</v>
          </cell>
          <cell r="C781">
            <v>5069</v>
          </cell>
          <cell r="D781" t="str">
            <v xml:space="preserve">DMC DIEET NOORS VISPAN GROENTEN FIJNE KRUIDEN PUREE  </v>
          </cell>
          <cell r="E781" t="str">
            <v>DMC, DIEET</v>
          </cell>
          <cell r="F781" t="str">
            <v>40336300 OLAF 30 290MM</v>
          </cell>
          <cell r="G781" t="str">
            <v>C2227-2K evolve</v>
          </cell>
          <cell r="H781">
            <v>548</v>
          </cell>
          <cell r="I781">
            <v>0.53500000000000003</v>
          </cell>
          <cell r="J781" t="str">
            <v>NVT</v>
          </cell>
          <cell r="K781" t="str">
            <v>DM ROND + 65X155</v>
          </cell>
          <cell r="L781">
            <v>6</v>
          </cell>
          <cell r="M781" t="str">
            <v>DMC X 6</v>
          </cell>
          <cell r="N781">
            <v>110</v>
          </cell>
          <cell r="O781">
            <v>5410953350698</v>
          </cell>
          <cell r="P781" t="str">
            <v>H-T</v>
          </cell>
          <cell r="Q781">
            <v>2.5</v>
          </cell>
          <cell r="R781">
            <v>3</v>
          </cell>
          <cell r="S781" t="str">
            <v>Folie perforeren</v>
          </cell>
          <cell r="T781">
            <v>2000</v>
          </cell>
          <cell r="U781">
            <v>4</v>
          </cell>
          <cell r="V781">
            <v>2000</v>
          </cell>
          <cell r="W781">
            <v>4</v>
          </cell>
          <cell r="X781">
            <v>0</v>
          </cell>
          <cell r="Y781">
            <v>0</v>
          </cell>
          <cell r="Z781">
            <v>0</v>
          </cell>
          <cell r="AA781" t="str">
            <v>! ! ! !</v>
          </cell>
          <cell r="AB781">
            <v>650</v>
          </cell>
          <cell r="AC781">
            <v>0</v>
          </cell>
          <cell r="AG781">
            <v>40</v>
          </cell>
          <cell r="AJ781" t="str">
            <v>-</v>
          </cell>
          <cell r="AL781">
            <v>2400</v>
          </cell>
          <cell r="AM781">
            <v>2000</v>
          </cell>
          <cell r="AN781" t="e">
            <v>#VALUE!</v>
          </cell>
          <cell r="AO781" t="e">
            <v>#VALUE!</v>
          </cell>
          <cell r="AP781">
            <v>400</v>
          </cell>
        </row>
        <row r="782">
          <cell r="A782">
            <v>63507200</v>
          </cell>
          <cell r="C782">
            <v>5072</v>
          </cell>
          <cell r="D782" t="str">
            <v xml:space="preserve">DMC DIEET KIPPENWIT MOSTERDSAUS PRINSESSEN AARD    </v>
          </cell>
          <cell r="E782" t="str">
            <v>DMC, DIEET</v>
          </cell>
          <cell r="F782" t="str">
            <v>40336300 OLAF 30 290MM</v>
          </cell>
          <cell r="G782" t="str">
            <v>C2227-2K evolve</v>
          </cell>
          <cell r="H782">
            <v>456</v>
          </cell>
          <cell r="I782">
            <v>0.46</v>
          </cell>
          <cell r="J782" t="str">
            <v>NVT</v>
          </cell>
          <cell r="K782" t="str">
            <v>DM ROND + 65X155</v>
          </cell>
          <cell r="L782">
            <v>6</v>
          </cell>
          <cell r="M782" t="str">
            <v>CATERING</v>
          </cell>
          <cell r="N782">
            <v>110</v>
          </cell>
          <cell r="O782">
            <v>5410953350728</v>
          </cell>
          <cell r="P782" t="str">
            <v>T</v>
          </cell>
          <cell r="Q782">
            <v>2</v>
          </cell>
          <cell r="R782">
            <v>3</v>
          </cell>
          <cell r="S782" t="str">
            <v>Folie perforeren</v>
          </cell>
          <cell r="T782">
            <v>2000</v>
          </cell>
          <cell r="U782">
            <v>6</v>
          </cell>
          <cell r="V782">
            <v>2000</v>
          </cell>
          <cell r="W782">
            <v>6</v>
          </cell>
          <cell r="X782">
            <v>0</v>
          </cell>
          <cell r="Y782">
            <v>0</v>
          </cell>
          <cell r="Z782">
            <v>0</v>
          </cell>
          <cell r="AA782" t="str">
            <v>! ! !</v>
          </cell>
          <cell r="AB782">
            <v>650</v>
          </cell>
          <cell r="AC782">
            <v>0</v>
          </cell>
          <cell r="AJ782" t="str">
            <v>-</v>
          </cell>
          <cell r="AL782">
            <v>0</v>
          </cell>
          <cell r="AM782">
            <v>2000</v>
          </cell>
          <cell r="AN782" t="e">
            <v>#VALUE!</v>
          </cell>
          <cell r="AO782" t="e">
            <v>#VALUE!</v>
          </cell>
          <cell r="AP782">
            <v>-2000</v>
          </cell>
        </row>
        <row r="783">
          <cell r="A783">
            <v>63507400</v>
          </cell>
          <cell r="C783">
            <v>5074</v>
          </cell>
          <cell r="D783" t="str">
            <v xml:space="preserve">DMC DIEET VISPANNETJE MET ZALM BROCCOLI PUREE  </v>
          </cell>
          <cell r="E783" t="str">
            <v>DMC, DIEET</v>
          </cell>
          <cell r="F783" t="str">
            <v>40336300 OLAF 30 290MM</v>
          </cell>
          <cell r="G783" t="str">
            <v>C2227-2K evolve</v>
          </cell>
          <cell r="H783">
            <v>548</v>
          </cell>
          <cell r="I783">
            <v>0.55000000000000004</v>
          </cell>
          <cell r="J783" t="str">
            <v>NVT</v>
          </cell>
          <cell r="K783" t="str">
            <v>DM ROND + 65X155</v>
          </cell>
          <cell r="L783">
            <v>6</v>
          </cell>
          <cell r="M783" t="str">
            <v>DMC X 6</v>
          </cell>
          <cell r="N783">
            <v>110</v>
          </cell>
          <cell r="O783">
            <v>5410953350742</v>
          </cell>
          <cell r="P783" t="str">
            <v>H-T</v>
          </cell>
          <cell r="Q783">
            <v>3</v>
          </cell>
          <cell r="R783">
            <v>3</v>
          </cell>
          <cell r="S783" t="str">
            <v>Folie perforeren</v>
          </cell>
          <cell r="T783">
            <v>1500</v>
          </cell>
          <cell r="U783">
            <v>6</v>
          </cell>
          <cell r="V783">
            <v>1500</v>
          </cell>
          <cell r="W783">
            <v>6</v>
          </cell>
          <cell r="X783">
            <v>0</v>
          </cell>
          <cell r="Y783">
            <v>0</v>
          </cell>
          <cell r="Z783">
            <v>0</v>
          </cell>
          <cell r="AA783" t="str">
            <v>! ! ! !</v>
          </cell>
          <cell r="AB783">
            <v>650</v>
          </cell>
          <cell r="AC783">
            <v>0</v>
          </cell>
          <cell r="AG783">
            <v>30</v>
          </cell>
          <cell r="AJ783" t="str">
            <v>V-A</v>
          </cell>
          <cell r="AL783">
            <v>1800</v>
          </cell>
          <cell r="AM783">
            <v>1500</v>
          </cell>
          <cell r="AN783" t="e">
            <v>#VALUE!</v>
          </cell>
          <cell r="AO783" t="e">
            <v>#VALUE!</v>
          </cell>
          <cell r="AP783">
            <v>300</v>
          </cell>
        </row>
        <row r="784">
          <cell r="A784">
            <v>63507600</v>
          </cell>
          <cell r="C784">
            <v>5076</v>
          </cell>
          <cell r="D784" t="str">
            <v xml:space="preserve">DMC DIEET VISFILET DILLESAUS GEM GROENTEN AARD     </v>
          </cell>
          <cell r="E784" t="str">
            <v>DMC, DIEET</v>
          </cell>
          <cell r="F784" t="str">
            <v>40336300 OLAF 30 290MM</v>
          </cell>
          <cell r="G784" t="str">
            <v>C2227-2K evolve</v>
          </cell>
          <cell r="H784">
            <v>548</v>
          </cell>
          <cell r="I784">
            <v>0.51</v>
          </cell>
          <cell r="J784" t="str">
            <v>NVT</v>
          </cell>
          <cell r="K784" t="str">
            <v>DM ROND + 65X155</v>
          </cell>
          <cell r="L784">
            <v>6</v>
          </cell>
          <cell r="M784" t="str">
            <v>DMC X 6</v>
          </cell>
          <cell r="N784">
            <v>110</v>
          </cell>
          <cell r="O784">
            <v>5410953350766</v>
          </cell>
          <cell r="P784" t="str">
            <v>T</v>
          </cell>
          <cell r="Q784">
            <v>2</v>
          </cell>
          <cell r="R784">
            <v>3</v>
          </cell>
          <cell r="S784" t="str">
            <v>Folie perforeren</v>
          </cell>
          <cell r="T784">
            <v>1500</v>
          </cell>
          <cell r="U784">
            <v>6</v>
          </cell>
          <cell r="V784">
            <v>1500</v>
          </cell>
          <cell r="W784">
            <v>6</v>
          </cell>
          <cell r="X784">
            <v>0</v>
          </cell>
          <cell r="Y784">
            <v>0</v>
          </cell>
          <cell r="Z784">
            <v>0</v>
          </cell>
          <cell r="AA784" t="str">
            <v>! ! ! !</v>
          </cell>
          <cell r="AB784">
            <v>650</v>
          </cell>
          <cell r="AC784">
            <v>0</v>
          </cell>
          <cell r="AJ784" t="str">
            <v>-</v>
          </cell>
          <cell r="AL784">
            <v>0</v>
          </cell>
          <cell r="AM784">
            <v>1500</v>
          </cell>
          <cell r="AN784" t="e">
            <v>#VALUE!</v>
          </cell>
          <cell r="AO784" t="e">
            <v>#VALUE!</v>
          </cell>
          <cell r="AP784">
            <v>-1500</v>
          </cell>
        </row>
        <row r="785">
          <cell r="A785">
            <v>63507700</v>
          </cell>
          <cell r="C785">
            <v>5077</v>
          </cell>
          <cell r="D785" t="str">
            <v xml:space="preserve">DMC DIEET KIPBLANKET ROERBAKGROENTEN AARDAPPELEN </v>
          </cell>
          <cell r="E785" t="str">
            <v>DMC, DIEET</v>
          </cell>
          <cell r="F785" t="str">
            <v>40336300 OLAF 30 290MM</v>
          </cell>
          <cell r="G785" t="str">
            <v>C2227-2K evolve</v>
          </cell>
          <cell r="H785">
            <v>456</v>
          </cell>
          <cell r="I785">
            <v>0.46</v>
          </cell>
          <cell r="J785" t="str">
            <v>NVT</v>
          </cell>
          <cell r="K785" t="str">
            <v>DM ROND + 65X155</v>
          </cell>
          <cell r="L785">
            <v>6</v>
          </cell>
          <cell r="M785" t="str">
            <v>DMC X 6</v>
          </cell>
          <cell r="N785">
            <v>110</v>
          </cell>
          <cell r="O785">
            <v>5410953350773</v>
          </cell>
          <cell r="P785" t="str">
            <v>T</v>
          </cell>
          <cell r="Q785">
            <v>2</v>
          </cell>
          <cell r="R785">
            <v>3</v>
          </cell>
          <cell r="S785" t="str">
            <v>Folie perforeren</v>
          </cell>
          <cell r="T785">
            <v>1500</v>
          </cell>
          <cell r="U785">
            <v>6</v>
          </cell>
          <cell r="V785">
            <v>1500</v>
          </cell>
          <cell r="W785">
            <v>6</v>
          </cell>
          <cell r="X785">
            <v>0</v>
          </cell>
          <cell r="Y785">
            <v>0</v>
          </cell>
          <cell r="Z785">
            <v>0</v>
          </cell>
          <cell r="AA785" t="str">
            <v>! ! !</v>
          </cell>
          <cell r="AB785">
            <v>650</v>
          </cell>
          <cell r="AC785">
            <v>0</v>
          </cell>
          <cell r="AG785">
            <v>35</v>
          </cell>
          <cell r="AJ785" t="str">
            <v>-</v>
          </cell>
          <cell r="AL785">
            <v>2100</v>
          </cell>
          <cell r="AM785">
            <v>1500</v>
          </cell>
          <cell r="AN785" t="e">
            <v>#VALUE!</v>
          </cell>
          <cell r="AO785" t="e">
            <v>#VALUE!</v>
          </cell>
          <cell r="AP785">
            <v>600</v>
          </cell>
        </row>
        <row r="786">
          <cell r="A786">
            <v>63507800</v>
          </cell>
          <cell r="C786">
            <v>5078</v>
          </cell>
          <cell r="D786" t="str">
            <v xml:space="preserve">DMC DIEET VISFILET PORT WIJZE PASTA GROENE GRO    </v>
          </cell>
          <cell r="E786" t="str">
            <v>DMC, DIEET</v>
          </cell>
          <cell r="F786" t="str">
            <v>40336300 OLAF 30 290MM</v>
          </cell>
          <cell r="G786" t="str">
            <v>C2227-1H evolve</v>
          </cell>
          <cell r="H786">
            <v>548</v>
          </cell>
          <cell r="I786">
            <v>0.48</v>
          </cell>
          <cell r="J786" t="str">
            <v>NVT</v>
          </cell>
          <cell r="K786" t="str">
            <v>DM ROND + 65X155</v>
          </cell>
          <cell r="L786">
            <v>6</v>
          </cell>
          <cell r="M786" t="str">
            <v>DMC X 6</v>
          </cell>
          <cell r="N786">
            <v>110</v>
          </cell>
          <cell r="O786">
            <v>5410953350780</v>
          </cell>
          <cell r="P786" t="str">
            <v>T-M</v>
          </cell>
          <cell r="Q786">
            <v>2.5</v>
          </cell>
          <cell r="R786">
            <v>3</v>
          </cell>
          <cell r="S786" t="str">
            <v>Folie perforeren</v>
          </cell>
          <cell r="T786">
            <v>1500</v>
          </cell>
          <cell r="U786">
            <v>7</v>
          </cell>
          <cell r="V786">
            <v>1500</v>
          </cell>
          <cell r="W786">
            <v>7</v>
          </cell>
          <cell r="X786">
            <v>0</v>
          </cell>
          <cell r="Y786">
            <v>0</v>
          </cell>
          <cell r="Z786">
            <v>0</v>
          </cell>
          <cell r="AA786" t="str">
            <v>! ! ! !</v>
          </cell>
          <cell r="AB786">
            <v>650</v>
          </cell>
          <cell r="AC786">
            <v>0</v>
          </cell>
          <cell r="AG786">
            <v>30</v>
          </cell>
          <cell r="AJ786" t="str">
            <v>-</v>
          </cell>
          <cell r="AL786">
            <v>1800</v>
          </cell>
          <cell r="AM786">
            <v>1500</v>
          </cell>
          <cell r="AN786" t="e">
            <v>#VALUE!</v>
          </cell>
          <cell r="AO786" t="e">
            <v>#VALUE!</v>
          </cell>
          <cell r="AP786">
            <v>300</v>
          </cell>
        </row>
        <row r="787">
          <cell r="A787">
            <v>63508200</v>
          </cell>
          <cell r="C787">
            <v>5082</v>
          </cell>
          <cell r="D787" t="str">
            <v xml:space="preserve">DMC DIEET KALKOENFILET TOMATENSAUS PRINSESSEN PUREE  </v>
          </cell>
          <cell r="E787" t="str">
            <v>DMC, DIEET</v>
          </cell>
          <cell r="F787" t="str">
            <v>40336300 OLAF 30 290MM</v>
          </cell>
          <cell r="G787" t="str">
            <v>C2227-3R evolve</v>
          </cell>
          <cell r="H787">
            <v>456</v>
          </cell>
          <cell r="I787">
            <v>0.46</v>
          </cell>
          <cell r="J787" t="str">
            <v>NVT</v>
          </cell>
          <cell r="K787" t="str">
            <v>DM ROND + 65X155</v>
          </cell>
          <cell r="L787">
            <v>6</v>
          </cell>
          <cell r="M787" t="str">
            <v>DMC X 6</v>
          </cell>
          <cell r="N787">
            <v>110</v>
          </cell>
          <cell r="O787">
            <v>5410953350827</v>
          </cell>
          <cell r="P787" t="str">
            <v>H-T</v>
          </cell>
          <cell r="Q787">
            <v>3</v>
          </cell>
          <cell r="R787">
            <v>3</v>
          </cell>
          <cell r="S787" t="str">
            <v>Folie perforeren, kalkoen bakken en snijden</v>
          </cell>
          <cell r="T787">
            <v>2000</v>
          </cell>
          <cell r="U787">
            <v>8</v>
          </cell>
          <cell r="V787">
            <v>2000</v>
          </cell>
          <cell r="W787">
            <v>8</v>
          </cell>
          <cell r="X787">
            <v>0</v>
          </cell>
          <cell r="Y787">
            <v>0</v>
          </cell>
          <cell r="Z787">
            <v>0</v>
          </cell>
          <cell r="AA787" t="str">
            <v>! ! !</v>
          </cell>
          <cell r="AB787">
            <v>650</v>
          </cell>
          <cell r="AC787">
            <v>5.3999999999999999E-2</v>
          </cell>
          <cell r="AG787">
            <v>38</v>
          </cell>
          <cell r="AJ787" t="str">
            <v>-</v>
          </cell>
          <cell r="AL787">
            <v>2280</v>
          </cell>
          <cell r="AM787">
            <v>2000</v>
          </cell>
          <cell r="AN787" t="e">
            <v>#VALUE!</v>
          </cell>
          <cell r="AO787" t="e">
            <v>#VALUE!</v>
          </cell>
          <cell r="AP787">
            <v>280</v>
          </cell>
        </row>
        <row r="788">
          <cell r="A788">
            <v>63508400</v>
          </cell>
          <cell r="C788">
            <v>5084</v>
          </cell>
          <cell r="D788" t="str">
            <v xml:space="preserve">DMC DIEET KALK BLANKET OUDE WIJZE BROC AARDAPPELEN </v>
          </cell>
          <cell r="E788" t="str">
            <v>DMC, DIEET</v>
          </cell>
          <cell r="F788" t="str">
            <v>40336300 OLAF 30 290MM</v>
          </cell>
          <cell r="G788" t="str">
            <v>C2227-3R evolve</v>
          </cell>
          <cell r="H788">
            <v>456</v>
          </cell>
          <cell r="I788">
            <v>0.46</v>
          </cell>
          <cell r="J788" t="str">
            <v>NVT</v>
          </cell>
          <cell r="K788" t="str">
            <v>DM ROND + 65X155</v>
          </cell>
          <cell r="L788">
            <v>6</v>
          </cell>
          <cell r="M788" t="str">
            <v>CATERING</v>
          </cell>
          <cell r="N788">
            <v>110</v>
          </cell>
          <cell r="O788">
            <v>5410953350841</v>
          </cell>
          <cell r="P788" t="str">
            <v>2T</v>
          </cell>
          <cell r="Q788">
            <v>3</v>
          </cell>
          <cell r="R788">
            <v>3</v>
          </cell>
          <cell r="S788" t="str">
            <v>Folie perforeren, D-1 KA BLANKET (vacuumzakken)</v>
          </cell>
          <cell r="T788">
            <v>1750</v>
          </cell>
          <cell r="U788">
            <v>9</v>
          </cell>
          <cell r="V788">
            <v>1750</v>
          </cell>
          <cell r="W788">
            <v>9</v>
          </cell>
          <cell r="X788">
            <v>0</v>
          </cell>
          <cell r="Y788">
            <v>0</v>
          </cell>
          <cell r="Z788">
            <v>0</v>
          </cell>
          <cell r="AA788" t="str">
            <v>! ! !</v>
          </cell>
          <cell r="AB788">
            <v>650</v>
          </cell>
          <cell r="AC788">
            <v>0.24765619922999998</v>
          </cell>
          <cell r="AG788">
            <v>35</v>
          </cell>
          <cell r="AJ788" t="str">
            <v>-</v>
          </cell>
          <cell r="AL788">
            <v>2100</v>
          </cell>
          <cell r="AM788">
            <v>1750</v>
          </cell>
          <cell r="AN788" t="e">
            <v>#VALUE!</v>
          </cell>
          <cell r="AO788" t="e">
            <v>#VALUE!</v>
          </cell>
          <cell r="AP788">
            <v>350</v>
          </cell>
        </row>
        <row r="789">
          <cell r="A789">
            <v>63508800</v>
          </cell>
          <cell r="C789">
            <v>5088</v>
          </cell>
          <cell r="D789" t="str">
            <v xml:space="preserve">DMC DIEET VOL AU VENT PUREE                      </v>
          </cell>
          <cell r="E789" t="str">
            <v>DMC, DIEET</v>
          </cell>
          <cell r="F789" t="str">
            <v>40336300 OLAF 30 290MM</v>
          </cell>
          <cell r="G789" t="str">
            <v>C2227-2K evolve</v>
          </cell>
          <cell r="H789">
            <v>456</v>
          </cell>
          <cell r="I789">
            <v>0.5</v>
          </cell>
          <cell r="J789" t="str">
            <v>NVT</v>
          </cell>
          <cell r="K789" t="str">
            <v>DM ROND + 65X155</v>
          </cell>
          <cell r="L789">
            <v>6</v>
          </cell>
          <cell r="M789" t="str">
            <v>DMC X 6</v>
          </cell>
          <cell r="N789">
            <v>110</v>
          </cell>
          <cell r="O789">
            <v>5410953350889</v>
          </cell>
          <cell r="P789" t="str">
            <v>H-T</v>
          </cell>
          <cell r="Q789">
            <v>2.5</v>
          </cell>
          <cell r="R789">
            <v>3</v>
          </cell>
          <cell r="S789" t="str">
            <v>Folie perforeren</v>
          </cell>
          <cell r="T789">
            <v>2000</v>
          </cell>
          <cell r="U789">
            <v>5</v>
          </cell>
          <cell r="V789">
            <v>2000</v>
          </cell>
          <cell r="W789">
            <v>5</v>
          </cell>
          <cell r="X789">
            <v>0</v>
          </cell>
          <cell r="Y789">
            <v>0</v>
          </cell>
          <cell r="Z789">
            <v>0</v>
          </cell>
          <cell r="AA789" t="str">
            <v>! ! !</v>
          </cell>
          <cell r="AB789">
            <v>650</v>
          </cell>
          <cell r="AC789">
            <v>0</v>
          </cell>
          <cell r="AG789">
            <v>40</v>
          </cell>
          <cell r="AJ789" t="str">
            <v>-</v>
          </cell>
          <cell r="AL789">
            <v>2400</v>
          </cell>
          <cell r="AM789">
            <v>2000</v>
          </cell>
          <cell r="AN789" t="e">
            <v>#VALUE!</v>
          </cell>
          <cell r="AO789" t="e">
            <v>#VALUE!</v>
          </cell>
          <cell r="AP789">
            <v>400</v>
          </cell>
        </row>
        <row r="790">
          <cell r="A790">
            <v>63509000</v>
          </cell>
          <cell r="C790">
            <v>5090</v>
          </cell>
          <cell r="D790" t="str">
            <v xml:space="preserve">DMC DIEET RU VLEES FIJNE KRUIDEN  GROENTEN AARD    </v>
          </cell>
          <cell r="E790" t="str">
            <v>DMC, DIEET</v>
          </cell>
          <cell r="F790" t="str">
            <v>40336300 OLAF 30 290MM</v>
          </cell>
          <cell r="G790" t="str">
            <v>C2227-3R evolve</v>
          </cell>
          <cell r="H790">
            <v>456</v>
          </cell>
          <cell r="I790">
            <v>0.47</v>
          </cell>
          <cell r="J790" t="str">
            <v>NVT</v>
          </cell>
          <cell r="K790" t="str">
            <v>DM ROND + 65X155</v>
          </cell>
          <cell r="L790">
            <v>6</v>
          </cell>
          <cell r="M790" t="str">
            <v>CATERING</v>
          </cell>
          <cell r="N790">
            <v>110</v>
          </cell>
          <cell r="O790">
            <v>5410953350902</v>
          </cell>
          <cell r="P790" t="str">
            <v>T</v>
          </cell>
          <cell r="Q790">
            <v>2</v>
          </cell>
          <cell r="R790">
            <v>3</v>
          </cell>
          <cell r="S790" t="str">
            <v>Folie perforeren</v>
          </cell>
          <cell r="T790">
            <v>1500</v>
          </cell>
          <cell r="U790">
            <v>9</v>
          </cell>
          <cell r="V790">
            <v>1500</v>
          </cell>
          <cell r="W790">
            <v>9</v>
          </cell>
          <cell r="X790">
            <v>0</v>
          </cell>
          <cell r="Y790">
            <v>0</v>
          </cell>
          <cell r="Z790">
            <v>0</v>
          </cell>
          <cell r="AA790" t="str">
            <v>! ! !</v>
          </cell>
          <cell r="AB790">
            <v>650</v>
          </cell>
          <cell r="AC790">
            <v>0</v>
          </cell>
          <cell r="AJ790" t="str">
            <v>-</v>
          </cell>
          <cell r="AL790">
            <v>0</v>
          </cell>
          <cell r="AM790">
            <v>1500</v>
          </cell>
          <cell r="AN790" t="e">
            <v>#VALUE!</v>
          </cell>
          <cell r="AO790" t="e">
            <v>#VALUE!</v>
          </cell>
          <cell r="AP790">
            <v>-1500</v>
          </cell>
        </row>
        <row r="791">
          <cell r="A791">
            <v>63509200</v>
          </cell>
          <cell r="C791">
            <v>5092</v>
          </cell>
          <cell r="D791" t="str">
            <v xml:space="preserve">DMC DIEET KALFSWORST BLOEMKOOL AARDAPPELEN    </v>
          </cell>
          <cell r="E791" t="str">
            <v>DMC, DIEET</v>
          </cell>
          <cell r="F791" t="str">
            <v>40336300 OLAF 30 290MM</v>
          </cell>
          <cell r="G791" t="str">
            <v>C2227-3R evolve</v>
          </cell>
          <cell r="H791">
            <v>456</v>
          </cell>
          <cell r="I791">
            <v>0.42</v>
          </cell>
          <cell r="J791" t="str">
            <v>NVT</v>
          </cell>
          <cell r="K791" t="str">
            <v>DM ROND + 65X155</v>
          </cell>
          <cell r="L791">
            <v>6</v>
          </cell>
          <cell r="M791" t="str">
            <v>DMC X 6</v>
          </cell>
          <cell r="N791">
            <v>110</v>
          </cell>
          <cell r="O791">
            <v>5410953350926</v>
          </cell>
          <cell r="P791" t="str">
            <v>2T</v>
          </cell>
          <cell r="Q791">
            <v>2</v>
          </cell>
          <cell r="R791">
            <v>3</v>
          </cell>
          <cell r="S791" t="str">
            <v>Folie perforeren</v>
          </cell>
          <cell r="T791">
            <v>1750</v>
          </cell>
          <cell r="U791">
            <v>6</v>
          </cell>
          <cell r="V791">
            <v>1750</v>
          </cell>
          <cell r="W791">
            <v>6</v>
          </cell>
          <cell r="X791">
            <v>0</v>
          </cell>
          <cell r="Y791">
            <v>0</v>
          </cell>
          <cell r="Z791">
            <v>0</v>
          </cell>
          <cell r="AA791" t="str">
            <v>! ! !</v>
          </cell>
          <cell r="AB791">
            <v>650</v>
          </cell>
          <cell r="AC791">
            <v>2.3161764705882354E-2</v>
          </cell>
          <cell r="AG791">
            <v>35</v>
          </cell>
          <cell r="AJ791" t="str">
            <v>V-A</v>
          </cell>
          <cell r="AL791">
            <v>2100</v>
          </cell>
          <cell r="AM791">
            <v>1750</v>
          </cell>
          <cell r="AN791" t="e">
            <v>#VALUE!</v>
          </cell>
          <cell r="AO791" t="e">
            <v>#VALUE!</v>
          </cell>
          <cell r="AP791">
            <v>350</v>
          </cell>
        </row>
        <row r="792">
          <cell r="A792">
            <v>63509300</v>
          </cell>
          <cell r="C792">
            <v>5093</v>
          </cell>
          <cell r="D792" t="str">
            <v xml:space="preserve">DMC DIEET HAMBURGER WITLOOF AARDAPPELEN        </v>
          </cell>
          <cell r="E792" t="str">
            <v>DMC, DIEET</v>
          </cell>
          <cell r="F792" t="str">
            <v>40336300 OLAF 30 290MM</v>
          </cell>
          <cell r="G792" t="str">
            <v>C2227-3R evolve</v>
          </cell>
          <cell r="H792">
            <v>456</v>
          </cell>
          <cell r="I792">
            <v>0.5</v>
          </cell>
          <cell r="J792" t="str">
            <v>NVT</v>
          </cell>
          <cell r="K792" t="str">
            <v>DM ROND + 65X155</v>
          </cell>
          <cell r="L792">
            <v>6</v>
          </cell>
          <cell r="M792" t="str">
            <v>DMC X 6</v>
          </cell>
          <cell r="N792">
            <v>110</v>
          </cell>
          <cell r="O792">
            <v>5410953350933</v>
          </cell>
          <cell r="P792" t="str">
            <v>2T</v>
          </cell>
          <cell r="Q792">
            <v>2</v>
          </cell>
          <cell r="R792">
            <v>3</v>
          </cell>
          <cell r="S792" t="str">
            <v>Folie perforeren, idem 63980400</v>
          </cell>
          <cell r="T792">
            <v>2000</v>
          </cell>
          <cell r="U792">
            <v>4</v>
          </cell>
          <cell r="V792">
            <v>2000</v>
          </cell>
          <cell r="W792">
            <v>4</v>
          </cell>
          <cell r="X792">
            <v>0</v>
          </cell>
          <cell r="Y792">
            <v>0</v>
          </cell>
          <cell r="Z792">
            <v>0</v>
          </cell>
          <cell r="AA792" t="str">
            <v>! ! !</v>
          </cell>
          <cell r="AB792">
            <v>650</v>
          </cell>
          <cell r="AC792">
            <v>2.8799999999999999E-2</v>
          </cell>
          <cell r="AE792" t="str">
            <v>x</v>
          </cell>
          <cell r="AJ792" t="str">
            <v>V-A</v>
          </cell>
          <cell r="AL792">
            <v>0</v>
          </cell>
          <cell r="AM792">
            <v>2000</v>
          </cell>
          <cell r="AN792" t="e">
            <v>#VALUE!</v>
          </cell>
          <cell r="AO792" t="e">
            <v>#VALUE!</v>
          </cell>
          <cell r="AP792">
            <v>-2000</v>
          </cell>
        </row>
        <row r="793">
          <cell r="A793">
            <v>63509400</v>
          </cell>
          <cell r="C793">
            <v>5094</v>
          </cell>
          <cell r="D793" t="str">
            <v xml:space="preserve">DMC DIEET BLINDE VINK PUREE MET PREI             </v>
          </cell>
          <cell r="E793" t="str">
            <v>DMC, DIEET</v>
          </cell>
          <cell r="F793" t="str">
            <v>40336300 OLAF 30 290MM</v>
          </cell>
          <cell r="G793" t="str">
            <v>C2227-2K evolve</v>
          </cell>
          <cell r="H793">
            <v>456</v>
          </cell>
          <cell r="I793">
            <v>0.54</v>
          </cell>
          <cell r="J793" t="str">
            <v>NVT</v>
          </cell>
          <cell r="K793" t="str">
            <v>DM ROND + 65X155</v>
          </cell>
          <cell r="L793">
            <v>6</v>
          </cell>
          <cell r="M793" t="str">
            <v>DMC X 6</v>
          </cell>
          <cell r="N793">
            <v>110</v>
          </cell>
          <cell r="O793">
            <v>5410953350940</v>
          </cell>
          <cell r="P793" t="str">
            <v>H-T</v>
          </cell>
          <cell r="Q793">
            <v>2.5</v>
          </cell>
          <cell r="R793">
            <v>3</v>
          </cell>
          <cell r="S793" t="str">
            <v>Folie perforeren</v>
          </cell>
          <cell r="T793">
            <v>2200</v>
          </cell>
          <cell r="U793">
            <v>3</v>
          </cell>
          <cell r="V793">
            <v>2200</v>
          </cell>
          <cell r="W793">
            <v>3</v>
          </cell>
          <cell r="X793">
            <v>0</v>
          </cell>
          <cell r="Y793">
            <v>0</v>
          </cell>
          <cell r="Z793">
            <v>0</v>
          </cell>
          <cell r="AA793" t="str">
            <v>! ! !</v>
          </cell>
          <cell r="AB793">
            <v>650</v>
          </cell>
          <cell r="AC793">
            <v>3.1818181818181815E-2</v>
          </cell>
          <cell r="AE793" t="str">
            <v>x</v>
          </cell>
          <cell r="AG793">
            <v>45</v>
          </cell>
          <cell r="AJ793" t="str">
            <v>V-A</v>
          </cell>
          <cell r="AL793">
            <v>2700</v>
          </cell>
          <cell r="AM793">
            <v>2200</v>
          </cell>
          <cell r="AN793" t="e">
            <v>#VALUE!</v>
          </cell>
          <cell r="AO793" t="e">
            <v>#VALUE!</v>
          </cell>
          <cell r="AP793">
            <v>500</v>
          </cell>
        </row>
        <row r="794">
          <cell r="A794">
            <v>63509500</v>
          </cell>
          <cell r="C794">
            <v>5095</v>
          </cell>
          <cell r="D794" t="str">
            <v xml:space="preserve">DMC DIEET GEHAKTBALLETJES TOMAAT PRINSESSEN AARD   </v>
          </cell>
          <cell r="E794" t="str">
            <v>DMC, DIEET</v>
          </cell>
          <cell r="F794" t="str">
            <v>40336300 OLAF 30 290MM</v>
          </cell>
          <cell r="G794" t="str">
            <v>C2227-3R evolve</v>
          </cell>
          <cell r="H794">
            <v>456</v>
          </cell>
          <cell r="I794">
            <v>0.45</v>
          </cell>
          <cell r="J794" t="str">
            <v>NVT</v>
          </cell>
          <cell r="K794" t="str">
            <v>DM ROND + 65X155</v>
          </cell>
          <cell r="L794">
            <v>6</v>
          </cell>
          <cell r="M794" t="str">
            <v>DMC X 6</v>
          </cell>
          <cell r="N794">
            <v>110</v>
          </cell>
          <cell r="O794">
            <v>5410953350957</v>
          </cell>
          <cell r="P794" t="str">
            <v>T</v>
          </cell>
          <cell r="Q794">
            <v>2</v>
          </cell>
          <cell r="R794">
            <v>3</v>
          </cell>
          <cell r="S794" t="str">
            <v>Folie perforeren</v>
          </cell>
          <cell r="T794">
            <v>2000</v>
          </cell>
          <cell r="U794">
            <v>7</v>
          </cell>
          <cell r="V794">
            <v>2000</v>
          </cell>
          <cell r="W794">
            <v>7</v>
          </cell>
          <cell r="X794">
            <v>0</v>
          </cell>
          <cell r="Y794">
            <v>0</v>
          </cell>
          <cell r="Z794">
            <v>0</v>
          </cell>
          <cell r="AA794" t="str">
            <v>! ! !</v>
          </cell>
          <cell r="AB794">
            <v>650</v>
          </cell>
          <cell r="AC794">
            <v>2.5196850393700787E-2</v>
          </cell>
          <cell r="AG794">
            <v>40</v>
          </cell>
          <cell r="AJ794" t="str">
            <v>-</v>
          </cell>
          <cell r="AL794">
            <v>2400</v>
          </cell>
          <cell r="AM794">
            <v>2000</v>
          </cell>
          <cell r="AN794" t="e">
            <v>#VALUE!</v>
          </cell>
          <cell r="AO794" t="e">
            <v>#VALUE!</v>
          </cell>
          <cell r="AP794">
            <v>400</v>
          </cell>
        </row>
        <row r="795">
          <cell r="A795">
            <v>63513000</v>
          </cell>
          <cell r="C795">
            <v>5130</v>
          </cell>
          <cell r="D795" t="str">
            <v>DMC KABELJAUW KREEFTENSAUS SPINAZIE KOOLRABI AARD ECRASSEE</v>
          </cell>
          <cell r="E795" t="str">
            <v>DMC</v>
          </cell>
          <cell r="F795" t="str">
            <v>40336300 OLAF 30 290MM</v>
          </cell>
          <cell r="G795" t="str">
            <v>C2227-2K evolve</v>
          </cell>
          <cell r="H795">
            <v>456</v>
          </cell>
          <cell r="I795">
            <v>0.5</v>
          </cell>
          <cell r="J795" t="str">
            <v>NVT</v>
          </cell>
          <cell r="K795" t="str">
            <v>DM ROND + 65X155</v>
          </cell>
          <cell r="L795">
            <v>6</v>
          </cell>
          <cell r="M795" t="str">
            <v>DMC X 6</v>
          </cell>
          <cell r="N795">
            <v>110</v>
          </cell>
          <cell r="O795">
            <v>5410953351305</v>
          </cell>
          <cell r="P795" t="str">
            <v>T-H</v>
          </cell>
          <cell r="Q795">
            <v>3</v>
          </cell>
          <cell r="R795">
            <v>3</v>
          </cell>
          <cell r="S795" t="str">
            <v>Folie perforeren, idem 63951000</v>
          </cell>
          <cell r="T795">
            <v>2000</v>
          </cell>
          <cell r="U795">
            <v>4</v>
          </cell>
          <cell r="V795">
            <v>2000</v>
          </cell>
          <cell r="W795">
            <v>4</v>
          </cell>
          <cell r="X795">
            <v>0</v>
          </cell>
          <cell r="Y795">
            <v>0</v>
          </cell>
          <cell r="Z795">
            <v>0</v>
          </cell>
          <cell r="AA795" t="str">
            <v>! ! ! !</v>
          </cell>
          <cell r="AC795">
            <v>0</v>
          </cell>
          <cell r="AG795">
            <v>40</v>
          </cell>
          <cell r="AJ795" t="str">
            <v>V-A</v>
          </cell>
          <cell r="AL795">
            <v>2400</v>
          </cell>
          <cell r="AM795">
            <v>2000</v>
          </cell>
          <cell r="AN795" t="e">
            <v>#VALUE!</v>
          </cell>
          <cell r="AO795" t="e">
            <v>#VALUE!</v>
          </cell>
          <cell r="AP795">
            <v>400</v>
          </cell>
        </row>
        <row r="796">
          <cell r="A796">
            <v>63513500</v>
          </cell>
          <cell r="C796">
            <v>5135</v>
          </cell>
          <cell r="D796" t="str">
            <v>DMC LAMSRAGOUT PRINCESSENBONEN AARDAPPELKUBUS</v>
          </cell>
          <cell r="E796" t="str">
            <v>DMC</v>
          </cell>
          <cell r="F796" t="str">
            <v>40336300 OLAF 30 290MM</v>
          </cell>
          <cell r="G796" t="str">
            <v>C2227-2K evolve</v>
          </cell>
          <cell r="H796">
            <v>456</v>
          </cell>
          <cell r="I796">
            <v>0.53</v>
          </cell>
          <cell r="J796" t="str">
            <v>NVT</v>
          </cell>
          <cell r="K796" t="str">
            <v>DM ROND + 65X155</v>
          </cell>
          <cell r="L796">
            <v>6</v>
          </cell>
          <cell r="M796" t="str">
            <v>DMC X 6</v>
          </cell>
          <cell r="N796">
            <v>110</v>
          </cell>
          <cell r="O796">
            <v>5410953351350</v>
          </cell>
          <cell r="P796" t="str">
            <v>T-I</v>
          </cell>
          <cell r="Q796">
            <v>2.5</v>
          </cell>
          <cell r="R796">
            <v>3</v>
          </cell>
          <cell r="S796" t="str">
            <v>Folie perforeren, D-2 LAMSVLEES koken + D-1 snijden</v>
          </cell>
          <cell r="T796">
            <v>2200</v>
          </cell>
          <cell r="U796">
            <v>4</v>
          </cell>
          <cell r="V796">
            <v>2200</v>
          </cell>
          <cell r="W796">
            <v>4</v>
          </cell>
          <cell r="X796">
            <v>0</v>
          </cell>
          <cell r="Y796">
            <v>0</v>
          </cell>
          <cell r="Z796">
            <v>0</v>
          </cell>
          <cell r="AA796" t="str">
            <v>! ! !</v>
          </cell>
          <cell r="AC796">
            <v>0</v>
          </cell>
          <cell r="AG796">
            <v>45</v>
          </cell>
          <cell r="AJ796" t="str">
            <v>V-A</v>
          </cell>
          <cell r="AL796">
            <v>2700</v>
          </cell>
          <cell r="AM796">
            <v>2200</v>
          </cell>
          <cell r="AN796" t="e">
            <v>#VALUE!</v>
          </cell>
          <cell r="AO796" t="e">
            <v>#VALUE!</v>
          </cell>
          <cell r="AP796">
            <v>500</v>
          </cell>
        </row>
        <row r="797">
          <cell r="A797">
            <v>63515400</v>
          </cell>
          <cell r="C797">
            <v>5154</v>
          </cell>
          <cell r="D797" t="str">
            <v>DMC PENNE PESTO KIP WOKGROENTJES</v>
          </cell>
          <cell r="E797" t="str">
            <v>DMC</v>
          </cell>
          <cell r="F797" t="str">
            <v>40336300 OLAF 30 290MM</v>
          </cell>
          <cell r="G797" t="str">
            <v>C2227-1H evolve</v>
          </cell>
          <cell r="H797">
            <v>456</v>
          </cell>
          <cell r="I797">
            <v>0.5</v>
          </cell>
          <cell r="J797" t="str">
            <v>NVT</v>
          </cell>
          <cell r="K797" t="str">
            <v>DM ROND + 65X155</v>
          </cell>
          <cell r="L797">
            <v>6</v>
          </cell>
          <cell r="M797" t="str">
            <v>DMC X 6</v>
          </cell>
          <cell r="N797">
            <v>110</v>
          </cell>
          <cell r="O797">
            <v>5410953351541</v>
          </cell>
          <cell r="P797" t="str">
            <v>M-I-T</v>
          </cell>
          <cell r="Q797">
            <v>2</v>
          </cell>
          <cell r="R797">
            <v>3</v>
          </cell>
          <cell r="S797" t="str">
            <v>Folie perforeren, idem 63907500</v>
          </cell>
          <cell r="T797">
            <v>2000</v>
          </cell>
          <cell r="U797">
            <v>5</v>
          </cell>
          <cell r="V797">
            <v>2000</v>
          </cell>
          <cell r="W797">
            <v>5</v>
          </cell>
          <cell r="X797">
            <v>0</v>
          </cell>
          <cell r="Y797">
            <v>0</v>
          </cell>
          <cell r="Z797">
            <v>0</v>
          </cell>
          <cell r="AA797" t="str">
            <v>! !</v>
          </cell>
          <cell r="AC797">
            <v>0</v>
          </cell>
          <cell r="AG797">
            <v>40</v>
          </cell>
          <cell r="AJ797" t="str">
            <v>-</v>
          </cell>
          <cell r="AL797">
            <v>2400</v>
          </cell>
          <cell r="AM797">
            <v>2000</v>
          </cell>
          <cell r="AN797" t="e">
            <v>#VALUE!</v>
          </cell>
          <cell r="AO797" t="e">
            <v>#VALUE!</v>
          </cell>
          <cell r="AP797">
            <v>400</v>
          </cell>
        </row>
        <row r="798">
          <cell r="A798">
            <v>63516000</v>
          </cell>
          <cell r="C798">
            <v>5160</v>
          </cell>
          <cell r="D798" t="str">
            <v>DMC ALASKA POLLAK BOTERSAUS GROENTEMIX AARD KWARTJES</v>
          </cell>
          <cell r="E798" t="str">
            <v>DMC</v>
          </cell>
          <cell r="F798" t="str">
            <v>40336300 OLAF 30 290MM</v>
          </cell>
          <cell r="G798" t="str">
            <v>C2227-2K evolve</v>
          </cell>
          <cell r="H798">
            <v>548</v>
          </cell>
          <cell r="I798">
            <v>0.5</v>
          </cell>
          <cell r="J798" t="str">
            <v>NVT</v>
          </cell>
          <cell r="K798" t="str">
            <v>DM ROND + 65X155</v>
          </cell>
          <cell r="L798">
            <v>6</v>
          </cell>
          <cell r="M798" t="str">
            <v>DMC X 6</v>
          </cell>
          <cell r="N798">
            <v>110</v>
          </cell>
          <cell r="O798">
            <v>5410953351602</v>
          </cell>
          <cell r="P798" t="str">
            <v>I-T</v>
          </cell>
          <cell r="Q798">
            <v>2</v>
          </cell>
          <cell r="R798">
            <v>3</v>
          </cell>
          <cell r="S798" t="str">
            <v>Folie perforeren, ALASKA POLLAK verzagen (100g)</v>
          </cell>
          <cell r="T798">
            <v>2000</v>
          </cell>
          <cell r="U798">
            <v>5</v>
          </cell>
          <cell r="V798">
            <v>2000</v>
          </cell>
          <cell r="W798">
            <v>5</v>
          </cell>
          <cell r="X798">
            <v>0</v>
          </cell>
          <cell r="Y798">
            <v>0</v>
          </cell>
          <cell r="Z798">
            <v>0</v>
          </cell>
          <cell r="AA798" t="str">
            <v>! ! ! !</v>
          </cell>
          <cell r="AC798">
            <v>0</v>
          </cell>
          <cell r="AG798">
            <v>42</v>
          </cell>
          <cell r="AJ798" t="str">
            <v>-</v>
          </cell>
          <cell r="AL798">
            <v>2520</v>
          </cell>
          <cell r="AM798">
            <v>2000</v>
          </cell>
          <cell r="AN798" t="e">
            <v>#VALUE!</v>
          </cell>
          <cell r="AO798" t="e">
            <v>#VALUE!</v>
          </cell>
          <cell r="AP798">
            <v>520</v>
          </cell>
        </row>
        <row r="799">
          <cell r="A799">
            <v>63516200</v>
          </cell>
          <cell r="C799">
            <v>5162</v>
          </cell>
          <cell r="D799" t="str">
            <v>DMC HEEK POMPOENSAUS SUIKERERWT/SPINAZIE GEBAKK KRIEL</v>
          </cell>
          <cell r="E799" t="str">
            <v>DMC</v>
          </cell>
          <cell r="F799" t="str">
            <v>40336300 OLAF 30 290MM</v>
          </cell>
          <cell r="G799" t="str">
            <v>C2227-2K evolve</v>
          </cell>
          <cell r="H799">
            <v>548</v>
          </cell>
          <cell r="I799">
            <v>0.5</v>
          </cell>
          <cell r="J799" t="str">
            <v>NVT</v>
          </cell>
          <cell r="K799" t="str">
            <v>DM ROND + 65X155</v>
          </cell>
          <cell r="L799">
            <v>6</v>
          </cell>
          <cell r="M799" t="str">
            <v>DMC X 6</v>
          </cell>
          <cell r="N799">
            <v>110</v>
          </cell>
          <cell r="O799">
            <v>5410953351626</v>
          </cell>
          <cell r="P799" t="str">
            <v>T</v>
          </cell>
          <cell r="Q799">
            <v>3</v>
          </cell>
          <cell r="R799">
            <v>3</v>
          </cell>
          <cell r="S799" t="str">
            <v>Folie perforeren, KRIELEN bakken</v>
          </cell>
          <cell r="T799">
            <v>2000</v>
          </cell>
          <cell r="U799">
            <v>6</v>
          </cell>
          <cell r="V799">
            <v>2000</v>
          </cell>
          <cell r="W799">
            <v>6</v>
          </cell>
          <cell r="X799">
            <v>0</v>
          </cell>
          <cell r="Y799">
            <v>0</v>
          </cell>
          <cell r="Z799">
            <v>0</v>
          </cell>
          <cell r="AA799" t="str">
            <v>! ! ! !</v>
          </cell>
          <cell r="AC799">
            <v>4.9000000000000002E-2</v>
          </cell>
          <cell r="AG799">
            <v>40</v>
          </cell>
          <cell r="AJ799" t="str">
            <v>-</v>
          </cell>
          <cell r="AL799">
            <v>2400</v>
          </cell>
          <cell r="AM799">
            <v>2000</v>
          </cell>
          <cell r="AN799" t="e">
            <v>#VALUE!</v>
          </cell>
          <cell r="AO799" t="e">
            <v>#VALUE!</v>
          </cell>
          <cell r="AP799">
            <v>400</v>
          </cell>
        </row>
        <row r="800">
          <cell r="A800">
            <v>63517000</v>
          </cell>
          <cell r="C800">
            <v>5170</v>
          </cell>
          <cell r="D800" t="str">
            <v>DMC GEHAKTBROODJES WITTE BONEN TOMATENSAUS PUREE</v>
          </cell>
          <cell r="E800" t="str">
            <v>DMC</v>
          </cell>
          <cell r="F800" t="str">
            <v>40336300 OLAF 30 290MM</v>
          </cell>
          <cell r="G800" t="str">
            <v>C2227-3R evolve</v>
          </cell>
          <cell r="H800">
            <v>456</v>
          </cell>
          <cell r="I800">
            <v>0.54</v>
          </cell>
          <cell r="J800" t="str">
            <v>NVT</v>
          </cell>
          <cell r="K800" t="str">
            <v>DM ROND + 65X155</v>
          </cell>
          <cell r="L800">
            <v>6</v>
          </cell>
          <cell r="M800" t="str">
            <v>DMC X 6</v>
          </cell>
          <cell r="N800">
            <v>110</v>
          </cell>
          <cell r="O800">
            <v>5410953351701</v>
          </cell>
          <cell r="P800" t="str">
            <v>2T-H</v>
          </cell>
          <cell r="Q800">
            <v>3</v>
          </cell>
          <cell r="R800">
            <v>3</v>
          </cell>
          <cell r="S800" t="str">
            <v>Folie perforeren</v>
          </cell>
          <cell r="T800">
            <v>2200</v>
          </cell>
          <cell r="U800">
            <v>3</v>
          </cell>
          <cell r="V800">
            <v>2200</v>
          </cell>
          <cell r="W800">
            <v>3</v>
          </cell>
          <cell r="X800">
            <v>0</v>
          </cell>
          <cell r="Y800">
            <v>0</v>
          </cell>
          <cell r="Z800">
            <v>0</v>
          </cell>
          <cell r="AA800" t="str">
            <v>! ! !</v>
          </cell>
          <cell r="AC800">
            <v>0.1656</v>
          </cell>
          <cell r="AG800">
            <v>45</v>
          </cell>
          <cell r="AJ800" t="str">
            <v>V-A</v>
          </cell>
          <cell r="AL800">
            <v>2700</v>
          </cell>
          <cell r="AM800">
            <v>2200</v>
          </cell>
          <cell r="AN800" t="e">
            <v>#VALUE!</v>
          </cell>
          <cell r="AO800" t="e">
            <v>#VALUE!</v>
          </cell>
          <cell r="AP800">
            <v>500</v>
          </cell>
        </row>
        <row r="801">
          <cell r="A801">
            <v>63517700</v>
          </cell>
          <cell r="C801">
            <v>5177</v>
          </cell>
          <cell r="D801" t="str">
            <v>DMC RUNDERROLLADE VLEESJUS JONGE WORTEL KOOKAARDAP</v>
          </cell>
          <cell r="E801" t="str">
            <v>DMC</v>
          </cell>
          <cell r="F801" t="str">
            <v>40336300 OLAF 30 290MM</v>
          </cell>
          <cell r="G801" t="str">
            <v>C2227-3R evolve</v>
          </cell>
          <cell r="H801">
            <v>456</v>
          </cell>
          <cell r="I801">
            <v>0.48</v>
          </cell>
          <cell r="J801" t="str">
            <v>NVT</v>
          </cell>
          <cell r="K801" t="str">
            <v>DM ROND + 65X155</v>
          </cell>
          <cell r="L801">
            <v>6</v>
          </cell>
          <cell r="M801" t="str">
            <v>CATERING</v>
          </cell>
          <cell r="N801">
            <v>110</v>
          </cell>
          <cell r="O801">
            <v>5410953351770</v>
          </cell>
          <cell r="P801" t="str">
            <v>2T</v>
          </cell>
          <cell r="Q801">
            <v>2.5</v>
          </cell>
          <cell r="R801">
            <v>3</v>
          </cell>
          <cell r="S801" t="str">
            <v>Folie perforeren, ROSBIEF snijden, AARDAPPELEN steamen D-0</v>
          </cell>
          <cell r="T801">
            <v>2000</v>
          </cell>
          <cell r="U801">
            <v>10</v>
          </cell>
          <cell r="V801">
            <v>2000</v>
          </cell>
          <cell r="W801">
            <v>10</v>
          </cell>
          <cell r="X801">
            <v>0</v>
          </cell>
          <cell r="Y801">
            <v>0</v>
          </cell>
          <cell r="Z801">
            <v>0</v>
          </cell>
          <cell r="AA801" t="str">
            <v>! !</v>
          </cell>
          <cell r="AC801">
            <v>0</v>
          </cell>
          <cell r="AG801">
            <v>38</v>
          </cell>
          <cell r="AJ801" t="str">
            <v>-</v>
          </cell>
          <cell r="AL801">
            <v>2280</v>
          </cell>
          <cell r="AM801">
            <v>2000</v>
          </cell>
          <cell r="AN801" t="e">
            <v>#VALUE!</v>
          </cell>
          <cell r="AO801" t="e">
            <v>#VALUE!</v>
          </cell>
          <cell r="AP801">
            <v>280</v>
          </cell>
        </row>
        <row r="802">
          <cell r="A802">
            <v>63517800</v>
          </cell>
          <cell r="C802">
            <v>5178</v>
          </cell>
          <cell r="D802" t="str">
            <v>DMC KIPFILET PEPERROOMSAUS GROENTENMIX KRIELTJES</v>
          </cell>
          <cell r="E802" t="str">
            <v>DMC</v>
          </cell>
          <cell r="F802" t="str">
            <v>40336300 OLAF 30 290MM</v>
          </cell>
          <cell r="G802" t="str">
            <v>C2227-3R evolve</v>
          </cell>
          <cell r="H802">
            <v>456</v>
          </cell>
          <cell r="I802">
            <v>0.5</v>
          </cell>
          <cell r="J802" t="str">
            <v>NVT</v>
          </cell>
          <cell r="K802" t="str">
            <v>DM ROND + 65X155</v>
          </cell>
          <cell r="L802">
            <v>6</v>
          </cell>
          <cell r="M802" t="str">
            <v>DMC X 6</v>
          </cell>
          <cell r="N802">
            <v>110</v>
          </cell>
          <cell r="O802">
            <v>5410953351787</v>
          </cell>
          <cell r="P802" t="str">
            <v>T</v>
          </cell>
          <cell r="Q802">
            <v>2</v>
          </cell>
          <cell r="R802">
            <v>3</v>
          </cell>
          <cell r="S802" t="str">
            <v>Folie perforeren</v>
          </cell>
          <cell r="T802">
            <v>2000</v>
          </cell>
          <cell r="U802">
            <v>5</v>
          </cell>
          <cell r="V802">
            <v>2000</v>
          </cell>
          <cell r="W802">
            <v>5</v>
          </cell>
          <cell r="X802">
            <v>0</v>
          </cell>
          <cell r="Y802">
            <v>0</v>
          </cell>
          <cell r="Z802">
            <v>0</v>
          </cell>
          <cell r="AA802" t="str">
            <v>! !</v>
          </cell>
          <cell r="AC802">
            <v>0</v>
          </cell>
          <cell r="AG802">
            <v>42</v>
          </cell>
          <cell r="AJ802" t="str">
            <v>-</v>
          </cell>
          <cell r="AL802">
            <v>2520</v>
          </cell>
          <cell r="AM802">
            <v>2000</v>
          </cell>
          <cell r="AN802" t="e">
            <v>#VALUE!</v>
          </cell>
          <cell r="AO802" t="e">
            <v>#VALUE!</v>
          </cell>
          <cell r="AP802">
            <v>520</v>
          </cell>
        </row>
        <row r="803">
          <cell r="A803">
            <v>63517900</v>
          </cell>
          <cell r="C803">
            <v>5179</v>
          </cell>
          <cell r="D803" t="str">
            <v>DMC NOEDELS KIP GROENTEN SOJA ZWARTE PEPERSAUS</v>
          </cell>
          <cell r="E803" t="str">
            <v>DMC</v>
          </cell>
          <cell r="F803" t="str">
            <v>40336300 OLAF 30 290MM</v>
          </cell>
          <cell r="G803" t="str">
            <v>C2227-1H evolve</v>
          </cell>
          <cell r="H803">
            <v>456</v>
          </cell>
          <cell r="I803">
            <v>0.5</v>
          </cell>
          <cell r="J803" t="str">
            <v>NVT</v>
          </cell>
          <cell r="K803" t="str">
            <v>DM ROND + 65X155</v>
          </cell>
          <cell r="L803">
            <v>6</v>
          </cell>
          <cell r="M803" t="str">
            <v>DMC X 6</v>
          </cell>
          <cell r="N803">
            <v>110</v>
          </cell>
          <cell r="O803">
            <v>5410953351794</v>
          </cell>
          <cell r="P803" t="str">
            <v>I-M-T</v>
          </cell>
          <cell r="Q803">
            <v>3</v>
          </cell>
          <cell r="R803">
            <v>3</v>
          </cell>
          <cell r="S803" t="str">
            <v>Folie perforeren</v>
          </cell>
          <cell r="T803">
            <v>2200</v>
          </cell>
          <cell r="U803">
            <v>6</v>
          </cell>
          <cell r="V803">
            <v>2200</v>
          </cell>
          <cell r="W803">
            <v>6</v>
          </cell>
          <cell r="X803">
            <v>0</v>
          </cell>
          <cell r="Y803">
            <v>0</v>
          </cell>
          <cell r="Z803">
            <v>0</v>
          </cell>
          <cell r="AA803" t="str">
            <v>! ! ! !</v>
          </cell>
          <cell r="AC803">
            <v>0</v>
          </cell>
          <cell r="AG803">
            <v>45</v>
          </cell>
          <cell r="AJ803" t="str">
            <v>V-A</v>
          </cell>
          <cell r="AL803">
            <v>2700</v>
          </cell>
          <cell r="AM803">
            <v>2200</v>
          </cell>
          <cell r="AN803" t="e">
            <v>#VALUE!</v>
          </cell>
          <cell r="AO803" t="e">
            <v>#VALUE!</v>
          </cell>
          <cell r="AP803">
            <v>500</v>
          </cell>
        </row>
        <row r="804">
          <cell r="A804">
            <v>63518200</v>
          </cell>
          <cell r="C804">
            <v>5182</v>
          </cell>
          <cell r="D804" t="str">
            <v>DMC MEXICAANSE OVENSCHOTEL</v>
          </cell>
          <cell r="E804" t="str">
            <v>DMC</v>
          </cell>
          <cell r="F804" t="str">
            <v>40336300 OLAF 30 290MM</v>
          </cell>
          <cell r="G804" t="str">
            <v>C2227-1H evolve</v>
          </cell>
          <cell r="H804">
            <v>456</v>
          </cell>
          <cell r="I804">
            <v>0.5</v>
          </cell>
          <cell r="J804" t="str">
            <v>NVT</v>
          </cell>
          <cell r="K804" t="str">
            <v>DM ROND + 65X155</v>
          </cell>
          <cell r="L804">
            <v>6</v>
          </cell>
          <cell r="M804" t="str">
            <v>DMC X 6</v>
          </cell>
          <cell r="N804">
            <v>110</v>
          </cell>
          <cell r="O804">
            <v>5410953351824</v>
          </cell>
          <cell r="P804" t="str">
            <v>2T-K</v>
          </cell>
          <cell r="Q804">
            <v>1</v>
          </cell>
          <cell r="R804">
            <v>3</v>
          </cell>
          <cell r="S804" t="str">
            <v>Folie perforeren</v>
          </cell>
          <cell r="T804">
            <v>2200</v>
          </cell>
          <cell r="U804">
            <v>4</v>
          </cell>
          <cell r="V804">
            <v>2200</v>
          </cell>
          <cell r="W804">
            <v>4</v>
          </cell>
          <cell r="X804">
            <v>0</v>
          </cell>
          <cell r="Y804">
            <v>0</v>
          </cell>
          <cell r="Z804">
            <v>0</v>
          </cell>
          <cell r="AA804" t="str">
            <v>! !</v>
          </cell>
          <cell r="AC804">
            <v>0</v>
          </cell>
          <cell r="AG804">
            <v>45</v>
          </cell>
          <cell r="AJ804" t="str">
            <v>-</v>
          </cell>
          <cell r="AL804">
            <v>2700</v>
          </cell>
          <cell r="AM804">
            <v>2200</v>
          </cell>
          <cell r="AN804" t="e">
            <v>#VALUE!</v>
          </cell>
          <cell r="AO804" t="e">
            <v>#VALUE!</v>
          </cell>
          <cell r="AP804">
            <v>500</v>
          </cell>
        </row>
        <row r="805">
          <cell r="A805">
            <v>63518600</v>
          </cell>
          <cell r="C805">
            <v>5186</v>
          </cell>
          <cell r="D805" t="str">
            <v>DMC KIPPENBOUT APPELMOES PUREE</v>
          </cell>
          <cell r="E805" t="str">
            <v>DMC</v>
          </cell>
          <cell r="F805" t="str">
            <v>40336300 OLAF 30 290MM</v>
          </cell>
          <cell r="G805" t="str">
            <v>C2227-2K evolve</v>
          </cell>
          <cell r="H805">
            <v>456</v>
          </cell>
          <cell r="I805">
            <v>0.51</v>
          </cell>
          <cell r="J805" t="str">
            <v>NVT</v>
          </cell>
          <cell r="K805" t="str">
            <v>DM ROND + 65X155</v>
          </cell>
          <cell r="L805">
            <v>6</v>
          </cell>
          <cell r="M805" t="str">
            <v>DMC X 6</v>
          </cell>
          <cell r="N805">
            <v>110</v>
          </cell>
          <cell r="O805">
            <v>5410953351862</v>
          </cell>
          <cell r="Z805">
            <v>0</v>
          </cell>
          <cell r="AA805" t="str">
            <v>! !</v>
          </cell>
          <cell r="AC805">
            <v>0</v>
          </cell>
          <cell r="AJ805" t="str">
            <v>V-A</v>
          </cell>
          <cell r="AL805">
            <v>0</v>
          </cell>
          <cell r="AM805">
            <v>0</v>
          </cell>
          <cell r="AN805" t="e">
            <v>#VALUE!</v>
          </cell>
          <cell r="AO805" t="str">
            <v/>
          </cell>
          <cell r="AP805">
            <v>0</v>
          </cell>
        </row>
        <row r="806">
          <cell r="A806">
            <v>63540100</v>
          </cell>
          <cell r="C806">
            <v>5401</v>
          </cell>
          <cell r="D806" t="str">
            <v>DMC P RUNDSTONG MADEIRA PUREE</v>
          </cell>
          <cell r="E806" t="str">
            <v>DMC P</v>
          </cell>
          <cell r="F806" t="str">
            <v>40336300 OLAF 30 290MM</v>
          </cell>
          <cell r="G806" t="str">
            <v>C2227-2K evolve</v>
          </cell>
          <cell r="H806">
            <v>548</v>
          </cell>
          <cell r="I806">
            <v>0.5</v>
          </cell>
          <cell r="J806" t="str">
            <v>NVT</v>
          </cell>
          <cell r="K806" t="str">
            <v>PIET ROND + 65X155</v>
          </cell>
          <cell r="L806">
            <v>6</v>
          </cell>
          <cell r="M806" t="str">
            <v>CATERING</v>
          </cell>
          <cell r="N806">
            <v>110</v>
          </cell>
          <cell r="O806">
            <v>5410953354016</v>
          </cell>
          <cell r="P806" t="str">
            <v>H-2T</v>
          </cell>
          <cell r="Q806">
            <v>2</v>
          </cell>
          <cell r="R806">
            <v>3</v>
          </cell>
          <cell r="S806" t="str">
            <v>Folie perforeren</v>
          </cell>
          <cell r="T806">
            <v>2000</v>
          </cell>
          <cell r="U806">
            <v>6</v>
          </cell>
          <cell r="V806">
            <v>2000</v>
          </cell>
          <cell r="W806">
            <v>6</v>
          </cell>
          <cell r="X806">
            <v>0</v>
          </cell>
          <cell r="Y806">
            <v>0</v>
          </cell>
          <cell r="Z806">
            <v>0</v>
          </cell>
          <cell r="AA806" t="str">
            <v>! !</v>
          </cell>
          <cell r="AC806">
            <v>0</v>
          </cell>
          <cell r="AJ806" t="str">
            <v>V-A</v>
          </cell>
          <cell r="AL806">
            <v>0</v>
          </cell>
          <cell r="AM806">
            <v>2000</v>
          </cell>
          <cell r="AN806" t="e">
            <v>#VALUE!</v>
          </cell>
          <cell r="AO806" t="e">
            <v>#VALUE!</v>
          </cell>
          <cell r="AP806">
            <v>-2000</v>
          </cell>
        </row>
        <row r="807">
          <cell r="A807">
            <v>63540200</v>
          </cell>
          <cell r="C807">
            <v>5402</v>
          </cell>
          <cell r="D807" t="str">
            <v>DMC P BOERENBRAADWORST WORTELSTAMPPOT</v>
          </cell>
          <cell r="E807" t="str">
            <v>DMC P</v>
          </cell>
          <cell r="F807" t="str">
            <v>40336300 OLAF 30 290MM</v>
          </cell>
          <cell r="G807" t="str">
            <v>C2227-2K evolve</v>
          </cell>
          <cell r="H807">
            <v>456</v>
          </cell>
          <cell r="I807">
            <v>0.5</v>
          </cell>
          <cell r="J807" t="str">
            <v>NVT</v>
          </cell>
          <cell r="K807" t="str">
            <v>PIET ROND + 65X155</v>
          </cell>
          <cell r="L807">
            <v>6</v>
          </cell>
          <cell r="M807" t="str">
            <v>CATERING</v>
          </cell>
          <cell r="N807">
            <v>110</v>
          </cell>
          <cell r="O807">
            <v>5410953354023</v>
          </cell>
          <cell r="P807" t="str">
            <v>T-H</v>
          </cell>
          <cell r="Q807">
            <v>2.5</v>
          </cell>
          <cell r="R807">
            <v>3</v>
          </cell>
          <cell r="S807" t="str">
            <v>Folie perforeren</v>
          </cell>
          <cell r="T807">
            <v>2200</v>
          </cell>
          <cell r="U807">
            <v>2</v>
          </cell>
          <cell r="V807">
            <v>2200</v>
          </cell>
          <cell r="W807">
            <v>2</v>
          </cell>
          <cell r="X807">
            <v>0</v>
          </cell>
          <cell r="Y807">
            <v>0</v>
          </cell>
          <cell r="Z807">
            <v>0</v>
          </cell>
          <cell r="AA807" t="str">
            <v>! ! !</v>
          </cell>
          <cell r="AC807">
            <v>5.4044117647058826E-2</v>
          </cell>
          <cell r="AG807">
            <v>45</v>
          </cell>
          <cell r="AJ807" t="str">
            <v>V-A</v>
          </cell>
          <cell r="AL807">
            <v>2700</v>
          </cell>
          <cell r="AM807">
            <v>2200</v>
          </cell>
          <cell r="AN807" t="e">
            <v>#VALUE!</v>
          </cell>
          <cell r="AO807" t="e">
            <v>#VALUE!</v>
          </cell>
          <cell r="AP807">
            <v>500</v>
          </cell>
        </row>
        <row r="808">
          <cell r="A808">
            <v>63540300</v>
          </cell>
          <cell r="C808">
            <v>5403</v>
          </cell>
          <cell r="D808" t="str">
            <v>DMC P KIP ARCHIDUC GEBAKKEN KRIEL</v>
          </cell>
          <cell r="E808" t="str">
            <v>DMC P</v>
          </cell>
          <cell r="F808" t="str">
            <v>40336300 OLAF 30 290MM</v>
          </cell>
          <cell r="G808" t="str">
            <v>C2227-2K evolve</v>
          </cell>
          <cell r="H808">
            <v>456</v>
          </cell>
          <cell r="I808">
            <v>0.5</v>
          </cell>
          <cell r="J808" t="str">
            <v>NVT</v>
          </cell>
          <cell r="K808" t="str">
            <v>PIET ROND + 65X155</v>
          </cell>
          <cell r="L808">
            <v>6</v>
          </cell>
          <cell r="M808" t="str">
            <v>CATERING</v>
          </cell>
          <cell r="N808">
            <v>110</v>
          </cell>
          <cell r="O808">
            <v>5410953354030</v>
          </cell>
          <cell r="P808" t="str">
            <v>T</v>
          </cell>
          <cell r="Q808">
            <v>1</v>
          </cell>
          <cell r="R808">
            <v>3</v>
          </cell>
          <cell r="S808" t="str">
            <v>Folie perforeren</v>
          </cell>
          <cell r="T808">
            <v>2000</v>
          </cell>
          <cell r="U808">
            <v>4</v>
          </cell>
          <cell r="V808">
            <v>2000</v>
          </cell>
          <cell r="W808">
            <v>4</v>
          </cell>
          <cell r="X808">
            <v>0</v>
          </cell>
          <cell r="Y808">
            <v>0</v>
          </cell>
          <cell r="Z808">
            <v>0</v>
          </cell>
          <cell r="AA808" t="str">
            <v>! !</v>
          </cell>
          <cell r="AC808">
            <v>8.3999999999999991E-2</v>
          </cell>
          <cell r="AJ808" t="str">
            <v>V-A</v>
          </cell>
          <cell r="AL808">
            <v>0</v>
          </cell>
          <cell r="AM808">
            <v>2000</v>
          </cell>
          <cell r="AN808" t="e">
            <v>#VALUE!</v>
          </cell>
          <cell r="AO808" t="e">
            <v>#VALUE!</v>
          </cell>
          <cell r="AP808">
            <v>-2000</v>
          </cell>
        </row>
        <row r="809">
          <cell r="A809">
            <v>63540400</v>
          </cell>
          <cell r="C809">
            <v>5404</v>
          </cell>
          <cell r="D809" t="str">
            <v>DMC P VARKENSWANG GESTOOFDE APPEL PUREE</v>
          </cell>
          <cell r="E809" t="str">
            <v>DMC P</v>
          </cell>
          <cell r="F809" t="str">
            <v>40336300 OLAF 30 290MM</v>
          </cell>
          <cell r="G809" t="str">
            <v>C2227-3R evolve</v>
          </cell>
          <cell r="H809">
            <v>456</v>
          </cell>
          <cell r="I809">
            <v>0.5</v>
          </cell>
          <cell r="J809" t="str">
            <v>NVT</v>
          </cell>
          <cell r="K809" t="str">
            <v>PIET ROND + 65X155</v>
          </cell>
          <cell r="L809">
            <v>6</v>
          </cell>
          <cell r="M809" t="str">
            <v>CATERING</v>
          </cell>
          <cell r="N809">
            <v>110</v>
          </cell>
          <cell r="O809">
            <v>5410953354047</v>
          </cell>
          <cell r="P809" t="str">
            <v>H-2T</v>
          </cell>
          <cell r="Q809">
            <v>3</v>
          </cell>
          <cell r="R809">
            <v>3</v>
          </cell>
          <cell r="S809" t="str">
            <v>Folie perforeren, D-2 ontpakken, D-1 VA WANG (vacuumzakken)</v>
          </cell>
          <cell r="T809">
            <v>2000</v>
          </cell>
          <cell r="U809">
            <v>3</v>
          </cell>
          <cell r="V809">
            <v>2000</v>
          </cell>
          <cell r="W809">
            <v>3</v>
          </cell>
          <cell r="X809">
            <v>0</v>
          </cell>
          <cell r="Y809">
            <v>0</v>
          </cell>
          <cell r="Z809">
            <v>0</v>
          </cell>
          <cell r="AA809" t="str">
            <v>! !</v>
          </cell>
          <cell r="AC809">
            <v>0.20007749999999999</v>
          </cell>
          <cell r="AJ809" t="str">
            <v>V-A</v>
          </cell>
          <cell r="AL809">
            <v>0</v>
          </cell>
          <cell r="AM809">
            <v>2000</v>
          </cell>
          <cell r="AN809" t="e">
            <v>#VALUE!</v>
          </cell>
          <cell r="AO809" t="e">
            <v>#VALUE!</v>
          </cell>
          <cell r="AP809">
            <v>-2000</v>
          </cell>
        </row>
        <row r="810">
          <cell r="A810">
            <v>63540500</v>
          </cell>
          <cell r="C810">
            <v>5405</v>
          </cell>
          <cell r="D810" t="str">
            <v>DMC P LAMSNAVARIN ASPERGE GRATIN DAUPHINOIS</v>
          </cell>
          <cell r="E810" t="str">
            <v>DMC P</v>
          </cell>
          <cell r="F810" t="str">
            <v>40336300 OLAF 30 290MM</v>
          </cell>
          <cell r="G810" t="str">
            <v>C2227-2K evolve</v>
          </cell>
          <cell r="H810">
            <v>456</v>
          </cell>
          <cell r="I810">
            <v>0.5</v>
          </cell>
          <cell r="J810" t="str">
            <v>NVT</v>
          </cell>
          <cell r="K810" t="str">
            <v>PIET ROND + 65X155</v>
          </cell>
          <cell r="L810">
            <v>6</v>
          </cell>
          <cell r="M810" t="str">
            <v>CATERING</v>
          </cell>
          <cell r="N810">
            <v>110</v>
          </cell>
          <cell r="O810">
            <v>5410953354054</v>
          </cell>
          <cell r="P810" t="str">
            <v>2T-K</v>
          </cell>
          <cell r="Q810">
            <v>3</v>
          </cell>
          <cell r="R810">
            <v>3</v>
          </cell>
          <cell r="S810" t="str">
            <v>Folie perforeren</v>
          </cell>
          <cell r="T810">
            <v>2000</v>
          </cell>
          <cell r="U810">
            <v>3</v>
          </cell>
          <cell r="V810">
            <v>2000</v>
          </cell>
          <cell r="W810">
            <v>3</v>
          </cell>
          <cell r="X810">
            <v>0</v>
          </cell>
          <cell r="Y810">
            <v>0</v>
          </cell>
          <cell r="Z810">
            <v>0</v>
          </cell>
          <cell r="AA810" t="str">
            <v>! !</v>
          </cell>
          <cell r="AC810">
            <v>0.222</v>
          </cell>
          <cell r="AJ810" t="str">
            <v>V-A</v>
          </cell>
          <cell r="AL810">
            <v>0</v>
          </cell>
          <cell r="AM810">
            <v>2000</v>
          </cell>
          <cell r="AN810" t="e">
            <v>#VALUE!</v>
          </cell>
          <cell r="AO810" t="e">
            <v>#VALUE!</v>
          </cell>
          <cell r="AP810">
            <v>-2000</v>
          </cell>
        </row>
        <row r="811">
          <cell r="A811">
            <v>63540600</v>
          </cell>
          <cell r="C811">
            <v>5406</v>
          </cell>
          <cell r="D811" t="str">
            <v>DMC P LINGUINE CARBONARA</v>
          </cell>
          <cell r="E811" t="str">
            <v>DMC P</v>
          </cell>
          <cell r="F811" t="str">
            <v>40336300 OLAF 30 290MM</v>
          </cell>
          <cell r="G811" t="str">
            <v>C2227-1H evolve</v>
          </cell>
          <cell r="H811">
            <v>456</v>
          </cell>
          <cell r="I811">
            <v>0.5</v>
          </cell>
          <cell r="J811" t="str">
            <v>NVT</v>
          </cell>
          <cell r="K811" t="str">
            <v>PIET ROND + 65X155</v>
          </cell>
          <cell r="L811">
            <v>6</v>
          </cell>
          <cell r="M811" t="str">
            <v>CATERING</v>
          </cell>
          <cell r="N811">
            <v>110</v>
          </cell>
          <cell r="O811">
            <v>5410953354061</v>
          </cell>
          <cell r="P811" t="str">
            <v>L-2T</v>
          </cell>
          <cell r="Q811">
            <v>2</v>
          </cell>
          <cell r="R811">
            <v>3</v>
          </cell>
          <cell r="S811" t="str">
            <v>Folie perforeren</v>
          </cell>
          <cell r="T811">
            <v>2200</v>
          </cell>
          <cell r="U811">
            <v>2</v>
          </cell>
          <cell r="V811">
            <v>2200</v>
          </cell>
          <cell r="W811">
            <v>2</v>
          </cell>
          <cell r="X811">
            <v>0</v>
          </cell>
          <cell r="Y811">
            <v>0</v>
          </cell>
          <cell r="Z811">
            <v>0</v>
          </cell>
          <cell r="AA811" t="str">
            <v>! !</v>
          </cell>
          <cell r="AC811">
            <v>0</v>
          </cell>
          <cell r="AG811">
            <v>45</v>
          </cell>
          <cell r="AJ811" t="str">
            <v>V-A</v>
          </cell>
          <cell r="AL811">
            <v>2700</v>
          </cell>
          <cell r="AM811">
            <v>2200</v>
          </cell>
          <cell r="AN811" t="e">
            <v>#VALUE!</v>
          </cell>
          <cell r="AO811" t="e">
            <v>#VALUE!</v>
          </cell>
          <cell r="AP811">
            <v>500</v>
          </cell>
        </row>
        <row r="812">
          <cell r="A812">
            <v>63540700</v>
          </cell>
          <cell r="C812">
            <v>5407</v>
          </cell>
          <cell r="D812" t="str">
            <v>DMC P KALFSBLANKET OUDE WIJZE</v>
          </cell>
          <cell r="E812" t="str">
            <v>DMC P</v>
          </cell>
          <cell r="F812" t="str">
            <v>40336300 OLAF 30 290MM</v>
          </cell>
          <cell r="G812" t="str">
            <v>C2227-1H evolve</v>
          </cell>
          <cell r="H812">
            <v>456</v>
          </cell>
          <cell r="I812">
            <v>0.5</v>
          </cell>
          <cell r="J812" t="str">
            <v>NVT</v>
          </cell>
          <cell r="K812" t="str">
            <v>PIET ROND + 65X155</v>
          </cell>
          <cell r="L812">
            <v>6</v>
          </cell>
          <cell r="M812" t="str">
            <v>CATERING</v>
          </cell>
          <cell r="N812">
            <v>110</v>
          </cell>
          <cell r="O812">
            <v>5410953354078</v>
          </cell>
          <cell r="P812" t="str">
            <v>T</v>
          </cell>
          <cell r="Q812">
            <v>2</v>
          </cell>
          <cell r="R812">
            <v>3</v>
          </cell>
          <cell r="S812" t="str">
            <v>Folie perforeren, KALFSBLANKET (vacuumzakken)</v>
          </cell>
          <cell r="T812">
            <v>2200</v>
          </cell>
          <cell r="U812">
            <v>10</v>
          </cell>
          <cell r="V812">
            <v>2200</v>
          </cell>
          <cell r="W812">
            <v>10</v>
          </cell>
          <cell r="X812">
            <v>0</v>
          </cell>
          <cell r="Y812">
            <v>0</v>
          </cell>
          <cell r="Z812">
            <v>0</v>
          </cell>
          <cell r="AA812" t="str">
            <v>! ! !</v>
          </cell>
          <cell r="AC812">
            <v>0.18345815384615385</v>
          </cell>
          <cell r="AG812">
            <v>45</v>
          </cell>
          <cell r="AJ812" t="str">
            <v>V-A</v>
          </cell>
          <cell r="AL812">
            <v>2700</v>
          </cell>
          <cell r="AM812">
            <v>2200</v>
          </cell>
          <cell r="AN812" t="e">
            <v>#VALUE!</v>
          </cell>
          <cell r="AO812" t="e">
            <v>#VALUE!</v>
          </cell>
          <cell r="AP812">
            <v>500</v>
          </cell>
        </row>
        <row r="813">
          <cell r="A813">
            <v>63540800</v>
          </cell>
          <cell r="C813">
            <v>5408</v>
          </cell>
          <cell r="D813" t="str">
            <v xml:space="preserve">DMC P  WATERZOOI VAN VIS </v>
          </cell>
          <cell r="E813" t="str">
            <v>DMC P</v>
          </cell>
          <cell r="F813" t="str">
            <v>40336300 OLAF 30 290MM</v>
          </cell>
          <cell r="G813" t="str">
            <v>C2227-1H evolve</v>
          </cell>
          <cell r="H813">
            <v>456</v>
          </cell>
          <cell r="I813">
            <v>0.5</v>
          </cell>
          <cell r="J813" t="str">
            <v>NVT</v>
          </cell>
          <cell r="K813" t="str">
            <v>PIET ROND + 65X155</v>
          </cell>
          <cell r="L813">
            <v>6</v>
          </cell>
          <cell r="M813" t="str">
            <v>CATERING</v>
          </cell>
          <cell r="N813">
            <v>110</v>
          </cell>
          <cell r="O813">
            <v>5410953354085</v>
          </cell>
          <cell r="P813" t="str">
            <v>T</v>
          </cell>
          <cell r="Q813">
            <v>2</v>
          </cell>
          <cell r="R813">
            <v>3</v>
          </cell>
          <cell r="S813" t="str">
            <v>Folie perforeren</v>
          </cell>
          <cell r="T813">
            <v>2200</v>
          </cell>
          <cell r="U813">
            <v>9</v>
          </cell>
          <cell r="V813">
            <v>2200</v>
          </cell>
          <cell r="W813">
            <v>9</v>
          </cell>
          <cell r="X813">
            <v>0</v>
          </cell>
          <cell r="Y813">
            <v>0</v>
          </cell>
          <cell r="Z813">
            <v>0</v>
          </cell>
          <cell r="AA813" t="str">
            <v>! ! ! !</v>
          </cell>
          <cell r="AC813">
            <v>0</v>
          </cell>
          <cell r="AG813">
            <v>45</v>
          </cell>
          <cell r="AJ813" t="str">
            <v>V-A</v>
          </cell>
          <cell r="AL813">
            <v>2700</v>
          </cell>
          <cell r="AM813">
            <v>2200</v>
          </cell>
          <cell r="AN813" t="e">
            <v>#VALUE!</v>
          </cell>
          <cell r="AO813" t="e">
            <v>#VALUE!</v>
          </cell>
          <cell r="AP813">
            <v>500</v>
          </cell>
        </row>
        <row r="814">
          <cell r="A814">
            <v>63540900</v>
          </cell>
          <cell r="C814">
            <v>5409</v>
          </cell>
          <cell r="D814" t="str">
            <v>DMC P SPAGHETTI BOLOGNESE</v>
          </cell>
          <cell r="E814" t="str">
            <v>DMC P</v>
          </cell>
          <cell r="F814" t="str">
            <v>40336300 OLAF 30 290MM</v>
          </cell>
          <cell r="G814" t="str">
            <v>C2227-1H evolve</v>
          </cell>
          <cell r="H814">
            <v>456</v>
          </cell>
          <cell r="I814">
            <v>0.5</v>
          </cell>
          <cell r="J814" t="str">
            <v>NVT</v>
          </cell>
          <cell r="K814" t="str">
            <v>PIET ROND + 65X155</v>
          </cell>
          <cell r="L814">
            <v>6</v>
          </cell>
          <cell r="M814" t="str">
            <v>CATERING</v>
          </cell>
          <cell r="N814">
            <v>110</v>
          </cell>
          <cell r="O814">
            <v>5410953354092</v>
          </cell>
          <cell r="P814" t="str">
            <v>L-T-K</v>
          </cell>
          <cell r="Q814">
            <v>2</v>
          </cell>
          <cell r="R814">
            <v>3</v>
          </cell>
          <cell r="S814" t="str">
            <v>Folie perforeren</v>
          </cell>
          <cell r="T814">
            <v>2200</v>
          </cell>
          <cell r="U814">
            <v>3</v>
          </cell>
          <cell r="V814">
            <v>2200</v>
          </cell>
          <cell r="W814">
            <v>3</v>
          </cell>
          <cell r="X814">
            <v>0</v>
          </cell>
          <cell r="Y814">
            <v>0</v>
          </cell>
          <cell r="Z814">
            <v>0</v>
          </cell>
          <cell r="AA814" t="str">
            <v>! ! !</v>
          </cell>
          <cell r="AC814">
            <v>0</v>
          </cell>
          <cell r="AG814">
            <v>45</v>
          </cell>
          <cell r="AJ814" t="str">
            <v>V-A</v>
          </cell>
          <cell r="AL814">
            <v>2700</v>
          </cell>
          <cell r="AM814">
            <v>2200</v>
          </cell>
          <cell r="AN814" t="e">
            <v>#VALUE!</v>
          </cell>
          <cell r="AO814" t="e">
            <v>#VALUE!</v>
          </cell>
          <cell r="AP814">
            <v>500</v>
          </cell>
        </row>
        <row r="815">
          <cell r="A815">
            <v>63541000</v>
          </cell>
          <cell r="C815">
            <v>5410</v>
          </cell>
          <cell r="D815" t="str">
            <v>DMC P KIPPENBOUT RODE WIJNSAUS</v>
          </cell>
          <cell r="E815" t="str">
            <v>DMC P</v>
          </cell>
          <cell r="F815" t="str">
            <v>40336300 OLAF 30 290MM</v>
          </cell>
          <cell r="G815" t="str">
            <v>C2227-2K evolve</v>
          </cell>
          <cell r="H815">
            <v>456</v>
          </cell>
          <cell r="I815">
            <v>0.5</v>
          </cell>
          <cell r="J815" t="str">
            <v>NVT</v>
          </cell>
          <cell r="K815" t="str">
            <v>PIET ROND + 65X155</v>
          </cell>
          <cell r="L815">
            <v>6</v>
          </cell>
          <cell r="M815" t="str">
            <v>CATERING</v>
          </cell>
          <cell r="N815">
            <v>110</v>
          </cell>
          <cell r="O815">
            <v>5410953354108</v>
          </cell>
          <cell r="P815" t="str">
            <v>2T</v>
          </cell>
          <cell r="Q815">
            <v>2</v>
          </cell>
          <cell r="R815">
            <v>3</v>
          </cell>
          <cell r="S815" t="str">
            <v>Folie perforeren</v>
          </cell>
          <cell r="T815">
            <v>2200</v>
          </cell>
          <cell r="U815">
            <v>5</v>
          </cell>
          <cell r="V815">
            <v>2200</v>
          </cell>
          <cell r="W815">
            <v>5</v>
          </cell>
          <cell r="X815">
            <v>0</v>
          </cell>
          <cell r="Y815">
            <v>0</v>
          </cell>
          <cell r="Z815">
            <v>0</v>
          </cell>
          <cell r="AA815" t="str">
            <v>! ! !</v>
          </cell>
          <cell r="AC815">
            <v>0.4</v>
          </cell>
          <cell r="AG815">
            <v>45</v>
          </cell>
          <cell r="AJ815" t="str">
            <v>V-A</v>
          </cell>
          <cell r="AL815">
            <v>2700</v>
          </cell>
          <cell r="AM815">
            <v>2200</v>
          </cell>
          <cell r="AN815" t="e">
            <v>#VALUE!</v>
          </cell>
          <cell r="AO815" t="e">
            <v>#VALUE!</v>
          </cell>
          <cell r="AP815">
            <v>500</v>
          </cell>
        </row>
        <row r="816">
          <cell r="A816">
            <v>63541100</v>
          </cell>
          <cell r="C816">
            <v>5411</v>
          </cell>
          <cell r="D816" t="str">
            <v>DMC P KABELJAUW DUGLERE SPINAZIE PEPPERONI ECRASSEE</v>
          </cell>
          <cell r="E816" t="str">
            <v>DMC P</v>
          </cell>
          <cell r="F816" t="str">
            <v>40336300 OLAF 30 290MM</v>
          </cell>
          <cell r="G816" t="str">
            <v>C2227-2K evolve</v>
          </cell>
          <cell r="H816">
            <v>456</v>
          </cell>
          <cell r="I816">
            <v>0.5</v>
          </cell>
          <cell r="J816" t="str">
            <v>NVT</v>
          </cell>
          <cell r="K816" t="str">
            <v>PIET ROND + 65X155</v>
          </cell>
          <cell r="L816">
            <v>6</v>
          </cell>
          <cell r="M816" t="str">
            <v>CATERING</v>
          </cell>
          <cell r="N816">
            <v>110</v>
          </cell>
          <cell r="O816">
            <v>5410953354115</v>
          </cell>
          <cell r="P816" t="str">
            <v>H-T</v>
          </cell>
          <cell r="Q816">
            <v>2</v>
          </cell>
          <cell r="R816">
            <v>3</v>
          </cell>
          <cell r="S816" t="str">
            <v>Folie perforeren</v>
          </cell>
          <cell r="T816">
            <v>2200</v>
          </cell>
          <cell r="U816">
            <v>5</v>
          </cell>
          <cell r="V816">
            <v>2200</v>
          </cell>
          <cell r="W816">
            <v>5</v>
          </cell>
          <cell r="X816">
            <v>0</v>
          </cell>
          <cell r="Y816">
            <v>0</v>
          </cell>
          <cell r="Z816">
            <v>0</v>
          </cell>
          <cell r="AA816" t="str">
            <v>! ! ! !</v>
          </cell>
          <cell r="AC816">
            <v>0</v>
          </cell>
          <cell r="AG816">
            <v>45</v>
          </cell>
          <cell r="AJ816" t="str">
            <v>V-A</v>
          </cell>
          <cell r="AL816">
            <v>2700</v>
          </cell>
          <cell r="AM816">
            <v>2200</v>
          </cell>
          <cell r="AN816" t="e">
            <v>#VALUE!</v>
          </cell>
          <cell r="AO816" t="e">
            <v>#VALUE!</v>
          </cell>
          <cell r="AP816">
            <v>500</v>
          </cell>
        </row>
        <row r="817">
          <cell r="A817">
            <v>63550900</v>
          </cell>
          <cell r="C817">
            <v>5509</v>
          </cell>
          <cell r="D817" t="str">
            <v>DMC EDJ HERT BORDELAISE SPRUITEN KNOLSELDERPUREE</v>
          </cell>
          <cell r="E817" t="str">
            <v>DMC, EDJ</v>
          </cell>
          <cell r="F817" t="str">
            <v>40336300 OLAF 30 290MM</v>
          </cell>
          <cell r="G817" t="str">
            <v>C2227-3R evolve</v>
          </cell>
          <cell r="H817">
            <v>456</v>
          </cell>
          <cell r="I817">
            <v>0.5</v>
          </cell>
          <cell r="J817" t="str">
            <v>NVT</v>
          </cell>
          <cell r="K817" t="str">
            <v>DM ROND + 65X155</v>
          </cell>
          <cell r="L817">
            <v>6</v>
          </cell>
          <cell r="M817" t="str">
            <v>CATERING</v>
          </cell>
          <cell r="N817">
            <v>110</v>
          </cell>
          <cell r="O817">
            <v>5410953355099</v>
          </cell>
          <cell r="P817" t="str">
            <v>T-H</v>
          </cell>
          <cell r="Q817">
            <v>3</v>
          </cell>
          <cell r="R817">
            <v>3</v>
          </cell>
          <cell r="S817" t="str">
            <v>Folie perforeren, vacuumzakken</v>
          </cell>
          <cell r="T817">
            <v>1250</v>
          </cell>
          <cell r="U817">
            <v>7</v>
          </cell>
          <cell r="V817">
            <v>1250</v>
          </cell>
          <cell r="W817">
            <v>7</v>
          </cell>
          <cell r="X817">
            <v>0</v>
          </cell>
          <cell r="Y817">
            <v>0</v>
          </cell>
          <cell r="Z817">
            <v>0</v>
          </cell>
          <cell r="AA817" t="str">
            <v>! ! !</v>
          </cell>
          <cell r="AC817">
            <v>0.2066228</v>
          </cell>
          <cell r="AG817">
            <v>25</v>
          </cell>
          <cell r="AJ817" t="str">
            <v>V-A</v>
          </cell>
          <cell r="AL817">
            <v>1500</v>
          </cell>
          <cell r="AM817">
            <v>1250</v>
          </cell>
          <cell r="AN817" t="e">
            <v>#VALUE!</v>
          </cell>
          <cell r="AO817" t="e">
            <v>#VALUE!</v>
          </cell>
          <cell r="AP817">
            <v>250</v>
          </cell>
        </row>
        <row r="818">
          <cell r="A818">
            <v>63551000</v>
          </cell>
          <cell r="C818">
            <v>5510</v>
          </cell>
          <cell r="D818" t="str">
            <v>DMC EDJ KALKOEN TRUFFELSAUS AARDAPPELPOTJE SPEK BROCCOLI</v>
          </cell>
          <cell r="E818" t="str">
            <v>DMC, EDJ</v>
          </cell>
          <cell r="F818" t="str">
            <v>40336300 OLAF 30 290MM</v>
          </cell>
          <cell r="G818" t="str">
            <v>C2227-2K evolve</v>
          </cell>
          <cell r="H818">
            <v>456</v>
          </cell>
          <cell r="I818">
            <v>0.5</v>
          </cell>
          <cell r="J818" t="str">
            <v>NVT</v>
          </cell>
          <cell r="K818" t="str">
            <v>DM ROND + 65X155</v>
          </cell>
          <cell r="L818">
            <v>6</v>
          </cell>
          <cell r="M818" t="str">
            <v>CATERING</v>
          </cell>
          <cell r="N818">
            <v>110</v>
          </cell>
          <cell r="O818">
            <v>5410953355105</v>
          </cell>
          <cell r="P818" t="str">
            <v>2T-I</v>
          </cell>
          <cell r="Q818">
            <v>3</v>
          </cell>
          <cell r="R818">
            <v>3</v>
          </cell>
          <cell r="S818" t="str">
            <v>KALKOEN SNIJDEN (1cm), Folie perforeren, idem 63952600</v>
          </cell>
          <cell r="T818">
            <v>2000</v>
          </cell>
          <cell r="U818">
            <v>7</v>
          </cell>
          <cell r="V818">
            <v>2000</v>
          </cell>
          <cell r="W818">
            <v>8</v>
          </cell>
          <cell r="X818">
            <v>0</v>
          </cell>
          <cell r="Y818">
            <v>0</v>
          </cell>
          <cell r="Z818">
            <v>0</v>
          </cell>
          <cell r="AA818" t="str">
            <v>! ! !</v>
          </cell>
          <cell r="AC818">
            <v>5.3886057840000001E-2</v>
          </cell>
          <cell r="AG818">
            <v>40</v>
          </cell>
          <cell r="AJ818" t="str">
            <v>V-A</v>
          </cell>
          <cell r="AL818">
            <v>2400</v>
          </cell>
          <cell r="AM818">
            <v>2000</v>
          </cell>
          <cell r="AN818" t="e">
            <v>#VALUE!</v>
          </cell>
          <cell r="AO818" t="e">
            <v>#VALUE!</v>
          </cell>
          <cell r="AP818">
            <v>400</v>
          </cell>
        </row>
        <row r="819">
          <cell r="A819">
            <v>63551100</v>
          </cell>
          <cell r="C819">
            <v>5511</v>
          </cell>
          <cell r="D819" t="str">
            <v>DMC EDJ VISPANNETJE GEPLETTE AARDAPPEL EN RUSTICA WORTEL</v>
          </cell>
          <cell r="E819" t="str">
            <v>DMC, EDJ</v>
          </cell>
          <cell r="F819" t="str">
            <v>40336300 OLAF 30 290MM</v>
          </cell>
          <cell r="G819" t="str">
            <v>C2227-3R evolve</v>
          </cell>
          <cell r="H819">
            <v>456</v>
          </cell>
          <cell r="I819">
            <v>0.52500000000000002</v>
          </cell>
          <cell r="J819" t="str">
            <v>NVT</v>
          </cell>
          <cell r="K819" t="str">
            <v>DM ROND + 65X155</v>
          </cell>
          <cell r="L819">
            <v>6</v>
          </cell>
          <cell r="M819" t="str">
            <v>CATERING</v>
          </cell>
          <cell r="N819">
            <v>110</v>
          </cell>
          <cell r="O819">
            <v>5410953355112</v>
          </cell>
          <cell r="P819" t="str">
            <v>H-T</v>
          </cell>
          <cell r="Q819">
            <v>3</v>
          </cell>
          <cell r="R819">
            <v>3</v>
          </cell>
          <cell r="S819" t="str">
            <v>Folie perforeren, idem 63952700</v>
          </cell>
          <cell r="T819">
            <v>2000</v>
          </cell>
          <cell r="U819">
            <v>6</v>
          </cell>
          <cell r="V819">
            <v>2000</v>
          </cell>
          <cell r="W819">
            <v>6</v>
          </cell>
          <cell r="X819">
            <v>0</v>
          </cell>
          <cell r="Y819">
            <v>0</v>
          </cell>
          <cell r="Z819">
            <v>0</v>
          </cell>
          <cell r="AA819" t="str">
            <v>! ! ! !</v>
          </cell>
          <cell r="AC819">
            <v>0</v>
          </cell>
          <cell r="AG819">
            <v>40</v>
          </cell>
          <cell r="AJ819" t="str">
            <v>V-A</v>
          </cell>
          <cell r="AL819">
            <v>2400</v>
          </cell>
          <cell r="AM819">
            <v>2000</v>
          </cell>
          <cell r="AN819" t="e">
            <v>#VALUE!</v>
          </cell>
          <cell r="AO819" t="e">
            <v>#VALUE!</v>
          </cell>
          <cell r="AP819">
            <v>400</v>
          </cell>
        </row>
        <row r="820">
          <cell r="A820">
            <v>63551200</v>
          </cell>
          <cell r="C820">
            <v>5512</v>
          </cell>
          <cell r="D820" t="str">
            <v>DMC EDJ HERT GRAND VENEUR BOONTJES SPEK KNOLSELDERPUREE</v>
          </cell>
          <cell r="E820" t="str">
            <v>DMC, EDJ</v>
          </cell>
          <cell r="F820" t="str">
            <v>290MM</v>
          </cell>
          <cell r="G820" t="str">
            <v>C2227-2K</v>
          </cell>
          <cell r="H820">
            <v>456</v>
          </cell>
          <cell r="I820">
            <v>0.5</v>
          </cell>
          <cell r="J820" t="str">
            <v>NVT</v>
          </cell>
          <cell r="K820" t="str">
            <v>DM ROND + 65X155</v>
          </cell>
          <cell r="L820">
            <v>6</v>
          </cell>
          <cell r="M820" t="str">
            <v>DMC X 6</v>
          </cell>
          <cell r="N820">
            <v>110</v>
          </cell>
          <cell r="O820">
            <v>5410953355129</v>
          </cell>
          <cell r="P820" t="str">
            <v>H-T</v>
          </cell>
          <cell r="Q820">
            <v>3</v>
          </cell>
          <cell r="R820">
            <v>3</v>
          </cell>
          <cell r="S820" t="str">
            <v>Folie perforeren, Hert vacuumzakken D-3</v>
          </cell>
          <cell r="T820">
            <v>1750</v>
          </cell>
          <cell r="U820">
            <v>8</v>
          </cell>
          <cell r="V820">
            <v>1750</v>
          </cell>
          <cell r="W820">
            <v>8</v>
          </cell>
          <cell r="X820">
            <v>0</v>
          </cell>
          <cell r="Y820">
            <v>0</v>
          </cell>
          <cell r="Z820">
            <v>0</v>
          </cell>
          <cell r="AA820" t="str">
            <v>! ! !</v>
          </cell>
          <cell r="AC820">
            <v>0.18865559999999998</v>
          </cell>
          <cell r="AJ820" t="str">
            <v>V-A</v>
          </cell>
          <cell r="AL820">
            <v>0</v>
          </cell>
          <cell r="AM820">
            <v>1750</v>
          </cell>
          <cell r="AN820" t="e">
            <v>#VALUE!</v>
          </cell>
          <cell r="AO820" t="e">
            <v>#VALUE!</v>
          </cell>
          <cell r="AP820">
            <v>-1750</v>
          </cell>
        </row>
        <row r="821">
          <cell r="A821">
            <v>63551300</v>
          </cell>
          <cell r="C821">
            <v>5513</v>
          </cell>
          <cell r="D821" t="str">
            <v>DMC EDJ KABELJ NOILLYSAUS SPINAZIE PAPR KNOLS PUREE</v>
          </cell>
          <cell r="E821" t="str">
            <v>DMC, EDJ</v>
          </cell>
          <cell r="F821" t="str">
            <v>40336300 OLAF 30 290MM</v>
          </cell>
          <cell r="G821" t="str">
            <v>C2227-2K evolve</v>
          </cell>
          <cell r="H821">
            <v>456</v>
          </cell>
          <cell r="I821">
            <v>0.5</v>
          </cell>
          <cell r="J821" t="str">
            <v>NVT</v>
          </cell>
          <cell r="K821" t="str">
            <v>DM ROND + 65X155</v>
          </cell>
          <cell r="L821">
            <v>6</v>
          </cell>
          <cell r="M821" t="str">
            <v>CATERING</v>
          </cell>
          <cell r="N821">
            <v>110</v>
          </cell>
          <cell r="O821">
            <v>5410953355136</v>
          </cell>
          <cell r="P821" t="str">
            <v>H-T</v>
          </cell>
          <cell r="Q821">
            <v>3</v>
          </cell>
          <cell r="R821">
            <v>3</v>
          </cell>
          <cell r="S821" t="str">
            <v>Folie perforeren, idem 63952900</v>
          </cell>
          <cell r="T821">
            <v>2200</v>
          </cell>
          <cell r="U821">
            <v>4</v>
          </cell>
          <cell r="V821">
            <v>2200</v>
          </cell>
          <cell r="W821">
            <v>4</v>
          </cell>
          <cell r="X821">
            <v>0</v>
          </cell>
          <cell r="Y821">
            <v>0</v>
          </cell>
          <cell r="Z821">
            <v>0</v>
          </cell>
          <cell r="AA821" t="str">
            <v>! ! ! !</v>
          </cell>
          <cell r="AC821">
            <v>0</v>
          </cell>
          <cell r="AG821">
            <v>45</v>
          </cell>
          <cell r="AJ821" t="str">
            <v>V-A</v>
          </cell>
          <cell r="AL821">
            <v>2700</v>
          </cell>
          <cell r="AM821">
            <v>2200</v>
          </cell>
          <cell r="AN821" t="e">
            <v>#VALUE!</v>
          </cell>
          <cell r="AO821" t="e">
            <v>#VALUE!</v>
          </cell>
          <cell r="AP821">
            <v>500</v>
          </cell>
        </row>
        <row r="822">
          <cell r="A822">
            <v>63551400</v>
          </cell>
          <cell r="C822">
            <v>5514</v>
          </cell>
          <cell r="D822" t="str">
            <v>DMC EDJ KALK SINAASSAUS WORTELMIX GEB AARD</v>
          </cell>
          <cell r="E822" t="str">
            <v>DMC, EDJ</v>
          </cell>
          <cell r="F822" t="str">
            <v>40336300 OLAF 30 290MM</v>
          </cell>
          <cell r="G822" t="str">
            <v>C2227-3R evolve</v>
          </cell>
          <cell r="H822">
            <v>456</v>
          </cell>
          <cell r="I822">
            <v>0.5</v>
          </cell>
          <cell r="J822" t="str">
            <v>NVT</v>
          </cell>
          <cell r="K822" t="str">
            <v>DM ROND + 65X155</v>
          </cell>
          <cell r="L822">
            <v>6</v>
          </cell>
          <cell r="M822" t="str">
            <v>CATERING</v>
          </cell>
          <cell r="N822">
            <v>110</v>
          </cell>
          <cell r="O822">
            <v>5410953355143</v>
          </cell>
          <cell r="P822" t="str">
            <v>T</v>
          </cell>
          <cell r="Q822">
            <v>3</v>
          </cell>
          <cell r="R822">
            <v>3</v>
          </cell>
          <cell r="S822" t="str">
            <v>Folie perforeren, idem 63953000, kalk snijden (1cm)</v>
          </cell>
          <cell r="T822">
            <v>1500</v>
          </cell>
          <cell r="U822">
            <v>7</v>
          </cell>
          <cell r="V822">
            <v>1500</v>
          </cell>
          <cell r="W822">
            <v>7</v>
          </cell>
          <cell r="X822">
            <v>0</v>
          </cell>
          <cell r="Y822">
            <v>0</v>
          </cell>
          <cell r="Z822">
            <v>0</v>
          </cell>
          <cell r="AA822" t="str">
            <v>! !</v>
          </cell>
          <cell r="AC822">
            <v>5.6298866400000001E-2</v>
          </cell>
          <cell r="AG822">
            <v>30</v>
          </cell>
          <cell r="AJ822" t="str">
            <v>V-A</v>
          </cell>
          <cell r="AL822">
            <v>1800</v>
          </cell>
          <cell r="AM822">
            <v>1500</v>
          </cell>
          <cell r="AN822" t="e">
            <v>#VALUE!</v>
          </cell>
          <cell r="AO822" t="e">
            <v>#VALUE!</v>
          </cell>
          <cell r="AP822">
            <v>300</v>
          </cell>
        </row>
        <row r="823">
          <cell r="A823">
            <v>63551500</v>
          </cell>
          <cell r="C823">
            <v>5515</v>
          </cell>
          <cell r="D823" t="str">
            <v>DMC EDJ HERTSTOOFPOT APPEL VEENBES PUREE POMPOEN</v>
          </cell>
          <cell r="E823" t="str">
            <v>DMC,EDJ</v>
          </cell>
          <cell r="F823" t="str">
            <v>40336300 OLAF 30 290MM</v>
          </cell>
          <cell r="G823" t="str">
            <v>C2227-3R evolve</v>
          </cell>
          <cell r="H823">
            <v>456</v>
          </cell>
          <cell r="I823">
            <v>0.5</v>
          </cell>
          <cell r="J823" t="str">
            <v>NVT</v>
          </cell>
          <cell r="K823" t="str">
            <v>DM ROND + 65X155</v>
          </cell>
          <cell r="L823">
            <v>6</v>
          </cell>
          <cell r="M823" t="str">
            <v>DMC X 6</v>
          </cell>
          <cell r="N823">
            <v>110</v>
          </cell>
          <cell r="O823">
            <v>5410953355150</v>
          </cell>
          <cell r="P823" t="str">
            <v>H-2T</v>
          </cell>
          <cell r="Q823">
            <v>3</v>
          </cell>
          <cell r="R823">
            <v>4</v>
          </cell>
          <cell r="S823" t="str">
            <v>Folie perforeren</v>
          </cell>
          <cell r="T823">
            <v>2000</v>
          </cell>
          <cell r="U823">
            <v>8</v>
          </cell>
          <cell r="V823">
            <v>2000</v>
          </cell>
          <cell r="W823">
            <v>8</v>
          </cell>
          <cell r="X823">
            <v>0</v>
          </cell>
          <cell r="Y823">
            <v>0</v>
          </cell>
          <cell r="Z823">
            <v>0</v>
          </cell>
          <cell r="AA823" t="str">
            <v>! !</v>
          </cell>
          <cell r="AC823">
            <v>0.18759999999999999</v>
          </cell>
          <cell r="AJ823" t="str">
            <v>V-A</v>
          </cell>
          <cell r="AL823">
            <v>0</v>
          </cell>
          <cell r="AM823">
            <v>2000</v>
          </cell>
          <cell r="AN823" t="e">
            <v>#VALUE!</v>
          </cell>
          <cell r="AO823" t="e">
            <v>#VALUE!</v>
          </cell>
          <cell r="AP823">
            <v>-2000</v>
          </cell>
        </row>
        <row r="824">
          <cell r="A824">
            <v>63551600</v>
          </cell>
          <cell r="C824">
            <v>5516</v>
          </cell>
          <cell r="D824" t="str">
            <v>DMC EDJ KABELJAUW CITROENBOTERSAUS GEBAKK KRIEL</v>
          </cell>
          <cell r="E824" t="str">
            <v>DMC,EDJ</v>
          </cell>
          <cell r="F824" t="str">
            <v>40336300 OLAF 30 290MM</v>
          </cell>
          <cell r="G824" t="str">
            <v>C2227-2K evolve</v>
          </cell>
          <cell r="H824">
            <v>456</v>
          </cell>
          <cell r="I824">
            <v>0.5</v>
          </cell>
          <cell r="J824" t="str">
            <v>NVT</v>
          </cell>
          <cell r="K824" t="str">
            <v>DM ROND + 65X155</v>
          </cell>
          <cell r="L824">
            <v>6</v>
          </cell>
          <cell r="M824" t="str">
            <v>DMC X 6</v>
          </cell>
          <cell r="N824">
            <v>110</v>
          </cell>
          <cell r="O824">
            <v>5410953355167</v>
          </cell>
          <cell r="P824" t="str">
            <v>T</v>
          </cell>
          <cell r="Q824">
            <v>2.5</v>
          </cell>
          <cell r="R824">
            <v>3</v>
          </cell>
          <cell r="S824" t="str">
            <v>Folie perforeren</v>
          </cell>
          <cell r="T824">
            <v>2000</v>
          </cell>
          <cell r="U824">
            <v>5</v>
          </cell>
          <cell r="V824">
            <v>2000</v>
          </cell>
          <cell r="W824">
            <v>5</v>
          </cell>
          <cell r="X824">
            <v>0</v>
          </cell>
          <cell r="Y824">
            <v>0</v>
          </cell>
          <cell r="Z824">
            <v>0</v>
          </cell>
          <cell r="AA824" t="str">
            <v>! ! ! !</v>
          </cell>
          <cell r="AC824">
            <v>5.2499999999999998E-2</v>
          </cell>
          <cell r="AJ824" t="str">
            <v>V-A</v>
          </cell>
          <cell r="AL824">
            <v>0</v>
          </cell>
          <cell r="AM824">
            <v>2000</v>
          </cell>
          <cell r="AN824" t="e">
            <v>#VALUE!</v>
          </cell>
          <cell r="AO824" t="e">
            <v>#VALUE!</v>
          </cell>
          <cell r="AP824">
            <v>-2000</v>
          </cell>
        </row>
        <row r="825">
          <cell r="A825">
            <v>63551700</v>
          </cell>
          <cell r="C825">
            <v>5517</v>
          </cell>
          <cell r="D825" t="str">
            <v>DMC EDJ KALKOEN FINE CHAMPAGNE WORTEL ROSTI</v>
          </cell>
          <cell r="E825" t="str">
            <v>DMC,EDJ</v>
          </cell>
          <cell r="F825" t="str">
            <v>40336300 OLAF 30 290MM</v>
          </cell>
          <cell r="G825" t="str">
            <v>C2227-3R evolve</v>
          </cell>
          <cell r="H825">
            <v>456</v>
          </cell>
          <cell r="I825">
            <v>0.5</v>
          </cell>
          <cell r="J825" t="str">
            <v>NVT</v>
          </cell>
          <cell r="K825" t="str">
            <v>DM ROND + 65X155</v>
          </cell>
          <cell r="L825">
            <v>6</v>
          </cell>
          <cell r="M825" t="str">
            <v>DMC X 6</v>
          </cell>
          <cell r="N825">
            <v>110</v>
          </cell>
          <cell r="O825">
            <v>5410953993697</v>
          </cell>
          <cell r="P825" t="str">
            <v>T</v>
          </cell>
          <cell r="Q825">
            <v>2</v>
          </cell>
          <cell r="R825">
            <v>3</v>
          </cell>
          <cell r="S825" t="str">
            <v>Folie perforeren</v>
          </cell>
          <cell r="T825">
            <v>2000</v>
          </cell>
          <cell r="U825">
            <v>10</v>
          </cell>
          <cell r="V825">
            <v>2000</v>
          </cell>
          <cell r="W825">
            <v>10</v>
          </cell>
          <cell r="X825">
            <v>0</v>
          </cell>
          <cell r="Y825">
            <v>0</v>
          </cell>
          <cell r="Z825">
            <v>0</v>
          </cell>
          <cell r="AA825" t="str">
            <v>! !</v>
          </cell>
          <cell r="AC825">
            <v>6.5339999999999995E-2</v>
          </cell>
          <cell r="AJ825" t="str">
            <v>V-A</v>
          </cell>
          <cell r="AL825">
            <v>0</v>
          </cell>
          <cell r="AM825">
            <v>2000</v>
          </cell>
          <cell r="AN825" t="e">
            <v>#VALUE!</v>
          </cell>
          <cell r="AO825" t="e">
            <v>#VALUE!</v>
          </cell>
          <cell r="AP825">
            <v>-2000</v>
          </cell>
        </row>
        <row r="826">
          <cell r="A826">
            <v>63551800</v>
          </cell>
          <cell r="C826">
            <v>5518</v>
          </cell>
          <cell r="D826" t="str">
            <v>DMC EDJ HERT GRAND VENEUR STOOFPEER KNOLSELDERPUREE</v>
          </cell>
          <cell r="E826" t="str">
            <v>DMC, EDJ</v>
          </cell>
          <cell r="F826" t="str">
            <v>40336300 OLAF 30 290MM</v>
          </cell>
          <cell r="G826" t="str">
            <v>C2227-3R evolve</v>
          </cell>
          <cell r="H826">
            <v>456</v>
          </cell>
          <cell r="I826">
            <v>0.5</v>
          </cell>
          <cell r="J826" t="str">
            <v>NVT</v>
          </cell>
          <cell r="K826" t="str">
            <v>DM ROND + 65X155</v>
          </cell>
          <cell r="L826">
            <v>6</v>
          </cell>
          <cell r="M826" t="str">
            <v>DMC X 6</v>
          </cell>
          <cell r="N826">
            <v>110</v>
          </cell>
          <cell r="O826">
            <v>5410953355181</v>
          </cell>
          <cell r="P826" t="str">
            <v>H-2T</v>
          </cell>
          <cell r="Q826">
            <v>3</v>
          </cell>
          <cell r="R826">
            <v>3</v>
          </cell>
          <cell r="S826" t="str">
            <v>Folie perforeren, idem 63953300</v>
          </cell>
          <cell r="T826">
            <v>1250</v>
          </cell>
          <cell r="U826">
            <v>7</v>
          </cell>
          <cell r="V826">
            <v>1250</v>
          </cell>
          <cell r="W826">
            <v>7</v>
          </cell>
          <cell r="Z826">
            <v>0</v>
          </cell>
          <cell r="AA826" t="str">
            <v>! ! !</v>
          </cell>
          <cell r="AC826">
            <v>0</v>
          </cell>
          <cell r="AJ826" t="str">
            <v>V-A</v>
          </cell>
          <cell r="AL826">
            <v>0</v>
          </cell>
          <cell r="AM826">
            <v>1250</v>
          </cell>
          <cell r="AN826" t="e">
            <v>#VALUE!</v>
          </cell>
          <cell r="AO826" t="e">
            <v>#VALUE!</v>
          </cell>
          <cell r="AP826">
            <v>-1250</v>
          </cell>
        </row>
        <row r="827">
          <cell r="A827">
            <v>63552000</v>
          </cell>
          <cell r="C827">
            <v>5520</v>
          </cell>
          <cell r="D827" t="str">
            <v>DMC EDJ KALKOEN TRUFFEL WORTEL ROSTI</v>
          </cell>
          <cell r="E827" t="str">
            <v>DMC, EDJ</v>
          </cell>
          <cell r="F827" t="str">
            <v>290MM</v>
          </cell>
          <cell r="G827" t="str">
            <v>C2227-2K</v>
          </cell>
          <cell r="H827">
            <v>456</v>
          </cell>
          <cell r="I827">
            <v>0.5</v>
          </cell>
          <cell r="J827" t="str">
            <v>NVT</v>
          </cell>
          <cell r="K827" t="str">
            <v>DM ROND + 65X155</v>
          </cell>
          <cell r="L827">
            <v>6</v>
          </cell>
          <cell r="M827" t="str">
            <v>DMC X 6</v>
          </cell>
          <cell r="N827">
            <v>110</v>
          </cell>
          <cell r="O827">
            <v>5410953355204</v>
          </cell>
          <cell r="P827" t="str">
            <v>T</v>
          </cell>
          <cell r="Q827">
            <v>2</v>
          </cell>
          <cell r="R827">
            <v>3</v>
          </cell>
          <cell r="S827" t="str">
            <v>Folie perforeren; Kalkoen marineren D-1</v>
          </cell>
          <cell r="T827">
            <v>2000</v>
          </cell>
          <cell r="U827">
            <v>10</v>
          </cell>
          <cell r="V827">
            <v>2000</v>
          </cell>
          <cell r="W827">
            <v>10</v>
          </cell>
          <cell r="Z827">
            <v>0</v>
          </cell>
          <cell r="AA827" t="str">
            <v>! !</v>
          </cell>
          <cell r="AC827">
            <v>6.5339999999999995E-2</v>
          </cell>
          <cell r="AJ827" t="str">
            <v>V-A</v>
          </cell>
          <cell r="AL827">
            <v>0</v>
          </cell>
          <cell r="AM827">
            <v>2000</v>
          </cell>
          <cell r="AN827" t="e">
            <v>#VALUE!</v>
          </cell>
          <cell r="AO827" t="e">
            <v>#VALUE!</v>
          </cell>
          <cell r="AP827">
            <v>-2000</v>
          </cell>
        </row>
        <row r="828">
          <cell r="A828">
            <v>63552100</v>
          </cell>
          <cell r="C828">
            <v>5521</v>
          </cell>
          <cell r="D828" t="str">
            <v>DMC EDJ KABELJAUW KREEFTENSAUS SPINAZIE PUREE</v>
          </cell>
          <cell r="E828" t="str">
            <v>DMC, EDJ</v>
          </cell>
          <cell r="F828" t="str">
            <v>290MM</v>
          </cell>
          <cell r="G828" t="str">
            <v>C2227-2K</v>
          </cell>
          <cell r="H828">
            <v>456</v>
          </cell>
          <cell r="I828">
            <v>0.54</v>
          </cell>
          <cell r="J828" t="str">
            <v>NVT</v>
          </cell>
          <cell r="K828" t="str">
            <v>DM ROND + 65X155</v>
          </cell>
          <cell r="L828">
            <v>6</v>
          </cell>
          <cell r="M828" t="str">
            <v>DMC X 6</v>
          </cell>
          <cell r="N828">
            <v>110</v>
          </cell>
          <cell r="O828">
            <v>5410953355211</v>
          </cell>
          <cell r="P828" t="str">
            <v>H-T</v>
          </cell>
          <cell r="Q828">
            <v>3</v>
          </cell>
          <cell r="R828">
            <v>3</v>
          </cell>
          <cell r="S828" t="str">
            <v>Folie perforeren</v>
          </cell>
          <cell r="T828">
            <v>2000</v>
          </cell>
          <cell r="U828">
            <v>5</v>
          </cell>
          <cell r="V828">
            <v>2000</v>
          </cell>
          <cell r="W828">
            <v>5</v>
          </cell>
          <cell r="Z828">
            <v>0</v>
          </cell>
          <cell r="AA828" t="str">
            <v>! ! ! !</v>
          </cell>
          <cell r="AC828">
            <v>0</v>
          </cell>
          <cell r="AJ828" t="str">
            <v>V-A</v>
          </cell>
          <cell r="AL828">
            <v>0</v>
          </cell>
          <cell r="AM828">
            <v>2000</v>
          </cell>
          <cell r="AN828" t="e">
            <v>#VALUE!</v>
          </cell>
          <cell r="AO828" t="e">
            <v>#VALUE!</v>
          </cell>
          <cell r="AP828">
            <v>-2000</v>
          </cell>
        </row>
        <row r="829">
          <cell r="A829">
            <v>63560100</v>
          </cell>
          <cell r="B829" t="str">
            <v>-</v>
          </cell>
          <cell r="C829">
            <v>5601</v>
          </cell>
          <cell r="D829" t="str">
            <v>DMC VEG OMELET HOLLANDAISE BROCCOLI PUREE</v>
          </cell>
          <cell r="E829" t="str">
            <v>DMC, VEG</v>
          </cell>
          <cell r="F829" t="str">
            <v>40336300 OLAF 30 290MM</v>
          </cell>
          <cell r="G829" t="str">
            <v>C2227-2K evolve</v>
          </cell>
          <cell r="H829">
            <v>456</v>
          </cell>
          <cell r="I829">
            <v>0.5</v>
          </cell>
          <cell r="J829" t="str">
            <v>NVT</v>
          </cell>
          <cell r="K829" t="str">
            <v>DM ROND + 65X155</v>
          </cell>
          <cell r="L829">
            <v>6</v>
          </cell>
          <cell r="M829" t="str">
            <v>CATERING</v>
          </cell>
          <cell r="N829">
            <v>110</v>
          </cell>
          <cell r="O829" t="str">
            <v>5410953356010</v>
          </cell>
          <cell r="P829" t="str">
            <v>T-H</v>
          </cell>
          <cell r="Q829">
            <v>3</v>
          </cell>
          <cell r="R829">
            <v>3</v>
          </cell>
          <cell r="S829" t="str">
            <v>Folie perforeren, idem 63960400</v>
          </cell>
          <cell r="T829">
            <v>2000</v>
          </cell>
          <cell r="U829">
            <v>4</v>
          </cell>
          <cell r="V829">
            <v>2000</v>
          </cell>
          <cell r="W829">
            <v>4</v>
          </cell>
          <cell r="X829">
            <v>0</v>
          </cell>
          <cell r="Y829">
            <v>0</v>
          </cell>
          <cell r="Z829">
            <v>0</v>
          </cell>
          <cell r="AA829" t="str">
            <v>! ! !</v>
          </cell>
          <cell r="AB829">
            <v>1800</v>
          </cell>
          <cell r="AC829">
            <v>0</v>
          </cell>
          <cell r="AG829">
            <v>40</v>
          </cell>
          <cell r="AJ829" t="str">
            <v>V-A</v>
          </cell>
          <cell r="AL829">
            <v>2400</v>
          </cell>
          <cell r="AM829">
            <v>2000</v>
          </cell>
          <cell r="AN829" t="e">
            <v>#VALUE!</v>
          </cell>
          <cell r="AO829" t="e">
            <v>#VALUE!</v>
          </cell>
          <cell r="AP829">
            <v>400</v>
          </cell>
        </row>
        <row r="830">
          <cell r="A830">
            <v>63560200</v>
          </cell>
          <cell r="B830" t="str">
            <v>-</v>
          </cell>
          <cell r="C830">
            <v>5602</v>
          </cell>
          <cell r="D830" t="str">
            <v>DMC VEG GROENTEBURGER PREI AARD</v>
          </cell>
          <cell r="E830" t="str">
            <v>DMC, VEG</v>
          </cell>
          <cell r="F830" t="str">
            <v>40336300 OLAF 30 290MM</v>
          </cell>
          <cell r="G830" t="str">
            <v>C2227-2K evolve</v>
          </cell>
          <cell r="H830">
            <v>456</v>
          </cell>
          <cell r="I830">
            <v>0.5</v>
          </cell>
          <cell r="J830" t="str">
            <v>NVT</v>
          </cell>
          <cell r="K830" t="str">
            <v>DM ROND + 65X155</v>
          </cell>
          <cell r="L830">
            <v>6</v>
          </cell>
          <cell r="M830" t="str">
            <v>CATERING</v>
          </cell>
          <cell r="N830">
            <v>110</v>
          </cell>
          <cell r="O830" t="str">
            <v>5410953356027</v>
          </cell>
          <cell r="P830" t="str">
            <v>2T</v>
          </cell>
          <cell r="Q830">
            <v>2</v>
          </cell>
          <cell r="R830">
            <v>3</v>
          </cell>
          <cell r="S830" t="str">
            <v>Folie perforeren</v>
          </cell>
          <cell r="T830">
            <v>2200</v>
          </cell>
          <cell r="U830">
            <v>4</v>
          </cell>
          <cell r="V830">
            <v>2200</v>
          </cell>
          <cell r="W830">
            <v>4</v>
          </cell>
          <cell r="X830">
            <v>0</v>
          </cell>
          <cell r="Y830">
            <v>0</v>
          </cell>
          <cell r="Z830">
            <v>0</v>
          </cell>
          <cell r="AA830" t="str">
            <v>! ! !</v>
          </cell>
          <cell r="AB830">
            <v>650</v>
          </cell>
          <cell r="AC830">
            <v>0</v>
          </cell>
          <cell r="AG830">
            <v>45</v>
          </cell>
          <cell r="AJ830" t="str">
            <v>V-A</v>
          </cell>
          <cell r="AL830">
            <v>2700</v>
          </cell>
          <cell r="AM830">
            <v>2200</v>
          </cell>
          <cell r="AN830" t="e">
            <v>#VALUE!</v>
          </cell>
          <cell r="AO830" t="e">
            <v>#VALUE!</v>
          </cell>
          <cell r="AP830">
            <v>500</v>
          </cell>
        </row>
        <row r="831">
          <cell r="A831">
            <v>63560300</v>
          </cell>
          <cell r="C831">
            <v>5603</v>
          </cell>
          <cell r="D831" t="str">
            <v>DMC VEG LASAGNE LINZEN TOMAAT QUORN</v>
          </cell>
          <cell r="E831" t="str">
            <v>DMC, VEG</v>
          </cell>
          <cell r="F831" t="str">
            <v>40336300 OLAF 30 290MM</v>
          </cell>
          <cell r="G831" t="str">
            <v>C2227-1H evolve</v>
          </cell>
          <cell r="H831">
            <v>548</v>
          </cell>
          <cell r="I831">
            <v>0.62</v>
          </cell>
          <cell r="J831" t="str">
            <v>NVT</v>
          </cell>
          <cell r="K831" t="str">
            <v>DM ROND + 65X155</v>
          </cell>
          <cell r="L831">
            <v>6</v>
          </cell>
          <cell r="M831" t="str">
            <v>CATERING</v>
          </cell>
          <cell r="N831">
            <v>110</v>
          </cell>
          <cell r="O831">
            <v>5410953356034</v>
          </cell>
          <cell r="P831" t="str">
            <v>3T-K</v>
          </cell>
          <cell r="Q831">
            <v>2.5</v>
          </cell>
          <cell r="R831">
            <v>3</v>
          </cell>
          <cell r="S831" t="str">
            <v>Folie perforeren, idem 63962700</v>
          </cell>
          <cell r="T831">
            <v>2000</v>
          </cell>
          <cell r="U831">
            <v>6</v>
          </cell>
          <cell r="V831">
            <v>2000</v>
          </cell>
          <cell r="W831">
            <v>6</v>
          </cell>
          <cell r="X831">
            <v>0</v>
          </cell>
          <cell r="Y831">
            <v>0</v>
          </cell>
          <cell r="Z831">
            <v>0</v>
          </cell>
          <cell r="AA831" t="str">
            <v>! !</v>
          </cell>
          <cell r="AB831">
            <v>650</v>
          </cell>
          <cell r="AC831">
            <v>0</v>
          </cell>
          <cell r="AG831">
            <v>42</v>
          </cell>
          <cell r="AJ831" t="str">
            <v>-</v>
          </cell>
          <cell r="AL831">
            <v>2520</v>
          </cell>
          <cell r="AM831">
            <v>2000</v>
          </cell>
          <cell r="AN831" t="e">
            <v>#VALUE!</v>
          </cell>
          <cell r="AO831" t="e">
            <v>#VALUE!</v>
          </cell>
          <cell r="AP831">
            <v>520</v>
          </cell>
        </row>
        <row r="832">
          <cell r="A832">
            <v>63560600</v>
          </cell>
          <cell r="C832">
            <v>5606</v>
          </cell>
          <cell r="D832" t="str">
            <v>DMC VEG GROENTEBURGER GROENTEN WORTELSAUS BULGUR</v>
          </cell>
          <cell r="E832" t="str">
            <v>DMC, VEG</v>
          </cell>
          <cell r="F832" t="str">
            <v>40336300 OLAF 30 290MM</v>
          </cell>
          <cell r="G832" t="str">
            <v>C2227-1H evolve</v>
          </cell>
          <cell r="H832">
            <v>456</v>
          </cell>
          <cell r="I832">
            <v>0.54500000000000004</v>
          </cell>
          <cell r="J832" t="str">
            <v>NVT</v>
          </cell>
          <cell r="K832" t="str">
            <v>DM ROND + 65X155</v>
          </cell>
          <cell r="L832">
            <v>6</v>
          </cell>
          <cell r="M832" t="str">
            <v>CATERING</v>
          </cell>
          <cell r="N832">
            <v>110</v>
          </cell>
          <cell r="O832">
            <v>5410953356065</v>
          </cell>
          <cell r="P832" t="str">
            <v>M-T</v>
          </cell>
          <cell r="Q832">
            <v>2.5</v>
          </cell>
          <cell r="R832">
            <v>3</v>
          </cell>
          <cell r="S832" t="str">
            <v>Folie perforeren, BULGUR D-1, idem 63962800</v>
          </cell>
          <cell r="T832">
            <v>1750</v>
          </cell>
          <cell r="U832">
            <v>7</v>
          </cell>
          <cell r="V832">
            <v>1750</v>
          </cell>
          <cell r="W832">
            <v>7</v>
          </cell>
          <cell r="X832">
            <v>0</v>
          </cell>
          <cell r="Y832">
            <v>0</v>
          </cell>
          <cell r="Z832">
            <v>0</v>
          </cell>
          <cell r="AA832" t="str">
            <v>! ! !</v>
          </cell>
          <cell r="AB832">
            <v>650</v>
          </cell>
          <cell r="AC832">
            <v>0</v>
          </cell>
          <cell r="AG832">
            <v>35</v>
          </cell>
          <cell r="AJ832" t="str">
            <v>V-A</v>
          </cell>
          <cell r="AL832">
            <v>2100</v>
          </cell>
          <cell r="AM832">
            <v>1750</v>
          </cell>
          <cell r="AN832" t="e">
            <v>#VALUE!</v>
          </cell>
          <cell r="AO832" t="e">
            <v>#VALUE!</v>
          </cell>
          <cell r="AP832">
            <v>350</v>
          </cell>
        </row>
        <row r="833">
          <cell r="A833">
            <v>63562900</v>
          </cell>
          <cell r="C833">
            <v>5629</v>
          </cell>
          <cell r="D833" t="str">
            <v>DMC VEG RISOTTO GEITENKAAS RODE BIET</v>
          </cell>
          <cell r="E833" t="str">
            <v>DMC, VEG</v>
          </cell>
          <cell r="F833" t="str">
            <v>40336300 OLAF 30 290MM</v>
          </cell>
          <cell r="G833" t="str">
            <v>C2227-1H evolve</v>
          </cell>
          <cell r="H833">
            <v>456</v>
          </cell>
          <cell r="I833">
            <v>0.5</v>
          </cell>
          <cell r="J833" t="str">
            <v>NVT</v>
          </cell>
          <cell r="K833" t="str">
            <v>DM ROND + 65X155</v>
          </cell>
          <cell r="L833">
            <v>6</v>
          </cell>
          <cell r="M833" t="str">
            <v>CATERING</v>
          </cell>
          <cell r="N833">
            <v>110</v>
          </cell>
          <cell r="O833">
            <v>5410953356294</v>
          </cell>
          <cell r="P833" t="str">
            <v>M-2T</v>
          </cell>
          <cell r="Q833">
            <v>3</v>
          </cell>
          <cell r="R833">
            <v>3</v>
          </cell>
          <cell r="S833" t="str">
            <v>geitenkaas snijden, folie perforeren, idem 63952800</v>
          </cell>
          <cell r="T833">
            <v>1750</v>
          </cell>
          <cell r="U833">
            <v>6</v>
          </cell>
          <cell r="V833">
            <v>1750</v>
          </cell>
          <cell r="W833">
            <v>6</v>
          </cell>
          <cell r="X833">
            <v>0</v>
          </cell>
          <cell r="Y833">
            <v>0</v>
          </cell>
          <cell r="Z833">
            <v>0</v>
          </cell>
          <cell r="AA833" t="str">
            <v>! ! !</v>
          </cell>
          <cell r="AB833">
            <v>650</v>
          </cell>
          <cell r="AC833">
            <v>0</v>
          </cell>
          <cell r="AG833">
            <v>35</v>
          </cell>
          <cell r="AJ833" t="str">
            <v>V-A</v>
          </cell>
          <cell r="AL833">
            <v>2100</v>
          </cell>
          <cell r="AM833">
            <v>1750</v>
          </cell>
          <cell r="AN833" t="e">
            <v>#VALUE!</v>
          </cell>
          <cell r="AO833" t="e">
            <v>#VALUE!</v>
          </cell>
          <cell r="AP833">
            <v>350</v>
          </cell>
        </row>
        <row r="834">
          <cell r="A834">
            <v>63563300</v>
          </cell>
          <cell r="C834">
            <v>5633</v>
          </cell>
          <cell r="D834" t="str">
            <v>DMC VEG TAGLIATELLE CARBONARA RODE BIET SPEKJES</v>
          </cell>
          <cell r="E834" t="str">
            <v>DMC, VEG</v>
          </cell>
          <cell r="F834" t="str">
            <v>40336300 OLAF 30 290MM</v>
          </cell>
          <cell r="G834" t="str">
            <v>C2227-1H evolve</v>
          </cell>
          <cell r="H834">
            <v>548</v>
          </cell>
          <cell r="I834">
            <v>0.5</v>
          </cell>
          <cell r="J834" t="str">
            <v>NVT</v>
          </cell>
          <cell r="K834" t="str">
            <v>DM ROND + 65X155</v>
          </cell>
          <cell r="L834">
            <v>6</v>
          </cell>
          <cell r="M834" t="str">
            <v>DMC X 6</v>
          </cell>
          <cell r="N834">
            <v>110</v>
          </cell>
          <cell r="O834">
            <v>5410953356331</v>
          </cell>
          <cell r="P834" t="str">
            <v>M-2T-K</v>
          </cell>
          <cell r="Q834">
            <v>2</v>
          </cell>
          <cell r="R834">
            <v>3</v>
          </cell>
          <cell r="S834" t="str">
            <v>Folie perforeren, idem 63963300</v>
          </cell>
          <cell r="T834">
            <v>2200</v>
          </cell>
          <cell r="U834">
            <v>6</v>
          </cell>
          <cell r="V834">
            <v>2200</v>
          </cell>
          <cell r="W834">
            <v>6</v>
          </cell>
          <cell r="X834">
            <v>0</v>
          </cell>
          <cell r="Y834">
            <v>0</v>
          </cell>
          <cell r="Z834">
            <v>0</v>
          </cell>
          <cell r="AA834" t="str">
            <v>! !</v>
          </cell>
          <cell r="AB834">
            <v>650</v>
          </cell>
          <cell r="AC834">
            <v>0</v>
          </cell>
          <cell r="AG834">
            <v>45</v>
          </cell>
          <cell r="AJ834" t="str">
            <v>V-A</v>
          </cell>
          <cell r="AL834">
            <v>2700</v>
          </cell>
          <cell r="AM834">
            <v>2200</v>
          </cell>
          <cell r="AN834" t="e">
            <v>#VALUE!</v>
          </cell>
          <cell r="AO834" t="e">
            <v>#VALUE!</v>
          </cell>
          <cell r="AP834">
            <v>500</v>
          </cell>
        </row>
        <row r="835">
          <cell r="A835">
            <v>63570100</v>
          </cell>
          <cell r="C835">
            <v>5701</v>
          </cell>
          <cell r="D835" t="str">
            <v xml:space="preserve">DMC MIX VARKENSVLEES MET SPERZIEBONEN EN AARDAPPELPUREE     </v>
          </cell>
          <cell r="E835" t="str">
            <v>DMC, GEMALEN</v>
          </cell>
          <cell r="F835" t="str">
            <v>40336300 OLAF 30 290MM</v>
          </cell>
          <cell r="G835" t="str">
            <v>C2227-3R evolve</v>
          </cell>
          <cell r="H835">
            <v>456</v>
          </cell>
          <cell r="I835">
            <v>0.5</v>
          </cell>
          <cell r="J835" t="str">
            <v>NVT</v>
          </cell>
          <cell r="K835" t="str">
            <v>DM ROND + 65X155</v>
          </cell>
          <cell r="L835">
            <v>6</v>
          </cell>
          <cell r="M835" t="str">
            <v>DMC X 6</v>
          </cell>
          <cell r="N835">
            <v>110</v>
          </cell>
          <cell r="O835">
            <v>5410953357017</v>
          </cell>
          <cell r="P835" t="str">
            <v>H-2T</v>
          </cell>
          <cell r="Q835">
            <v>3</v>
          </cell>
          <cell r="R835">
            <v>3</v>
          </cell>
          <cell r="S835" t="str">
            <v>Folie perforeren, idem 63970100, D-1 STOOFVLEES (vacuumzakken)</v>
          </cell>
          <cell r="T835">
            <v>1750</v>
          </cell>
          <cell r="U835">
            <v>3</v>
          </cell>
          <cell r="V835">
            <v>1750</v>
          </cell>
          <cell r="W835">
            <v>3</v>
          </cell>
          <cell r="X835">
            <v>0</v>
          </cell>
          <cell r="Y835">
            <v>0</v>
          </cell>
          <cell r="Z835">
            <v>0</v>
          </cell>
          <cell r="AA835" t="str">
            <v>! ! !</v>
          </cell>
          <cell r="AB835">
            <v>400</v>
          </cell>
          <cell r="AC835">
            <v>0</v>
          </cell>
          <cell r="AG835">
            <v>32</v>
          </cell>
          <cell r="AJ835" t="str">
            <v>V-A</v>
          </cell>
          <cell r="AL835">
            <v>1920</v>
          </cell>
          <cell r="AM835">
            <v>1750</v>
          </cell>
          <cell r="AN835" t="e">
            <v>#VALUE!</v>
          </cell>
          <cell r="AO835" t="e">
            <v>#VALUE!</v>
          </cell>
          <cell r="AP835">
            <v>170</v>
          </cell>
        </row>
        <row r="836">
          <cell r="A836">
            <v>63570200</v>
          </cell>
          <cell r="C836">
            <v>5702</v>
          </cell>
          <cell r="D836" t="str">
            <v xml:space="preserve">DMC MIX KIP MET WORTELTJES EN AARDAPPELPUREE          </v>
          </cell>
          <cell r="E836" t="str">
            <v>DMC, GEMALEN</v>
          </cell>
          <cell r="F836" t="str">
            <v>40336300 OLAF 30 290MM</v>
          </cell>
          <cell r="G836" t="str">
            <v>C2227-3R evolve</v>
          </cell>
          <cell r="H836">
            <v>456</v>
          </cell>
          <cell r="I836">
            <v>0.5</v>
          </cell>
          <cell r="J836" t="str">
            <v>NVT</v>
          </cell>
          <cell r="K836" t="str">
            <v>DM ROND + 65X155</v>
          </cell>
          <cell r="L836">
            <v>6</v>
          </cell>
          <cell r="M836" t="str">
            <v>DMC X 6</v>
          </cell>
          <cell r="N836">
            <v>110</v>
          </cell>
          <cell r="O836">
            <v>5410953357024</v>
          </cell>
          <cell r="P836" t="str">
            <v>H-2T</v>
          </cell>
          <cell r="Q836">
            <v>3</v>
          </cell>
          <cell r="R836">
            <v>3</v>
          </cell>
          <cell r="S836" t="str">
            <v>Folie perforeren, idem 63970200</v>
          </cell>
          <cell r="T836">
            <v>2000</v>
          </cell>
          <cell r="U836">
            <v>3</v>
          </cell>
          <cell r="V836">
            <v>2000</v>
          </cell>
          <cell r="W836">
            <v>3</v>
          </cell>
          <cell r="X836">
            <v>0</v>
          </cell>
          <cell r="Y836">
            <v>0</v>
          </cell>
          <cell r="Z836">
            <v>0</v>
          </cell>
          <cell r="AA836" t="str">
            <v>! ! !</v>
          </cell>
          <cell r="AB836">
            <v>400</v>
          </cell>
          <cell r="AC836">
            <v>0</v>
          </cell>
          <cell r="AE836" t="str">
            <v>x</v>
          </cell>
          <cell r="AG836">
            <v>40</v>
          </cell>
          <cell r="AJ836" t="str">
            <v>-</v>
          </cell>
          <cell r="AL836">
            <v>2400</v>
          </cell>
          <cell r="AM836">
            <v>2000</v>
          </cell>
          <cell r="AN836" t="e">
            <v>#VALUE!</v>
          </cell>
          <cell r="AO836" t="e">
            <v>#VALUE!</v>
          </cell>
          <cell r="AP836">
            <v>400</v>
          </cell>
        </row>
        <row r="837">
          <cell r="A837">
            <v>63570300</v>
          </cell>
          <cell r="C837">
            <v>5703</v>
          </cell>
          <cell r="D837" t="str">
            <v xml:space="preserve">DMC MIX GEHAKT MET PREI EN AARDAPPELPUREE             </v>
          </cell>
          <cell r="E837" t="str">
            <v>DMC, GEMALEN</v>
          </cell>
          <cell r="F837" t="str">
            <v>40336300 OLAF 30 290MM</v>
          </cell>
          <cell r="G837" t="str">
            <v>C2227-3R evolve</v>
          </cell>
          <cell r="H837">
            <v>456</v>
          </cell>
          <cell r="I837">
            <v>0.5</v>
          </cell>
          <cell r="J837" t="str">
            <v>NVT</v>
          </cell>
          <cell r="K837" t="str">
            <v>DM ROND + 65X155</v>
          </cell>
          <cell r="L837">
            <v>6</v>
          </cell>
          <cell r="M837" t="str">
            <v>DMC X 6</v>
          </cell>
          <cell r="N837">
            <v>110</v>
          </cell>
          <cell r="O837">
            <v>5410953357031</v>
          </cell>
          <cell r="P837" t="str">
            <v>2H-2T</v>
          </cell>
          <cell r="Q837">
            <v>3</v>
          </cell>
          <cell r="R837">
            <v>3</v>
          </cell>
          <cell r="S837" t="str">
            <v>Folie perforeren, idem 63970300</v>
          </cell>
          <cell r="T837">
            <v>2200</v>
          </cell>
          <cell r="U837">
            <v>1</v>
          </cell>
          <cell r="V837">
            <v>2200</v>
          </cell>
          <cell r="W837">
            <v>1</v>
          </cell>
          <cell r="X837">
            <v>0</v>
          </cell>
          <cell r="Y837">
            <v>0</v>
          </cell>
          <cell r="Z837">
            <v>0</v>
          </cell>
          <cell r="AA837" t="str">
            <v>! ! !</v>
          </cell>
          <cell r="AB837">
            <v>400</v>
          </cell>
          <cell r="AC837">
            <v>0</v>
          </cell>
          <cell r="AE837" t="str">
            <v>x</v>
          </cell>
          <cell r="AG837">
            <v>45</v>
          </cell>
          <cell r="AJ837" t="str">
            <v>V-A</v>
          </cell>
          <cell r="AL837">
            <v>2700</v>
          </cell>
          <cell r="AM837">
            <v>2200</v>
          </cell>
          <cell r="AN837" t="e">
            <v>#VALUE!</v>
          </cell>
          <cell r="AO837" t="e">
            <v>#VALUE!</v>
          </cell>
          <cell r="AP837">
            <v>500</v>
          </cell>
        </row>
        <row r="838">
          <cell r="A838">
            <v>63570400</v>
          </cell>
          <cell r="C838">
            <v>5704</v>
          </cell>
          <cell r="D838" t="str">
            <v xml:space="preserve">DMC MIX RUNDVLEES MET RODE KOOL EN AARDAPPELPUREE     </v>
          </cell>
          <cell r="E838" t="str">
            <v>DMC, GEMALEN</v>
          </cell>
          <cell r="F838" t="str">
            <v>40336300 OLAF 30 290MM</v>
          </cell>
          <cell r="G838" t="str">
            <v>C2227-3R evolve</v>
          </cell>
          <cell r="H838">
            <v>456</v>
          </cell>
          <cell r="I838">
            <v>0.5</v>
          </cell>
          <cell r="J838" t="str">
            <v>NVT</v>
          </cell>
          <cell r="K838" t="str">
            <v>DM ROND + 65X155</v>
          </cell>
          <cell r="L838">
            <v>6</v>
          </cell>
          <cell r="M838" t="str">
            <v>DMC X 6</v>
          </cell>
          <cell r="N838">
            <v>110</v>
          </cell>
          <cell r="O838">
            <v>5410953357048</v>
          </cell>
          <cell r="P838" t="str">
            <v>2H-2T</v>
          </cell>
          <cell r="Q838">
            <v>3</v>
          </cell>
          <cell r="R838">
            <v>3</v>
          </cell>
          <cell r="S838" t="str">
            <v>Folie perforeren, idem 63970400</v>
          </cell>
          <cell r="T838">
            <v>2200</v>
          </cell>
          <cell r="U838">
            <v>1</v>
          </cell>
          <cell r="V838">
            <v>2200</v>
          </cell>
          <cell r="W838">
            <v>1</v>
          </cell>
          <cell r="X838">
            <v>0</v>
          </cell>
          <cell r="Y838">
            <v>0</v>
          </cell>
          <cell r="Z838">
            <v>0</v>
          </cell>
          <cell r="AA838" t="str">
            <v>! ! !</v>
          </cell>
          <cell r="AB838">
            <v>400</v>
          </cell>
          <cell r="AC838">
            <v>0</v>
          </cell>
          <cell r="AE838" t="str">
            <v>x</v>
          </cell>
          <cell r="AG838">
            <v>45</v>
          </cell>
          <cell r="AJ838" t="str">
            <v>V-A</v>
          </cell>
          <cell r="AL838">
            <v>2700</v>
          </cell>
          <cell r="AM838">
            <v>2200</v>
          </cell>
          <cell r="AN838" t="e">
            <v>#VALUE!</v>
          </cell>
          <cell r="AO838" t="e">
            <v>#VALUE!</v>
          </cell>
          <cell r="AP838">
            <v>500</v>
          </cell>
        </row>
        <row r="839">
          <cell r="A839">
            <v>63570500</v>
          </cell>
          <cell r="C839">
            <v>5705</v>
          </cell>
          <cell r="D839" t="str">
            <v xml:space="preserve">DMC MIX KIP IN CREMESAUS BROCCOLI AARDAPPELPUREE      </v>
          </cell>
          <cell r="E839" t="str">
            <v>DMC, GEMALEN</v>
          </cell>
          <cell r="F839" t="str">
            <v>40336300 OLAF 30 290MM</v>
          </cell>
          <cell r="G839" t="str">
            <v>C2227-3R evolve</v>
          </cell>
          <cell r="H839">
            <v>456</v>
          </cell>
          <cell r="I839">
            <v>0.5</v>
          </cell>
          <cell r="J839" t="str">
            <v>NVT</v>
          </cell>
          <cell r="K839" t="str">
            <v>DM ROND + 65X155</v>
          </cell>
          <cell r="L839">
            <v>6</v>
          </cell>
          <cell r="M839" t="str">
            <v>DMC X 6</v>
          </cell>
          <cell r="N839">
            <v>110</v>
          </cell>
          <cell r="O839">
            <v>5410953357055</v>
          </cell>
          <cell r="P839" t="str">
            <v>H-2T</v>
          </cell>
          <cell r="Q839">
            <v>3</v>
          </cell>
          <cell r="R839">
            <v>3</v>
          </cell>
          <cell r="S839" t="str">
            <v>Folie perforeren, idem 63970500</v>
          </cell>
          <cell r="T839">
            <v>1750</v>
          </cell>
          <cell r="U839">
            <v>3</v>
          </cell>
          <cell r="V839">
            <v>1750</v>
          </cell>
          <cell r="W839">
            <v>3</v>
          </cell>
          <cell r="X839">
            <v>0</v>
          </cell>
          <cell r="Y839">
            <v>0</v>
          </cell>
          <cell r="Z839">
            <v>0</v>
          </cell>
          <cell r="AA839" t="str">
            <v>! !</v>
          </cell>
          <cell r="AB839">
            <v>400</v>
          </cell>
          <cell r="AC839">
            <v>0</v>
          </cell>
          <cell r="AE839" t="str">
            <v>x</v>
          </cell>
          <cell r="AG839">
            <v>33</v>
          </cell>
          <cell r="AJ839" t="str">
            <v>-</v>
          </cell>
          <cell r="AL839">
            <v>1980</v>
          </cell>
          <cell r="AM839">
            <v>1750</v>
          </cell>
          <cell r="AN839" t="e">
            <v>#VALUE!</v>
          </cell>
          <cell r="AO839" t="e">
            <v>#VALUE!</v>
          </cell>
          <cell r="AP839">
            <v>230</v>
          </cell>
        </row>
        <row r="840">
          <cell r="A840">
            <v>63570600</v>
          </cell>
          <cell r="C840">
            <v>5706</v>
          </cell>
          <cell r="D840" t="str">
            <v xml:space="preserve">DMC MIX ZALM IN VISSAUS WORTELEN AARDAPPELPUREE       </v>
          </cell>
          <cell r="E840" t="str">
            <v>DMC, GEMALEN</v>
          </cell>
          <cell r="F840" t="str">
            <v>40336300 OLAF 30 290MM</v>
          </cell>
          <cell r="G840" t="str">
            <v>C2227-3R evolve</v>
          </cell>
          <cell r="H840">
            <v>456</v>
          </cell>
          <cell r="I840">
            <v>0.5</v>
          </cell>
          <cell r="J840" t="str">
            <v>NVT</v>
          </cell>
          <cell r="K840" t="str">
            <v>DM ROND + 65X155</v>
          </cell>
          <cell r="L840">
            <v>6</v>
          </cell>
          <cell r="M840" t="str">
            <v>DMC X 6</v>
          </cell>
          <cell r="N840">
            <v>110</v>
          </cell>
          <cell r="O840">
            <v>5410953357062</v>
          </cell>
          <cell r="P840" t="str">
            <v>H-2T</v>
          </cell>
          <cell r="Q840">
            <v>3</v>
          </cell>
          <cell r="R840">
            <v>3</v>
          </cell>
          <cell r="S840" t="str">
            <v>Folie perforeren, ZALM verzagen (227g), idem 63970600</v>
          </cell>
          <cell r="T840">
            <v>1750</v>
          </cell>
          <cell r="U840">
            <v>3</v>
          </cell>
          <cell r="V840">
            <v>1750</v>
          </cell>
          <cell r="W840">
            <v>3</v>
          </cell>
          <cell r="X840">
            <v>0</v>
          </cell>
          <cell r="Y840">
            <v>0</v>
          </cell>
          <cell r="Z840">
            <v>0</v>
          </cell>
          <cell r="AA840" t="str">
            <v>! ! ! !</v>
          </cell>
          <cell r="AB840">
            <v>400</v>
          </cell>
          <cell r="AC840">
            <v>0</v>
          </cell>
          <cell r="AE840" t="str">
            <v>x</v>
          </cell>
          <cell r="AG840">
            <v>35</v>
          </cell>
          <cell r="AJ840" t="str">
            <v>V-A</v>
          </cell>
          <cell r="AL840">
            <v>2100</v>
          </cell>
          <cell r="AM840">
            <v>1750</v>
          </cell>
          <cell r="AN840" t="e">
            <v>#VALUE!</v>
          </cell>
          <cell r="AO840" t="e">
            <v>#VALUE!</v>
          </cell>
          <cell r="AP840">
            <v>350</v>
          </cell>
        </row>
        <row r="841">
          <cell r="A841">
            <v>63570800</v>
          </cell>
          <cell r="C841">
            <v>5708</v>
          </cell>
          <cell r="D841" t="str">
            <v xml:space="preserve">DMC MIX WORTELPUREE MET RUNDSVLEES                         </v>
          </cell>
          <cell r="E841" t="str">
            <v>DMC, GEMALEN</v>
          </cell>
          <cell r="F841" t="str">
            <v>40336300 OLAF 30 290MM</v>
          </cell>
          <cell r="G841" t="str">
            <v>C2227-2K evolve</v>
          </cell>
          <cell r="H841">
            <v>456</v>
          </cell>
          <cell r="I841">
            <v>0.5</v>
          </cell>
          <cell r="J841" t="str">
            <v>NVT</v>
          </cell>
          <cell r="K841" t="str">
            <v>DM ROND + 65X155</v>
          </cell>
          <cell r="L841">
            <v>6</v>
          </cell>
          <cell r="M841" t="str">
            <v>DMC X 6</v>
          </cell>
          <cell r="N841">
            <v>110</v>
          </cell>
          <cell r="O841">
            <v>5410953357086</v>
          </cell>
          <cell r="P841" t="str">
            <v>H-2T</v>
          </cell>
          <cell r="Q841">
            <v>3</v>
          </cell>
          <cell r="R841">
            <v>3</v>
          </cell>
          <cell r="S841" t="str">
            <v>Folie perforeren, idem 63970800</v>
          </cell>
          <cell r="T841">
            <v>1750</v>
          </cell>
          <cell r="U841">
            <v>1</v>
          </cell>
          <cell r="V841">
            <v>1750</v>
          </cell>
          <cell r="W841">
            <v>1</v>
          </cell>
          <cell r="X841">
            <v>0</v>
          </cell>
          <cell r="Y841">
            <v>0</v>
          </cell>
          <cell r="Z841">
            <v>0</v>
          </cell>
          <cell r="AA841" t="str">
            <v>! ! !</v>
          </cell>
          <cell r="AB841">
            <v>400</v>
          </cell>
          <cell r="AC841">
            <v>0</v>
          </cell>
          <cell r="AE841" t="str">
            <v>x</v>
          </cell>
          <cell r="AG841">
            <v>40</v>
          </cell>
          <cell r="AJ841" t="str">
            <v>V-A</v>
          </cell>
          <cell r="AL841">
            <v>2400</v>
          </cell>
          <cell r="AM841">
            <v>1750</v>
          </cell>
          <cell r="AN841" t="e">
            <v>#VALUE!</v>
          </cell>
          <cell r="AO841" t="e">
            <v>#VALUE!</v>
          </cell>
          <cell r="AP841">
            <v>650</v>
          </cell>
        </row>
        <row r="842">
          <cell r="A842">
            <v>63571400</v>
          </cell>
          <cell r="C842">
            <v>5714</v>
          </cell>
          <cell r="D842" t="str">
            <v xml:space="preserve">DMC MIX RUNDERHACHEE MET RODE KOOL AARDAPPELPUREE     </v>
          </cell>
          <cell r="E842" t="str">
            <v>DMC, GEMALEN</v>
          </cell>
          <cell r="F842" t="str">
            <v>40336300 OLAF 30 290MM</v>
          </cell>
          <cell r="G842" t="str">
            <v>C2227-3R evolve</v>
          </cell>
          <cell r="H842">
            <v>456</v>
          </cell>
          <cell r="I842">
            <v>0.5</v>
          </cell>
          <cell r="J842" t="str">
            <v>NVT</v>
          </cell>
          <cell r="K842" t="str">
            <v>DM ROND + 65X155</v>
          </cell>
          <cell r="L842">
            <v>6</v>
          </cell>
          <cell r="M842" t="str">
            <v>CATERING</v>
          </cell>
          <cell r="N842">
            <v>110</v>
          </cell>
          <cell r="O842">
            <v>5410953357147</v>
          </cell>
          <cell r="P842" t="str">
            <v>H-3T</v>
          </cell>
          <cell r="Q842">
            <v>3</v>
          </cell>
          <cell r="R842">
            <v>3</v>
          </cell>
          <cell r="S842" t="str">
            <v>Folie perforeren, idem 63971400</v>
          </cell>
          <cell r="T842">
            <v>1750</v>
          </cell>
          <cell r="U842">
            <v>1</v>
          </cell>
          <cell r="V842">
            <v>1750</v>
          </cell>
          <cell r="W842">
            <v>1</v>
          </cell>
          <cell r="X842">
            <v>0</v>
          </cell>
          <cell r="Y842">
            <v>0</v>
          </cell>
          <cell r="Z842">
            <v>0</v>
          </cell>
          <cell r="AA842" t="str">
            <v>! ! !</v>
          </cell>
          <cell r="AB842">
            <v>400</v>
          </cell>
          <cell r="AC842">
            <v>0</v>
          </cell>
          <cell r="AE842" t="str">
            <v>x</v>
          </cell>
          <cell r="AG842">
            <v>40</v>
          </cell>
          <cell r="AJ842" t="str">
            <v>-</v>
          </cell>
          <cell r="AL842">
            <v>2400</v>
          </cell>
          <cell r="AM842">
            <v>1750</v>
          </cell>
          <cell r="AN842" t="e">
            <v>#VALUE!</v>
          </cell>
          <cell r="AO842" t="e">
            <v>#VALUE!</v>
          </cell>
          <cell r="AP842">
            <v>650</v>
          </cell>
        </row>
        <row r="843">
          <cell r="A843">
            <v>63571500</v>
          </cell>
          <cell r="C843">
            <v>5715</v>
          </cell>
          <cell r="D843" t="str">
            <v xml:space="preserve">DMC MIX RUNDVLEES MET WITLOF EN AARDAPPELPUREE     </v>
          </cell>
          <cell r="E843" t="str">
            <v>DMC, GEMALEN</v>
          </cell>
          <cell r="F843" t="str">
            <v>40336300 OLAF 30 290MM</v>
          </cell>
          <cell r="G843" t="str">
            <v>C2227-3R evolve</v>
          </cell>
          <cell r="H843">
            <v>456</v>
          </cell>
          <cell r="I843">
            <v>0.5</v>
          </cell>
          <cell r="J843" t="str">
            <v>NVT</v>
          </cell>
          <cell r="K843" t="str">
            <v>DM ROND + 65X155</v>
          </cell>
          <cell r="L843">
            <v>6</v>
          </cell>
          <cell r="M843" t="str">
            <v>DMC X 6</v>
          </cell>
          <cell r="N843">
            <v>110</v>
          </cell>
          <cell r="P843" t="str">
            <v>H-2T</v>
          </cell>
          <cell r="Q843">
            <v>3</v>
          </cell>
          <cell r="R843">
            <v>3</v>
          </cell>
          <cell r="S843" t="str">
            <v>Folie perforeren, idem 63971500</v>
          </cell>
          <cell r="T843">
            <v>2000</v>
          </cell>
          <cell r="U843">
            <v>1</v>
          </cell>
          <cell r="V843">
            <v>2000</v>
          </cell>
          <cell r="W843">
            <v>1</v>
          </cell>
          <cell r="X843">
            <v>0</v>
          </cell>
          <cell r="Y843">
            <v>0</v>
          </cell>
          <cell r="Z843">
            <v>0</v>
          </cell>
          <cell r="AA843" t="str">
            <v>! ! !</v>
          </cell>
          <cell r="AB843">
            <v>400</v>
          </cell>
          <cell r="AC843">
            <v>0</v>
          </cell>
          <cell r="AE843" t="str">
            <v>x</v>
          </cell>
          <cell r="AG843">
            <v>42</v>
          </cell>
          <cell r="AJ843" t="str">
            <v>V-A</v>
          </cell>
          <cell r="AL843">
            <v>2520</v>
          </cell>
          <cell r="AM843">
            <v>2000</v>
          </cell>
          <cell r="AN843" t="e">
            <v>#VALUE!</v>
          </cell>
          <cell r="AO843" t="e">
            <v>#VALUE!</v>
          </cell>
          <cell r="AP843">
            <v>520</v>
          </cell>
        </row>
        <row r="844">
          <cell r="A844">
            <v>63571700</v>
          </cell>
          <cell r="C844">
            <v>5717</v>
          </cell>
          <cell r="D844" t="str">
            <v>DMC MIX ANDIJVIESTAMPPOT MET GEHAKTBAL</v>
          </cell>
          <cell r="E844" t="str">
            <v>DMC, GEMALEN</v>
          </cell>
          <cell r="F844" t="str">
            <v>40336300 OLAF 30 290MM</v>
          </cell>
          <cell r="G844" t="str">
            <v>C2227-2K evolve</v>
          </cell>
          <cell r="H844">
            <v>456</v>
          </cell>
          <cell r="I844">
            <v>0.5</v>
          </cell>
          <cell r="J844" t="str">
            <v>NVT</v>
          </cell>
          <cell r="K844" t="str">
            <v>DM ROND + 65X155</v>
          </cell>
          <cell r="L844">
            <v>6</v>
          </cell>
          <cell r="M844" t="str">
            <v>DMC X 6</v>
          </cell>
          <cell r="N844">
            <v>110</v>
          </cell>
          <cell r="O844">
            <v>5410953357178</v>
          </cell>
          <cell r="P844" t="str">
            <v>H-2T</v>
          </cell>
          <cell r="Q844">
            <v>3</v>
          </cell>
          <cell r="R844">
            <v>3</v>
          </cell>
          <cell r="S844" t="str">
            <v>Folie perforeren, idem 63971700</v>
          </cell>
          <cell r="T844">
            <v>2000</v>
          </cell>
          <cell r="U844">
            <v>1</v>
          </cell>
          <cell r="V844">
            <v>2000</v>
          </cell>
          <cell r="W844">
            <v>1</v>
          </cell>
          <cell r="X844">
            <v>0</v>
          </cell>
          <cell r="Y844">
            <v>0</v>
          </cell>
          <cell r="Z844">
            <v>0</v>
          </cell>
          <cell r="AA844" t="str">
            <v>! ! !</v>
          </cell>
          <cell r="AB844">
            <v>400</v>
          </cell>
          <cell r="AC844">
            <v>0</v>
          </cell>
          <cell r="AG844">
            <v>40</v>
          </cell>
          <cell r="AJ844" t="str">
            <v>V-A</v>
          </cell>
          <cell r="AL844">
            <v>2400</v>
          </cell>
          <cell r="AM844">
            <v>2000</v>
          </cell>
          <cell r="AN844" t="e">
            <v>#VALUE!</v>
          </cell>
          <cell r="AO844" t="e">
            <v>#VALUE!</v>
          </cell>
          <cell r="AP844">
            <v>400</v>
          </cell>
        </row>
        <row r="845">
          <cell r="A845">
            <v>63571800</v>
          </cell>
          <cell r="C845">
            <v>5718</v>
          </cell>
          <cell r="D845" t="str">
            <v>DMC MIX VARKENSLAPJE JUS SPINAZIE AARDAPPELPUREE</v>
          </cell>
          <cell r="E845" t="str">
            <v>DMC, GEMALEN</v>
          </cell>
          <cell r="F845" t="str">
            <v>40336300 OLAF 30 290MM</v>
          </cell>
          <cell r="G845" t="str">
            <v>C2227-3R evolve</v>
          </cell>
          <cell r="H845">
            <v>456</v>
          </cell>
          <cell r="I845">
            <v>0.5</v>
          </cell>
          <cell r="J845" t="str">
            <v>NVT</v>
          </cell>
          <cell r="K845" t="str">
            <v>DM ROND + 65X155</v>
          </cell>
          <cell r="L845">
            <v>6</v>
          </cell>
          <cell r="M845" t="str">
            <v>DMC X 6</v>
          </cell>
          <cell r="N845">
            <v>110</v>
          </cell>
          <cell r="O845">
            <v>5410953357185</v>
          </cell>
          <cell r="P845" t="str">
            <v>H-3T</v>
          </cell>
          <cell r="Q845">
            <v>3</v>
          </cell>
          <cell r="R845">
            <v>3</v>
          </cell>
          <cell r="S845" t="str">
            <v>Folie perforeren, D-1 STOOFVLEES (vacuumzakken), idem 63971800</v>
          </cell>
          <cell r="T845">
            <v>2000</v>
          </cell>
          <cell r="U845">
            <v>1</v>
          </cell>
          <cell r="V845">
            <v>2000</v>
          </cell>
          <cell r="W845">
            <v>1</v>
          </cell>
          <cell r="X845">
            <v>0</v>
          </cell>
          <cell r="Y845">
            <v>0</v>
          </cell>
          <cell r="Z845">
            <v>0</v>
          </cell>
          <cell r="AA845" t="str">
            <v>! ! !</v>
          </cell>
          <cell r="AB845">
            <v>400</v>
          </cell>
          <cell r="AC845">
            <v>0.10832889600000001</v>
          </cell>
          <cell r="AG845">
            <v>40</v>
          </cell>
          <cell r="AJ845" t="str">
            <v>V-A</v>
          </cell>
          <cell r="AL845">
            <v>2400</v>
          </cell>
          <cell r="AM845">
            <v>2000</v>
          </cell>
          <cell r="AN845" t="e">
            <v>#VALUE!</v>
          </cell>
          <cell r="AO845" t="e">
            <v>#VALUE!</v>
          </cell>
          <cell r="AP845">
            <v>400</v>
          </cell>
        </row>
        <row r="846">
          <cell r="A846">
            <v>63571900</v>
          </cell>
          <cell r="C846">
            <v>5719</v>
          </cell>
          <cell r="D846" t="str">
            <v xml:space="preserve">DMC MIX KABELJAUW IN SAUS BROCCOLI EN KRUIDENPUREE      </v>
          </cell>
          <cell r="E846" t="str">
            <v>DMC, GEMALEN</v>
          </cell>
          <cell r="F846" t="str">
            <v>40336300 OLAF 30 290MM</v>
          </cell>
          <cell r="G846" t="str">
            <v>C2227-3R evolve</v>
          </cell>
          <cell r="H846">
            <v>456</v>
          </cell>
          <cell r="I846">
            <v>0.5</v>
          </cell>
          <cell r="J846" t="str">
            <v>NVT</v>
          </cell>
          <cell r="K846" t="str">
            <v>DM ROND + 65X155</v>
          </cell>
          <cell r="L846">
            <v>6</v>
          </cell>
          <cell r="M846" t="str">
            <v>DMC X 6</v>
          </cell>
          <cell r="N846">
            <v>110</v>
          </cell>
          <cell r="O846">
            <v>5410953357116</v>
          </cell>
          <cell r="P846" t="str">
            <v>H-2T</v>
          </cell>
          <cell r="Q846">
            <v>3</v>
          </cell>
          <cell r="R846">
            <v>3</v>
          </cell>
          <cell r="S846" t="str">
            <v xml:space="preserve"> Folie perforeren, KABELJAUW verzagen (227g), idem 63971900</v>
          </cell>
          <cell r="T846">
            <v>2000</v>
          </cell>
          <cell r="U846">
            <v>3</v>
          </cell>
          <cell r="V846">
            <v>2000</v>
          </cell>
          <cell r="W846">
            <v>3</v>
          </cell>
          <cell r="X846">
            <v>0</v>
          </cell>
          <cell r="Y846">
            <v>0</v>
          </cell>
          <cell r="Z846">
            <v>0</v>
          </cell>
          <cell r="AA846" t="str">
            <v>! ! ! !</v>
          </cell>
          <cell r="AB846">
            <v>400</v>
          </cell>
          <cell r="AC846">
            <v>0</v>
          </cell>
          <cell r="AE846" t="str">
            <v>x</v>
          </cell>
          <cell r="AG846">
            <v>42</v>
          </cell>
          <cell r="AJ846" t="str">
            <v>V-A</v>
          </cell>
          <cell r="AL846">
            <v>2520</v>
          </cell>
          <cell r="AM846">
            <v>2000</v>
          </cell>
          <cell r="AN846" t="e">
            <v>#VALUE!</v>
          </cell>
          <cell r="AO846" t="e">
            <v>#VALUE!</v>
          </cell>
          <cell r="AP846">
            <v>520</v>
          </cell>
        </row>
        <row r="847">
          <cell r="A847">
            <v>63572000</v>
          </cell>
          <cell r="C847">
            <v>5720</v>
          </cell>
          <cell r="D847" t="str">
            <v>DMC MIX VIS HOLLANDAISESAUS RODE BIETJES AARDAPPELPUREE</v>
          </cell>
          <cell r="E847" t="str">
            <v>DMC, GEMALEN</v>
          </cell>
          <cell r="F847" t="str">
            <v>40336300 OLAF 30 290MM</v>
          </cell>
          <cell r="G847" t="str">
            <v>C2227-3R evolve</v>
          </cell>
          <cell r="H847">
            <v>456</v>
          </cell>
          <cell r="I847">
            <v>0.5</v>
          </cell>
          <cell r="J847" t="str">
            <v>NVT</v>
          </cell>
          <cell r="K847" t="str">
            <v>DM ROND + 65X155</v>
          </cell>
          <cell r="L847">
            <v>6</v>
          </cell>
          <cell r="M847" t="str">
            <v>DMC X 6</v>
          </cell>
          <cell r="N847">
            <v>110</v>
          </cell>
          <cell r="O847">
            <v>5410953357161</v>
          </cell>
          <cell r="P847" t="str">
            <v>H-3T</v>
          </cell>
          <cell r="Q847">
            <v>3</v>
          </cell>
          <cell r="R847">
            <v>3</v>
          </cell>
          <cell r="S847" t="str">
            <v>Folie perforeren,alaska pollak verzagen 100gr idem 63972000</v>
          </cell>
          <cell r="T847">
            <v>2000</v>
          </cell>
          <cell r="U847">
            <v>1</v>
          </cell>
          <cell r="V847">
            <v>2000</v>
          </cell>
          <cell r="W847">
            <v>1</v>
          </cell>
          <cell r="X847">
            <v>0</v>
          </cell>
          <cell r="Y847">
            <v>0</v>
          </cell>
          <cell r="Z847">
            <v>0</v>
          </cell>
          <cell r="AA847" t="str">
            <v>! ! ! !</v>
          </cell>
          <cell r="AB847">
            <v>400</v>
          </cell>
          <cell r="AC847">
            <v>0</v>
          </cell>
          <cell r="AJ847" t="str">
            <v>V-A</v>
          </cell>
          <cell r="AL847">
            <v>0</v>
          </cell>
          <cell r="AM847">
            <v>2000</v>
          </cell>
          <cell r="AN847" t="e">
            <v>#VALUE!</v>
          </cell>
          <cell r="AO847" t="e">
            <v>#VALUE!</v>
          </cell>
          <cell r="AP847">
            <v>-2000</v>
          </cell>
        </row>
        <row r="848">
          <cell r="A848">
            <v>63580100</v>
          </cell>
          <cell r="B848" t="str">
            <v>-</v>
          </cell>
          <cell r="C848">
            <v>5801</v>
          </cell>
          <cell r="D848" t="str">
            <v>DMC DIEET GEBRAAD BROCCOLI PUREE</v>
          </cell>
          <cell r="E848" t="str">
            <v>DMC, DIEET</v>
          </cell>
          <cell r="F848" t="str">
            <v>40336300 OLAF 30 290MM</v>
          </cell>
          <cell r="G848" t="str">
            <v>C2227-2K evolve</v>
          </cell>
          <cell r="H848">
            <v>456</v>
          </cell>
          <cell r="I848">
            <v>0.5</v>
          </cell>
          <cell r="J848" t="str">
            <v>NVT</v>
          </cell>
          <cell r="K848" t="str">
            <v>DM ROND + 65X155</v>
          </cell>
          <cell r="L848">
            <v>6</v>
          </cell>
          <cell r="M848" t="str">
            <v>CATERING</v>
          </cell>
          <cell r="N848">
            <v>110</v>
          </cell>
          <cell r="O848" t="str">
            <v>5410953358014</v>
          </cell>
          <cell r="P848" t="str">
            <v>T-H</v>
          </cell>
          <cell r="Q848">
            <v>2.5</v>
          </cell>
          <cell r="R848">
            <v>3</v>
          </cell>
          <cell r="S848" t="str">
            <v>Folie perforeren</v>
          </cell>
          <cell r="T848">
            <v>1750</v>
          </cell>
          <cell r="U848">
            <v>7</v>
          </cell>
          <cell r="V848">
            <v>1750</v>
          </cell>
          <cell r="W848">
            <v>7</v>
          </cell>
          <cell r="X848">
            <v>0</v>
          </cell>
          <cell r="Y848">
            <v>0</v>
          </cell>
          <cell r="Z848">
            <v>0</v>
          </cell>
          <cell r="AA848" t="str">
            <v>! ! !</v>
          </cell>
          <cell r="AB848">
            <v>650</v>
          </cell>
          <cell r="AC848">
            <v>9.6153846153846159E-2</v>
          </cell>
          <cell r="AG848">
            <v>35</v>
          </cell>
          <cell r="AJ848" t="str">
            <v>V-A</v>
          </cell>
          <cell r="AL848">
            <v>2100</v>
          </cell>
          <cell r="AM848">
            <v>1750</v>
          </cell>
          <cell r="AN848" t="e">
            <v>#VALUE!</v>
          </cell>
          <cell r="AO848" t="e">
            <v>#VALUE!</v>
          </cell>
          <cell r="AP848">
            <v>350</v>
          </cell>
        </row>
        <row r="849">
          <cell r="A849">
            <v>63580200</v>
          </cell>
          <cell r="B849" t="str">
            <v>-</v>
          </cell>
          <cell r="C849">
            <v>5802</v>
          </cell>
          <cell r="D849" t="str">
            <v>DMC DIEET RUNDVLEES SPRUITEN AARDAPPELEN</v>
          </cell>
          <cell r="E849" t="str">
            <v>DMC, DIEET</v>
          </cell>
          <cell r="F849" t="str">
            <v>40336300 OLAF 30 290MM</v>
          </cell>
          <cell r="G849" t="str">
            <v>C2227-3R evolve</v>
          </cell>
          <cell r="H849">
            <v>456</v>
          </cell>
          <cell r="I849">
            <v>0.5</v>
          </cell>
          <cell r="J849" t="str">
            <v>NVT</v>
          </cell>
          <cell r="K849" t="str">
            <v>DM ROND + 65X155</v>
          </cell>
          <cell r="L849">
            <v>6</v>
          </cell>
          <cell r="M849" t="str">
            <v>DMC X 6</v>
          </cell>
          <cell r="N849">
            <v>110</v>
          </cell>
          <cell r="O849" t="str">
            <v>5410953358021</v>
          </cell>
          <cell r="P849" t="str">
            <v>T</v>
          </cell>
          <cell r="Q849">
            <v>2</v>
          </cell>
          <cell r="R849">
            <v>3</v>
          </cell>
          <cell r="S849" t="str">
            <v>Folie perforeren, STOOFVLEES (vacuumzakken), analoog 63981000 (andere aardap.)</v>
          </cell>
          <cell r="T849">
            <v>1500</v>
          </cell>
          <cell r="U849">
            <v>7</v>
          </cell>
          <cell r="V849">
            <v>1500</v>
          </cell>
          <cell r="W849">
            <v>7</v>
          </cell>
          <cell r="X849">
            <v>0</v>
          </cell>
          <cell r="Y849">
            <v>0</v>
          </cell>
          <cell r="Z849">
            <v>0</v>
          </cell>
          <cell r="AA849" t="str">
            <v>! ! !</v>
          </cell>
          <cell r="AB849">
            <v>650</v>
          </cell>
          <cell r="AC849">
            <v>0</v>
          </cell>
          <cell r="AG849">
            <v>30</v>
          </cell>
          <cell r="AJ849" t="str">
            <v>V-A</v>
          </cell>
          <cell r="AL849">
            <v>1800</v>
          </cell>
          <cell r="AM849">
            <v>1500</v>
          </cell>
          <cell r="AN849" t="e">
            <v>#VALUE!</v>
          </cell>
          <cell r="AO849" t="e">
            <v>#VALUE!</v>
          </cell>
          <cell r="AP849">
            <v>300</v>
          </cell>
        </row>
        <row r="850">
          <cell r="A850">
            <v>63580300</v>
          </cell>
          <cell r="B850" t="str">
            <v>-</v>
          </cell>
          <cell r="C850">
            <v>5803</v>
          </cell>
          <cell r="D850" t="str">
            <v>DMC DIEET RUNDSTOOFSCHOTEL RODE KOOL PUREE</v>
          </cell>
          <cell r="E850" t="str">
            <v>DMC, DIEET</v>
          </cell>
          <cell r="F850" t="str">
            <v>40336300 OLAF 30 290MM</v>
          </cell>
          <cell r="G850" t="str">
            <v>C2227-3R evolve</v>
          </cell>
          <cell r="H850">
            <v>456</v>
          </cell>
          <cell r="I850">
            <v>0.5</v>
          </cell>
          <cell r="J850" t="str">
            <v>NVT</v>
          </cell>
          <cell r="K850" t="str">
            <v>DM ROND + 65X155</v>
          </cell>
          <cell r="L850">
            <v>6</v>
          </cell>
          <cell r="M850" t="str">
            <v>DMC X 6</v>
          </cell>
          <cell r="N850">
            <v>110</v>
          </cell>
          <cell r="O850" t="str">
            <v>5410953358038</v>
          </cell>
          <cell r="P850" t="str">
            <v>2T-H</v>
          </cell>
          <cell r="Q850">
            <v>3</v>
          </cell>
          <cell r="R850">
            <v>3</v>
          </cell>
          <cell r="S850" t="str">
            <v>Folie perforeren, STOOFVLEES (vacuumzakken), idem 63981100</v>
          </cell>
          <cell r="T850">
            <v>1750</v>
          </cell>
          <cell r="U850">
            <v>5</v>
          </cell>
          <cell r="V850">
            <v>1750</v>
          </cell>
          <cell r="W850">
            <v>5</v>
          </cell>
          <cell r="X850">
            <v>0</v>
          </cell>
          <cell r="Y850">
            <v>0</v>
          </cell>
          <cell r="Z850">
            <v>0</v>
          </cell>
          <cell r="AA850" t="str">
            <v>! ! !</v>
          </cell>
          <cell r="AB850">
            <v>650</v>
          </cell>
          <cell r="AC850">
            <v>0.28813176000000001</v>
          </cell>
          <cell r="AG850">
            <v>35</v>
          </cell>
          <cell r="AJ850" t="str">
            <v>-</v>
          </cell>
          <cell r="AL850">
            <v>2100</v>
          </cell>
          <cell r="AM850">
            <v>1750</v>
          </cell>
          <cell r="AN850" t="e">
            <v>#VALUE!</v>
          </cell>
          <cell r="AO850" t="e">
            <v>#VALUE!</v>
          </cell>
          <cell r="AP850">
            <v>350</v>
          </cell>
        </row>
        <row r="851">
          <cell r="A851">
            <v>63580400</v>
          </cell>
          <cell r="C851">
            <v>5804</v>
          </cell>
          <cell r="D851" t="str">
            <v>DMC DIEET WORTELSTAMPPOT RUNDSTOVERIJ</v>
          </cell>
          <cell r="E851" t="str">
            <v>DMC, DIEET</v>
          </cell>
          <cell r="F851" t="str">
            <v>40336300 OLAF 30 290MM</v>
          </cell>
          <cell r="G851" t="str">
            <v>C2227-2K evolve</v>
          </cell>
          <cell r="H851">
            <v>456</v>
          </cell>
          <cell r="I851">
            <v>0.5</v>
          </cell>
          <cell r="J851" t="str">
            <v>NVT</v>
          </cell>
          <cell r="K851" t="str">
            <v>DM ROND + 65X155</v>
          </cell>
          <cell r="L851">
            <v>6</v>
          </cell>
          <cell r="M851" t="str">
            <v>DMC X 6</v>
          </cell>
          <cell r="N851">
            <v>110</v>
          </cell>
          <cell r="O851" t="str">
            <v>5410953358045</v>
          </cell>
          <cell r="P851" t="str">
            <v>T-H</v>
          </cell>
          <cell r="Q851">
            <v>2.5</v>
          </cell>
          <cell r="R851">
            <v>3</v>
          </cell>
          <cell r="S851" t="str">
            <v>Folie perforeren Pulled Beef tussen D-4 en D-2</v>
          </cell>
          <cell r="T851">
            <v>2200</v>
          </cell>
          <cell r="U851">
            <v>1</v>
          </cell>
          <cell r="V851">
            <v>2200</v>
          </cell>
          <cell r="W851">
            <v>1</v>
          </cell>
          <cell r="X851">
            <v>0</v>
          </cell>
          <cell r="Y851">
            <v>0</v>
          </cell>
          <cell r="Z851">
            <v>0</v>
          </cell>
          <cell r="AA851" t="str">
            <v>! ! !</v>
          </cell>
          <cell r="AB851">
            <v>650</v>
          </cell>
          <cell r="AC851">
            <v>0</v>
          </cell>
          <cell r="AG851">
            <v>45</v>
          </cell>
          <cell r="AJ851" t="str">
            <v>-</v>
          </cell>
          <cell r="AL851">
            <v>2700</v>
          </cell>
          <cell r="AM851">
            <v>2200</v>
          </cell>
          <cell r="AN851" t="e">
            <v>#VALUE!</v>
          </cell>
          <cell r="AO851" t="e">
            <v>#VALUE!</v>
          </cell>
          <cell r="AP851">
            <v>500</v>
          </cell>
        </row>
        <row r="852">
          <cell r="A852">
            <v>63580500</v>
          </cell>
          <cell r="C852">
            <v>5805</v>
          </cell>
          <cell r="D852" t="str">
            <v>DMC DIEET BOERENKOOL KALFSGEHAKTBALLEN</v>
          </cell>
          <cell r="E852" t="str">
            <v>DMC, DIEET</v>
          </cell>
          <cell r="F852" t="str">
            <v>40336300 OLAF 30 290MM</v>
          </cell>
          <cell r="G852" t="str">
            <v>C2227-2K evolve</v>
          </cell>
          <cell r="H852">
            <v>456</v>
          </cell>
          <cell r="I852">
            <v>0.5</v>
          </cell>
          <cell r="J852" t="str">
            <v>NVT</v>
          </cell>
          <cell r="K852" t="str">
            <v>DM ROND + 65X155</v>
          </cell>
          <cell r="L852">
            <v>6</v>
          </cell>
          <cell r="M852" t="str">
            <v>DMC X 6</v>
          </cell>
          <cell r="N852">
            <v>110</v>
          </cell>
          <cell r="O852" t="str">
            <v>5410953358052</v>
          </cell>
          <cell r="P852" t="str">
            <v>T-H</v>
          </cell>
          <cell r="Q852">
            <v>2.5</v>
          </cell>
          <cell r="R852">
            <v>3</v>
          </cell>
          <cell r="S852" t="str">
            <v xml:space="preserve">Folie perforeren, idem 63980300, GEHAKTBALLEN bakken </v>
          </cell>
          <cell r="T852">
            <v>2200</v>
          </cell>
          <cell r="U852">
            <v>3</v>
          </cell>
          <cell r="V852">
            <v>2200</v>
          </cell>
          <cell r="W852">
            <v>3</v>
          </cell>
          <cell r="X852">
            <v>0</v>
          </cell>
          <cell r="Y852">
            <v>0</v>
          </cell>
          <cell r="Z852">
            <v>0</v>
          </cell>
          <cell r="AA852" t="str">
            <v>! ! !</v>
          </cell>
          <cell r="AB852">
            <v>650</v>
          </cell>
          <cell r="AC852">
            <v>3.5610157480314958E-2</v>
          </cell>
          <cell r="AG852">
            <v>45</v>
          </cell>
          <cell r="AJ852" t="str">
            <v>-</v>
          </cell>
          <cell r="AL852">
            <v>2700</v>
          </cell>
          <cell r="AM852">
            <v>2200</v>
          </cell>
          <cell r="AN852" t="e">
            <v>#VALUE!</v>
          </cell>
          <cell r="AO852" t="e">
            <v>#VALUE!</v>
          </cell>
          <cell r="AP852">
            <v>500</v>
          </cell>
        </row>
        <row r="853">
          <cell r="A853">
            <v>63580600</v>
          </cell>
          <cell r="C853">
            <v>5806</v>
          </cell>
          <cell r="D853" t="str">
            <v>DMC DIEET KALFSGEHAKTBALLEN MET UIENSAUS PREI EN GEKOOKTE AARD</v>
          </cell>
          <cell r="E853" t="str">
            <v>DMC, DIEET</v>
          </cell>
          <cell r="F853" t="str">
            <v>40336300 OLAF 30 290MM</v>
          </cell>
          <cell r="G853" t="str">
            <v>C2227-3R evolve</v>
          </cell>
          <cell r="H853">
            <v>456</v>
          </cell>
          <cell r="I853">
            <v>0.5</v>
          </cell>
          <cell r="J853" t="str">
            <v>NVT</v>
          </cell>
          <cell r="K853" t="str">
            <v>DM ROND + 65X155</v>
          </cell>
          <cell r="L853">
            <v>6</v>
          </cell>
          <cell r="M853" t="str">
            <v>CATERING</v>
          </cell>
          <cell r="N853">
            <v>110</v>
          </cell>
          <cell r="O853" t="str">
            <v>5410953358069</v>
          </cell>
          <cell r="P853" t="str">
            <v>2T</v>
          </cell>
          <cell r="Q853">
            <v>2</v>
          </cell>
          <cell r="R853">
            <v>3</v>
          </cell>
          <cell r="S853" t="str">
            <v>Folie perforeren</v>
          </cell>
          <cell r="T853">
            <v>1750</v>
          </cell>
          <cell r="U853">
            <v>5</v>
          </cell>
          <cell r="V853">
            <v>1750</v>
          </cell>
          <cell r="W853">
            <v>5</v>
          </cell>
          <cell r="X853">
            <v>0</v>
          </cell>
          <cell r="Y853">
            <v>0</v>
          </cell>
          <cell r="Z853">
            <v>0</v>
          </cell>
          <cell r="AA853" t="str">
            <v>! ! !</v>
          </cell>
          <cell r="AB853">
            <v>650</v>
          </cell>
          <cell r="AC853">
            <v>3.5610157480314958E-2</v>
          </cell>
          <cell r="AG853">
            <v>40</v>
          </cell>
          <cell r="AJ853" t="str">
            <v>-</v>
          </cell>
          <cell r="AL853">
            <v>2400</v>
          </cell>
          <cell r="AM853">
            <v>1750</v>
          </cell>
          <cell r="AN853" t="e">
            <v>#VALUE!</v>
          </cell>
          <cell r="AO853" t="e">
            <v>#VALUE!</v>
          </cell>
          <cell r="AP853">
            <v>650</v>
          </cell>
        </row>
        <row r="854">
          <cell r="A854">
            <v>63580700</v>
          </cell>
          <cell r="C854">
            <v>5807</v>
          </cell>
          <cell r="D854" t="str">
            <v xml:space="preserve">DMC DIEET GENTSE WATERZOOI                         </v>
          </cell>
          <cell r="E854" t="str">
            <v>DMC, DIEET</v>
          </cell>
          <cell r="F854" t="str">
            <v>40336300 OLAF 30 290MM</v>
          </cell>
          <cell r="G854" t="str">
            <v>C2227-1H evolve</v>
          </cell>
          <cell r="H854">
            <v>456</v>
          </cell>
          <cell r="I854">
            <v>0.5</v>
          </cell>
          <cell r="J854" t="str">
            <v>NVT</v>
          </cell>
          <cell r="K854" t="str">
            <v>DM ROND + 65X155</v>
          </cell>
          <cell r="L854">
            <v>6</v>
          </cell>
          <cell r="M854" t="str">
            <v>DMC X 6</v>
          </cell>
          <cell r="N854">
            <v>110</v>
          </cell>
          <cell r="O854">
            <v>5410953358076</v>
          </cell>
          <cell r="P854" t="str">
            <v>2T</v>
          </cell>
          <cell r="Q854">
            <v>2</v>
          </cell>
          <cell r="R854">
            <v>3</v>
          </cell>
          <cell r="S854" t="str">
            <v>Folie perforeren</v>
          </cell>
          <cell r="T854">
            <v>2200</v>
          </cell>
          <cell r="U854">
            <v>4</v>
          </cell>
          <cell r="V854">
            <v>2200</v>
          </cell>
          <cell r="W854">
            <v>4</v>
          </cell>
          <cell r="X854">
            <v>0</v>
          </cell>
          <cell r="Y854">
            <v>0</v>
          </cell>
          <cell r="Z854">
            <v>0</v>
          </cell>
          <cell r="AA854" t="str">
            <v>! ! !</v>
          </cell>
          <cell r="AB854">
            <v>650</v>
          </cell>
          <cell r="AC854">
            <v>0.06</v>
          </cell>
          <cell r="AG854">
            <v>45</v>
          </cell>
          <cell r="AJ854" t="str">
            <v>-</v>
          </cell>
          <cell r="AL854">
            <v>2700</v>
          </cell>
          <cell r="AM854">
            <v>2200</v>
          </cell>
          <cell r="AN854" t="e">
            <v>#VALUE!</v>
          </cell>
          <cell r="AO854" t="e">
            <v>#VALUE!</v>
          </cell>
          <cell r="AP854">
            <v>500</v>
          </cell>
        </row>
        <row r="855">
          <cell r="A855">
            <v>63580800</v>
          </cell>
          <cell r="C855">
            <v>5808</v>
          </cell>
          <cell r="D855" t="str">
            <v>DMC DIEET KIPFILET GEBAKKEN BLADSPINAZIE PUREE</v>
          </cell>
          <cell r="E855" t="str">
            <v>DMC, DIEET</v>
          </cell>
          <cell r="F855" t="str">
            <v>40336300 OLAF 30 290MM</v>
          </cell>
          <cell r="G855" t="str">
            <v>C2227-3R evolve</v>
          </cell>
          <cell r="H855">
            <v>456</v>
          </cell>
          <cell r="I855">
            <v>0.5</v>
          </cell>
          <cell r="J855" t="str">
            <v>NVT</v>
          </cell>
          <cell r="K855" t="str">
            <v>DM ROND + 65X155</v>
          </cell>
          <cell r="L855">
            <v>6</v>
          </cell>
          <cell r="M855" t="str">
            <v>DMC X 6</v>
          </cell>
          <cell r="N855">
            <v>110</v>
          </cell>
          <cell r="O855">
            <v>5410953358083</v>
          </cell>
          <cell r="P855" t="str">
            <v>2T-H</v>
          </cell>
          <cell r="Q855">
            <v>3</v>
          </cell>
          <cell r="R855">
            <v>3</v>
          </cell>
          <cell r="S855" t="str">
            <v>Folie perforeren</v>
          </cell>
          <cell r="T855">
            <v>2200</v>
          </cell>
          <cell r="U855">
            <v>2</v>
          </cell>
          <cell r="V855">
            <v>2200</v>
          </cell>
          <cell r="W855">
            <v>2</v>
          </cell>
          <cell r="X855">
            <v>0</v>
          </cell>
          <cell r="Y855">
            <v>0</v>
          </cell>
          <cell r="Z855">
            <v>0</v>
          </cell>
          <cell r="AA855" t="str">
            <v>! ! !</v>
          </cell>
          <cell r="AB855">
            <v>650</v>
          </cell>
          <cell r="AC855">
            <v>0.06</v>
          </cell>
          <cell r="AG855">
            <v>45</v>
          </cell>
          <cell r="AJ855" t="str">
            <v>V-A</v>
          </cell>
          <cell r="AL855">
            <v>2700</v>
          </cell>
          <cell r="AM855">
            <v>2200</v>
          </cell>
          <cell r="AN855" t="e">
            <v>#VALUE!</v>
          </cell>
          <cell r="AO855" t="e">
            <v>#VALUE!</v>
          </cell>
          <cell r="AP855">
            <v>500</v>
          </cell>
        </row>
        <row r="856">
          <cell r="A856">
            <v>63580900</v>
          </cell>
          <cell r="C856">
            <v>5809</v>
          </cell>
          <cell r="D856" t="str">
            <v>DMC DIEET HAMBURGER BBQ SAUS VIERGROENTENSTAMPPOT</v>
          </cell>
          <cell r="E856" t="str">
            <v>DMC, DIEET</v>
          </cell>
          <cell r="F856" t="str">
            <v>40336300 OLAF 30 290MM</v>
          </cell>
          <cell r="G856" t="str">
            <v>C2227-2K evolve</v>
          </cell>
          <cell r="H856">
            <v>456</v>
          </cell>
          <cell r="I856">
            <v>0.52</v>
          </cell>
          <cell r="J856" t="str">
            <v>NVT</v>
          </cell>
          <cell r="K856" t="str">
            <v>DM ROND + 65X155</v>
          </cell>
          <cell r="L856">
            <v>6</v>
          </cell>
          <cell r="M856" t="str">
            <v>DMC X 6</v>
          </cell>
          <cell r="N856">
            <v>110</v>
          </cell>
          <cell r="O856">
            <v>5410953358090</v>
          </cell>
          <cell r="P856" t="str">
            <v>H-T</v>
          </cell>
          <cell r="Q856">
            <v>3</v>
          </cell>
          <cell r="R856">
            <v>3</v>
          </cell>
          <cell r="S856" t="str">
            <v>Folie perforeren</v>
          </cell>
          <cell r="T856">
            <v>2200</v>
          </cell>
          <cell r="U856">
            <v>2</v>
          </cell>
          <cell r="V856">
            <v>2200</v>
          </cell>
          <cell r="W856">
            <v>2</v>
          </cell>
          <cell r="X856">
            <v>0</v>
          </cell>
          <cell r="Y856">
            <v>0</v>
          </cell>
          <cell r="Z856">
            <v>0</v>
          </cell>
          <cell r="AA856" t="str">
            <v>! ! !</v>
          </cell>
          <cell r="AB856">
            <v>650</v>
          </cell>
          <cell r="AC856">
            <v>4.0319899200000002E-2</v>
          </cell>
          <cell r="AG856">
            <v>45</v>
          </cell>
          <cell r="AJ856" t="str">
            <v>V-A</v>
          </cell>
          <cell r="AL856">
            <v>2700</v>
          </cell>
          <cell r="AM856">
            <v>2200</v>
          </cell>
          <cell r="AN856" t="e">
            <v>#VALUE!</v>
          </cell>
          <cell r="AO856" t="e">
            <v>#VALUE!</v>
          </cell>
          <cell r="AP856">
            <v>500</v>
          </cell>
        </row>
        <row r="857">
          <cell r="A857">
            <v>63581000</v>
          </cell>
          <cell r="C857">
            <v>5810</v>
          </cell>
          <cell r="D857" t="str">
            <v>DMC DIEET AARDAPPELGRATIN MET RU GEHAKT BLADSPINAZIE</v>
          </cell>
          <cell r="E857" t="str">
            <v>DMC, DIEET</v>
          </cell>
          <cell r="F857" t="str">
            <v>40336300 OLAF 30 290MM</v>
          </cell>
          <cell r="G857" t="str">
            <v>C2227-2K evolve</v>
          </cell>
          <cell r="H857">
            <v>456</v>
          </cell>
          <cell r="I857">
            <v>0.55000000000000004</v>
          </cell>
          <cell r="J857" t="str">
            <v>NVT</v>
          </cell>
          <cell r="K857" t="str">
            <v>DM ROND + 65X155</v>
          </cell>
          <cell r="L857">
            <v>6</v>
          </cell>
          <cell r="M857" t="str">
            <v>DMC X 6</v>
          </cell>
          <cell r="N857">
            <v>110</v>
          </cell>
          <cell r="O857">
            <v>5410953358106</v>
          </cell>
          <cell r="P857" t="str">
            <v>H-2T-K</v>
          </cell>
          <cell r="Q857">
            <v>3</v>
          </cell>
          <cell r="R857">
            <v>3</v>
          </cell>
          <cell r="S857" t="str">
            <v>Folie perforeren</v>
          </cell>
          <cell r="T857">
            <v>2200</v>
          </cell>
          <cell r="U857">
            <v>1</v>
          </cell>
          <cell r="V857">
            <v>2200</v>
          </cell>
          <cell r="W857">
            <v>1</v>
          </cell>
          <cell r="X857">
            <v>0</v>
          </cell>
          <cell r="Y857">
            <v>0</v>
          </cell>
          <cell r="Z857">
            <v>0</v>
          </cell>
          <cell r="AA857" t="str">
            <v>! ! !</v>
          </cell>
          <cell r="AB857">
            <v>650</v>
          </cell>
          <cell r="AC857">
            <v>0</v>
          </cell>
          <cell r="AG857">
            <v>45</v>
          </cell>
          <cell r="AJ857" t="str">
            <v>-</v>
          </cell>
          <cell r="AL857">
            <v>2700</v>
          </cell>
          <cell r="AM857">
            <v>2200</v>
          </cell>
          <cell r="AN857" t="e">
            <v>#VALUE!</v>
          </cell>
          <cell r="AO857" t="e">
            <v>#VALUE!</v>
          </cell>
          <cell r="AP857">
            <v>500</v>
          </cell>
        </row>
        <row r="858">
          <cell r="A858">
            <v>63581100</v>
          </cell>
          <cell r="C858">
            <v>5811</v>
          </cell>
          <cell r="D858" t="str">
            <v>DMC DIEET KALKOENFILET JUS PERZIKEN AARDAPPELEN</v>
          </cell>
          <cell r="E858" t="str">
            <v>DMC, DIEET</v>
          </cell>
          <cell r="F858" t="str">
            <v>40336300 OLAF 30 290MM</v>
          </cell>
          <cell r="G858" t="str">
            <v>C2227-3R evolve</v>
          </cell>
          <cell r="H858">
            <v>456</v>
          </cell>
          <cell r="I858">
            <v>0.45</v>
          </cell>
          <cell r="J858" t="str">
            <v>NVT</v>
          </cell>
          <cell r="K858" t="str">
            <v>DM ROND + 65X155</v>
          </cell>
          <cell r="L858">
            <v>6</v>
          </cell>
          <cell r="M858" t="str">
            <v>DMC X 6</v>
          </cell>
          <cell r="N858">
            <v>110</v>
          </cell>
          <cell r="O858">
            <v>5410953358113</v>
          </cell>
          <cell r="P858" t="str">
            <v>T</v>
          </cell>
          <cell r="Q858">
            <v>1</v>
          </cell>
          <cell r="R858">
            <v>3</v>
          </cell>
          <cell r="S858" t="str">
            <v>Folie perforeren, D-1 KALKOEN bakken, D-0 snijden (0,5cm)</v>
          </cell>
          <cell r="T858">
            <v>1750</v>
          </cell>
          <cell r="U858">
            <v>10</v>
          </cell>
          <cell r="V858">
            <v>1750</v>
          </cell>
          <cell r="W858">
            <v>10</v>
          </cell>
          <cell r="Z858">
            <v>0</v>
          </cell>
          <cell r="AA858" t="str">
            <v>! ! !</v>
          </cell>
          <cell r="AB858">
            <v>650</v>
          </cell>
          <cell r="AC858">
            <v>7.6140000000000013E-2</v>
          </cell>
          <cell r="AJ858" t="str">
            <v>V-A</v>
          </cell>
          <cell r="AL858">
            <v>0</v>
          </cell>
          <cell r="AM858">
            <v>1750</v>
          </cell>
          <cell r="AN858" t="e">
            <v>#VALUE!</v>
          </cell>
          <cell r="AO858" t="e">
            <v>#VALUE!</v>
          </cell>
          <cell r="AP858">
            <v>-1750</v>
          </cell>
        </row>
        <row r="859">
          <cell r="A859">
            <v>63581200</v>
          </cell>
          <cell r="C859">
            <v>5812</v>
          </cell>
          <cell r="D859" t="str">
            <v>DMC DIEET FRICASSEE APPELMOES KRIEL PETERSELIE</v>
          </cell>
          <cell r="E859" t="str">
            <v>DMC, DIEET</v>
          </cell>
          <cell r="F859" t="str">
            <v>40336300 OLAF 30 290MM</v>
          </cell>
          <cell r="G859" t="str">
            <v>C2227-2K evolve</v>
          </cell>
          <cell r="H859">
            <v>456</v>
          </cell>
          <cell r="I859">
            <v>0.5</v>
          </cell>
          <cell r="J859" t="str">
            <v>NVT</v>
          </cell>
          <cell r="K859" t="str">
            <v>DM ROND + 65X155</v>
          </cell>
          <cell r="L859">
            <v>6</v>
          </cell>
          <cell r="M859" t="str">
            <v>DMC X 6</v>
          </cell>
          <cell r="N859">
            <v>110</v>
          </cell>
          <cell r="O859">
            <v>5410953358120</v>
          </cell>
          <cell r="P859" t="str">
            <v>2T</v>
          </cell>
          <cell r="Q859">
            <v>2</v>
          </cell>
          <cell r="R859">
            <v>3</v>
          </cell>
          <cell r="S859" t="str">
            <v>Folie perforeren, D-1 STOOFVLEES (vacuumzakken)</v>
          </cell>
          <cell r="T859">
            <v>1750</v>
          </cell>
          <cell r="U859">
            <v>8</v>
          </cell>
          <cell r="V859">
            <v>1750</v>
          </cell>
          <cell r="W859">
            <v>8</v>
          </cell>
          <cell r="X859">
            <v>0</v>
          </cell>
          <cell r="Y859">
            <v>0</v>
          </cell>
          <cell r="Z859">
            <v>0</v>
          </cell>
          <cell r="AA859" t="str">
            <v>! ! !</v>
          </cell>
          <cell r="AB859">
            <v>650</v>
          </cell>
          <cell r="AC859">
            <v>0.22569999999999998</v>
          </cell>
          <cell r="AJ859" t="str">
            <v>V-A</v>
          </cell>
          <cell r="AL859">
            <v>0</v>
          </cell>
          <cell r="AM859">
            <v>1750</v>
          </cell>
          <cell r="AN859" t="e">
            <v>#VALUE!</v>
          </cell>
          <cell r="AO859" t="e">
            <v>#VALUE!</v>
          </cell>
          <cell r="AP859">
            <v>-1750</v>
          </cell>
        </row>
        <row r="860">
          <cell r="A860">
            <v>63581300</v>
          </cell>
          <cell r="C860">
            <v>5813</v>
          </cell>
          <cell r="D860" t="str">
            <v>DMC DIEET RUNDSTONG MADEIRASAUS BOONTJES PUREE</v>
          </cell>
          <cell r="E860" t="str">
            <v>DMC, DIEET</v>
          </cell>
          <cell r="F860" t="str">
            <v>40336300 OLAF 30 290MM</v>
          </cell>
          <cell r="G860" t="str">
            <v>C2227-3R evolve</v>
          </cell>
          <cell r="H860">
            <v>456</v>
          </cell>
          <cell r="I860">
            <v>0.53</v>
          </cell>
          <cell r="J860" t="str">
            <v>NVT</v>
          </cell>
          <cell r="K860" t="str">
            <v>DM ROND + 65X155</v>
          </cell>
          <cell r="L860">
            <v>6</v>
          </cell>
          <cell r="M860" t="str">
            <v>CATERING</v>
          </cell>
          <cell r="N860">
            <v>110</v>
          </cell>
          <cell r="O860">
            <v>5410953358137</v>
          </cell>
          <cell r="P860" t="str">
            <v>H-T</v>
          </cell>
          <cell r="Q860">
            <v>3</v>
          </cell>
          <cell r="R860">
            <v>3</v>
          </cell>
          <cell r="S860" t="str">
            <v>Folie perforeren, TONG D-5 uithalen en openleggen / D-1 snijden</v>
          </cell>
          <cell r="T860">
            <v>2000</v>
          </cell>
          <cell r="U860">
            <v>8</v>
          </cell>
          <cell r="V860">
            <v>2000</v>
          </cell>
          <cell r="W860">
            <v>8</v>
          </cell>
          <cell r="X860">
            <v>0</v>
          </cell>
          <cell r="Y860">
            <v>0</v>
          </cell>
          <cell r="Z860">
            <v>0</v>
          </cell>
          <cell r="AA860" t="str">
            <v>! ! !</v>
          </cell>
          <cell r="AB860">
            <v>650</v>
          </cell>
          <cell r="AC860">
            <v>0</v>
          </cell>
          <cell r="AG860">
            <v>40</v>
          </cell>
          <cell r="AJ860" t="str">
            <v>V-A</v>
          </cell>
          <cell r="AL860">
            <v>2400</v>
          </cell>
          <cell r="AM860">
            <v>2000</v>
          </cell>
          <cell r="AN860" t="e">
            <v>#VALUE!</v>
          </cell>
          <cell r="AO860" t="e">
            <v>#VALUE!</v>
          </cell>
          <cell r="AP860">
            <v>400</v>
          </cell>
        </row>
        <row r="861">
          <cell r="A861">
            <v>63581400</v>
          </cell>
          <cell r="C861">
            <v>5814</v>
          </cell>
          <cell r="D861" t="str">
            <v>DMC DIEET ZALMFILET DILLESAUS ERWTEN SPINAZIE PUREE</v>
          </cell>
          <cell r="E861" t="str">
            <v>DMC, DIEET</v>
          </cell>
          <cell r="F861" t="str">
            <v>40336300 OLAF 30 290MM</v>
          </cell>
          <cell r="G861" t="str">
            <v>C2227-3R evolve</v>
          </cell>
          <cell r="H861">
            <v>456</v>
          </cell>
          <cell r="I861">
            <v>0.5</v>
          </cell>
          <cell r="J861" t="str">
            <v>NVT</v>
          </cell>
          <cell r="K861" t="str">
            <v>DM ROND + 65X155</v>
          </cell>
          <cell r="L861">
            <v>6</v>
          </cell>
          <cell r="M861" t="str">
            <v>DMC X 6</v>
          </cell>
          <cell r="N861">
            <v>110</v>
          </cell>
          <cell r="O861">
            <v>5410953358144</v>
          </cell>
          <cell r="P861" t="str">
            <v>H-T</v>
          </cell>
          <cell r="Q861">
            <v>3</v>
          </cell>
          <cell r="R861">
            <v>3</v>
          </cell>
          <cell r="S861" t="str">
            <v>folie perforeren, idem 63982600</v>
          </cell>
          <cell r="T861">
            <v>2000</v>
          </cell>
          <cell r="U861">
            <v>5</v>
          </cell>
          <cell r="V861">
            <v>2000</v>
          </cell>
          <cell r="W861">
            <v>5</v>
          </cell>
          <cell r="X861">
            <v>0</v>
          </cell>
          <cell r="Y861">
            <v>0</v>
          </cell>
          <cell r="Z861">
            <v>0</v>
          </cell>
          <cell r="AA861" t="str">
            <v>! ! ! !</v>
          </cell>
          <cell r="AB861">
            <v>650</v>
          </cell>
          <cell r="AC861">
            <v>0</v>
          </cell>
          <cell r="AE861" t="str">
            <v>x</v>
          </cell>
          <cell r="AG861">
            <v>43</v>
          </cell>
          <cell r="AJ861" t="str">
            <v>V-A</v>
          </cell>
          <cell r="AL861">
            <v>2580</v>
          </cell>
          <cell r="AM861">
            <v>2000</v>
          </cell>
          <cell r="AN861" t="e">
            <v>#VALUE!</v>
          </cell>
          <cell r="AO861" t="e">
            <v>#VALUE!</v>
          </cell>
          <cell r="AP861">
            <v>580</v>
          </cell>
        </row>
        <row r="862">
          <cell r="A862">
            <v>63596900</v>
          </cell>
          <cell r="C862">
            <v>5969</v>
          </cell>
          <cell r="D862" t="str">
            <v>DMC ASPERGESOEP 300G</v>
          </cell>
          <cell r="E862" t="str">
            <v>DMC, MONOSOEP</v>
          </cell>
          <cell r="F862" t="str">
            <v>40336500 COVIPEEL 32 370MM</v>
          </cell>
          <cell r="G862" t="str">
            <v>C2187-1F evolve</v>
          </cell>
          <cell r="H862">
            <v>548</v>
          </cell>
          <cell r="I862">
            <v>0.3</v>
          </cell>
          <cell r="J862" t="str">
            <v>NVT</v>
          </cell>
          <cell r="K862" t="str">
            <v>100x100 bl</v>
          </cell>
          <cell r="L862">
            <v>10</v>
          </cell>
          <cell r="M862" t="str">
            <v>H11X10</v>
          </cell>
          <cell r="N862">
            <v>104</v>
          </cell>
          <cell r="O862">
            <v>5410953359691</v>
          </cell>
          <cell r="P862" t="str">
            <v>2T</v>
          </cell>
          <cell r="Q862">
            <v>1.5</v>
          </cell>
          <cell r="R862">
            <v>3</v>
          </cell>
          <cell r="S862" t="str">
            <v>idem 64000900</v>
          </cell>
          <cell r="T862">
            <v>2000</v>
          </cell>
          <cell r="U862">
            <v>1</v>
          </cell>
          <cell r="V862">
            <v>2000</v>
          </cell>
          <cell r="W862">
            <v>1</v>
          </cell>
          <cell r="X862">
            <v>0</v>
          </cell>
          <cell r="Y862">
            <v>0</v>
          </cell>
          <cell r="Z862">
            <v>0</v>
          </cell>
          <cell r="AA862" t="str">
            <v>! ! !</v>
          </cell>
          <cell r="AB862">
            <v>1000</v>
          </cell>
          <cell r="AC862">
            <v>0</v>
          </cell>
          <cell r="AG862">
            <v>48</v>
          </cell>
          <cell r="AJ862" t="str">
            <v>-</v>
          </cell>
          <cell r="AL862">
            <v>2880</v>
          </cell>
          <cell r="AM862">
            <v>2000</v>
          </cell>
          <cell r="AN862" t="e">
            <v>#VALUE!</v>
          </cell>
          <cell r="AO862" t="e">
            <v>#VALUE!</v>
          </cell>
          <cell r="AP862">
            <v>880</v>
          </cell>
        </row>
        <row r="863">
          <cell r="A863">
            <v>63597100</v>
          </cell>
          <cell r="C863">
            <v>5971</v>
          </cell>
          <cell r="D863" t="str">
            <v>DMC ERWTENSOEP 300G</v>
          </cell>
          <cell r="E863" t="str">
            <v>DMC, MONOSOEP</v>
          </cell>
          <cell r="F863" t="str">
            <v>40337500 COVIPEEL 32 355mm</v>
          </cell>
          <cell r="G863" t="str">
            <v>C2187-1F evolve</v>
          </cell>
          <cell r="H863">
            <v>548</v>
          </cell>
          <cell r="I863">
            <v>0.3</v>
          </cell>
          <cell r="J863" t="str">
            <v>NVT</v>
          </cell>
          <cell r="K863" t="str">
            <v>100x100 bl</v>
          </cell>
          <cell r="L863">
            <v>10</v>
          </cell>
          <cell r="M863" t="str">
            <v>H11X10</v>
          </cell>
          <cell r="N863">
            <v>105</v>
          </cell>
          <cell r="O863">
            <v>5410953359714</v>
          </cell>
          <cell r="P863" t="str">
            <v>2T</v>
          </cell>
          <cell r="Q863">
            <v>1</v>
          </cell>
          <cell r="R863">
            <v>3</v>
          </cell>
          <cell r="T863">
            <v>1750</v>
          </cell>
          <cell r="U863">
            <v>2</v>
          </cell>
          <cell r="V863">
            <v>1750</v>
          </cell>
          <cell r="W863">
            <v>2</v>
          </cell>
          <cell r="X863">
            <v>0</v>
          </cell>
          <cell r="Y863">
            <v>0</v>
          </cell>
          <cell r="Z863">
            <v>0</v>
          </cell>
          <cell r="AA863" t="str">
            <v>! ! !</v>
          </cell>
          <cell r="AB863">
            <v>1000</v>
          </cell>
          <cell r="AC863">
            <v>0</v>
          </cell>
          <cell r="AJ863" t="str">
            <v>-</v>
          </cell>
          <cell r="AL863">
            <v>0</v>
          </cell>
          <cell r="AM863">
            <v>1750</v>
          </cell>
          <cell r="AN863" t="e">
            <v>#VALUE!</v>
          </cell>
          <cell r="AO863" t="e">
            <v>#VALUE!</v>
          </cell>
          <cell r="AP863">
            <v>-1750</v>
          </cell>
        </row>
        <row r="864">
          <cell r="A864">
            <v>63599200</v>
          </cell>
          <cell r="C864">
            <v>5992</v>
          </cell>
          <cell r="D864" t="str">
            <v>DMC VARKEN KARAMEL BASMATI KORIANDER 320G</v>
          </cell>
          <cell r="E864" t="str">
            <v>DMC</v>
          </cell>
          <cell r="F864" t="str">
            <v>40337500 COVIPEEL 32 355mm</v>
          </cell>
          <cell r="G864" t="str">
            <v>UK-59</v>
          </cell>
          <cell r="H864">
            <v>365</v>
          </cell>
          <cell r="I864">
            <v>0.32</v>
          </cell>
          <cell r="J864" t="str">
            <v>NVT</v>
          </cell>
          <cell r="K864" t="str">
            <v>100x100 bl</v>
          </cell>
          <cell r="L864">
            <v>10</v>
          </cell>
          <cell r="M864" t="str">
            <v>H22X10</v>
          </cell>
          <cell r="N864">
            <v>96</v>
          </cell>
          <cell r="O864">
            <v>5410953359929</v>
          </cell>
          <cell r="P864" t="str">
            <v>M-T</v>
          </cell>
          <cell r="Q864">
            <v>2</v>
          </cell>
          <cell r="R864">
            <v>4</v>
          </cell>
          <cell r="S864" t="str">
            <v>COVIPEEL-ipeelcoiM</v>
          </cell>
          <cell r="T864">
            <v>2200</v>
          </cell>
          <cell r="U864">
            <v>8</v>
          </cell>
          <cell r="V864">
            <v>2200</v>
          </cell>
          <cell r="W864">
            <v>8</v>
          </cell>
          <cell r="X864">
            <v>0</v>
          </cell>
          <cell r="Y864">
            <v>0</v>
          </cell>
          <cell r="AA864" t="str">
            <v>! ! ! !</v>
          </cell>
          <cell r="AC864">
            <v>0</v>
          </cell>
          <cell r="AG864">
            <v>45</v>
          </cell>
          <cell r="AJ864" t="str">
            <v>V-A</v>
          </cell>
          <cell r="AL864">
            <v>2700</v>
          </cell>
          <cell r="AM864">
            <v>2200</v>
          </cell>
          <cell r="AN864" t="e">
            <v>#VALUE!</v>
          </cell>
          <cell r="AO864" t="e">
            <v>#VALUE!</v>
          </cell>
          <cell r="AP864">
            <v>500</v>
          </cell>
        </row>
        <row r="865">
          <cell r="A865">
            <v>63599300</v>
          </cell>
          <cell r="C865">
            <v>5993</v>
          </cell>
          <cell r="D865" t="str">
            <v>DMC LASAGNE GEITENKAAS SPINAZIE 400G</v>
          </cell>
          <cell r="E865" t="str">
            <v>DMC</v>
          </cell>
          <cell r="F865" t="str">
            <v>40336500 COVIPEEL 32 370MM</v>
          </cell>
          <cell r="G865" t="str">
            <v>C2187-1F evolve</v>
          </cell>
          <cell r="H865">
            <v>456</v>
          </cell>
          <cell r="I865">
            <v>0.4</v>
          </cell>
          <cell r="J865" t="str">
            <v>NVT</v>
          </cell>
          <cell r="K865" t="str">
            <v>100x100 bl</v>
          </cell>
          <cell r="L865">
            <v>10</v>
          </cell>
          <cell r="M865" t="str">
            <v>H11X10</v>
          </cell>
          <cell r="N865">
            <v>104</v>
          </cell>
          <cell r="O865">
            <v>5410953359936</v>
          </cell>
          <cell r="P865" t="str">
            <v>5T-K</v>
          </cell>
          <cell r="Q865">
            <v>2.5</v>
          </cell>
          <cell r="R865">
            <v>4</v>
          </cell>
          <cell r="S865" t="str">
            <v>COVIPEEL-ipeelcoiM</v>
          </cell>
          <cell r="T865">
            <v>2500</v>
          </cell>
          <cell r="U865">
            <v>8</v>
          </cell>
          <cell r="V865">
            <v>2500</v>
          </cell>
          <cell r="W865">
            <v>8</v>
          </cell>
          <cell r="X865" t="str">
            <v>X</v>
          </cell>
          <cell r="Y865">
            <v>0</v>
          </cell>
          <cell r="AA865" t="str">
            <v>! !</v>
          </cell>
          <cell r="AC865">
            <v>0</v>
          </cell>
          <cell r="AG865">
            <v>50</v>
          </cell>
          <cell r="AJ865" t="str">
            <v>-</v>
          </cell>
          <cell r="AL865">
            <v>3000</v>
          </cell>
          <cell r="AM865">
            <v>2500</v>
          </cell>
          <cell r="AN865" t="e">
            <v>#VALUE!</v>
          </cell>
          <cell r="AO865" t="e">
            <v>#VALUE!</v>
          </cell>
          <cell r="AP865">
            <v>500</v>
          </cell>
        </row>
        <row r="866">
          <cell r="A866">
            <v>63599400</v>
          </cell>
          <cell r="C866">
            <v>5994</v>
          </cell>
          <cell r="D866" t="str">
            <v>DMC LASAGNE TONIJN 430G</v>
          </cell>
          <cell r="E866" t="str">
            <v>DMC</v>
          </cell>
          <cell r="F866" t="str">
            <v>40336500 COVIPEEL 32 370MM</v>
          </cell>
          <cell r="G866" t="str">
            <v>C2187-1F evolve</v>
          </cell>
          <cell r="H866">
            <v>365</v>
          </cell>
          <cell r="I866">
            <v>0.43</v>
          </cell>
          <cell r="J866" t="str">
            <v>NVT</v>
          </cell>
          <cell r="K866" t="str">
            <v>100x100 bl</v>
          </cell>
          <cell r="L866">
            <v>10</v>
          </cell>
          <cell r="M866" t="str">
            <v>H11X10</v>
          </cell>
          <cell r="N866">
            <v>104</v>
          </cell>
          <cell r="O866">
            <v>5410953359943</v>
          </cell>
          <cell r="P866" t="str">
            <v>5T-K</v>
          </cell>
          <cell r="Q866">
            <v>2</v>
          </cell>
          <cell r="R866">
            <v>4</v>
          </cell>
          <cell r="S866" t="str">
            <v>COVIPEEL-ipeelcoiM</v>
          </cell>
          <cell r="T866">
            <v>2500</v>
          </cell>
          <cell r="U866">
            <v>5</v>
          </cell>
          <cell r="V866">
            <v>2500</v>
          </cell>
          <cell r="W866">
            <v>5</v>
          </cell>
          <cell r="X866" t="str">
            <v>X</v>
          </cell>
          <cell r="Y866">
            <v>0</v>
          </cell>
          <cell r="AA866" t="str">
            <v>! ! ! !</v>
          </cell>
          <cell r="AC866">
            <v>0</v>
          </cell>
          <cell r="AG866">
            <v>50</v>
          </cell>
          <cell r="AJ866" t="str">
            <v>V-A</v>
          </cell>
          <cell r="AL866">
            <v>3000</v>
          </cell>
          <cell r="AM866">
            <v>2500</v>
          </cell>
          <cell r="AN866" t="e">
            <v>#VALUE!</v>
          </cell>
          <cell r="AO866" t="e">
            <v>#VALUE!</v>
          </cell>
          <cell r="AP866">
            <v>500</v>
          </cell>
        </row>
        <row r="867">
          <cell r="A867">
            <v>63599500</v>
          </cell>
          <cell r="C867">
            <v>5995</v>
          </cell>
          <cell r="D867" t="str">
            <v>DMC WITLOOF HAM KAAS 400G</v>
          </cell>
          <cell r="E867" t="str">
            <v>DMC</v>
          </cell>
          <cell r="F867" t="str">
            <v>40336500 COVIPEEL 32 370MM</v>
          </cell>
          <cell r="G867" t="str">
            <v>C2187-1F evolve</v>
          </cell>
          <cell r="H867">
            <v>365</v>
          </cell>
          <cell r="I867">
            <v>0.4</v>
          </cell>
          <cell r="J867" t="str">
            <v>NVT</v>
          </cell>
          <cell r="K867" t="str">
            <v>100x100 bl</v>
          </cell>
          <cell r="L867">
            <v>10</v>
          </cell>
          <cell r="M867" t="str">
            <v>H11X10</v>
          </cell>
          <cell r="N867">
            <v>104</v>
          </cell>
          <cell r="O867">
            <v>5410953359950</v>
          </cell>
          <cell r="P867" t="str">
            <v>2T-K</v>
          </cell>
          <cell r="Q867">
            <v>1</v>
          </cell>
          <cell r="R867">
            <v>4</v>
          </cell>
          <cell r="S867" t="str">
            <v>COVIPEEL-ipeelcoiM</v>
          </cell>
          <cell r="T867">
            <v>2400</v>
          </cell>
          <cell r="U867">
            <v>11</v>
          </cell>
          <cell r="V867">
            <v>2400</v>
          </cell>
          <cell r="W867">
            <v>11</v>
          </cell>
          <cell r="X867" t="str">
            <v>X</v>
          </cell>
          <cell r="Y867">
            <v>0</v>
          </cell>
          <cell r="AA867" t="str">
            <v>! !</v>
          </cell>
          <cell r="AC867">
            <v>0</v>
          </cell>
          <cell r="AE867" t="str">
            <v>x</v>
          </cell>
          <cell r="AG867">
            <v>50</v>
          </cell>
          <cell r="AJ867" t="str">
            <v>V-A</v>
          </cell>
          <cell r="AL867">
            <v>3000</v>
          </cell>
          <cell r="AM867">
            <v>2400</v>
          </cell>
          <cell r="AN867" t="e">
            <v>#VALUE!</v>
          </cell>
          <cell r="AO867" t="e">
            <v>#VALUE!</v>
          </cell>
          <cell r="AP867">
            <v>600</v>
          </cell>
        </row>
        <row r="868">
          <cell r="A868">
            <v>63599600</v>
          </cell>
          <cell r="C868">
            <v>5996</v>
          </cell>
          <cell r="D868" t="str">
            <v>DMC KIP CURRY BASMATI RODE RIJST</v>
          </cell>
          <cell r="K868" t="str">
            <v>100x100 bl</v>
          </cell>
          <cell r="L868">
            <v>10</v>
          </cell>
          <cell r="M868" t="str">
            <v>H22X10</v>
          </cell>
          <cell r="N868">
            <v>96</v>
          </cell>
          <cell r="AL868">
            <v>0</v>
          </cell>
          <cell r="AM868">
            <v>0</v>
          </cell>
          <cell r="AN868" t="e">
            <v>#VALUE!</v>
          </cell>
          <cell r="AO868" t="str">
            <v/>
          </cell>
          <cell r="AP868">
            <v>0</v>
          </cell>
        </row>
        <row r="869">
          <cell r="A869">
            <v>63599700</v>
          </cell>
          <cell r="C869">
            <v>5997</v>
          </cell>
          <cell r="D869" t="str">
            <v>DMC WITLOOFGRATIN HAM PUREE</v>
          </cell>
          <cell r="K869" t="str">
            <v>100x100 bl</v>
          </cell>
          <cell r="L869">
            <v>10</v>
          </cell>
          <cell r="M869" t="str">
            <v>H22X10</v>
          </cell>
          <cell r="N869">
            <v>96</v>
          </cell>
          <cell r="AL869">
            <v>0</v>
          </cell>
          <cell r="AM869">
            <v>0</v>
          </cell>
          <cell r="AN869" t="e">
            <v>#VALUE!</v>
          </cell>
          <cell r="AO869" t="str">
            <v/>
          </cell>
          <cell r="AP869">
            <v>0</v>
          </cell>
        </row>
        <row r="870">
          <cell r="A870">
            <v>63599800</v>
          </cell>
          <cell r="C870">
            <v>5998</v>
          </cell>
          <cell r="D870" t="str">
            <v>DMC VLAAMSE KARBONADE 400G</v>
          </cell>
          <cell r="E870" t="str">
            <v>DMC, COMPONENT</v>
          </cell>
          <cell r="F870" t="str">
            <v>40336500 COVIPEEL 32 370MM</v>
          </cell>
          <cell r="G870" t="str">
            <v>C2187-1F evolve</v>
          </cell>
          <cell r="H870">
            <v>456</v>
          </cell>
          <cell r="I870">
            <v>0.4</v>
          </cell>
          <cell r="J870" t="str">
            <v>NVT</v>
          </cell>
          <cell r="K870" t="str">
            <v>100x100 bl</v>
          </cell>
          <cell r="L870">
            <v>10</v>
          </cell>
          <cell r="M870" t="str">
            <v>H11X10</v>
          </cell>
          <cell r="N870">
            <v>105</v>
          </cell>
          <cell r="O870">
            <v>5410953359981</v>
          </cell>
          <cell r="P870" t="str">
            <v>2T</v>
          </cell>
          <cell r="Q870">
            <v>1</v>
          </cell>
          <cell r="R870">
            <v>3</v>
          </cell>
          <cell r="T870">
            <v>3500</v>
          </cell>
          <cell r="U870">
            <v>1</v>
          </cell>
          <cell r="V870">
            <v>3500</v>
          </cell>
          <cell r="W870">
            <v>1</v>
          </cell>
          <cell r="X870">
            <v>0</v>
          </cell>
          <cell r="Y870">
            <v>0</v>
          </cell>
          <cell r="Z870">
            <v>0</v>
          </cell>
          <cell r="AA870" t="str">
            <v>! ! !</v>
          </cell>
          <cell r="AC870">
            <v>0</v>
          </cell>
          <cell r="AG870">
            <v>68</v>
          </cell>
          <cell r="AJ870" t="str">
            <v>V-A</v>
          </cell>
          <cell r="AL870">
            <v>4080</v>
          </cell>
          <cell r="AM870">
            <v>3500</v>
          </cell>
          <cell r="AN870" t="e">
            <v>#VALUE!</v>
          </cell>
          <cell r="AO870" t="e">
            <v>#VALUE!</v>
          </cell>
          <cell r="AP870">
            <v>580</v>
          </cell>
        </row>
        <row r="871">
          <cell r="A871">
            <v>63805600</v>
          </cell>
          <cell r="B871">
            <v>40201700</v>
          </cell>
          <cell r="C871">
            <v>96009077</v>
          </cell>
          <cell r="D871" t="str">
            <v>IGLO BE BRAADWORST WORTELSTAMPPOT 450G</v>
          </cell>
          <cell r="E871" t="str">
            <v>Iglo BE</v>
          </cell>
          <cell r="F871" t="str">
            <v>355MM</v>
          </cell>
          <cell r="G871" t="str">
            <v>UK-59</v>
          </cell>
          <cell r="H871">
            <v>730</v>
          </cell>
          <cell r="I871">
            <v>0.45</v>
          </cell>
          <cell r="J871" t="str">
            <v>H22</v>
          </cell>
          <cell r="K871" t="str">
            <v>NVT</v>
          </cell>
          <cell r="L871">
            <v>6</v>
          </cell>
          <cell r="M871" t="str">
            <v>Shrink H22 X 6</v>
          </cell>
          <cell r="N871">
            <v>176</v>
          </cell>
          <cell r="O871">
            <v>5410148485556</v>
          </cell>
          <cell r="P871" t="str">
            <v>2H-2T</v>
          </cell>
          <cell r="Q871">
            <v>3</v>
          </cell>
          <cell r="R871">
            <v>2</v>
          </cell>
          <cell r="T871">
            <v>3500</v>
          </cell>
          <cell r="U871">
            <v>4</v>
          </cell>
          <cell r="V871">
            <v>3500</v>
          </cell>
          <cell r="W871">
            <v>4</v>
          </cell>
          <cell r="X871" t="str">
            <v>X</v>
          </cell>
          <cell r="Y871">
            <v>0</v>
          </cell>
          <cell r="Z871">
            <v>0</v>
          </cell>
          <cell r="AA871" t="str">
            <v>! !</v>
          </cell>
          <cell r="AB871">
            <v>26810</v>
          </cell>
          <cell r="AC871">
            <v>4.2666666666666665E-2</v>
          </cell>
          <cell r="AG871">
            <v>68</v>
          </cell>
          <cell r="AJ871" t="str">
            <v>V-A</v>
          </cell>
          <cell r="AK871" t="str">
            <v>Ja</v>
          </cell>
          <cell r="AL871">
            <v>4080</v>
          </cell>
          <cell r="AM871">
            <v>3500</v>
          </cell>
          <cell r="AN871" t="e">
            <v>#VALUE!</v>
          </cell>
          <cell r="AO871" t="e">
            <v>#VALUE!</v>
          </cell>
          <cell r="AP871">
            <v>580</v>
          </cell>
        </row>
        <row r="872">
          <cell r="A872">
            <v>63809800</v>
          </cell>
          <cell r="B872">
            <v>40230200</v>
          </cell>
          <cell r="C872">
            <v>96014797</v>
          </cell>
          <cell r="D872" t="str">
            <v>IGLO BE VEG LASAGNE BOLOGNAISE 450G</v>
          </cell>
          <cell r="E872" t="str">
            <v>Iglo BE</v>
          </cell>
          <cell r="F872" t="str">
            <v>40337500 COVIPEEL 32 355mm</v>
          </cell>
          <cell r="G872" t="str">
            <v>UK-59</v>
          </cell>
          <cell r="H872">
            <v>548</v>
          </cell>
          <cell r="I872">
            <v>0.45</v>
          </cell>
          <cell r="J872" t="str">
            <v>H22</v>
          </cell>
          <cell r="K872" t="str">
            <v>NVT</v>
          </cell>
          <cell r="L872">
            <v>6</v>
          </cell>
          <cell r="M872" t="str">
            <v>Shrinkrap</v>
          </cell>
          <cell r="N872">
            <v>176</v>
          </cell>
          <cell r="O872">
            <v>5414807606023</v>
          </cell>
          <cell r="P872" t="str">
            <v>4T-H-K</v>
          </cell>
          <cell r="Q872">
            <v>2</v>
          </cell>
          <cell r="R872">
            <v>2</v>
          </cell>
          <cell r="S872" t="str">
            <v>idem 63840600 en 63860100</v>
          </cell>
          <cell r="T872">
            <v>2600</v>
          </cell>
          <cell r="U872">
            <v>7</v>
          </cell>
          <cell r="V872">
            <v>2600</v>
          </cell>
          <cell r="W872">
            <v>7</v>
          </cell>
          <cell r="X872">
            <v>0</v>
          </cell>
          <cell r="Y872">
            <v>0</v>
          </cell>
          <cell r="Z872">
            <v>0</v>
          </cell>
          <cell r="AA872" t="str">
            <v>! ! !</v>
          </cell>
          <cell r="AB872">
            <v>19916</v>
          </cell>
          <cell r="AC872">
            <v>0</v>
          </cell>
          <cell r="AG872">
            <v>50</v>
          </cell>
          <cell r="AJ872" t="str">
            <v>V-A</v>
          </cell>
          <cell r="AL872">
            <v>3000</v>
          </cell>
          <cell r="AM872">
            <v>2600</v>
          </cell>
          <cell r="AN872" t="e">
            <v>#VALUE!</v>
          </cell>
          <cell r="AO872" t="e">
            <v>#VALUE!</v>
          </cell>
          <cell r="AP872">
            <v>400</v>
          </cell>
        </row>
        <row r="873">
          <cell r="A873">
            <v>63809900</v>
          </cell>
          <cell r="B873">
            <v>40201800</v>
          </cell>
          <cell r="C873">
            <v>96014948</v>
          </cell>
          <cell r="D873" t="str">
            <v>IGLO BE GENTSE WATERZOOI 425G</v>
          </cell>
          <cell r="E873" t="str">
            <v>Iglo BE</v>
          </cell>
          <cell r="F873" t="str">
            <v>40337500 COVIPEEL 32 355mm</v>
          </cell>
          <cell r="G873" t="str">
            <v>UK-59</v>
          </cell>
          <cell r="H873">
            <v>730</v>
          </cell>
          <cell r="I873">
            <v>0.42499999999999999</v>
          </cell>
          <cell r="J873" t="str">
            <v>H22</v>
          </cell>
          <cell r="K873" t="str">
            <v>NVT</v>
          </cell>
          <cell r="L873">
            <v>6</v>
          </cell>
          <cell r="M873" t="str">
            <v>Shrinkrap</v>
          </cell>
          <cell r="N873">
            <v>176</v>
          </cell>
          <cell r="O873">
            <v>5414807605958</v>
          </cell>
          <cell r="P873" t="str">
            <v>2T-I</v>
          </cell>
          <cell r="Q873">
            <v>2</v>
          </cell>
          <cell r="R873">
            <v>2</v>
          </cell>
          <cell r="S873" t="str">
            <v xml:space="preserve">COVIPEEL-ipeelcoi </v>
          </cell>
          <cell r="T873">
            <v>3200</v>
          </cell>
          <cell r="U873">
            <v>8</v>
          </cell>
          <cell r="V873">
            <v>3200</v>
          </cell>
          <cell r="W873">
            <v>8</v>
          </cell>
          <cell r="X873">
            <v>0</v>
          </cell>
          <cell r="Y873">
            <v>0</v>
          </cell>
          <cell r="Z873">
            <v>0</v>
          </cell>
          <cell r="AA873" t="str">
            <v>! ! !</v>
          </cell>
          <cell r="AB873">
            <v>24512</v>
          </cell>
          <cell r="AC873">
            <v>0</v>
          </cell>
          <cell r="AG873">
            <v>68</v>
          </cell>
          <cell r="AJ873" t="str">
            <v>-</v>
          </cell>
          <cell r="AL873">
            <v>4080</v>
          </cell>
          <cell r="AM873">
            <v>3200</v>
          </cell>
          <cell r="AN873" t="e">
            <v>#VALUE!</v>
          </cell>
          <cell r="AO873" t="e">
            <v>#VALUE!</v>
          </cell>
          <cell r="AP873">
            <v>880</v>
          </cell>
        </row>
        <row r="874">
          <cell r="A874">
            <v>63810300</v>
          </cell>
          <cell r="B874">
            <v>40238000</v>
          </cell>
          <cell r="C874">
            <v>96018330</v>
          </cell>
          <cell r="D874" t="str">
            <v>IGLO BE KIP PEPERROOMSAUS GROENE BONEN PUREE 425G</v>
          </cell>
          <cell r="E874" t="str">
            <v>Iglo BE</v>
          </cell>
          <cell r="F874" t="str">
            <v>40337500 COVIPEEL 32 355mm</v>
          </cell>
          <cell r="G874" t="str">
            <v>UK-59</v>
          </cell>
          <cell r="H874">
            <v>730</v>
          </cell>
          <cell r="I874">
            <v>0.42499999999999999</v>
          </cell>
          <cell r="J874" t="str">
            <v>H22</v>
          </cell>
          <cell r="K874" t="str">
            <v>NVT</v>
          </cell>
          <cell r="L874">
            <v>6</v>
          </cell>
          <cell r="M874" t="str">
            <v>Shrinkrap</v>
          </cell>
          <cell r="N874">
            <v>176</v>
          </cell>
          <cell r="O874">
            <v>5414807606696</v>
          </cell>
          <cell r="P874" t="str">
            <v>2H-2T</v>
          </cell>
          <cell r="Q874">
            <v>2</v>
          </cell>
          <cell r="R874">
            <v>2</v>
          </cell>
          <cell r="S874" t="str">
            <v xml:space="preserve">COVIPEEL-ipeelcoi </v>
          </cell>
          <cell r="T874">
            <v>3500</v>
          </cell>
          <cell r="U874">
            <v>7</v>
          </cell>
          <cell r="V874">
            <v>3500</v>
          </cell>
          <cell r="W874">
            <v>7</v>
          </cell>
          <cell r="X874">
            <v>0</v>
          </cell>
          <cell r="Y874">
            <v>0</v>
          </cell>
          <cell r="Z874">
            <v>0</v>
          </cell>
          <cell r="AA874" t="str">
            <v>! !</v>
          </cell>
          <cell r="AB874">
            <v>26810</v>
          </cell>
          <cell r="AC874">
            <v>0</v>
          </cell>
          <cell r="AG874">
            <v>68</v>
          </cell>
          <cell r="AJ874" t="str">
            <v>V-A</v>
          </cell>
          <cell r="AL874">
            <v>4080</v>
          </cell>
          <cell r="AM874">
            <v>3500</v>
          </cell>
          <cell r="AN874" t="e">
            <v>#VALUE!</v>
          </cell>
          <cell r="AO874" t="e">
            <v>#VALUE!</v>
          </cell>
          <cell r="AP874">
            <v>580</v>
          </cell>
        </row>
        <row r="875">
          <cell r="A875">
            <v>63810400</v>
          </cell>
          <cell r="B875">
            <v>40238100</v>
          </cell>
          <cell r="C875">
            <v>96018328</v>
          </cell>
          <cell r="D875" t="str">
            <v>IGLO BE VISPANNETJE ASC MSC PUREE 450G</v>
          </cell>
          <cell r="E875" t="str">
            <v>Iglo BE</v>
          </cell>
          <cell r="F875" t="str">
            <v>40337500 COVIPEEL 32 355mm</v>
          </cell>
          <cell r="G875" t="str">
            <v>UK-59</v>
          </cell>
          <cell r="H875">
            <v>730</v>
          </cell>
          <cell r="I875">
            <v>0.45</v>
          </cell>
          <cell r="J875" t="str">
            <v>H22</v>
          </cell>
          <cell r="K875" t="str">
            <v>NVT</v>
          </cell>
          <cell r="L875">
            <v>6</v>
          </cell>
          <cell r="M875" t="str">
            <v>Shrinkrap</v>
          </cell>
          <cell r="N875">
            <v>176</v>
          </cell>
          <cell r="O875">
            <v>5414807603480</v>
          </cell>
          <cell r="P875" t="str">
            <v>I-2H-2T</v>
          </cell>
          <cell r="Q875">
            <v>3</v>
          </cell>
          <cell r="R875">
            <v>2</v>
          </cell>
          <cell r="T875">
            <v>3500</v>
          </cell>
          <cell r="U875">
            <v>5</v>
          </cell>
          <cell r="V875">
            <v>3500</v>
          </cell>
          <cell r="W875">
            <v>5</v>
          </cell>
          <cell r="X875">
            <v>0</v>
          </cell>
          <cell r="Y875">
            <v>0</v>
          </cell>
          <cell r="Z875">
            <v>0</v>
          </cell>
          <cell r="AA875" t="str">
            <v>! ! ! !</v>
          </cell>
          <cell r="AB875">
            <v>26810</v>
          </cell>
          <cell r="AC875">
            <v>0</v>
          </cell>
          <cell r="AG875">
            <v>68</v>
          </cell>
          <cell r="AJ875" t="str">
            <v>V-A</v>
          </cell>
          <cell r="AL875">
            <v>4080</v>
          </cell>
          <cell r="AM875">
            <v>3500</v>
          </cell>
          <cell r="AN875" t="e">
            <v>#VALUE!</v>
          </cell>
          <cell r="AO875" t="e">
            <v>#VALUE!</v>
          </cell>
          <cell r="AP875">
            <v>580</v>
          </cell>
        </row>
        <row r="876">
          <cell r="A876">
            <v>63810600</v>
          </cell>
          <cell r="B876">
            <v>40243200</v>
          </cell>
          <cell r="C876">
            <v>96019353</v>
          </cell>
          <cell r="D876" t="str">
            <v>IGLO BE VEG LASAGNE BOLOGNAISE 400G</v>
          </cell>
          <cell r="E876" t="str">
            <v>Iglo BE</v>
          </cell>
          <cell r="F876" t="str">
            <v>40337500 COVIPEEL 32 355mm</v>
          </cell>
          <cell r="G876" t="str">
            <v>UK-59</v>
          </cell>
          <cell r="H876">
            <v>548</v>
          </cell>
          <cell r="I876">
            <v>0.4</v>
          </cell>
          <cell r="J876" t="str">
            <v>H22</v>
          </cell>
          <cell r="K876" t="str">
            <v>NVT</v>
          </cell>
          <cell r="L876">
            <v>6</v>
          </cell>
          <cell r="M876" t="str">
            <v>Shrinkrap</v>
          </cell>
          <cell r="N876">
            <v>176</v>
          </cell>
          <cell r="P876" t="str">
            <v>4T-H-K</v>
          </cell>
          <cell r="Q876">
            <v>2</v>
          </cell>
          <cell r="R876">
            <v>2</v>
          </cell>
          <cell r="T876">
            <v>2600</v>
          </cell>
          <cell r="U876">
            <v>7</v>
          </cell>
          <cell r="V876">
            <v>2600</v>
          </cell>
          <cell r="W876">
            <v>7</v>
          </cell>
          <cell r="X876">
            <v>0</v>
          </cell>
          <cell r="Y876">
            <v>0</v>
          </cell>
          <cell r="Z876">
            <v>0</v>
          </cell>
          <cell r="AA876" t="str">
            <v>! ! !</v>
          </cell>
          <cell r="AB876">
            <v>19916</v>
          </cell>
          <cell r="AC876">
            <v>0</v>
          </cell>
          <cell r="AG876">
            <v>68</v>
          </cell>
          <cell r="AJ876" t="str">
            <v>V-A</v>
          </cell>
          <cell r="AL876">
            <v>4080</v>
          </cell>
          <cell r="AM876">
            <v>2600</v>
          </cell>
          <cell r="AN876" t="e">
            <v>#VALUE!</v>
          </cell>
          <cell r="AO876" t="e">
            <v>#VALUE!</v>
          </cell>
          <cell r="AP876">
            <v>1480</v>
          </cell>
        </row>
        <row r="877">
          <cell r="A877">
            <v>63810700</v>
          </cell>
          <cell r="B877">
            <v>40244200</v>
          </cell>
          <cell r="C877">
            <v>96019246</v>
          </cell>
          <cell r="D877" t="str">
            <v>IGLO BE PENNE ARRABIATA 450G</v>
          </cell>
          <cell r="E877" t="str">
            <v>Iglo BE</v>
          </cell>
          <cell r="F877" t="str">
            <v>40337500 COVIPEEL 32 355mm</v>
          </cell>
          <cell r="G877" t="str">
            <v>UK-59</v>
          </cell>
          <cell r="H877">
            <v>730</v>
          </cell>
          <cell r="I877">
            <v>0.45</v>
          </cell>
          <cell r="J877" t="str">
            <v>H22</v>
          </cell>
          <cell r="K877" t="str">
            <v>NVT</v>
          </cell>
          <cell r="L877">
            <v>6</v>
          </cell>
          <cell r="M877" t="str">
            <v>Shrink H22 X 6</v>
          </cell>
          <cell r="N877">
            <v>176</v>
          </cell>
          <cell r="O877">
            <v>5414807607204</v>
          </cell>
          <cell r="P877" t="str">
            <v>L-2T</v>
          </cell>
          <cell r="Q877">
            <v>2</v>
          </cell>
          <cell r="R877">
            <v>2</v>
          </cell>
          <cell r="T877">
            <v>3500</v>
          </cell>
          <cell r="U877">
            <v>3</v>
          </cell>
          <cell r="V877">
            <v>3500</v>
          </cell>
          <cell r="W877">
            <v>3</v>
          </cell>
          <cell r="X877">
            <v>0</v>
          </cell>
          <cell r="Y877">
            <v>0</v>
          </cell>
          <cell r="Z877">
            <v>0</v>
          </cell>
          <cell r="AA877" t="str">
            <v>! ! !</v>
          </cell>
          <cell r="AB877">
            <v>26810</v>
          </cell>
          <cell r="AC877">
            <v>0</v>
          </cell>
          <cell r="AJ877" t="str">
            <v>V-A</v>
          </cell>
          <cell r="AK877" t="str">
            <v>Ja</v>
          </cell>
          <cell r="AL877">
            <v>0</v>
          </cell>
          <cell r="AM877">
            <v>3500</v>
          </cell>
          <cell r="AN877" t="e">
            <v>#VALUE!</v>
          </cell>
          <cell r="AO877" t="e">
            <v>#VALUE!</v>
          </cell>
          <cell r="AP877">
            <v>-3500</v>
          </cell>
        </row>
        <row r="878">
          <cell r="A878">
            <v>63810900</v>
          </cell>
          <cell r="B878">
            <v>40274800</v>
          </cell>
          <cell r="C878">
            <v>96008120</v>
          </cell>
          <cell r="D878" t="str">
            <v>IGLO BE AARDAPPELGRATIN MET SPINAZIE 450G</v>
          </cell>
          <cell r="E878" t="str">
            <v>Iglo BE</v>
          </cell>
          <cell r="F878" t="str">
            <v>40337500 COVIPEEL 32 355mm</v>
          </cell>
          <cell r="G878" t="str">
            <v>UK-59</v>
          </cell>
          <cell r="H878">
            <v>730</v>
          </cell>
          <cell r="I878">
            <v>0.45</v>
          </cell>
          <cell r="J878" t="str">
            <v>H22</v>
          </cell>
          <cell r="K878" t="str">
            <v>NVT</v>
          </cell>
          <cell r="L878">
            <v>6</v>
          </cell>
          <cell r="M878" t="str">
            <v>Shrinkrap X 6</v>
          </cell>
          <cell r="N878">
            <v>176</v>
          </cell>
          <cell r="O878">
            <v>5410148486157</v>
          </cell>
          <cell r="P878" t="str">
            <v>2H-4T</v>
          </cell>
          <cell r="Q878">
            <v>3</v>
          </cell>
          <cell r="R878">
            <v>2</v>
          </cell>
          <cell r="S878" t="str">
            <v>om de 4u band van mondini reinigen</v>
          </cell>
          <cell r="T878">
            <v>3500</v>
          </cell>
          <cell r="U878">
            <v>2</v>
          </cell>
          <cell r="V878">
            <v>3500</v>
          </cell>
          <cell r="W878">
            <v>2</v>
          </cell>
          <cell r="X878" t="str">
            <v>X</v>
          </cell>
          <cell r="Y878">
            <v>0</v>
          </cell>
          <cell r="Z878">
            <v>0</v>
          </cell>
          <cell r="AA878" t="str">
            <v>! ! !</v>
          </cell>
          <cell r="AB878">
            <v>26810</v>
          </cell>
          <cell r="AC878">
            <v>0</v>
          </cell>
          <cell r="AG878">
            <v>68</v>
          </cell>
          <cell r="AJ878" t="str">
            <v>V-A</v>
          </cell>
          <cell r="AL878">
            <v>4080</v>
          </cell>
          <cell r="AM878">
            <v>3500</v>
          </cell>
          <cell r="AN878" t="e">
            <v>#VALUE!</v>
          </cell>
          <cell r="AO878" t="e">
            <v>#VALUE!</v>
          </cell>
          <cell r="AP878">
            <v>580</v>
          </cell>
        </row>
        <row r="879">
          <cell r="A879">
            <v>63820000</v>
          </cell>
          <cell r="B879">
            <v>40236400</v>
          </cell>
          <cell r="C879">
            <v>96015750</v>
          </cell>
          <cell r="D879" t="str">
            <v>IGLO NL BAMI KIP SATESAUS 400G</v>
          </cell>
          <cell r="E879" t="str">
            <v>Iglo NL</v>
          </cell>
          <cell r="F879" t="str">
            <v>40337500 COVIPEEL 32 355mm</v>
          </cell>
          <cell r="G879" t="str">
            <v>UK-59</v>
          </cell>
          <cell r="H879">
            <v>548</v>
          </cell>
          <cell r="I879">
            <v>0.4</v>
          </cell>
          <cell r="J879" t="str">
            <v>H22</v>
          </cell>
          <cell r="K879" t="str">
            <v>NVT</v>
          </cell>
          <cell r="L879">
            <v>6</v>
          </cell>
          <cell r="M879" t="str">
            <v>Shrinkrap</v>
          </cell>
          <cell r="N879">
            <v>176</v>
          </cell>
          <cell r="O879">
            <v>8720195570790</v>
          </cell>
          <cell r="P879" t="str">
            <v>I-L-2T</v>
          </cell>
          <cell r="Q879">
            <v>3</v>
          </cell>
          <cell r="R879">
            <v>2</v>
          </cell>
          <cell r="S879" t="str">
            <v>27000st: D-1 afwegen kruiden</v>
          </cell>
          <cell r="T879">
            <v>3500</v>
          </cell>
          <cell r="U879">
            <v>6</v>
          </cell>
          <cell r="V879">
            <v>3500</v>
          </cell>
          <cell r="W879">
            <v>6</v>
          </cell>
          <cell r="X879">
            <v>0</v>
          </cell>
          <cell r="Y879">
            <v>0</v>
          </cell>
          <cell r="Z879">
            <v>0</v>
          </cell>
          <cell r="AA879" t="str">
            <v>X</v>
          </cell>
          <cell r="AB879">
            <v>26810</v>
          </cell>
          <cell r="AC879">
            <v>0</v>
          </cell>
          <cell r="AG879">
            <v>68</v>
          </cell>
          <cell r="AJ879" t="str">
            <v>V-A</v>
          </cell>
          <cell r="AL879">
            <v>4080</v>
          </cell>
          <cell r="AM879">
            <v>3500</v>
          </cell>
          <cell r="AN879" t="e">
            <v>#VALUE!</v>
          </cell>
          <cell r="AO879" t="e">
            <v>#VALUE!</v>
          </cell>
          <cell r="AP879">
            <v>580</v>
          </cell>
        </row>
        <row r="880">
          <cell r="A880">
            <v>63820100</v>
          </cell>
          <cell r="B880">
            <v>40236500</v>
          </cell>
          <cell r="C880">
            <v>96015749</v>
          </cell>
          <cell r="D880" t="str">
            <v>IGLO NL NASI KIP SATESAUS 400G</v>
          </cell>
          <cell r="E880" t="str">
            <v>Iglo NL</v>
          </cell>
          <cell r="F880" t="str">
            <v>40337500 COVIPEEL 32 355mm</v>
          </cell>
          <cell r="G880" t="str">
            <v>UK-59</v>
          </cell>
          <cell r="H880">
            <v>548</v>
          </cell>
          <cell r="I880">
            <v>0.4</v>
          </cell>
          <cell r="J880" t="str">
            <v>H22</v>
          </cell>
          <cell r="K880" t="str">
            <v>NVT</v>
          </cell>
          <cell r="L880">
            <v>6</v>
          </cell>
          <cell r="M880" t="str">
            <v>Shrinkrap</v>
          </cell>
          <cell r="N880">
            <v>176</v>
          </cell>
          <cell r="O880">
            <v>8720195570820</v>
          </cell>
          <cell r="P880" t="str">
            <v>I-L-2T</v>
          </cell>
          <cell r="Q880">
            <v>3</v>
          </cell>
          <cell r="R880">
            <v>2</v>
          </cell>
          <cell r="S880" t="str">
            <v>27000st: D-1 koken RIJST 1p + afwegen kruiden</v>
          </cell>
          <cell r="T880">
            <v>3500</v>
          </cell>
          <cell r="U880">
            <v>5</v>
          </cell>
          <cell r="V880">
            <v>3500</v>
          </cell>
          <cell r="W880">
            <v>5</v>
          </cell>
          <cell r="X880">
            <v>0</v>
          </cell>
          <cell r="Y880">
            <v>0</v>
          </cell>
          <cell r="Z880">
            <v>0</v>
          </cell>
          <cell r="AA880" t="str">
            <v>X</v>
          </cell>
          <cell r="AB880">
            <v>26810</v>
          </cell>
          <cell r="AC880">
            <v>0</v>
          </cell>
          <cell r="AG880">
            <v>68</v>
          </cell>
          <cell r="AJ880" t="str">
            <v>V-A</v>
          </cell>
          <cell r="AL880">
            <v>4080</v>
          </cell>
          <cell r="AM880">
            <v>3500</v>
          </cell>
          <cell r="AN880" t="e">
            <v>#VALUE!</v>
          </cell>
          <cell r="AO880" t="e">
            <v>#VALUE!</v>
          </cell>
          <cell r="AP880">
            <v>580</v>
          </cell>
        </row>
        <row r="881">
          <cell r="A881">
            <v>63840600</v>
          </cell>
          <cell r="B881">
            <v>40229800</v>
          </cell>
          <cell r="C881">
            <v>96014755</v>
          </cell>
          <cell r="D881" t="str">
            <v>IGLO DE VEG LASAGNE BOLOGNAISE 450G</v>
          </cell>
          <cell r="E881" t="str">
            <v>Iglo DE</v>
          </cell>
          <cell r="F881" t="str">
            <v>40337500 COVIPEEL 32 355mm</v>
          </cell>
          <cell r="G881" t="str">
            <v>UK-59</v>
          </cell>
          <cell r="H881">
            <v>456</v>
          </cell>
          <cell r="I881">
            <v>0.45</v>
          </cell>
          <cell r="J881" t="str">
            <v>H22</v>
          </cell>
          <cell r="K881" t="str">
            <v>NVT</v>
          </cell>
          <cell r="L881">
            <v>6</v>
          </cell>
          <cell r="M881" t="str">
            <v>Shrinkrap</v>
          </cell>
          <cell r="N881">
            <v>176</v>
          </cell>
          <cell r="O881">
            <v>4250241258487</v>
          </cell>
          <cell r="P881" t="str">
            <v>4T-H-K</v>
          </cell>
          <cell r="Q881">
            <v>2</v>
          </cell>
          <cell r="R881">
            <v>2</v>
          </cell>
          <cell r="S881" t="str">
            <v>idem 63809800 en 63860100</v>
          </cell>
          <cell r="T881">
            <v>2600</v>
          </cell>
          <cell r="U881">
            <v>7</v>
          </cell>
          <cell r="V881">
            <v>2600</v>
          </cell>
          <cell r="W881">
            <v>7</v>
          </cell>
          <cell r="X881">
            <v>0</v>
          </cell>
          <cell r="Y881">
            <v>0</v>
          </cell>
          <cell r="Z881">
            <v>0</v>
          </cell>
          <cell r="AA881" t="str">
            <v>! ! !</v>
          </cell>
          <cell r="AB881">
            <v>19916</v>
          </cell>
          <cell r="AC881">
            <v>0</v>
          </cell>
          <cell r="AG881">
            <v>50</v>
          </cell>
          <cell r="AJ881" t="str">
            <v>V-A</v>
          </cell>
          <cell r="AL881">
            <v>3000</v>
          </cell>
          <cell r="AM881">
            <v>2600</v>
          </cell>
          <cell r="AN881" t="e">
            <v>#VALUE!</v>
          </cell>
          <cell r="AO881" t="e">
            <v>#VALUE!</v>
          </cell>
          <cell r="AP881">
            <v>400</v>
          </cell>
        </row>
        <row r="882">
          <cell r="A882">
            <v>63860100</v>
          </cell>
          <cell r="B882">
            <v>40232400</v>
          </cell>
          <cell r="C882">
            <v>96015475</v>
          </cell>
          <cell r="D882" t="str">
            <v>FINDUS NO VEG LASAGNE BOLOGNAISE 450G</v>
          </cell>
          <cell r="E882" t="str">
            <v>Iglo NO</v>
          </cell>
          <cell r="F882" t="str">
            <v>40337500 COVIPEEL 32 355mm</v>
          </cell>
          <cell r="G882" t="str">
            <v>UK-59</v>
          </cell>
          <cell r="H882">
            <v>456</v>
          </cell>
          <cell r="I882">
            <v>0.45</v>
          </cell>
          <cell r="J882" t="str">
            <v>H22</v>
          </cell>
          <cell r="K882" t="str">
            <v>NVT</v>
          </cell>
          <cell r="L882">
            <v>6</v>
          </cell>
          <cell r="M882" t="str">
            <v>Shrinkrap</v>
          </cell>
          <cell r="N882">
            <v>112</v>
          </cell>
          <cell r="O882">
            <v>7035110300729</v>
          </cell>
          <cell r="P882" t="str">
            <v>4T-H-K</v>
          </cell>
          <cell r="Q882">
            <v>2</v>
          </cell>
          <cell r="R882">
            <v>2</v>
          </cell>
          <cell r="S882" t="str">
            <v>idem 63840600 en 63809800</v>
          </cell>
          <cell r="T882">
            <v>2600</v>
          </cell>
          <cell r="U882">
            <v>7</v>
          </cell>
          <cell r="V882">
            <v>2600</v>
          </cell>
          <cell r="W882">
            <v>7</v>
          </cell>
          <cell r="X882">
            <v>0</v>
          </cell>
          <cell r="Y882">
            <v>0</v>
          </cell>
          <cell r="Z882">
            <v>0</v>
          </cell>
          <cell r="AA882" t="str">
            <v>! ! !</v>
          </cell>
          <cell r="AB882">
            <v>19916</v>
          </cell>
          <cell r="AC882">
            <v>0</v>
          </cell>
          <cell r="AJ882" t="str">
            <v>V-A</v>
          </cell>
          <cell r="AL882">
            <v>0</v>
          </cell>
          <cell r="AM882">
            <v>2600</v>
          </cell>
          <cell r="AN882" t="e">
            <v>#VALUE!</v>
          </cell>
          <cell r="AO882" t="e">
            <v>#VALUE!</v>
          </cell>
          <cell r="AP882">
            <v>-2600</v>
          </cell>
        </row>
        <row r="883">
          <cell r="A883">
            <v>63860200</v>
          </cell>
          <cell r="B883">
            <v>40232500</v>
          </cell>
          <cell r="C883">
            <v>96015332</v>
          </cell>
          <cell r="D883" t="str">
            <v>IGLO PT VEG CHILI SIN CARNE 400G</v>
          </cell>
          <cell r="E883" t="str">
            <v>Iglo PT</v>
          </cell>
          <cell r="F883" t="str">
            <v>40337500 COVIPEEL 32 355mm</v>
          </cell>
          <cell r="G883" t="str">
            <v>UK-59</v>
          </cell>
          <cell r="H883">
            <v>456</v>
          </cell>
          <cell r="I883">
            <v>0.4</v>
          </cell>
          <cell r="J883" t="str">
            <v>H22</v>
          </cell>
          <cell r="K883" t="str">
            <v>NVT</v>
          </cell>
          <cell r="L883">
            <v>6</v>
          </cell>
          <cell r="M883" t="str">
            <v>Shrinkrap</v>
          </cell>
          <cell r="N883">
            <v>176</v>
          </cell>
          <cell r="O883">
            <v>5000116916641</v>
          </cell>
          <cell r="P883" t="str">
            <v>4T</v>
          </cell>
          <cell r="Q883">
            <v>3</v>
          </cell>
          <cell r="R883">
            <v>2</v>
          </cell>
          <cell r="S883" t="str">
            <v>idem 63840400 en 63860000, D-1 1p voor voorbereiden ingrediënten (samba, look, etc)</v>
          </cell>
          <cell r="T883">
            <v>3500</v>
          </cell>
          <cell r="U883">
            <v>2</v>
          </cell>
          <cell r="V883">
            <v>3500</v>
          </cell>
          <cell r="W883">
            <v>2</v>
          </cell>
          <cell r="X883">
            <v>0</v>
          </cell>
          <cell r="Y883">
            <v>0</v>
          </cell>
          <cell r="Z883">
            <v>0</v>
          </cell>
          <cell r="AA883" t="str">
            <v>! ! !</v>
          </cell>
          <cell r="AB883">
            <v>26810</v>
          </cell>
          <cell r="AC883">
            <v>0</v>
          </cell>
          <cell r="AJ883" t="str">
            <v>V-A</v>
          </cell>
          <cell r="AL883">
            <v>0</v>
          </cell>
          <cell r="AM883">
            <v>3500</v>
          </cell>
          <cell r="AN883" t="e">
            <v>#VALUE!</v>
          </cell>
          <cell r="AO883" t="e">
            <v>#VALUE!</v>
          </cell>
          <cell r="AP883">
            <v>-3500</v>
          </cell>
        </row>
        <row r="884">
          <cell r="A884">
            <v>63860600</v>
          </cell>
          <cell r="B884">
            <v>40262200</v>
          </cell>
          <cell r="C884">
            <v>96016417</v>
          </cell>
          <cell r="D884" t="str">
            <v>FINDUS SE VEG CHILI SIN CARNE RIJST 400G</v>
          </cell>
          <cell r="E884" t="str">
            <v>Iglo SE</v>
          </cell>
          <cell r="F884" t="str">
            <v>40337500 COVIPEEL 32 355mm</v>
          </cell>
          <cell r="G884" t="str">
            <v>UK-59</v>
          </cell>
          <cell r="H884">
            <v>456</v>
          </cell>
          <cell r="I884">
            <v>0.4</v>
          </cell>
          <cell r="J884" t="str">
            <v>H22</v>
          </cell>
          <cell r="K884" t="str">
            <v>NVT</v>
          </cell>
          <cell r="L884">
            <v>6</v>
          </cell>
          <cell r="M884" t="str">
            <v>Shrinkrap X 6</v>
          </cell>
          <cell r="N884">
            <v>112</v>
          </cell>
          <cell r="O884">
            <v>7310500184418</v>
          </cell>
          <cell r="P884" t="str">
            <v>2T-L</v>
          </cell>
          <cell r="Q884">
            <v>4</v>
          </cell>
          <cell r="R884">
            <v>2</v>
          </cell>
          <cell r="S884" t="str">
            <v>0,5p voor voorbereiden ingrediënten (samba, look, etc)</v>
          </cell>
          <cell r="T884">
            <v>3500</v>
          </cell>
          <cell r="U884">
            <v>4</v>
          </cell>
          <cell r="V884">
            <v>3500</v>
          </cell>
          <cell r="W884">
            <v>4</v>
          </cell>
          <cell r="X884">
            <v>0</v>
          </cell>
          <cell r="Y884">
            <v>0</v>
          </cell>
          <cell r="Z884">
            <v>0</v>
          </cell>
          <cell r="AA884" t="str">
            <v>! ! !</v>
          </cell>
          <cell r="AB884">
            <v>26810</v>
          </cell>
          <cell r="AC884">
            <v>0</v>
          </cell>
          <cell r="AG884">
            <v>68</v>
          </cell>
          <cell r="AJ884" t="str">
            <v>V-A</v>
          </cell>
          <cell r="AL884">
            <v>4080</v>
          </cell>
          <cell r="AM884">
            <v>3500</v>
          </cell>
          <cell r="AN884" t="e">
            <v>#VALUE!</v>
          </cell>
          <cell r="AO884" t="e">
            <v>#VALUE!</v>
          </cell>
          <cell r="AP884">
            <v>580</v>
          </cell>
        </row>
        <row r="885">
          <cell r="A885">
            <v>63860700</v>
          </cell>
          <cell r="B885">
            <v>40238900</v>
          </cell>
          <cell r="C885">
            <v>96018790</v>
          </cell>
          <cell r="D885" t="str">
            <v>FINDUS ES VEG LASAGNE BOLOGNAISE 450G</v>
          </cell>
          <cell r="E885" t="str">
            <v>Iglo ES</v>
          </cell>
          <cell r="F885" t="str">
            <v>40337500 COVIPEEL 32 355mm</v>
          </cell>
          <cell r="G885" t="str">
            <v>UK-59</v>
          </cell>
          <cell r="H885">
            <v>548</v>
          </cell>
          <cell r="I885">
            <v>0.45</v>
          </cell>
          <cell r="J885" t="str">
            <v>H22</v>
          </cell>
          <cell r="K885" t="str">
            <v>NVT</v>
          </cell>
          <cell r="L885">
            <v>6</v>
          </cell>
          <cell r="M885" t="str">
            <v>Shrinkrap</v>
          </cell>
          <cell r="N885">
            <v>176</v>
          </cell>
          <cell r="O885">
            <v>18434702002816</v>
          </cell>
          <cell r="P885" t="str">
            <v>4T-H-K</v>
          </cell>
          <cell r="Q885">
            <v>2</v>
          </cell>
          <cell r="R885">
            <v>2</v>
          </cell>
          <cell r="S885" t="str">
            <v>idem 63809800 en 63860100 en 63840600</v>
          </cell>
          <cell r="T885">
            <v>2600</v>
          </cell>
          <cell r="U885">
            <v>7</v>
          </cell>
          <cell r="V885">
            <v>2600</v>
          </cell>
          <cell r="W885">
            <v>7</v>
          </cell>
          <cell r="X885">
            <v>0</v>
          </cell>
          <cell r="Y885">
            <v>0</v>
          </cell>
          <cell r="Z885">
            <v>0</v>
          </cell>
          <cell r="AA885" t="str">
            <v>! ! !</v>
          </cell>
          <cell r="AB885">
            <v>19916</v>
          </cell>
          <cell r="AC885">
            <v>0</v>
          </cell>
          <cell r="AG885">
            <v>50</v>
          </cell>
          <cell r="AJ885" t="str">
            <v>V-A</v>
          </cell>
          <cell r="AL885">
            <v>3000</v>
          </cell>
          <cell r="AM885">
            <v>2600</v>
          </cell>
          <cell r="AN885" t="e">
            <v>#VALUE!</v>
          </cell>
          <cell r="AO885" t="e">
            <v>#VALUE!</v>
          </cell>
          <cell r="AP885">
            <v>400</v>
          </cell>
        </row>
        <row r="886">
          <cell r="A886">
            <v>63860800</v>
          </cell>
          <cell r="B886">
            <v>40240500</v>
          </cell>
          <cell r="C886">
            <v>96019503</v>
          </cell>
          <cell r="D886" t="str">
            <v>IGLO DE VEG LASAGNE BOLOGNAISE 400G</v>
          </cell>
          <cell r="E886" t="str">
            <v>Iglo DE</v>
          </cell>
          <cell r="F886" t="str">
            <v>40337500 COVIPEEL 32 355mm</v>
          </cell>
          <cell r="G886" t="str">
            <v>UK-59</v>
          </cell>
          <cell r="H886">
            <v>456</v>
          </cell>
          <cell r="I886">
            <v>0.4</v>
          </cell>
          <cell r="J886" t="str">
            <v>H22</v>
          </cell>
          <cell r="K886" t="str">
            <v>NVT</v>
          </cell>
          <cell r="L886">
            <v>6</v>
          </cell>
          <cell r="M886" t="str">
            <v>Shrinkrap</v>
          </cell>
          <cell r="N886">
            <v>176</v>
          </cell>
          <cell r="O886">
            <v>4250241259439</v>
          </cell>
          <cell r="P886" t="str">
            <v>4T-H-K</v>
          </cell>
          <cell r="Q886">
            <v>2</v>
          </cell>
          <cell r="R886">
            <v>2</v>
          </cell>
          <cell r="T886">
            <v>2600</v>
          </cell>
          <cell r="U886">
            <v>7</v>
          </cell>
          <cell r="V886">
            <v>2600</v>
          </cell>
          <cell r="W886">
            <v>7</v>
          </cell>
          <cell r="X886">
            <v>0</v>
          </cell>
          <cell r="Y886">
            <v>0</v>
          </cell>
          <cell r="Z886">
            <v>0</v>
          </cell>
          <cell r="AA886" t="str">
            <v>! ! !</v>
          </cell>
          <cell r="AB886">
            <v>19916</v>
          </cell>
          <cell r="AC886">
            <v>0</v>
          </cell>
          <cell r="AG886">
            <v>50</v>
          </cell>
          <cell r="AJ886" t="str">
            <v>V-A</v>
          </cell>
          <cell r="AL886">
            <v>3000</v>
          </cell>
          <cell r="AM886">
            <v>2600</v>
          </cell>
          <cell r="AN886" t="e">
            <v>#VALUE!</v>
          </cell>
          <cell r="AO886" t="e">
            <v>#VALUE!</v>
          </cell>
          <cell r="AP886">
            <v>400</v>
          </cell>
        </row>
        <row r="887">
          <cell r="A887">
            <v>63860900</v>
          </cell>
          <cell r="B887">
            <v>40240600</v>
          </cell>
          <cell r="C887">
            <v>96019055</v>
          </cell>
          <cell r="D887" t="str">
            <v>IGLO PT VEG LASAGNE BOLOGNAISE 400G</v>
          </cell>
          <cell r="E887" t="str">
            <v>Iglo PT</v>
          </cell>
          <cell r="F887" t="str">
            <v>40337500 COVIPEEL 32 355mm</v>
          </cell>
          <cell r="G887" t="str">
            <v>UK-59</v>
          </cell>
          <cell r="H887">
            <v>548</v>
          </cell>
          <cell r="I887">
            <v>0.4</v>
          </cell>
          <cell r="J887" t="str">
            <v>H22</v>
          </cell>
          <cell r="K887" t="str">
            <v>NVT</v>
          </cell>
          <cell r="L887">
            <v>6</v>
          </cell>
          <cell r="M887" t="str">
            <v>Shrinkrap</v>
          </cell>
          <cell r="N887">
            <v>176</v>
          </cell>
          <cell r="O887">
            <v>5000116919673</v>
          </cell>
          <cell r="P887" t="str">
            <v>4T-H-K</v>
          </cell>
          <cell r="Q887">
            <v>2</v>
          </cell>
          <cell r="R887">
            <v>2</v>
          </cell>
          <cell r="T887">
            <v>2600</v>
          </cell>
          <cell r="U887">
            <v>7</v>
          </cell>
          <cell r="V887">
            <v>2600</v>
          </cell>
          <cell r="W887">
            <v>7</v>
          </cell>
          <cell r="X887">
            <v>0</v>
          </cell>
          <cell r="Y887">
            <v>0</v>
          </cell>
          <cell r="Z887">
            <v>0</v>
          </cell>
          <cell r="AA887" t="str">
            <v>! ! !</v>
          </cell>
          <cell r="AB887">
            <v>19916</v>
          </cell>
          <cell r="AC887">
            <v>0</v>
          </cell>
          <cell r="AG887">
            <v>50</v>
          </cell>
          <cell r="AJ887" t="str">
            <v>V-A</v>
          </cell>
          <cell r="AL887">
            <v>3000</v>
          </cell>
          <cell r="AM887">
            <v>2600</v>
          </cell>
          <cell r="AN887" t="e">
            <v>#VALUE!</v>
          </cell>
          <cell r="AO887" t="e">
            <v>#VALUE!</v>
          </cell>
          <cell r="AP887">
            <v>400</v>
          </cell>
        </row>
        <row r="888">
          <cell r="A888">
            <v>63861000</v>
          </cell>
          <cell r="B888">
            <v>40240700</v>
          </cell>
          <cell r="C888">
            <v>96019519</v>
          </cell>
          <cell r="D888" t="str">
            <v>FINDUS ES VEG LASAGNE BOLOGNAISE 400G</v>
          </cell>
          <cell r="E888" t="str">
            <v>Iglo ES</v>
          </cell>
          <cell r="F888" t="str">
            <v>40337500 COVIPEEL 32 355mm</v>
          </cell>
          <cell r="G888" t="str">
            <v>UK-59</v>
          </cell>
          <cell r="H888">
            <v>548</v>
          </cell>
          <cell r="I888">
            <v>0.4</v>
          </cell>
          <cell r="J888" t="str">
            <v>H22</v>
          </cell>
          <cell r="K888" t="str">
            <v>NVT</v>
          </cell>
          <cell r="L888">
            <v>6</v>
          </cell>
          <cell r="M888" t="str">
            <v>Shrinkrap</v>
          </cell>
          <cell r="N888">
            <v>176</v>
          </cell>
          <cell r="O888">
            <v>18434702002816</v>
          </cell>
          <cell r="P888" t="str">
            <v>4T-H-K</v>
          </cell>
          <cell r="Q888">
            <v>2</v>
          </cell>
          <cell r="R888">
            <v>2</v>
          </cell>
          <cell r="T888">
            <v>2600</v>
          </cell>
          <cell r="U888">
            <v>7</v>
          </cell>
          <cell r="V888">
            <v>2600</v>
          </cell>
          <cell r="W888">
            <v>7</v>
          </cell>
          <cell r="X888">
            <v>0</v>
          </cell>
          <cell r="Y888">
            <v>0</v>
          </cell>
          <cell r="Z888">
            <v>0</v>
          </cell>
          <cell r="AA888" t="str">
            <v>! ! !</v>
          </cell>
          <cell r="AB888">
            <v>19916</v>
          </cell>
          <cell r="AC888">
            <v>0</v>
          </cell>
          <cell r="AG888">
            <v>50</v>
          </cell>
          <cell r="AJ888" t="str">
            <v>V-A</v>
          </cell>
          <cell r="AL888">
            <v>3000</v>
          </cell>
          <cell r="AM888">
            <v>2600</v>
          </cell>
          <cell r="AN888" t="e">
            <v>#VALUE!</v>
          </cell>
          <cell r="AO888" t="e">
            <v>#VALUE!</v>
          </cell>
          <cell r="AP888">
            <v>400</v>
          </cell>
        </row>
        <row r="889">
          <cell r="A889">
            <v>63861100</v>
          </cell>
          <cell r="B889">
            <v>40241100</v>
          </cell>
          <cell r="C889">
            <v>96019137</v>
          </cell>
          <cell r="D889" t="str">
            <v>FINDUS SE VEG LASAGNE BOLOGNAISE 800G</v>
          </cell>
          <cell r="E889" t="str">
            <v>Iglo SE</v>
          </cell>
          <cell r="F889" t="str">
            <v>40336300 OLAF 30 290MM</v>
          </cell>
          <cell r="G889" t="str">
            <v>AR 1150-8</v>
          </cell>
          <cell r="H889">
            <v>456</v>
          </cell>
          <cell r="I889">
            <v>0.8</v>
          </cell>
          <cell r="J889" t="str">
            <v>H9 NEW2</v>
          </cell>
          <cell r="K889" t="str">
            <v>NVT</v>
          </cell>
          <cell r="L889">
            <v>6</v>
          </cell>
          <cell r="M889" t="str">
            <v>Shrinkrap</v>
          </cell>
          <cell r="N889">
            <v>84</v>
          </cell>
          <cell r="O889">
            <v>7310500186597</v>
          </cell>
          <cell r="P889" t="str">
            <v>6T-K</v>
          </cell>
          <cell r="Q889">
            <v>2</v>
          </cell>
          <cell r="R889">
            <v>2</v>
          </cell>
          <cell r="S889" t="str">
            <v xml:space="preserve">OLAF-foli </v>
          </cell>
          <cell r="T889">
            <v>2200</v>
          </cell>
          <cell r="U889">
            <v>6</v>
          </cell>
          <cell r="V889">
            <v>2200</v>
          </cell>
          <cell r="W889">
            <v>6</v>
          </cell>
          <cell r="X889">
            <v>0</v>
          </cell>
          <cell r="Y889">
            <v>0</v>
          </cell>
          <cell r="Z889">
            <v>0</v>
          </cell>
          <cell r="AA889" t="str">
            <v>! !</v>
          </cell>
          <cell r="AB889">
            <v>13500</v>
          </cell>
          <cell r="AC889">
            <v>0</v>
          </cell>
          <cell r="AJ889" t="str">
            <v>V-A</v>
          </cell>
          <cell r="AL889">
            <v>0</v>
          </cell>
          <cell r="AM889">
            <v>2200</v>
          </cell>
          <cell r="AN889" t="e">
            <v>#VALUE!</v>
          </cell>
          <cell r="AO889" t="e">
            <v>#VALUE!</v>
          </cell>
          <cell r="AP889">
            <v>-2200</v>
          </cell>
        </row>
        <row r="890">
          <cell r="A890">
            <v>63900100</v>
          </cell>
          <cell r="B890">
            <v>9001</v>
          </cell>
          <cell r="C890">
            <v>100002</v>
          </cell>
          <cell r="D890" t="str">
            <v xml:space="preserve">VAT HOLLANDSE HACHEE RODE KOOL EN GEKOOKTE AARD   </v>
          </cell>
          <cell r="E890" t="str">
            <v>VAT</v>
          </cell>
          <cell r="F890" t="str">
            <v>40336300 OLAF 30 290MM</v>
          </cell>
          <cell r="G890" t="str">
            <v>C2227-3R evolve</v>
          </cell>
          <cell r="H890">
            <v>456</v>
          </cell>
          <cell r="I890">
            <v>0.51</v>
          </cell>
          <cell r="J890" t="str">
            <v>NVT</v>
          </cell>
          <cell r="K890" t="str">
            <v>VAT</v>
          </cell>
          <cell r="L890">
            <v>6</v>
          </cell>
          <cell r="M890" t="str">
            <v>VAT</v>
          </cell>
          <cell r="N890">
            <v>120</v>
          </cell>
          <cell r="O890">
            <v>8717568241265</v>
          </cell>
          <cell r="P890" t="str">
            <v>2T</v>
          </cell>
          <cell r="Q890">
            <v>3</v>
          </cell>
          <cell r="R890">
            <v>3</v>
          </cell>
          <cell r="S890" t="str">
            <v>idem 66400100, AARDAPPELEN steamen D-0</v>
          </cell>
          <cell r="T890">
            <v>2200</v>
          </cell>
          <cell r="U890">
            <v>3</v>
          </cell>
          <cell r="V890">
            <v>2200</v>
          </cell>
          <cell r="W890">
            <v>3</v>
          </cell>
          <cell r="X890">
            <v>0</v>
          </cell>
          <cell r="Y890">
            <v>0</v>
          </cell>
          <cell r="Z890">
            <v>0</v>
          </cell>
          <cell r="AA890" t="str">
            <v>! !</v>
          </cell>
          <cell r="AC890">
            <v>5.8800000000000005E-2</v>
          </cell>
          <cell r="AE890" t="str">
            <v>x</v>
          </cell>
          <cell r="AG890">
            <v>45</v>
          </cell>
          <cell r="AJ890" t="str">
            <v>-</v>
          </cell>
          <cell r="AL890">
            <v>2700</v>
          </cell>
          <cell r="AM890">
            <v>2200</v>
          </cell>
          <cell r="AN890" t="e">
            <v>#VALUE!</v>
          </cell>
          <cell r="AO890" t="e">
            <v>#VALUE!</v>
          </cell>
          <cell r="AP890">
            <v>500</v>
          </cell>
        </row>
        <row r="891">
          <cell r="A891">
            <v>63900101</v>
          </cell>
          <cell r="C891">
            <v>103509</v>
          </cell>
          <cell r="D891" t="str">
            <v xml:space="preserve">VAT KL HOLLANDSE HACHEE RODE KOOL EN GEKOOKTE AARD   </v>
          </cell>
          <cell r="E891" t="str">
            <v>VAT</v>
          </cell>
          <cell r="F891" t="str">
            <v>40336300 OLAF 30 290MM</v>
          </cell>
          <cell r="G891" t="str">
            <v>C2227-3R evolve</v>
          </cell>
          <cell r="H891">
            <v>456</v>
          </cell>
          <cell r="I891">
            <v>0.35</v>
          </cell>
          <cell r="J891" t="str">
            <v>NVT</v>
          </cell>
          <cell r="K891" t="str">
            <v>VAT</v>
          </cell>
          <cell r="L891">
            <v>6</v>
          </cell>
          <cell r="M891" t="str">
            <v>VAT</v>
          </cell>
          <cell r="N891">
            <v>120</v>
          </cell>
          <cell r="O891">
            <v>8717568244419</v>
          </cell>
          <cell r="P891" t="str">
            <v>2T</v>
          </cell>
          <cell r="Q891">
            <v>3</v>
          </cell>
          <cell r="R891">
            <v>3</v>
          </cell>
          <cell r="S891" t="str">
            <v>AARDAPPELEN steamen D-0</v>
          </cell>
          <cell r="T891">
            <v>2200</v>
          </cell>
          <cell r="U891">
            <v>3</v>
          </cell>
          <cell r="V891">
            <v>2200</v>
          </cell>
          <cell r="W891">
            <v>3</v>
          </cell>
          <cell r="X891">
            <v>0</v>
          </cell>
          <cell r="Y891">
            <v>0</v>
          </cell>
          <cell r="Z891">
            <v>0</v>
          </cell>
          <cell r="AA891" t="str">
            <v>! !</v>
          </cell>
          <cell r="AC891">
            <v>3.5000000000000003E-2</v>
          </cell>
          <cell r="AG891">
            <v>45</v>
          </cell>
          <cell r="AJ891" t="str">
            <v>-</v>
          </cell>
          <cell r="AL891">
            <v>2700</v>
          </cell>
          <cell r="AM891">
            <v>2200</v>
          </cell>
          <cell r="AN891" t="e">
            <v>#VALUE!</v>
          </cell>
          <cell r="AO891" t="e">
            <v>#VALUE!</v>
          </cell>
          <cell r="AP891">
            <v>500</v>
          </cell>
        </row>
        <row r="892">
          <cell r="A892">
            <v>63900501</v>
          </cell>
          <cell r="C892">
            <v>103516</v>
          </cell>
          <cell r="D892" t="str">
            <v>VAT KL VARKENSHAASJE CHAMPIGNONROOMSAUS GROENTEMIX GEBAKKEN AARD</v>
          </cell>
          <cell r="E892" t="str">
            <v>VAT</v>
          </cell>
          <cell r="F892" t="str">
            <v>40336300 OLAF 30 290MM</v>
          </cell>
          <cell r="G892" t="str">
            <v>C2227-3R evolve</v>
          </cell>
          <cell r="H892">
            <v>456</v>
          </cell>
          <cell r="I892">
            <v>0.35</v>
          </cell>
          <cell r="J892" t="str">
            <v>NVT</v>
          </cell>
          <cell r="K892" t="str">
            <v>VAT</v>
          </cell>
          <cell r="L892">
            <v>6</v>
          </cell>
          <cell r="M892" t="str">
            <v>VAT</v>
          </cell>
          <cell r="N892">
            <v>120</v>
          </cell>
          <cell r="O892">
            <v>8717568244488</v>
          </cell>
          <cell r="P892" t="str">
            <v>T-I</v>
          </cell>
          <cell r="Q892">
            <v>2</v>
          </cell>
          <cell r="R892">
            <v>3</v>
          </cell>
          <cell r="S892" t="str">
            <v>OLAF-foliA</v>
          </cell>
          <cell r="T892">
            <v>2200</v>
          </cell>
          <cell r="U892">
            <v>7</v>
          </cell>
          <cell r="V892">
            <v>2200</v>
          </cell>
          <cell r="W892">
            <v>7</v>
          </cell>
          <cell r="X892">
            <v>0</v>
          </cell>
          <cell r="Y892">
            <v>0</v>
          </cell>
          <cell r="Z892">
            <v>0</v>
          </cell>
          <cell r="AA892" t="str">
            <v>! ! !</v>
          </cell>
          <cell r="AC892">
            <v>0</v>
          </cell>
          <cell r="AG892">
            <v>45</v>
          </cell>
          <cell r="AJ892" t="str">
            <v>V-A</v>
          </cell>
          <cell r="AL892">
            <v>2700</v>
          </cell>
          <cell r="AM892">
            <v>2200</v>
          </cell>
          <cell r="AN892" t="e">
            <v>#VALUE!</v>
          </cell>
          <cell r="AO892" t="e">
            <v>#VALUE!</v>
          </cell>
          <cell r="AP892">
            <v>500</v>
          </cell>
        </row>
        <row r="893">
          <cell r="A893">
            <v>63901301</v>
          </cell>
          <cell r="C893">
            <v>103513</v>
          </cell>
          <cell r="D893" t="str">
            <v xml:space="preserve">VAT KL ZUURKOOLSTAMPPOT SPEKJES  SCHIJFJES ROOKWORST </v>
          </cell>
          <cell r="E893" t="str">
            <v>VAT</v>
          </cell>
          <cell r="F893" t="str">
            <v>40336300 OLAF 30 290MM</v>
          </cell>
          <cell r="G893" t="str">
            <v>C2227-2K evolve</v>
          </cell>
          <cell r="H893">
            <v>365</v>
          </cell>
          <cell r="I893">
            <v>0.4</v>
          </cell>
          <cell r="J893" t="str">
            <v>NVT</v>
          </cell>
          <cell r="K893" t="str">
            <v>VAT</v>
          </cell>
          <cell r="L893">
            <v>6</v>
          </cell>
          <cell r="M893" t="str">
            <v>VAT</v>
          </cell>
          <cell r="N893">
            <v>120</v>
          </cell>
          <cell r="O893">
            <v>8717568244457</v>
          </cell>
          <cell r="P893" t="str">
            <v>H-T-I</v>
          </cell>
          <cell r="Q893">
            <v>2</v>
          </cell>
          <cell r="R893">
            <v>3</v>
          </cell>
          <cell r="T893">
            <v>2200</v>
          </cell>
          <cell r="U893">
            <v>3</v>
          </cell>
          <cell r="V893">
            <v>2200</v>
          </cell>
          <cell r="W893">
            <v>3</v>
          </cell>
          <cell r="X893">
            <v>0</v>
          </cell>
          <cell r="Y893">
            <v>0</v>
          </cell>
          <cell r="Z893">
            <v>0</v>
          </cell>
          <cell r="AA893" t="str">
            <v>! !</v>
          </cell>
          <cell r="AC893">
            <v>0</v>
          </cell>
          <cell r="AG893">
            <v>45</v>
          </cell>
          <cell r="AJ893" t="str">
            <v>V-A</v>
          </cell>
          <cell r="AL893">
            <v>2700</v>
          </cell>
          <cell r="AM893">
            <v>2200</v>
          </cell>
          <cell r="AN893" t="e">
            <v>#VALUE!</v>
          </cell>
          <cell r="AO893" t="e">
            <v>#VALUE!</v>
          </cell>
          <cell r="AP893">
            <v>500</v>
          </cell>
        </row>
        <row r="894">
          <cell r="A894">
            <v>63901401</v>
          </cell>
          <cell r="C894">
            <v>103512</v>
          </cell>
          <cell r="D894" t="str">
            <v>VAT KL BOERENKOOLSTAMPPOT SPEKJES SCHIJFJES ROOKWORST</v>
          </cell>
          <cell r="E894" t="str">
            <v>VAT</v>
          </cell>
          <cell r="F894" t="str">
            <v>40336300 OLAF 30 290MM</v>
          </cell>
          <cell r="G894" t="str">
            <v>C2227-2K evolve</v>
          </cell>
          <cell r="H894">
            <v>365</v>
          </cell>
          <cell r="I894">
            <v>0.4</v>
          </cell>
          <cell r="J894" t="str">
            <v>NVT</v>
          </cell>
          <cell r="K894" t="str">
            <v>VAT</v>
          </cell>
          <cell r="L894">
            <v>6</v>
          </cell>
          <cell r="M894" t="str">
            <v>VAT</v>
          </cell>
          <cell r="N894">
            <v>120</v>
          </cell>
          <cell r="O894">
            <v>8717568244440</v>
          </cell>
          <cell r="P894" t="str">
            <v>H-T-I</v>
          </cell>
          <cell r="Q894">
            <v>2</v>
          </cell>
          <cell r="R894">
            <v>3</v>
          </cell>
          <cell r="S894" t="str">
            <v>OLAF-foliA</v>
          </cell>
          <cell r="T894">
            <v>2200</v>
          </cell>
          <cell r="U894">
            <v>3</v>
          </cell>
          <cell r="V894">
            <v>2200</v>
          </cell>
          <cell r="W894">
            <v>3</v>
          </cell>
          <cell r="X894">
            <v>0</v>
          </cell>
          <cell r="Y894">
            <v>0</v>
          </cell>
          <cell r="Z894">
            <v>0</v>
          </cell>
          <cell r="AA894" t="str">
            <v>! ! !</v>
          </cell>
          <cell r="AC894">
            <v>0</v>
          </cell>
          <cell r="AG894">
            <v>45</v>
          </cell>
          <cell r="AJ894" t="str">
            <v>V-A</v>
          </cell>
          <cell r="AL894">
            <v>2700</v>
          </cell>
          <cell r="AM894">
            <v>2200</v>
          </cell>
          <cell r="AN894" t="e">
            <v>#VALUE!</v>
          </cell>
          <cell r="AO894" t="e">
            <v>#VALUE!</v>
          </cell>
          <cell r="AP894">
            <v>500</v>
          </cell>
        </row>
        <row r="895">
          <cell r="A895">
            <v>63901501</v>
          </cell>
          <cell r="C895">
            <v>103510</v>
          </cell>
          <cell r="D895" t="str">
            <v xml:space="preserve">VAT KL HUTSPOT MET STUKJES RUNDVLEES                </v>
          </cell>
          <cell r="E895" t="str">
            <v>VAT</v>
          </cell>
          <cell r="F895" t="str">
            <v>40336300 OLAF 30 290MM</v>
          </cell>
          <cell r="G895" t="str">
            <v>C2227-2K evolve</v>
          </cell>
          <cell r="H895">
            <v>456</v>
          </cell>
          <cell r="I895">
            <v>0.4</v>
          </cell>
          <cell r="J895" t="str">
            <v>NVT</v>
          </cell>
          <cell r="K895" t="str">
            <v>VAT</v>
          </cell>
          <cell r="L895">
            <v>6</v>
          </cell>
          <cell r="M895" t="str">
            <v>VAT</v>
          </cell>
          <cell r="N895">
            <v>120</v>
          </cell>
          <cell r="O895">
            <v>8717568244426</v>
          </cell>
          <cell r="P895" t="str">
            <v>H-T-I</v>
          </cell>
          <cell r="Q895">
            <v>2.5</v>
          </cell>
          <cell r="R895">
            <v>3</v>
          </cell>
          <cell r="T895">
            <v>2200</v>
          </cell>
          <cell r="U895">
            <v>3</v>
          </cell>
          <cell r="V895">
            <v>2200</v>
          </cell>
          <cell r="W895">
            <v>3</v>
          </cell>
          <cell r="X895">
            <v>0</v>
          </cell>
          <cell r="Y895">
            <v>0</v>
          </cell>
          <cell r="Z895">
            <v>0</v>
          </cell>
          <cell r="AA895" t="str">
            <v>! !</v>
          </cell>
          <cell r="AC895">
            <v>0</v>
          </cell>
          <cell r="AG895">
            <v>45</v>
          </cell>
          <cell r="AJ895" t="str">
            <v>-</v>
          </cell>
          <cell r="AL895">
            <v>2700</v>
          </cell>
          <cell r="AM895">
            <v>2200</v>
          </cell>
          <cell r="AN895" t="e">
            <v>#VALUE!</v>
          </cell>
          <cell r="AO895" t="e">
            <v>#VALUE!</v>
          </cell>
          <cell r="AP895">
            <v>500</v>
          </cell>
        </row>
        <row r="896">
          <cell r="A896">
            <v>63901901</v>
          </cell>
          <cell r="C896">
            <v>103526</v>
          </cell>
          <cell r="D896" t="str">
            <v xml:space="preserve">VAT KL BAMI GORENG SPECIAAL MET KIP IN SATESAUS      </v>
          </cell>
          <cell r="E896" t="str">
            <v>VAT</v>
          </cell>
          <cell r="F896" t="str">
            <v>40336300 OLAF 30 290MM</v>
          </cell>
          <cell r="G896" t="str">
            <v>C2227-2K evolve</v>
          </cell>
          <cell r="H896">
            <v>456</v>
          </cell>
          <cell r="I896">
            <v>0.36</v>
          </cell>
          <cell r="J896" t="str">
            <v>NVT</v>
          </cell>
          <cell r="K896" t="str">
            <v>VAT</v>
          </cell>
          <cell r="L896">
            <v>6</v>
          </cell>
          <cell r="M896" t="str">
            <v>VAT</v>
          </cell>
          <cell r="N896">
            <v>120</v>
          </cell>
          <cell r="O896">
            <v>8717568244587</v>
          </cell>
          <cell r="P896" t="str">
            <v>T-M-I</v>
          </cell>
          <cell r="Q896">
            <v>3</v>
          </cell>
          <cell r="R896">
            <v>3</v>
          </cell>
          <cell r="S896" t="str">
            <v>D-1 voorbereiden mengeling bami (sambal, soja, look etc) (samen met iglo (1p))</v>
          </cell>
          <cell r="T896">
            <v>2200</v>
          </cell>
          <cell r="U896">
            <v>5</v>
          </cell>
          <cell r="V896">
            <v>2200</v>
          </cell>
          <cell r="W896">
            <v>5</v>
          </cell>
          <cell r="X896">
            <v>0</v>
          </cell>
          <cell r="Y896">
            <v>0</v>
          </cell>
          <cell r="Z896">
            <v>0</v>
          </cell>
          <cell r="AA896" t="str">
            <v>X</v>
          </cell>
          <cell r="AC896">
            <v>0</v>
          </cell>
          <cell r="AG896">
            <v>45</v>
          </cell>
          <cell r="AJ896" t="str">
            <v>V-A</v>
          </cell>
          <cell r="AL896">
            <v>2700</v>
          </cell>
          <cell r="AM896">
            <v>2200</v>
          </cell>
          <cell r="AN896" t="e">
            <v>#VALUE!</v>
          </cell>
          <cell r="AO896" t="e">
            <v>#VALUE!</v>
          </cell>
          <cell r="AP896">
            <v>500</v>
          </cell>
        </row>
        <row r="897">
          <cell r="A897">
            <v>63902301</v>
          </cell>
          <cell r="C897">
            <v>103502</v>
          </cell>
          <cell r="D897" t="str">
            <v xml:space="preserve">VAT KL GEHAKTBAL BLOEMKOOL BROCCOLI GEK. AARD     </v>
          </cell>
          <cell r="E897" t="str">
            <v>VAT</v>
          </cell>
          <cell r="F897" t="str">
            <v>40336300 OLAF 30 290MM</v>
          </cell>
          <cell r="G897" t="str">
            <v>C2227-3R evolve</v>
          </cell>
          <cell r="H897">
            <v>456</v>
          </cell>
          <cell r="I897">
            <v>0.36499999999999999</v>
          </cell>
          <cell r="J897" t="str">
            <v>NVT</v>
          </cell>
          <cell r="K897" t="str">
            <v>VAT</v>
          </cell>
          <cell r="L897">
            <v>6</v>
          </cell>
          <cell r="M897" t="str">
            <v>VAT</v>
          </cell>
          <cell r="N897">
            <v>120</v>
          </cell>
          <cell r="O897">
            <v>8717568244341</v>
          </cell>
          <cell r="P897" t="str">
            <v>I-T</v>
          </cell>
          <cell r="Q897">
            <v>2.5</v>
          </cell>
          <cell r="R897">
            <v>3</v>
          </cell>
          <cell r="S897" t="str">
            <v>AARDAPPELEN steamen D-0</v>
          </cell>
          <cell r="T897">
            <v>2200</v>
          </cell>
          <cell r="U897">
            <v>6</v>
          </cell>
          <cell r="V897">
            <v>2200</v>
          </cell>
          <cell r="W897">
            <v>6</v>
          </cell>
          <cell r="X897">
            <v>0</v>
          </cell>
          <cell r="Y897">
            <v>0</v>
          </cell>
          <cell r="Z897">
            <v>0</v>
          </cell>
          <cell r="AA897" t="str">
            <v>! !</v>
          </cell>
          <cell r="AC897">
            <v>3.5000000000000003E-2</v>
          </cell>
          <cell r="AG897">
            <v>45</v>
          </cell>
          <cell r="AJ897" t="str">
            <v>V-A</v>
          </cell>
          <cell r="AL897">
            <v>2700</v>
          </cell>
          <cell r="AM897">
            <v>2200</v>
          </cell>
          <cell r="AN897" t="e">
            <v>#VALUE!</v>
          </cell>
          <cell r="AO897" t="e">
            <v>#VALUE!</v>
          </cell>
          <cell r="AP897">
            <v>500</v>
          </cell>
        </row>
        <row r="898">
          <cell r="A898">
            <v>63902701</v>
          </cell>
          <cell r="C898">
            <v>103503</v>
          </cell>
          <cell r="D898" t="str">
            <v xml:space="preserve">VAT KL GEHAKTBAL WITLOF GEK AARDAPPELEN BIESLOOK  </v>
          </cell>
          <cell r="E898" t="str">
            <v>VAT</v>
          </cell>
          <cell r="F898" t="str">
            <v>40336300 OLAF 30 290MM</v>
          </cell>
          <cell r="G898" t="str">
            <v>C2227-3R evolve</v>
          </cell>
          <cell r="H898">
            <v>456</v>
          </cell>
          <cell r="I898">
            <v>0.36499999999999999</v>
          </cell>
          <cell r="J898" t="str">
            <v>NVT</v>
          </cell>
          <cell r="K898" t="str">
            <v>VAT</v>
          </cell>
          <cell r="L898">
            <v>6</v>
          </cell>
          <cell r="M898" t="str">
            <v>VAT</v>
          </cell>
          <cell r="N898">
            <v>120</v>
          </cell>
          <cell r="O898">
            <v>8717568244358</v>
          </cell>
          <cell r="P898" t="str">
            <v>2T</v>
          </cell>
          <cell r="Q898">
            <v>2</v>
          </cell>
          <cell r="R898">
            <v>3</v>
          </cell>
          <cell r="S898" t="str">
            <v>OLAF-foliA</v>
          </cell>
          <cell r="T898">
            <v>2200</v>
          </cell>
          <cell r="U898">
            <v>4</v>
          </cell>
          <cell r="V898">
            <v>2200</v>
          </cell>
          <cell r="W898">
            <v>4</v>
          </cell>
          <cell r="X898">
            <v>0</v>
          </cell>
          <cell r="Y898">
            <v>0</v>
          </cell>
          <cell r="Z898">
            <v>0</v>
          </cell>
          <cell r="AA898" t="str">
            <v>! !</v>
          </cell>
          <cell r="AC898">
            <v>0</v>
          </cell>
          <cell r="AG898">
            <v>45</v>
          </cell>
          <cell r="AJ898" t="str">
            <v>V-A</v>
          </cell>
          <cell r="AL898">
            <v>2700</v>
          </cell>
          <cell r="AM898">
            <v>2200</v>
          </cell>
          <cell r="AN898" t="e">
            <v>#VALUE!</v>
          </cell>
          <cell r="AO898" t="e">
            <v>#VALUE!</v>
          </cell>
          <cell r="AP898">
            <v>500</v>
          </cell>
        </row>
        <row r="899">
          <cell r="A899">
            <v>63902801</v>
          </cell>
          <cell r="C899">
            <v>103504</v>
          </cell>
          <cell r="D899" t="str">
            <v xml:space="preserve">VAT KL GEHAKTBAL ANDIJVIE A LA CREME AARDAPPELPUREE  </v>
          </cell>
          <cell r="E899" t="str">
            <v>VAT</v>
          </cell>
          <cell r="F899" t="str">
            <v>40336300 OLAF 30 290MM</v>
          </cell>
          <cell r="G899" t="str">
            <v>C2227-3R evolve</v>
          </cell>
          <cell r="H899">
            <v>456</v>
          </cell>
          <cell r="I899">
            <v>0.36499999999999999</v>
          </cell>
          <cell r="J899" t="str">
            <v>NVT</v>
          </cell>
          <cell r="K899" t="str">
            <v>VAT</v>
          </cell>
          <cell r="L899">
            <v>6</v>
          </cell>
          <cell r="M899" t="str">
            <v>VAT</v>
          </cell>
          <cell r="N899">
            <v>120</v>
          </cell>
          <cell r="O899">
            <v>8717568244365</v>
          </cell>
          <cell r="P899" t="str">
            <v>2T-H</v>
          </cell>
          <cell r="Q899">
            <v>2.5</v>
          </cell>
          <cell r="R899">
            <v>3</v>
          </cell>
          <cell r="S899" t="str">
            <v>OLAF-foliA</v>
          </cell>
          <cell r="T899">
            <v>2200</v>
          </cell>
          <cell r="U899">
            <v>2</v>
          </cell>
          <cell r="V899">
            <v>2200</v>
          </cell>
          <cell r="W899">
            <v>2</v>
          </cell>
          <cell r="X899">
            <v>0</v>
          </cell>
          <cell r="Y899">
            <v>0</v>
          </cell>
          <cell r="Z899">
            <v>0</v>
          </cell>
          <cell r="AA899" t="str">
            <v>! !</v>
          </cell>
          <cell r="AC899">
            <v>0</v>
          </cell>
          <cell r="AG899">
            <v>45</v>
          </cell>
          <cell r="AJ899" t="str">
            <v>V-A</v>
          </cell>
          <cell r="AL899">
            <v>2700</v>
          </cell>
          <cell r="AM899">
            <v>2200</v>
          </cell>
          <cell r="AN899" t="e">
            <v>#VALUE!</v>
          </cell>
          <cell r="AO899" t="e">
            <v>#VALUE!</v>
          </cell>
          <cell r="AP899">
            <v>500</v>
          </cell>
        </row>
        <row r="900">
          <cell r="A900">
            <v>63902901</v>
          </cell>
          <cell r="C900">
            <v>103511</v>
          </cell>
          <cell r="D900" t="str">
            <v>VAT KL JACHTSCHOTEL APPEL RODE KOOL EN AARDAPPELPUREE</v>
          </cell>
          <cell r="E900" t="str">
            <v>VAT</v>
          </cell>
          <cell r="F900" t="str">
            <v>40336300 OLAF 30 290MM</v>
          </cell>
          <cell r="G900" t="str">
            <v>C2227-3R evolve</v>
          </cell>
          <cell r="H900">
            <v>456</v>
          </cell>
          <cell r="I900">
            <v>0.36499999999999999</v>
          </cell>
          <cell r="J900" t="str">
            <v>NVT</v>
          </cell>
          <cell r="K900" t="str">
            <v>VAT</v>
          </cell>
          <cell r="L900">
            <v>6</v>
          </cell>
          <cell r="M900" t="str">
            <v>VAT</v>
          </cell>
          <cell r="N900">
            <v>120</v>
          </cell>
          <cell r="O900">
            <v>8717568244433</v>
          </cell>
          <cell r="P900" t="str">
            <v>2T-H-I</v>
          </cell>
          <cell r="Q900">
            <v>3</v>
          </cell>
          <cell r="R900">
            <v>3</v>
          </cell>
          <cell r="S900" t="str">
            <v>APPELS wellen D-1</v>
          </cell>
          <cell r="T900">
            <v>2200</v>
          </cell>
          <cell r="U900">
            <v>3</v>
          </cell>
          <cell r="V900">
            <v>2200</v>
          </cell>
          <cell r="W900">
            <v>3</v>
          </cell>
          <cell r="X900">
            <v>0</v>
          </cell>
          <cell r="Y900">
            <v>0</v>
          </cell>
          <cell r="Z900">
            <v>0</v>
          </cell>
          <cell r="AA900" t="str">
            <v>! ! !</v>
          </cell>
          <cell r="AC900">
            <v>0</v>
          </cell>
          <cell r="AG900">
            <v>45</v>
          </cell>
          <cell r="AJ900" t="str">
            <v>V-A</v>
          </cell>
          <cell r="AL900">
            <v>2700</v>
          </cell>
          <cell r="AM900">
            <v>2200</v>
          </cell>
          <cell r="AN900" t="e">
            <v>#VALUE!</v>
          </cell>
          <cell r="AO900" t="e">
            <v>#VALUE!</v>
          </cell>
          <cell r="AP900">
            <v>500</v>
          </cell>
        </row>
        <row r="901">
          <cell r="A901">
            <v>63903100</v>
          </cell>
          <cell r="C901">
            <v>9031</v>
          </cell>
          <cell r="D901" t="str">
            <v xml:space="preserve">VAT KIP CORDON BLEU BLOEMKOOL BROC. GEK AARD      </v>
          </cell>
          <cell r="E901" t="str">
            <v>VAT</v>
          </cell>
          <cell r="F901" t="str">
            <v>290MM</v>
          </cell>
          <cell r="G901" t="str">
            <v>C2227-2K</v>
          </cell>
          <cell r="H901">
            <v>456</v>
          </cell>
          <cell r="I901">
            <v>0.49</v>
          </cell>
          <cell r="J901" t="str">
            <v>NVT</v>
          </cell>
          <cell r="K901" t="str">
            <v>VAT</v>
          </cell>
          <cell r="L901">
            <v>6</v>
          </cell>
          <cell r="M901" t="str">
            <v xml:space="preserve">VAT X 6 </v>
          </cell>
          <cell r="N901">
            <v>120</v>
          </cell>
          <cell r="O901">
            <v>8717568240282</v>
          </cell>
          <cell r="P901" t="str">
            <v>T</v>
          </cell>
          <cell r="Q901">
            <v>1.5</v>
          </cell>
          <cell r="R901">
            <v>3</v>
          </cell>
          <cell r="S901" t="str">
            <v>AARDAPPELEN steamen D-0</v>
          </cell>
          <cell r="T901">
            <v>2200</v>
          </cell>
          <cell r="U901">
            <v>6</v>
          </cell>
          <cell r="V901">
            <v>2200</v>
          </cell>
          <cell r="W901">
            <v>6</v>
          </cell>
          <cell r="X901">
            <v>0</v>
          </cell>
          <cell r="Y901">
            <v>0</v>
          </cell>
          <cell r="Z901">
            <v>0</v>
          </cell>
          <cell r="AA901" t="str">
            <v>! ! !</v>
          </cell>
          <cell r="AC901">
            <v>4.7775000000000005E-2</v>
          </cell>
          <cell r="AE901" t="str">
            <v>x</v>
          </cell>
          <cell r="AG901">
            <v>45</v>
          </cell>
          <cell r="AJ901" t="str">
            <v>-</v>
          </cell>
          <cell r="AK901" t="str">
            <v>Ja</v>
          </cell>
          <cell r="AL901">
            <v>2700</v>
          </cell>
          <cell r="AM901">
            <v>2200</v>
          </cell>
          <cell r="AN901" t="e">
            <v>#VALUE!</v>
          </cell>
          <cell r="AO901" t="e">
            <v>#VALUE!</v>
          </cell>
          <cell r="AP901">
            <v>500</v>
          </cell>
        </row>
        <row r="902">
          <cell r="A902">
            <v>63903601</v>
          </cell>
          <cell r="C902">
            <v>103507</v>
          </cell>
          <cell r="D902" t="str">
            <v>VAT KL KIPFILET SPERZIEBONEN EN GEKOOKTE AARDAPPELENKUBUS</v>
          </cell>
          <cell r="E902" t="str">
            <v>VAT</v>
          </cell>
          <cell r="F902" t="str">
            <v>40336300 OLAF 30 290MM</v>
          </cell>
          <cell r="G902" t="str">
            <v>C2227-3R evolve</v>
          </cell>
          <cell r="H902">
            <v>456</v>
          </cell>
          <cell r="I902">
            <v>0.36499999999999999</v>
          </cell>
          <cell r="J902" t="str">
            <v>NVT</v>
          </cell>
          <cell r="K902" t="str">
            <v>VAT</v>
          </cell>
          <cell r="L902">
            <v>6</v>
          </cell>
          <cell r="M902" t="str">
            <v>VAT</v>
          </cell>
          <cell r="N902">
            <v>120</v>
          </cell>
          <cell r="O902">
            <v>8717568244396</v>
          </cell>
          <cell r="P902" t="str">
            <v>I-T</v>
          </cell>
          <cell r="Q902">
            <v>2</v>
          </cell>
          <cell r="R902">
            <v>3</v>
          </cell>
          <cell r="S902" t="str">
            <v>OLAF-foliA</v>
          </cell>
          <cell r="T902">
            <v>2000</v>
          </cell>
          <cell r="U902">
            <v>5</v>
          </cell>
          <cell r="V902">
            <v>2000</v>
          </cell>
          <cell r="W902">
            <v>5</v>
          </cell>
          <cell r="X902">
            <v>0</v>
          </cell>
          <cell r="Y902">
            <v>0</v>
          </cell>
          <cell r="Z902">
            <v>0</v>
          </cell>
          <cell r="AA902" t="str">
            <v>! ! !</v>
          </cell>
          <cell r="AC902">
            <v>0</v>
          </cell>
          <cell r="AG902">
            <v>42</v>
          </cell>
          <cell r="AJ902" t="str">
            <v>-</v>
          </cell>
          <cell r="AL902">
            <v>2520</v>
          </cell>
          <cell r="AM902">
            <v>2000</v>
          </cell>
          <cell r="AN902" t="e">
            <v>#VALUE!</v>
          </cell>
          <cell r="AO902" t="e">
            <v>#VALUE!</v>
          </cell>
          <cell r="AP902">
            <v>520</v>
          </cell>
        </row>
        <row r="903">
          <cell r="A903">
            <v>63904700</v>
          </cell>
          <cell r="C903">
            <v>106540</v>
          </cell>
          <cell r="D903" t="str">
            <v xml:space="preserve">VAT PROCUREURLAPJE BLADSPINAZIE PUREE             </v>
          </cell>
          <cell r="E903" t="str">
            <v>VAT</v>
          </cell>
          <cell r="F903" t="str">
            <v>40336300 OLAF 30 290MM</v>
          </cell>
          <cell r="G903" t="str">
            <v>C2227-3R evolve</v>
          </cell>
          <cell r="H903">
            <v>456</v>
          </cell>
          <cell r="I903">
            <v>0.52</v>
          </cell>
          <cell r="J903" t="str">
            <v>NVT</v>
          </cell>
          <cell r="K903" t="str">
            <v>VAT</v>
          </cell>
          <cell r="L903">
            <v>6</v>
          </cell>
          <cell r="M903" t="str">
            <v>VAT</v>
          </cell>
          <cell r="N903">
            <v>120</v>
          </cell>
          <cell r="O903">
            <v>8717568240480</v>
          </cell>
          <cell r="P903" t="str">
            <v>T-H</v>
          </cell>
          <cell r="Q903">
            <v>2.5</v>
          </cell>
          <cell r="R903">
            <v>3</v>
          </cell>
          <cell r="S903" t="str">
            <v>gewicht lapje: ook kleine stukken, Let op: extra opvolging R&amp;D, klacht gaarheid</v>
          </cell>
          <cell r="T903">
            <v>2200</v>
          </cell>
          <cell r="U903">
            <v>3</v>
          </cell>
          <cell r="V903">
            <v>2200</v>
          </cell>
          <cell r="W903">
            <v>3</v>
          </cell>
          <cell r="X903">
            <v>0</v>
          </cell>
          <cell r="Y903">
            <v>0</v>
          </cell>
          <cell r="Z903">
            <v>0</v>
          </cell>
          <cell r="AA903" t="str">
            <v>! ! !</v>
          </cell>
          <cell r="AC903">
            <v>0</v>
          </cell>
          <cell r="AE903" t="str">
            <v>x</v>
          </cell>
          <cell r="AG903">
            <v>45</v>
          </cell>
          <cell r="AJ903" t="str">
            <v>V-A</v>
          </cell>
          <cell r="AL903">
            <v>2700</v>
          </cell>
          <cell r="AM903">
            <v>2200</v>
          </cell>
          <cell r="AN903" t="e">
            <v>#VALUE!</v>
          </cell>
          <cell r="AO903" t="e">
            <v>#VALUE!</v>
          </cell>
          <cell r="AP903">
            <v>500</v>
          </cell>
        </row>
        <row r="904">
          <cell r="A904">
            <v>63905501</v>
          </cell>
          <cell r="C904">
            <v>103506</v>
          </cell>
          <cell r="D904" t="str">
            <v xml:space="preserve">VAT KL KIP ROZEMARIJN BROCCOLI EN AARDAPPELPUREE    </v>
          </cell>
          <cell r="E904" t="str">
            <v>VAT</v>
          </cell>
          <cell r="F904" t="str">
            <v>40336300 OLAF 30 290MM</v>
          </cell>
          <cell r="G904" t="str">
            <v>C2227-3R evolve</v>
          </cell>
          <cell r="H904">
            <v>455</v>
          </cell>
          <cell r="I904">
            <v>0.36499999999999999</v>
          </cell>
          <cell r="J904" t="str">
            <v>NVT</v>
          </cell>
          <cell r="K904" t="str">
            <v>VAT</v>
          </cell>
          <cell r="L904">
            <v>6</v>
          </cell>
          <cell r="M904" t="str">
            <v>VAT</v>
          </cell>
          <cell r="N904">
            <v>120</v>
          </cell>
          <cell r="O904">
            <v>8717568244389</v>
          </cell>
          <cell r="P904" t="str">
            <v>T-H-I</v>
          </cell>
          <cell r="Q904">
            <v>3</v>
          </cell>
          <cell r="R904">
            <v>3</v>
          </cell>
          <cell r="S904" t="str">
            <v>OLAF-foliA</v>
          </cell>
          <cell r="T904">
            <v>2200</v>
          </cell>
          <cell r="U904">
            <v>5</v>
          </cell>
          <cell r="V904">
            <v>2200</v>
          </cell>
          <cell r="W904">
            <v>5</v>
          </cell>
          <cell r="X904">
            <v>0</v>
          </cell>
          <cell r="Y904">
            <v>0</v>
          </cell>
          <cell r="Z904">
            <v>0</v>
          </cell>
          <cell r="AA904" t="str">
            <v>! ! !</v>
          </cell>
          <cell r="AC904">
            <v>0</v>
          </cell>
          <cell r="AG904">
            <v>45</v>
          </cell>
          <cell r="AJ904" t="str">
            <v>-</v>
          </cell>
          <cell r="AL904">
            <v>2700</v>
          </cell>
          <cell r="AM904">
            <v>2200</v>
          </cell>
          <cell r="AN904" t="e">
            <v>#VALUE!</v>
          </cell>
          <cell r="AO904" t="e">
            <v>#VALUE!</v>
          </cell>
          <cell r="AP904">
            <v>500</v>
          </cell>
        </row>
        <row r="905">
          <cell r="A905">
            <v>63905600</v>
          </cell>
          <cell r="C905">
            <v>9056</v>
          </cell>
          <cell r="D905" t="str">
            <v xml:space="preserve">VAT KIPBURGER BLOEMKOOL KAASSAUS AARDAP.     </v>
          </cell>
          <cell r="E905" t="str">
            <v>VAT</v>
          </cell>
          <cell r="F905" t="str">
            <v>40336300 OLAF 30 290MM</v>
          </cell>
          <cell r="G905" t="str">
            <v>C2227-2K evolve</v>
          </cell>
          <cell r="H905">
            <v>456</v>
          </cell>
          <cell r="I905">
            <v>0.5</v>
          </cell>
          <cell r="J905" t="str">
            <v>NVT</v>
          </cell>
          <cell r="K905" t="str">
            <v>VAT</v>
          </cell>
          <cell r="L905">
            <v>6</v>
          </cell>
          <cell r="M905" t="str">
            <v xml:space="preserve">VAT X 6 </v>
          </cell>
          <cell r="N905">
            <v>120</v>
          </cell>
          <cell r="O905">
            <v>8717568242019</v>
          </cell>
          <cell r="P905" t="str">
            <v>2T</v>
          </cell>
          <cell r="Q905">
            <v>3</v>
          </cell>
          <cell r="R905">
            <v>3</v>
          </cell>
          <cell r="S905" t="str">
            <v>AARDAPPELEN steamen D-0</v>
          </cell>
          <cell r="T905">
            <v>2000</v>
          </cell>
          <cell r="U905">
            <v>6</v>
          </cell>
          <cell r="V905">
            <v>2000</v>
          </cell>
          <cell r="W905">
            <v>6</v>
          </cell>
          <cell r="X905">
            <v>0</v>
          </cell>
          <cell r="Y905">
            <v>0</v>
          </cell>
          <cell r="Z905">
            <v>0</v>
          </cell>
          <cell r="AA905" t="str">
            <v>! ! !</v>
          </cell>
          <cell r="AC905">
            <v>0</v>
          </cell>
          <cell r="AE905" t="str">
            <v>x</v>
          </cell>
          <cell r="AG905">
            <v>40</v>
          </cell>
          <cell r="AJ905" t="str">
            <v>-</v>
          </cell>
          <cell r="AL905">
            <v>2400</v>
          </cell>
          <cell r="AM905">
            <v>2000</v>
          </cell>
          <cell r="AN905" t="e">
            <v>#VALUE!</v>
          </cell>
          <cell r="AO905" t="e">
            <v>#VALUE!</v>
          </cell>
          <cell r="AP905">
            <v>400</v>
          </cell>
        </row>
        <row r="906">
          <cell r="A906">
            <v>63906101</v>
          </cell>
          <cell r="C906">
            <v>103525</v>
          </cell>
          <cell r="D906" t="str">
            <v xml:space="preserve">VAT KL TAGLIATELLE ZALM GROENE ASPERGEPUNTEN         </v>
          </cell>
          <cell r="E906" t="str">
            <v>VAT</v>
          </cell>
          <cell r="F906" t="str">
            <v>40336300 OLAF 30 290MM</v>
          </cell>
          <cell r="G906" t="str">
            <v>C2227-1H evolve</v>
          </cell>
          <cell r="H906">
            <v>456</v>
          </cell>
          <cell r="I906">
            <v>0.35</v>
          </cell>
          <cell r="J906" t="str">
            <v>NVT</v>
          </cell>
          <cell r="K906" t="str">
            <v>VAT</v>
          </cell>
          <cell r="L906">
            <v>6</v>
          </cell>
          <cell r="M906" t="str">
            <v>VAT</v>
          </cell>
          <cell r="N906">
            <v>120</v>
          </cell>
          <cell r="O906">
            <v>8717568244570</v>
          </cell>
          <cell r="P906" t="str">
            <v>T-M-I</v>
          </cell>
          <cell r="Q906">
            <v>2.5</v>
          </cell>
          <cell r="R906">
            <v>3</v>
          </cell>
          <cell r="S906" t="str">
            <v>ZALMSNIPPERS D-1 ontdooien</v>
          </cell>
          <cell r="T906">
            <v>2200</v>
          </cell>
          <cell r="U906">
            <v>6</v>
          </cell>
          <cell r="V906">
            <v>2200</v>
          </cell>
          <cell r="W906">
            <v>6</v>
          </cell>
          <cell r="X906">
            <v>0</v>
          </cell>
          <cell r="Y906">
            <v>0</v>
          </cell>
          <cell r="Z906">
            <v>0</v>
          </cell>
          <cell r="AA906" t="str">
            <v>! ! ! !</v>
          </cell>
          <cell r="AC906">
            <v>0</v>
          </cell>
          <cell r="AG906">
            <v>45</v>
          </cell>
          <cell r="AJ906" t="str">
            <v>V-A</v>
          </cell>
          <cell r="AL906">
            <v>2700</v>
          </cell>
          <cell r="AM906">
            <v>2200</v>
          </cell>
          <cell r="AN906" t="e">
            <v>#VALUE!</v>
          </cell>
          <cell r="AO906" t="e">
            <v>#VALUE!</v>
          </cell>
          <cell r="AP906">
            <v>500</v>
          </cell>
        </row>
        <row r="907">
          <cell r="A907">
            <v>63906401</v>
          </cell>
          <cell r="C907">
            <v>103528</v>
          </cell>
          <cell r="D907" t="str">
            <v xml:space="preserve">VAT KL INDON.RIJSTTAFEL BABI KETJAP,SAMBAL BONEN     </v>
          </cell>
          <cell r="E907" t="str">
            <v>VAT</v>
          </cell>
          <cell r="F907" t="str">
            <v>40336300 OLAF 30 290MM</v>
          </cell>
          <cell r="G907" t="str">
            <v>C2227-3R evolve</v>
          </cell>
          <cell r="H907">
            <v>456</v>
          </cell>
          <cell r="I907">
            <v>0.35</v>
          </cell>
          <cell r="J907" t="str">
            <v>NVT</v>
          </cell>
          <cell r="K907" t="str">
            <v>VAT</v>
          </cell>
          <cell r="L907">
            <v>6</v>
          </cell>
          <cell r="M907" t="str">
            <v>VAT</v>
          </cell>
          <cell r="N907">
            <v>120</v>
          </cell>
          <cell r="O907">
            <v>8717568244600</v>
          </cell>
          <cell r="P907" t="str">
            <v>T-M-I</v>
          </cell>
          <cell r="Q907">
            <v>3</v>
          </cell>
          <cell r="R907">
            <v>3</v>
          </cell>
          <cell r="S907" t="str">
            <v>RIJST D-1</v>
          </cell>
          <cell r="T907">
            <v>2000</v>
          </cell>
          <cell r="U907">
            <v>9</v>
          </cell>
          <cell r="V907">
            <v>2000</v>
          </cell>
          <cell r="W907">
            <v>9</v>
          </cell>
          <cell r="X907">
            <v>0</v>
          </cell>
          <cell r="Y907">
            <v>0</v>
          </cell>
          <cell r="Z907">
            <v>0</v>
          </cell>
          <cell r="AA907" t="str">
            <v>! ! ! ! !</v>
          </cell>
          <cell r="AC907">
            <v>0</v>
          </cell>
          <cell r="AJ907" t="str">
            <v>V-A</v>
          </cell>
          <cell r="AL907">
            <v>0</v>
          </cell>
          <cell r="AM907">
            <v>2000</v>
          </cell>
          <cell r="AN907" t="e">
            <v>#VALUE!</v>
          </cell>
          <cell r="AO907" t="e">
            <v>#VALUE!</v>
          </cell>
          <cell r="AP907">
            <v>-2000</v>
          </cell>
        </row>
        <row r="908">
          <cell r="A908">
            <v>63908600</v>
          </cell>
          <cell r="C908">
            <v>9086</v>
          </cell>
          <cell r="D908" t="str">
            <v>VAT KIPNUGGETS KERRIESAUS GEBAKKEN AARD KUBUS GEKRUID</v>
          </cell>
          <cell r="E908" t="str">
            <v>VAT</v>
          </cell>
          <cell r="F908" t="str">
            <v>40336300 OLAF 30 290MM</v>
          </cell>
          <cell r="G908" t="str">
            <v>C2227-2K evolve</v>
          </cell>
          <cell r="H908">
            <v>456</v>
          </cell>
          <cell r="I908">
            <v>0.45</v>
          </cell>
          <cell r="J908" t="str">
            <v>NVT</v>
          </cell>
          <cell r="K908" t="str">
            <v>VAT</v>
          </cell>
          <cell r="L908">
            <v>6</v>
          </cell>
          <cell r="M908" t="str">
            <v xml:space="preserve">VAT X 6 </v>
          </cell>
          <cell r="N908">
            <v>120</v>
          </cell>
          <cell r="O908">
            <v>8717568242637</v>
          </cell>
          <cell r="P908" t="str">
            <v>I-T</v>
          </cell>
          <cell r="Q908">
            <v>1</v>
          </cell>
          <cell r="R908">
            <v>3</v>
          </cell>
          <cell r="T908">
            <v>2000</v>
          </cell>
          <cell r="U908">
            <v>4</v>
          </cell>
          <cell r="V908">
            <v>2000</v>
          </cell>
          <cell r="W908">
            <v>4</v>
          </cell>
          <cell r="X908">
            <v>0</v>
          </cell>
          <cell r="Y908">
            <v>0</v>
          </cell>
          <cell r="Z908">
            <v>0</v>
          </cell>
          <cell r="AA908" t="str">
            <v>! ! !</v>
          </cell>
          <cell r="AC908">
            <v>0</v>
          </cell>
          <cell r="AE908" t="str">
            <v>x</v>
          </cell>
          <cell r="AG908">
            <v>43</v>
          </cell>
          <cell r="AJ908" t="str">
            <v>V-A</v>
          </cell>
          <cell r="AL908">
            <v>2580</v>
          </cell>
          <cell r="AM908">
            <v>2000</v>
          </cell>
          <cell r="AN908" t="e">
            <v>#VALUE!</v>
          </cell>
          <cell r="AO908" t="e">
            <v>#VALUE!</v>
          </cell>
          <cell r="AP908">
            <v>580</v>
          </cell>
        </row>
        <row r="909">
          <cell r="A909">
            <v>63908601</v>
          </cell>
          <cell r="C909">
            <v>103505</v>
          </cell>
          <cell r="D909" t="str">
            <v>VAT KL KIPNUGGETS KERRIESAUS GEBAKKEN AARD KUBUS GEKRUID</v>
          </cell>
          <cell r="E909" t="str">
            <v>VAT</v>
          </cell>
          <cell r="F909" t="str">
            <v>40336300 OLAF 30 290MM</v>
          </cell>
          <cell r="G909" t="str">
            <v>C2227-2K evolve</v>
          </cell>
          <cell r="H909">
            <v>456</v>
          </cell>
          <cell r="I909">
            <v>0.35</v>
          </cell>
          <cell r="J909" t="str">
            <v>NVT</v>
          </cell>
          <cell r="K909" t="str">
            <v>VAT</v>
          </cell>
          <cell r="L909">
            <v>6</v>
          </cell>
          <cell r="M909" t="str">
            <v>VAT</v>
          </cell>
          <cell r="N909">
            <v>120</v>
          </cell>
          <cell r="O909">
            <v>8717568244372</v>
          </cell>
          <cell r="P909" t="str">
            <v>I-T</v>
          </cell>
          <cell r="Q909">
            <v>1</v>
          </cell>
          <cell r="R909">
            <v>3</v>
          </cell>
          <cell r="S909" t="str">
            <v>OLAF-foliA</v>
          </cell>
          <cell r="T909">
            <v>2000</v>
          </cell>
          <cell r="U909">
            <v>5</v>
          </cell>
          <cell r="V909">
            <v>2000</v>
          </cell>
          <cell r="W909">
            <v>5</v>
          </cell>
          <cell r="X909">
            <v>0</v>
          </cell>
          <cell r="Y909">
            <v>0</v>
          </cell>
          <cell r="Z909">
            <v>0</v>
          </cell>
          <cell r="AA909" t="str">
            <v>! ! !</v>
          </cell>
          <cell r="AC909">
            <v>0</v>
          </cell>
          <cell r="AG909">
            <v>43</v>
          </cell>
          <cell r="AJ909" t="str">
            <v>V-A</v>
          </cell>
          <cell r="AL909">
            <v>2580</v>
          </cell>
          <cell r="AM909">
            <v>2000</v>
          </cell>
          <cell r="AN909" t="e">
            <v>#VALUE!</v>
          </cell>
          <cell r="AO909" t="e">
            <v>#VALUE!</v>
          </cell>
          <cell r="AP909">
            <v>580</v>
          </cell>
        </row>
        <row r="910">
          <cell r="A910">
            <v>63908700</v>
          </cell>
          <cell r="C910">
            <v>9087</v>
          </cell>
          <cell r="D910" t="str">
            <v>VAT KEBAB KIP/KALKOEN/KALFS  KNOFLOOKSAUS PATAT</v>
          </cell>
          <cell r="E910" t="str">
            <v>VAT</v>
          </cell>
          <cell r="F910" t="str">
            <v>40336300 OLAF 30 290MM</v>
          </cell>
          <cell r="G910" t="str">
            <v>C2227-2K evolve</v>
          </cell>
          <cell r="H910">
            <v>456</v>
          </cell>
          <cell r="I910">
            <v>0.45</v>
          </cell>
          <cell r="J910" t="str">
            <v>NVT</v>
          </cell>
          <cell r="K910" t="str">
            <v>VAT</v>
          </cell>
          <cell r="L910">
            <v>6</v>
          </cell>
          <cell r="M910" t="str">
            <v xml:space="preserve">VAT X 6 </v>
          </cell>
          <cell r="N910">
            <v>120</v>
          </cell>
          <cell r="O910">
            <v>8717568242644</v>
          </cell>
          <cell r="P910" t="str">
            <v>I-T</v>
          </cell>
          <cell r="Q910">
            <v>1</v>
          </cell>
          <cell r="R910">
            <v>3</v>
          </cell>
          <cell r="T910">
            <v>1750</v>
          </cell>
          <cell r="U910">
            <v>6</v>
          </cell>
          <cell r="V910">
            <v>1750</v>
          </cell>
          <cell r="W910">
            <v>6</v>
          </cell>
          <cell r="X910">
            <v>0</v>
          </cell>
          <cell r="Y910">
            <v>0</v>
          </cell>
          <cell r="Z910">
            <v>0</v>
          </cell>
          <cell r="AA910" t="str">
            <v>! ! !</v>
          </cell>
          <cell r="AC910">
            <v>0</v>
          </cell>
          <cell r="AE910" t="str">
            <v>x</v>
          </cell>
          <cell r="AG910">
            <v>35</v>
          </cell>
          <cell r="AJ910" t="str">
            <v>-</v>
          </cell>
          <cell r="AL910">
            <v>2100</v>
          </cell>
          <cell r="AM910">
            <v>1750</v>
          </cell>
          <cell r="AN910" t="e">
            <v>#VALUE!</v>
          </cell>
          <cell r="AO910" t="e">
            <v>#VALUE!</v>
          </cell>
          <cell r="AP910">
            <v>350</v>
          </cell>
        </row>
        <row r="911">
          <cell r="A911">
            <v>63909500</v>
          </cell>
          <cell r="C911">
            <v>9095</v>
          </cell>
          <cell r="D911" t="str">
            <v>VAT HAMBURGER CURRY BABY WORTEL KRIEL 550G</v>
          </cell>
          <cell r="E911" t="str">
            <v>VAT</v>
          </cell>
          <cell r="F911" t="str">
            <v>40336300 OLAF 30 290MM</v>
          </cell>
          <cell r="G911" t="str">
            <v>C2227-3R evolve</v>
          </cell>
          <cell r="H911">
            <v>456</v>
          </cell>
          <cell r="I911">
            <v>0.55000000000000004</v>
          </cell>
          <cell r="J911" t="str">
            <v>NVT</v>
          </cell>
          <cell r="K911" t="str">
            <v>VAT</v>
          </cell>
          <cell r="L911">
            <v>6</v>
          </cell>
          <cell r="M911" t="str">
            <v xml:space="preserve">VAT X 6 </v>
          </cell>
          <cell r="N911">
            <v>120</v>
          </cell>
          <cell r="O911">
            <v>8717568242675</v>
          </cell>
          <cell r="P911" t="str">
            <v>T</v>
          </cell>
          <cell r="Q911">
            <v>2</v>
          </cell>
          <cell r="R911">
            <v>3</v>
          </cell>
          <cell r="T911">
            <v>2000</v>
          </cell>
          <cell r="U911">
            <v>6</v>
          </cell>
          <cell r="V911">
            <v>2000</v>
          </cell>
          <cell r="W911">
            <v>6</v>
          </cell>
          <cell r="X911">
            <v>0</v>
          </cell>
          <cell r="Y911">
            <v>0</v>
          </cell>
          <cell r="Z911">
            <v>0</v>
          </cell>
          <cell r="AA911" t="str">
            <v>! ! !</v>
          </cell>
          <cell r="AC911">
            <v>0</v>
          </cell>
          <cell r="AG911">
            <v>43</v>
          </cell>
          <cell r="AJ911" t="str">
            <v>V-A</v>
          </cell>
          <cell r="AL911">
            <v>2580</v>
          </cell>
          <cell r="AM911">
            <v>2000</v>
          </cell>
          <cell r="AN911" t="e">
            <v>#VALUE!</v>
          </cell>
          <cell r="AO911" t="e">
            <v>#VALUE!</v>
          </cell>
          <cell r="AP911">
            <v>580</v>
          </cell>
        </row>
        <row r="912">
          <cell r="A912">
            <v>63910101</v>
          </cell>
          <cell r="C912">
            <v>103501</v>
          </cell>
          <cell r="D912" t="str">
            <v>VAT KL GEHAKTBAL BLADSPIN. A LA CREME AARD</v>
          </cell>
          <cell r="E912" t="str">
            <v>VAT</v>
          </cell>
          <cell r="F912" t="str">
            <v>40336300 OLAF 30 290MM</v>
          </cell>
          <cell r="G912" t="str">
            <v>C2227-3R evolve</v>
          </cell>
          <cell r="H912">
            <v>456</v>
          </cell>
          <cell r="I912">
            <v>0.36499999999999999</v>
          </cell>
          <cell r="J912" t="str">
            <v>NVT</v>
          </cell>
          <cell r="K912" t="str">
            <v>VAT</v>
          </cell>
          <cell r="L912">
            <v>6</v>
          </cell>
          <cell r="M912" t="str">
            <v>VAT</v>
          </cell>
          <cell r="N912">
            <v>120</v>
          </cell>
          <cell r="O912">
            <v>8717568244334</v>
          </cell>
          <cell r="P912" t="str">
            <v>2T</v>
          </cell>
          <cell r="Q912">
            <v>2.5</v>
          </cell>
          <cell r="R912">
            <v>3</v>
          </cell>
          <cell r="S912" t="str">
            <v>AARDAPPELEN steamen D-0</v>
          </cell>
          <cell r="T912">
            <v>2200</v>
          </cell>
          <cell r="U912">
            <v>4</v>
          </cell>
          <cell r="V912">
            <v>2200</v>
          </cell>
          <cell r="W912">
            <v>4</v>
          </cell>
          <cell r="X912">
            <v>0</v>
          </cell>
          <cell r="Y912">
            <v>0</v>
          </cell>
          <cell r="Z912">
            <v>0</v>
          </cell>
          <cell r="AA912" t="str">
            <v>! !</v>
          </cell>
          <cell r="AC912">
            <v>3.5000000000000003E-2</v>
          </cell>
          <cell r="AG912">
            <v>45</v>
          </cell>
          <cell r="AJ912" t="str">
            <v>V-A</v>
          </cell>
          <cell r="AL912">
            <v>2700</v>
          </cell>
          <cell r="AM912">
            <v>2200</v>
          </cell>
          <cell r="AN912" t="e">
            <v>#VALUE!</v>
          </cell>
          <cell r="AO912" t="e">
            <v>#VALUE!</v>
          </cell>
          <cell r="AP912">
            <v>500</v>
          </cell>
        </row>
        <row r="913">
          <cell r="A913">
            <v>63910701</v>
          </cell>
          <cell r="C913">
            <v>103523</v>
          </cell>
          <cell r="D913" t="str">
            <v>VAT KL GESTOOFDE VIS HOLLANDAISE BROCCOLI PUREE</v>
          </cell>
          <cell r="E913" t="str">
            <v>VAT</v>
          </cell>
          <cell r="F913" t="str">
            <v>40336300 OLAF 30 290MM</v>
          </cell>
          <cell r="G913" t="str">
            <v>C2227-2K evolve</v>
          </cell>
          <cell r="H913">
            <v>456</v>
          </cell>
          <cell r="I913">
            <v>0.36499999999999999</v>
          </cell>
          <cell r="J913" t="str">
            <v>NVT</v>
          </cell>
          <cell r="K913" t="str">
            <v>VAT</v>
          </cell>
          <cell r="L913">
            <v>6</v>
          </cell>
          <cell r="M913" t="str">
            <v>VAT</v>
          </cell>
          <cell r="N913">
            <v>120</v>
          </cell>
          <cell r="O913">
            <v>8717568244556</v>
          </cell>
          <cell r="P913" t="str">
            <v>T-H</v>
          </cell>
          <cell r="Q913">
            <v>2.5</v>
          </cell>
          <cell r="R913">
            <v>3</v>
          </cell>
          <cell r="S913" t="str">
            <v>OLAF-foliA</v>
          </cell>
          <cell r="T913">
            <v>1750</v>
          </cell>
          <cell r="U913">
            <v>4</v>
          </cell>
          <cell r="V913">
            <v>1750</v>
          </cell>
          <cell r="W913">
            <v>4</v>
          </cell>
          <cell r="X913">
            <v>0</v>
          </cell>
          <cell r="Y913">
            <v>0</v>
          </cell>
          <cell r="Z913">
            <v>0</v>
          </cell>
          <cell r="AA913" t="str">
            <v>! ! ! !</v>
          </cell>
          <cell r="AC913">
            <v>0</v>
          </cell>
          <cell r="AG913">
            <v>35</v>
          </cell>
          <cell r="AJ913" t="str">
            <v>V-A</v>
          </cell>
          <cell r="AL913">
            <v>2100</v>
          </cell>
          <cell r="AM913">
            <v>1750</v>
          </cell>
          <cell r="AN913" t="e">
            <v>#VALUE!</v>
          </cell>
          <cell r="AO913" t="e">
            <v>#VALUE!</v>
          </cell>
          <cell r="AP913">
            <v>350</v>
          </cell>
        </row>
        <row r="914">
          <cell r="A914">
            <v>63911000</v>
          </cell>
          <cell r="C914">
            <v>9110</v>
          </cell>
          <cell r="D914" t="str">
            <v>VAT ANDIJVIESTAMPPOT GEHAKTBAL</v>
          </cell>
          <cell r="E914" t="str">
            <v>VAT</v>
          </cell>
          <cell r="F914" t="str">
            <v>40336300 OLAF 30 290MM</v>
          </cell>
          <cell r="G914" t="str">
            <v>C2227-2K evolve</v>
          </cell>
          <cell r="H914">
            <v>456</v>
          </cell>
          <cell r="I914">
            <v>0.5</v>
          </cell>
          <cell r="J914" t="str">
            <v>NVT</v>
          </cell>
          <cell r="K914" t="str">
            <v>VAT</v>
          </cell>
          <cell r="L914">
            <v>6</v>
          </cell>
          <cell r="M914" t="str">
            <v xml:space="preserve">VAT X 6 </v>
          </cell>
          <cell r="N914">
            <v>120</v>
          </cell>
          <cell r="O914">
            <v>8717568240688</v>
          </cell>
          <cell r="P914" t="str">
            <v>H-T</v>
          </cell>
          <cell r="Q914">
            <v>2.5</v>
          </cell>
          <cell r="R914">
            <v>3</v>
          </cell>
          <cell r="T914">
            <v>2200</v>
          </cell>
          <cell r="U914">
            <v>2</v>
          </cell>
          <cell r="V914">
            <v>2200</v>
          </cell>
          <cell r="W914">
            <v>2</v>
          </cell>
          <cell r="X914">
            <v>0</v>
          </cell>
          <cell r="Y914">
            <v>0</v>
          </cell>
          <cell r="Z914">
            <v>0</v>
          </cell>
          <cell r="AA914" t="str">
            <v>! ! !</v>
          </cell>
          <cell r="AC914">
            <v>0</v>
          </cell>
          <cell r="AG914">
            <v>45</v>
          </cell>
          <cell r="AJ914" t="str">
            <v>V-A</v>
          </cell>
          <cell r="AL914">
            <v>2700</v>
          </cell>
          <cell r="AM914">
            <v>2200</v>
          </cell>
          <cell r="AN914" t="e">
            <v>#VALUE!</v>
          </cell>
          <cell r="AO914" t="e">
            <v>#VALUE!</v>
          </cell>
          <cell r="AP914">
            <v>500</v>
          </cell>
        </row>
        <row r="915">
          <cell r="A915">
            <v>63911101</v>
          </cell>
          <cell r="C915">
            <v>103517</v>
          </cell>
          <cell r="D915" t="str">
            <v>VAT KL HETE BLIKSEM BRAADWORST</v>
          </cell>
          <cell r="E915" t="str">
            <v>VAT</v>
          </cell>
          <cell r="F915" t="str">
            <v>40336300 OLAF 30 290MM</v>
          </cell>
          <cell r="G915" t="str">
            <v>C2227-2K evolve</v>
          </cell>
          <cell r="H915">
            <v>456</v>
          </cell>
          <cell r="I915">
            <v>0.4</v>
          </cell>
          <cell r="J915" t="str">
            <v>NVT</v>
          </cell>
          <cell r="K915" t="str">
            <v>VAT</v>
          </cell>
          <cell r="L915">
            <v>6</v>
          </cell>
          <cell r="M915" t="str">
            <v>VAT</v>
          </cell>
          <cell r="N915">
            <v>120</v>
          </cell>
          <cell r="O915">
            <v>8717568244495</v>
          </cell>
          <cell r="P915" t="str">
            <v>H-T</v>
          </cell>
          <cell r="Q915">
            <v>2</v>
          </cell>
          <cell r="R915">
            <v>3</v>
          </cell>
          <cell r="S915" t="str">
            <v>OLAF-foliA</v>
          </cell>
          <cell r="T915">
            <v>2000</v>
          </cell>
          <cell r="U915">
            <v>2</v>
          </cell>
          <cell r="V915">
            <v>2000</v>
          </cell>
          <cell r="W915">
            <v>2</v>
          </cell>
          <cell r="X915">
            <v>0</v>
          </cell>
          <cell r="Y915">
            <v>0</v>
          </cell>
          <cell r="Z915">
            <v>0</v>
          </cell>
          <cell r="AA915" t="str">
            <v>! ! !</v>
          </cell>
          <cell r="AC915">
            <v>4.1176470588235294E-2</v>
          </cell>
          <cell r="AG915">
            <v>42</v>
          </cell>
          <cell r="AJ915" t="str">
            <v>V-A</v>
          </cell>
          <cell r="AL915">
            <v>2520</v>
          </cell>
          <cell r="AM915">
            <v>2000</v>
          </cell>
          <cell r="AN915" t="e">
            <v>#VALUE!</v>
          </cell>
          <cell r="AO915" t="e">
            <v>#VALUE!</v>
          </cell>
          <cell r="AP915">
            <v>520</v>
          </cell>
        </row>
        <row r="916">
          <cell r="A916">
            <v>63911300</v>
          </cell>
          <cell r="C916">
            <v>9113</v>
          </cell>
          <cell r="D916" t="str">
            <v>VAT SPARERIBS BBQ ERWT WORTEL GEBAKKEN AARD</v>
          </cell>
          <cell r="E916" t="str">
            <v>VAT</v>
          </cell>
          <cell r="F916" t="str">
            <v>40336300 OLAF 30 290MM</v>
          </cell>
          <cell r="G916" t="str">
            <v>C2227-1H evolve</v>
          </cell>
          <cell r="H916">
            <v>456</v>
          </cell>
          <cell r="I916">
            <v>0.53</v>
          </cell>
          <cell r="J916" t="str">
            <v>NVT</v>
          </cell>
          <cell r="K916" t="str">
            <v>VAT</v>
          </cell>
          <cell r="L916">
            <v>6</v>
          </cell>
          <cell r="M916" t="str">
            <v xml:space="preserve">VAT X 6 </v>
          </cell>
          <cell r="N916">
            <v>120</v>
          </cell>
          <cell r="O916">
            <v>8717568242934</v>
          </cell>
          <cell r="P916" t="str">
            <v>T-I</v>
          </cell>
          <cell r="Q916">
            <v>2</v>
          </cell>
          <cell r="R916">
            <v>3</v>
          </cell>
          <cell r="T916">
            <v>1750</v>
          </cell>
          <cell r="U916">
            <v>7</v>
          </cell>
          <cell r="V916">
            <v>1750</v>
          </cell>
          <cell r="W916">
            <v>7</v>
          </cell>
          <cell r="X916">
            <v>0</v>
          </cell>
          <cell r="Y916">
            <v>0</v>
          </cell>
          <cell r="Z916">
            <v>0</v>
          </cell>
          <cell r="AA916" t="str">
            <v>! ! ! !</v>
          </cell>
          <cell r="AC916">
            <v>0</v>
          </cell>
          <cell r="AG916">
            <v>35</v>
          </cell>
          <cell r="AJ916" t="str">
            <v>V-A</v>
          </cell>
          <cell r="AL916">
            <v>2100</v>
          </cell>
          <cell r="AM916">
            <v>1750</v>
          </cell>
          <cell r="AN916" t="e">
            <v>#VALUE!</v>
          </cell>
          <cell r="AO916" t="e">
            <v>#VALUE!</v>
          </cell>
          <cell r="AP916">
            <v>350</v>
          </cell>
        </row>
        <row r="917">
          <cell r="A917">
            <v>63911501</v>
          </cell>
          <cell r="C917">
            <v>103515</v>
          </cell>
          <cell r="D917" t="str">
            <v>VAT KL VA GEBRAAD SAVOOIKOOL KOOKAARDAPPEL</v>
          </cell>
          <cell r="E917" t="str">
            <v>Vers aan Tafel</v>
          </cell>
          <cell r="F917" t="str">
            <v>40336300 OLAF 30 290MM</v>
          </cell>
          <cell r="G917" t="str">
            <v>C2227-3R evolve</v>
          </cell>
          <cell r="H917">
            <v>456</v>
          </cell>
          <cell r="I917">
            <v>0.35</v>
          </cell>
          <cell r="J917" t="str">
            <v>NVT</v>
          </cell>
          <cell r="K917" t="str">
            <v>VAT</v>
          </cell>
          <cell r="L917">
            <v>6</v>
          </cell>
          <cell r="M917" t="str">
            <v>VAT</v>
          </cell>
          <cell r="N917">
            <v>120</v>
          </cell>
          <cell r="O917">
            <v>8717568244471</v>
          </cell>
          <cell r="P917" t="str">
            <v>2T</v>
          </cell>
          <cell r="Q917">
            <v>2</v>
          </cell>
          <cell r="R917">
            <v>3</v>
          </cell>
          <cell r="S917" t="str">
            <v>AARDAPPELEN STEAMEN D-0</v>
          </cell>
          <cell r="T917">
            <v>2200</v>
          </cell>
          <cell r="U917">
            <v>5</v>
          </cell>
          <cell r="V917">
            <v>2200</v>
          </cell>
          <cell r="W917">
            <v>5</v>
          </cell>
          <cell r="X917">
            <v>0</v>
          </cell>
          <cell r="Y917">
            <v>0</v>
          </cell>
          <cell r="Z917">
            <v>0</v>
          </cell>
          <cell r="AA917" t="str">
            <v>! ! !</v>
          </cell>
          <cell r="AC917">
            <v>3.5000000000000003E-2</v>
          </cell>
          <cell r="AG917">
            <v>45</v>
          </cell>
          <cell r="AJ917" t="str">
            <v>V-A</v>
          </cell>
          <cell r="AL917">
            <v>2700</v>
          </cell>
          <cell r="AM917">
            <v>2200</v>
          </cell>
          <cell r="AN917" t="e">
            <v>#VALUE!</v>
          </cell>
          <cell r="AO917" t="e">
            <v>#VALUE!</v>
          </cell>
          <cell r="AP917">
            <v>500</v>
          </cell>
        </row>
        <row r="918">
          <cell r="A918">
            <v>63912001</v>
          </cell>
          <cell r="C918">
            <v>103527</v>
          </cell>
          <cell r="D918" t="str">
            <v>VAT KL KIPPENRAGOUT WORTELTJES DOPERWTEN RIJST</v>
          </cell>
          <cell r="E918" t="str">
            <v>VAT</v>
          </cell>
          <cell r="F918" t="str">
            <v>40336300 OLAF 30 290MM</v>
          </cell>
          <cell r="G918" t="str">
            <v>C2227-3R evolve</v>
          </cell>
          <cell r="H918">
            <v>456</v>
          </cell>
          <cell r="I918">
            <v>0.35</v>
          </cell>
          <cell r="J918" t="str">
            <v>NVT</v>
          </cell>
          <cell r="K918" t="str">
            <v>VAT</v>
          </cell>
          <cell r="L918">
            <v>6</v>
          </cell>
          <cell r="M918" t="str">
            <v>VAT</v>
          </cell>
          <cell r="N918">
            <v>120</v>
          </cell>
          <cell r="O918">
            <v>8717568244594</v>
          </cell>
          <cell r="P918" t="str">
            <v>M-T</v>
          </cell>
          <cell r="Q918">
            <v>2</v>
          </cell>
          <cell r="R918">
            <v>3</v>
          </cell>
          <cell r="S918" t="str">
            <v>RIJST D-1</v>
          </cell>
          <cell r="T918">
            <v>2200</v>
          </cell>
          <cell r="U918">
            <v>5</v>
          </cell>
          <cell r="V918">
            <v>2200</v>
          </cell>
          <cell r="W918">
            <v>5</v>
          </cell>
          <cell r="X918">
            <v>0</v>
          </cell>
          <cell r="Y918">
            <v>0</v>
          </cell>
          <cell r="Z918">
            <v>0</v>
          </cell>
          <cell r="AA918" t="str">
            <v>! ! !</v>
          </cell>
          <cell r="AC918">
            <v>0</v>
          </cell>
          <cell r="AG918">
            <v>45</v>
          </cell>
          <cell r="AJ918" t="str">
            <v>-</v>
          </cell>
          <cell r="AL918">
            <v>2700</v>
          </cell>
          <cell r="AM918">
            <v>2200</v>
          </cell>
          <cell r="AN918" t="e">
            <v>#VALUE!</v>
          </cell>
          <cell r="AO918" t="e">
            <v>#VALUE!</v>
          </cell>
          <cell r="AP918">
            <v>500</v>
          </cell>
        </row>
        <row r="919">
          <cell r="A919">
            <v>63912101</v>
          </cell>
          <cell r="C919">
            <v>103518</v>
          </cell>
          <cell r="D919" t="str">
            <v>VAT KL BRAADWORST SPRUITEN AARDAPPELPUREE</v>
          </cell>
          <cell r="E919" t="str">
            <v>VAT</v>
          </cell>
          <cell r="F919" t="str">
            <v>40336300 OLAF 30 290MM</v>
          </cell>
          <cell r="G919" t="str">
            <v>C2227-3R evolve</v>
          </cell>
          <cell r="H919">
            <v>456</v>
          </cell>
          <cell r="I919">
            <v>0.36499999999999999</v>
          </cell>
          <cell r="J919" t="str">
            <v>NVT</v>
          </cell>
          <cell r="K919" t="str">
            <v>VAT</v>
          </cell>
          <cell r="L919">
            <v>6</v>
          </cell>
          <cell r="M919" t="str">
            <v>VAT</v>
          </cell>
          <cell r="N919">
            <v>120</v>
          </cell>
          <cell r="O919">
            <v>8717568244501</v>
          </cell>
          <cell r="P919" t="str">
            <v>H-T</v>
          </cell>
          <cell r="Q919">
            <v>3</v>
          </cell>
          <cell r="R919">
            <v>3</v>
          </cell>
          <cell r="S919" t="str">
            <v>OLAF-foliA</v>
          </cell>
          <cell r="T919">
            <v>2200</v>
          </cell>
          <cell r="U919">
            <v>4</v>
          </cell>
          <cell r="V919">
            <v>2200</v>
          </cell>
          <cell r="W919">
            <v>4</v>
          </cell>
          <cell r="X919">
            <v>0</v>
          </cell>
          <cell r="Y919">
            <v>0</v>
          </cell>
          <cell r="Z919">
            <v>0</v>
          </cell>
          <cell r="AA919" t="str">
            <v>! !</v>
          </cell>
          <cell r="AC919">
            <v>4.1176470588235294E-2</v>
          </cell>
          <cell r="AG919">
            <v>45</v>
          </cell>
          <cell r="AJ919" t="str">
            <v>V-A</v>
          </cell>
          <cell r="AL919">
            <v>2700</v>
          </cell>
          <cell r="AM919">
            <v>2200</v>
          </cell>
          <cell r="AN919" t="e">
            <v>#VALUE!</v>
          </cell>
          <cell r="AO919" t="e">
            <v>#VALUE!</v>
          </cell>
          <cell r="AP919">
            <v>500</v>
          </cell>
        </row>
        <row r="920">
          <cell r="A920">
            <v>63912401</v>
          </cell>
          <cell r="C920">
            <v>103514</v>
          </cell>
          <cell r="D920" t="str">
            <v>VAT KL RODE KOOL STAMPPOT MET GEHAKTBALLETJES</v>
          </cell>
          <cell r="E920" t="str">
            <v>VAT</v>
          </cell>
          <cell r="F920" t="str">
            <v>40336300 OLAF 30 290MM</v>
          </cell>
          <cell r="G920" t="str">
            <v>C2227-2K evolve</v>
          </cell>
          <cell r="H920">
            <v>456</v>
          </cell>
          <cell r="I920">
            <v>0.4</v>
          </cell>
          <cell r="J920" t="str">
            <v>NVT</v>
          </cell>
          <cell r="K920" t="str">
            <v>VAT</v>
          </cell>
          <cell r="L920">
            <v>6</v>
          </cell>
          <cell r="M920" t="str">
            <v>VAT</v>
          </cell>
          <cell r="N920">
            <v>120</v>
          </cell>
          <cell r="O920">
            <v>8717568244464</v>
          </cell>
          <cell r="P920" t="str">
            <v>H-T</v>
          </cell>
          <cell r="Q920">
            <v>3</v>
          </cell>
          <cell r="R920">
            <v>3</v>
          </cell>
          <cell r="S920" t="str">
            <v>OLAF-foliA</v>
          </cell>
          <cell r="T920">
            <v>2200</v>
          </cell>
          <cell r="U920">
            <v>3</v>
          </cell>
          <cell r="V920">
            <v>2200</v>
          </cell>
          <cell r="W920">
            <v>3</v>
          </cell>
          <cell r="X920">
            <v>0</v>
          </cell>
          <cell r="Y920">
            <v>0</v>
          </cell>
          <cell r="Z920">
            <v>0</v>
          </cell>
          <cell r="AA920" t="str">
            <v>! !</v>
          </cell>
          <cell r="AC920">
            <v>0</v>
          </cell>
          <cell r="AG920">
            <v>45</v>
          </cell>
          <cell r="AJ920" t="str">
            <v>V-A</v>
          </cell>
          <cell r="AL920">
            <v>2700</v>
          </cell>
          <cell r="AM920">
            <v>2200</v>
          </cell>
          <cell r="AN920" t="e">
            <v>#VALUE!</v>
          </cell>
          <cell r="AO920" t="e">
            <v>#VALUE!</v>
          </cell>
          <cell r="AP920">
            <v>500</v>
          </cell>
        </row>
        <row r="921">
          <cell r="A921">
            <v>63913001</v>
          </cell>
          <cell r="C921">
            <v>103529</v>
          </cell>
          <cell r="D921" t="str">
            <v xml:space="preserve">VAT KL RUNDERLAPJE SNIJBONEN PUREE </v>
          </cell>
          <cell r="E921" t="str">
            <v>VAT</v>
          </cell>
          <cell r="F921" t="str">
            <v>40336300 OLAF 30 290MM</v>
          </cell>
          <cell r="G921" t="str">
            <v>C2227-3R evolve</v>
          </cell>
          <cell r="H921">
            <v>456</v>
          </cell>
          <cell r="I921">
            <v>0.36499999999999999</v>
          </cell>
          <cell r="J921" t="str">
            <v>NVT</v>
          </cell>
          <cell r="K921" t="str">
            <v>VAT</v>
          </cell>
          <cell r="L921">
            <v>6</v>
          </cell>
          <cell r="M921" t="str">
            <v>VAT</v>
          </cell>
          <cell r="N921">
            <v>120</v>
          </cell>
          <cell r="O921">
            <v>8717568244815</v>
          </cell>
          <cell r="P921" t="str">
            <v>H-T</v>
          </cell>
          <cell r="Q921">
            <v>2.5</v>
          </cell>
          <cell r="R921">
            <v>3</v>
          </cell>
          <cell r="S921" t="str">
            <v>OLAF-foliA</v>
          </cell>
          <cell r="T921">
            <v>2000</v>
          </cell>
          <cell r="U921">
            <v>4</v>
          </cell>
          <cell r="V921">
            <v>2000</v>
          </cell>
          <cell r="W921">
            <v>4</v>
          </cell>
          <cell r="X921">
            <v>0</v>
          </cell>
          <cell r="Y921">
            <v>0</v>
          </cell>
          <cell r="Z921">
            <v>0</v>
          </cell>
          <cell r="AA921" t="str">
            <v>! !</v>
          </cell>
          <cell r="AC921">
            <v>0</v>
          </cell>
          <cell r="AG921">
            <v>42</v>
          </cell>
          <cell r="AJ921" t="str">
            <v>-</v>
          </cell>
          <cell r="AL921">
            <v>2520</v>
          </cell>
          <cell r="AM921">
            <v>2000</v>
          </cell>
          <cell r="AN921" t="e">
            <v>#VALUE!</v>
          </cell>
          <cell r="AO921" t="e">
            <v>#VALUE!</v>
          </cell>
          <cell r="AP921">
            <v>520</v>
          </cell>
        </row>
        <row r="922">
          <cell r="A922">
            <v>63913300</v>
          </cell>
          <cell r="C922">
            <v>9133</v>
          </cell>
          <cell r="D922" t="str">
            <v>VAT VARKENSFILET WITTE BONEN TOMATENSAUS AARDAPPEL</v>
          </cell>
          <cell r="E922" t="str">
            <v>VAT</v>
          </cell>
          <cell r="F922" t="str">
            <v>40336300 OLAF 30 290MM</v>
          </cell>
          <cell r="G922" t="str">
            <v>C2227-3R evolve</v>
          </cell>
          <cell r="H922">
            <v>456</v>
          </cell>
          <cell r="I922">
            <v>0.5</v>
          </cell>
          <cell r="J922" t="str">
            <v>NVT</v>
          </cell>
          <cell r="K922" t="str">
            <v>VAT</v>
          </cell>
          <cell r="L922">
            <v>6</v>
          </cell>
          <cell r="M922" t="str">
            <v xml:space="preserve">VAT X 6 </v>
          </cell>
          <cell r="N922">
            <v>120</v>
          </cell>
          <cell r="O922">
            <v>8717568244778</v>
          </cell>
          <cell r="P922" t="str">
            <v>2T</v>
          </cell>
          <cell r="Q922">
            <v>2</v>
          </cell>
          <cell r="R922">
            <v>3</v>
          </cell>
          <cell r="S922" t="str">
            <v>AARDAPPELEN steamen D-0</v>
          </cell>
          <cell r="T922">
            <v>2200</v>
          </cell>
          <cell r="U922">
            <v>5</v>
          </cell>
          <cell r="V922">
            <v>2200</v>
          </cell>
          <cell r="W922">
            <v>5</v>
          </cell>
          <cell r="X922">
            <v>0</v>
          </cell>
          <cell r="Y922">
            <v>0</v>
          </cell>
          <cell r="Z922">
            <v>0</v>
          </cell>
          <cell r="AA922" t="str">
            <v>! ! !</v>
          </cell>
          <cell r="AC922">
            <v>0</v>
          </cell>
          <cell r="AG922">
            <v>45</v>
          </cell>
          <cell r="AJ922" t="str">
            <v>V-A</v>
          </cell>
          <cell r="AL922">
            <v>2700</v>
          </cell>
          <cell r="AM922">
            <v>2200</v>
          </cell>
          <cell r="AN922" t="e">
            <v>#VALUE!</v>
          </cell>
          <cell r="AO922" t="e">
            <v>#VALUE!</v>
          </cell>
          <cell r="AP922">
            <v>500</v>
          </cell>
        </row>
        <row r="923">
          <cell r="A923">
            <v>63913500</v>
          </cell>
          <cell r="C923">
            <v>9135</v>
          </cell>
          <cell r="D923" t="str">
            <v>VAT STOOFVLEES MET FRIET</v>
          </cell>
          <cell r="E923" t="str">
            <v>VAT</v>
          </cell>
          <cell r="F923" t="str">
            <v>40336300 OLAF 30 290MM</v>
          </cell>
          <cell r="G923" t="str">
            <v>C2227-1H evolve</v>
          </cell>
          <cell r="H923">
            <v>456</v>
          </cell>
          <cell r="I923">
            <v>0.5</v>
          </cell>
          <cell r="J923" t="str">
            <v>NVT</v>
          </cell>
          <cell r="K923" t="str">
            <v>VAT</v>
          </cell>
          <cell r="L923">
            <v>6</v>
          </cell>
          <cell r="M923" t="str">
            <v xml:space="preserve">VAT X 6 </v>
          </cell>
          <cell r="N923">
            <v>120</v>
          </cell>
          <cell r="O923">
            <v>8717568240923</v>
          </cell>
          <cell r="P923" t="str">
            <v>I-T</v>
          </cell>
          <cell r="Q923">
            <v>1</v>
          </cell>
          <cell r="R923">
            <v>3</v>
          </cell>
          <cell r="S923" t="str">
            <v>Pulled beef tussen D-4 en D-2</v>
          </cell>
          <cell r="T923">
            <v>2000</v>
          </cell>
          <cell r="U923">
            <v>5</v>
          </cell>
          <cell r="V923">
            <v>2000</v>
          </cell>
          <cell r="W923">
            <v>5</v>
          </cell>
          <cell r="X923">
            <v>0</v>
          </cell>
          <cell r="Y923">
            <v>0</v>
          </cell>
          <cell r="Z923">
            <v>0</v>
          </cell>
          <cell r="AA923" t="str">
            <v>! ! !</v>
          </cell>
          <cell r="AC923">
            <v>0</v>
          </cell>
          <cell r="AG923">
            <v>40</v>
          </cell>
          <cell r="AJ923" t="str">
            <v>V-A</v>
          </cell>
          <cell r="AL923">
            <v>2400</v>
          </cell>
          <cell r="AM923">
            <v>2000</v>
          </cell>
          <cell r="AN923" t="e">
            <v>#VALUE!</v>
          </cell>
          <cell r="AO923" t="e">
            <v>#VALUE!</v>
          </cell>
          <cell r="AP923">
            <v>400</v>
          </cell>
        </row>
        <row r="924">
          <cell r="A924">
            <v>63914101</v>
          </cell>
          <cell r="C924">
            <v>103524</v>
          </cell>
          <cell r="D924" t="str">
            <v xml:space="preserve">VAT KL ZALMFILET ASC DILLESAUS WORTEL PUREE        </v>
          </cell>
          <cell r="E924" t="str">
            <v>VAT</v>
          </cell>
          <cell r="F924" t="str">
            <v>40336300 OLAF 30 290MM</v>
          </cell>
          <cell r="G924" t="str">
            <v>C2227-3R evolve</v>
          </cell>
          <cell r="H924">
            <v>456</v>
          </cell>
          <cell r="I924">
            <v>0.35</v>
          </cell>
          <cell r="J924" t="str">
            <v>NVT</v>
          </cell>
          <cell r="K924" t="str">
            <v>VAT</v>
          </cell>
          <cell r="L924">
            <v>6</v>
          </cell>
          <cell r="M924" t="str">
            <v>VAT</v>
          </cell>
          <cell r="N924">
            <v>120</v>
          </cell>
          <cell r="O924">
            <v>8717568244563</v>
          </cell>
          <cell r="P924" t="str">
            <v>T-H</v>
          </cell>
          <cell r="Q924">
            <v>3</v>
          </cell>
          <cell r="R924">
            <v>3</v>
          </cell>
          <cell r="S924" t="str">
            <v>OLAF-foliA</v>
          </cell>
          <cell r="T924">
            <v>2200</v>
          </cell>
          <cell r="U924">
            <v>4</v>
          </cell>
          <cell r="V924">
            <v>2200</v>
          </cell>
          <cell r="W924">
            <v>4</v>
          </cell>
          <cell r="X924">
            <v>0</v>
          </cell>
          <cell r="Y924">
            <v>0</v>
          </cell>
          <cell r="Z924">
            <v>0</v>
          </cell>
          <cell r="AA924" t="str">
            <v>! ! ! !</v>
          </cell>
          <cell r="AC924">
            <v>0</v>
          </cell>
          <cell r="AG924">
            <v>45</v>
          </cell>
          <cell r="AJ924" t="str">
            <v>V-A</v>
          </cell>
          <cell r="AL924">
            <v>2700</v>
          </cell>
          <cell r="AM924">
            <v>2200</v>
          </cell>
          <cell r="AN924" t="e">
            <v>#VALUE!</v>
          </cell>
          <cell r="AO924" t="e">
            <v>#VALUE!</v>
          </cell>
          <cell r="AP924">
            <v>500</v>
          </cell>
        </row>
        <row r="925">
          <cell r="A925">
            <v>63914200</v>
          </cell>
          <cell r="C925">
            <v>9142</v>
          </cell>
          <cell r="D925" t="str">
            <v>VAT GEBAKKEN VIS MSC PARIJSE WORTEL AARD KUBUS GEKRUID</v>
          </cell>
          <cell r="E925" t="str">
            <v>VAT</v>
          </cell>
          <cell r="F925" t="str">
            <v>40336300 OLAF 30 290MM</v>
          </cell>
          <cell r="G925" t="str">
            <v>C2227-3R evolve</v>
          </cell>
          <cell r="H925">
            <v>456</v>
          </cell>
          <cell r="I925">
            <v>0.5</v>
          </cell>
          <cell r="J925" t="str">
            <v>NVT</v>
          </cell>
          <cell r="K925" t="str">
            <v>VAT</v>
          </cell>
          <cell r="L925">
            <v>6</v>
          </cell>
          <cell r="M925" t="str">
            <v xml:space="preserve">VAT X 6 </v>
          </cell>
          <cell r="N925">
            <v>120</v>
          </cell>
          <cell r="O925">
            <v>8717568242972</v>
          </cell>
          <cell r="P925" t="str">
            <v>I-T</v>
          </cell>
          <cell r="Q925">
            <v>2</v>
          </cell>
          <cell r="R925">
            <v>3</v>
          </cell>
          <cell r="T925">
            <v>2200</v>
          </cell>
          <cell r="U925">
            <v>6</v>
          </cell>
          <cell r="V925">
            <v>2200</v>
          </cell>
          <cell r="W925">
            <v>6</v>
          </cell>
          <cell r="X925">
            <v>0</v>
          </cell>
          <cell r="Y925">
            <v>0</v>
          </cell>
          <cell r="Z925">
            <v>0</v>
          </cell>
          <cell r="AA925" t="str">
            <v>! ! ! !</v>
          </cell>
          <cell r="AC925">
            <v>0</v>
          </cell>
          <cell r="AG925">
            <v>45</v>
          </cell>
          <cell r="AJ925" t="str">
            <v>V-A</v>
          </cell>
          <cell r="AL925">
            <v>2700</v>
          </cell>
          <cell r="AM925">
            <v>2200</v>
          </cell>
          <cell r="AN925" t="e">
            <v>#VALUE!</v>
          </cell>
          <cell r="AO925" t="e">
            <v>#VALUE!</v>
          </cell>
          <cell r="AP925">
            <v>500</v>
          </cell>
        </row>
        <row r="926">
          <cell r="A926">
            <v>63931100</v>
          </cell>
          <cell r="C926">
            <v>9311</v>
          </cell>
          <cell r="D926" t="str">
            <v>VAT KL HETE BLIKSEM BRAADWORST</v>
          </cell>
          <cell r="E926" t="str">
            <v>VAT</v>
          </cell>
          <cell r="F926" t="str">
            <v>40336300 OLAF 30 290MM</v>
          </cell>
          <cell r="G926" t="str">
            <v>C2227-2K evolve</v>
          </cell>
          <cell r="H926">
            <v>456</v>
          </cell>
          <cell r="I926">
            <v>0.4</v>
          </cell>
          <cell r="J926" t="str">
            <v>NVT</v>
          </cell>
          <cell r="K926" t="str">
            <v>VAT</v>
          </cell>
          <cell r="L926">
            <v>6</v>
          </cell>
          <cell r="M926" t="str">
            <v>VAT</v>
          </cell>
          <cell r="N926">
            <v>120</v>
          </cell>
          <cell r="O926">
            <v>8717568244495</v>
          </cell>
          <cell r="P926" t="str">
            <v>H-T</v>
          </cell>
          <cell r="Q926">
            <v>2</v>
          </cell>
          <cell r="R926">
            <v>3</v>
          </cell>
          <cell r="S926" t="str">
            <v>kl v 63911100</v>
          </cell>
          <cell r="T926">
            <v>2000</v>
          </cell>
          <cell r="U926">
            <v>2</v>
          </cell>
          <cell r="V926">
            <v>2000</v>
          </cell>
          <cell r="W926">
            <v>2</v>
          </cell>
          <cell r="X926">
            <v>0</v>
          </cell>
          <cell r="Y926">
            <v>0</v>
          </cell>
          <cell r="Z926">
            <v>0</v>
          </cell>
          <cell r="AA926" t="str">
            <v>! ! !</v>
          </cell>
          <cell r="AC926">
            <v>5.0441176470588232E-2</v>
          </cell>
          <cell r="AG926">
            <v>42</v>
          </cell>
          <cell r="AJ926" t="str">
            <v>V-A</v>
          </cell>
          <cell r="AL926">
            <v>2520</v>
          </cell>
          <cell r="AM926">
            <v>2000</v>
          </cell>
          <cell r="AN926" t="e">
            <v>#VALUE!</v>
          </cell>
          <cell r="AO926" t="e">
            <v>#VALUE!</v>
          </cell>
          <cell r="AP926">
            <v>520</v>
          </cell>
        </row>
        <row r="927">
          <cell r="A927">
            <v>63931300</v>
          </cell>
          <cell r="C927">
            <v>9313</v>
          </cell>
          <cell r="D927" t="str">
            <v xml:space="preserve">VAT KL ZUURKOOLSTAMPPOT SPEKJES  SCHIJFJES ROOKWORST </v>
          </cell>
          <cell r="E927" t="str">
            <v>VAT</v>
          </cell>
          <cell r="F927" t="str">
            <v>40336300 OLAF 30 290MM</v>
          </cell>
          <cell r="G927" t="str">
            <v>C2227-2K evolve</v>
          </cell>
          <cell r="H927">
            <v>365</v>
          </cell>
          <cell r="I927">
            <v>0.4</v>
          </cell>
          <cell r="J927" t="str">
            <v>NVT</v>
          </cell>
          <cell r="K927" t="str">
            <v>VAT</v>
          </cell>
          <cell r="L927">
            <v>6</v>
          </cell>
          <cell r="M927" t="str">
            <v>VAT</v>
          </cell>
          <cell r="N927">
            <v>120</v>
          </cell>
          <cell r="O927">
            <v>8717568244457</v>
          </cell>
          <cell r="P927" t="str">
            <v>H-T-I</v>
          </cell>
          <cell r="Q927">
            <v>2</v>
          </cell>
          <cell r="R927">
            <v>3</v>
          </cell>
          <cell r="S927" t="str">
            <v>kl v 63901300</v>
          </cell>
          <cell r="T927">
            <v>2200</v>
          </cell>
          <cell r="U927">
            <v>3</v>
          </cell>
          <cell r="V927">
            <v>2200</v>
          </cell>
          <cell r="W927">
            <v>3</v>
          </cell>
          <cell r="X927">
            <v>0</v>
          </cell>
          <cell r="Y927">
            <v>0</v>
          </cell>
          <cell r="Z927">
            <v>0</v>
          </cell>
          <cell r="AA927" t="str">
            <v>! !</v>
          </cell>
          <cell r="AC927">
            <v>0</v>
          </cell>
          <cell r="AG927">
            <v>45</v>
          </cell>
          <cell r="AJ927" t="str">
            <v>V-A</v>
          </cell>
          <cell r="AL927">
            <v>2700</v>
          </cell>
          <cell r="AM927">
            <v>2200</v>
          </cell>
          <cell r="AN927" t="e">
            <v>#VALUE!</v>
          </cell>
          <cell r="AO927" t="e">
            <v>#VALUE!</v>
          </cell>
          <cell r="AP927">
            <v>500</v>
          </cell>
        </row>
        <row r="928">
          <cell r="A928">
            <v>63931400</v>
          </cell>
          <cell r="C928">
            <v>9314</v>
          </cell>
          <cell r="D928" t="str">
            <v>VAT KL BOERENKOOLSTAMPPOT SPEKJES SCHIJFJES ROOKWORST</v>
          </cell>
          <cell r="E928" t="str">
            <v>VAT</v>
          </cell>
          <cell r="F928" t="str">
            <v>40336300 OLAF 30 290MM</v>
          </cell>
          <cell r="G928" t="str">
            <v>C2227-2K evolve</v>
          </cell>
          <cell r="H928">
            <v>365</v>
          </cell>
          <cell r="I928">
            <v>0.4</v>
          </cell>
          <cell r="J928" t="str">
            <v>NVT</v>
          </cell>
          <cell r="K928" t="str">
            <v>VAT</v>
          </cell>
          <cell r="L928">
            <v>6</v>
          </cell>
          <cell r="M928" t="str">
            <v>VAT</v>
          </cell>
          <cell r="N928">
            <v>120</v>
          </cell>
          <cell r="O928">
            <v>8717568244440</v>
          </cell>
          <cell r="P928" t="str">
            <v>H-T-I</v>
          </cell>
          <cell r="Q928">
            <v>2</v>
          </cell>
          <cell r="R928">
            <v>3</v>
          </cell>
          <cell r="S928" t="str">
            <v>kl v 63901400</v>
          </cell>
          <cell r="T928">
            <v>2200</v>
          </cell>
          <cell r="U928">
            <v>3</v>
          </cell>
          <cell r="V928">
            <v>2200</v>
          </cell>
          <cell r="W928">
            <v>3</v>
          </cell>
          <cell r="X928">
            <v>0</v>
          </cell>
          <cell r="Y928">
            <v>0</v>
          </cell>
          <cell r="Z928">
            <v>0</v>
          </cell>
          <cell r="AA928" t="str">
            <v>! ! !</v>
          </cell>
          <cell r="AC928">
            <v>0</v>
          </cell>
          <cell r="AG928">
            <v>45</v>
          </cell>
          <cell r="AJ928" t="str">
            <v>V-A</v>
          </cell>
          <cell r="AL928">
            <v>2700</v>
          </cell>
          <cell r="AM928">
            <v>2200</v>
          </cell>
          <cell r="AN928" t="e">
            <v>#VALUE!</v>
          </cell>
          <cell r="AO928" t="e">
            <v>#VALUE!</v>
          </cell>
          <cell r="AP928">
            <v>500</v>
          </cell>
        </row>
        <row r="929">
          <cell r="A929">
            <v>63932700</v>
          </cell>
          <cell r="C929">
            <v>9327</v>
          </cell>
          <cell r="D929" t="str">
            <v xml:space="preserve">VAT KL GEHAKTBAL WITLOF GEK AARDAPPELEN BIESLOOK  </v>
          </cell>
          <cell r="E929" t="str">
            <v>VAT</v>
          </cell>
          <cell r="F929" t="str">
            <v>40336300 OLAF 30 290MM</v>
          </cell>
          <cell r="G929" t="str">
            <v>C2227-3R evolve</v>
          </cell>
          <cell r="H929">
            <v>456</v>
          </cell>
          <cell r="I929">
            <v>0.36499999999999999</v>
          </cell>
          <cell r="J929" t="str">
            <v>NVT</v>
          </cell>
          <cell r="K929" t="str">
            <v>VAT</v>
          </cell>
          <cell r="L929">
            <v>6</v>
          </cell>
          <cell r="M929" t="str">
            <v>VAT</v>
          </cell>
          <cell r="N929">
            <v>120</v>
          </cell>
          <cell r="O929">
            <v>8717568244358</v>
          </cell>
          <cell r="P929" t="str">
            <v>2T</v>
          </cell>
          <cell r="Q929">
            <v>2</v>
          </cell>
          <cell r="R929">
            <v>3</v>
          </cell>
          <cell r="S929" t="str">
            <v>kl v 63902700</v>
          </cell>
          <cell r="T929">
            <v>2200</v>
          </cell>
          <cell r="U929">
            <v>4</v>
          </cell>
          <cell r="V929">
            <v>2200</v>
          </cell>
          <cell r="W929">
            <v>4</v>
          </cell>
          <cell r="X929">
            <v>0</v>
          </cell>
          <cell r="Y929">
            <v>0</v>
          </cell>
          <cell r="Z929">
            <v>0</v>
          </cell>
          <cell r="AA929" t="str">
            <v>! !</v>
          </cell>
          <cell r="AC929">
            <v>0</v>
          </cell>
          <cell r="AG929">
            <v>45</v>
          </cell>
          <cell r="AJ929" t="str">
            <v>V-A</v>
          </cell>
          <cell r="AL929">
            <v>2700</v>
          </cell>
          <cell r="AM929">
            <v>2200</v>
          </cell>
          <cell r="AN929" t="e">
            <v>#VALUE!</v>
          </cell>
          <cell r="AO929" t="e">
            <v>#VALUE!</v>
          </cell>
          <cell r="AP929">
            <v>500</v>
          </cell>
        </row>
        <row r="930">
          <cell r="A930">
            <v>63932800</v>
          </cell>
          <cell r="C930">
            <v>9328</v>
          </cell>
          <cell r="D930" t="str">
            <v xml:space="preserve">VAT KL GEHAKTBAL ANDIJVIE A LA CREME AARDAPPELPUREE  </v>
          </cell>
          <cell r="E930" t="str">
            <v>VAT</v>
          </cell>
          <cell r="F930" t="str">
            <v>40336300 OLAF 30 290MM</v>
          </cell>
          <cell r="G930" t="str">
            <v>C2227-3R evolve</v>
          </cell>
          <cell r="H930">
            <v>456</v>
          </cell>
          <cell r="I930">
            <v>0.36499999999999999</v>
          </cell>
          <cell r="J930" t="str">
            <v>NVT</v>
          </cell>
          <cell r="K930" t="str">
            <v>VAT</v>
          </cell>
          <cell r="L930">
            <v>6</v>
          </cell>
          <cell r="M930" t="str">
            <v>VAT</v>
          </cell>
          <cell r="N930">
            <v>120</v>
          </cell>
          <cell r="O930">
            <v>8717568244365</v>
          </cell>
          <cell r="P930" t="str">
            <v>2T-H</v>
          </cell>
          <cell r="Q930">
            <v>2.5</v>
          </cell>
          <cell r="R930">
            <v>3</v>
          </cell>
          <cell r="S930" t="str">
            <v>kl v 63902800</v>
          </cell>
          <cell r="T930">
            <v>2200</v>
          </cell>
          <cell r="U930">
            <v>2</v>
          </cell>
          <cell r="V930">
            <v>2200</v>
          </cell>
          <cell r="W930">
            <v>2</v>
          </cell>
          <cell r="X930">
            <v>0</v>
          </cell>
          <cell r="Y930">
            <v>0</v>
          </cell>
          <cell r="Z930">
            <v>0</v>
          </cell>
          <cell r="AA930" t="str">
            <v>! !</v>
          </cell>
          <cell r="AC930">
            <v>0</v>
          </cell>
          <cell r="AG930">
            <v>45</v>
          </cell>
          <cell r="AJ930" t="str">
            <v>V-A</v>
          </cell>
          <cell r="AL930">
            <v>2700</v>
          </cell>
          <cell r="AM930">
            <v>2200</v>
          </cell>
          <cell r="AN930" t="e">
            <v>#VALUE!</v>
          </cell>
          <cell r="AO930" t="e">
            <v>#VALUE!</v>
          </cell>
          <cell r="AP930">
            <v>500</v>
          </cell>
        </row>
        <row r="931">
          <cell r="A931">
            <v>63934100</v>
          </cell>
          <cell r="C931">
            <v>9341</v>
          </cell>
          <cell r="D931" t="str">
            <v xml:space="preserve">VAT KL ZALM ASC DILLESAUS WORTEL PUREE        </v>
          </cell>
          <cell r="E931" t="str">
            <v>VAT</v>
          </cell>
          <cell r="F931" t="str">
            <v>40336300 OLAF 30 290MM</v>
          </cell>
          <cell r="G931" t="str">
            <v>C2227-3R evolve</v>
          </cell>
          <cell r="H931">
            <v>456</v>
          </cell>
          <cell r="I931">
            <v>0.36499999999999999</v>
          </cell>
          <cell r="J931" t="str">
            <v>NVT</v>
          </cell>
          <cell r="K931" t="str">
            <v>VAT</v>
          </cell>
          <cell r="L931">
            <v>6</v>
          </cell>
          <cell r="M931" t="str">
            <v xml:space="preserve">VAT X 6 </v>
          </cell>
          <cell r="N931">
            <v>120</v>
          </cell>
          <cell r="O931">
            <v>8717568244563</v>
          </cell>
          <cell r="P931" t="str">
            <v>I-T-H</v>
          </cell>
          <cell r="Q931">
            <v>3</v>
          </cell>
          <cell r="R931">
            <v>3</v>
          </cell>
          <cell r="S931" t="str">
            <v>kl v 63914100 - zalm verzagen 74g</v>
          </cell>
          <cell r="T931">
            <v>2200</v>
          </cell>
          <cell r="U931">
            <v>3</v>
          </cell>
          <cell r="V931">
            <v>2200</v>
          </cell>
          <cell r="W931">
            <v>3</v>
          </cell>
          <cell r="X931">
            <v>0</v>
          </cell>
          <cell r="Y931">
            <v>0</v>
          </cell>
          <cell r="Z931">
            <v>0</v>
          </cell>
          <cell r="AA931" t="str">
            <v>! ! ! !</v>
          </cell>
          <cell r="AC931">
            <v>0</v>
          </cell>
          <cell r="AG931">
            <v>45</v>
          </cell>
          <cell r="AJ931" t="str">
            <v>V-A</v>
          </cell>
          <cell r="AL931">
            <v>2700</v>
          </cell>
          <cell r="AM931">
            <v>2200</v>
          </cell>
          <cell r="AN931" t="e">
            <v>#VALUE!</v>
          </cell>
          <cell r="AO931" t="e">
            <v>#VALUE!</v>
          </cell>
          <cell r="AP931">
            <v>500</v>
          </cell>
        </row>
        <row r="932">
          <cell r="A932">
            <v>63936100</v>
          </cell>
          <cell r="C932">
            <v>9361</v>
          </cell>
          <cell r="D932" t="str">
            <v xml:space="preserve">VAT KL TAGLIATELLE ZALM GROENE ASPERGEPUNTEN         </v>
          </cell>
          <cell r="E932" t="str">
            <v>VAT</v>
          </cell>
          <cell r="F932" t="str">
            <v>40336300 OLAF 30 290MM</v>
          </cell>
          <cell r="G932" t="str">
            <v>C2227-1H evolve</v>
          </cell>
          <cell r="H932">
            <v>456</v>
          </cell>
          <cell r="I932">
            <v>0.35</v>
          </cell>
          <cell r="J932" t="str">
            <v>NVT</v>
          </cell>
          <cell r="K932" t="str">
            <v>VAT</v>
          </cell>
          <cell r="L932">
            <v>6</v>
          </cell>
          <cell r="M932" t="str">
            <v>VAT</v>
          </cell>
          <cell r="N932">
            <v>120</v>
          </cell>
          <cell r="O932">
            <v>8717568244570</v>
          </cell>
          <cell r="P932" t="str">
            <v>T-M-I</v>
          </cell>
          <cell r="Q932">
            <v>2.5</v>
          </cell>
          <cell r="R932">
            <v>3</v>
          </cell>
          <cell r="S932" t="str">
            <v>ZALMSNIPPERS D-1 ontdooien, kl v 63906100</v>
          </cell>
          <cell r="T932">
            <v>2200</v>
          </cell>
          <cell r="U932">
            <v>6</v>
          </cell>
          <cell r="V932">
            <v>2200</v>
          </cell>
          <cell r="W932">
            <v>6</v>
          </cell>
          <cell r="X932">
            <v>0</v>
          </cell>
          <cell r="Y932">
            <v>0</v>
          </cell>
          <cell r="Z932">
            <v>0</v>
          </cell>
          <cell r="AA932" t="str">
            <v>! ! ! !</v>
          </cell>
          <cell r="AC932">
            <v>0</v>
          </cell>
          <cell r="AG932">
            <v>45</v>
          </cell>
          <cell r="AJ932" t="str">
            <v>V-A</v>
          </cell>
          <cell r="AL932">
            <v>2700</v>
          </cell>
          <cell r="AM932">
            <v>2200</v>
          </cell>
          <cell r="AN932" t="e">
            <v>#VALUE!</v>
          </cell>
          <cell r="AO932" t="e">
            <v>#VALUE!</v>
          </cell>
          <cell r="AP932">
            <v>500</v>
          </cell>
        </row>
        <row r="933">
          <cell r="A933">
            <v>63936500</v>
          </cell>
          <cell r="C933">
            <v>9365</v>
          </cell>
          <cell r="D933" t="str">
            <v>VAN SMAAK LASAGNE BOLOGNESE 375G</v>
          </cell>
          <cell r="E933" t="str">
            <v>VAT</v>
          </cell>
          <cell r="F933" t="str">
            <v>355mm</v>
          </cell>
          <cell r="G933" t="str">
            <v>C2187-1F</v>
          </cell>
          <cell r="H933">
            <v>456</v>
          </cell>
          <cell r="I933">
            <v>0.375</v>
          </cell>
          <cell r="J933" t="str">
            <v>NVT</v>
          </cell>
          <cell r="K933" t="str">
            <v>NVT</v>
          </cell>
          <cell r="L933">
            <v>24</v>
          </cell>
          <cell r="M933" t="str">
            <v>H11X24</v>
          </cell>
          <cell r="N933">
            <v>48</v>
          </cell>
          <cell r="O933">
            <v>8717568246208</v>
          </cell>
          <cell r="P933" t="str">
            <v>3T-H-K</v>
          </cell>
          <cell r="Q933">
            <v>2</v>
          </cell>
          <cell r="R933">
            <v>3</v>
          </cell>
          <cell r="T933">
            <v>2500</v>
          </cell>
          <cell r="U933">
            <v>5</v>
          </cell>
          <cell r="V933">
            <v>2500</v>
          </cell>
          <cell r="W933">
            <v>5</v>
          </cell>
          <cell r="X933">
            <v>0</v>
          </cell>
          <cell r="Y933">
            <v>0</v>
          </cell>
          <cell r="Z933">
            <v>0</v>
          </cell>
          <cell r="AA933" t="str">
            <v>! ! !</v>
          </cell>
          <cell r="AC933">
            <v>0</v>
          </cell>
          <cell r="AG933">
            <v>50</v>
          </cell>
          <cell r="AJ933" t="str">
            <v>V-A</v>
          </cell>
          <cell r="AL933">
            <v>3000</v>
          </cell>
          <cell r="AM933">
            <v>2500</v>
          </cell>
          <cell r="AN933" t="e">
            <v>#VALUE!</v>
          </cell>
          <cell r="AO933" t="e">
            <v>#VALUE!</v>
          </cell>
          <cell r="AP933">
            <v>500</v>
          </cell>
        </row>
        <row r="934">
          <cell r="A934">
            <v>63936600</v>
          </cell>
          <cell r="C934">
            <v>9366</v>
          </cell>
          <cell r="D934" t="str">
            <v>VAN SMAAK LASAGNE SPINAZIE 375G</v>
          </cell>
          <cell r="E934" t="str">
            <v>VAT</v>
          </cell>
          <cell r="F934" t="str">
            <v>355mm</v>
          </cell>
          <cell r="G934" t="str">
            <v>C2187-1F</v>
          </cell>
          <cell r="H934">
            <v>456</v>
          </cell>
          <cell r="I934">
            <v>0.375</v>
          </cell>
          <cell r="J934" t="str">
            <v>NVT</v>
          </cell>
          <cell r="K934" t="str">
            <v>NVT</v>
          </cell>
          <cell r="L934">
            <v>24</v>
          </cell>
          <cell r="M934" t="str">
            <v>H11X24</v>
          </cell>
          <cell r="N934">
            <v>48</v>
          </cell>
          <cell r="O934">
            <v>8717568246222</v>
          </cell>
          <cell r="P934" t="str">
            <v>3T-H-1K</v>
          </cell>
          <cell r="Q934">
            <v>3</v>
          </cell>
          <cell r="R934">
            <v>3</v>
          </cell>
          <cell r="T934">
            <v>2500</v>
          </cell>
          <cell r="U934">
            <v>5</v>
          </cell>
          <cell r="V934">
            <v>2500</v>
          </cell>
          <cell r="W934">
            <v>5</v>
          </cell>
          <cell r="X934">
            <v>0</v>
          </cell>
          <cell r="Y934">
            <v>0</v>
          </cell>
          <cell r="Z934">
            <v>0</v>
          </cell>
          <cell r="AA934" t="str">
            <v>! !</v>
          </cell>
          <cell r="AJ934" t="str">
            <v>-</v>
          </cell>
          <cell r="AL934">
            <v>0</v>
          </cell>
          <cell r="AM934">
            <v>2500</v>
          </cell>
          <cell r="AN934" t="e">
            <v>#VALUE!</v>
          </cell>
          <cell r="AO934" t="e">
            <v>#VALUE!</v>
          </cell>
          <cell r="AP934">
            <v>-2500</v>
          </cell>
        </row>
        <row r="935">
          <cell r="A935">
            <v>63938600</v>
          </cell>
          <cell r="C935">
            <v>9386</v>
          </cell>
          <cell r="D935" t="str">
            <v>VAT KL KIPNUGGETS KERRIESAUS GEBAKKEN AARD KUBUS GEKRUID</v>
          </cell>
          <cell r="E935" t="str">
            <v>VAT</v>
          </cell>
          <cell r="F935" t="str">
            <v>40336300 OLAF 30 290MM</v>
          </cell>
          <cell r="G935" t="str">
            <v>C2227-2K evolve</v>
          </cell>
          <cell r="H935">
            <v>456</v>
          </cell>
          <cell r="I935">
            <v>0.35</v>
          </cell>
          <cell r="J935" t="str">
            <v>NVT</v>
          </cell>
          <cell r="K935" t="str">
            <v>VAT</v>
          </cell>
          <cell r="L935">
            <v>6</v>
          </cell>
          <cell r="M935" t="str">
            <v>VAT</v>
          </cell>
          <cell r="N935">
            <v>108</v>
          </cell>
          <cell r="O935">
            <v>8717568244372</v>
          </cell>
          <cell r="P935" t="str">
            <v>I-T</v>
          </cell>
          <cell r="Q935">
            <v>1</v>
          </cell>
          <cell r="R935">
            <v>3</v>
          </cell>
          <cell r="S935" t="str">
            <v>kl v 63908600</v>
          </cell>
          <cell r="T935">
            <v>2000</v>
          </cell>
          <cell r="U935">
            <v>5</v>
          </cell>
          <cell r="V935">
            <v>2000</v>
          </cell>
          <cell r="W935">
            <v>5</v>
          </cell>
          <cell r="X935">
            <v>0</v>
          </cell>
          <cell r="Y935">
            <v>0</v>
          </cell>
          <cell r="Z935">
            <v>0</v>
          </cell>
          <cell r="AA935" t="str">
            <v>! ! !</v>
          </cell>
          <cell r="AC935">
            <v>0</v>
          </cell>
          <cell r="AG935">
            <v>43</v>
          </cell>
          <cell r="AJ935" t="str">
            <v>V-A</v>
          </cell>
          <cell r="AL935">
            <v>2580</v>
          </cell>
          <cell r="AM935">
            <v>2000</v>
          </cell>
          <cell r="AN935" t="e">
            <v>#VALUE!</v>
          </cell>
          <cell r="AO935" t="e">
            <v>#VALUE!</v>
          </cell>
          <cell r="AP935">
            <v>580</v>
          </cell>
        </row>
        <row r="936">
          <cell r="A936">
            <v>63940000</v>
          </cell>
          <cell r="C936">
            <v>107555</v>
          </cell>
          <cell r="D936" t="str">
            <v>VAT BROODJE ITALIE MET BOLOGNAISESAUS EN KAAS</v>
          </cell>
          <cell r="E936" t="str">
            <v>VAT</v>
          </cell>
          <cell r="F936" t="str">
            <v>40336300 OLAF 30 290MM</v>
          </cell>
          <cell r="G936" t="str">
            <v>C2227-1H evolve</v>
          </cell>
          <cell r="H936">
            <v>365</v>
          </cell>
          <cell r="I936">
            <v>0.3</v>
          </cell>
          <cell r="J936" t="str">
            <v>NVT</v>
          </cell>
          <cell r="K936" t="str">
            <v>VAT</v>
          </cell>
          <cell r="L936">
            <v>6</v>
          </cell>
          <cell r="M936" t="str">
            <v>VAT</v>
          </cell>
          <cell r="N936">
            <v>120</v>
          </cell>
          <cell r="O936">
            <v>8717568240985</v>
          </cell>
          <cell r="P936" t="str">
            <v>T</v>
          </cell>
          <cell r="Q936">
            <v>1</v>
          </cell>
          <cell r="R936">
            <v>3</v>
          </cell>
          <cell r="S936" t="str">
            <v>D-1 broodjes ontpakken</v>
          </cell>
          <cell r="T936">
            <v>1750</v>
          </cell>
          <cell r="U936">
            <v>7</v>
          </cell>
          <cell r="V936">
            <v>1750</v>
          </cell>
          <cell r="W936">
            <v>7</v>
          </cell>
          <cell r="X936">
            <v>0</v>
          </cell>
          <cell r="Y936">
            <v>0</v>
          </cell>
          <cell r="Z936">
            <v>0</v>
          </cell>
          <cell r="AA936" t="str">
            <v>! ! !</v>
          </cell>
          <cell r="AB936">
            <v>500</v>
          </cell>
          <cell r="AC936">
            <v>0</v>
          </cell>
          <cell r="AG936">
            <v>35</v>
          </cell>
          <cell r="AJ936" t="str">
            <v>-</v>
          </cell>
          <cell r="AL936">
            <v>2100</v>
          </cell>
          <cell r="AM936">
            <v>1750</v>
          </cell>
          <cell r="AN936" t="e">
            <v>#VALUE!</v>
          </cell>
          <cell r="AO936" t="e">
            <v>#VALUE!</v>
          </cell>
          <cell r="AP936">
            <v>350</v>
          </cell>
        </row>
        <row r="937">
          <cell r="A937">
            <v>63940100</v>
          </cell>
          <cell r="C937">
            <v>107556</v>
          </cell>
          <cell r="D937" t="str">
            <v>VAT BROODJE KIPGYROS MET PAPRIKA</v>
          </cell>
          <cell r="E937" t="str">
            <v>VAT</v>
          </cell>
          <cell r="F937" t="str">
            <v>40336300 OLAF 30 290MM</v>
          </cell>
          <cell r="G937" t="str">
            <v>C2227-1H evolve</v>
          </cell>
          <cell r="H937">
            <v>365</v>
          </cell>
          <cell r="I937">
            <v>0.3</v>
          </cell>
          <cell r="J937" t="str">
            <v>NVT</v>
          </cell>
          <cell r="K937" t="str">
            <v>VAT</v>
          </cell>
          <cell r="L937">
            <v>6</v>
          </cell>
          <cell r="M937" t="str">
            <v>VAT</v>
          </cell>
          <cell r="N937">
            <v>120</v>
          </cell>
          <cell r="O937">
            <v>8717568241005</v>
          </cell>
          <cell r="P937" t="str">
            <v>H</v>
          </cell>
          <cell r="Q937">
            <v>1</v>
          </cell>
          <cell r="R937">
            <v>3</v>
          </cell>
          <cell r="S937" t="str">
            <v>D-1 broodjes ontpakken</v>
          </cell>
          <cell r="T937">
            <v>1750</v>
          </cell>
          <cell r="U937">
            <v>5</v>
          </cell>
          <cell r="V937">
            <v>1750</v>
          </cell>
          <cell r="W937">
            <v>5</v>
          </cell>
          <cell r="X937">
            <v>0</v>
          </cell>
          <cell r="Y937">
            <v>0</v>
          </cell>
          <cell r="Z937">
            <v>0</v>
          </cell>
          <cell r="AA937" t="str">
            <v>! ! !</v>
          </cell>
          <cell r="AB937">
            <v>500</v>
          </cell>
          <cell r="AC937">
            <v>0</v>
          </cell>
          <cell r="AG937">
            <v>35</v>
          </cell>
          <cell r="AJ937" t="str">
            <v>V-A</v>
          </cell>
          <cell r="AL937">
            <v>2100</v>
          </cell>
          <cell r="AM937">
            <v>1750</v>
          </cell>
          <cell r="AN937" t="e">
            <v>#VALUE!</v>
          </cell>
          <cell r="AO937" t="e">
            <v>#VALUE!</v>
          </cell>
          <cell r="AP937">
            <v>350</v>
          </cell>
        </row>
        <row r="938">
          <cell r="A938">
            <v>63940300</v>
          </cell>
          <cell r="C938">
            <v>107558</v>
          </cell>
          <cell r="D938" t="str">
            <v>VAT BROODJE PULLED PORK</v>
          </cell>
          <cell r="E938" t="str">
            <v>VAT</v>
          </cell>
          <cell r="F938" t="str">
            <v>40336300 OLAF 30 290MM</v>
          </cell>
          <cell r="G938" t="str">
            <v>C2227-1H evolve</v>
          </cell>
          <cell r="H938">
            <v>365</v>
          </cell>
          <cell r="I938">
            <v>0.3</v>
          </cell>
          <cell r="J938" t="str">
            <v>NVT</v>
          </cell>
          <cell r="K938" t="str">
            <v>VAT</v>
          </cell>
          <cell r="L938">
            <v>6</v>
          </cell>
          <cell r="M938" t="str">
            <v>VAT</v>
          </cell>
          <cell r="N938">
            <v>120</v>
          </cell>
          <cell r="O938">
            <v>8717568241043</v>
          </cell>
          <cell r="P938" t="str">
            <v>H</v>
          </cell>
          <cell r="Q938">
            <v>1</v>
          </cell>
          <cell r="R938">
            <v>3</v>
          </cell>
          <cell r="S938" t="str">
            <v>D-1 broodjes ontpakken</v>
          </cell>
          <cell r="T938">
            <v>1750</v>
          </cell>
          <cell r="U938">
            <v>7</v>
          </cell>
          <cell r="V938">
            <v>1750</v>
          </cell>
          <cell r="W938">
            <v>7</v>
          </cell>
          <cell r="X938">
            <v>0</v>
          </cell>
          <cell r="Y938">
            <v>0</v>
          </cell>
          <cell r="Z938">
            <v>0</v>
          </cell>
          <cell r="AA938" t="str">
            <v>! !</v>
          </cell>
          <cell r="AB938">
            <v>500</v>
          </cell>
          <cell r="AC938">
            <v>0</v>
          </cell>
          <cell r="AG938">
            <v>35</v>
          </cell>
          <cell r="AJ938" t="str">
            <v>V-A</v>
          </cell>
          <cell r="AL938">
            <v>2100</v>
          </cell>
          <cell r="AM938">
            <v>1750</v>
          </cell>
          <cell r="AN938" t="e">
            <v>#VALUE!</v>
          </cell>
          <cell r="AO938" t="e">
            <v>#VALUE!</v>
          </cell>
          <cell r="AP938">
            <v>350</v>
          </cell>
        </row>
        <row r="939">
          <cell r="A939">
            <v>63951400</v>
          </cell>
          <cell r="C939">
            <v>101215</v>
          </cell>
          <cell r="D939" t="str">
            <v>VAT VERGETEN GROENTESCHOTEL QUORN PASTINAAKPUREE</v>
          </cell>
          <cell r="E939" t="str">
            <v>VAT</v>
          </cell>
          <cell r="F939" t="str">
            <v>40336300 OLAF 30 290MM</v>
          </cell>
          <cell r="G939" t="str">
            <v>C2227-1H evolve</v>
          </cell>
          <cell r="H939">
            <v>456</v>
          </cell>
          <cell r="I939">
            <v>0.55000000000000004</v>
          </cell>
          <cell r="J939" t="str">
            <v>NVT</v>
          </cell>
          <cell r="K939" t="str">
            <v>VAT</v>
          </cell>
          <cell r="L939">
            <v>6</v>
          </cell>
          <cell r="M939" t="str">
            <v>VAT</v>
          </cell>
          <cell r="N939">
            <v>120</v>
          </cell>
          <cell r="O939">
            <v>8717568240541</v>
          </cell>
          <cell r="P939" t="str">
            <v>H-2T-K</v>
          </cell>
          <cell r="Q939">
            <v>3</v>
          </cell>
          <cell r="R939">
            <v>3</v>
          </cell>
          <cell r="S939" t="str">
            <v>idem 63513900</v>
          </cell>
          <cell r="T939">
            <v>2000</v>
          </cell>
          <cell r="U939">
            <v>4</v>
          </cell>
          <cell r="V939">
            <v>2000</v>
          </cell>
          <cell r="W939">
            <v>4</v>
          </cell>
          <cell r="X939">
            <v>0</v>
          </cell>
          <cell r="Y939">
            <v>0</v>
          </cell>
          <cell r="Z939">
            <v>0</v>
          </cell>
          <cell r="AA939" t="str">
            <v>! !</v>
          </cell>
          <cell r="AB939">
            <v>500</v>
          </cell>
          <cell r="AC939">
            <v>0</v>
          </cell>
          <cell r="AG939">
            <v>40</v>
          </cell>
          <cell r="AJ939" t="str">
            <v>-</v>
          </cell>
          <cell r="AL939">
            <v>2400</v>
          </cell>
          <cell r="AM939">
            <v>2000</v>
          </cell>
          <cell r="AN939" t="e">
            <v>#VALUE!</v>
          </cell>
          <cell r="AO939" t="e">
            <v>#VALUE!</v>
          </cell>
          <cell r="AP939">
            <v>400</v>
          </cell>
        </row>
        <row r="940">
          <cell r="A940">
            <v>63951500</v>
          </cell>
          <cell r="C940">
            <v>9515</v>
          </cell>
          <cell r="D940" t="str">
            <v>VAT EDJ HERTSTOOFPOT APPEL VEENBESSEN POMPOENPUREE</v>
          </cell>
          <cell r="E940" t="str">
            <v>VAT, EDJ</v>
          </cell>
          <cell r="F940" t="str">
            <v>40336300 OLAF 30 290MM</v>
          </cell>
          <cell r="G940" t="str">
            <v>C2227-3R evolve</v>
          </cell>
          <cell r="H940">
            <v>456</v>
          </cell>
          <cell r="I940">
            <v>0.5</v>
          </cell>
          <cell r="J940" t="str">
            <v>NVT</v>
          </cell>
          <cell r="K940" t="str">
            <v>VAT</v>
          </cell>
          <cell r="L940">
            <v>6</v>
          </cell>
          <cell r="M940" t="str">
            <v xml:space="preserve">VAT X 6 </v>
          </cell>
          <cell r="N940">
            <v>120</v>
          </cell>
          <cell r="O940">
            <v>8717568240596</v>
          </cell>
          <cell r="P940" t="str">
            <v>H-2T</v>
          </cell>
          <cell r="Q940">
            <v>3</v>
          </cell>
          <cell r="R940">
            <v>3</v>
          </cell>
          <cell r="S940" t="str">
            <v>stoofvlees steamen, idem 63514000</v>
          </cell>
          <cell r="T940">
            <v>1750</v>
          </cell>
          <cell r="U940">
            <v>8</v>
          </cell>
          <cell r="V940">
            <v>1750</v>
          </cell>
          <cell r="W940">
            <v>8</v>
          </cell>
          <cell r="X940">
            <v>0</v>
          </cell>
          <cell r="Y940">
            <v>0</v>
          </cell>
          <cell r="Z940">
            <v>0</v>
          </cell>
          <cell r="AA940" t="str">
            <v>! !</v>
          </cell>
          <cell r="AB940" t="str">
            <v>bestelling</v>
          </cell>
          <cell r="AC940">
            <v>0.18759999999999999</v>
          </cell>
          <cell r="AG940">
            <v>38</v>
          </cell>
          <cell r="AJ940" t="str">
            <v>V-A</v>
          </cell>
          <cell r="AL940">
            <v>2280</v>
          </cell>
          <cell r="AM940">
            <v>1750</v>
          </cell>
          <cell r="AN940" t="e">
            <v>#VALUE!</v>
          </cell>
          <cell r="AO940" t="e">
            <v>#VALUE!</v>
          </cell>
          <cell r="AP940">
            <v>530</v>
          </cell>
        </row>
        <row r="941">
          <cell r="A941">
            <v>63952600</v>
          </cell>
          <cell r="C941">
            <v>106966</v>
          </cell>
          <cell r="D941" t="str">
            <v>VAT EDJ KALKOEN TRUFFELSAUS AARDAPPELPOTJE SPEK BROCCOLI</v>
          </cell>
          <cell r="E941" t="str">
            <v>Vers aan tafel, EDJ</v>
          </cell>
          <cell r="F941" t="str">
            <v>40336300 OLAF 30 290MM</v>
          </cell>
          <cell r="G941" t="str">
            <v>C2227-2K evolve</v>
          </cell>
          <cell r="H941">
            <v>456</v>
          </cell>
          <cell r="I941">
            <v>0.5</v>
          </cell>
          <cell r="J941" t="str">
            <v>NVT</v>
          </cell>
          <cell r="K941" t="str">
            <v>VAT</v>
          </cell>
          <cell r="L941">
            <v>6</v>
          </cell>
          <cell r="M941" t="str">
            <v>VAT</v>
          </cell>
          <cell r="N941">
            <v>120</v>
          </cell>
          <cell r="O941">
            <v>8717568245065</v>
          </cell>
          <cell r="P941" t="str">
            <v>2T-I</v>
          </cell>
          <cell r="Q941">
            <v>3</v>
          </cell>
          <cell r="R941">
            <v>3</v>
          </cell>
          <cell r="S941" t="str">
            <v>KALKOEN SNIJDEN (1cm), idem 63551000</v>
          </cell>
          <cell r="T941">
            <v>2000</v>
          </cell>
          <cell r="U941">
            <v>7</v>
          </cell>
          <cell r="V941">
            <v>2000</v>
          </cell>
          <cell r="W941">
            <v>8</v>
          </cell>
          <cell r="X941">
            <v>0</v>
          </cell>
          <cell r="Y941">
            <v>0</v>
          </cell>
          <cell r="Z941">
            <v>0</v>
          </cell>
          <cell r="AA941" t="str">
            <v>! ! !</v>
          </cell>
          <cell r="AB941" t="str">
            <v>bestelling</v>
          </cell>
          <cell r="AC941">
            <v>5.3886057840000001E-2</v>
          </cell>
          <cell r="AJ941" t="str">
            <v>V-A</v>
          </cell>
          <cell r="AL941">
            <v>0</v>
          </cell>
          <cell r="AM941">
            <v>2000</v>
          </cell>
          <cell r="AN941" t="e">
            <v>#VALUE!</v>
          </cell>
          <cell r="AO941" t="e">
            <v>#VALUE!</v>
          </cell>
          <cell r="AP941">
            <v>-2000</v>
          </cell>
        </row>
        <row r="942">
          <cell r="A942">
            <v>63952700</v>
          </cell>
          <cell r="C942">
            <v>106965</v>
          </cell>
          <cell r="D942" t="str">
            <v>VAT EDJ VISPANNETJE GEPLETTE AARDAPPEL SELDER, WORTEL</v>
          </cell>
          <cell r="E942" t="str">
            <v>Vers aan tafel, EDJ</v>
          </cell>
          <cell r="F942" t="str">
            <v>40336300 OLAF 30 290MM</v>
          </cell>
          <cell r="G942" t="str">
            <v>C2227-3R evolve</v>
          </cell>
          <cell r="H942">
            <v>456</v>
          </cell>
          <cell r="I942">
            <v>0.52500000000000002</v>
          </cell>
          <cell r="J942" t="str">
            <v>NVT</v>
          </cell>
          <cell r="K942" t="str">
            <v>VAT</v>
          </cell>
          <cell r="L942">
            <v>6</v>
          </cell>
          <cell r="M942" t="str">
            <v>VAT</v>
          </cell>
          <cell r="N942">
            <v>120</v>
          </cell>
          <cell r="O942">
            <v>8717568245041</v>
          </cell>
          <cell r="P942" t="str">
            <v>H-T</v>
          </cell>
          <cell r="Q942">
            <v>3</v>
          </cell>
          <cell r="R942">
            <v>3</v>
          </cell>
          <cell r="S942" t="str">
            <v>idem 63551100</v>
          </cell>
          <cell r="T942">
            <v>2000</v>
          </cell>
          <cell r="U942">
            <v>6</v>
          </cell>
          <cell r="V942">
            <v>2000</v>
          </cell>
          <cell r="W942">
            <v>6</v>
          </cell>
          <cell r="X942">
            <v>0</v>
          </cell>
          <cell r="Y942">
            <v>0</v>
          </cell>
          <cell r="Z942">
            <v>0</v>
          </cell>
          <cell r="AA942" t="str">
            <v>! ! ! !</v>
          </cell>
          <cell r="AB942" t="str">
            <v>bestelling</v>
          </cell>
          <cell r="AC942">
            <v>0</v>
          </cell>
          <cell r="AJ942" t="str">
            <v>V-A</v>
          </cell>
          <cell r="AL942">
            <v>0</v>
          </cell>
          <cell r="AM942">
            <v>2000</v>
          </cell>
          <cell r="AN942" t="e">
            <v>#VALUE!</v>
          </cell>
          <cell r="AO942" t="e">
            <v>#VALUE!</v>
          </cell>
          <cell r="AP942">
            <v>-2000</v>
          </cell>
        </row>
        <row r="943">
          <cell r="A943">
            <v>63952800</v>
          </cell>
          <cell r="C943">
            <v>9528</v>
          </cell>
          <cell r="D943" t="str">
            <v>VAT EDJ RISOTTO GEITENKAAS RODE BIET</v>
          </cell>
          <cell r="E943" t="str">
            <v>VAT, EDJ</v>
          </cell>
          <cell r="F943" t="str">
            <v>290MM</v>
          </cell>
          <cell r="G943" t="str">
            <v xml:space="preserve">C2227-1H </v>
          </cell>
          <cell r="H943">
            <v>456</v>
          </cell>
          <cell r="I943">
            <v>0.5</v>
          </cell>
          <cell r="J943" t="str">
            <v>NVT</v>
          </cell>
          <cell r="K943" t="str">
            <v>VAT</v>
          </cell>
          <cell r="L943">
            <v>6</v>
          </cell>
          <cell r="M943" t="str">
            <v xml:space="preserve">VAT X 6 </v>
          </cell>
          <cell r="N943">
            <v>120</v>
          </cell>
          <cell r="O943">
            <v>8717568246185</v>
          </cell>
          <cell r="P943" t="str">
            <v>M-2T-K</v>
          </cell>
          <cell r="Q943">
            <v>3</v>
          </cell>
          <cell r="R943">
            <v>3</v>
          </cell>
          <cell r="T943">
            <v>1750</v>
          </cell>
          <cell r="U943">
            <v>6</v>
          </cell>
          <cell r="V943">
            <v>1750</v>
          </cell>
          <cell r="W943">
            <v>6</v>
          </cell>
          <cell r="X943">
            <v>0</v>
          </cell>
          <cell r="Y943">
            <v>0</v>
          </cell>
          <cell r="Z943">
            <v>0</v>
          </cell>
          <cell r="AA943" t="str">
            <v>! ! !</v>
          </cell>
          <cell r="AB943" t="str">
            <v>bestelling</v>
          </cell>
          <cell r="AC943">
            <v>6.5339999999999995E-2</v>
          </cell>
          <cell r="AJ943" t="str">
            <v>V-A</v>
          </cell>
          <cell r="AL943">
            <v>0</v>
          </cell>
          <cell r="AM943">
            <v>1750</v>
          </cell>
          <cell r="AN943" t="e">
            <v>#VALUE!</v>
          </cell>
          <cell r="AO943" t="e">
            <v>#VALUE!</v>
          </cell>
          <cell r="AP943">
            <v>-1750</v>
          </cell>
        </row>
        <row r="944">
          <cell r="A944">
            <v>63952900</v>
          </cell>
          <cell r="C944">
            <v>106969</v>
          </cell>
          <cell r="D944" t="str">
            <v>VAT EDJ KABELJ NOILLYSAUS SPINAZIE PAPR KNOLS PUREE</v>
          </cell>
          <cell r="E944" t="str">
            <v>VAT, EDJ</v>
          </cell>
          <cell r="F944" t="str">
            <v>40336300 OLAF 30 290MM</v>
          </cell>
          <cell r="G944" t="str">
            <v>C2227-2K evolve</v>
          </cell>
          <cell r="H944">
            <v>456</v>
          </cell>
          <cell r="I944">
            <v>0.5</v>
          </cell>
          <cell r="J944" t="str">
            <v>NVT</v>
          </cell>
          <cell r="K944" t="str">
            <v>VAT</v>
          </cell>
          <cell r="L944">
            <v>6</v>
          </cell>
          <cell r="M944" t="str">
            <v>VAT</v>
          </cell>
          <cell r="N944">
            <v>120</v>
          </cell>
          <cell r="O944">
            <v>8717568245133</v>
          </cell>
          <cell r="P944" t="str">
            <v>H-T</v>
          </cell>
          <cell r="Q944">
            <v>3</v>
          </cell>
          <cell r="R944">
            <v>3</v>
          </cell>
          <cell r="S944" t="str">
            <v>idem 63551300</v>
          </cell>
          <cell r="T944">
            <v>2200</v>
          </cell>
          <cell r="U944">
            <v>4</v>
          </cell>
          <cell r="V944">
            <v>2200</v>
          </cell>
          <cell r="W944">
            <v>4</v>
          </cell>
          <cell r="X944">
            <v>0</v>
          </cell>
          <cell r="Y944">
            <v>0</v>
          </cell>
          <cell r="Z944">
            <v>0</v>
          </cell>
          <cell r="AA944" t="str">
            <v>! ! ! !</v>
          </cell>
          <cell r="AC944">
            <v>0</v>
          </cell>
          <cell r="AG944">
            <v>45</v>
          </cell>
          <cell r="AJ944" t="str">
            <v>V-A</v>
          </cell>
          <cell r="AL944">
            <v>2700</v>
          </cell>
          <cell r="AM944">
            <v>2200</v>
          </cell>
          <cell r="AN944" t="e">
            <v>#VALUE!</v>
          </cell>
          <cell r="AO944" t="e">
            <v>#VALUE!</v>
          </cell>
          <cell r="AP944">
            <v>500</v>
          </cell>
        </row>
        <row r="945">
          <cell r="A945">
            <v>63953000</v>
          </cell>
          <cell r="C945">
            <v>106968</v>
          </cell>
          <cell r="D945" t="str">
            <v>VAT EDJ KALK SINAASSAUS WORTELMIX GEB AARD</v>
          </cell>
          <cell r="E945" t="str">
            <v>VAT, EDJ</v>
          </cell>
          <cell r="F945" t="str">
            <v>40336300 OLAF 30 290MM</v>
          </cell>
          <cell r="G945" t="str">
            <v>C2227-3R evolve</v>
          </cell>
          <cell r="H945">
            <v>456</v>
          </cell>
          <cell r="I945">
            <v>0.5</v>
          </cell>
          <cell r="J945" t="str">
            <v>NVT</v>
          </cell>
          <cell r="K945" t="str">
            <v>VAT</v>
          </cell>
          <cell r="L945">
            <v>6</v>
          </cell>
          <cell r="M945" t="str">
            <v>VAT</v>
          </cell>
          <cell r="N945">
            <v>120</v>
          </cell>
          <cell r="O945">
            <v>8717568243603</v>
          </cell>
          <cell r="P945" t="str">
            <v>T</v>
          </cell>
          <cell r="Q945">
            <v>3</v>
          </cell>
          <cell r="R945">
            <v>3</v>
          </cell>
          <cell r="S945" t="str">
            <v>idem 63551400, kalk snijden (1cm)</v>
          </cell>
          <cell r="T945">
            <v>1500</v>
          </cell>
          <cell r="U945">
            <v>7</v>
          </cell>
          <cell r="V945">
            <v>1500</v>
          </cell>
          <cell r="W945">
            <v>7</v>
          </cell>
          <cell r="X945">
            <v>0</v>
          </cell>
          <cell r="Y945">
            <v>0</v>
          </cell>
          <cell r="Z945">
            <v>0</v>
          </cell>
          <cell r="AA945" t="str">
            <v>! !</v>
          </cell>
          <cell r="AC945">
            <v>5.6298866400000001E-2</v>
          </cell>
          <cell r="AG945">
            <v>30</v>
          </cell>
          <cell r="AJ945" t="str">
            <v>V-A</v>
          </cell>
          <cell r="AL945">
            <v>1800</v>
          </cell>
          <cell r="AM945">
            <v>1500</v>
          </cell>
          <cell r="AN945" t="e">
            <v>#VALUE!</v>
          </cell>
          <cell r="AO945" t="e">
            <v>#VALUE!</v>
          </cell>
          <cell r="AP945">
            <v>300</v>
          </cell>
        </row>
        <row r="946">
          <cell r="A946">
            <v>63953200</v>
          </cell>
          <cell r="C946">
            <v>9532</v>
          </cell>
          <cell r="D946" t="str">
            <v>VAT EDJ KABELJAUW CITROENBOTERSAUS GEBAK KRIEL</v>
          </cell>
          <cell r="E946" t="str">
            <v>VAT, EDJ</v>
          </cell>
          <cell r="F946" t="str">
            <v>40336300 OLAF 30 290MM</v>
          </cell>
          <cell r="G946" t="str">
            <v>C2227-2K evolve</v>
          </cell>
          <cell r="H946">
            <v>456</v>
          </cell>
          <cell r="I946">
            <v>0.5</v>
          </cell>
          <cell r="J946" t="str">
            <v>NVT</v>
          </cell>
          <cell r="K946" t="str">
            <v>VAT</v>
          </cell>
          <cell r="L946">
            <v>6</v>
          </cell>
          <cell r="M946" t="str">
            <v xml:space="preserve">VAT X 6 </v>
          </cell>
          <cell r="N946">
            <v>120</v>
          </cell>
          <cell r="O946">
            <v>8717568245331</v>
          </cell>
          <cell r="P946" t="str">
            <v>T</v>
          </cell>
          <cell r="Q946">
            <v>2.5</v>
          </cell>
          <cell r="R946">
            <v>3</v>
          </cell>
          <cell r="S946" t="str">
            <v>idem aan 63551700</v>
          </cell>
          <cell r="T946">
            <v>2000</v>
          </cell>
          <cell r="U946">
            <v>4</v>
          </cell>
          <cell r="V946">
            <v>2000</v>
          </cell>
          <cell r="W946">
            <v>4</v>
          </cell>
          <cell r="X946">
            <v>0</v>
          </cell>
          <cell r="Y946">
            <v>0</v>
          </cell>
          <cell r="Z946">
            <v>0</v>
          </cell>
          <cell r="AA946" t="str">
            <v>! ! ! !</v>
          </cell>
          <cell r="AB946" t="str">
            <v>bestelling</v>
          </cell>
          <cell r="AC946">
            <v>5.2499999999999998E-2</v>
          </cell>
          <cell r="AJ946" t="str">
            <v>V-A</v>
          </cell>
          <cell r="AL946">
            <v>0</v>
          </cell>
          <cell r="AM946">
            <v>2000</v>
          </cell>
          <cell r="AN946" t="e">
            <v>#VALUE!</v>
          </cell>
          <cell r="AO946" t="e">
            <v>#VALUE!</v>
          </cell>
          <cell r="AP946">
            <v>-2000</v>
          </cell>
        </row>
        <row r="947">
          <cell r="A947">
            <v>63953300</v>
          </cell>
          <cell r="C947">
            <v>9533</v>
          </cell>
          <cell r="D947" t="str">
            <v>VAT EDJ HERT GRAND VENEUR STOOFPEER KNOLSELDERPUREE</v>
          </cell>
          <cell r="E947" t="str">
            <v>VAT, EDJ</v>
          </cell>
          <cell r="F947" t="str">
            <v>40336300 OLAF 30 290MM</v>
          </cell>
          <cell r="G947" t="str">
            <v>C2227-3R evolve</v>
          </cell>
          <cell r="H947">
            <v>456</v>
          </cell>
          <cell r="I947">
            <v>0.5</v>
          </cell>
          <cell r="J947" t="str">
            <v>NVT</v>
          </cell>
          <cell r="K947" t="str">
            <v>VAT</v>
          </cell>
          <cell r="L947">
            <v>6</v>
          </cell>
          <cell r="M947" t="str">
            <v xml:space="preserve">VAT X 6 </v>
          </cell>
          <cell r="N947">
            <v>120</v>
          </cell>
          <cell r="O947">
            <v>8717568245874</v>
          </cell>
          <cell r="P947" t="str">
            <v>H-2T</v>
          </cell>
          <cell r="Q947">
            <v>3</v>
          </cell>
          <cell r="R947">
            <v>3</v>
          </cell>
          <cell r="T947">
            <v>1250</v>
          </cell>
          <cell r="U947">
            <v>7</v>
          </cell>
          <cell r="V947">
            <v>1250</v>
          </cell>
          <cell r="W947">
            <v>7</v>
          </cell>
          <cell r="AA947" t="str">
            <v>! ! !</v>
          </cell>
          <cell r="AB947" t="str">
            <v>bestelling</v>
          </cell>
          <cell r="AJ947" t="str">
            <v>V-A</v>
          </cell>
          <cell r="AL947">
            <v>0</v>
          </cell>
          <cell r="AM947">
            <v>1250</v>
          </cell>
          <cell r="AN947" t="e">
            <v>#VALUE!</v>
          </cell>
          <cell r="AO947" t="e">
            <v>#VALUE!</v>
          </cell>
          <cell r="AP947">
            <v>-1250</v>
          </cell>
        </row>
        <row r="948">
          <cell r="A948">
            <v>63953500</v>
          </cell>
          <cell r="C948">
            <v>9535</v>
          </cell>
          <cell r="D948" t="str">
            <v>VAT EDJ HERT GRAND VENEUR BOONTJES SPEK KNOLSELDERPUREE</v>
          </cell>
          <cell r="E948" t="str">
            <v>VAT, EDJ</v>
          </cell>
          <cell r="F948" t="str">
            <v>290MM</v>
          </cell>
          <cell r="G948" t="str">
            <v>C2227-2K</v>
          </cell>
          <cell r="H948">
            <v>456</v>
          </cell>
          <cell r="I948">
            <v>0.5</v>
          </cell>
          <cell r="J948" t="str">
            <v>NVT</v>
          </cell>
          <cell r="K948" t="str">
            <v>VAT</v>
          </cell>
          <cell r="L948">
            <v>6</v>
          </cell>
          <cell r="M948" t="str">
            <v xml:space="preserve">VAT X 6 </v>
          </cell>
          <cell r="N948">
            <v>120</v>
          </cell>
          <cell r="O948">
            <v>8717568246089</v>
          </cell>
          <cell r="P948" t="str">
            <v>H-2T</v>
          </cell>
          <cell r="Q948">
            <v>3</v>
          </cell>
          <cell r="R948">
            <v>3</v>
          </cell>
          <cell r="S948" t="str">
            <v>Hert vacuumzakken D-3</v>
          </cell>
          <cell r="T948">
            <v>1750</v>
          </cell>
          <cell r="U948">
            <v>8</v>
          </cell>
          <cell r="V948">
            <v>1750</v>
          </cell>
          <cell r="W948">
            <v>8</v>
          </cell>
          <cell r="X948">
            <v>0</v>
          </cell>
          <cell r="Y948">
            <v>0</v>
          </cell>
          <cell r="Z948">
            <v>0</v>
          </cell>
          <cell r="AA948" t="str">
            <v>! ! !</v>
          </cell>
          <cell r="AC948">
            <v>0.18865559999999998</v>
          </cell>
          <cell r="AJ948" t="str">
            <v>V-A</v>
          </cell>
          <cell r="AL948">
            <v>0</v>
          </cell>
          <cell r="AM948">
            <v>1750</v>
          </cell>
          <cell r="AN948" t="e">
            <v>#VALUE!</v>
          </cell>
          <cell r="AO948" t="e">
            <v>#VALUE!</v>
          </cell>
          <cell r="AP948">
            <v>-1750</v>
          </cell>
        </row>
        <row r="949">
          <cell r="A949">
            <v>63953600</v>
          </cell>
          <cell r="C949">
            <v>9536</v>
          </cell>
          <cell r="D949" t="str">
            <v>VAT EDJ KABELJAUW KREEFTENSAUS SPINAZIE PUREE</v>
          </cell>
          <cell r="E949" t="str">
            <v>VAT, EDJ</v>
          </cell>
          <cell r="F949" t="str">
            <v>290MM</v>
          </cell>
          <cell r="G949" t="str">
            <v>C2227-2K</v>
          </cell>
          <cell r="H949">
            <v>456</v>
          </cell>
          <cell r="I949">
            <v>0.54</v>
          </cell>
          <cell r="J949" t="str">
            <v>NVT</v>
          </cell>
          <cell r="K949" t="str">
            <v>VAT</v>
          </cell>
          <cell r="L949">
            <v>6</v>
          </cell>
          <cell r="M949" t="str">
            <v xml:space="preserve">VAT X 6 </v>
          </cell>
          <cell r="N949">
            <v>120</v>
          </cell>
          <cell r="O949">
            <v>8717568246109</v>
          </cell>
          <cell r="P949" t="str">
            <v>H-T</v>
          </cell>
          <cell r="Q949">
            <v>3</v>
          </cell>
          <cell r="R949">
            <v>3</v>
          </cell>
          <cell r="T949">
            <v>2000</v>
          </cell>
          <cell r="U949">
            <v>5</v>
          </cell>
          <cell r="V949">
            <v>2000</v>
          </cell>
          <cell r="W949">
            <v>5</v>
          </cell>
          <cell r="Z949">
            <v>0</v>
          </cell>
          <cell r="AA949" t="str">
            <v>! ! ! !</v>
          </cell>
          <cell r="AC949">
            <v>0</v>
          </cell>
          <cell r="AJ949" t="str">
            <v>V-A</v>
          </cell>
          <cell r="AL949">
            <v>0</v>
          </cell>
          <cell r="AM949">
            <v>2000</v>
          </cell>
          <cell r="AN949" t="e">
            <v>#VALUE!</v>
          </cell>
          <cell r="AO949" t="e">
            <v>#VALUE!</v>
          </cell>
          <cell r="AP949">
            <v>-2000</v>
          </cell>
        </row>
        <row r="950">
          <cell r="A950">
            <v>63960400</v>
          </cell>
          <cell r="C950">
            <v>100904</v>
          </cell>
          <cell r="D950" t="str">
            <v xml:space="preserve">VAT VEG OMELET HOLLANDAISESAUS BROCCOLI PUREE         </v>
          </cell>
          <cell r="E950" t="str">
            <v>VAT, veg</v>
          </cell>
          <cell r="F950" t="str">
            <v>40336300 OLAF 30 290MM</v>
          </cell>
          <cell r="G950" t="str">
            <v>C2227-2K evolve</v>
          </cell>
          <cell r="H950">
            <v>456</v>
          </cell>
          <cell r="I950">
            <v>0.5</v>
          </cell>
          <cell r="J950" t="str">
            <v>NVT</v>
          </cell>
          <cell r="K950" t="str">
            <v>VAT</v>
          </cell>
          <cell r="L950">
            <v>6</v>
          </cell>
          <cell r="M950" t="str">
            <v>VAT</v>
          </cell>
          <cell r="N950">
            <v>120</v>
          </cell>
          <cell r="O950">
            <v>8717568242149</v>
          </cell>
          <cell r="P950" t="str">
            <v>T-H</v>
          </cell>
          <cell r="Q950">
            <v>3</v>
          </cell>
          <cell r="R950">
            <v>3</v>
          </cell>
          <cell r="S950" t="str">
            <v>idem 63560100</v>
          </cell>
          <cell r="T950">
            <v>2000</v>
          </cell>
          <cell r="U950">
            <v>4</v>
          </cell>
          <cell r="V950">
            <v>2000</v>
          </cell>
          <cell r="W950">
            <v>4</v>
          </cell>
          <cell r="X950">
            <v>0</v>
          </cell>
          <cell r="Y950">
            <v>0</v>
          </cell>
          <cell r="Z950">
            <v>0</v>
          </cell>
          <cell r="AA950" t="str">
            <v>! ! !</v>
          </cell>
          <cell r="AC950">
            <v>0</v>
          </cell>
          <cell r="AE950" t="str">
            <v>x</v>
          </cell>
          <cell r="AG950">
            <v>40</v>
          </cell>
          <cell r="AJ950" t="str">
            <v>V-A</v>
          </cell>
          <cell r="AL950">
            <v>2400</v>
          </cell>
          <cell r="AM950">
            <v>2000</v>
          </cell>
          <cell r="AN950" t="e">
            <v>#VALUE!</v>
          </cell>
          <cell r="AO950" t="e">
            <v>#VALUE!</v>
          </cell>
          <cell r="AP950">
            <v>400</v>
          </cell>
        </row>
        <row r="951">
          <cell r="A951">
            <v>63960700</v>
          </cell>
          <cell r="C951">
            <v>100907</v>
          </cell>
          <cell r="D951" t="str">
            <v xml:space="preserve">VAT VEG MACARONI TOMATENSAUS                          </v>
          </cell>
          <cell r="E951" t="str">
            <v>VAT, veg</v>
          </cell>
          <cell r="F951" t="str">
            <v>40336300 OLAF 30 290MM</v>
          </cell>
          <cell r="G951" t="str">
            <v>C2227-1H evolve</v>
          </cell>
          <cell r="H951">
            <v>456</v>
          </cell>
          <cell r="I951">
            <v>0.5</v>
          </cell>
          <cell r="J951" t="str">
            <v>NVT</v>
          </cell>
          <cell r="K951" t="str">
            <v>VAT</v>
          </cell>
          <cell r="L951">
            <v>6</v>
          </cell>
          <cell r="M951" t="str">
            <v>VAT</v>
          </cell>
          <cell r="N951">
            <v>120</v>
          </cell>
          <cell r="O951">
            <v>8717568242170</v>
          </cell>
          <cell r="P951" t="str">
            <v>2T-M -K</v>
          </cell>
          <cell r="Q951">
            <v>2</v>
          </cell>
          <cell r="R951">
            <v>3</v>
          </cell>
          <cell r="S951" t="str">
            <v xml:space="preserve">OLAF-foli </v>
          </cell>
          <cell r="T951">
            <v>2200</v>
          </cell>
          <cell r="U951">
            <v>3</v>
          </cell>
          <cell r="V951">
            <v>2200</v>
          </cell>
          <cell r="W951">
            <v>3</v>
          </cell>
          <cell r="X951">
            <v>0</v>
          </cell>
          <cell r="Y951">
            <v>0</v>
          </cell>
          <cell r="Z951">
            <v>0</v>
          </cell>
          <cell r="AA951" t="str">
            <v>! ! !</v>
          </cell>
          <cell r="AC951">
            <v>0</v>
          </cell>
          <cell r="AE951" t="str">
            <v>x</v>
          </cell>
          <cell r="AG951">
            <v>45</v>
          </cell>
          <cell r="AJ951" t="str">
            <v>-</v>
          </cell>
          <cell r="AL951">
            <v>2700</v>
          </cell>
          <cell r="AM951">
            <v>2200</v>
          </cell>
          <cell r="AN951" t="e">
            <v>#VALUE!</v>
          </cell>
          <cell r="AO951" t="e">
            <v>#VALUE!</v>
          </cell>
          <cell r="AP951">
            <v>500</v>
          </cell>
        </row>
        <row r="952">
          <cell r="A952">
            <v>63962700</v>
          </cell>
          <cell r="C952">
            <v>106951</v>
          </cell>
          <cell r="D952" t="str">
            <v>VAT VEG LASAGNE MET GROENTEN LINZEN EN QUORN</v>
          </cell>
          <cell r="E952" t="str">
            <v>VAT, veg</v>
          </cell>
          <cell r="F952" t="str">
            <v>40336300 OLAF 30 290MM</v>
          </cell>
          <cell r="G952" t="str">
            <v>C2227-1H evolve</v>
          </cell>
          <cell r="H952">
            <v>456</v>
          </cell>
          <cell r="I952">
            <v>0.62</v>
          </cell>
          <cell r="J952" t="str">
            <v>NVT</v>
          </cell>
          <cell r="K952" t="str">
            <v>VAT</v>
          </cell>
          <cell r="L952">
            <v>6</v>
          </cell>
          <cell r="M952" t="str">
            <v>VAT</v>
          </cell>
          <cell r="N952">
            <v>120</v>
          </cell>
          <cell r="O952">
            <v>8717568244662</v>
          </cell>
          <cell r="P952" t="str">
            <v>3T-K</v>
          </cell>
          <cell r="Q952">
            <v>3</v>
          </cell>
          <cell r="R952">
            <v>3</v>
          </cell>
          <cell r="S952" t="str">
            <v>idem 63560300</v>
          </cell>
          <cell r="T952">
            <v>2000</v>
          </cell>
          <cell r="U952">
            <v>6</v>
          </cell>
          <cell r="V952">
            <v>2000</v>
          </cell>
          <cell r="W952">
            <v>6</v>
          </cell>
          <cell r="X952">
            <v>0</v>
          </cell>
          <cell r="Y952">
            <v>0</v>
          </cell>
          <cell r="Z952">
            <v>0</v>
          </cell>
          <cell r="AA952" t="str">
            <v>! !</v>
          </cell>
          <cell r="AC952">
            <v>0</v>
          </cell>
          <cell r="AG952">
            <v>40</v>
          </cell>
          <cell r="AJ952" t="str">
            <v>-</v>
          </cell>
          <cell r="AL952">
            <v>2400</v>
          </cell>
          <cell r="AM952">
            <v>2000</v>
          </cell>
          <cell r="AN952" t="e">
            <v>#VALUE!</v>
          </cell>
          <cell r="AO952" t="e">
            <v>#VALUE!</v>
          </cell>
          <cell r="AP952">
            <v>400</v>
          </cell>
        </row>
        <row r="953">
          <cell r="A953">
            <v>63962800</v>
          </cell>
          <cell r="C953">
            <v>106957</v>
          </cell>
          <cell r="D953" t="str">
            <v>VAT VEG GROENTEBURGER WORTELSAUS BULGUR</v>
          </cell>
          <cell r="E953" t="str">
            <v>VAT, veg</v>
          </cell>
          <cell r="F953" t="str">
            <v>40336300 OLAF 30 290MM</v>
          </cell>
          <cell r="G953" t="str">
            <v>C2227-1H evolve</v>
          </cell>
          <cell r="H953">
            <v>456</v>
          </cell>
          <cell r="I953">
            <v>0.54500000000000004</v>
          </cell>
          <cell r="J953" t="str">
            <v>NVT</v>
          </cell>
          <cell r="K953" t="str">
            <v>VAT</v>
          </cell>
          <cell r="L953">
            <v>6</v>
          </cell>
          <cell r="M953" t="str">
            <v>VAT</v>
          </cell>
          <cell r="N953">
            <v>120</v>
          </cell>
          <cell r="O953">
            <v>8717568244792</v>
          </cell>
          <cell r="P953" t="str">
            <v>M-T</v>
          </cell>
          <cell r="Q953">
            <v>3</v>
          </cell>
          <cell r="R953">
            <v>3</v>
          </cell>
          <cell r="S953" t="str">
            <v>BULGUR D-1, idem 63560600</v>
          </cell>
          <cell r="T953">
            <v>1750</v>
          </cell>
          <cell r="U953">
            <v>7</v>
          </cell>
          <cell r="V953">
            <v>1750</v>
          </cell>
          <cell r="W953">
            <v>7</v>
          </cell>
          <cell r="X953">
            <v>0</v>
          </cell>
          <cell r="Y953">
            <v>0</v>
          </cell>
          <cell r="Z953">
            <v>0</v>
          </cell>
          <cell r="AA953" t="str">
            <v>! ! !</v>
          </cell>
          <cell r="AC953">
            <v>0</v>
          </cell>
          <cell r="AJ953" t="str">
            <v>V-A</v>
          </cell>
          <cell r="AL953">
            <v>0</v>
          </cell>
          <cell r="AM953">
            <v>1750</v>
          </cell>
          <cell r="AN953" t="e">
            <v>#VALUE!</v>
          </cell>
          <cell r="AO953" t="e">
            <v>#VALUE!</v>
          </cell>
          <cell r="AP953">
            <v>-1750</v>
          </cell>
        </row>
        <row r="954">
          <cell r="A954">
            <v>63963300</v>
          </cell>
          <cell r="C954">
            <v>9633</v>
          </cell>
          <cell r="D954" t="str">
            <v>VAT VEG TAGLIATELLE CARBONARA RODE BIET SPEKJES</v>
          </cell>
          <cell r="E954" t="str">
            <v>VAT, veg</v>
          </cell>
          <cell r="F954" t="str">
            <v>40336300 OLAF 30 290MM</v>
          </cell>
          <cell r="G954" t="str">
            <v>C2227-1H evolve</v>
          </cell>
          <cell r="H954">
            <v>548</v>
          </cell>
          <cell r="I954">
            <v>0.5</v>
          </cell>
          <cell r="J954" t="str">
            <v>NVT</v>
          </cell>
          <cell r="K954" t="str">
            <v>VAT</v>
          </cell>
          <cell r="L954">
            <v>6</v>
          </cell>
          <cell r="M954" t="str">
            <v xml:space="preserve">VAT X 6 </v>
          </cell>
          <cell r="N954">
            <v>120</v>
          </cell>
          <cell r="O954">
            <v>8717568245256</v>
          </cell>
          <cell r="P954" t="str">
            <v>M-2T-K</v>
          </cell>
          <cell r="Q954">
            <v>2</v>
          </cell>
          <cell r="R954">
            <v>3</v>
          </cell>
          <cell r="S954" t="str">
            <v>idem 63563300</v>
          </cell>
          <cell r="T954">
            <v>2200</v>
          </cell>
          <cell r="U954">
            <v>6</v>
          </cell>
          <cell r="V954">
            <v>2200</v>
          </cell>
          <cell r="W954">
            <v>6</v>
          </cell>
          <cell r="X954">
            <v>0</v>
          </cell>
          <cell r="Y954">
            <v>0</v>
          </cell>
          <cell r="Z954">
            <v>0</v>
          </cell>
          <cell r="AA954" t="str">
            <v>! !</v>
          </cell>
          <cell r="AC954">
            <v>0</v>
          </cell>
          <cell r="AG954">
            <v>45</v>
          </cell>
          <cell r="AJ954" t="str">
            <v>V-A</v>
          </cell>
          <cell r="AK954" t="str">
            <v>ja</v>
          </cell>
          <cell r="AL954">
            <v>2700</v>
          </cell>
          <cell r="AM954">
            <v>2200</v>
          </cell>
          <cell r="AN954" t="e">
            <v>#VALUE!</v>
          </cell>
          <cell r="AO954" t="e">
            <v>#VALUE!</v>
          </cell>
          <cell r="AP954">
            <v>500</v>
          </cell>
        </row>
        <row r="955">
          <cell r="A955">
            <v>63970100</v>
          </cell>
          <cell r="C955">
            <v>9701</v>
          </cell>
          <cell r="D955" t="str">
            <v xml:space="preserve">VAT MIX VARKENSVLEES SPERZIEBONEN AARDAPPELPUREE      </v>
          </cell>
          <cell r="E955" t="str">
            <v>VAT, gemalen</v>
          </cell>
          <cell r="F955" t="str">
            <v>40336300 OLAF 30 290MM</v>
          </cell>
          <cell r="G955" t="str">
            <v>C2227-3R evolve</v>
          </cell>
          <cell r="H955">
            <v>456</v>
          </cell>
          <cell r="I955">
            <v>0.5</v>
          </cell>
          <cell r="J955" t="str">
            <v>NVT</v>
          </cell>
          <cell r="K955" t="str">
            <v>VAT</v>
          </cell>
          <cell r="L955">
            <v>6</v>
          </cell>
          <cell r="M955" t="str">
            <v xml:space="preserve">VAT X 6 </v>
          </cell>
          <cell r="N955">
            <v>120</v>
          </cell>
          <cell r="O955">
            <v>8717568241708</v>
          </cell>
          <cell r="P955" t="str">
            <v>2T-H</v>
          </cell>
          <cell r="Q955">
            <v>3</v>
          </cell>
          <cell r="R955">
            <v>3</v>
          </cell>
          <cell r="S955" t="str">
            <v>idem 63570100, D-1 STOOFVLEES (vacuumzakken)</v>
          </cell>
          <cell r="T955">
            <v>1750</v>
          </cell>
          <cell r="U955">
            <v>3</v>
          </cell>
          <cell r="V955">
            <v>1750</v>
          </cell>
          <cell r="W955">
            <v>3</v>
          </cell>
          <cell r="X955">
            <v>0</v>
          </cell>
          <cell r="Y955">
            <v>0</v>
          </cell>
          <cell r="Z955">
            <v>0</v>
          </cell>
          <cell r="AA955" t="str">
            <v>! ! !</v>
          </cell>
          <cell r="AC955">
            <v>0</v>
          </cell>
          <cell r="AE955" t="str">
            <v>x</v>
          </cell>
          <cell r="AJ955" t="str">
            <v>V-A</v>
          </cell>
          <cell r="AL955">
            <v>0</v>
          </cell>
          <cell r="AM955">
            <v>1750</v>
          </cell>
          <cell r="AN955" t="e">
            <v>#VALUE!</v>
          </cell>
          <cell r="AO955" t="e">
            <v>#VALUE!</v>
          </cell>
          <cell r="AP955">
            <v>-1750</v>
          </cell>
        </row>
        <row r="956">
          <cell r="A956">
            <v>63970200</v>
          </cell>
          <cell r="C956">
            <v>9702</v>
          </cell>
          <cell r="D956" t="str">
            <v xml:space="preserve">VAT MIX KIP MET WORTELTJES EN AARDAPPELPUREE          </v>
          </cell>
          <cell r="E956" t="str">
            <v>VAT, gemalen</v>
          </cell>
          <cell r="F956" t="str">
            <v>40336300 OLAF 30 290MM</v>
          </cell>
          <cell r="G956" t="str">
            <v>C2227-3R evolve</v>
          </cell>
          <cell r="H956">
            <v>456</v>
          </cell>
          <cell r="I956">
            <v>0.5</v>
          </cell>
          <cell r="J956" t="str">
            <v>NVT</v>
          </cell>
          <cell r="K956" t="str">
            <v>VAT</v>
          </cell>
          <cell r="L956">
            <v>6</v>
          </cell>
          <cell r="M956" t="str">
            <v xml:space="preserve">VAT X 6 </v>
          </cell>
          <cell r="N956">
            <v>120</v>
          </cell>
          <cell r="O956">
            <v>8717568241715</v>
          </cell>
          <cell r="P956" t="str">
            <v>H-2T</v>
          </cell>
          <cell r="Q956">
            <v>3</v>
          </cell>
          <cell r="R956">
            <v>3</v>
          </cell>
          <cell r="S956" t="str">
            <v>idem 63570200</v>
          </cell>
          <cell r="T956">
            <v>2000</v>
          </cell>
          <cell r="U956">
            <v>3</v>
          </cell>
          <cell r="V956">
            <v>2000</v>
          </cell>
          <cell r="W956">
            <v>3</v>
          </cell>
          <cell r="X956">
            <v>0</v>
          </cell>
          <cell r="Y956">
            <v>0</v>
          </cell>
          <cell r="Z956">
            <v>0</v>
          </cell>
          <cell r="AA956" t="str">
            <v>! ! !</v>
          </cell>
          <cell r="AC956">
            <v>0</v>
          </cell>
          <cell r="AE956" t="str">
            <v>x</v>
          </cell>
          <cell r="AG956">
            <v>40</v>
          </cell>
          <cell r="AJ956" t="str">
            <v>-</v>
          </cell>
          <cell r="AL956">
            <v>2400</v>
          </cell>
          <cell r="AM956">
            <v>2000</v>
          </cell>
          <cell r="AN956" t="e">
            <v>#VALUE!</v>
          </cell>
          <cell r="AO956" t="e">
            <v>#VALUE!</v>
          </cell>
          <cell r="AP956">
            <v>400</v>
          </cell>
        </row>
        <row r="957">
          <cell r="A957">
            <v>63970300</v>
          </cell>
          <cell r="C957">
            <v>9703</v>
          </cell>
          <cell r="D957" t="str">
            <v xml:space="preserve">VAT MIX GEHAKT MET PREI EN AARDAPPELPUREE             </v>
          </cell>
          <cell r="E957" t="str">
            <v>VAT, gemalen</v>
          </cell>
          <cell r="F957" t="str">
            <v>40336300 OLAF 30 290MM</v>
          </cell>
          <cell r="G957" t="str">
            <v>C2227-3R evolve</v>
          </cell>
          <cell r="H957">
            <v>456</v>
          </cell>
          <cell r="I957">
            <v>0.5</v>
          </cell>
          <cell r="J957" t="str">
            <v>NVT</v>
          </cell>
          <cell r="K957" t="str">
            <v>VAT</v>
          </cell>
          <cell r="L957">
            <v>6</v>
          </cell>
          <cell r="M957" t="str">
            <v xml:space="preserve">VAT X 6 </v>
          </cell>
          <cell r="N957">
            <v>120</v>
          </cell>
          <cell r="O957">
            <v>8717568241722</v>
          </cell>
          <cell r="P957" t="str">
            <v>2H-2T</v>
          </cell>
          <cell r="Q957">
            <v>3</v>
          </cell>
          <cell r="R957">
            <v>3</v>
          </cell>
          <cell r="S957" t="str">
            <v>idem 63570300</v>
          </cell>
          <cell r="T957">
            <v>2200</v>
          </cell>
          <cell r="U957">
            <v>1</v>
          </cell>
          <cell r="V957">
            <v>2200</v>
          </cell>
          <cell r="W957">
            <v>1</v>
          </cell>
          <cell r="X957">
            <v>0</v>
          </cell>
          <cell r="Y957">
            <v>0</v>
          </cell>
          <cell r="Z957">
            <v>0</v>
          </cell>
          <cell r="AA957" t="str">
            <v>! ! !</v>
          </cell>
          <cell r="AC957">
            <v>0</v>
          </cell>
          <cell r="AE957" t="str">
            <v>x</v>
          </cell>
          <cell r="AG957">
            <v>45</v>
          </cell>
          <cell r="AJ957" t="str">
            <v>V-A</v>
          </cell>
          <cell r="AL957">
            <v>2700</v>
          </cell>
          <cell r="AM957">
            <v>2200</v>
          </cell>
          <cell r="AN957" t="e">
            <v>#VALUE!</v>
          </cell>
          <cell r="AO957" t="e">
            <v>#VALUE!</v>
          </cell>
          <cell r="AP957">
            <v>500</v>
          </cell>
        </row>
        <row r="958">
          <cell r="A958">
            <v>63970400</v>
          </cell>
          <cell r="C958">
            <v>9704</v>
          </cell>
          <cell r="D958" t="str">
            <v xml:space="preserve">VAT MIX RUNDVLEES MET RODE KOOL EN AARDAPPELPUREE     </v>
          </cell>
          <cell r="E958" t="str">
            <v>VAT, gemalen</v>
          </cell>
          <cell r="F958" t="str">
            <v>40336300 OLAF 30 290MM</v>
          </cell>
          <cell r="G958" t="str">
            <v>C2227-3R evolve</v>
          </cell>
          <cell r="H958">
            <v>456</v>
          </cell>
          <cell r="I958">
            <v>0.5</v>
          </cell>
          <cell r="J958" t="str">
            <v>NVT</v>
          </cell>
          <cell r="K958" t="str">
            <v>VAT</v>
          </cell>
          <cell r="L958">
            <v>6</v>
          </cell>
          <cell r="M958" t="str">
            <v xml:space="preserve">VAT X 6 </v>
          </cell>
          <cell r="N958">
            <v>120</v>
          </cell>
          <cell r="O958">
            <v>8717568241739</v>
          </cell>
          <cell r="P958" t="str">
            <v>2H-2T</v>
          </cell>
          <cell r="Q958">
            <v>3</v>
          </cell>
          <cell r="R958">
            <v>3</v>
          </cell>
          <cell r="S958" t="str">
            <v>idem 63570400</v>
          </cell>
          <cell r="T958">
            <v>2200</v>
          </cell>
          <cell r="U958">
            <v>1</v>
          </cell>
          <cell r="V958">
            <v>2200</v>
          </cell>
          <cell r="W958">
            <v>1</v>
          </cell>
          <cell r="X958">
            <v>0</v>
          </cell>
          <cell r="Y958">
            <v>0</v>
          </cell>
          <cell r="Z958">
            <v>0</v>
          </cell>
          <cell r="AA958" t="str">
            <v>! ! !</v>
          </cell>
          <cell r="AC958">
            <v>0</v>
          </cell>
          <cell r="AE958" t="str">
            <v>x</v>
          </cell>
          <cell r="AG958">
            <v>45</v>
          </cell>
          <cell r="AJ958" t="str">
            <v>V-A</v>
          </cell>
          <cell r="AL958">
            <v>2700</v>
          </cell>
          <cell r="AM958">
            <v>2200</v>
          </cell>
          <cell r="AN958" t="e">
            <v>#VALUE!</v>
          </cell>
          <cell r="AO958" t="e">
            <v>#VALUE!</v>
          </cell>
          <cell r="AP958">
            <v>500</v>
          </cell>
        </row>
        <row r="959">
          <cell r="A959">
            <v>63970500</v>
          </cell>
          <cell r="C959">
            <v>9705</v>
          </cell>
          <cell r="D959" t="str">
            <v xml:space="preserve">VAT MIX KIP IN CREMESAUS BROCCOLI AARDAPPELPUREE      </v>
          </cell>
          <cell r="E959" t="str">
            <v>VAT, gemalen</v>
          </cell>
          <cell r="F959" t="str">
            <v>40336300 OLAF 30 290MM</v>
          </cell>
          <cell r="G959" t="str">
            <v>C2227-3R evolve</v>
          </cell>
          <cell r="H959">
            <v>456</v>
          </cell>
          <cell r="I959">
            <v>0.5</v>
          </cell>
          <cell r="J959" t="str">
            <v>NVT</v>
          </cell>
          <cell r="K959" t="str">
            <v>VAT</v>
          </cell>
          <cell r="L959">
            <v>6</v>
          </cell>
          <cell r="M959" t="str">
            <v xml:space="preserve">VAT X 6 </v>
          </cell>
          <cell r="N959">
            <v>120</v>
          </cell>
          <cell r="O959">
            <v>8717568241746</v>
          </cell>
          <cell r="P959" t="str">
            <v>H-2T</v>
          </cell>
          <cell r="Q959">
            <v>3</v>
          </cell>
          <cell r="R959">
            <v>3</v>
          </cell>
          <cell r="S959" t="str">
            <v>idem 63570500</v>
          </cell>
          <cell r="T959">
            <v>1750</v>
          </cell>
          <cell r="U959">
            <v>3</v>
          </cell>
          <cell r="V959">
            <v>1750</v>
          </cell>
          <cell r="W959">
            <v>3</v>
          </cell>
          <cell r="X959">
            <v>0</v>
          </cell>
          <cell r="Y959">
            <v>0</v>
          </cell>
          <cell r="Z959">
            <v>0</v>
          </cell>
          <cell r="AA959" t="str">
            <v>! !</v>
          </cell>
          <cell r="AC959">
            <v>0</v>
          </cell>
          <cell r="AE959" t="str">
            <v>x</v>
          </cell>
          <cell r="AG959">
            <v>33</v>
          </cell>
          <cell r="AJ959" t="str">
            <v>-</v>
          </cell>
          <cell r="AL959">
            <v>1980</v>
          </cell>
          <cell r="AM959">
            <v>1750</v>
          </cell>
          <cell r="AN959" t="e">
            <v>#VALUE!</v>
          </cell>
          <cell r="AO959" t="e">
            <v>#VALUE!</v>
          </cell>
          <cell r="AP959">
            <v>230</v>
          </cell>
        </row>
        <row r="960">
          <cell r="A960">
            <v>63970600</v>
          </cell>
          <cell r="C960">
            <v>9706</v>
          </cell>
          <cell r="D960" t="str">
            <v xml:space="preserve">VAT MIX ZALM IN VISSAUS WORTELEN AARDAPPELPUREE       </v>
          </cell>
          <cell r="E960" t="str">
            <v>VAT, gemalen</v>
          </cell>
          <cell r="F960" t="str">
            <v>40336300 OLAF 30 290MM</v>
          </cell>
          <cell r="G960" t="str">
            <v>C2227-3R evolve</v>
          </cell>
          <cell r="H960">
            <v>456</v>
          </cell>
          <cell r="I960">
            <v>0.5</v>
          </cell>
          <cell r="J960" t="str">
            <v>NVT</v>
          </cell>
          <cell r="K960" t="str">
            <v>VAT</v>
          </cell>
          <cell r="L960">
            <v>6</v>
          </cell>
          <cell r="M960" t="str">
            <v xml:space="preserve">VAT X 6 </v>
          </cell>
          <cell r="N960">
            <v>120</v>
          </cell>
          <cell r="O960">
            <v>8717568241753</v>
          </cell>
          <cell r="P960" t="str">
            <v>H-2T</v>
          </cell>
          <cell r="Q960">
            <v>3</v>
          </cell>
          <cell r="R960">
            <v>3</v>
          </cell>
          <cell r="S960" t="str">
            <v>zalm verzagen (227g)</v>
          </cell>
          <cell r="T960">
            <v>1750</v>
          </cell>
          <cell r="U960">
            <v>3</v>
          </cell>
          <cell r="V960">
            <v>1750</v>
          </cell>
          <cell r="W960">
            <v>3</v>
          </cell>
          <cell r="X960">
            <v>0</v>
          </cell>
          <cell r="Y960">
            <v>0</v>
          </cell>
          <cell r="Z960">
            <v>0</v>
          </cell>
          <cell r="AA960" t="str">
            <v>! ! ! !</v>
          </cell>
          <cell r="AC960">
            <v>0</v>
          </cell>
          <cell r="AE960" t="str">
            <v>x</v>
          </cell>
          <cell r="AG960">
            <v>35</v>
          </cell>
          <cell r="AJ960" t="str">
            <v>V-A</v>
          </cell>
          <cell r="AL960">
            <v>2100</v>
          </cell>
          <cell r="AM960">
            <v>1750</v>
          </cell>
          <cell r="AN960" t="e">
            <v>#VALUE!</v>
          </cell>
          <cell r="AO960" t="e">
            <v>#VALUE!</v>
          </cell>
          <cell r="AP960">
            <v>350</v>
          </cell>
        </row>
        <row r="961">
          <cell r="A961">
            <v>63970700</v>
          </cell>
          <cell r="C961">
            <v>9707</v>
          </cell>
          <cell r="D961" t="str">
            <v xml:space="preserve">VAT MIX VARKENSVLEES MET ERWTEN EN AARDAPPELPUREE     </v>
          </cell>
          <cell r="E961" t="str">
            <v>VAT, gemalen</v>
          </cell>
          <cell r="F961" t="str">
            <v>40336300 OLAF 30 290MM</v>
          </cell>
          <cell r="G961" t="str">
            <v>C2227-3R evolve</v>
          </cell>
          <cell r="H961">
            <v>456</v>
          </cell>
          <cell r="I961">
            <v>0.5</v>
          </cell>
          <cell r="J961" t="str">
            <v>NVT</v>
          </cell>
          <cell r="K961" t="str">
            <v>VAT</v>
          </cell>
          <cell r="L961">
            <v>6</v>
          </cell>
          <cell r="M961" t="str">
            <v xml:space="preserve">VAT X 6 </v>
          </cell>
          <cell r="N961">
            <v>120</v>
          </cell>
          <cell r="O961">
            <v>8717568241760</v>
          </cell>
          <cell r="P961" t="str">
            <v>2H-T</v>
          </cell>
          <cell r="Q961">
            <v>3</v>
          </cell>
          <cell r="R961">
            <v>3</v>
          </cell>
          <cell r="S961" t="str">
            <v>D-1 STOOFVLEES (vacuumzakken)</v>
          </cell>
          <cell r="T961">
            <v>1500</v>
          </cell>
          <cell r="U961">
            <v>3</v>
          </cell>
          <cell r="V961">
            <v>1500</v>
          </cell>
          <cell r="W961">
            <v>3</v>
          </cell>
          <cell r="X961">
            <v>0</v>
          </cell>
          <cell r="Y961">
            <v>0</v>
          </cell>
          <cell r="Z961">
            <v>0</v>
          </cell>
          <cell r="AA961" t="str">
            <v>! ! !</v>
          </cell>
          <cell r="AC961">
            <v>0.17420235998660999</v>
          </cell>
          <cell r="AE961" t="str">
            <v>x</v>
          </cell>
          <cell r="AG961">
            <v>32</v>
          </cell>
          <cell r="AJ961" t="str">
            <v>V-A</v>
          </cell>
          <cell r="AL961">
            <v>1920</v>
          </cell>
          <cell r="AM961">
            <v>1500</v>
          </cell>
          <cell r="AN961" t="e">
            <v>#VALUE!</v>
          </cell>
          <cell r="AO961" t="e">
            <v>#VALUE!</v>
          </cell>
          <cell r="AP961">
            <v>420</v>
          </cell>
        </row>
        <row r="962">
          <cell r="A962">
            <v>63970800</v>
          </cell>
          <cell r="C962">
            <v>9708</v>
          </cell>
          <cell r="D962" t="str">
            <v xml:space="preserve">VAT MIX HUTSEPOT MET RUNDVLEES                         </v>
          </cell>
          <cell r="E962" t="str">
            <v>VAT, gemalen</v>
          </cell>
          <cell r="F962" t="str">
            <v>40336300 OLAF 30 290MM</v>
          </cell>
          <cell r="G962" t="str">
            <v>C2227-2K evolve</v>
          </cell>
          <cell r="H962">
            <v>456</v>
          </cell>
          <cell r="I962">
            <v>0.5</v>
          </cell>
          <cell r="J962" t="str">
            <v>NVT</v>
          </cell>
          <cell r="K962" t="str">
            <v>VAT</v>
          </cell>
          <cell r="L962">
            <v>6</v>
          </cell>
          <cell r="M962" t="str">
            <v xml:space="preserve">VAT X 6 </v>
          </cell>
          <cell r="N962">
            <v>120</v>
          </cell>
          <cell r="O962">
            <v>8717568241777</v>
          </cell>
          <cell r="P962" t="str">
            <v>H-2T</v>
          </cell>
          <cell r="Q962">
            <v>3</v>
          </cell>
          <cell r="R962">
            <v>3</v>
          </cell>
          <cell r="S962" t="str">
            <v>idem 63570800</v>
          </cell>
          <cell r="T962">
            <v>1750</v>
          </cell>
          <cell r="U962">
            <v>1</v>
          </cell>
          <cell r="V962">
            <v>1750</v>
          </cell>
          <cell r="W962">
            <v>1</v>
          </cell>
          <cell r="X962">
            <v>0</v>
          </cell>
          <cell r="Y962">
            <v>0</v>
          </cell>
          <cell r="Z962">
            <v>0</v>
          </cell>
          <cell r="AA962" t="str">
            <v>! ! !</v>
          </cell>
          <cell r="AC962">
            <v>0</v>
          </cell>
          <cell r="AE962" t="str">
            <v>x</v>
          </cell>
          <cell r="AG962">
            <v>40</v>
          </cell>
          <cell r="AJ962" t="str">
            <v>V-A</v>
          </cell>
          <cell r="AL962">
            <v>2400</v>
          </cell>
          <cell r="AM962">
            <v>1750</v>
          </cell>
          <cell r="AN962" t="e">
            <v>#VALUE!</v>
          </cell>
          <cell r="AO962" t="e">
            <v>#VALUE!</v>
          </cell>
          <cell r="AP962">
            <v>650</v>
          </cell>
        </row>
        <row r="963">
          <cell r="A963">
            <v>63970900</v>
          </cell>
          <cell r="C963">
            <v>9709</v>
          </cell>
          <cell r="D963" t="str">
            <v xml:space="preserve">VAT MIX BOERENKOOL MET RUNDERGEHAKT                   </v>
          </cell>
          <cell r="E963" t="str">
            <v>VAT, gemalen</v>
          </cell>
          <cell r="F963" t="str">
            <v>40336300 OLAF 30 290MM</v>
          </cell>
          <cell r="G963" t="str">
            <v>C2227-2K evolve</v>
          </cell>
          <cell r="H963">
            <v>456</v>
          </cell>
          <cell r="I963">
            <v>0.5</v>
          </cell>
          <cell r="J963" t="str">
            <v>NVT</v>
          </cell>
          <cell r="K963" t="str">
            <v>VAT</v>
          </cell>
          <cell r="L963">
            <v>6</v>
          </cell>
          <cell r="M963" t="str">
            <v xml:space="preserve">VAT X 6 </v>
          </cell>
          <cell r="N963">
            <v>120</v>
          </cell>
          <cell r="O963">
            <v>8717568241784</v>
          </cell>
          <cell r="P963" t="str">
            <v>H-2T</v>
          </cell>
          <cell r="Q963">
            <v>3</v>
          </cell>
          <cell r="R963">
            <v>3</v>
          </cell>
          <cell r="T963">
            <v>1750</v>
          </cell>
          <cell r="U963">
            <v>1</v>
          </cell>
          <cell r="V963">
            <v>1750</v>
          </cell>
          <cell r="W963">
            <v>1</v>
          </cell>
          <cell r="X963">
            <v>0</v>
          </cell>
          <cell r="Y963">
            <v>0</v>
          </cell>
          <cell r="Z963">
            <v>0</v>
          </cell>
          <cell r="AA963" t="str">
            <v>! ! !</v>
          </cell>
          <cell r="AC963">
            <v>0</v>
          </cell>
          <cell r="AE963" t="str">
            <v>x</v>
          </cell>
          <cell r="AG963">
            <v>35</v>
          </cell>
          <cell r="AJ963" t="str">
            <v>-</v>
          </cell>
          <cell r="AL963">
            <v>2100</v>
          </cell>
          <cell r="AM963">
            <v>1750</v>
          </cell>
          <cell r="AN963" t="e">
            <v>#VALUE!</v>
          </cell>
          <cell r="AO963" t="e">
            <v>#VALUE!</v>
          </cell>
          <cell r="AP963">
            <v>350</v>
          </cell>
        </row>
        <row r="964">
          <cell r="A964">
            <v>63971000</v>
          </cell>
          <cell r="C964">
            <v>9710</v>
          </cell>
          <cell r="D964" t="str">
            <v xml:space="preserve">VAT MIX RUNDVLEES MET RODE BIETJES AARDAPPELPUREE     </v>
          </cell>
          <cell r="E964" t="str">
            <v>VAT, gemalen</v>
          </cell>
          <cell r="F964" t="str">
            <v>40336300 OLAF 30 290MM</v>
          </cell>
          <cell r="G964" t="str">
            <v>C2227-3R evolve</v>
          </cell>
          <cell r="H964">
            <v>456</v>
          </cell>
          <cell r="I964">
            <v>0.5</v>
          </cell>
          <cell r="J964" t="str">
            <v>NVT</v>
          </cell>
          <cell r="K964" t="str">
            <v>VAT</v>
          </cell>
          <cell r="L964">
            <v>6</v>
          </cell>
          <cell r="M964" t="str">
            <v xml:space="preserve">VAT X 6 </v>
          </cell>
          <cell r="N964">
            <v>120</v>
          </cell>
          <cell r="O964">
            <v>8717568241791</v>
          </cell>
          <cell r="P964" t="str">
            <v>H-3T</v>
          </cell>
          <cell r="Q964">
            <v>3</v>
          </cell>
          <cell r="R964">
            <v>3</v>
          </cell>
          <cell r="T964">
            <v>2000</v>
          </cell>
          <cell r="U964">
            <v>1</v>
          </cell>
          <cell r="V964">
            <v>2000</v>
          </cell>
          <cell r="W964">
            <v>1</v>
          </cell>
          <cell r="X964">
            <v>0</v>
          </cell>
          <cell r="Y964">
            <v>0</v>
          </cell>
          <cell r="Z964">
            <v>0</v>
          </cell>
          <cell r="AA964" t="str">
            <v>! ! !</v>
          </cell>
          <cell r="AC964">
            <v>0</v>
          </cell>
          <cell r="AE964" t="str">
            <v>x</v>
          </cell>
          <cell r="AG964">
            <v>40</v>
          </cell>
          <cell r="AJ964" t="str">
            <v>V-A</v>
          </cell>
          <cell r="AL964">
            <v>2400</v>
          </cell>
          <cell r="AM964">
            <v>2000</v>
          </cell>
          <cell r="AN964" t="e">
            <v>#VALUE!</v>
          </cell>
          <cell r="AO964" t="e">
            <v>#VALUE!</v>
          </cell>
          <cell r="AP964">
            <v>400</v>
          </cell>
        </row>
        <row r="965">
          <cell r="A965">
            <v>63971200</v>
          </cell>
          <cell r="C965">
            <v>9712</v>
          </cell>
          <cell r="D965" t="str">
            <v xml:space="preserve">VAT MIX GEHAKT MET BLOEMKOOL EN KNOLSELDERIJPUREE     </v>
          </cell>
          <cell r="E965" t="str">
            <v>VAT, gemalen</v>
          </cell>
          <cell r="F965" t="str">
            <v>40336300 OLAF 30 290MM</v>
          </cell>
          <cell r="G965" t="str">
            <v>C2227-3R evolve</v>
          </cell>
          <cell r="H965">
            <v>456</v>
          </cell>
          <cell r="I965">
            <v>0.5</v>
          </cell>
          <cell r="J965" t="str">
            <v>NVT</v>
          </cell>
          <cell r="K965" t="str">
            <v>VAT</v>
          </cell>
          <cell r="L965">
            <v>6</v>
          </cell>
          <cell r="M965" t="str">
            <v xml:space="preserve">VAT X 6 </v>
          </cell>
          <cell r="N965">
            <v>120</v>
          </cell>
          <cell r="O965">
            <v>8717568241814</v>
          </cell>
          <cell r="P965" t="str">
            <v>H-2T</v>
          </cell>
          <cell r="Q965">
            <v>3</v>
          </cell>
          <cell r="R965">
            <v>3</v>
          </cell>
          <cell r="T965">
            <v>1500</v>
          </cell>
          <cell r="U965">
            <v>3</v>
          </cell>
          <cell r="V965">
            <v>1500</v>
          </cell>
          <cell r="W965">
            <v>3</v>
          </cell>
          <cell r="X965">
            <v>0</v>
          </cell>
          <cell r="Y965">
            <v>0</v>
          </cell>
          <cell r="Z965">
            <v>0</v>
          </cell>
          <cell r="AA965" t="str">
            <v>! ! !</v>
          </cell>
          <cell r="AC965">
            <v>0</v>
          </cell>
          <cell r="AE965" t="str">
            <v>x</v>
          </cell>
          <cell r="AG965">
            <v>32</v>
          </cell>
          <cell r="AJ965" t="str">
            <v>V-A</v>
          </cell>
          <cell r="AL965">
            <v>1920</v>
          </cell>
          <cell r="AM965">
            <v>1500</v>
          </cell>
          <cell r="AN965" t="e">
            <v>#VALUE!</v>
          </cell>
          <cell r="AO965" t="e">
            <v>#VALUE!</v>
          </cell>
          <cell r="AP965">
            <v>420</v>
          </cell>
        </row>
        <row r="966">
          <cell r="A966">
            <v>63971300</v>
          </cell>
          <cell r="C966">
            <v>9713</v>
          </cell>
          <cell r="D966" t="str">
            <v xml:space="preserve">VAT MIX KIP MET SPERZIEBOONTJES EN AARDAPPELPUREE     </v>
          </cell>
          <cell r="E966" t="str">
            <v>VAT, gemalen</v>
          </cell>
          <cell r="F966" t="str">
            <v>40336300 OLAF 30 290MM</v>
          </cell>
          <cell r="G966" t="str">
            <v>C2227-3R evolve</v>
          </cell>
          <cell r="H966">
            <v>456</v>
          </cell>
          <cell r="I966">
            <v>0.5</v>
          </cell>
          <cell r="J966" t="str">
            <v>NVT</v>
          </cell>
          <cell r="K966" t="str">
            <v>VAT</v>
          </cell>
          <cell r="L966">
            <v>6</v>
          </cell>
          <cell r="M966" t="str">
            <v xml:space="preserve">VAT X 6 </v>
          </cell>
          <cell r="N966">
            <v>120</v>
          </cell>
          <cell r="O966">
            <v>8717568242309</v>
          </cell>
          <cell r="P966" t="str">
            <v>H-2T</v>
          </cell>
          <cell r="Q966">
            <v>3</v>
          </cell>
          <cell r="R966">
            <v>3</v>
          </cell>
          <cell r="T966">
            <v>2000</v>
          </cell>
          <cell r="U966">
            <v>4</v>
          </cell>
          <cell r="V966">
            <v>2000</v>
          </cell>
          <cell r="W966">
            <v>4</v>
          </cell>
          <cell r="X966">
            <v>0</v>
          </cell>
          <cell r="Y966">
            <v>0</v>
          </cell>
          <cell r="Z966">
            <v>0</v>
          </cell>
          <cell r="AA966" t="str">
            <v>! ! !</v>
          </cell>
          <cell r="AC966">
            <v>0</v>
          </cell>
          <cell r="AE966" t="str">
            <v>x</v>
          </cell>
          <cell r="AG966">
            <v>40</v>
          </cell>
          <cell r="AJ966" t="str">
            <v>-</v>
          </cell>
          <cell r="AL966">
            <v>2400</v>
          </cell>
          <cell r="AM966">
            <v>2000</v>
          </cell>
          <cell r="AN966" t="e">
            <v>#VALUE!</v>
          </cell>
          <cell r="AO966" t="e">
            <v>#VALUE!</v>
          </cell>
          <cell r="AP966">
            <v>400</v>
          </cell>
        </row>
        <row r="967">
          <cell r="A967">
            <v>63971400</v>
          </cell>
          <cell r="C967">
            <v>9714</v>
          </cell>
          <cell r="D967" t="str">
            <v xml:space="preserve">VAT MIX RUNDERHACHEE MET RODE KOOL AARDAPPELPUREE     </v>
          </cell>
          <cell r="E967" t="str">
            <v>VAT, gemalen</v>
          </cell>
          <cell r="F967" t="str">
            <v>40336300 OLAF 30 290MM</v>
          </cell>
          <cell r="G967" t="str">
            <v>C2227-3R evolve</v>
          </cell>
          <cell r="H967">
            <v>456</v>
          </cell>
          <cell r="I967">
            <v>0.5</v>
          </cell>
          <cell r="J967" t="str">
            <v>NVT</v>
          </cell>
          <cell r="K967" t="str">
            <v>VAT</v>
          </cell>
          <cell r="L967">
            <v>6</v>
          </cell>
          <cell r="M967" t="str">
            <v xml:space="preserve">VAT X 6 </v>
          </cell>
          <cell r="N967">
            <v>120</v>
          </cell>
          <cell r="O967">
            <v>8717568242316</v>
          </cell>
          <cell r="P967" t="str">
            <v>H-3T</v>
          </cell>
          <cell r="Q967">
            <v>3</v>
          </cell>
          <cell r="R967">
            <v>3</v>
          </cell>
          <cell r="S967" t="str">
            <v>idem 63571400</v>
          </cell>
          <cell r="T967">
            <v>1750</v>
          </cell>
          <cell r="U967">
            <v>1</v>
          </cell>
          <cell r="V967">
            <v>1750</v>
          </cell>
          <cell r="W967">
            <v>1</v>
          </cell>
          <cell r="X967">
            <v>0</v>
          </cell>
          <cell r="Y967">
            <v>0</v>
          </cell>
          <cell r="Z967">
            <v>0</v>
          </cell>
          <cell r="AA967" t="str">
            <v>! ! !</v>
          </cell>
          <cell r="AC967">
            <v>0</v>
          </cell>
          <cell r="AE967" t="str">
            <v>x</v>
          </cell>
          <cell r="AG967">
            <v>40</v>
          </cell>
          <cell r="AJ967" t="str">
            <v>-</v>
          </cell>
          <cell r="AL967">
            <v>2400</v>
          </cell>
          <cell r="AM967">
            <v>1750</v>
          </cell>
          <cell r="AN967" t="e">
            <v>#VALUE!</v>
          </cell>
          <cell r="AO967" t="e">
            <v>#VALUE!</v>
          </cell>
          <cell r="AP967">
            <v>650</v>
          </cell>
        </row>
        <row r="968">
          <cell r="A968">
            <v>63971500</v>
          </cell>
          <cell r="C968">
            <v>9715</v>
          </cell>
          <cell r="D968" t="str">
            <v xml:space="preserve">VAT MIX RUNDERGEHAKT MET WITLOF EN AARDAPPELPUREE     </v>
          </cell>
          <cell r="E968" t="str">
            <v>VAT, gemalen</v>
          </cell>
          <cell r="F968" t="str">
            <v>40336300 OLAF 30 290MM</v>
          </cell>
          <cell r="G968" t="str">
            <v>C2227-3R evolve</v>
          </cell>
          <cell r="H968">
            <v>456</v>
          </cell>
          <cell r="I968">
            <v>0.5</v>
          </cell>
          <cell r="J968" t="str">
            <v>NVT</v>
          </cell>
          <cell r="K968" t="str">
            <v>VAT</v>
          </cell>
          <cell r="L968">
            <v>6</v>
          </cell>
          <cell r="M968" t="str">
            <v xml:space="preserve">VAT X 6 </v>
          </cell>
          <cell r="N968">
            <v>120</v>
          </cell>
          <cell r="O968">
            <v>8717568242323</v>
          </cell>
          <cell r="P968" t="str">
            <v>H-2T</v>
          </cell>
          <cell r="Q968">
            <v>3</v>
          </cell>
          <cell r="R968">
            <v>3</v>
          </cell>
          <cell r="S968" t="str">
            <v>idem 63571500</v>
          </cell>
          <cell r="T968">
            <v>2000</v>
          </cell>
          <cell r="U968">
            <v>1</v>
          </cell>
          <cell r="V968">
            <v>2000</v>
          </cell>
          <cell r="W968">
            <v>1</v>
          </cell>
          <cell r="X968">
            <v>0</v>
          </cell>
          <cell r="Y968">
            <v>0</v>
          </cell>
          <cell r="Z968">
            <v>0</v>
          </cell>
          <cell r="AA968" t="str">
            <v>! ! !</v>
          </cell>
          <cell r="AC968">
            <v>0</v>
          </cell>
          <cell r="AE968" t="str">
            <v>x</v>
          </cell>
          <cell r="AG968">
            <v>42</v>
          </cell>
          <cell r="AJ968" t="str">
            <v>V-A</v>
          </cell>
          <cell r="AL968">
            <v>2520</v>
          </cell>
          <cell r="AM968">
            <v>2000</v>
          </cell>
          <cell r="AN968" t="e">
            <v>#VALUE!</v>
          </cell>
          <cell r="AO968" t="e">
            <v>#VALUE!</v>
          </cell>
          <cell r="AP968">
            <v>520</v>
          </cell>
        </row>
        <row r="969">
          <cell r="A969">
            <v>63971700</v>
          </cell>
          <cell r="C969">
            <v>9717</v>
          </cell>
          <cell r="D969" t="str">
            <v>VAT MIX ANDIJVIESTAMPPOT MET GEHAKT IN JUS</v>
          </cell>
          <cell r="E969" t="str">
            <v>VAT, gemalen</v>
          </cell>
          <cell r="F969" t="str">
            <v>40336300 OLAF 30 290MM</v>
          </cell>
          <cell r="G969" t="str">
            <v>C2227-2K evolve</v>
          </cell>
          <cell r="H969">
            <v>456</v>
          </cell>
          <cell r="I969">
            <v>0.5</v>
          </cell>
          <cell r="J969" t="str">
            <v>NVT</v>
          </cell>
          <cell r="K969" t="str">
            <v>VAT</v>
          </cell>
          <cell r="L969">
            <v>6</v>
          </cell>
          <cell r="M969" t="str">
            <v xml:space="preserve">VAT X 6 </v>
          </cell>
          <cell r="N969">
            <v>120</v>
          </cell>
          <cell r="O969">
            <v>8717568245003</v>
          </cell>
          <cell r="P969" t="str">
            <v>H-2T</v>
          </cell>
          <cell r="Q969">
            <v>3</v>
          </cell>
          <cell r="R969">
            <v>3</v>
          </cell>
          <cell r="S969" t="str">
            <v>idem 63571700</v>
          </cell>
          <cell r="T969">
            <v>2000</v>
          </cell>
          <cell r="U969">
            <v>1</v>
          </cell>
          <cell r="V969">
            <v>2000</v>
          </cell>
          <cell r="W969">
            <v>1</v>
          </cell>
          <cell r="X969">
            <v>0</v>
          </cell>
          <cell r="Y969">
            <v>0</v>
          </cell>
          <cell r="Z969">
            <v>0</v>
          </cell>
          <cell r="AA969" t="str">
            <v>! ! !</v>
          </cell>
          <cell r="AC969">
            <v>0</v>
          </cell>
          <cell r="AG969">
            <v>40</v>
          </cell>
          <cell r="AJ969" t="str">
            <v>V-A</v>
          </cell>
          <cell r="AL969">
            <v>2400</v>
          </cell>
          <cell r="AM969">
            <v>2000</v>
          </cell>
          <cell r="AN969" t="e">
            <v>#VALUE!</v>
          </cell>
          <cell r="AO969" t="e">
            <v>#VALUE!</v>
          </cell>
          <cell r="AP969">
            <v>400</v>
          </cell>
        </row>
        <row r="970">
          <cell r="A970">
            <v>63971800</v>
          </cell>
          <cell r="C970">
            <v>9718</v>
          </cell>
          <cell r="D970" t="str">
            <v>VAT MIX PROCUREURLAPJE JUS SPINAZIE AARDAPPELPUREE</v>
          </cell>
          <cell r="E970" t="str">
            <v>VAT, gemalen</v>
          </cell>
          <cell r="F970" t="str">
            <v>40336300 OLAF 30 290MM</v>
          </cell>
          <cell r="G970" t="str">
            <v>C2227-3R evolve</v>
          </cell>
          <cell r="H970">
            <v>456</v>
          </cell>
          <cell r="I970">
            <v>0.5</v>
          </cell>
          <cell r="J970" t="str">
            <v>NVT</v>
          </cell>
          <cell r="K970" t="str">
            <v>VAT</v>
          </cell>
          <cell r="L970">
            <v>6</v>
          </cell>
          <cell r="M970" t="str">
            <v xml:space="preserve">VAT X 6 </v>
          </cell>
          <cell r="N970">
            <v>120</v>
          </cell>
          <cell r="O970">
            <v>8717568245027</v>
          </cell>
          <cell r="P970" t="str">
            <v>H-3T</v>
          </cell>
          <cell r="Q970">
            <v>3</v>
          </cell>
          <cell r="R970">
            <v>3</v>
          </cell>
          <cell r="S970" t="str">
            <v>idem 63571800, D-1 STOOFVLEES (vacuumzakken)</v>
          </cell>
          <cell r="T970">
            <v>2000</v>
          </cell>
          <cell r="U970">
            <v>1</v>
          </cell>
          <cell r="V970">
            <v>2000</v>
          </cell>
          <cell r="W970">
            <v>1</v>
          </cell>
          <cell r="X970">
            <v>0</v>
          </cell>
          <cell r="Y970">
            <v>0</v>
          </cell>
          <cell r="Z970">
            <v>0</v>
          </cell>
          <cell r="AA970" t="str">
            <v>! ! !</v>
          </cell>
          <cell r="AC970">
            <v>0.10832889600000001</v>
          </cell>
          <cell r="AG970">
            <v>40</v>
          </cell>
          <cell r="AJ970" t="str">
            <v>V-A</v>
          </cell>
          <cell r="AL970">
            <v>2400</v>
          </cell>
          <cell r="AM970">
            <v>2000</v>
          </cell>
          <cell r="AN970" t="e">
            <v>#VALUE!</v>
          </cell>
          <cell r="AO970" t="e">
            <v>#VALUE!</v>
          </cell>
          <cell r="AP970">
            <v>400</v>
          </cell>
        </row>
        <row r="971">
          <cell r="A971">
            <v>63971900</v>
          </cell>
          <cell r="C971">
            <v>9719</v>
          </cell>
          <cell r="D971" t="str">
            <v xml:space="preserve">VAT MIX KABELJAUW MSC IN SAUS BROCCOLI EN KRUIDENPUREE      </v>
          </cell>
          <cell r="E971" t="str">
            <v>VAT, gemalen</v>
          </cell>
          <cell r="F971" t="str">
            <v>40336300 OLAF 30 290MM</v>
          </cell>
          <cell r="G971" t="str">
            <v>C2227-3R evolve</v>
          </cell>
          <cell r="H971">
            <v>456</v>
          </cell>
          <cell r="I971">
            <v>0.5</v>
          </cell>
          <cell r="J971" t="str">
            <v>NVT</v>
          </cell>
          <cell r="K971" t="str">
            <v>VAT</v>
          </cell>
          <cell r="L971">
            <v>6</v>
          </cell>
          <cell r="M971" t="str">
            <v xml:space="preserve">VAT X 6 </v>
          </cell>
          <cell r="N971">
            <v>120</v>
          </cell>
          <cell r="O971">
            <v>8717568241807</v>
          </cell>
          <cell r="P971" t="str">
            <v>H-2T</v>
          </cell>
          <cell r="Q971">
            <v>3</v>
          </cell>
          <cell r="R971">
            <v>3</v>
          </cell>
          <cell r="S971" t="str">
            <v>KABELJAUW verzagen (227g), idem 63571100</v>
          </cell>
          <cell r="T971">
            <v>2000</v>
          </cell>
          <cell r="U971">
            <v>3</v>
          </cell>
          <cell r="V971">
            <v>2000</v>
          </cell>
          <cell r="W971">
            <v>3</v>
          </cell>
          <cell r="X971">
            <v>0</v>
          </cell>
          <cell r="Y971">
            <v>0</v>
          </cell>
          <cell r="Z971">
            <v>0</v>
          </cell>
          <cell r="AA971" t="str">
            <v>! ! ! !</v>
          </cell>
          <cell r="AC971">
            <v>0</v>
          </cell>
          <cell r="AE971" t="str">
            <v>x</v>
          </cell>
          <cell r="AG971">
            <v>42</v>
          </cell>
          <cell r="AJ971" t="str">
            <v>V-A</v>
          </cell>
          <cell r="AL971">
            <v>2520</v>
          </cell>
          <cell r="AM971">
            <v>2000</v>
          </cell>
          <cell r="AN971" t="e">
            <v>#VALUE!</v>
          </cell>
          <cell r="AO971" t="e">
            <v>#VALUE!</v>
          </cell>
          <cell r="AP971">
            <v>520</v>
          </cell>
        </row>
        <row r="972">
          <cell r="A972">
            <v>63972000</v>
          </cell>
          <cell r="C972">
            <v>9720</v>
          </cell>
          <cell r="D972" t="str">
            <v>VAT MIX VIS MSC HOLLANDAISESAUS RODE BIETJES AARDAPPELPUREE</v>
          </cell>
          <cell r="E972" t="str">
            <v>VAT, gemalen</v>
          </cell>
          <cell r="F972" t="str">
            <v>40336300 OLAF 30 290MM</v>
          </cell>
          <cell r="G972" t="str">
            <v>C2227-3R evolve</v>
          </cell>
          <cell r="H972">
            <v>456</v>
          </cell>
          <cell r="I972">
            <v>0.5</v>
          </cell>
          <cell r="J972" t="str">
            <v>NVT</v>
          </cell>
          <cell r="K972" t="str">
            <v>VAT</v>
          </cell>
          <cell r="L972">
            <v>6</v>
          </cell>
          <cell r="M972" t="str">
            <v xml:space="preserve">VAT X 6 </v>
          </cell>
          <cell r="N972">
            <v>120</v>
          </cell>
          <cell r="O972">
            <v>8717568244983</v>
          </cell>
          <cell r="P972" t="str">
            <v>H-3T</v>
          </cell>
          <cell r="Q972">
            <v>3</v>
          </cell>
          <cell r="R972">
            <v>3</v>
          </cell>
          <cell r="S972" t="str">
            <v>Alaska Pollak verzagen (100g)</v>
          </cell>
          <cell r="T972">
            <v>2000</v>
          </cell>
          <cell r="U972">
            <v>1</v>
          </cell>
          <cell r="V972">
            <v>2000</v>
          </cell>
          <cell r="W972">
            <v>1</v>
          </cell>
          <cell r="X972">
            <v>0</v>
          </cell>
          <cell r="Y972">
            <v>0</v>
          </cell>
          <cell r="Z972">
            <v>0</v>
          </cell>
          <cell r="AA972" t="str">
            <v>! ! ! !</v>
          </cell>
          <cell r="AC972">
            <v>0</v>
          </cell>
          <cell r="AJ972" t="str">
            <v>V-A</v>
          </cell>
          <cell r="AL972">
            <v>0</v>
          </cell>
          <cell r="AM972">
            <v>2000</v>
          </cell>
          <cell r="AN972" t="e">
            <v>#VALUE!</v>
          </cell>
          <cell r="AO972" t="e">
            <v>#VALUE!</v>
          </cell>
          <cell r="AP972">
            <v>-2000</v>
          </cell>
        </row>
        <row r="973">
          <cell r="A973">
            <v>63980200</v>
          </cell>
          <cell r="C973">
            <v>9802</v>
          </cell>
          <cell r="D973" t="str">
            <v xml:space="preserve">VAT NA HUTSPOT HACHEE               </v>
          </cell>
          <cell r="E973" t="str">
            <v>VAT, dieet</v>
          </cell>
          <cell r="F973" t="str">
            <v>40336300 OLAF 30 290MM</v>
          </cell>
          <cell r="G973" t="str">
            <v>C2227-2K evolve</v>
          </cell>
          <cell r="H973">
            <v>456</v>
          </cell>
          <cell r="I973">
            <v>0.5</v>
          </cell>
          <cell r="J973" t="str">
            <v>NVT</v>
          </cell>
          <cell r="K973" t="str">
            <v>VAT</v>
          </cell>
          <cell r="L973">
            <v>6</v>
          </cell>
          <cell r="M973" t="str">
            <v xml:space="preserve">VAT X 6 </v>
          </cell>
          <cell r="N973">
            <v>120</v>
          </cell>
          <cell r="O973">
            <v>8717568241593</v>
          </cell>
          <cell r="P973" t="str">
            <v>H-T</v>
          </cell>
          <cell r="Q973">
            <v>3</v>
          </cell>
          <cell r="R973">
            <v>3</v>
          </cell>
          <cell r="S973" t="str">
            <v>pulled beef tussen D-4 en D-2</v>
          </cell>
          <cell r="T973">
            <v>1750</v>
          </cell>
          <cell r="U973">
            <v>1</v>
          </cell>
          <cell r="V973">
            <v>1750</v>
          </cell>
          <cell r="W973">
            <v>1</v>
          </cell>
          <cell r="X973">
            <v>0</v>
          </cell>
          <cell r="Y973">
            <v>0</v>
          </cell>
          <cell r="Z973">
            <v>0</v>
          </cell>
          <cell r="AA973" t="str">
            <v>! ! !</v>
          </cell>
          <cell r="AC973">
            <v>0</v>
          </cell>
          <cell r="AE973" t="str">
            <v>x</v>
          </cell>
          <cell r="AG973">
            <v>40</v>
          </cell>
          <cell r="AJ973" t="str">
            <v>-</v>
          </cell>
          <cell r="AL973">
            <v>2400</v>
          </cell>
          <cell r="AM973">
            <v>1750</v>
          </cell>
          <cell r="AN973" t="e">
            <v>#VALUE!</v>
          </cell>
          <cell r="AO973" t="e">
            <v>#VALUE!</v>
          </cell>
          <cell r="AP973">
            <v>650</v>
          </cell>
        </row>
        <row r="974">
          <cell r="A974">
            <v>63980300</v>
          </cell>
          <cell r="C974">
            <v>9803</v>
          </cell>
          <cell r="D974" t="str">
            <v xml:space="preserve">VAT NA BOERENKOOL MET EEN KALFSGEHAKTBAL             </v>
          </cell>
          <cell r="E974" t="str">
            <v>VAT, dieet</v>
          </cell>
          <cell r="F974" t="str">
            <v>40336300 OLAF 30 290MM</v>
          </cell>
          <cell r="G974" t="str">
            <v>C2227-2K evolve</v>
          </cell>
          <cell r="H974">
            <v>456</v>
          </cell>
          <cell r="I974">
            <v>0.5</v>
          </cell>
          <cell r="J974" t="str">
            <v>NVT</v>
          </cell>
          <cell r="K974" t="str">
            <v>VAT</v>
          </cell>
          <cell r="L974">
            <v>6</v>
          </cell>
          <cell r="M974" t="str">
            <v xml:space="preserve">VAT X 6 </v>
          </cell>
          <cell r="N974">
            <v>120</v>
          </cell>
          <cell r="O974">
            <v>8717568241609</v>
          </cell>
          <cell r="P974" t="str">
            <v>H-T</v>
          </cell>
          <cell r="Q974">
            <v>2</v>
          </cell>
          <cell r="R974">
            <v>3</v>
          </cell>
          <cell r="S974" t="str">
            <v>idem 63580500</v>
          </cell>
          <cell r="T974">
            <v>2200</v>
          </cell>
          <cell r="U974">
            <v>3</v>
          </cell>
          <cell r="V974">
            <v>2200</v>
          </cell>
          <cell r="W974">
            <v>3</v>
          </cell>
          <cell r="X974">
            <v>0</v>
          </cell>
          <cell r="Y974">
            <v>0</v>
          </cell>
          <cell r="Z974">
            <v>0</v>
          </cell>
          <cell r="AA974" t="str">
            <v>! ! !</v>
          </cell>
          <cell r="AC974">
            <v>3.5610157480314958E-2</v>
          </cell>
          <cell r="AE974" t="str">
            <v>x</v>
          </cell>
          <cell r="AG974">
            <v>45</v>
          </cell>
          <cell r="AJ974" t="str">
            <v>-</v>
          </cell>
          <cell r="AL974">
            <v>2700</v>
          </cell>
          <cell r="AM974">
            <v>2200</v>
          </cell>
          <cell r="AN974" t="e">
            <v>#VALUE!</v>
          </cell>
          <cell r="AO974" t="e">
            <v>#VALUE!</v>
          </cell>
          <cell r="AP974">
            <v>500</v>
          </cell>
        </row>
        <row r="975">
          <cell r="A975">
            <v>63980400</v>
          </cell>
          <cell r="C975">
            <v>9804</v>
          </cell>
          <cell r="D975" t="str">
            <v xml:space="preserve">VAT NA RUNDERHAMBURGER WITLOF GEKOOKTE AARDAPPELEN      </v>
          </cell>
          <cell r="E975" t="str">
            <v>VAT, dieet</v>
          </cell>
          <cell r="F975" t="str">
            <v>40336300 OLAF 30 290MM</v>
          </cell>
          <cell r="G975" t="str">
            <v>C2227-3R evolve</v>
          </cell>
          <cell r="H975">
            <v>456</v>
          </cell>
          <cell r="I975">
            <v>0.5</v>
          </cell>
          <cell r="J975" t="str">
            <v>NVT</v>
          </cell>
          <cell r="K975" t="str">
            <v>VAT</v>
          </cell>
          <cell r="L975">
            <v>6</v>
          </cell>
          <cell r="M975" t="str">
            <v xml:space="preserve">VAT X 6 </v>
          </cell>
          <cell r="N975">
            <v>120</v>
          </cell>
          <cell r="O975">
            <v>8717568241616</v>
          </cell>
          <cell r="P975" t="str">
            <v>2T</v>
          </cell>
          <cell r="Q975">
            <v>2.5</v>
          </cell>
          <cell r="R975">
            <v>3</v>
          </cell>
          <cell r="S975" t="str">
            <v>AARDAPPELEN steamen D-0</v>
          </cell>
          <cell r="T975">
            <v>2000</v>
          </cell>
          <cell r="U975">
            <v>4</v>
          </cell>
          <cell r="V975">
            <v>2000</v>
          </cell>
          <cell r="W975">
            <v>4</v>
          </cell>
          <cell r="X975">
            <v>0</v>
          </cell>
          <cell r="Y975">
            <v>0</v>
          </cell>
          <cell r="Z975">
            <v>0</v>
          </cell>
          <cell r="AA975" t="str">
            <v>! ! !</v>
          </cell>
          <cell r="AC975">
            <v>4.7775000000000005E-2</v>
          </cell>
          <cell r="AE975" t="str">
            <v>x</v>
          </cell>
          <cell r="AG975">
            <v>40</v>
          </cell>
          <cell r="AJ975" t="str">
            <v>V-A</v>
          </cell>
          <cell r="AL975">
            <v>2400</v>
          </cell>
          <cell r="AM975">
            <v>2000</v>
          </cell>
          <cell r="AN975" t="e">
            <v>#VALUE!</v>
          </cell>
          <cell r="AO975" t="e">
            <v>#VALUE!</v>
          </cell>
          <cell r="AP975">
            <v>400</v>
          </cell>
        </row>
        <row r="976">
          <cell r="A976">
            <v>63980500</v>
          </cell>
          <cell r="C976">
            <v>9805</v>
          </cell>
          <cell r="D976" t="str">
            <v xml:space="preserve">VAT NA SLAVINK MET BIETJES GEKOOKTE AARDAPPELEN      </v>
          </cell>
          <cell r="E976" t="str">
            <v>VAT, dieet</v>
          </cell>
          <cell r="F976" t="str">
            <v>40336300 OLAF 30 290MM</v>
          </cell>
          <cell r="G976" t="str">
            <v>C2227-3R evolve</v>
          </cell>
          <cell r="H976">
            <v>456</v>
          </cell>
          <cell r="I976">
            <v>0.5</v>
          </cell>
          <cell r="J976" t="str">
            <v>NVT</v>
          </cell>
          <cell r="K976" t="str">
            <v>VAT</v>
          </cell>
          <cell r="L976">
            <v>6</v>
          </cell>
          <cell r="M976" t="str">
            <v xml:space="preserve">VAT X 6 </v>
          </cell>
          <cell r="N976">
            <v>120</v>
          </cell>
          <cell r="O976">
            <v>8717568241623</v>
          </cell>
          <cell r="P976" t="str">
            <v>2T</v>
          </cell>
          <cell r="Q976">
            <v>2.5</v>
          </cell>
          <cell r="R976">
            <v>3</v>
          </cell>
          <cell r="S976" t="str">
            <v>AARDAPPELEN steamen D-0</v>
          </cell>
          <cell r="T976">
            <v>1750</v>
          </cell>
          <cell r="U976">
            <v>4</v>
          </cell>
          <cell r="V976">
            <v>1750</v>
          </cell>
          <cell r="W976">
            <v>4</v>
          </cell>
          <cell r="X976">
            <v>0</v>
          </cell>
          <cell r="Y976">
            <v>0</v>
          </cell>
          <cell r="Z976">
            <v>0</v>
          </cell>
          <cell r="AA976" t="str">
            <v>! ! !</v>
          </cell>
          <cell r="AC976">
            <v>5.8800000000000005E-2</v>
          </cell>
          <cell r="AE976" t="str">
            <v>x</v>
          </cell>
          <cell r="AJ976" t="str">
            <v>V-A</v>
          </cell>
          <cell r="AL976">
            <v>0</v>
          </cell>
          <cell r="AM976">
            <v>1750</v>
          </cell>
          <cell r="AN976" t="e">
            <v>#VALUE!</v>
          </cell>
          <cell r="AO976" t="e">
            <v>#VALUE!</v>
          </cell>
          <cell r="AP976">
            <v>-1750</v>
          </cell>
        </row>
        <row r="977">
          <cell r="A977">
            <v>63980600</v>
          </cell>
          <cell r="C977">
            <v>9806</v>
          </cell>
          <cell r="D977" t="str">
            <v xml:space="preserve">VAT NA GEHAKTBAL UIENJUS MET PREI GEKOOKTE AARDAPPELEN       </v>
          </cell>
          <cell r="E977" t="str">
            <v>VAT, dieet</v>
          </cell>
          <cell r="F977" t="str">
            <v>40336300 OLAF 30 290MM</v>
          </cell>
          <cell r="G977" t="str">
            <v>C2227-3R evolve</v>
          </cell>
          <cell r="H977">
            <v>456</v>
          </cell>
          <cell r="I977">
            <v>0.5</v>
          </cell>
          <cell r="J977" t="str">
            <v>NVT</v>
          </cell>
          <cell r="K977" t="str">
            <v>VAT</v>
          </cell>
          <cell r="L977">
            <v>6</v>
          </cell>
          <cell r="M977" t="str">
            <v xml:space="preserve">VAT X 6 </v>
          </cell>
          <cell r="N977">
            <v>120</v>
          </cell>
          <cell r="O977">
            <v>8717568241630</v>
          </cell>
          <cell r="P977" t="str">
            <v>2T</v>
          </cell>
          <cell r="Q977">
            <v>2.5</v>
          </cell>
          <cell r="R977">
            <v>3</v>
          </cell>
          <cell r="S977" t="str">
            <v>AARDAPPELEN steamen D-0</v>
          </cell>
          <cell r="T977">
            <v>1750</v>
          </cell>
          <cell r="U977">
            <v>5</v>
          </cell>
          <cell r="V977">
            <v>1750</v>
          </cell>
          <cell r="W977">
            <v>5</v>
          </cell>
          <cell r="X977">
            <v>0</v>
          </cell>
          <cell r="Y977">
            <v>0</v>
          </cell>
          <cell r="Z977">
            <v>0</v>
          </cell>
          <cell r="AA977" t="str">
            <v>! ! !</v>
          </cell>
          <cell r="AC977">
            <v>5.8800000000000005E-2</v>
          </cell>
          <cell r="AE977" t="str">
            <v>x</v>
          </cell>
          <cell r="AG977">
            <v>35</v>
          </cell>
          <cell r="AJ977" t="str">
            <v>-</v>
          </cell>
          <cell r="AL977">
            <v>2100</v>
          </cell>
          <cell r="AM977">
            <v>1750</v>
          </cell>
          <cell r="AN977" t="e">
            <v>#VALUE!</v>
          </cell>
          <cell r="AO977" t="e">
            <v>#VALUE!</v>
          </cell>
          <cell r="AP977">
            <v>350</v>
          </cell>
        </row>
        <row r="978">
          <cell r="A978">
            <v>63980700</v>
          </cell>
          <cell r="C978">
            <v>9807</v>
          </cell>
          <cell r="D978" t="str">
            <v xml:space="preserve">VAT NA RUNDERSTOOFVLEES BLOEMKOOL GEK. AARDAP.       </v>
          </cell>
          <cell r="E978" t="str">
            <v>VAT, dieet</v>
          </cell>
          <cell r="F978" t="str">
            <v>40336300 OLAF 30 290MM</v>
          </cell>
          <cell r="G978" t="str">
            <v>C2227-3R evolve</v>
          </cell>
          <cell r="H978">
            <v>456</v>
          </cell>
          <cell r="I978">
            <v>0.5</v>
          </cell>
          <cell r="J978" t="str">
            <v>NVT</v>
          </cell>
          <cell r="K978" t="str">
            <v>VAT</v>
          </cell>
          <cell r="L978">
            <v>6</v>
          </cell>
          <cell r="M978" t="str">
            <v xml:space="preserve">VAT X 6 </v>
          </cell>
          <cell r="N978">
            <v>120</v>
          </cell>
          <cell r="O978">
            <v>8717568241647</v>
          </cell>
          <cell r="P978" t="str">
            <v>2T</v>
          </cell>
          <cell r="Q978">
            <v>4</v>
          </cell>
          <cell r="R978">
            <v>3</v>
          </cell>
          <cell r="S978" t="str">
            <v>STOOFVLEES (vacuumzakken), AARDAPPELEN STEAMEN D-0</v>
          </cell>
          <cell r="T978">
            <v>2000</v>
          </cell>
          <cell r="U978">
            <v>9</v>
          </cell>
          <cell r="V978">
            <v>2000</v>
          </cell>
          <cell r="W978">
            <v>9</v>
          </cell>
          <cell r="X978">
            <v>0</v>
          </cell>
          <cell r="Y978">
            <v>0</v>
          </cell>
          <cell r="Z978">
            <v>0</v>
          </cell>
          <cell r="AA978" t="str">
            <v>! ! !</v>
          </cell>
          <cell r="AC978">
            <v>5.5125E-2</v>
          </cell>
          <cell r="AE978" t="str">
            <v>x</v>
          </cell>
          <cell r="AG978">
            <v>42</v>
          </cell>
          <cell r="AJ978" t="str">
            <v>-</v>
          </cell>
          <cell r="AL978">
            <v>2520</v>
          </cell>
          <cell r="AM978">
            <v>2000</v>
          </cell>
          <cell r="AN978" t="e">
            <v>#VALUE!</v>
          </cell>
          <cell r="AO978" t="e">
            <v>#VALUE!</v>
          </cell>
          <cell r="AP978">
            <v>520</v>
          </cell>
        </row>
        <row r="979">
          <cell r="A979">
            <v>63981000</v>
          </cell>
          <cell r="C979">
            <v>9810</v>
          </cell>
          <cell r="D979" t="str">
            <v xml:space="preserve">VAT NA RUNDVLEES SPRUITJES GEKOOKTE AARDAPPELEN      </v>
          </cell>
          <cell r="E979" t="str">
            <v>VAT, dieet</v>
          </cell>
          <cell r="F979" t="str">
            <v>40336300 OLAF 30 290MM</v>
          </cell>
          <cell r="G979" t="str">
            <v>C2227-3R evolve</v>
          </cell>
          <cell r="H979">
            <v>456</v>
          </cell>
          <cell r="I979">
            <v>0.5</v>
          </cell>
          <cell r="J979" t="str">
            <v>NVT</v>
          </cell>
          <cell r="K979" t="str">
            <v>VAT</v>
          </cell>
          <cell r="L979">
            <v>6</v>
          </cell>
          <cell r="M979" t="str">
            <v xml:space="preserve">VAT X 6 </v>
          </cell>
          <cell r="N979">
            <v>120</v>
          </cell>
          <cell r="O979">
            <v>8717568241678</v>
          </cell>
          <cell r="P979" t="str">
            <v>T</v>
          </cell>
          <cell r="Q979">
            <v>2</v>
          </cell>
          <cell r="R979">
            <v>3</v>
          </cell>
          <cell r="S979" t="str">
            <v>analoog 63580200 (andere aardap.), AARDAPPELEN steamen D-0</v>
          </cell>
          <cell r="T979">
            <v>1500</v>
          </cell>
          <cell r="U979">
            <v>7</v>
          </cell>
          <cell r="V979">
            <v>1500</v>
          </cell>
          <cell r="W979">
            <v>7</v>
          </cell>
          <cell r="X979">
            <v>0</v>
          </cell>
          <cell r="Y979">
            <v>0</v>
          </cell>
          <cell r="Z979">
            <v>0</v>
          </cell>
          <cell r="AA979" t="str">
            <v>! ! !</v>
          </cell>
          <cell r="AC979">
            <v>5.8800000000000005E-2</v>
          </cell>
          <cell r="AE979" t="str">
            <v>x</v>
          </cell>
          <cell r="AJ979" t="str">
            <v>V-A</v>
          </cell>
          <cell r="AL979">
            <v>0</v>
          </cell>
          <cell r="AM979">
            <v>1500</v>
          </cell>
          <cell r="AN979" t="e">
            <v>#VALUE!</v>
          </cell>
          <cell r="AO979" t="e">
            <v>#VALUE!</v>
          </cell>
          <cell r="AP979">
            <v>-1500</v>
          </cell>
        </row>
        <row r="980">
          <cell r="A980">
            <v>63981100</v>
          </cell>
          <cell r="C980">
            <v>9811</v>
          </cell>
          <cell r="D980" t="str">
            <v xml:space="preserve">VAT NA JACHTSCHOTEL RODE KOOL EN PUREE       </v>
          </cell>
          <cell r="E980" t="str">
            <v>VAT, dieet</v>
          </cell>
          <cell r="F980" t="str">
            <v>40336300 OLAF 30 290MM</v>
          </cell>
          <cell r="G980" t="str">
            <v>C2227-3R evolve</v>
          </cell>
          <cell r="H980">
            <v>456</v>
          </cell>
          <cell r="I980">
            <v>0.5</v>
          </cell>
          <cell r="J980" t="str">
            <v>NVT</v>
          </cell>
          <cell r="K980" t="str">
            <v>VAT</v>
          </cell>
          <cell r="L980">
            <v>6</v>
          </cell>
          <cell r="M980" t="str">
            <v xml:space="preserve">VAT X 6 </v>
          </cell>
          <cell r="N980">
            <v>120</v>
          </cell>
          <cell r="O980">
            <v>8717568241685</v>
          </cell>
          <cell r="P980" t="str">
            <v>H-2T</v>
          </cell>
          <cell r="Q980">
            <v>3</v>
          </cell>
          <cell r="R980">
            <v>3</v>
          </cell>
          <cell r="S980" t="str">
            <v>STOOFVLEES (vacuumzakken), idem 63580300</v>
          </cell>
          <cell r="T980">
            <v>1750</v>
          </cell>
          <cell r="U980">
            <v>5</v>
          </cell>
          <cell r="V980">
            <v>1750</v>
          </cell>
          <cell r="W980">
            <v>5</v>
          </cell>
          <cell r="X980">
            <v>0</v>
          </cell>
          <cell r="Y980">
            <v>0</v>
          </cell>
          <cell r="Z980">
            <v>0</v>
          </cell>
          <cell r="AA980" t="str">
            <v>! ! !</v>
          </cell>
          <cell r="AC980">
            <v>0.28813176000000001</v>
          </cell>
          <cell r="AE980" t="str">
            <v>x</v>
          </cell>
          <cell r="AG980">
            <v>35</v>
          </cell>
          <cell r="AJ980" t="str">
            <v>-</v>
          </cell>
          <cell r="AL980">
            <v>2100</v>
          </cell>
          <cell r="AM980">
            <v>1750</v>
          </cell>
          <cell r="AN980" t="e">
            <v>#VALUE!</v>
          </cell>
          <cell r="AO980" t="e">
            <v>#VALUE!</v>
          </cell>
          <cell r="AP980">
            <v>350</v>
          </cell>
        </row>
        <row r="981">
          <cell r="A981">
            <v>63982200</v>
          </cell>
          <cell r="C981">
            <v>9822</v>
          </cell>
          <cell r="D981" t="str">
            <v>VAT NA KIPFILET UIENSAUS APPELMOES GEB AARD 500G</v>
          </cell>
          <cell r="E981" t="str">
            <v>VAT, dieet</v>
          </cell>
          <cell r="F981" t="str">
            <v>40336300 OLAF 30 290MM</v>
          </cell>
          <cell r="G981" t="str">
            <v>C2227-3R evolve</v>
          </cell>
          <cell r="H981">
            <v>456</v>
          </cell>
          <cell r="I981">
            <v>0.5</v>
          </cell>
          <cell r="J981" t="str">
            <v>NVT</v>
          </cell>
          <cell r="K981" t="str">
            <v>VAT</v>
          </cell>
          <cell r="L981">
            <v>6</v>
          </cell>
          <cell r="M981" t="str">
            <v xml:space="preserve">VAT X 6 </v>
          </cell>
          <cell r="N981">
            <v>120</v>
          </cell>
          <cell r="O981">
            <v>8717568243221</v>
          </cell>
          <cell r="P981" t="str">
            <v>I-2T</v>
          </cell>
          <cell r="Q981">
            <v>2</v>
          </cell>
          <cell r="R981">
            <v>3</v>
          </cell>
          <cell r="S981" t="str">
            <v>als vervanger van 63981400</v>
          </cell>
          <cell r="T981">
            <v>2000</v>
          </cell>
          <cell r="U981">
            <v>4</v>
          </cell>
          <cell r="V981">
            <v>2000</v>
          </cell>
          <cell r="W981">
            <v>4</v>
          </cell>
          <cell r="X981">
            <v>0</v>
          </cell>
          <cell r="Y981">
            <v>0</v>
          </cell>
          <cell r="Z981">
            <v>0</v>
          </cell>
          <cell r="AA981" t="str">
            <v>! ! !</v>
          </cell>
          <cell r="AC981">
            <v>0</v>
          </cell>
          <cell r="AG981">
            <v>40</v>
          </cell>
          <cell r="AJ981" t="str">
            <v>-</v>
          </cell>
          <cell r="AL981">
            <v>2400</v>
          </cell>
          <cell r="AM981">
            <v>2000</v>
          </cell>
          <cell r="AN981" t="e">
            <v>#VALUE!</v>
          </cell>
          <cell r="AO981" t="e">
            <v>#VALUE!</v>
          </cell>
          <cell r="AP981">
            <v>400</v>
          </cell>
        </row>
        <row r="982">
          <cell r="A982">
            <v>63982300</v>
          </cell>
          <cell r="C982">
            <v>9823</v>
          </cell>
          <cell r="D982" t="str">
            <v>VAT NA KIP OMA'S RECEPT SPERZIEBONEN PUREE TOMAAT 500G</v>
          </cell>
          <cell r="E982" t="str">
            <v>VAT, dieet</v>
          </cell>
          <cell r="F982" t="str">
            <v>40336300 OLAF 30 290MM</v>
          </cell>
          <cell r="G982" t="str">
            <v>C2227-3R evolve</v>
          </cell>
          <cell r="H982">
            <v>456</v>
          </cell>
          <cell r="I982">
            <v>0.5</v>
          </cell>
          <cell r="J982" t="str">
            <v>NVT</v>
          </cell>
          <cell r="K982" t="str">
            <v>VAT</v>
          </cell>
          <cell r="L982">
            <v>6</v>
          </cell>
          <cell r="M982" t="str">
            <v xml:space="preserve">VAT X 6 </v>
          </cell>
          <cell r="N982">
            <v>120</v>
          </cell>
          <cell r="O982">
            <v>8717568242880</v>
          </cell>
          <cell r="P982" t="str">
            <v>H-T</v>
          </cell>
          <cell r="Q982">
            <v>2.5</v>
          </cell>
          <cell r="R982">
            <v>3</v>
          </cell>
          <cell r="S982" t="str">
            <v>als vervanger van 63981200</v>
          </cell>
          <cell r="T982">
            <v>1750</v>
          </cell>
          <cell r="U982">
            <v>8</v>
          </cell>
          <cell r="V982">
            <v>1750</v>
          </cell>
          <cell r="W982">
            <v>8</v>
          </cell>
          <cell r="X982">
            <v>0</v>
          </cell>
          <cell r="Y982">
            <v>0</v>
          </cell>
          <cell r="Z982">
            <v>0</v>
          </cell>
          <cell r="AA982" t="str">
            <v>! ! !</v>
          </cell>
          <cell r="AC982">
            <v>0</v>
          </cell>
          <cell r="AG982">
            <v>35</v>
          </cell>
          <cell r="AJ982" t="str">
            <v>V-A</v>
          </cell>
          <cell r="AL982">
            <v>2100</v>
          </cell>
          <cell r="AM982">
            <v>1750</v>
          </cell>
          <cell r="AN982" t="e">
            <v>#VALUE!</v>
          </cell>
          <cell r="AO982" t="e">
            <v>#VALUE!</v>
          </cell>
          <cell r="AP982">
            <v>350</v>
          </cell>
        </row>
        <row r="983">
          <cell r="A983">
            <v>63982400</v>
          </cell>
          <cell r="C983">
            <v>9824</v>
          </cell>
          <cell r="D983" t="str">
            <v>VAT NA MACARONI TOMAAT-GROENTENSAUS 500G</v>
          </cell>
          <cell r="E983" t="str">
            <v>VAT, dieet</v>
          </cell>
          <cell r="F983" t="str">
            <v>40336300 OLAF 30 290MM</v>
          </cell>
          <cell r="G983" t="str">
            <v>C2227-1H evolve</v>
          </cell>
          <cell r="H983">
            <v>456</v>
          </cell>
          <cell r="I983">
            <v>0.5</v>
          </cell>
          <cell r="J983" t="str">
            <v>NVT</v>
          </cell>
          <cell r="K983" t="str">
            <v>VAT</v>
          </cell>
          <cell r="L983">
            <v>6</v>
          </cell>
          <cell r="M983" t="str">
            <v xml:space="preserve">VAT X 6 </v>
          </cell>
          <cell r="N983">
            <v>120</v>
          </cell>
          <cell r="O983">
            <v>8717568242897</v>
          </cell>
          <cell r="P983" t="str">
            <v>M-T</v>
          </cell>
          <cell r="Q983">
            <v>2</v>
          </cell>
          <cell r="R983">
            <v>3</v>
          </cell>
          <cell r="S983" t="str">
            <v>als vervanger van 63981300</v>
          </cell>
          <cell r="T983">
            <v>2000</v>
          </cell>
          <cell r="U983">
            <v>3</v>
          </cell>
          <cell r="V983">
            <v>2000</v>
          </cell>
          <cell r="W983">
            <v>3</v>
          </cell>
          <cell r="X983">
            <v>0</v>
          </cell>
          <cell r="Y983">
            <v>0</v>
          </cell>
          <cell r="Z983">
            <v>0</v>
          </cell>
          <cell r="AA983" t="str">
            <v>! !</v>
          </cell>
          <cell r="AC983">
            <v>0</v>
          </cell>
          <cell r="AG983">
            <v>40</v>
          </cell>
          <cell r="AJ983" t="str">
            <v>-</v>
          </cell>
          <cell r="AL983">
            <v>2400</v>
          </cell>
          <cell r="AM983">
            <v>2000</v>
          </cell>
          <cell r="AN983" t="e">
            <v>#VALUE!</v>
          </cell>
          <cell r="AO983" t="e">
            <v>#VALUE!</v>
          </cell>
          <cell r="AP983">
            <v>400</v>
          </cell>
        </row>
        <row r="984">
          <cell r="A984">
            <v>63982600</v>
          </cell>
          <cell r="C984">
            <v>9826</v>
          </cell>
          <cell r="D984" t="str">
            <v xml:space="preserve">VAT NA ZALMFILET ASC DILLESAUS SPINAZIE/ERWT PUREE       </v>
          </cell>
          <cell r="E984" t="str">
            <v>VAT, dieet</v>
          </cell>
          <cell r="F984" t="str">
            <v>40336300 OLAF 30 290MM</v>
          </cell>
          <cell r="G984" t="str">
            <v>C2227-3R evolve</v>
          </cell>
          <cell r="H984">
            <v>456</v>
          </cell>
          <cell r="I984">
            <v>0.5</v>
          </cell>
          <cell r="J984" t="str">
            <v>NVT</v>
          </cell>
          <cell r="K984" t="str">
            <v>VAT</v>
          </cell>
          <cell r="L984">
            <v>6</v>
          </cell>
          <cell r="M984" t="str">
            <v xml:space="preserve">VAT X 6 </v>
          </cell>
          <cell r="N984">
            <v>120</v>
          </cell>
          <cell r="O984">
            <v>8717568241654</v>
          </cell>
          <cell r="P984" t="str">
            <v>H-T</v>
          </cell>
          <cell r="Q984">
            <v>3</v>
          </cell>
          <cell r="R984">
            <v>3</v>
          </cell>
          <cell r="T984">
            <v>2000</v>
          </cell>
          <cell r="U984">
            <v>5</v>
          </cell>
          <cell r="V984">
            <v>2000</v>
          </cell>
          <cell r="W984">
            <v>5</v>
          </cell>
          <cell r="X984">
            <v>0</v>
          </cell>
          <cell r="Y984">
            <v>0</v>
          </cell>
          <cell r="Z984">
            <v>0</v>
          </cell>
          <cell r="AA984" t="str">
            <v>! ! ! !</v>
          </cell>
          <cell r="AC984">
            <v>0</v>
          </cell>
          <cell r="AE984" t="str">
            <v>x</v>
          </cell>
          <cell r="AG984">
            <v>43</v>
          </cell>
          <cell r="AJ984" t="str">
            <v>V-A</v>
          </cell>
          <cell r="AL984">
            <v>2580</v>
          </cell>
          <cell r="AM984">
            <v>2000</v>
          </cell>
          <cell r="AN984" t="e">
            <v>#VALUE!</v>
          </cell>
          <cell r="AO984" t="e">
            <v>#VALUE!</v>
          </cell>
          <cell r="AP984">
            <v>580</v>
          </cell>
        </row>
        <row r="985">
          <cell r="A985">
            <v>63982700</v>
          </cell>
          <cell r="C985">
            <v>9827</v>
          </cell>
          <cell r="D985" t="str">
            <v xml:space="preserve">VAT NA ALASKA POLLAK MSC WATERKERSSAUS WORTELEN KRIEL       </v>
          </cell>
          <cell r="E985" t="str">
            <v>VAT, dieet</v>
          </cell>
          <cell r="F985" t="str">
            <v>40336300 OLAF 30 290MM</v>
          </cell>
          <cell r="G985" t="str">
            <v>C2227-3R evolve</v>
          </cell>
          <cell r="H985">
            <v>456</v>
          </cell>
          <cell r="I985">
            <v>0.5</v>
          </cell>
          <cell r="J985" t="str">
            <v>NVT</v>
          </cell>
          <cell r="K985" t="str">
            <v>VAT</v>
          </cell>
          <cell r="L985">
            <v>6</v>
          </cell>
          <cell r="M985" t="str">
            <v xml:space="preserve">VAT X 6 </v>
          </cell>
          <cell r="N985">
            <v>120</v>
          </cell>
          <cell r="O985">
            <v>8717568241661</v>
          </cell>
          <cell r="P985" t="str">
            <v>T</v>
          </cell>
          <cell r="Q985">
            <v>2</v>
          </cell>
          <cell r="R985">
            <v>3</v>
          </cell>
          <cell r="T985">
            <v>1750</v>
          </cell>
          <cell r="U985">
            <v>7</v>
          </cell>
          <cell r="V985">
            <v>1750</v>
          </cell>
          <cell r="W985">
            <v>7</v>
          </cell>
          <cell r="X985">
            <v>0</v>
          </cell>
          <cell r="Y985">
            <v>0</v>
          </cell>
          <cell r="Z985">
            <v>0</v>
          </cell>
          <cell r="AA985" t="str">
            <v>! ! ! !</v>
          </cell>
          <cell r="AC985">
            <v>0</v>
          </cell>
          <cell r="AE985" t="str">
            <v>x</v>
          </cell>
          <cell r="AG985">
            <v>35</v>
          </cell>
          <cell r="AJ985" t="str">
            <v>V-A</v>
          </cell>
          <cell r="AL985">
            <v>2100</v>
          </cell>
          <cell r="AM985">
            <v>1750</v>
          </cell>
          <cell r="AN985" t="e">
            <v>#VALUE!</v>
          </cell>
          <cell r="AO985" t="e">
            <v>#VALUE!</v>
          </cell>
          <cell r="AP985">
            <v>350</v>
          </cell>
        </row>
        <row r="986">
          <cell r="A986">
            <v>63990400</v>
          </cell>
          <cell r="C986">
            <v>9904</v>
          </cell>
          <cell r="D986" t="str">
            <v>VAT KERVELSOEP 300G</v>
          </cell>
          <cell r="E986" t="str">
            <v>VAT, soep monoportie</v>
          </cell>
          <cell r="F986" t="str">
            <v>40337500 COVIPEEL 32 355mm</v>
          </cell>
          <cell r="G986" t="str">
            <v>C2187-1F evolve</v>
          </cell>
          <cell r="H986">
            <v>548</v>
          </cell>
          <cell r="I986">
            <v>0.3</v>
          </cell>
          <cell r="J986" t="str">
            <v>NVT</v>
          </cell>
          <cell r="K986" t="str">
            <v>100x100 bl</v>
          </cell>
          <cell r="L986">
            <v>10</v>
          </cell>
          <cell r="M986" t="str">
            <v>H11X10</v>
          </cell>
          <cell r="N986">
            <v>105</v>
          </cell>
          <cell r="O986">
            <v>8717568243689</v>
          </cell>
          <cell r="P986" t="str">
            <v>2T</v>
          </cell>
          <cell r="Q986">
            <v>1.5</v>
          </cell>
          <cell r="R986">
            <v>3</v>
          </cell>
          <cell r="S986" t="str">
            <v>idem 63596400</v>
          </cell>
          <cell r="T986">
            <v>1750</v>
          </cell>
          <cell r="U986">
            <v>2</v>
          </cell>
          <cell r="V986">
            <v>1750</v>
          </cell>
          <cell r="W986">
            <v>2</v>
          </cell>
          <cell r="X986">
            <v>0</v>
          </cell>
          <cell r="Y986">
            <v>0</v>
          </cell>
          <cell r="Z986">
            <v>0</v>
          </cell>
          <cell r="AA986" t="str">
            <v>! ! !</v>
          </cell>
          <cell r="AC986">
            <v>0</v>
          </cell>
          <cell r="AE986" t="str">
            <v>x</v>
          </cell>
          <cell r="AG986">
            <v>36</v>
          </cell>
          <cell r="AJ986" t="str">
            <v>-</v>
          </cell>
          <cell r="AL986">
            <v>2160</v>
          </cell>
          <cell r="AM986">
            <v>1750</v>
          </cell>
          <cell r="AN986" t="e">
            <v>#VALUE!</v>
          </cell>
          <cell r="AO986" t="e">
            <v>#VALUE!</v>
          </cell>
          <cell r="AP986">
            <v>410</v>
          </cell>
        </row>
        <row r="987">
          <cell r="A987">
            <v>64000400</v>
          </cell>
          <cell r="C987">
            <v>128301</v>
          </cell>
          <cell r="D987" t="str">
            <v>VAT KERVELSOEP 300ML</v>
          </cell>
          <cell r="E987" t="str">
            <v>VAT, soep monoportie</v>
          </cell>
          <cell r="F987" t="str">
            <v>40336500 COVIPEEL 32 370MM</v>
          </cell>
          <cell r="G987" t="str">
            <v>C2187-1F evolve</v>
          </cell>
          <cell r="H987">
            <v>548</v>
          </cell>
          <cell r="I987">
            <v>0.3</v>
          </cell>
          <cell r="J987" t="str">
            <v>NVT</v>
          </cell>
          <cell r="K987" t="str">
            <v>100x100 bl</v>
          </cell>
          <cell r="L987">
            <v>10</v>
          </cell>
          <cell r="M987" t="str">
            <v>H11X10</v>
          </cell>
          <cell r="N987">
            <v>104</v>
          </cell>
          <cell r="O987">
            <v>8717568243689</v>
          </cell>
          <cell r="P987" t="str">
            <v>2T</v>
          </cell>
          <cell r="Q987">
            <v>1.5</v>
          </cell>
          <cell r="R987">
            <v>3</v>
          </cell>
          <cell r="S987" t="str">
            <v>idem 63596400</v>
          </cell>
          <cell r="T987">
            <v>1750</v>
          </cell>
          <cell r="U987">
            <v>2</v>
          </cell>
          <cell r="V987">
            <v>1750</v>
          </cell>
          <cell r="W987">
            <v>2</v>
          </cell>
          <cell r="X987">
            <v>0</v>
          </cell>
          <cell r="Y987">
            <v>0</v>
          </cell>
          <cell r="Z987">
            <v>0</v>
          </cell>
          <cell r="AA987" t="str">
            <v>! ! !</v>
          </cell>
          <cell r="AC987">
            <v>0</v>
          </cell>
          <cell r="AE987" t="str">
            <v>x</v>
          </cell>
          <cell r="AG987">
            <v>36</v>
          </cell>
          <cell r="AJ987" t="str">
            <v>-</v>
          </cell>
          <cell r="AL987">
            <v>2160</v>
          </cell>
          <cell r="AM987">
            <v>1750</v>
          </cell>
          <cell r="AN987" t="e">
            <v>#VALUE!</v>
          </cell>
          <cell r="AO987" t="e">
            <v>#VALUE!</v>
          </cell>
          <cell r="AP987">
            <v>410</v>
          </cell>
        </row>
        <row r="988">
          <cell r="A988">
            <v>64000500</v>
          </cell>
          <cell r="C988">
            <v>128300</v>
          </cell>
          <cell r="D988" t="str">
            <v>VAT TOMATENVELOUTE MET BALLETJES 300ML</v>
          </cell>
          <cell r="E988" t="str">
            <v>VAT, soep monoportie</v>
          </cell>
          <cell r="F988" t="str">
            <v>40336500 COVIPEEL 32 370MM</v>
          </cell>
          <cell r="G988" t="str">
            <v>C2187-1F evolve</v>
          </cell>
          <cell r="H988">
            <v>548</v>
          </cell>
          <cell r="I988">
            <v>0.3</v>
          </cell>
          <cell r="J988" t="str">
            <v>NVT</v>
          </cell>
          <cell r="K988" t="str">
            <v>100x100 bl</v>
          </cell>
          <cell r="L988">
            <v>10</v>
          </cell>
          <cell r="M988" t="str">
            <v>H11X10</v>
          </cell>
          <cell r="N988">
            <v>104</v>
          </cell>
          <cell r="O988">
            <v>8717568243801</v>
          </cell>
          <cell r="P988" t="str">
            <v>I-2T</v>
          </cell>
          <cell r="Q988">
            <v>1.5</v>
          </cell>
          <cell r="R988">
            <v>3</v>
          </cell>
          <cell r="S988" t="str">
            <v>idem 63596500</v>
          </cell>
          <cell r="T988">
            <v>1750</v>
          </cell>
          <cell r="U988">
            <v>2</v>
          </cell>
          <cell r="V988">
            <v>1750</v>
          </cell>
          <cell r="W988">
            <v>2</v>
          </cell>
          <cell r="X988">
            <v>0</v>
          </cell>
          <cell r="Y988">
            <v>0</v>
          </cell>
          <cell r="Z988">
            <v>0</v>
          </cell>
          <cell r="AA988" t="str">
            <v>! ! !</v>
          </cell>
          <cell r="AC988">
            <v>0</v>
          </cell>
          <cell r="AE988" t="str">
            <v>x</v>
          </cell>
          <cell r="AG988">
            <v>36</v>
          </cell>
          <cell r="AJ988" t="str">
            <v>-</v>
          </cell>
          <cell r="AL988">
            <v>2160</v>
          </cell>
          <cell r="AM988">
            <v>1750</v>
          </cell>
          <cell r="AN988" t="e">
            <v>#VALUE!</v>
          </cell>
          <cell r="AO988" t="e">
            <v>#VALUE!</v>
          </cell>
          <cell r="AP988">
            <v>410</v>
          </cell>
        </row>
        <row r="989">
          <cell r="A989">
            <v>64000600</v>
          </cell>
          <cell r="C989">
            <v>128306</v>
          </cell>
          <cell r="D989" t="str">
            <v>VAT CHAMPIGNONROOMSOEP 300ML</v>
          </cell>
          <cell r="E989" t="str">
            <v>VAT, soep monoportie</v>
          </cell>
          <cell r="F989" t="str">
            <v>40336500 COVIPEEL 32 370MM</v>
          </cell>
          <cell r="G989" t="str">
            <v>C2187-1F evolve</v>
          </cell>
          <cell r="H989">
            <v>548</v>
          </cell>
          <cell r="I989">
            <v>0.3</v>
          </cell>
          <cell r="J989" t="str">
            <v>NVT</v>
          </cell>
          <cell r="K989" t="str">
            <v>100x100 bl</v>
          </cell>
          <cell r="L989">
            <v>10</v>
          </cell>
          <cell r="M989" t="str">
            <v>H11X10</v>
          </cell>
          <cell r="N989">
            <v>104</v>
          </cell>
          <cell r="O989">
            <v>8717568243702</v>
          </cell>
          <cell r="P989" t="str">
            <v>2T</v>
          </cell>
          <cell r="Q989">
            <v>1.5</v>
          </cell>
          <cell r="R989">
            <v>3</v>
          </cell>
          <cell r="S989" t="str">
            <v>idem 63596600</v>
          </cell>
          <cell r="T989">
            <v>1750</v>
          </cell>
          <cell r="U989">
            <v>1</v>
          </cell>
          <cell r="V989">
            <v>1750</v>
          </cell>
          <cell r="W989">
            <v>1</v>
          </cell>
          <cell r="X989">
            <v>0</v>
          </cell>
          <cell r="Y989">
            <v>0</v>
          </cell>
          <cell r="Z989">
            <v>0</v>
          </cell>
          <cell r="AA989" t="str">
            <v>! ! !</v>
          </cell>
          <cell r="AC989">
            <v>0</v>
          </cell>
          <cell r="AE989" t="str">
            <v>x</v>
          </cell>
          <cell r="AG989">
            <v>36</v>
          </cell>
          <cell r="AJ989" t="str">
            <v>-</v>
          </cell>
          <cell r="AL989">
            <v>2160</v>
          </cell>
          <cell r="AM989">
            <v>1750</v>
          </cell>
          <cell r="AN989" t="e">
            <v>#VALUE!</v>
          </cell>
          <cell r="AO989" t="e">
            <v>#VALUE!</v>
          </cell>
          <cell r="AP989">
            <v>410</v>
          </cell>
        </row>
        <row r="990">
          <cell r="A990">
            <v>64000700</v>
          </cell>
          <cell r="C990">
            <v>128305</v>
          </cell>
          <cell r="D990" t="str">
            <v>VAT GROENTESOEP MET BALLETJES 300ML</v>
          </cell>
          <cell r="E990" t="str">
            <v>VAT, soep monoportie</v>
          </cell>
          <cell r="F990" t="str">
            <v>40336500 COVIPEEL 32 370MM</v>
          </cell>
          <cell r="G990" t="str">
            <v>C2187-1F evolve</v>
          </cell>
          <cell r="H990">
            <v>548</v>
          </cell>
          <cell r="I990">
            <v>0.3</v>
          </cell>
          <cell r="J990" t="str">
            <v>NVT</v>
          </cell>
          <cell r="K990" t="str">
            <v>100x100 bl</v>
          </cell>
          <cell r="L990">
            <v>10</v>
          </cell>
          <cell r="M990" t="str">
            <v>H11X10</v>
          </cell>
          <cell r="N990">
            <v>104</v>
          </cell>
          <cell r="O990">
            <v>8717568243726</v>
          </cell>
          <cell r="P990" t="str">
            <v>I-2T</v>
          </cell>
          <cell r="Q990">
            <v>1.5</v>
          </cell>
          <cell r="R990">
            <v>3</v>
          </cell>
          <cell r="S990" t="str">
            <v>idem 63596700</v>
          </cell>
          <cell r="T990">
            <v>2000</v>
          </cell>
          <cell r="U990">
            <v>3</v>
          </cell>
          <cell r="V990">
            <v>2000</v>
          </cell>
          <cell r="W990">
            <v>3</v>
          </cell>
          <cell r="X990">
            <v>0</v>
          </cell>
          <cell r="Y990">
            <v>0</v>
          </cell>
          <cell r="Z990">
            <v>0</v>
          </cell>
          <cell r="AA990" t="str">
            <v>! ! !</v>
          </cell>
          <cell r="AC990">
            <v>0</v>
          </cell>
          <cell r="AE990" t="str">
            <v>x</v>
          </cell>
          <cell r="AG990">
            <v>44</v>
          </cell>
          <cell r="AJ990" t="str">
            <v>-</v>
          </cell>
          <cell r="AL990">
            <v>2640</v>
          </cell>
          <cell r="AM990">
            <v>2000</v>
          </cell>
          <cell r="AN990" t="e">
            <v>#VALUE!</v>
          </cell>
          <cell r="AO990" t="e">
            <v>#VALUE!</v>
          </cell>
          <cell r="AP990">
            <v>640</v>
          </cell>
        </row>
        <row r="991">
          <cell r="A991">
            <v>64000800</v>
          </cell>
          <cell r="C991">
            <v>128307</v>
          </cell>
          <cell r="D991" t="str">
            <v>VAT KIPPENSOEP MET KIPPENSTUKJES 300ML</v>
          </cell>
          <cell r="E991" t="str">
            <v>VAT, soep monoportie</v>
          </cell>
          <cell r="F991" t="str">
            <v>40336500 COVIPEEL 32 370MM</v>
          </cell>
          <cell r="G991" t="str">
            <v>C2187-1F evolve</v>
          </cell>
          <cell r="H991">
            <v>548</v>
          </cell>
          <cell r="I991">
            <v>0.3</v>
          </cell>
          <cell r="J991" t="str">
            <v>NVT</v>
          </cell>
          <cell r="K991" t="str">
            <v>100x100 bl</v>
          </cell>
          <cell r="L991">
            <v>10</v>
          </cell>
          <cell r="M991" t="str">
            <v>H11X10</v>
          </cell>
          <cell r="N991">
            <v>104</v>
          </cell>
          <cell r="O991">
            <v>8717568243740</v>
          </cell>
          <cell r="P991" t="str">
            <v>2T</v>
          </cell>
          <cell r="Q991">
            <v>1.5</v>
          </cell>
          <cell r="R991">
            <v>3</v>
          </cell>
          <cell r="S991" t="str">
            <v>idem 63596800</v>
          </cell>
          <cell r="T991">
            <v>1750</v>
          </cell>
          <cell r="U991">
            <v>4</v>
          </cell>
          <cell r="V991">
            <v>1750</v>
          </cell>
          <cell r="W991">
            <v>4</v>
          </cell>
          <cell r="X991">
            <v>0</v>
          </cell>
          <cell r="Y991">
            <v>0</v>
          </cell>
          <cell r="Z991">
            <v>0</v>
          </cell>
          <cell r="AA991" t="str">
            <v>! ! !</v>
          </cell>
          <cell r="AC991">
            <v>0</v>
          </cell>
          <cell r="AG991">
            <v>20</v>
          </cell>
          <cell r="AJ991" t="str">
            <v>-</v>
          </cell>
          <cell r="AL991">
            <v>1200</v>
          </cell>
          <cell r="AM991">
            <v>1750</v>
          </cell>
          <cell r="AN991" t="e">
            <v>#VALUE!</v>
          </cell>
          <cell r="AO991" t="e">
            <v>#VALUE!</v>
          </cell>
          <cell r="AP991">
            <v>-550</v>
          </cell>
        </row>
        <row r="992">
          <cell r="A992">
            <v>64000900</v>
          </cell>
          <cell r="C992">
            <v>128308</v>
          </cell>
          <cell r="D992" t="str">
            <v>VAT ASPERGESOEP 300ML</v>
          </cell>
          <cell r="E992" t="str">
            <v>VAT, soep monoportie</v>
          </cell>
          <cell r="F992" t="str">
            <v>40336500 COVIPEEL 32 370MM</v>
          </cell>
          <cell r="G992" t="str">
            <v>C2187-1F evolve</v>
          </cell>
          <cell r="H992">
            <v>548</v>
          </cell>
          <cell r="I992">
            <v>0.3</v>
          </cell>
          <cell r="J992" t="str">
            <v>NVT</v>
          </cell>
          <cell r="K992" t="str">
            <v>100x100 bl</v>
          </cell>
          <cell r="L992">
            <v>10</v>
          </cell>
          <cell r="M992" t="str">
            <v>H11X10</v>
          </cell>
          <cell r="N992">
            <v>104</v>
          </cell>
          <cell r="O992">
            <v>8717568243764</v>
          </cell>
          <cell r="P992" t="str">
            <v>2T</v>
          </cell>
          <cell r="Q992">
            <v>1.5</v>
          </cell>
          <cell r="R992">
            <v>3</v>
          </cell>
          <cell r="S992" t="str">
            <v>idem 63596900</v>
          </cell>
          <cell r="T992">
            <v>2000</v>
          </cell>
          <cell r="U992">
            <v>1</v>
          </cell>
          <cell r="V992">
            <v>2000</v>
          </cell>
          <cell r="W992">
            <v>1</v>
          </cell>
          <cell r="X992">
            <v>0</v>
          </cell>
          <cell r="Y992">
            <v>0</v>
          </cell>
          <cell r="Z992">
            <v>0</v>
          </cell>
          <cell r="AA992" t="str">
            <v>! ! !</v>
          </cell>
          <cell r="AC992">
            <v>0</v>
          </cell>
          <cell r="AG992">
            <v>48</v>
          </cell>
          <cell r="AJ992" t="str">
            <v>-</v>
          </cell>
          <cell r="AL992">
            <v>2880</v>
          </cell>
          <cell r="AM992">
            <v>2000</v>
          </cell>
          <cell r="AN992" t="e">
            <v>#VALUE!</v>
          </cell>
          <cell r="AO992" t="e">
            <v>#VALUE!</v>
          </cell>
          <cell r="AP992">
            <v>880</v>
          </cell>
        </row>
        <row r="993">
          <cell r="A993">
            <v>64001000</v>
          </cell>
          <cell r="C993">
            <v>128309</v>
          </cell>
          <cell r="D993" t="str">
            <v>VAT POMPOENSOEP 300ML</v>
          </cell>
          <cell r="E993" t="str">
            <v>VAT, soep monoportie</v>
          </cell>
          <cell r="F993" t="str">
            <v>40336500 COVIPEEL 32 370MM</v>
          </cell>
          <cell r="G993" t="str">
            <v>C2187-1F evolve</v>
          </cell>
          <cell r="H993">
            <v>548</v>
          </cell>
          <cell r="I993">
            <v>0.3</v>
          </cell>
          <cell r="J993" t="str">
            <v>NVT</v>
          </cell>
          <cell r="K993" t="str">
            <v>100x100 bl</v>
          </cell>
          <cell r="L993">
            <v>10</v>
          </cell>
          <cell r="M993" t="str">
            <v>H11X10</v>
          </cell>
          <cell r="N993">
            <v>104</v>
          </cell>
          <cell r="O993">
            <v>8717568243788</v>
          </cell>
          <cell r="P993" t="str">
            <v>2T</v>
          </cell>
          <cell r="Q993">
            <v>1.5</v>
          </cell>
          <cell r="R993">
            <v>3</v>
          </cell>
          <cell r="S993" t="str">
            <v>idem 63597000</v>
          </cell>
          <cell r="T993">
            <v>1750</v>
          </cell>
          <cell r="U993">
            <v>2</v>
          </cell>
          <cell r="V993">
            <v>1750</v>
          </cell>
          <cell r="W993">
            <v>2</v>
          </cell>
          <cell r="X993">
            <v>0</v>
          </cell>
          <cell r="Y993">
            <v>0</v>
          </cell>
          <cell r="Z993">
            <v>0</v>
          </cell>
          <cell r="AA993" t="str">
            <v>! ! !</v>
          </cell>
          <cell r="AC993">
            <v>0</v>
          </cell>
          <cell r="AG993">
            <v>36</v>
          </cell>
          <cell r="AJ993" t="str">
            <v>-</v>
          </cell>
          <cell r="AL993">
            <v>2160</v>
          </cell>
          <cell r="AM993">
            <v>1750</v>
          </cell>
          <cell r="AN993" t="e">
            <v>#VALUE!</v>
          </cell>
          <cell r="AO993" t="e">
            <v>#VALUE!</v>
          </cell>
          <cell r="AP993">
            <v>410</v>
          </cell>
        </row>
        <row r="994">
          <cell r="A994">
            <v>64020100</v>
          </cell>
          <cell r="C994">
            <v>103530</v>
          </cell>
          <cell r="D994" t="str">
            <v>VAT LASAGNE BOLOGNESE 375G</v>
          </cell>
          <cell r="E994" t="str">
            <v>VAT</v>
          </cell>
          <cell r="F994" t="str">
            <v>40336500 COVIPEEL 32 370MM</v>
          </cell>
          <cell r="G994" t="str">
            <v>C2187-1F evolve</v>
          </cell>
          <cell r="H994">
            <v>456</v>
          </cell>
          <cell r="I994">
            <v>0.375</v>
          </cell>
          <cell r="J994" t="str">
            <v>NVT</v>
          </cell>
          <cell r="K994" t="str">
            <v>100x100 bl</v>
          </cell>
          <cell r="L994">
            <v>10</v>
          </cell>
          <cell r="M994" t="str">
            <v>H11X10</v>
          </cell>
          <cell r="N994">
            <v>104</v>
          </cell>
          <cell r="O994">
            <v>8717568245171</v>
          </cell>
          <cell r="P994" t="str">
            <v>3T-H-K</v>
          </cell>
          <cell r="Q994">
            <v>2</v>
          </cell>
          <cell r="R994">
            <v>3</v>
          </cell>
          <cell r="T994">
            <v>2500</v>
          </cell>
          <cell r="U994">
            <v>4</v>
          </cell>
          <cell r="V994">
            <v>2500</v>
          </cell>
          <cell r="W994">
            <v>4</v>
          </cell>
          <cell r="X994">
            <v>0</v>
          </cell>
          <cell r="Y994">
            <v>0</v>
          </cell>
          <cell r="Z994">
            <v>0</v>
          </cell>
          <cell r="AA994" t="str">
            <v>! ! !</v>
          </cell>
          <cell r="AC994">
            <v>0</v>
          </cell>
          <cell r="AG994">
            <v>50</v>
          </cell>
          <cell r="AJ994" t="str">
            <v>V-A</v>
          </cell>
          <cell r="AL994">
            <v>3000</v>
          </cell>
          <cell r="AM994">
            <v>2500</v>
          </cell>
          <cell r="AN994" t="e">
            <v>#VALUE!</v>
          </cell>
          <cell r="AO994" t="e">
            <v>#VALUE!</v>
          </cell>
          <cell r="AP994">
            <v>500</v>
          </cell>
        </row>
        <row r="995">
          <cell r="A995">
            <v>64210200</v>
          </cell>
          <cell r="B995">
            <v>40237600</v>
          </cell>
          <cell r="C995">
            <v>6845445</v>
          </cell>
          <cell r="D995" t="str">
            <v>COOP VEGAN LASAGNE 500G</v>
          </cell>
          <cell r="E995" t="str">
            <v>Coop CH</v>
          </cell>
          <cell r="F995" t="str">
            <v>40337500 COVIPEEL 32 355mm</v>
          </cell>
          <cell r="G995" t="str">
            <v>UK-59</v>
          </cell>
          <cell r="H995">
            <v>456</v>
          </cell>
          <cell r="I995">
            <v>0.5</v>
          </cell>
          <cell r="J995" t="str">
            <v>H22</v>
          </cell>
          <cell r="K995" t="str">
            <v>NVT</v>
          </cell>
          <cell r="L995">
            <v>10</v>
          </cell>
          <cell r="M995" t="str">
            <v>H22X10</v>
          </cell>
          <cell r="N995">
            <v>96</v>
          </cell>
          <cell r="O995">
            <v>7627534722388</v>
          </cell>
          <cell r="P995" t="str">
            <v>4T-H</v>
          </cell>
          <cell r="Q995">
            <v>2</v>
          </cell>
          <cell r="R995">
            <v>4</v>
          </cell>
          <cell r="S995" t="str">
            <v xml:space="preserve">COVIPEEL-ipeelcoi </v>
          </cell>
          <cell r="T995">
            <v>2600</v>
          </cell>
          <cell r="U995">
            <v>6</v>
          </cell>
          <cell r="V995">
            <v>2600</v>
          </cell>
          <cell r="W995">
            <v>6</v>
          </cell>
          <cell r="X995">
            <v>0</v>
          </cell>
          <cell r="Y995">
            <v>0</v>
          </cell>
          <cell r="Z995">
            <v>0.15</v>
          </cell>
          <cell r="AA995" t="str">
            <v>! ! !</v>
          </cell>
          <cell r="AB995">
            <v>7500</v>
          </cell>
          <cell r="AC995">
            <v>0</v>
          </cell>
          <cell r="AG995">
            <v>50</v>
          </cell>
          <cell r="AJ995" t="str">
            <v>V-A</v>
          </cell>
          <cell r="AL995">
            <v>3000</v>
          </cell>
          <cell r="AM995">
            <v>2600</v>
          </cell>
          <cell r="AN995" t="e">
            <v>#VALUE!</v>
          </cell>
          <cell r="AO995" t="e">
            <v>#VALUE!</v>
          </cell>
          <cell r="AP995">
            <v>400</v>
          </cell>
        </row>
        <row r="996">
          <cell r="A996">
            <v>64220000</v>
          </cell>
          <cell r="B996">
            <v>40234800</v>
          </cell>
          <cell r="C996">
            <v>3316265</v>
          </cell>
          <cell r="D996" t="str">
            <v>BOF FR VARKENSMED CHAMPIGNONSAUS FUSILLI 320G</v>
          </cell>
          <cell r="E996" t="str">
            <v>Bofrost FR</v>
          </cell>
          <cell r="F996" t="str">
            <v>40337500 COVIPEEL 32 355mm</v>
          </cell>
          <cell r="G996" t="str">
            <v>UK-59</v>
          </cell>
          <cell r="H996">
            <v>365</v>
          </cell>
          <cell r="I996">
            <v>0.32</v>
          </cell>
          <cell r="J996" t="str">
            <v>H22</v>
          </cell>
          <cell r="K996" t="str">
            <v>NVT</v>
          </cell>
          <cell r="L996">
            <v>10</v>
          </cell>
          <cell r="M996" t="str">
            <v>H22X10</v>
          </cell>
          <cell r="N996">
            <v>96</v>
          </cell>
          <cell r="O996">
            <v>5400870422004</v>
          </cell>
          <cell r="P996" t="str">
            <v>L-2T</v>
          </cell>
          <cell r="Q996">
            <v>2</v>
          </cell>
          <cell r="R996">
            <v>4</v>
          </cell>
          <cell r="S996" t="str">
            <v>COVIPEEL-ipeelcoio</v>
          </cell>
          <cell r="T996">
            <v>3000</v>
          </cell>
          <cell r="U996">
            <v>8</v>
          </cell>
          <cell r="V996">
            <v>3000</v>
          </cell>
          <cell r="W996">
            <v>8</v>
          </cell>
          <cell r="X996">
            <v>0</v>
          </cell>
          <cell r="Y996">
            <v>0</v>
          </cell>
          <cell r="Z996">
            <v>0.04</v>
          </cell>
          <cell r="AA996" t="str">
            <v>! !</v>
          </cell>
          <cell r="AB996">
            <v>3000</v>
          </cell>
          <cell r="AC996">
            <v>0</v>
          </cell>
          <cell r="AG996">
            <v>68</v>
          </cell>
          <cell r="AJ996" t="str">
            <v>V-A</v>
          </cell>
          <cell r="AL996">
            <v>4080</v>
          </cell>
          <cell r="AM996">
            <v>3000</v>
          </cell>
          <cell r="AN996" t="e">
            <v>#VALUE!</v>
          </cell>
          <cell r="AO996" t="e">
            <v>#VALUE!</v>
          </cell>
          <cell r="AP996">
            <v>1080</v>
          </cell>
        </row>
        <row r="997">
          <cell r="A997">
            <v>64220100</v>
          </cell>
          <cell r="B997">
            <v>40234900</v>
          </cell>
          <cell r="C997">
            <v>3316267</v>
          </cell>
          <cell r="D997" t="str">
            <v>BOF FR KIP SATE BASMATI 320G</v>
          </cell>
          <cell r="E997" t="str">
            <v>Bofrost FR</v>
          </cell>
          <cell r="F997" t="str">
            <v>40337500 COVIPEEL 32 355mm</v>
          </cell>
          <cell r="G997" t="str">
            <v>UK-59</v>
          </cell>
          <cell r="H997">
            <v>456</v>
          </cell>
          <cell r="I997">
            <v>0.32</v>
          </cell>
          <cell r="J997" t="str">
            <v>H22</v>
          </cell>
          <cell r="K997" t="str">
            <v>NVT</v>
          </cell>
          <cell r="L997">
            <v>10</v>
          </cell>
          <cell r="M997" t="str">
            <v>H22X10</v>
          </cell>
          <cell r="N997">
            <v>96</v>
          </cell>
          <cell r="O997">
            <v>5400870422011</v>
          </cell>
          <cell r="P997" t="str">
            <v>I-L-2T</v>
          </cell>
          <cell r="Q997">
            <v>2.5</v>
          </cell>
          <cell r="R997">
            <v>4</v>
          </cell>
          <cell r="S997" t="str">
            <v>COVIPEEL-ipeelcoio</v>
          </cell>
          <cell r="T997">
            <v>3200</v>
          </cell>
          <cell r="U997">
            <v>5</v>
          </cell>
          <cell r="V997">
            <v>3200</v>
          </cell>
          <cell r="W997">
            <v>5</v>
          </cell>
          <cell r="X997">
            <v>0</v>
          </cell>
          <cell r="Y997">
            <v>0</v>
          </cell>
          <cell r="Z997">
            <v>0.04</v>
          </cell>
          <cell r="AA997" t="str">
            <v>X</v>
          </cell>
          <cell r="AB997">
            <v>3500</v>
          </cell>
          <cell r="AC997">
            <v>0</v>
          </cell>
          <cell r="AG997">
            <v>68</v>
          </cell>
          <cell r="AJ997" t="str">
            <v>V-A</v>
          </cell>
          <cell r="AL997">
            <v>4080</v>
          </cell>
          <cell r="AM997">
            <v>3200</v>
          </cell>
          <cell r="AN997" t="e">
            <v>#VALUE!</v>
          </cell>
          <cell r="AO997" t="e">
            <v>#VALUE!</v>
          </cell>
          <cell r="AP997">
            <v>880</v>
          </cell>
        </row>
        <row r="998">
          <cell r="A998">
            <v>64220200</v>
          </cell>
          <cell r="B998">
            <v>40235000</v>
          </cell>
          <cell r="C998">
            <v>3316268</v>
          </cell>
          <cell r="D998" t="str">
            <v>BOF FR COUSCOUS KIKKERERWTEN GROENTENMIX 320G</v>
          </cell>
          <cell r="E998" t="str">
            <v>Bofrost FR</v>
          </cell>
          <cell r="F998" t="str">
            <v>40337500 COVIPEEL 32 355mm</v>
          </cell>
          <cell r="G998" t="str">
            <v>UK-59</v>
          </cell>
          <cell r="H998">
            <v>456</v>
          </cell>
          <cell r="I998">
            <v>0.32</v>
          </cell>
          <cell r="J998" t="str">
            <v>H22</v>
          </cell>
          <cell r="K998" t="str">
            <v>NVT</v>
          </cell>
          <cell r="L998">
            <v>10</v>
          </cell>
          <cell r="M998" t="str">
            <v>H22X10</v>
          </cell>
          <cell r="N998">
            <v>84</v>
          </cell>
          <cell r="O998">
            <v>5400870422028</v>
          </cell>
          <cell r="P998" t="str">
            <v>L-2T</v>
          </cell>
          <cell r="Q998">
            <v>3</v>
          </cell>
          <cell r="R998">
            <v>4</v>
          </cell>
          <cell r="T998">
            <v>3200</v>
          </cell>
          <cell r="U998">
            <v>7</v>
          </cell>
          <cell r="V998">
            <v>3200</v>
          </cell>
          <cell r="W998">
            <v>7</v>
          </cell>
          <cell r="X998">
            <v>0</v>
          </cell>
          <cell r="Y998">
            <v>0</v>
          </cell>
          <cell r="Z998">
            <v>0.04</v>
          </cell>
          <cell r="AA998" t="str">
            <v>! ! !</v>
          </cell>
          <cell r="AB998">
            <v>3000</v>
          </cell>
          <cell r="AC998">
            <v>0</v>
          </cell>
          <cell r="AG998">
            <v>68</v>
          </cell>
          <cell r="AJ998" t="str">
            <v>-</v>
          </cell>
          <cell r="AL998">
            <v>4080</v>
          </cell>
          <cell r="AM998">
            <v>3200</v>
          </cell>
          <cell r="AN998" t="e">
            <v>#VALUE!</v>
          </cell>
          <cell r="AO998" t="e">
            <v>#VALUE!</v>
          </cell>
          <cell r="AP998">
            <v>880</v>
          </cell>
        </row>
        <row r="999">
          <cell r="A999">
            <v>64220300</v>
          </cell>
          <cell r="B999">
            <v>40260200</v>
          </cell>
          <cell r="C999">
            <v>3306669</v>
          </cell>
          <cell r="D999" t="str">
            <v>BOF FR ALASKA POLLAK MSC CITROENSAUS RIJST 300G</v>
          </cell>
          <cell r="E999" t="str">
            <v>Bofrost FR</v>
          </cell>
          <cell r="F999" t="str">
            <v>40337500 COVIPEEL 32 355mm</v>
          </cell>
          <cell r="G999" t="str">
            <v>UK-59</v>
          </cell>
          <cell r="H999">
            <v>365</v>
          </cell>
          <cell r="I999">
            <v>0.3</v>
          </cell>
          <cell r="J999" t="str">
            <v>H22</v>
          </cell>
          <cell r="K999" t="str">
            <v>NVT</v>
          </cell>
          <cell r="L999">
            <v>10</v>
          </cell>
          <cell r="M999" t="str">
            <v>H22X10</v>
          </cell>
          <cell r="N999">
            <v>84</v>
          </cell>
          <cell r="O999">
            <v>5400870422035</v>
          </cell>
          <cell r="P999" t="str">
            <v>L-2T</v>
          </cell>
          <cell r="Q999">
            <v>2</v>
          </cell>
          <cell r="R999">
            <v>4</v>
          </cell>
          <cell r="S999" t="str">
            <v>ALASKA POLLAK verzagen (90g), RIJST D-1</v>
          </cell>
          <cell r="T999">
            <v>3200</v>
          </cell>
          <cell r="U999">
            <v>7</v>
          </cell>
          <cell r="V999">
            <v>3200</v>
          </cell>
          <cell r="W999">
            <v>7</v>
          </cell>
          <cell r="X999" t="str">
            <v>X</v>
          </cell>
          <cell r="Y999">
            <v>0</v>
          </cell>
          <cell r="Z999">
            <v>0.04</v>
          </cell>
          <cell r="AA999" t="str">
            <v>! ! ! !</v>
          </cell>
          <cell r="AB999">
            <v>5000</v>
          </cell>
          <cell r="AC999">
            <v>0</v>
          </cell>
          <cell r="AG999">
            <v>68</v>
          </cell>
          <cell r="AJ999" t="str">
            <v>V-A</v>
          </cell>
          <cell r="AL999">
            <v>4080</v>
          </cell>
          <cell r="AM999">
            <v>3200</v>
          </cell>
          <cell r="AN999" t="e">
            <v>#VALUE!</v>
          </cell>
          <cell r="AO999" t="e">
            <v>#VALUE!</v>
          </cell>
          <cell r="AP999">
            <v>880</v>
          </cell>
        </row>
        <row r="1000">
          <cell r="A1000">
            <v>64220400</v>
          </cell>
          <cell r="B1000">
            <v>40260300</v>
          </cell>
          <cell r="C1000">
            <v>3306682</v>
          </cell>
          <cell r="D1000" t="str">
            <v>BOF FR KIP RODE WIJN TAGLIATELLE 320G</v>
          </cell>
          <cell r="E1000" t="str">
            <v>Bofrost FR</v>
          </cell>
          <cell r="F1000" t="str">
            <v>40337500 COVIPEEL 32 355mm</v>
          </cell>
          <cell r="G1000" t="str">
            <v>UK-59</v>
          </cell>
          <cell r="H1000">
            <v>365</v>
          </cell>
          <cell r="I1000">
            <v>0.32</v>
          </cell>
          <cell r="J1000" t="str">
            <v>H22</v>
          </cell>
          <cell r="K1000" t="str">
            <v>NVT</v>
          </cell>
          <cell r="L1000">
            <v>10</v>
          </cell>
          <cell r="M1000" t="str">
            <v>H22X10</v>
          </cell>
          <cell r="N1000">
            <v>96</v>
          </cell>
          <cell r="O1000">
            <v>5400870422042</v>
          </cell>
          <cell r="P1000" t="str">
            <v>L-I-2T</v>
          </cell>
          <cell r="Q1000">
            <v>2.5</v>
          </cell>
          <cell r="R1000">
            <v>4</v>
          </cell>
          <cell r="S1000" t="str">
            <v>COVIPEEL-ipeelcoio</v>
          </cell>
          <cell r="T1000">
            <v>3000</v>
          </cell>
          <cell r="U1000">
            <v>8</v>
          </cell>
          <cell r="V1000">
            <v>3000</v>
          </cell>
          <cell r="W1000">
            <v>8</v>
          </cell>
          <cell r="X1000" t="str">
            <v>X</v>
          </cell>
          <cell r="Y1000">
            <v>0</v>
          </cell>
          <cell r="Z1000">
            <v>0.04</v>
          </cell>
          <cell r="AA1000" t="str">
            <v>! !</v>
          </cell>
          <cell r="AB1000">
            <v>3000</v>
          </cell>
          <cell r="AC1000">
            <v>0</v>
          </cell>
          <cell r="AG1000">
            <v>64</v>
          </cell>
          <cell r="AJ1000" t="str">
            <v>V-A</v>
          </cell>
          <cell r="AL1000">
            <v>3840</v>
          </cell>
          <cell r="AM1000">
            <v>3000</v>
          </cell>
          <cell r="AN1000" t="e">
            <v>#VALUE!</v>
          </cell>
          <cell r="AO1000" t="e">
            <v>#VALUE!</v>
          </cell>
          <cell r="AP1000">
            <v>840</v>
          </cell>
        </row>
        <row r="1001">
          <cell r="A1001">
            <v>64220500</v>
          </cell>
          <cell r="B1001">
            <v>40260400</v>
          </cell>
          <cell r="C1001">
            <v>3306683</v>
          </cell>
          <cell r="D1001" t="str">
            <v>BOF FR ZALM ZURINGSAUS RIJSTMIX 320G</v>
          </cell>
          <cell r="E1001" t="str">
            <v>Bofrost FR</v>
          </cell>
          <cell r="F1001" t="str">
            <v>40337500 COVIPEEL 32 355mm</v>
          </cell>
          <cell r="G1001" t="str">
            <v>UK-59</v>
          </cell>
          <cell r="H1001">
            <v>365</v>
          </cell>
          <cell r="I1001">
            <v>0.32</v>
          </cell>
          <cell r="J1001" t="str">
            <v>H22</v>
          </cell>
          <cell r="K1001" t="str">
            <v>NVT</v>
          </cell>
          <cell r="L1001">
            <v>10</v>
          </cell>
          <cell r="M1001" t="str">
            <v>H22X10</v>
          </cell>
          <cell r="N1001">
            <v>84</v>
          </cell>
          <cell r="O1001">
            <v>5400870422059</v>
          </cell>
          <cell r="P1001" t="str">
            <v>L-2T</v>
          </cell>
          <cell r="Q1001">
            <v>2</v>
          </cell>
          <cell r="R1001">
            <v>4</v>
          </cell>
          <cell r="S1001" t="str">
            <v>ZALM verzagen (80g), RIJST D-1</v>
          </cell>
          <cell r="T1001">
            <v>3200</v>
          </cell>
          <cell r="U1001">
            <v>7</v>
          </cell>
          <cell r="V1001">
            <v>3200</v>
          </cell>
          <cell r="W1001">
            <v>7</v>
          </cell>
          <cell r="X1001" t="str">
            <v>X</v>
          </cell>
          <cell r="Y1001">
            <v>0</v>
          </cell>
          <cell r="Z1001">
            <v>0.04</v>
          </cell>
          <cell r="AA1001" t="str">
            <v>! ! ! !</v>
          </cell>
          <cell r="AB1001">
            <v>5000</v>
          </cell>
          <cell r="AC1001">
            <v>0</v>
          </cell>
          <cell r="AG1001">
            <v>68</v>
          </cell>
          <cell r="AJ1001" t="str">
            <v>V-A</v>
          </cell>
          <cell r="AL1001">
            <v>4080</v>
          </cell>
          <cell r="AM1001">
            <v>3200</v>
          </cell>
          <cell r="AN1001" t="e">
            <v>#VALUE!</v>
          </cell>
          <cell r="AO1001" t="e">
            <v>#VALUE!</v>
          </cell>
          <cell r="AP1001">
            <v>880</v>
          </cell>
        </row>
        <row r="1002">
          <cell r="A1002">
            <v>64220600</v>
          </cell>
          <cell r="B1002">
            <v>40260500</v>
          </cell>
          <cell r="C1002">
            <v>3316223</v>
          </cell>
          <cell r="D1002" t="str">
            <v>BOF FR BOEUF BOURGUIGNON AARD ECRASSEE 320G</v>
          </cell>
          <cell r="E1002" t="str">
            <v>Bofrost FR</v>
          </cell>
          <cell r="F1002" t="str">
            <v>40337500 COVIPEEL 32 355mm</v>
          </cell>
          <cell r="G1002" t="str">
            <v>UK-59</v>
          </cell>
          <cell r="H1002">
            <v>365</v>
          </cell>
          <cell r="I1002">
            <v>0.32</v>
          </cell>
          <cell r="J1002" t="str">
            <v>H22</v>
          </cell>
          <cell r="K1002" t="str">
            <v>NVT</v>
          </cell>
          <cell r="L1002">
            <v>10</v>
          </cell>
          <cell r="M1002" t="str">
            <v>H22X10</v>
          </cell>
          <cell r="N1002">
            <v>84</v>
          </cell>
          <cell r="O1002">
            <v>5400870422066</v>
          </cell>
          <cell r="P1002" t="str">
            <v>I-2H-2T</v>
          </cell>
          <cell r="Q1002">
            <v>2</v>
          </cell>
          <cell r="R1002">
            <v>4</v>
          </cell>
          <cell r="T1002">
            <v>3200</v>
          </cell>
          <cell r="U1002">
            <v>5</v>
          </cell>
          <cell r="V1002">
            <v>3200</v>
          </cell>
          <cell r="W1002">
            <v>5</v>
          </cell>
          <cell r="X1002" t="str">
            <v>X</v>
          </cell>
          <cell r="Y1002">
            <v>0</v>
          </cell>
          <cell r="Z1002">
            <v>0.04</v>
          </cell>
          <cell r="AA1002" t="str">
            <v>! !</v>
          </cell>
          <cell r="AB1002">
            <v>5000</v>
          </cell>
          <cell r="AC1002">
            <v>0</v>
          </cell>
          <cell r="AG1002">
            <v>68</v>
          </cell>
          <cell r="AJ1002" t="str">
            <v>V-A</v>
          </cell>
          <cell r="AL1002">
            <v>4080</v>
          </cell>
          <cell r="AM1002">
            <v>3200</v>
          </cell>
          <cell r="AN1002" t="e">
            <v>#VALUE!</v>
          </cell>
          <cell r="AO1002" t="e">
            <v>#VALUE!</v>
          </cell>
          <cell r="AP1002">
            <v>880</v>
          </cell>
        </row>
        <row r="1003">
          <cell r="A1003">
            <v>64220700</v>
          </cell>
          <cell r="B1003">
            <v>40260600</v>
          </cell>
          <cell r="C1003">
            <v>9916240</v>
          </cell>
          <cell r="D1003" t="str">
            <v>BOF FR WITLOOF HAM KAAS 320G</v>
          </cell>
          <cell r="E1003" t="str">
            <v>Bofrost FR</v>
          </cell>
          <cell r="F1003" t="str">
            <v>40337500 COVIPEEL 32 355mm</v>
          </cell>
          <cell r="G1003" t="str">
            <v>UK-59</v>
          </cell>
          <cell r="H1003">
            <v>365</v>
          </cell>
          <cell r="I1003">
            <v>0.32</v>
          </cell>
          <cell r="J1003" t="str">
            <v>H22</v>
          </cell>
          <cell r="K1003" t="str">
            <v>NVT</v>
          </cell>
          <cell r="L1003">
            <v>10</v>
          </cell>
          <cell r="M1003" t="str">
            <v>H22X10</v>
          </cell>
          <cell r="N1003">
            <v>84</v>
          </cell>
          <cell r="O1003">
            <v>5400870422073</v>
          </cell>
          <cell r="P1003" t="str">
            <v>2T-K</v>
          </cell>
          <cell r="Q1003">
            <v>1</v>
          </cell>
          <cell r="R1003">
            <v>4</v>
          </cell>
          <cell r="S1003" t="str">
            <v>HAM snijden</v>
          </cell>
          <cell r="T1003">
            <v>2400</v>
          </cell>
          <cell r="U1003">
            <v>12</v>
          </cell>
          <cell r="V1003">
            <v>2400</v>
          </cell>
          <cell r="W1003">
            <v>12</v>
          </cell>
          <cell r="X1003" t="str">
            <v>X</v>
          </cell>
          <cell r="Y1003" t="str">
            <v>X</v>
          </cell>
          <cell r="Z1003">
            <v>0.04</v>
          </cell>
          <cell r="AA1003" t="str">
            <v>! !</v>
          </cell>
          <cell r="AB1003">
            <v>6000</v>
          </cell>
          <cell r="AC1003">
            <v>0.16036363636363637</v>
          </cell>
          <cell r="AG1003">
            <v>50</v>
          </cell>
          <cell r="AJ1003" t="str">
            <v>V-A</v>
          </cell>
          <cell r="AL1003">
            <v>3000</v>
          </cell>
          <cell r="AM1003">
            <v>2400</v>
          </cell>
          <cell r="AN1003" t="e">
            <v>#VALUE!</v>
          </cell>
          <cell r="AO1003" t="e">
            <v>#VALUE!</v>
          </cell>
          <cell r="AP1003">
            <v>600</v>
          </cell>
        </row>
        <row r="1004">
          <cell r="A1004">
            <v>64220800</v>
          </cell>
          <cell r="B1004">
            <v>40260700</v>
          </cell>
          <cell r="C1004">
            <v>9916241</v>
          </cell>
          <cell r="D1004" t="str">
            <v>BOF FR KIP CURRY BASMATI RODE RIJST 320G</v>
          </cell>
          <cell r="E1004" t="str">
            <v>Bofrost FR</v>
          </cell>
          <cell r="F1004" t="str">
            <v>40337500 COVIPEEL 32 355mm</v>
          </cell>
          <cell r="G1004" t="str">
            <v>UK-59</v>
          </cell>
          <cell r="H1004">
            <v>456</v>
          </cell>
          <cell r="I1004">
            <v>0.32</v>
          </cell>
          <cell r="J1004" t="str">
            <v>H22</v>
          </cell>
          <cell r="K1004" t="str">
            <v>NVT</v>
          </cell>
          <cell r="L1004">
            <v>10</v>
          </cell>
          <cell r="M1004" t="str">
            <v>H22X10</v>
          </cell>
          <cell r="N1004">
            <v>84</v>
          </cell>
          <cell r="O1004">
            <v>5400870422080</v>
          </cell>
          <cell r="P1004" t="str">
            <v>I-L-2T</v>
          </cell>
          <cell r="Q1004">
            <v>2</v>
          </cell>
          <cell r="R1004">
            <v>4</v>
          </cell>
          <cell r="T1004">
            <v>3200</v>
          </cell>
          <cell r="U1004">
            <v>5</v>
          </cell>
          <cell r="V1004">
            <v>3200</v>
          </cell>
          <cell r="W1004">
            <v>5</v>
          </cell>
          <cell r="X1004" t="str">
            <v>X</v>
          </cell>
          <cell r="Y1004" t="str">
            <v>X</v>
          </cell>
          <cell r="Z1004">
            <v>0.04</v>
          </cell>
          <cell r="AA1004" t="str">
            <v>! !</v>
          </cell>
          <cell r="AB1004">
            <v>4500</v>
          </cell>
          <cell r="AC1004">
            <v>0</v>
          </cell>
          <cell r="AG1004">
            <v>64</v>
          </cell>
          <cell r="AJ1004" t="str">
            <v>-</v>
          </cell>
          <cell r="AL1004">
            <v>3840</v>
          </cell>
          <cell r="AM1004">
            <v>3200</v>
          </cell>
          <cell r="AN1004" t="e">
            <v>#VALUE!</v>
          </cell>
          <cell r="AO1004" t="e">
            <v>#VALUE!</v>
          </cell>
          <cell r="AP1004">
            <v>640</v>
          </cell>
        </row>
        <row r="1005">
          <cell r="A1005">
            <v>64220900</v>
          </cell>
          <cell r="B1005">
            <v>40260800</v>
          </cell>
          <cell r="C1005">
            <v>9916242</v>
          </cell>
          <cell r="D1005" t="str">
            <v>BOF FR MOUSSAKA 320G</v>
          </cell>
          <cell r="E1005" t="str">
            <v>Bofrost FR</v>
          </cell>
          <cell r="F1005" t="str">
            <v>40337500 COVIPEEL 32 355mm</v>
          </cell>
          <cell r="G1005" t="str">
            <v>UK-59</v>
          </cell>
          <cell r="H1005">
            <v>365</v>
          </cell>
          <cell r="I1005">
            <v>0.32</v>
          </cell>
          <cell r="J1005" t="str">
            <v>H22</v>
          </cell>
          <cell r="K1005" t="str">
            <v>NVT</v>
          </cell>
          <cell r="L1005">
            <v>10</v>
          </cell>
          <cell r="M1005" t="str">
            <v>H22X10</v>
          </cell>
          <cell r="N1005">
            <v>84</v>
          </cell>
          <cell r="O1005">
            <v>5400870422097</v>
          </cell>
          <cell r="P1005" t="str">
            <v>4T-K</v>
          </cell>
          <cell r="Q1005">
            <v>2</v>
          </cell>
          <cell r="R1005">
            <v>4</v>
          </cell>
          <cell r="T1005">
            <v>3200</v>
          </cell>
          <cell r="U1005">
            <v>5</v>
          </cell>
          <cell r="V1005">
            <v>3200</v>
          </cell>
          <cell r="W1005">
            <v>5</v>
          </cell>
          <cell r="X1005" t="str">
            <v>X</v>
          </cell>
          <cell r="Y1005" t="str">
            <v>X</v>
          </cell>
          <cell r="Z1005">
            <v>0.04</v>
          </cell>
          <cell r="AA1005" t="str">
            <v>! !</v>
          </cell>
          <cell r="AB1005">
            <v>6000</v>
          </cell>
          <cell r="AC1005">
            <v>0</v>
          </cell>
          <cell r="AG1005">
            <v>64</v>
          </cell>
          <cell r="AJ1005" t="str">
            <v>-</v>
          </cell>
          <cell r="AL1005">
            <v>3840</v>
          </cell>
          <cell r="AM1005">
            <v>3200</v>
          </cell>
          <cell r="AN1005" t="e">
            <v>#VALUE!</v>
          </cell>
          <cell r="AO1005" t="e">
            <v>#VALUE!</v>
          </cell>
          <cell r="AP1005">
            <v>640</v>
          </cell>
        </row>
        <row r="1006">
          <cell r="A1006">
            <v>64221000</v>
          </cell>
          <cell r="B1006">
            <v>40260900</v>
          </cell>
          <cell r="C1006">
            <v>9916239</v>
          </cell>
          <cell r="D1006" t="str">
            <v>BOF FR PARMENTIER EEND PUREE 320G</v>
          </cell>
          <cell r="E1006" t="str">
            <v>Bofrost FR</v>
          </cell>
          <cell r="F1006" t="str">
            <v>40337500 COVIPEEL 32 355mm</v>
          </cell>
          <cell r="G1006" t="str">
            <v>UK-59</v>
          </cell>
          <cell r="H1006">
            <v>365</v>
          </cell>
          <cell r="I1006">
            <v>0.32</v>
          </cell>
          <cell r="J1006" t="str">
            <v>H22</v>
          </cell>
          <cell r="K1006" t="str">
            <v>NVT</v>
          </cell>
          <cell r="L1006">
            <v>10</v>
          </cell>
          <cell r="M1006" t="str">
            <v>H22X10</v>
          </cell>
          <cell r="N1006">
            <v>96</v>
          </cell>
          <cell r="O1006">
            <v>5400870422103</v>
          </cell>
          <cell r="P1006" t="str">
            <v>2T-2H-K</v>
          </cell>
          <cell r="Q1006">
            <v>2</v>
          </cell>
          <cell r="R1006">
            <v>4</v>
          </cell>
          <cell r="T1006">
            <v>3200</v>
          </cell>
          <cell r="U1006">
            <v>4</v>
          </cell>
          <cell r="V1006">
            <v>3200</v>
          </cell>
          <cell r="W1006">
            <v>4</v>
          </cell>
          <cell r="X1006">
            <v>0</v>
          </cell>
          <cell r="Y1006">
            <v>0</v>
          </cell>
          <cell r="Z1006">
            <v>0.04</v>
          </cell>
          <cell r="AA1006" t="str">
            <v>! !</v>
          </cell>
          <cell r="AB1006">
            <v>6000</v>
          </cell>
          <cell r="AC1006">
            <v>0</v>
          </cell>
          <cell r="AG1006">
            <v>68</v>
          </cell>
          <cell r="AJ1006" t="str">
            <v>V-A</v>
          </cell>
          <cell r="AL1006">
            <v>4080</v>
          </cell>
          <cell r="AM1006">
            <v>3200</v>
          </cell>
          <cell r="AN1006" t="e">
            <v>#VALUE!</v>
          </cell>
          <cell r="AO1006" t="e">
            <v>#VALUE!</v>
          </cell>
          <cell r="AP1006">
            <v>880</v>
          </cell>
        </row>
        <row r="1007">
          <cell r="A1007">
            <v>64221100</v>
          </cell>
          <cell r="B1007">
            <v>40261000</v>
          </cell>
          <cell r="C1007">
            <v>9916243</v>
          </cell>
          <cell r="D1007" t="str">
            <v>BOF FR ZWARTE PENS APPELCOMPOTE PUREE 320G</v>
          </cell>
          <cell r="E1007" t="str">
            <v>Bofrost FR</v>
          </cell>
          <cell r="F1007" t="str">
            <v>40337500 COVIPEEL 32 355mm</v>
          </cell>
          <cell r="G1007" t="str">
            <v>UK-59</v>
          </cell>
          <cell r="H1007">
            <v>365</v>
          </cell>
          <cell r="I1007">
            <v>0.32</v>
          </cell>
          <cell r="J1007" t="str">
            <v>H22</v>
          </cell>
          <cell r="K1007" t="str">
            <v>NVT</v>
          </cell>
          <cell r="L1007">
            <v>10</v>
          </cell>
          <cell r="M1007" t="str">
            <v>H22X10</v>
          </cell>
          <cell r="N1007">
            <v>84</v>
          </cell>
          <cell r="O1007">
            <v>5400870422110</v>
          </cell>
          <cell r="P1007" t="str">
            <v>2H-2T</v>
          </cell>
          <cell r="Q1007">
            <v>2</v>
          </cell>
          <cell r="R1007">
            <v>4</v>
          </cell>
          <cell r="T1007">
            <v>3200</v>
          </cell>
          <cell r="U1007">
            <v>5</v>
          </cell>
          <cell r="V1007">
            <v>3200</v>
          </cell>
          <cell r="W1007">
            <v>5</v>
          </cell>
          <cell r="X1007" t="str">
            <v>X</v>
          </cell>
          <cell r="Y1007" t="str">
            <v>X</v>
          </cell>
          <cell r="Z1007">
            <v>0.04</v>
          </cell>
          <cell r="AA1007" t="str">
            <v>! ! !</v>
          </cell>
          <cell r="AB1007">
            <v>4000</v>
          </cell>
          <cell r="AC1007">
            <v>0</v>
          </cell>
          <cell r="AG1007">
            <v>68</v>
          </cell>
          <cell r="AJ1007" t="str">
            <v>V-A</v>
          </cell>
          <cell r="AL1007">
            <v>4080</v>
          </cell>
          <cell r="AM1007">
            <v>3200</v>
          </cell>
          <cell r="AN1007" t="e">
            <v>#VALUE!</v>
          </cell>
          <cell r="AO1007" t="e">
            <v>#VALUE!</v>
          </cell>
          <cell r="AP1007">
            <v>880</v>
          </cell>
        </row>
        <row r="1008">
          <cell r="A1008">
            <v>64221200</v>
          </cell>
          <cell r="B1008">
            <v>40261100</v>
          </cell>
          <cell r="C1008">
            <v>9916244</v>
          </cell>
          <cell r="D1008" t="str">
            <v>BOF FR SPAGHETTI BOLOGNAISE 320G</v>
          </cell>
          <cell r="E1008" t="str">
            <v>Bofrost FR</v>
          </cell>
          <cell r="F1008" t="str">
            <v>40337500 COVIPEEL 32 355mm</v>
          </cell>
          <cell r="G1008" t="str">
            <v>UK-59</v>
          </cell>
          <cell r="H1008">
            <v>365</v>
          </cell>
          <cell r="I1008">
            <v>0.32</v>
          </cell>
          <cell r="J1008" t="str">
            <v>H22</v>
          </cell>
          <cell r="K1008" t="str">
            <v>NVT</v>
          </cell>
          <cell r="L1008">
            <v>10</v>
          </cell>
          <cell r="M1008" t="str">
            <v>H22X10</v>
          </cell>
          <cell r="N1008">
            <v>84</v>
          </cell>
          <cell r="O1008">
            <v>5400870422127</v>
          </cell>
          <cell r="P1008" t="str">
            <v>L-2T</v>
          </cell>
          <cell r="Q1008">
            <v>2</v>
          </cell>
          <cell r="R1008">
            <v>4</v>
          </cell>
          <cell r="T1008">
            <v>3200</v>
          </cell>
          <cell r="U1008">
            <v>5</v>
          </cell>
          <cell r="V1008">
            <v>3200</v>
          </cell>
          <cell r="W1008">
            <v>5</v>
          </cell>
          <cell r="X1008" t="str">
            <v>X</v>
          </cell>
          <cell r="Y1008" t="str">
            <v>X</v>
          </cell>
          <cell r="Z1008">
            <v>0.04</v>
          </cell>
          <cell r="AA1008" t="str">
            <v>! !</v>
          </cell>
          <cell r="AB1008">
            <v>4000</v>
          </cell>
          <cell r="AC1008">
            <v>0</v>
          </cell>
          <cell r="AG1008">
            <v>64</v>
          </cell>
          <cell r="AJ1008" t="str">
            <v>-</v>
          </cell>
          <cell r="AL1008">
            <v>3840</v>
          </cell>
          <cell r="AM1008">
            <v>3200</v>
          </cell>
          <cell r="AN1008" t="e">
            <v>#VALUE!</v>
          </cell>
          <cell r="AO1008" t="e">
            <v>#VALUE!</v>
          </cell>
          <cell r="AP1008">
            <v>640</v>
          </cell>
        </row>
        <row r="1009">
          <cell r="A1009">
            <v>64221300</v>
          </cell>
          <cell r="B1009">
            <v>40261200</v>
          </cell>
          <cell r="C1009">
            <v>9916235</v>
          </cell>
          <cell r="D1009" t="str">
            <v>BOF FR KALFSBLANKET RIJST 320G</v>
          </cell>
          <cell r="E1009" t="str">
            <v>Bofrost FR</v>
          </cell>
          <cell r="F1009" t="str">
            <v>40337500 COVIPEEL 32 355mm</v>
          </cell>
          <cell r="G1009" t="str">
            <v>UK-59</v>
          </cell>
          <cell r="H1009">
            <v>456</v>
          </cell>
          <cell r="I1009">
            <v>0.32</v>
          </cell>
          <cell r="J1009" t="str">
            <v>H22</v>
          </cell>
          <cell r="K1009" t="str">
            <v>NVT</v>
          </cell>
          <cell r="L1009">
            <v>10</v>
          </cell>
          <cell r="M1009" t="str">
            <v>H22X10</v>
          </cell>
          <cell r="N1009">
            <v>84</v>
          </cell>
          <cell r="O1009">
            <v>5400870422134</v>
          </cell>
          <cell r="P1009" t="str">
            <v>L-T</v>
          </cell>
          <cell r="Q1009">
            <v>1</v>
          </cell>
          <cell r="R1009">
            <v>4</v>
          </cell>
          <cell r="S1009" t="str">
            <v>KALFSBLANKET (vacuumzakken) + RIJST D-1</v>
          </cell>
          <cell r="T1009">
            <v>2200</v>
          </cell>
          <cell r="U1009">
            <v>8</v>
          </cell>
          <cell r="V1009">
            <v>2200</v>
          </cell>
          <cell r="W1009">
            <v>8</v>
          </cell>
          <cell r="X1009">
            <v>0</v>
          </cell>
          <cell r="Y1009">
            <v>0</v>
          </cell>
          <cell r="Z1009">
            <v>0.04</v>
          </cell>
          <cell r="AA1009" t="str">
            <v>! !</v>
          </cell>
          <cell r="AB1009">
            <v>5000</v>
          </cell>
          <cell r="AC1009">
            <v>0.12854430769230771</v>
          </cell>
          <cell r="AG1009">
            <v>45</v>
          </cell>
          <cell r="AJ1009" t="str">
            <v>V-A</v>
          </cell>
          <cell r="AL1009">
            <v>2700</v>
          </cell>
          <cell r="AM1009">
            <v>2200</v>
          </cell>
          <cell r="AN1009" t="e">
            <v>#VALUE!</v>
          </cell>
          <cell r="AO1009" t="e">
            <v>#VALUE!</v>
          </cell>
          <cell r="AP1009">
            <v>500</v>
          </cell>
        </row>
        <row r="1010">
          <cell r="A1010">
            <v>64221400</v>
          </cell>
          <cell r="B1010">
            <v>40261300</v>
          </cell>
          <cell r="C1010">
            <v>9916236</v>
          </cell>
          <cell r="D1010" t="str">
            <v>BOF FR TAGLIATELLE CARBONARA 320G</v>
          </cell>
          <cell r="E1010" t="str">
            <v>Bofrost FR</v>
          </cell>
          <cell r="F1010" t="str">
            <v>40337500 COVIPEEL 32 355mm</v>
          </cell>
          <cell r="G1010" t="str">
            <v>UK-59</v>
          </cell>
          <cell r="H1010">
            <v>365</v>
          </cell>
          <cell r="I1010">
            <v>0.32</v>
          </cell>
          <cell r="J1010" t="str">
            <v>H22</v>
          </cell>
          <cell r="K1010" t="str">
            <v>NVT</v>
          </cell>
          <cell r="L1010">
            <v>10</v>
          </cell>
          <cell r="M1010" t="str">
            <v>H22X10</v>
          </cell>
          <cell r="N1010">
            <v>84</v>
          </cell>
          <cell r="O1010">
            <v>5400870422141</v>
          </cell>
          <cell r="P1010" t="str">
            <v>L-2T-K</v>
          </cell>
          <cell r="Q1010">
            <v>2</v>
          </cell>
          <cell r="R1010">
            <v>4</v>
          </cell>
          <cell r="T1010">
            <v>3200</v>
          </cell>
          <cell r="U1010">
            <v>4</v>
          </cell>
          <cell r="V1010">
            <v>3200</v>
          </cell>
          <cell r="W1010">
            <v>4</v>
          </cell>
          <cell r="X1010" t="str">
            <v>X</v>
          </cell>
          <cell r="Y1010" t="str">
            <v>X</v>
          </cell>
          <cell r="Z1010">
            <v>0.04</v>
          </cell>
          <cell r="AA1010" t="str">
            <v>! !</v>
          </cell>
          <cell r="AB1010">
            <v>4500</v>
          </cell>
          <cell r="AC1010">
            <v>0</v>
          </cell>
          <cell r="AG1010">
            <v>64</v>
          </cell>
          <cell r="AJ1010" t="str">
            <v>V-A</v>
          </cell>
          <cell r="AL1010">
            <v>3840</v>
          </cell>
          <cell r="AM1010">
            <v>3200</v>
          </cell>
          <cell r="AN1010" t="e">
            <v>#VALUE!</v>
          </cell>
          <cell r="AO1010" t="e">
            <v>#VALUE!</v>
          </cell>
          <cell r="AP1010">
            <v>640</v>
          </cell>
        </row>
        <row r="1011">
          <cell r="A1011">
            <v>64221500</v>
          </cell>
          <cell r="B1011">
            <v>40261400</v>
          </cell>
          <cell r="C1011">
            <v>9916238</v>
          </cell>
          <cell r="D1011" t="str">
            <v>BOF FR KIP CIDERSAUS POMPOENPUREE 320G</v>
          </cell>
          <cell r="E1011" t="str">
            <v>Bofrost FR</v>
          </cell>
          <cell r="F1011" t="str">
            <v>40337500 COVIPEEL 32 355mm</v>
          </cell>
          <cell r="G1011" t="str">
            <v>UK-59</v>
          </cell>
          <cell r="H1011">
            <v>456</v>
          </cell>
          <cell r="I1011">
            <v>0.32</v>
          </cell>
          <cell r="J1011" t="str">
            <v>H22</v>
          </cell>
          <cell r="K1011" t="str">
            <v>NVT</v>
          </cell>
          <cell r="L1011">
            <v>10</v>
          </cell>
          <cell r="M1011" t="str">
            <v>H22X10</v>
          </cell>
          <cell r="N1011">
            <v>84</v>
          </cell>
          <cell r="O1011">
            <v>5400870422158</v>
          </cell>
          <cell r="P1011" t="str">
            <v>I-2H-2T</v>
          </cell>
          <cell r="Q1011">
            <v>2</v>
          </cell>
          <cell r="R1011">
            <v>4</v>
          </cell>
          <cell r="S1011" t="str">
            <v>Opvolgen pompoenpuree dr r&amp;d</v>
          </cell>
          <cell r="T1011">
            <v>3000</v>
          </cell>
          <cell r="U1011">
            <v>4</v>
          </cell>
          <cell r="V1011">
            <v>3000</v>
          </cell>
          <cell r="W1011">
            <v>4</v>
          </cell>
          <cell r="X1011" t="str">
            <v>X</v>
          </cell>
          <cell r="Y1011" t="str">
            <v>X</v>
          </cell>
          <cell r="Z1011">
            <v>0.04</v>
          </cell>
          <cell r="AA1011" t="str">
            <v>! !</v>
          </cell>
          <cell r="AB1011">
            <v>3000</v>
          </cell>
          <cell r="AC1011">
            <v>0</v>
          </cell>
          <cell r="AG1011">
            <v>68</v>
          </cell>
          <cell r="AJ1011" t="str">
            <v>V-A</v>
          </cell>
          <cell r="AL1011">
            <v>4080</v>
          </cell>
          <cell r="AM1011">
            <v>3000</v>
          </cell>
          <cell r="AN1011" t="e">
            <v>#VALUE!</v>
          </cell>
          <cell r="AO1011" t="e">
            <v>#VALUE!</v>
          </cell>
          <cell r="AP1011">
            <v>1080</v>
          </cell>
        </row>
        <row r="1012">
          <cell r="A1012">
            <v>64221700</v>
          </cell>
          <cell r="B1012">
            <v>40261600</v>
          </cell>
          <cell r="C1012">
            <v>9916253</v>
          </cell>
          <cell r="D1012" t="str">
            <v xml:space="preserve">BOF FR KIP TANDOORI RIJST 320G </v>
          </cell>
          <cell r="E1012" t="str">
            <v>Bofrost FR</v>
          </cell>
          <cell r="F1012" t="str">
            <v>40337500 COVIPEEL 32 355mm</v>
          </cell>
          <cell r="G1012" t="str">
            <v>UK-59</v>
          </cell>
          <cell r="H1012">
            <v>456</v>
          </cell>
          <cell r="I1012">
            <v>0.32</v>
          </cell>
          <cell r="J1012" t="str">
            <v>H22</v>
          </cell>
          <cell r="K1012" t="str">
            <v>NVT</v>
          </cell>
          <cell r="L1012">
            <v>10</v>
          </cell>
          <cell r="M1012" t="str">
            <v>H22X10</v>
          </cell>
          <cell r="N1012">
            <v>84</v>
          </cell>
          <cell r="O1012">
            <v>5400870422172</v>
          </cell>
          <cell r="P1012" t="str">
            <v>L-I-2T</v>
          </cell>
          <cell r="Q1012">
            <v>2</v>
          </cell>
          <cell r="R1012">
            <v>4</v>
          </cell>
          <cell r="T1012">
            <v>3000</v>
          </cell>
          <cell r="U1012">
            <v>5</v>
          </cell>
          <cell r="V1012">
            <v>3000</v>
          </cell>
          <cell r="W1012">
            <v>5</v>
          </cell>
          <cell r="X1012">
            <v>0</v>
          </cell>
          <cell r="Y1012">
            <v>0</v>
          </cell>
          <cell r="Z1012">
            <v>0.04</v>
          </cell>
          <cell r="AA1012" t="str">
            <v>! !</v>
          </cell>
          <cell r="AB1012">
            <v>3000</v>
          </cell>
          <cell r="AC1012">
            <v>0</v>
          </cell>
          <cell r="AG1012">
            <v>68</v>
          </cell>
          <cell r="AJ1012" t="str">
            <v>-</v>
          </cell>
          <cell r="AL1012">
            <v>4080</v>
          </cell>
          <cell r="AM1012">
            <v>3000</v>
          </cell>
          <cell r="AN1012" t="e">
            <v>#VALUE!</v>
          </cell>
          <cell r="AO1012" t="e">
            <v>#VALUE!</v>
          </cell>
          <cell r="AP1012">
            <v>1080</v>
          </cell>
        </row>
        <row r="1013">
          <cell r="A1013">
            <v>64221800</v>
          </cell>
          <cell r="B1013">
            <v>40261700</v>
          </cell>
          <cell r="C1013">
            <v>9916256</v>
          </cell>
          <cell r="D1013" t="str">
            <v>BOF FR RISOTTO KIP BOSCHAMPIGNON 320G</v>
          </cell>
          <cell r="E1013" t="str">
            <v>Bofrost FR</v>
          </cell>
          <cell r="F1013" t="str">
            <v>40337500 COVIPEEL 32 355mm</v>
          </cell>
          <cell r="G1013" t="str">
            <v>UK-59</v>
          </cell>
          <cell r="H1013">
            <v>456</v>
          </cell>
          <cell r="I1013">
            <v>0.32</v>
          </cell>
          <cell r="J1013" t="str">
            <v>H22</v>
          </cell>
          <cell r="K1013" t="str">
            <v>NVT</v>
          </cell>
          <cell r="L1013">
            <v>10</v>
          </cell>
          <cell r="M1013" t="str">
            <v>H22X10</v>
          </cell>
          <cell r="N1013">
            <v>84</v>
          </cell>
          <cell r="O1013">
            <v>5400870422189</v>
          </cell>
          <cell r="P1013" t="str">
            <v>I-L-2T-K</v>
          </cell>
          <cell r="Q1013">
            <v>3</v>
          </cell>
          <cell r="R1013">
            <v>4</v>
          </cell>
          <cell r="T1013">
            <v>3000</v>
          </cell>
          <cell r="U1013">
            <v>5</v>
          </cell>
          <cell r="V1013">
            <v>3000</v>
          </cell>
          <cell r="W1013">
            <v>5</v>
          </cell>
          <cell r="X1013">
            <v>0</v>
          </cell>
          <cell r="Y1013">
            <v>0</v>
          </cell>
          <cell r="Z1013">
            <v>0.04</v>
          </cell>
          <cell r="AA1013" t="str">
            <v>! !</v>
          </cell>
          <cell r="AB1013">
            <v>5000</v>
          </cell>
          <cell r="AC1013">
            <v>0</v>
          </cell>
          <cell r="AG1013">
            <v>68</v>
          </cell>
          <cell r="AJ1013" t="str">
            <v>-</v>
          </cell>
          <cell r="AL1013">
            <v>4080</v>
          </cell>
          <cell r="AM1013">
            <v>3000</v>
          </cell>
          <cell r="AN1013" t="e">
            <v>#VALUE!</v>
          </cell>
          <cell r="AO1013" t="e">
            <v>#VALUE!</v>
          </cell>
          <cell r="AP1013">
            <v>1080</v>
          </cell>
        </row>
        <row r="1014">
          <cell r="A1014">
            <v>64221900</v>
          </cell>
          <cell r="B1014">
            <v>40261800</v>
          </cell>
          <cell r="C1014">
            <v>9916258</v>
          </cell>
          <cell r="D1014" t="str">
            <v>BOF FR KIP KORMA RIJST 320G</v>
          </cell>
          <cell r="E1014" t="str">
            <v>Bofrost FR</v>
          </cell>
          <cell r="F1014" t="str">
            <v>40337500 COVIPEEL 32 355mm</v>
          </cell>
          <cell r="G1014" t="str">
            <v>UK-59</v>
          </cell>
          <cell r="H1014">
            <v>456</v>
          </cell>
          <cell r="I1014">
            <v>0.32</v>
          </cell>
          <cell r="J1014" t="str">
            <v>H22</v>
          </cell>
          <cell r="K1014" t="str">
            <v>NVT</v>
          </cell>
          <cell r="L1014">
            <v>10</v>
          </cell>
          <cell r="M1014" t="str">
            <v>H22X10</v>
          </cell>
          <cell r="N1014">
            <v>84</v>
          </cell>
          <cell r="O1014">
            <v>5400870422196</v>
          </cell>
          <cell r="P1014" t="str">
            <v>L-I-2T</v>
          </cell>
          <cell r="Q1014">
            <v>3</v>
          </cell>
          <cell r="R1014">
            <v>4</v>
          </cell>
          <cell r="T1014">
            <v>3200</v>
          </cell>
          <cell r="U1014">
            <v>5</v>
          </cell>
          <cell r="V1014">
            <v>3200</v>
          </cell>
          <cell r="W1014">
            <v>5</v>
          </cell>
          <cell r="X1014">
            <v>0</v>
          </cell>
          <cell r="Y1014">
            <v>0</v>
          </cell>
          <cell r="Z1014">
            <v>0.04</v>
          </cell>
          <cell r="AA1014" t="str">
            <v>! ! ! ! !</v>
          </cell>
          <cell r="AB1014">
            <v>4000</v>
          </cell>
          <cell r="AC1014">
            <v>0</v>
          </cell>
          <cell r="AG1014">
            <v>68</v>
          </cell>
          <cell r="AJ1014" t="str">
            <v>-</v>
          </cell>
          <cell r="AL1014">
            <v>4080</v>
          </cell>
          <cell r="AM1014">
            <v>3200</v>
          </cell>
          <cell r="AN1014" t="e">
            <v>#VALUE!</v>
          </cell>
          <cell r="AO1014" t="e">
            <v>#VALUE!</v>
          </cell>
          <cell r="AP1014">
            <v>880</v>
          </cell>
        </row>
        <row r="1015">
          <cell r="A1015">
            <v>64222000</v>
          </cell>
          <cell r="B1015">
            <v>40261900</v>
          </cell>
          <cell r="C1015">
            <v>3316259</v>
          </cell>
          <cell r="D1015" t="str">
            <v>BOF FR SPAGHETTI RUNDSREEPJES TERIYAKI 320G</v>
          </cell>
          <cell r="E1015" t="str">
            <v>Bofrost FR</v>
          </cell>
          <cell r="F1015" t="str">
            <v>40337500 COVIPEEL 32 355mm</v>
          </cell>
          <cell r="G1015" t="str">
            <v>UK-59</v>
          </cell>
          <cell r="H1015">
            <v>456</v>
          </cell>
          <cell r="I1015">
            <v>0.32</v>
          </cell>
          <cell r="J1015" t="str">
            <v>H22</v>
          </cell>
          <cell r="K1015" t="str">
            <v>NVT</v>
          </cell>
          <cell r="L1015">
            <v>10</v>
          </cell>
          <cell r="M1015" t="str">
            <v>H22X10</v>
          </cell>
          <cell r="N1015">
            <v>84</v>
          </cell>
          <cell r="O1015">
            <v>5400870422202</v>
          </cell>
          <cell r="P1015" t="str">
            <v>L-I-2T</v>
          </cell>
          <cell r="Q1015">
            <v>3</v>
          </cell>
          <cell r="R1015">
            <v>4</v>
          </cell>
          <cell r="T1015">
            <v>3000</v>
          </cell>
          <cell r="U1015">
            <v>8</v>
          </cell>
          <cell r="V1015">
            <v>3000</v>
          </cell>
          <cell r="W1015">
            <v>8</v>
          </cell>
          <cell r="X1015">
            <v>0</v>
          </cell>
          <cell r="Y1015">
            <v>0</v>
          </cell>
          <cell r="Z1015">
            <v>0.04</v>
          </cell>
          <cell r="AA1015" t="str">
            <v>! ! ! ! !</v>
          </cell>
          <cell r="AB1015">
            <v>5000</v>
          </cell>
          <cell r="AC1015">
            <v>0</v>
          </cell>
          <cell r="AG1015">
            <v>68</v>
          </cell>
          <cell r="AJ1015" t="str">
            <v>V-A</v>
          </cell>
          <cell r="AL1015">
            <v>4080</v>
          </cell>
          <cell r="AM1015">
            <v>3000</v>
          </cell>
          <cell r="AN1015" t="e">
            <v>#VALUE!</v>
          </cell>
          <cell r="AO1015" t="e">
            <v>#VALUE!</v>
          </cell>
          <cell r="AP1015">
            <v>1080</v>
          </cell>
        </row>
        <row r="1016">
          <cell r="A1016">
            <v>64222200</v>
          </cell>
          <cell r="B1016">
            <v>40262600</v>
          </cell>
          <cell r="C1016">
            <v>3316274</v>
          </cell>
          <cell r="D1016" t="str">
            <v>BOF FR KIP TAJINE CITROEN OLIJF 320G</v>
          </cell>
          <cell r="E1016" t="str">
            <v>Bofrost FR</v>
          </cell>
          <cell r="F1016" t="str">
            <v>40337500 COVIPEEL 32 355mm</v>
          </cell>
          <cell r="G1016" t="str">
            <v>UK-59</v>
          </cell>
          <cell r="H1016">
            <v>456</v>
          </cell>
          <cell r="I1016">
            <v>0.32</v>
          </cell>
          <cell r="J1016" t="str">
            <v>H22</v>
          </cell>
          <cell r="K1016" t="str">
            <v>NVT</v>
          </cell>
          <cell r="L1016">
            <v>10</v>
          </cell>
          <cell r="M1016" t="str">
            <v>H22X10</v>
          </cell>
          <cell r="N1016">
            <v>84</v>
          </cell>
          <cell r="O1016">
            <v>5400870422226</v>
          </cell>
          <cell r="P1016" t="str">
            <v>I-2T</v>
          </cell>
          <cell r="Q1016">
            <v>1</v>
          </cell>
          <cell r="R1016">
            <v>4</v>
          </cell>
          <cell r="S1016" t="str">
            <v>olijven!!</v>
          </cell>
          <cell r="T1016">
            <v>3000</v>
          </cell>
          <cell r="U1016">
            <v>9</v>
          </cell>
          <cell r="V1016">
            <v>3000</v>
          </cell>
          <cell r="W1016">
            <v>9</v>
          </cell>
          <cell r="X1016">
            <v>0</v>
          </cell>
          <cell r="Y1016">
            <v>0</v>
          </cell>
          <cell r="Z1016">
            <v>0.04</v>
          </cell>
          <cell r="AA1016" t="str">
            <v>-</v>
          </cell>
          <cell r="AB1016">
            <v>3000</v>
          </cell>
          <cell r="AC1016">
            <v>0</v>
          </cell>
          <cell r="AG1016">
            <v>68</v>
          </cell>
          <cell r="AJ1016" t="str">
            <v>-</v>
          </cell>
          <cell r="AL1016">
            <v>4080</v>
          </cell>
          <cell r="AM1016">
            <v>3000</v>
          </cell>
          <cell r="AN1016" t="e">
            <v>#VALUE!</v>
          </cell>
          <cell r="AO1016" t="e">
            <v>#VALUE!</v>
          </cell>
          <cell r="AP1016">
            <v>1080</v>
          </cell>
        </row>
        <row r="1017">
          <cell r="A1017">
            <v>64222300</v>
          </cell>
          <cell r="B1017">
            <v>40237300</v>
          </cell>
          <cell r="C1017">
            <v>3316276</v>
          </cell>
          <cell r="D1017" t="str">
            <v>BOF FR COQUILLES MSC RIJSTMIX PREIROOM 320G</v>
          </cell>
          <cell r="E1017" t="str">
            <v>Bofrost FR</v>
          </cell>
          <cell r="F1017" t="str">
            <v>40337500 COVIPEEL 32 355mm</v>
          </cell>
          <cell r="G1017" t="str">
            <v>UK-59</v>
          </cell>
          <cell r="H1017">
            <v>456</v>
          </cell>
          <cell r="I1017">
            <v>0.32</v>
          </cell>
          <cell r="J1017" t="str">
            <v>H22</v>
          </cell>
          <cell r="K1017" t="str">
            <v>NVT</v>
          </cell>
          <cell r="L1017">
            <v>10</v>
          </cell>
          <cell r="M1017" t="str">
            <v>H22X10</v>
          </cell>
          <cell r="N1017">
            <v>84</v>
          </cell>
          <cell r="O1017">
            <v>5400870422233</v>
          </cell>
          <cell r="P1017" t="str">
            <v>I-L-4T</v>
          </cell>
          <cell r="Q1017">
            <v>3</v>
          </cell>
          <cell r="R1017">
            <v>4</v>
          </cell>
          <cell r="T1017">
            <v>3000</v>
          </cell>
          <cell r="U1017">
            <v>5</v>
          </cell>
          <cell r="V1017">
            <v>3000</v>
          </cell>
          <cell r="W1017">
            <v>5</v>
          </cell>
          <cell r="X1017">
            <v>0</v>
          </cell>
          <cell r="Y1017">
            <v>0</v>
          </cell>
          <cell r="Z1017">
            <v>0.04</v>
          </cell>
          <cell r="AA1017" t="str">
            <v>! ! ! !</v>
          </cell>
          <cell r="AB1017">
            <v>3000</v>
          </cell>
          <cell r="AC1017">
            <v>0</v>
          </cell>
          <cell r="AG1017">
            <v>68</v>
          </cell>
          <cell r="AJ1017" t="str">
            <v>V-A</v>
          </cell>
          <cell r="AL1017">
            <v>4080</v>
          </cell>
          <cell r="AM1017">
            <v>3000</v>
          </cell>
          <cell r="AN1017" t="e">
            <v>#VALUE!</v>
          </cell>
          <cell r="AO1017" t="e">
            <v>#VALUE!</v>
          </cell>
          <cell r="AP1017">
            <v>1080</v>
          </cell>
        </row>
        <row r="1018">
          <cell r="A1018">
            <v>64222400</v>
          </cell>
          <cell r="B1018">
            <v>40237400</v>
          </cell>
          <cell r="C1018">
            <v>3316275</v>
          </cell>
          <cell r="D1018" t="str">
            <v>BOF FR LINGUINI ZALM ASC PREIROOM 320G</v>
          </cell>
          <cell r="E1018" t="str">
            <v>Bofrost FR</v>
          </cell>
          <cell r="F1018" t="str">
            <v>40337500 COVIPEEL 32 355mm</v>
          </cell>
          <cell r="G1018" t="str">
            <v>UK-59</v>
          </cell>
          <cell r="H1018">
            <v>456</v>
          </cell>
          <cell r="I1018">
            <v>0.32</v>
          </cell>
          <cell r="J1018" t="str">
            <v>H22</v>
          </cell>
          <cell r="K1018" t="str">
            <v>NVT</v>
          </cell>
          <cell r="L1018">
            <v>10</v>
          </cell>
          <cell r="M1018" t="str">
            <v>H22X10</v>
          </cell>
          <cell r="N1018">
            <v>84</v>
          </cell>
          <cell r="O1018">
            <v>5400870422240</v>
          </cell>
          <cell r="P1018" t="str">
            <v>I-L-2T</v>
          </cell>
          <cell r="Q1018">
            <v>2.5</v>
          </cell>
          <cell r="R1018">
            <v>4</v>
          </cell>
          <cell r="T1018">
            <v>3000</v>
          </cell>
          <cell r="U1018">
            <v>5</v>
          </cell>
          <cell r="V1018">
            <v>3000</v>
          </cell>
          <cell r="W1018">
            <v>5</v>
          </cell>
          <cell r="X1018">
            <v>0</v>
          </cell>
          <cell r="Y1018">
            <v>0</v>
          </cell>
          <cell r="Z1018">
            <v>0.04</v>
          </cell>
          <cell r="AA1018" t="str">
            <v>! ! ! !</v>
          </cell>
          <cell r="AB1018">
            <v>3000</v>
          </cell>
          <cell r="AC1018">
            <v>0</v>
          </cell>
          <cell r="AG1018">
            <v>68</v>
          </cell>
          <cell r="AJ1018" t="str">
            <v>V-A</v>
          </cell>
          <cell r="AL1018">
            <v>4080</v>
          </cell>
          <cell r="AM1018">
            <v>3000</v>
          </cell>
          <cell r="AN1018" t="e">
            <v>#VALUE!</v>
          </cell>
          <cell r="AO1018" t="e">
            <v>#VALUE!</v>
          </cell>
          <cell r="AP1018">
            <v>1080</v>
          </cell>
        </row>
        <row r="1019">
          <cell r="A1019">
            <v>64222500</v>
          </cell>
          <cell r="B1019">
            <v>40237700</v>
          </cell>
          <cell r="C1019">
            <v>9516278</v>
          </cell>
          <cell r="D1019" t="str">
            <v>BOF FR LASAGNE GEITENKAAS SPINAZIE</v>
          </cell>
          <cell r="E1019" t="str">
            <v>Bofrost FR</v>
          </cell>
          <cell r="F1019" t="str">
            <v>40337500 COVIPEEL 32 355mm</v>
          </cell>
          <cell r="G1019" t="str">
            <v>UK-59</v>
          </cell>
          <cell r="H1019">
            <v>456</v>
          </cell>
          <cell r="I1019">
            <v>0.35</v>
          </cell>
          <cell r="J1019" t="str">
            <v>H22</v>
          </cell>
          <cell r="K1019" t="str">
            <v>NVT</v>
          </cell>
          <cell r="L1019">
            <v>10</v>
          </cell>
          <cell r="M1019" t="str">
            <v>H22X10</v>
          </cell>
          <cell r="N1019">
            <v>84</v>
          </cell>
          <cell r="O1019">
            <v>5400870422257</v>
          </cell>
          <cell r="P1019" t="str">
            <v>5T-K</v>
          </cell>
          <cell r="Q1019">
            <v>3</v>
          </cell>
          <cell r="R1019">
            <v>4</v>
          </cell>
          <cell r="S1019" t="str">
            <v>opvolging doseringen, steeds te weinig champ.saus en te veel kaassaus</v>
          </cell>
          <cell r="T1019">
            <v>2500</v>
          </cell>
          <cell r="U1019">
            <v>5</v>
          </cell>
          <cell r="V1019">
            <v>2500</v>
          </cell>
          <cell r="W1019">
            <v>5</v>
          </cell>
          <cell r="X1019">
            <v>0</v>
          </cell>
          <cell r="Y1019">
            <v>0</v>
          </cell>
          <cell r="Z1019">
            <v>0.04</v>
          </cell>
          <cell r="AA1019" t="str">
            <v>! !</v>
          </cell>
          <cell r="AB1019">
            <v>4000</v>
          </cell>
          <cell r="AC1019">
            <v>0</v>
          </cell>
          <cell r="AG1019">
            <v>50</v>
          </cell>
          <cell r="AJ1019" t="str">
            <v>-</v>
          </cell>
          <cell r="AL1019">
            <v>3000</v>
          </cell>
          <cell r="AM1019">
            <v>2500</v>
          </cell>
          <cell r="AN1019" t="e">
            <v>#VALUE!</v>
          </cell>
          <cell r="AO1019" t="e">
            <v>#VALUE!</v>
          </cell>
          <cell r="AP1019">
            <v>500</v>
          </cell>
        </row>
        <row r="1020">
          <cell r="A1020">
            <v>64222600</v>
          </cell>
          <cell r="B1020">
            <v>40238600</v>
          </cell>
          <cell r="C1020">
            <v>3316279</v>
          </cell>
          <cell r="D1020" t="str">
            <v>BOF FR VARKEN KARAMEL BASMATI KORIANDER 320G</v>
          </cell>
          <cell r="E1020" t="str">
            <v>Bofrost FR</v>
          </cell>
          <cell r="F1020" t="str">
            <v>40337500 COVIPEEL 32 355mm</v>
          </cell>
          <cell r="G1020" t="str">
            <v>UK-59</v>
          </cell>
          <cell r="H1020">
            <v>365</v>
          </cell>
          <cell r="I1020">
            <v>0.32</v>
          </cell>
          <cell r="J1020" t="str">
            <v>H22</v>
          </cell>
          <cell r="K1020" t="str">
            <v>NVT</v>
          </cell>
          <cell r="L1020">
            <v>10</v>
          </cell>
          <cell r="M1020" t="str">
            <v>H22X10</v>
          </cell>
          <cell r="N1020">
            <v>96</v>
          </cell>
          <cell r="O1020">
            <v>5400870422264</v>
          </cell>
          <cell r="P1020" t="str">
            <v>L-T</v>
          </cell>
          <cell r="Q1020">
            <v>2</v>
          </cell>
          <cell r="R1020">
            <v>4</v>
          </cell>
          <cell r="S1020" t="str">
            <v>STOOFVLEES D-1 (vacuumzakken)</v>
          </cell>
          <cell r="T1020">
            <v>2200</v>
          </cell>
          <cell r="U1020">
            <v>7</v>
          </cell>
          <cell r="V1020">
            <v>2200</v>
          </cell>
          <cell r="W1020">
            <v>7</v>
          </cell>
          <cell r="X1020">
            <v>0</v>
          </cell>
          <cell r="Y1020">
            <v>0</v>
          </cell>
          <cell r="Z1020">
            <v>0.04</v>
          </cell>
          <cell r="AA1020" t="str">
            <v>! ! ! !</v>
          </cell>
          <cell r="AB1020">
            <v>3000</v>
          </cell>
          <cell r="AC1020">
            <v>0.13129302000000001</v>
          </cell>
          <cell r="AG1020">
            <v>45</v>
          </cell>
          <cell r="AJ1020" t="str">
            <v>V-A</v>
          </cell>
          <cell r="AL1020">
            <v>2700</v>
          </cell>
          <cell r="AM1020">
            <v>2200</v>
          </cell>
          <cell r="AN1020" t="e">
            <v>#VALUE!</v>
          </cell>
          <cell r="AO1020" t="e">
            <v>#VALUE!</v>
          </cell>
          <cell r="AP1020">
            <v>500</v>
          </cell>
        </row>
        <row r="1021">
          <cell r="A1021">
            <v>64222700</v>
          </cell>
          <cell r="B1021">
            <v>40238700</v>
          </cell>
          <cell r="C1021">
            <v>3316280</v>
          </cell>
          <cell r="D1021" t="str">
            <v>BOF FR LINZEN GRATINSCHOTEL 320G</v>
          </cell>
          <cell r="E1021" t="str">
            <v>Bofrost FR</v>
          </cell>
          <cell r="F1021" t="str">
            <v>40337500 COVIPEEL 32 355mm</v>
          </cell>
          <cell r="G1021" t="str">
            <v>UK-59</v>
          </cell>
          <cell r="H1021">
            <v>456</v>
          </cell>
          <cell r="I1021">
            <v>0.32</v>
          </cell>
          <cell r="J1021" t="str">
            <v>H22</v>
          </cell>
          <cell r="K1021" t="str">
            <v>NVT</v>
          </cell>
          <cell r="L1021">
            <v>10</v>
          </cell>
          <cell r="M1021" t="str">
            <v>H22X10</v>
          </cell>
          <cell r="N1021">
            <v>84</v>
          </cell>
          <cell r="O1021">
            <v>5400870422271</v>
          </cell>
          <cell r="P1021" t="str">
            <v>2T-2H-K</v>
          </cell>
          <cell r="Q1021">
            <v>3</v>
          </cell>
          <cell r="R1021">
            <v>4</v>
          </cell>
          <cell r="S1021" t="str">
            <v>LINZEN D-1, ZONNEBLOEMPITTEN bakken</v>
          </cell>
          <cell r="T1021">
            <v>3200</v>
          </cell>
          <cell r="U1021">
            <v>2</v>
          </cell>
          <cell r="V1021">
            <v>3200</v>
          </cell>
          <cell r="W1021">
            <v>2</v>
          </cell>
          <cell r="X1021">
            <v>0</v>
          </cell>
          <cell r="Y1021">
            <v>0</v>
          </cell>
          <cell r="Z1021">
            <v>0.04</v>
          </cell>
          <cell r="AA1021" t="str">
            <v>-</v>
          </cell>
          <cell r="AB1021">
            <v>3000</v>
          </cell>
          <cell r="AC1021">
            <v>0</v>
          </cell>
          <cell r="AG1021">
            <v>68</v>
          </cell>
          <cell r="AJ1021" t="str">
            <v>-</v>
          </cell>
          <cell r="AL1021">
            <v>4080</v>
          </cell>
          <cell r="AM1021">
            <v>3200</v>
          </cell>
          <cell r="AN1021" t="e">
            <v>#VALUE!</v>
          </cell>
          <cell r="AO1021" t="e">
            <v>#VALUE!</v>
          </cell>
          <cell r="AP1021">
            <v>880</v>
          </cell>
        </row>
        <row r="1022">
          <cell r="A1022">
            <v>64222800</v>
          </cell>
          <cell r="B1022">
            <v>40240800</v>
          </cell>
          <cell r="C1022">
            <v>3316288</v>
          </cell>
          <cell r="D1022" t="str">
            <v>BOF FR LASAGNETTI PESTO GROENE GROENTEN 320G</v>
          </cell>
          <cell r="E1022" t="str">
            <v>Bofrost FR</v>
          </cell>
          <cell r="F1022" t="str">
            <v>40337500 COVIPEEL 32 355mm</v>
          </cell>
          <cell r="G1022" t="str">
            <v>UK-59</v>
          </cell>
          <cell r="H1022">
            <v>456</v>
          </cell>
          <cell r="I1022">
            <v>0.32</v>
          </cell>
          <cell r="J1022" t="str">
            <v>H22</v>
          </cell>
          <cell r="K1022" t="str">
            <v>NVT</v>
          </cell>
          <cell r="L1022">
            <v>10</v>
          </cell>
          <cell r="M1022" t="str">
            <v>H22X10</v>
          </cell>
          <cell r="N1022">
            <v>84</v>
          </cell>
          <cell r="O1022">
            <v>5400870422288</v>
          </cell>
          <cell r="P1022" t="str">
            <v>L-2T-K</v>
          </cell>
          <cell r="Q1022">
            <v>3</v>
          </cell>
          <cell r="R1022">
            <v>4</v>
          </cell>
          <cell r="S1022" t="str">
            <v xml:space="preserve">Opvolgen pasta </v>
          </cell>
          <cell r="T1022">
            <v>3200</v>
          </cell>
          <cell r="U1022">
            <v>7</v>
          </cell>
          <cell r="V1022">
            <v>3200</v>
          </cell>
          <cell r="W1022">
            <v>7</v>
          </cell>
          <cell r="X1022">
            <v>0</v>
          </cell>
          <cell r="Y1022">
            <v>0</v>
          </cell>
          <cell r="Z1022">
            <v>0.04</v>
          </cell>
          <cell r="AA1022" t="str">
            <v>! ! ! ! !</v>
          </cell>
          <cell r="AB1022">
            <v>3000</v>
          </cell>
          <cell r="AC1022">
            <v>0</v>
          </cell>
          <cell r="AG1022">
            <v>68</v>
          </cell>
          <cell r="AJ1022" t="str">
            <v>-</v>
          </cell>
          <cell r="AL1022">
            <v>4080</v>
          </cell>
          <cell r="AM1022">
            <v>3200</v>
          </cell>
          <cell r="AN1022" t="e">
            <v>#VALUE!</v>
          </cell>
          <cell r="AO1022" t="e">
            <v>#VALUE!</v>
          </cell>
          <cell r="AP1022">
            <v>880</v>
          </cell>
        </row>
        <row r="1023">
          <cell r="A1023">
            <v>64222900</v>
          </cell>
          <cell r="B1023">
            <v>40240900</v>
          </cell>
          <cell r="C1023">
            <v>3316289</v>
          </cell>
          <cell r="D1023" t="str">
            <v>BOF FR VEG MACARONI KAASSAUS 320G</v>
          </cell>
          <cell r="E1023" t="str">
            <v>Bofrost FR</v>
          </cell>
          <cell r="F1023" t="str">
            <v>40337500 COVIPEEL 32 355mm</v>
          </cell>
          <cell r="G1023" t="str">
            <v>UK-59</v>
          </cell>
          <cell r="H1023">
            <v>456</v>
          </cell>
          <cell r="I1023">
            <v>0.32</v>
          </cell>
          <cell r="J1023" t="str">
            <v>H22</v>
          </cell>
          <cell r="K1023" t="str">
            <v>NVT</v>
          </cell>
          <cell r="L1023">
            <v>10</v>
          </cell>
          <cell r="M1023" t="str">
            <v>H22X10</v>
          </cell>
          <cell r="N1023">
            <v>84</v>
          </cell>
          <cell r="O1023">
            <v>5400870422295</v>
          </cell>
          <cell r="P1023" t="str">
            <v>L-2T-K</v>
          </cell>
          <cell r="Q1023">
            <v>2</v>
          </cell>
          <cell r="R1023">
            <v>4</v>
          </cell>
          <cell r="S1023" t="str">
            <v xml:space="preserve">Opvolgen pasta </v>
          </cell>
          <cell r="T1023">
            <v>3200</v>
          </cell>
          <cell r="U1023">
            <v>3</v>
          </cell>
          <cell r="V1023">
            <v>3200</v>
          </cell>
          <cell r="W1023">
            <v>3</v>
          </cell>
          <cell r="X1023">
            <v>0</v>
          </cell>
          <cell r="Y1023">
            <v>0</v>
          </cell>
          <cell r="Z1023">
            <v>0.04</v>
          </cell>
          <cell r="AA1023" t="str">
            <v>! !</v>
          </cell>
          <cell r="AB1023">
            <v>3000</v>
          </cell>
          <cell r="AC1023">
            <v>0</v>
          </cell>
          <cell r="AG1023">
            <v>68</v>
          </cell>
          <cell r="AJ1023" t="str">
            <v>-</v>
          </cell>
          <cell r="AL1023">
            <v>4080</v>
          </cell>
          <cell r="AM1023">
            <v>3200</v>
          </cell>
          <cell r="AN1023" t="e">
            <v>#VALUE!</v>
          </cell>
          <cell r="AO1023" t="e">
            <v>#VALUE!</v>
          </cell>
          <cell r="AP1023">
            <v>880</v>
          </cell>
        </row>
        <row r="1024">
          <cell r="A1024">
            <v>64223000</v>
          </cell>
          <cell r="B1024">
            <v>40241000</v>
          </cell>
          <cell r="C1024">
            <v>3316287</v>
          </cell>
          <cell r="D1024" t="str">
            <v>BOF FR VEG PENNE ARRABIATA 320G</v>
          </cell>
          <cell r="E1024" t="str">
            <v>Bofrost FR</v>
          </cell>
          <cell r="F1024" t="str">
            <v>40337500 COVIPEEL 32 355mm</v>
          </cell>
          <cell r="G1024" t="str">
            <v>UK-59</v>
          </cell>
          <cell r="H1024">
            <v>456</v>
          </cell>
          <cell r="I1024">
            <v>0.32</v>
          </cell>
          <cell r="J1024" t="str">
            <v>H22</v>
          </cell>
          <cell r="K1024" t="str">
            <v>NVT</v>
          </cell>
          <cell r="L1024">
            <v>10</v>
          </cell>
          <cell r="M1024" t="str">
            <v>H22X10</v>
          </cell>
          <cell r="N1024">
            <v>84</v>
          </cell>
          <cell r="O1024">
            <v>5400870422301</v>
          </cell>
          <cell r="P1024" t="str">
            <v>L-2T-K</v>
          </cell>
          <cell r="Q1024">
            <v>2</v>
          </cell>
          <cell r="R1024">
            <v>4</v>
          </cell>
          <cell r="S1024" t="str">
            <v xml:space="preserve">Opvolgen pasta </v>
          </cell>
          <cell r="T1024">
            <v>3200</v>
          </cell>
          <cell r="U1024">
            <v>5</v>
          </cell>
          <cell r="V1024">
            <v>3200</v>
          </cell>
          <cell r="W1024">
            <v>5</v>
          </cell>
          <cell r="X1024">
            <v>0</v>
          </cell>
          <cell r="Y1024">
            <v>0</v>
          </cell>
          <cell r="Z1024">
            <v>0.04</v>
          </cell>
          <cell r="AA1024" t="str">
            <v>! !</v>
          </cell>
          <cell r="AB1024">
            <v>3000</v>
          </cell>
          <cell r="AC1024">
            <v>0</v>
          </cell>
          <cell r="AG1024">
            <v>68</v>
          </cell>
          <cell r="AJ1024" t="str">
            <v>-</v>
          </cell>
          <cell r="AL1024">
            <v>4080</v>
          </cell>
          <cell r="AM1024">
            <v>3200</v>
          </cell>
          <cell r="AN1024" t="e">
            <v>#VALUE!</v>
          </cell>
          <cell r="AO1024" t="e">
            <v>#VALUE!</v>
          </cell>
          <cell r="AP1024">
            <v>880</v>
          </cell>
        </row>
        <row r="1025">
          <cell r="A1025">
            <v>64223100</v>
          </cell>
          <cell r="B1025">
            <v>40243500</v>
          </cell>
          <cell r="C1025">
            <v>3316290</v>
          </cell>
          <cell r="D1025" t="str">
            <v>BOF FR VEG LINGUINE POMPOENSAUS 320G</v>
          </cell>
          <cell r="E1025" t="str">
            <v>Bofrost FR</v>
          </cell>
          <cell r="F1025" t="str">
            <v>40337500 COVIPEEL 32 355mm</v>
          </cell>
          <cell r="G1025" t="str">
            <v>UK-59</v>
          </cell>
          <cell r="H1025">
            <v>456</v>
          </cell>
          <cell r="I1025">
            <v>0.32</v>
          </cell>
          <cell r="J1025" t="str">
            <v>H22</v>
          </cell>
          <cell r="K1025" t="str">
            <v>NVT</v>
          </cell>
          <cell r="L1025">
            <v>10</v>
          </cell>
          <cell r="M1025" t="str">
            <v>H22X10</v>
          </cell>
          <cell r="N1025">
            <v>84</v>
          </cell>
          <cell r="O1025">
            <v>5400870422318</v>
          </cell>
          <cell r="P1025" t="str">
            <v>L-2T-K</v>
          </cell>
          <cell r="Q1025">
            <v>2</v>
          </cell>
          <cell r="R1025">
            <v>4</v>
          </cell>
          <cell r="S1025" t="str">
            <v>POMPOENPITTEN bakken</v>
          </cell>
          <cell r="T1025">
            <v>3200</v>
          </cell>
          <cell r="U1025">
            <v>4</v>
          </cell>
          <cell r="V1025">
            <v>3200</v>
          </cell>
          <cell r="W1025">
            <v>4</v>
          </cell>
          <cell r="X1025">
            <v>0</v>
          </cell>
          <cell r="Y1025">
            <v>0</v>
          </cell>
          <cell r="Z1025">
            <v>0.04</v>
          </cell>
          <cell r="AA1025" t="str">
            <v>! !</v>
          </cell>
          <cell r="AB1025">
            <v>3000</v>
          </cell>
          <cell r="AC1025">
            <v>0</v>
          </cell>
          <cell r="AG1025">
            <v>68</v>
          </cell>
          <cell r="AJ1025" t="str">
            <v>-</v>
          </cell>
          <cell r="AL1025">
            <v>4080</v>
          </cell>
          <cell r="AM1025">
            <v>3200</v>
          </cell>
          <cell r="AN1025" t="e">
            <v>#VALUE!</v>
          </cell>
          <cell r="AO1025" t="e">
            <v>#VALUE!</v>
          </cell>
          <cell r="AP1025">
            <v>880</v>
          </cell>
        </row>
        <row r="1026">
          <cell r="A1026">
            <v>64223300</v>
          </cell>
          <cell r="B1026">
            <v>40244400</v>
          </cell>
          <cell r="C1026">
            <v>9916239</v>
          </cell>
          <cell r="D1026" t="str">
            <v>BOF FR PARMENTIER EEND PUREE 348G</v>
          </cell>
          <cell r="E1026" t="str">
            <v>Bofrost FR</v>
          </cell>
          <cell r="F1026" t="str">
            <v>40337500 COVIPEEL 32 355mm</v>
          </cell>
          <cell r="G1026" t="str">
            <v>OB 36mm</v>
          </cell>
          <cell r="H1026">
            <v>365</v>
          </cell>
          <cell r="I1026">
            <v>0.34799999999999998</v>
          </cell>
          <cell r="J1026" t="str">
            <v>H22</v>
          </cell>
          <cell r="K1026" t="str">
            <v>NVT</v>
          </cell>
          <cell r="L1026">
            <v>10</v>
          </cell>
          <cell r="M1026" t="str">
            <v>H22X10</v>
          </cell>
          <cell r="N1026">
            <v>84</v>
          </cell>
          <cell r="O1026">
            <v>5400870422332</v>
          </cell>
          <cell r="P1026" t="str">
            <v>2T-2H-K</v>
          </cell>
          <cell r="Q1026">
            <v>2</v>
          </cell>
          <cell r="R1026">
            <v>4</v>
          </cell>
          <cell r="T1026">
            <v>3200</v>
          </cell>
          <cell r="U1026">
            <v>4</v>
          </cell>
          <cell r="V1026">
            <v>3200</v>
          </cell>
          <cell r="W1026">
            <v>4</v>
          </cell>
          <cell r="X1026">
            <v>0</v>
          </cell>
          <cell r="Y1026">
            <v>0</v>
          </cell>
          <cell r="Z1026">
            <v>0.04</v>
          </cell>
          <cell r="AA1026" t="str">
            <v>! !</v>
          </cell>
          <cell r="AB1026">
            <v>6000</v>
          </cell>
          <cell r="AC1026">
            <v>0</v>
          </cell>
          <cell r="AG1026">
            <v>68</v>
          </cell>
          <cell r="AJ1026" t="str">
            <v>V-A</v>
          </cell>
          <cell r="AL1026">
            <v>4080</v>
          </cell>
          <cell r="AM1026">
            <v>3200</v>
          </cell>
          <cell r="AN1026" t="e">
            <v>#VALUE!</v>
          </cell>
          <cell r="AO1026" t="e">
            <v>#VALUE!</v>
          </cell>
          <cell r="AP1026">
            <v>880</v>
          </cell>
        </row>
        <row r="1027">
          <cell r="A1027">
            <v>64223400</v>
          </cell>
          <cell r="B1027">
            <v>40245800</v>
          </cell>
          <cell r="C1027">
            <v>3316296</v>
          </cell>
          <cell r="D1027" t="str">
            <v>BOF FR GEHAKTBALLETJES PROVENCALE RIJST 320G</v>
          </cell>
          <cell r="E1027" t="str">
            <v>Bofrost FR</v>
          </cell>
          <cell r="F1027" t="str">
            <v>40337500 COVIPEEL 32 355mm</v>
          </cell>
          <cell r="G1027" t="str">
            <v>UK-59</v>
          </cell>
          <cell r="H1027">
            <v>365</v>
          </cell>
          <cell r="I1027">
            <v>0.32</v>
          </cell>
          <cell r="J1027" t="str">
            <v>H22</v>
          </cell>
          <cell r="K1027" t="str">
            <v>NVT</v>
          </cell>
          <cell r="L1027">
            <v>10</v>
          </cell>
          <cell r="M1027" t="str">
            <v>H22X10</v>
          </cell>
          <cell r="N1027">
            <v>84</v>
          </cell>
          <cell r="O1027" t="str">
            <v xml:space="preserve">5400870422349  </v>
          </cell>
          <cell r="P1027" t="str">
            <v>I-L-2T</v>
          </cell>
          <cell r="Q1027">
            <v>2</v>
          </cell>
          <cell r="R1027">
            <v>4</v>
          </cell>
          <cell r="T1027">
            <v>3200</v>
          </cell>
          <cell r="U1027">
            <v>6</v>
          </cell>
          <cell r="V1027">
            <v>3200</v>
          </cell>
          <cell r="W1027">
            <v>6</v>
          </cell>
          <cell r="X1027">
            <v>0</v>
          </cell>
          <cell r="Y1027">
            <v>0</v>
          </cell>
          <cell r="Z1027">
            <v>0.04</v>
          </cell>
          <cell r="AA1027" t="str">
            <v>-</v>
          </cell>
          <cell r="AB1027">
            <v>3000</v>
          </cell>
          <cell r="AC1027">
            <v>0</v>
          </cell>
          <cell r="AG1027">
            <v>68</v>
          </cell>
          <cell r="AJ1027" t="str">
            <v>V-A</v>
          </cell>
          <cell r="AL1027">
            <v>4080</v>
          </cell>
          <cell r="AM1027">
            <v>3200</v>
          </cell>
          <cell r="AN1027" t="e">
            <v>#VALUE!</v>
          </cell>
          <cell r="AO1027" t="e">
            <v>#VALUE!</v>
          </cell>
          <cell r="AP1027">
            <v>880</v>
          </cell>
        </row>
        <row r="1028">
          <cell r="A1028">
            <v>64223500</v>
          </cell>
          <cell r="B1028">
            <v>40283300</v>
          </cell>
          <cell r="C1028">
            <v>3316259</v>
          </cell>
          <cell r="D1028" t="str">
            <v>BOF FR SPAGHETTI RUNDSREEPJES TERIYAKI SPITSKOOL 320G</v>
          </cell>
          <cell r="E1028" t="str">
            <v>Bofrost FR</v>
          </cell>
          <cell r="F1028" t="str">
            <v>40337500 COVIPEEL 32 355mm</v>
          </cell>
          <cell r="G1028" t="str">
            <v>UK-59</v>
          </cell>
          <cell r="H1028">
            <v>456</v>
          </cell>
          <cell r="I1028">
            <v>0.32</v>
          </cell>
          <cell r="J1028" t="str">
            <v>H22</v>
          </cell>
          <cell r="K1028" t="str">
            <v>NVT</v>
          </cell>
          <cell r="L1028">
            <v>10</v>
          </cell>
          <cell r="M1028" t="str">
            <v>H22X10</v>
          </cell>
          <cell r="N1028">
            <v>84</v>
          </cell>
          <cell r="O1028">
            <v>5400870422356</v>
          </cell>
          <cell r="P1028" t="str">
            <v>L-I-2T</v>
          </cell>
          <cell r="Q1028">
            <v>3</v>
          </cell>
          <cell r="R1028">
            <v>4</v>
          </cell>
          <cell r="T1028">
            <v>3000</v>
          </cell>
          <cell r="U1028">
            <v>8</v>
          </cell>
          <cell r="V1028">
            <v>3000</v>
          </cell>
          <cell r="W1028">
            <v>8</v>
          </cell>
          <cell r="X1028">
            <v>0</v>
          </cell>
          <cell r="Y1028">
            <v>0</v>
          </cell>
          <cell r="Z1028">
            <v>0.04</v>
          </cell>
          <cell r="AA1028" t="str">
            <v>! ! ! ! !</v>
          </cell>
          <cell r="AB1028">
            <v>5000</v>
          </cell>
          <cell r="AC1028">
            <v>0</v>
          </cell>
          <cell r="AG1028">
            <v>68</v>
          </cell>
          <cell r="AJ1028" t="str">
            <v>V-A</v>
          </cell>
          <cell r="AL1028">
            <v>4080</v>
          </cell>
          <cell r="AM1028">
            <v>3000</v>
          </cell>
          <cell r="AN1028" t="e">
            <v>#VALUE!</v>
          </cell>
          <cell r="AO1028" t="e">
            <v>#VALUE!</v>
          </cell>
          <cell r="AP1028">
            <v>1080</v>
          </cell>
        </row>
        <row r="1029">
          <cell r="A1029">
            <v>64223600</v>
          </cell>
          <cell r="B1029">
            <v>40265700</v>
          </cell>
          <cell r="C1029">
            <v>3306683</v>
          </cell>
          <cell r="D1029" t="str">
            <v>BOF FR ZALM ASC ZURINGSAUS RIJSTMIX 320G</v>
          </cell>
          <cell r="E1029" t="str">
            <v>Bofrost FR</v>
          </cell>
          <cell r="F1029" t="str">
            <v>40337500 COVIPEEL 32 355mm</v>
          </cell>
          <cell r="G1029" t="str">
            <v>UK-59</v>
          </cell>
          <cell r="H1029">
            <v>365</v>
          </cell>
          <cell r="I1029">
            <v>0.32</v>
          </cell>
          <cell r="J1029" t="str">
            <v>H22</v>
          </cell>
          <cell r="K1029" t="str">
            <v>NVT</v>
          </cell>
          <cell r="L1029">
            <v>10</v>
          </cell>
          <cell r="M1029" t="str">
            <v>H22X10</v>
          </cell>
          <cell r="N1029">
            <v>84</v>
          </cell>
          <cell r="O1029">
            <v>5400870422363</v>
          </cell>
          <cell r="P1029" t="str">
            <v>L-2T</v>
          </cell>
          <cell r="Q1029">
            <v>2</v>
          </cell>
          <cell r="R1029">
            <v>4</v>
          </cell>
          <cell r="S1029" t="str">
            <v>ZALM verzagen (80g), RIJST D-1</v>
          </cell>
          <cell r="T1029">
            <v>3200</v>
          </cell>
          <cell r="U1029">
            <v>7</v>
          </cell>
          <cell r="V1029">
            <v>3200</v>
          </cell>
          <cell r="W1029">
            <v>7</v>
          </cell>
          <cell r="X1029" t="str">
            <v>X</v>
          </cell>
          <cell r="Y1029">
            <v>0</v>
          </cell>
          <cell r="Z1029">
            <v>0.04</v>
          </cell>
          <cell r="AA1029" t="str">
            <v>! ! ! !</v>
          </cell>
          <cell r="AB1029">
            <v>5000</v>
          </cell>
          <cell r="AC1029">
            <v>0</v>
          </cell>
          <cell r="AG1029">
            <v>68</v>
          </cell>
          <cell r="AJ1029" t="str">
            <v>V-A</v>
          </cell>
          <cell r="AL1029">
            <v>4080</v>
          </cell>
          <cell r="AM1029">
            <v>3200</v>
          </cell>
          <cell r="AN1029" t="e">
            <v>#VALUE!</v>
          </cell>
          <cell r="AO1029" t="e">
            <v>#VALUE!</v>
          </cell>
          <cell r="AP1029">
            <v>880</v>
          </cell>
        </row>
        <row r="1030">
          <cell r="A1030">
            <v>64223700</v>
          </cell>
          <cell r="B1030">
            <v>40273000</v>
          </cell>
          <cell r="C1030">
            <v>9916902</v>
          </cell>
          <cell r="D1030" t="str">
            <v>BOF FR KIP OP BASKISCHE WIJZE TAGLIATELLE 320G</v>
          </cell>
          <cell r="E1030" t="str">
            <v>Bofrost FR</v>
          </cell>
          <cell r="F1030" t="str">
            <v>40337500 COVIPEEL 32 355mm</v>
          </cell>
          <cell r="G1030" t="str">
            <v>UK-59</v>
          </cell>
          <cell r="H1030">
            <v>456</v>
          </cell>
          <cell r="I1030">
            <v>0.32</v>
          </cell>
          <cell r="J1030" t="str">
            <v>H22</v>
          </cell>
          <cell r="K1030" t="str">
            <v>NVT</v>
          </cell>
          <cell r="L1030">
            <v>10</v>
          </cell>
          <cell r="M1030" t="str">
            <v>H22X10</v>
          </cell>
          <cell r="N1030">
            <v>84</v>
          </cell>
          <cell r="O1030">
            <v>5400870422370</v>
          </cell>
          <cell r="P1030" t="str">
            <v>I-L-2T</v>
          </cell>
          <cell r="Q1030">
            <v>2</v>
          </cell>
          <cell r="R1030">
            <v>4</v>
          </cell>
          <cell r="T1030">
            <v>3200</v>
          </cell>
          <cell r="U1030">
            <v>5</v>
          </cell>
          <cell r="V1030">
            <v>3200</v>
          </cell>
          <cell r="W1030">
            <v>5</v>
          </cell>
          <cell r="Z1030">
            <v>0.05</v>
          </cell>
          <cell r="AA1030" t="str">
            <v>! !</v>
          </cell>
          <cell r="AB1030">
            <v>3000</v>
          </cell>
          <cell r="AC1030">
            <v>0</v>
          </cell>
          <cell r="AJ1030" t="str">
            <v>V-A</v>
          </cell>
          <cell r="AL1030">
            <v>0</v>
          </cell>
          <cell r="AM1030">
            <v>3200</v>
          </cell>
          <cell r="AN1030" t="e">
            <v>#VALUE!</v>
          </cell>
          <cell r="AO1030" t="e">
            <v>#VALUE!</v>
          </cell>
          <cell r="AP1030">
            <v>-3200</v>
          </cell>
        </row>
        <row r="1031">
          <cell r="A1031">
            <v>64223800</v>
          </cell>
          <cell r="B1031">
            <v>40274000</v>
          </cell>
          <cell r="C1031">
            <v>9516904</v>
          </cell>
          <cell r="D1031" t="str">
            <v>BOF FR KIP PAELLA 320G</v>
          </cell>
          <cell r="E1031" t="str">
            <v>Bofrost FR</v>
          </cell>
          <cell r="F1031" t="str">
            <v>40337500 COVIPEEL 32 355mm</v>
          </cell>
          <cell r="G1031" t="str">
            <v>UK-59</v>
          </cell>
          <cell r="H1031">
            <v>456</v>
          </cell>
          <cell r="I1031">
            <v>0.32</v>
          </cell>
          <cell r="J1031" t="str">
            <v>H22</v>
          </cell>
          <cell r="K1031" t="str">
            <v>NVT</v>
          </cell>
          <cell r="L1031">
            <v>10</v>
          </cell>
          <cell r="M1031" t="str">
            <v>H22X10</v>
          </cell>
          <cell r="N1031">
            <v>84</v>
          </cell>
          <cell r="O1031">
            <v>5400870422387</v>
          </cell>
          <cell r="P1031" t="str">
            <v>I-2T-L</v>
          </cell>
          <cell r="Q1031">
            <v>2</v>
          </cell>
          <cell r="R1031">
            <v>4</v>
          </cell>
          <cell r="S1031" t="str">
            <v>RIJST D-1</v>
          </cell>
          <cell r="T1031">
            <v>3200</v>
          </cell>
          <cell r="U1031">
            <v>3</v>
          </cell>
          <cell r="V1031">
            <v>3200</v>
          </cell>
          <cell r="W1031">
            <v>4</v>
          </cell>
          <cell r="X1031" t="str">
            <v>X</v>
          </cell>
          <cell r="Y1031" t="str">
            <v>X</v>
          </cell>
          <cell r="Z1031">
            <v>0.05</v>
          </cell>
          <cell r="AA1031" t="str">
            <v>! ! ! !</v>
          </cell>
          <cell r="AB1031">
            <v>3000</v>
          </cell>
          <cell r="AC1031">
            <v>0</v>
          </cell>
          <cell r="AJ1031" t="str">
            <v>V-A</v>
          </cell>
          <cell r="AL1031">
            <v>0</v>
          </cell>
          <cell r="AM1031">
            <v>3200</v>
          </cell>
          <cell r="AN1031" t="e">
            <v>#VALUE!</v>
          </cell>
          <cell r="AO1031" t="e">
            <v>#VALUE!</v>
          </cell>
          <cell r="AP1031">
            <v>-3200</v>
          </cell>
        </row>
        <row r="1032">
          <cell r="A1032">
            <v>64225300</v>
          </cell>
          <cell r="B1032">
            <v>40237700</v>
          </cell>
          <cell r="C1032">
            <v>9516278</v>
          </cell>
          <cell r="D1032" t="str">
            <v>BOF FR LASAGNE GEITENKAAS SPINAZIE 350G</v>
          </cell>
          <cell r="E1032" t="str">
            <v>Bofrost FR</v>
          </cell>
          <cell r="F1032" t="str">
            <v>355mm</v>
          </cell>
          <cell r="G1032" t="str">
            <v>UK-59</v>
          </cell>
          <cell r="H1032">
            <v>456</v>
          </cell>
          <cell r="I1032">
            <v>0.35</v>
          </cell>
          <cell r="J1032" t="str">
            <v>H22</v>
          </cell>
          <cell r="K1032" t="str">
            <v>NVT</v>
          </cell>
          <cell r="L1032">
            <v>6</v>
          </cell>
          <cell r="M1032" t="str">
            <v>Shrink H22 X 6</v>
          </cell>
          <cell r="N1032">
            <v>176</v>
          </cell>
          <cell r="O1032">
            <v>5400870422530</v>
          </cell>
          <cell r="P1032" t="str">
            <v>5T-K</v>
          </cell>
          <cell r="Q1032">
            <v>3</v>
          </cell>
          <cell r="R1032">
            <v>2</v>
          </cell>
          <cell r="S1032" t="str">
            <v>opvolging doseringen, steeds te weinig champ.saus en te veel kaassaus</v>
          </cell>
          <cell r="T1032">
            <v>2500</v>
          </cell>
          <cell r="U1032">
            <v>5</v>
          </cell>
          <cell r="V1032">
            <v>2500</v>
          </cell>
          <cell r="W1032">
            <v>5</v>
          </cell>
          <cell r="X1032">
            <v>0</v>
          </cell>
          <cell r="Y1032">
            <v>0</v>
          </cell>
          <cell r="Z1032">
            <v>3.3000000000000002E-2</v>
          </cell>
          <cell r="AA1032" t="str">
            <v>! !</v>
          </cell>
          <cell r="AB1032">
            <v>4000</v>
          </cell>
          <cell r="AC1032">
            <v>0</v>
          </cell>
          <cell r="AG1032">
            <v>50</v>
          </cell>
          <cell r="AJ1032" t="str">
            <v>-</v>
          </cell>
          <cell r="AL1032">
            <v>3000</v>
          </cell>
          <cell r="AM1032">
            <v>2500</v>
          </cell>
          <cell r="AN1032" t="e">
            <v>#VALUE!</v>
          </cell>
          <cell r="AO1032" t="e">
            <v>#VALUE!</v>
          </cell>
          <cell r="AP1032">
            <v>500</v>
          </cell>
        </row>
        <row r="1033">
          <cell r="A1033">
            <v>64225500</v>
          </cell>
          <cell r="B1033">
            <v>40240800</v>
          </cell>
          <cell r="C1033">
            <v>3316288</v>
          </cell>
          <cell r="D1033" t="str">
            <v>BOF FR LASAGNETTI PESTO GROENE GROENTEN 320G</v>
          </cell>
          <cell r="E1033" t="str">
            <v>Bofrost FR</v>
          </cell>
          <cell r="F1033" t="str">
            <v>40337500 COVIPEEL 32 355mm</v>
          </cell>
          <cell r="G1033" t="str">
            <v>UK-59</v>
          </cell>
          <cell r="H1033">
            <v>456</v>
          </cell>
          <cell r="I1033">
            <v>0.32</v>
          </cell>
          <cell r="J1033" t="str">
            <v>H22</v>
          </cell>
          <cell r="K1033" t="str">
            <v>NVT</v>
          </cell>
          <cell r="L1033">
            <v>6</v>
          </cell>
          <cell r="M1033" t="str">
            <v>Shrinkrap X 6</v>
          </cell>
          <cell r="N1033">
            <v>176</v>
          </cell>
          <cell r="O1033">
            <v>5400870422554</v>
          </cell>
          <cell r="P1033" t="str">
            <v>L-2T-K</v>
          </cell>
          <cell r="Q1033">
            <v>3</v>
          </cell>
          <cell r="R1033">
            <v>2</v>
          </cell>
          <cell r="S1033" t="str">
            <v xml:space="preserve">Opvolgen pasta </v>
          </cell>
          <cell r="T1033">
            <v>3200</v>
          </cell>
          <cell r="U1033">
            <v>7</v>
          </cell>
          <cell r="V1033">
            <v>3200</v>
          </cell>
          <cell r="W1033">
            <v>7</v>
          </cell>
          <cell r="X1033">
            <v>0</v>
          </cell>
          <cell r="Y1033">
            <v>0</v>
          </cell>
          <cell r="Z1033">
            <v>0.04</v>
          </cell>
          <cell r="AA1033" t="str">
            <v>! ! ! ! !</v>
          </cell>
          <cell r="AB1033">
            <v>3000</v>
          </cell>
          <cell r="AC1033">
            <v>0</v>
          </cell>
          <cell r="AG1033">
            <v>68</v>
          </cell>
          <cell r="AJ1033" t="str">
            <v>-</v>
          </cell>
          <cell r="AL1033">
            <v>4080</v>
          </cell>
          <cell r="AM1033">
            <v>3200</v>
          </cell>
          <cell r="AN1033" t="e">
            <v>#VALUE!</v>
          </cell>
          <cell r="AO1033" t="e">
            <v>#VALUE!</v>
          </cell>
          <cell r="AP1033">
            <v>880</v>
          </cell>
        </row>
        <row r="1034">
          <cell r="A1034">
            <v>64225700</v>
          </cell>
          <cell r="B1034">
            <v>40243500</v>
          </cell>
          <cell r="C1034">
            <v>3316290</v>
          </cell>
          <cell r="D1034" t="str">
            <v>BOF FR VEG LINGUINE POMPOENSAUS 320G</v>
          </cell>
          <cell r="E1034" t="str">
            <v>Bofrost FR</v>
          </cell>
          <cell r="F1034" t="str">
            <v>40337500 COVIPEEL 32 355mm</v>
          </cell>
          <cell r="G1034" t="str">
            <v>UK-59</v>
          </cell>
          <cell r="H1034">
            <v>456</v>
          </cell>
          <cell r="I1034">
            <v>0.32</v>
          </cell>
          <cell r="J1034" t="str">
            <v>H22</v>
          </cell>
          <cell r="K1034" t="str">
            <v>NVT</v>
          </cell>
          <cell r="L1034">
            <v>6</v>
          </cell>
          <cell r="M1034" t="str">
            <v>Shrink H22 X 6</v>
          </cell>
          <cell r="N1034">
            <v>176</v>
          </cell>
          <cell r="O1034">
            <v>5400870422578</v>
          </cell>
          <cell r="P1034" t="str">
            <v>L-2T-K</v>
          </cell>
          <cell r="Q1034">
            <v>2</v>
          </cell>
          <cell r="R1034">
            <v>2</v>
          </cell>
          <cell r="S1034" t="str">
            <v>POMPOENPITTEN bakken</v>
          </cell>
          <cell r="T1034">
            <v>3200</v>
          </cell>
          <cell r="U1034">
            <v>4</v>
          </cell>
          <cell r="V1034">
            <v>3200</v>
          </cell>
          <cell r="W1034">
            <v>4</v>
          </cell>
          <cell r="X1034">
            <v>0</v>
          </cell>
          <cell r="Y1034">
            <v>0</v>
          </cell>
          <cell r="Z1034">
            <v>0.04</v>
          </cell>
          <cell r="AA1034" t="str">
            <v>! !</v>
          </cell>
          <cell r="AB1034">
            <v>3000</v>
          </cell>
          <cell r="AC1034">
            <v>0</v>
          </cell>
          <cell r="AG1034">
            <v>68</v>
          </cell>
          <cell r="AJ1034" t="str">
            <v>-</v>
          </cell>
          <cell r="AL1034">
            <v>4080</v>
          </cell>
          <cell r="AM1034">
            <v>3200</v>
          </cell>
          <cell r="AN1034" t="e">
            <v>#VALUE!</v>
          </cell>
          <cell r="AO1034" t="e">
            <v>#VALUE!</v>
          </cell>
          <cell r="AP1034">
            <v>880</v>
          </cell>
        </row>
        <row r="1035">
          <cell r="A1035">
            <v>64230000</v>
          </cell>
          <cell r="B1035">
            <v>40262400</v>
          </cell>
          <cell r="C1035">
            <v>400032</v>
          </cell>
          <cell r="D1035" t="str">
            <v>JAPCOOK PASTA GROENTEN YAKISOBA</v>
          </cell>
          <cell r="E1035" t="str">
            <v>Japcook FR</v>
          </cell>
          <cell r="F1035" t="str">
            <v>40337500 COVIPEEL 32 355mm</v>
          </cell>
          <cell r="G1035" t="str">
            <v>UK-59</v>
          </cell>
          <cell r="H1035">
            <v>456</v>
          </cell>
          <cell r="I1035">
            <v>0.3</v>
          </cell>
          <cell r="J1035" t="str">
            <v>H22</v>
          </cell>
          <cell r="K1035" t="str">
            <v>NVT</v>
          </cell>
          <cell r="L1035">
            <v>10</v>
          </cell>
          <cell r="M1035" t="str">
            <v>H22X10</v>
          </cell>
          <cell r="N1035">
            <v>96</v>
          </cell>
          <cell r="O1035">
            <v>13760184013329</v>
          </cell>
          <cell r="P1035" t="str">
            <v>M-2T</v>
          </cell>
          <cell r="Q1035">
            <v>3</v>
          </cell>
          <cell r="R1035">
            <v>4</v>
          </cell>
          <cell r="S1035" t="str">
            <v>COVIPEEL-ipeelcoio</v>
          </cell>
          <cell r="T1035">
            <v>3500</v>
          </cell>
          <cell r="U1035">
            <v>8</v>
          </cell>
          <cell r="V1035">
            <v>3500</v>
          </cell>
          <cell r="W1035">
            <v>8</v>
          </cell>
          <cell r="X1035">
            <v>0</v>
          </cell>
          <cell r="Y1035">
            <v>0</v>
          </cell>
          <cell r="Z1035">
            <v>0.12</v>
          </cell>
          <cell r="AA1035" t="str">
            <v>! ! ! ! !</v>
          </cell>
          <cell r="AB1035">
            <v>6000</v>
          </cell>
          <cell r="AC1035">
            <v>0</v>
          </cell>
          <cell r="AJ1035" t="str">
            <v>V-A</v>
          </cell>
          <cell r="AL1035">
            <v>0</v>
          </cell>
          <cell r="AM1035">
            <v>3500</v>
          </cell>
          <cell r="AN1035" t="e">
            <v>#VALUE!</v>
          </cell>
          <cell r="AO1035" t="e">
            <v>#VALUE!</v>
          </cell>
          <cell r="AP1035">
            <v>-3500</v>
          </cell>
        </row>
        <row r="1036">
          <cell r="A1036">
            <v>64230100</v>
          </cell>
          <cell r="B1036" t="str">
            <v>NVT</v>
          </cell>
          <cell r="D1036" t="str">
            <v>CROQUE GEL WELSH 270G</v>
          </cell>
          <cell r="E1036" t="str">
            <v>CROQUE GEL</v>
          </cell>
          <cell r="F1036" t="str">
            <v>40337500 COVIPEEL 32 355mm</v>
          </cell>
          <cell r="G1036" t="str">
            <v>UK-59</v>
          </cell>
          <cell r="H1036">
            <v>365</v>
          </cell>
          <cell r="I1036">
            <v>0.27</v>
          </cell>
          <cell r="J1036" t="str">
            <v>NVT</v>
          </cell>
          <cell r="K1036" t="str">
            <v>100x100 bl</v>
          </cell>
          <cell r="L1036">
            <v>10</v>
          </cell>
          <cell r="M1036" t="str">
            <v>H22X10</v>
          </cell>
          <cell r="N1036">
            <v>84</v>
          </cell>
          <cell r="O1036">
            <v>5410953423019</v>
          </cell>
          <cell r="P1036" t="str">
            <v>2T-2G</v>
          </cell>
          <cell r="Q1036">
            <v>1</v>
          </cell>
          <cell r="R1036">
            <v>3</v>
          </cell>
          <cell r="T1036">
            <v>3200</v>
          </cell>
          <cell r="U1036">
            <v>6</v>
          </cell>
          <cell r="V1036">
            <v>3200</v>
          </cell>
          <cell r="W1036">
            <v>6</v>
          </cell>
          <cell r="X1036" t="str">
            <v>X</v>
          </cell>
          <cell r="Y1036" t="str">
            <v>X</v>
          </cell>
          <cell r="Z1036">
            <v>7.0000000000000007E-2</v>
          </cell>
          <cell r="AA1036" t="str">
            <v>! ! !</v>
          </cell>
          <cell r="AC1036">
            <v>0</v>
          </cell>
          <cell r="AJ1036" t="str">
            <v>V-A</v>
          </cell>
          <cell r="AL1036">
            <v>0</v>
          </cell>
          <cell r="AM1036">
            <v>3200</v>
          </cell>
          <cell r="AN1036" t="e">
            <v>#VALUE!</v>
          </cell>
          <cell r="AO1036" t="e">
            <v>#VALUE!</v>
          </cell>
          <cell r="AP1036">
            <v>-3200</v>
          </cell>
        </row>
        <row r="1037">
          <cell r="A1037">
            <v>64230200</v>
          </cell>
          <cell r="B1037" t="str">
            <v>NVT</v>
          </cell>
          <cell r="D1037" t="str">
            <v>CROQUE GEL LINGUINE SCAMPI CURRY 400G</v>
          </cell>
          <cell r="E1037" t="str">
            <v>CROQUE GEL</v>
          </cell>
          <cell r="F1037" t="str">
            <v>40337500 COVIPEEL 32 355mm</v>
          </cell>
          <cell r="G1037" t="str">
            <v>UK-59</v>
          </cell>
          <cell r="H1037">
            <v>456</v>
          </cell>
          <cell r="I1037">
            <v>0.4</v>
          </cell>
          <cell r="J1037" t="str">
            <v>NVT</v>
          </cell>
          <cell r="K1037" t="str">
            <v>100x100 bl</v>
          </cell>
          <cell r="L1037">
            <v>10</v>
          </cell>
          <cell r="M1037" t="str">
            <v>H22X10</v>
          </cell>
          <cell r="N1037">
            <v>84</v>
          </cell>
          <cell r="O1037">
            <v>5410953423026</v>
          </cell>
          <cell r="AA1037" t="str">
            <v>! ! ! !</v>
          </cell>
          <cell r="AJ1037" t="str">
            <v>-</v>
          </cell>
          <cell r="AL1037">
            <v>0</v>
          </cell>
          <cell r="AM1037">
            <v>0</v>
          </cell>
          <cell r="AN1037" t="e">
            <v>#VALUE!</v>
          </cell>
          <cell r="AO1037" t="str">
            <v/>
          </cell>
          <cell r="AP1037">
            <v>0</v>
          </cell>
        </row>
        <row r="1038">
          <cell r="A1038">
            <v>64240000</v>
          </cell>
          <cell r="B1038">
            <v>40236100</v>
          </cell>
          <cell r="C1038">
            <v>7406675</v>
          </cell>
          <cell r="D1038" t="str">
            <v>LIDL CH LASAGNE BOLOGNAISE RUND 500G</v>
          </cell>
          <cell r="E1038" t="str">
            <v>Lidl CH</v>
          </cell>
          <cell r="F1038" t="str">
            <v>40337500 COVIPEEL 32 355mm</v>
          </cell>
          <cell r="G1038" t="str">
            <v>UK-59</v>
          </cell>
          <cell r="H1038">
            <v>365</v>
          </cell>
          <cell r="I1038">
            <v>0.5</v>
          </cell>
          <cell r="J1038" t="str">
            <v>H22</v>
          </cell>
          <cell r="K1038" t="str">
            <v>NVT</v>
          </cell>
          <cell r="L1038">
            <v>10</v>
          </cell>
          <cell r="M1038" t="str">
            <v>H22X10</v>
          </cell>
          <cell r="N1038">
            <v>96</v>
          </cell>
          <cell r="O1038">
            <v>5400870424008</v>
          </cell>
          <cell r="P1038" t="str">
            <v>4T-H-K</v>
          </cell>
          <cell r="Q1038">
            <v>2</v>
          </cell>
          <cell r="R1038">
            <v>4</v>
          </cell>
          <cell r="S1038" t="str">
            <v xml:space="preserve">COVIPEEL-ipeelcoi </v>
          </cell>
          <cell r="T1038">
            <v>2600</v>
          </cell>
          <cell r="U1038">
            <v>6</v>
          </cell>
          <cell r="V1038">
            <v>2600</v>
          </cell>
          <cell r="W1038">
            <v>6</v>
          </cell>
          <cell r="X1038">
            <v>0</v>
          </cell>
          <cell r="Y1038">
            <v>0</v>
          </cell>
          <cell r="Z1038">
            <v>0.15</v>
          </cell>
          <cell r="AA1038" t="str">
            <v>! ! !</v>
          </cell>
          <cell r="AB1038">
            <v>19916</v>
          </cell>
          <cell r="AC1038">
            <v>0</v>
          </cell>
          <cell r="AG1038">
            <v>50</v>
          </cell>
          <cell r="AJ1038" t="str">
            <v>-</v>
          </cell>
          <cell r="AL1038">
            <v>3000</v>
          </cell>
          <cell r="AM1038">
            <v>2600</v>
          </cell>
          <cell r="AN1038" t="e">
            <v>#VALUE!</v>
          </cell>
          <cell r="AO1038" t="e">
            <v>#VALUE!</v>
          </cell>
          <cell r="AP1038">
            <v>400</v>
          </cell>
        </row>
        <row r="1039">
          <cell r="A1039">
            <v>64240100</v>
          </cell>
          <cell r="B1039">
            <v>40273700</v>
          </cell>
          <cell r="D1039" t="str">
            <v>REBL EATS VEGAN KORMA RIJST 350G</v>
          </cell>
          <cell r="E1039" t="str">
            <v>REBL EATS</v>
          </cell>
          <cell r="F1039" t="str">
            <v>40337500 COVIPEEL 32 355mm</v>
          </cell>
          <cell r="G1039" t="str">
            <v>UK-59</v>
          </cell>
          <cell r="H1039">
            <v>456</v>
          </cell>
          <cell r="I1039">
            <v>0.35</v>
          </cell>
          <cell r="J1039" t="str">
            <v>H22</v>
          </cell>
          <cell r="K1039" t="str">
            <v>NVT</v>
          </cell>
          <cell r="L1039">
            <v>6</v>
          </cell>
          <cell r="M1039" t="str">
            <v>Shrinkrap X 6</v>
          </cell>
          <cell r="N1039">
            <v>176</v>
          </cell>
          <cell r="O1039">
            <v>16429810796520</v>
          </cell>
          <cell r="P1039" t="str">
            <v>L-2T</v>
          </cell>
          <cell r="Q1039">
            <v>2</v>
          </cell>
          <cell r="R1039">
            <v>2</v>
          </cell>
          <cell r="T1039">
            <v>3500</v>
          </cell>
          <cell r="U1039">
            <v>3</v>
          </cell>
          <cell r="Z1039">
            <v>0</v>
          </cell>
          <cell r="AA1039" t="str">
            <v>! ! ! ! !</v>
          </cell>
          <cell r="AB1039">
            <v>7500</v>
          </cell>
          <cell r="AC1039">
            <v>0</v>
          </cell>
          <cell r="AJ1039" t="str">
            <v>-</v>
          </cell>
          <cell r="AL1039">
            <v>0</v>
          </cell>
          <cell r="AM1039">
            <v>3500</v>
          </cell>
          <cell r="AN1039" t="e">
            <v>#VALUE!</v>
          </cell>
          <cell r="AO1039" t="e">
            <v>#VALUE!</v>
          </cell>
          <cell r="AP1039">
            <v>-3500</v>
          </cell>
        </row>
        <row r="1040">
          <cell r="A1040">
            <v>64240200</v>
          </cell>
          <cell r="B1040">
            <v>40273800</v>
          </cell>
          <cell r="D1040" t="str">
            <v>REBL EATS VEGAN INDISCHE CURRY SATE RIJST 350G</v>
          </cell>
          <cell r="E1040" t="str">
            <v>REBL EATS</v>
          </cell>
          <cell r="F1040" t="str">
            <v>355mm</v>
          </cell>
          <cell r="G1040" t="str">
            <v>UK-59</v>
          </cell>
          <cell r="H1040">
            <v>456</v>
          </cell>
          <cell r="I1040">
            <v>0.35</v>
          </cell>
          <cell r="J1040" t="str">
            <v>H22</v>
          </cell>
          <cell r="K1040" t="str">
            <v>NVT</v>
          </cell>
          <cell r="L1040">
            <v>6</v>
          </cell>
          <cell r="M1040" t="str">
            <v>Shrink H22 X 6</v>
          </cell>
          <cell r="N1040">
            <v>176</v>
          </cell>
          <cell r="O1040">
            <v>16429810796513</v>
          </cell>
          <cell r="P1040" t="str">
            <v>L-2T</v>
          </cell>
          <cell r="Q1040">
            <v>2</v>
          </cell>
          <cell r="R1040">
            <v>2</v>
          </cell>
          <cell r="T1040">
            <v>3000</v>
          </cell>
          <cell r="U1040">
            <v>3</v>
          </cell>
          <cell r="Z1040">
            <v>0</v>
          </cell>
          <cell r="AA1040" t="str">
            <v>X</v>
          </cell>
          <cell r="AB1040">
            <v>7500</v>
          </cell>
          <cell r="AC1040">
            <v>0</v>
          </cell>
          <cell r="AJ1040" t="str">
            <v>-</v>
          </cell>
          <cell r="AL1040">
            <v>0</v>
          </cell>
          <cell r="AM1040">
            <v>3000</v>
          </cell>
          <cell r="AN1040" t="e">
            <v>#VALUE!</v>
          </cell>
          <cell r="AO1040" t="e">
            <v>#VALUE!</v>
          </cell>
          <cell r="AP1040">
            <v>-3000</v>
          </cell>
        </row>
        <row r="1041">
          <cell r="A1041">
            <v>64240300</v>
          </cell>
          <cell r="B1041">
            <v>40273900</v>
          </cell>
          <cell r="D1041" t="str">
            <v>REBL EATS VEGAN SPAGHETTI BOLOGNAISE 350G</v>
          </cell>
          <cell r="E1041" t="str">
            <v>REBL EATS</v>
          </cell>
          <cell r="F1041" t="str">
            <v>355mm</v>
          </cell>
          <cell r="G1041" t="str">
            <v>UK-59</v>
          </cell>
          <cell r="H1041">
            <v>456</v>
          </cell>
          <cell r="I1041">
            <v>0.35</v>
          </cell>
          <cell r="J1041" t="str">
            <v>H22</v>
          </cell>
          <cell r="K1041" t="str">
            <v>NVT</v>
          </cell>
          <cell r="L1041">
            <v>6</v>
          </cell>
          <cell r="M1041" t="str">
            <v>Shrink H22 X 6</v>
          </cell>
          <cell r="N1041">
            <v>176</v>
          </cell>
          <cell r="O1041">
            <v>16429810796537</v>
          </cell>
          <cell r="P1041" t="str">
            <v>L-2T</v>
          </cell>
          <cell r="Q1041">
            <v>2</v>
          </cell>
          <cell r="R1041">
            <v>2</v>
          </cell>
          <cell r="T1041">
            <v>3200</v>
          </cell>
          <cell r="U1041">
            <v>4</v>
          </cell>
          <cell r="Z1041">
            <v>0</v>
          </cell>
          <cell r="AA1041" t="str">
            <v>! ! !</v>
          </cell>
          <cell r="AB1041">
            <v>7500</v>
          </cell>
          <cell r="AC1041">
            <v>0</v>
          </cell>
          <cell r="AJ1041" t="str">
            <v>-</v>
          </cell>
          <cell r="AL1041">
            <v>0</v>
          </cell>
          <cell r="AM1041">
            <v>3200</v>
          </cell>
          <cell r="AN1041" t="e">
            <v>#VALUE!</v>
          </cell>
          <cell r="AO1041" t="e">
            <v>#VALUE!</v>
          </cell>
          <cell r="AP1041">
            <v>-3200</v>
          </cell>
        </row>
        <row r="1042">
          <cell r="A1042">
            <v>64250000</v>
          </cell>
          <cell r="B1042">
            <v>40236200</v>
          </cell>
          <cell r="C1042">
            <v>86689</v>
          </cell>
          <cell r="D1042" t="str">
            <v>PICARD BALLETJES LUIKSE SAUS PUREE MET BOTER 500G</v>
          </cell>
          <cell r="E1042" t="str">
            <v>Picard BE</v>
          </cell>
          <cell r="F1042" t="str">
            <v>40337500 COVIPEEL 32 355mm</v>
          </cell>
          <cell r="G1042" t="str">
            <v>UK-59</v>
          </cell>
          <cell r="H1042">
            <v>365</v>
          </cell>
          <cell r="I1042">
            <v>0.5</v>
          </cell>
          <cell r="J1042" t="str">
            <v>H22</v>
          </cell>
          <cell r="K1042" t="str">
            <v>NVT</v>
          </cell>
          <cell r="L1042">
            <v>10</v>
          </cell>
          <cell r="M1042" t="str">
            <v>H22X10</v>
          </cell>
          <cell r="N1042">
            <v>84</v>
          </cell>
          <cell r="O1042">
            <v>5400870425005</v>
          </cell>
          <cell r="P1042" t="str">
            <v>2H-2T</v>
          </cell>
          <cell r="Q1042">
            <v>3</v>
          </cell>
          <cell r="R1042">
            <v>4</v>
          </cell>
          <cell r="S1042" t="str">
            <v>BALLETJES steamen D-0</v>
          </cell>
          <cell r="T1042">
            <v>3500</v>
          </cell>
          <cell r="U1042">
            <v>5</v>
          </cell>
          <cell r="V1042">
            <v>3500</v>
          </cell>
          <cell r="W1042">
            <v>5</v>
          </cell>
          <cell r="X1042">
            <v>0</v>
          </cell>
          <cell r="Y1042">
            <v>0</v>
          </cell>
          <cell r="Z1042">
            <v>3.6999999999999998E-2</v>
          </cell>
          <cell r="AA1042" t="str">
            <v>! !</v>
          </cell>
          <cell r="AB1042">
            <v>3000</v>
          </cell>
          <cell r="AC1042">
            <v>3.6850393700787409E-2</v>
          </cell>
          <cell r="AG1042">
            <v>68</v>
          </cell>
          <cell r="AJ1042" t="str">
            <v>V-A</v>
          </cell>
          <cell r="AL1042">
            <v>4080</v>
          </cell>
          <cell r="AM1042">
            <v>3500</v>
          </cell>
          <cell r="AN1042" t="e">
            <v>#VALUE!</v>
          </cell>
          <cell r="AO1042" t="e">
            <v>#VALUE!</v>
          </cell>
          <cell r="AP1042">
            <v>580</v>
          </cell>
        </row>
        <row r="1043">
          <cell r="A1043">
            <v>64250100</v>
          </cell>
          <cell r="B1043">
            <v>40236300</v>
          </cell>
          <cell r="C1043">
            <v>86688</v>
          </cell>
          <cell r="D1043" t="str">
            <v>PICARD VOL AU VENT GEPLETTE AARDAPPEL 500G</v>
          </cell>
          <cell r="E1043" t="str">
            <v>Picard BE</v>
          </cell>
          <cell r="F1043" t="str">
            <v>40337500 COVIPEEL 32 355mm</v>
          </cell>
          <cell r="G1043" t="str">
            <v>UK-59</v>
          </cell>
          <cell r="H1043">
            <v>365</v>
          </cell>
          <cell r="I1043">
            <v>0.5</v>
          </cell>
          <cell r="J1043" t="str">
            <v>H22</v>
          </cell>
          <cell r="K1043" t="str">
            <v>NVT</v>
          </cell>
          <cell r="L1043">
            <v>10</v>
          </cell>
          <cell r="M1043" t="str">
            <v>H22X10</v>
          </cell>
          <cell r="N1043">
            <v>84</v>
          </cell>
          <cell r="O1043">
            <v>5400870425012</v>
          </cell>
          <cell r="P1043" t="str">
            <v>2H-2T</v>
          </cell>
          <cell r="Q1043">
            <v>3</v>
          </cell>
          <cell r="R1043">
            <v>4</v>
          </cell>
          <cell r="S1043" t="str">
            <v>BALLETJES steamen D-0</v>
          </cell>
          <cell r="T1043">
            <v>3500</v>
          </cell>
          <cell r="U1043">
            <v>6</v>
          </cell>
          <cell r="V1043">
            <v>3000</v>
          </cell>
          <cell r="W1043">
            <v>6</v>
          </cell>
          <cell r="X1043">
            <v>0</v>
          </cell>
          <cell r="Y1043">
            <v>0</v>
          </cell>
          <cell r="Z1043">
            <v>3.6999999999999998E-2</v>
          </cell>
          <cell r="AA1043" t="str">
            <v>! ! !</v>
          </cell>
          <cell r="AB1043">
            <v>3000</v>
          </cell>
          <cell r="AC1043">
            <v>5.6776062992125991E-3</v>
          </cell>
          <cell r="AG1043">
            <v>60</v>
          </cell>
          <cell r="AJ1043" t="str">
            <v>V-A</v>
          </cell>
          <cell r="AL1043">
            <v>3600</v>
          </cell>
          <cell r="AM1043">
            <v>3500</v>
          </cell>
          <cell r="AN1043" t="e">
            <v>#VALUE!</v>
          </cell>
          <cell r="AO1043" t="e">
            <v>#VALUE!</v>
          </cell>
          <cell r="AP1043">
            <v>100</v>
          </cell>
        </row>
        <row r="1044">
          <cell r="A1044">
            <v>64251000</v>
          </cell>
          <cell r="B1044">
            <v>40274100</v>
          </cell>
          <cell r="C1044">
            <v>228138</v>
          </cell>
          <cell r="D1044" t="str">
            <v>FARMERS LINGUINE SCAMPI SRI L  ASC CURRYSAUS 400G (MIXED)</v>
          </cell>
          <cell r="E1044" t="str">
            <v>FARMERSLAND</v>
          </cell>
          <cell r="F1044" t="str">
            <v>40337500 COVIPEEL 32 355mm</v>
          </cell>
          <cell r="G1044" t="str">
            <v>UK-59</v>
          </cell>
          <cell r="H1044">
            <v>456</v>
          </cell>
          <cell r="I1044">
            <v>0.4</v>
          </cell>
          <cell r="J1044" t="str">
            <v>H22</v>
          </cell>
          <cell r="K1044" t="str">
            <v>NVT</v>
          </cell>
          <cell r="L1044">
            <v>10</v>
          </cell>
          <cell r="M1044" t="str">
            <v>H22X10</v>
          </cell>
          <cell r="N1044">
            <v>84</v>
          </cell>
          <cell r="O1044">
            <v>4260159539073</v>
          </cell>
          <cell r="P1044" t="str">
            <v>I-L-2T</v>
          </cell>
          <cell r="Q1044">
            <v>3</v>
          </cell>
          <cell r="R1044">
            <v>4</v>
          </cell>
          <cell r="T1044">
            <v>3500</v>
          </cell>
          <cell r="U1044">
            <v>6</v>
          </cell>
          <cell r="V1044">
            <v>3200</v>
          </cell>
          <cell r="W1044">
            <v>7</v>
          </cell>
          <cell r="X1044">
            <v>0</v>
          </cell>
          <cell r="Y1044">
            <v>0</v>
          </cell>
          <cell r="Z1044">
            <v>0.06</v>
          </cell>
          <cell r="AA1044" t="str">
            <v>! ! ! !</v>
          </cell>
          <cell r="AC1044">
            <v>0</v>
          </cell>
          <cell r="AJ1044" t="str">
            <v>-</v>
          </cell>
          <cell r="AL1044">
            <v>0</v>
          </cell>
          <cell r="AM1044">
            <v>3500</v>
          </cell>
          <cell r="AN1044" t="e">
            <v>#VALUE!</v>
          </cell>
          <cell r="AO1044" t="e">
            <v>#VALUE!</v>
          </cell>
          <cell r="AP1044">
            <v>-3500</v>
          </cell>
        </row>
        <row r="1045">
          <cell r="A1045">
            <v>64251100</v>
          </cell>
          <cell r="B1045">
            <v>40274200</v>
          </cell>
          <cell r="C1045">
            <v>228138</v>
          </cell>
          <cell r="D1045" t="str">
            <v>FARMERS TAGLIATELLE SCAMPI SRI L  ASC LOOKSAUS 400G (MIXED)</v>
          </cell>
          <cell r="E1045" t="str">
            <v>FARMERSLAND</v>
          </cell>
          <cell r="F1045" t="str">
            <v>40337500 COVIPEEL 32 355mm</v>
          </cell>
          <cell r="G1045" t="str">
            <v>UK-59</v>
          </cell>
          <cell r="H1045">
            <v>456</v>
          </cell>
          <cell r="I1045">
            <v>0.4</v>
          </cell>
          <cell r="J1045" t="str">
            <v>H22</v>
          </cell>
          <cell r="K1045" t="str">
            <v>NVT</v>
          </cell>
          <cell r="L1045">
            <v>10</v>
          </cell>
          <cell r="M1045" t="str">
            <v>H22X10</v>
          </cell>
          <cell r="N1045">
            <v>84</v>
          </cell>
          <cell r="O1045">
            <v>4260159539073</v>
          </cell>
          <cell r="P1045" t="str">
            <v>I-L-2T</v>
          </cell>
          <cell r="Q1045">
            <v>2</v>
          </cell>
          <cell r="R1045">
            <v>4</v>
          </cell>
          <cell r="T1045">
            <v>3200</v>
          </cell>
          <cell r="U1045">
            <v>3</v>
          </cell>
          <cell r="V1045">
            <v>3200</v>
          </cell>
          <cell r="W1045">
            <v>4</v>
          </cell>
          <cell r="Z1045">
            <v>0.06</v>
          </cell>
          <cell r="AA1045" t="str">
            <v>! ! ! !</v>
          </cell>
          <cell r="AC1045">
            <v>0</v>
          </cell>
          <cell r="AJ1045" t="str">
            <v>V-A</v>
          </cell>
          <cell r="AL1045">
            <v>0</v>
          </cell>
          <cell r="AM1045">
            <v>3200</v>
          </cell>
          <cell r="AN1045" t="e">
            <v>#VALUE!</v>
          </cell>
          <cell r="AO1045" t="e">
            <v>#VALUE!</v>
          </cell>
          <cell r="AP1045">
            <v>-3200</v>
          </cell>
        </row>
        <row r="1046">
          <cell r="A1046">
            <v>64251200</v>
          </cell>
          <cell r="B1046">
            <v>40274600</v>
          </cell>
          <cell r="C1046">
            <v>228138</v>
          </cell>
          <cell r="D1046" t="str">
            <v>FARMERS LINGUINE SCAMPI INDIA ASC CURRYSAUS 400G (MIXED)</v>
          </cell>
          <cell r="E1046" t="str">
            <v>FARMERSLAND</v>
          </cell>
          <cell r="F1046" t="str">
            <v>355mm</v>
          </cell>
          <cell r="G1046" t="str">
            <v>UK-59</v>
          </cell>
          <cell r="H1046">
            <v>456</v>
          </cell>
          <cell r="I1046">
            <v>0.4</v>
          </cell>
          <cell r="J1046" t="str">
            <v>H22</v>
          </cell>
          <cell r="K1046" t="str">
            <v>NVT</v>
          </cell>
          <cell r="L1046">
            <v>10</v>
          </cell>
          <cell r="M1046" t="str">
            <v>H22X10</v>
          </cell>
          <cell r="N1046">
            <v>84</v>
          </cell>
          <cell r="O1046">
            <v>4260159539073</v>
          </cell>
          <cell r="P1046" t="str">
            <v>I-L-2T</v>
          </cell>
          <cell r="Q1046">
            <v>3</v>
          </cell>
          <cell r="R1046">
            <v>2</v>
          </cell>
          <cell r="T1046">
            <v>3200</v>
          </cell>
          <cell r="U1046">
            <v>6</v>
          </cell>
          <cell r="V1046">
            <v>3200</v>
          </cell>
          <cell r="W1046">
            <v>7</v>
          </cell>
          <cell r="X1046">
            <v>0</v>
          </cell>
          <cell r="Y1046">
            <v>0</v>
          </cell>
          <cell r="Z1046">
            <v>0.14100000000000001</v>
          </cell>
          <cell r="AA1046" t="str">
            <v>! ! ! !</v>
          </cell>
          <cell r="AB1046">
            <v>8640</v>
          </cell>
          <cell r="AC1046">
            <v>0</v>
          </cell>
          <cell r="AJ1046" t="str">
            <v>-</v>
          </cell>
          <cell r="AL1046">
            <v>0</v>
          </cell>
          <cell r="AM1046">
            <v>3200</v>
          </cell>
          <cell r="AN1046" t="e">
            <v>#VALUE!</v>
          </cell>
          <cell r="AO1046" t="e">
            <v>#VALUE!</v>
          </cell>
          <cell r="AP1046">
            <v>-3200</v>
          </cell>
        </row>
        <row r="1047">
          <cell r="A1047">
            <v>64251300</v>
          </cell>
          <cell r="B1047">
            <v>40274700</v>
          </cell>
          <cell r="C1047">
            <v>228138</v>
          </cell>
          <cell r="D1047" t="str">
            <v>FARMERS TAGLIATELLE SCAMPI INDIA ASC LOOKSAUS 400G (MIXED)</v>
          </cell>
          <cell r="E1047" t="str">
            <v>FARMERSLAND</v>
          </cell>
          <cell r="F1047" t="str">
            <v>355mm</v>
          </cell>
          <cell r="G1047" t="str">
            <v>UK-59</v>
          </cell>
          <cell r="H1047">
            <v>456</v>
          </cell>
          <cell r="I1047">
            <v>0.4</v>
          </cell>
          <cell r="J1047" t="str">
            <v>H22</v>
          </cell>
          <cell r="K1047" t="str">
            <v>NVT</v>
          </cell>
          <cell r="L1047">
            <v>10</v>
          </cell>
          <cell r="M1047" t="str">
            <v>H22X10</v>
          </cell>
          <cell r="N1047">
            <v>84</v>
          </cell>
          <cell r="O1047">
            <v>4260159539073</v>
          </cell>
          <cell r="P1047" t="str">
            <v>I-L-2T</v>
          </cell>
          <cell r="Q1047">
            <v>2</v>
          </cell>
          <cell r="R1047">
            <v>2</v>
          </cell>
          <cell r="T1047">
            <v>3200</v>
          </cell>
          <cell r="U1047">
            <v>3</v>
          </cell>
          <cell r="V1047">
            <v>3200</v>
          </cell>
          <cell r="W1047">
            <v>4</v>
          </cell>
          <cell r="X1047">
            <v>0</v>
          </cell>
          <cell r="Y1047">
            <v>0</v>
          </cell>
          <cell r="Z1047">
            <v>0.14100000000000001</v>
          </cell>
          <cell r="AA1047" t="str">
            <v>! ! ! !</v>
          </cell>
          <cell r="AB1047">
            <v>8640</v>
          </cell>
          <cell r="AC1047">
            <v>0</v>
          </cell>
          <cell r="AJ1047" t="str">
            <v>V-A</v>
          </cell>
          <cell r="AL1047">
            <v>0</v>
          </cell>
          <cell r="AM1047">
            <v>3200</v>
          </cell>
          <cell r="AN1047" t="e">
            <v>#VALUE!</v>
          </cell>
          <cell r="AO1047" t="e">
            <v>#VALUE!</v>
          </cell>
          <cell r="AP1047">
            <v>-3200</v>
          </cell>
        </row>
        <row r="1048">
          <cell r="A1048">
            <v>64280000</v>
          </cell>
          <cell r="B1048">
            <v>40239100</v>
          </cell>
          <cell r="C1048">
            <v>9912172</v>
          </cell>
          <cell r="D1048" t="str">
            <v>BOF BE GEHAKTSCHOTEL BLOEMKOOL WORTEL 500G</v>
          </cell>
          <cell r="E1048" t="str">
            <v>Bofrost BE</v>
          </cell>
          <cell r="F1048" t="str">
            <v>40337500 COVIPEEL 32 355mm</v>
          </cell>
          <cell r="G1048" t="str">
            <v>UK-59</v>
          </cell>
          <cell r="H1048">
            <v>456</v>
          </cell>
          <cell r="I1048">
            <v>0.5</v>
          </cell>
          <cell r="J1048" t="str">
            <v>H22</v>
          </cell>
          <cell r="K1048" t="str">
            <v>NVT</v>
          </cell>
          <cell r="L1048">
            <v>10</v>
          </cell>
          <cell r="M1048" t="str">
            <v>H22X10</v>
          </cell>
          <cell r="N1048">
            <v>84</v>
          </cell>
          <cell r="O1048">
            <v>5400870428006</v>
          </cell>
          <cell r="P1048" t="str">
            <v>4T-2H</v>
          </cell>
          <cell r="Q1048">
            <v>3</v>
          </cell>
          <cell r="R1048">
            <v>2</v>
          </cell>
          <cell r="T1048">
            <v>3200</v>
          </cell>
          <cell r="U1048">
            <v>4</v>
          </cell>
          <cell r="V1048">
            <v>3200</v>
          </cell>
          <cell r="W1048">
            <v>4</v>
          </cell>
          <cell r="X1048">
            <v>0</v>
          </cell>
          <cell r="Y1048">
            <v>0</v>
          </cell>
          <cell r="Z1048">
            <v>0</v>
          </cell>
          <cell r="AA1048" t="str">
            <v>! !</v>
          </cell>
          <cell r="AB1048">
            <v>3000</v>
          </cell>
          <cell r="AC1048">
            <v>0</v>
          </cell>
          <cell r="AG1048">
            <v>68</v>
          </cell>
          <cell r="AJ1048" t="str">
            <v>V-A</v>
          </cell>
          <cell r="AL1048">
            <v>4080</v>
          </cell>
          <cell r="AM1048">
            <v>3200</v>
          </cell>
          <cell r="AN1048" t="e">
            <v>#VALUE!</v>
          </cell>
          <cell r="AO1048" t="e">
            <v>#VALUE!</v>
          </cell>
          <cell r="AP1048">
            <v>880</v>
          </cell>
        </row>
        <row r="1049">
          <cell r="A1049">
            <v>64280200</v>
          </cell>
          <cell r="B1049">
            <v>40239300</v>
          </cell>
          <cell r="C1049">
            <v>9912804</v>
          </cell>
          <cell r="D1049" t="str">
            <v>BOF BE LASAGNE ZALM 450G</v>
          </cell>
          <cell r="E1049" t="str">
            <v>Bofrost BE</v>
          </cell>
          <cell r="F1049" t="str">
            <v>40337500 COVIPEEL 32 355mm</v>
          </cell>
          <cell r="G1049" t="str">
            <v>UK-59</v>
          </cell>
          <cell r="H1049">
            <v>456</v>
          </cell>
          <cell r="I1049">
            <v>0.45</v>
          </cell>
          <cell r="J1049" t="str">
            <v>H22</v>
          </cell>
          <cell r="K1049" t="str">
            <v>NVT</v>
          </cell>
          <cell r="L1049">
            <v>10</v>
          </cell>
          <cell r="M1049" t="str">
            <v>H22X10</v>
          </cell>
          <cell r="N1049">
            <v>84</v>
          </cell>
          <cell r="O1049">
            <v>5400870428020</v>
          </cell>
          <cell r="P1049" t="str">
            <v>5T-K</v>
          </cell>
          <cell r="Q1049">
            <v>2</v>
          </cell>
          <cell r="R1049">
            <v>4</v>
          </cell>
          <cell r="S1049" t="str">
            <v>ZALM verzagen (74g)</v>
          </cell>
          <cell r="T1049">
            <v>2400</v>
          </cell>
          <cell r="U1049">
            <v>8</v>
          </cell>
          <cell r="V1049">
            <v>2400</v>
          </cell>
          <cell r="W1049">
            <v>8</v>
          </cell>
          <cell r="X1049">
            <v>0</v>
          </cell>
          <cell r="Y1049">
            <v>0</v>
          </cell>
          <cell r="Z1049">
            <v>0</v>
          </cell>
          <cell r="AA1049" t="str">
            <v>! ! ! !</v>
          </cell>
          <cell r="AB1049">
            <v>4000</v>
          </cell>
          <cell r="AC1049">
            <v>0</v>
          </cell>
          <cell r="AG1049">
            <v>50</v>
          </cell>
          <cell r="AJ1049" t="str">
            <v>V-A</v>
          </cell>
          <cell r="AL1049">
            <v>3000</v>
          </cell>
          <cell r="AM1049">
            <v>2400</v>
          </cell>
          <cell r="AN1049" t="e">
            <v>#VALUE!</v>
          </cell>
          <cell r="AO1049" t="e">
            <v>#VALUE!</v>
          </cell>
          <cell r="AP1049">
            <v>600</v>
          </cell>
        </row>
        <row r="1050">
          <cell r="A1050">
            <v>64280400</v>
          </cell>
          <cell r="B1050">
            <v>40239500</v>
          </cell>
          <cell r="C1050">
            <v>9912645</v>
          </cell>
          <cell r="D1050" t="str">
            <v>BOF BE RUNDSTOOFVLEES IN BIERSAUS 450G</v>
          </cell>
          <cell r="E1050" t="str">
            <v>Bofrost BE</v>
          </cell>
          <cell r="F1050" t="str">
            <v>40337500 COVIPEEL 32 355mm</v>
          </cell>
          <cell r="G1050" t="str">
            <v>UK-59</v>
          </cell>
          <cell r="H1050">
            <v>548</v>
          </cell>
          <cell r="I1050">
            <v>0.45</v>
          </cell>
          <cell r="J1050" t="str">
            <v>H22</v>
          </cell>
          <cell r="K1050" t="str">
            <v>NVT</v>
          </cell>
          <cell r="L1050">
            <v>10</v>
          </cell>
          <cell r="M1050" t="str">
            <v>H22X10</v>
          </cell>
          <cell r="N1050">
            <v>84</v>
          </cell>
          <cell r="O1050">
            <v>5400870428044</v>
          </cell>
          <cell r="P1050" t="str">
            <v>I-2T</v>
          </cell>
          <cell r="Q1050">
            <v>1</v>
          </cell>
          <cell r="R1050">
            <v>2</v>
          </cell>
          <cell r="T1050">
            <v>3500</v>
          </cell>
          <cell r="U1050">
            <v>2</v>
          </cell>
          <cell r="V1050">
            <v>3500</v>
          </cell>
          <cell r="W1050">
            <v>2</v>
          </cell>
          <cell r="X1050">
            <v>0</v>
          </cell>
          <cell r="Y1050">
            <v>0</v>
          </cell>
          <cell r="Z1050">
            <v>0</v>
          </cell>
          <cell r="AA1050" t="str">
            <v>! ! !</v>
          </cell>
          <cell r="AB1050">
            <v>10000</v>
          </cell>
          <cell r="AC1050">
            <v>0</v>
          </cell>
          <cell r="AG1050">
            <v>68</v>
          </cell>
          <cell r="AJ1050" t="str">
            <v>V-A</v>
          </cell>
          <cell r="AL1050">
            <v>4080</v>
          </cell>
          <cell r="AM1050">
            <v>3500</v>
          </cell>
          <cell r="AN1050" t="e">
            <v>#VALUE!</v>
          </cell>
          <cell r="AO1050" t="e">
            <v>#VALUE!</v>
          </cell>
          <cell r="AP1050">
            <v>580</v>
          </cell>
        </row>
        <row r="1051">
          <cell r="A1051">
            <v>64280600</v>
          </cell>
          <cell r="B1051">
            <v>40239700</v>
          </cell>
          <cell r="C1051">
            <v>9802846</v>
          </cell>
          <cell r="D1051" t="str">
            <v>BOF BE MACARONI HAM KAAS 450G</v>
          </cell>
          <cell r="E1051" t="str">
            <v>Bofrost BE</v>
          </cell>
          <cell r="F1051" t="str">
            <v>40337500 COVIPEEL 32 355mm</v>
          </cell>
          <cell r="G1051" t="str">
            <v>UK-59</v>
          </cell>
          <cell r="H1051">
            <v>365</v>
          </cell>
          <cell r="I1051">
            <v>0.45</v>
          </cell>
          <cell r="J1051" t="str">
            <v>H22</v>
          </cell>
          <cell r="K1051" t="str">
            <v>NVT</v>
          </cell>
          <cell r="L1051">
            <v>10</v>
          </cell>
          <cell r="M1051" t="str">
            <v>H22X10</v>
          </cell>
          <cell r="N1051">
            <v>90</v>
          </cell>
          <cell r="O1051">
            <v>5400870428068</v>
          </cell>
          <cell r="P1051" t="str">
            <v>L-2T-K</v>
          </cell>
          <cell r="Q1051">
            <v>2.5</v>
          </cell>
          <cell r="R1051">
            <v>4</v>
          </cell>
          <cell r="S1051" t="str">
            <v>HAM snijden</v>
          </cell>
          <cell r="T1051">
            <v>3500</v>
          </cell>
          <cell r="U1051">
            <v>7</v>
          </cell>
          <cell r="V1051">
            <v>3500</v>
          </cell>
          <cell r="W1051">
            <v>7</v>
          </cell>
          <cell r="X1051">
            <v>0</v>
          </cell>
          <cell r="Y1051">
            <v>0</v>
          </cell>
          <cell r="Z1051">
            <v>0</v>
          </cell>
          <cell r="AA1051" t="str">
            <v>! !</v>
          </cell>
          <cell r="AC1051">
            <v>0</v>
          </cell>
          <cell r="AG1051">
            <v>68</v>
          </cell>
          <cell r="AJ1051" t="str">
            <v>V-A</v>
          </cell>
          <cell r="AL1051">
            <v>4080</v>
          </cell>
          <cell r="AM1051">
            <v>3500</v>
          </cell>
          <cell r="AN1051" t="e">
            <v>#VALUE!</v>
          </cell>
          <cell r="AO1051" t="e">
            <v>#VALUE!</v>
          </cell>
          <cell r="AP1051">
            <v>580</v>
          </cell>
        </row>
        <row r="1052">
          <cell r="A1052">
            <v>64280800</v>
          </cell>
          <cell r="B1052">
            <v>40242100</v>
          </cell>
          <cell r="C1052">
            <v>9912193</v>
          </cell>
          <cell r="D1052" t="str">
            <v>BOF BE GENTSE WATERZOOI GEKOOKTE AARDAP 450G</v>
          </cell>
          <cell r="E1052" t="str">
            <v>Bofrost BE</v>
          </cell>
          <cell r="F1052" t="str">
            <v>40337500 COVIPEEL 32 355mm</v>
          </cell>
          <cell r="G1052" t="str">
            <v>UK-59</v>
          </cell>
          <cell r="H1052">
            <v>548</v>
          </cell>
          <cell r="I1052">
            <v>0.45</v>
          </cell>
          <cell r="J1052" t="str">
            <v>H22</v>
          </cell>
          <cell r="K1052" t="str">
            <v>NVT</v>
          </cell>
          <cell r="L1052">
            <v>10</v>
          </cell>
          <cell r="M1052" t="str">
            <v>H22X10</v>
          </cell>
          <cell r="N1052">
            <v>84</v>
          </cell>
          <cell r="O1052">
            <v>5400870428082</v>
          </cell>
          <cell r="P1052" t="str">
            <v>I-2T</v>
          </cell>
          <cell r="Q1052">
            <v>2</v>
          </cell>
          <cell r="R1052">
            <v>2</v>
          </cell>
          <cell r="S1052" t="str">
            <v>KRIELEN steamen D-0</v>
          </cell>
          <cell r="T1052">
            <v>3200</v>
          </cell>
          <cell r="U1052">
            <v>7</v>
          </cell>
          <cell r="V1052">
            <v>3200</v>
          </cell>
          <cell r="W1052">
            <v>7</v>
          </cell>
          <cell r="X1052">
            <v>0</v>
          </cell>
          <cell r="Y1052">
            <v>0</v>
          </cell>
          <cell r="Z1052">
            <v>0</v>
          </cell>
          <cell r="AA1052" t="str">
            <v>! ! !</v>
          </cell>
          <cell r="AC1052">
            <v>3.1107999999999997E-2</v>
          </cell>
          <cell r="AG1052">
            <v>68</v>
          </cell>
          <cell r="AJ1052" t="str">
            <v>-</v>
          </cell>
          <cell r="AL1052">
            <v>4080</v>
          </cell>
          <cell r="AM1052">
            <v>3200</v>
          </cell>
          <cell r="AN1052" t="e">
            <v>#VALUE!</v>
          </cell>
          <cell r="AO1052" t="e">
            <v>#VALUE!</v>
          </cell>
          <cell r="AP1052">
            <v>880</v>
          </cell>
        </row>
        <row r="1053">
          <cell r="A1053">
            <v>64281200</v>
          </cell>
          <cell r="B1053">
            <v>40244800</v>
          </cell>
          <cell r="C1053">
            <v>9912201</v>
          </cell>
          <cell r="D1053" t="str">
            <v>BOF BE KABELJAUW GARNALEN DUO VERMOUTH 450G</v>
          </cell>
          <cell r="E1053" t="str">
            <v>Bofrost BE</v>
          </cell>
          <cell r="F1053" t="str">
            <v>40337500 COVIPEEL 32 355mm</v>
          </cell>
          <cell r="G1053" t="str">
            <v>UK-59</v>
          </cell>
          <cell r="H1053">
            <v>548</v>
          </cell>
          <cell r="I1053">
            <v>0.45</v>
          </cell>
          <cell r="J1053" t="str">
            <v>H22</v>
          </cell>
          <cell r="K1053" t="str">
            <v>NVT</v>
          </cell>
          <cell r="L1053">
            <v>10</v>
          </cell>
          <cell r="M1053" t="str">
            <v>H22X10</v>
          </cell>
          <cell r="N1053">
            <v>84</v>
          </cell>
          <cell r="O1053">
            <v>5400870428129</v>
          </cell>
          <cell r="P1053" t="str">
            <v>I-2T</v>
          </cell>
          <cell r="Q1053">
            <v>1.5</v>
          </cell>
          <cell r="R1053">
            <v>4</v>
          </cell>
          <cell r="T1053">
            <v>3500</v>
          </cell>
          <cell r="U1053">
            <v>6</v>
          </cell>
          <cell r="V1053">
            <v>3500</v>
          </cell>
          <cell r="W1053">
            <v>6</v>
          </cell>
          <cell r="X1053">
            <v>0</v>
          </cell>
          <cell r="Y1053">
            <v>0</v>
          </cell>
          <cell r="Z1053">
            <v>0</v>
          </cell>
          <cell r="AA1053" t="str">
            <v>! ! ! !</v>
          </cell>
          <cell r="AB1053">
            <v>3000</v>
          </cell>
          <cell r="AC1053">
            <v>0</v>
          </cell>
          <cell r="AJ1053" t="str">
            <v>V-A</v>
          </cell>
          <cell r="AL1053">
            <v>0</v>
          </cell>
          <cell r="AM1053">
            <v>3500</v>
          </cell>
          <cell r="AN1053" t="e">
            <v>#VALUE!</v>
          </cell>
          <cell r="AO1053" t="e">
            <v>#VALUE!</v>
          </cell>
          <cell r="AP1053">
            <v>-3500</v>
          </cell>
        </row>
        <row r="1054">
          <cell r="A1054">
            <v>64281300</v>
          </cell>
          <cell r="B1054">
            <v>40244900</v>
          </cell>
          <cell r="C1054">
            <v>9912555</v>
          </cell>
          <cell r="D1054" t="str">
            <v>BOF BE OOSTENDS VISPANNETJE ASC MSC 420G</v>
          </cell>
          <cell r="E1054" t="str">
            <v>Bofrost BE</v>
          </cell>
          <cell r="F1054" t="str">
            <v>40337500 COVIPEEL 32 355mm</v>
          </cell>
          <cell r="G1054" t="str">
            <v>UK-59</v>
          </cell>
          <cell r="H1054">
            <v>456</v>
          </cell>
          <cell r="I1054">
            <v>0.42</v>
          </cell>
          <cell r="J1054" t="str">
            <v>H22</v>
          </cell>
          <cell r="K1054" t="str">
            <v>NVT</v>
          </cell>
          <cell r="L1054">
            <v>10</v>
          </cell>
          <cell r="M1054" t="str">
            <v>H22X10</v>
          </cell>
          <cell r="N1054">
            <v>90</v>
          </cell>
          <cell r="O1054">
            <v>5400870428136</v>
          </cell>
          <cell r="Z1054">
            <v>0</v>
          </cell>
          <cell r="AA1054" t="str">
            <v>! ! ! !</v>
          </cell>
          <cell r="AJ1054" t="str">
            <v>V-A</v>
          </cell>
          <cell r="AL1054">
            <v>0</v>
          </cell>
          <cell r="AM1054">
            <v>0</v>
          </cell>
          <cell r="AN1054" t="e">
            <v>#VALUE!</v>
          </cell>
          <cell r="AO1054" t="str">
            <v/>
          </cell>
          <cell r="AP1054">
            <v>0</v>
          </cell>
        </row>
        <row r="1055">
          <cell r="A1055">
            <v>64281400</v>
          </cell>
          <cell r="B1055">
            <v>40245000</v>
          </cell>
          <cell r="C1055">
            <v>9912804</v>
          </cell>
          <cell r="D1055" t="str">
            <v>BOF BE LASAGNE ZALM ASC 450G</v>
          </cell>
          <cell r="E1055" t="str">
            <v>Bofrost BE</v>
          </cell>
          <cell r="F1055" t="str">
            <v>40337500 COVIPEEL 32 355mm</v>
          </cell>
          <cell r="G1055" t="str">
            <v>UK-59</v>
          </cell>
          <cell r="H1055">
            <v>456</v>
          </cell>
          <cell r="I1055">
            <v>0.45</v>
          </cell>
          <cell r="J1055" t="str">
            <v>H22</v>
          </cell>
          <cell r="K1055" t="str">
            <v>NVT</v>
          </cell>
          <cell r="L1055">
            <v>10</v>
          </cell>
          <cell r="M1055" t="str">
            <v>H22X10</v>
          </cell>
          <cell r="N1055">
            <v>84</v>
          </cell>
          <cell r="O1055">
            <v>5400870428143</v>
          </cell>
          <cell r="P1055" t="str">
            <v>5T-K</v>
          </cell>
          <cell r="Q1055">
            <v>2</v>
          </cell>
          <cell r="R1055">
            <v>4</v>
          </cell>
          <cell r="S1055" t="str">
            <v>ZALM verzagen (74g)</v>
          </cell>
          <cell r="T1055">
            <v>2400</v>
          </cell>
          <cell r="U1055">
            <v>8</v>
          </cell>
          <cell r="V1055">
            <v>2400</v>
          </cell>
          <cell r="W1055">
            <v>8</v>
          </cell>
          <cell r="X1055">
            <v>0</v>
          </cell>
          <cell r="Y1055">
            <v>0</v>
          </cell>
          <cell r="Z1055">
            <v>0</v>
          </cell>
          <cell r="AA1055" t="str">
            <v>! ! ! !</v>
          </cell>
          <cell r="AB1055">
            <v>4000</v>
          </cell>
          <cell r="AC1055">
            <v>0</v>
          </cell>
          <cell r="AG1055">
            <v>50</v>
          </cell>
          <cell r="AJ1055" t="str">
            <v>V-A</v>
          </cell>
          <cell r="AL1055">
            <v>3000</v>
          </cell>
          <cell r="AM1055">
            <v>2400</v>
          </cell>
          <cell r="AN1055" t="e">
            <v>#VALUE!</v>
          </cell>
          <cell r="AO1055" t="e">
            <v>#VALUE!</v>
          </cell>
          <cell r="AP1055">
            <v>600</v>
          </cell>
        </row>
        <row r="1056">
          <cell r="A1056">
            <v>64281500</v>
          </cell>
          <cell r="B1056" t="str">
            <v>blanco</v>
          </cell>
          <cell r="C1056">
            <v>9412057</v>
          </cell>
          <cell r="D1056" t="str">
            <v>BOF BE REUZENGARNALEN CURRYSAUS 400G</v>
          </cell>
          <cell r="E1056" t="str">
            <v>Bofrost BE</v>
          </cell>
          <cell r="F1056" t="str">
            <v>40337500 COVIPEEL 32 355mm</v>
          </cell>
          <cell r="G1056" t="str">
            <v>UK-59</v>
          </cell>
          <cell r="H1056">
            <v>548</v>
          </cell>
          <cell r="I1056">
            <v>0.4</v>
          </cell>
          <cell r="J1056" t="str">
            <v>H22</v>
          </cell>
          <cell r="K1056" t="str">
            <v>NVT</v>
          </cell>
          <cell r="L1056">
            <v>10</v>
          </cell>
          <cell r="M1056" t="str">
            <v>H22X10</v>
          </cell>
          <cell r="N1056">
            <v>90</v>
          </cell>
          <cell r="O1056">
            <v>5400870428150</v>
          </cell>
          <cell r="P1056" t="str">
            <v>I-2T</v>
          </cell>
          <cell r="Q1056">
            <v>1</v>
          </cell>
          <cell r="R1056">
            <v>5</v>
          </cell>
          <cell r="T1056">
            <v>3500</v>
          </cell>
          <cell r="U1056">
            <v>4</v>
          </cell>
          <cell r="V1056">
            <v>3500</v>
          </cell>
          <cell r="W1056">
            <v>4</v>
          </cell>
          <cell r="X1056">
            <v>0</v>
          </cell>
          <cell r="Y1056">
            <v>0</v>
          </cell>
          <cell r="Z1056">
            <v>0</v>
          </cell>
          <cell r="AA1056" t="str">
            <v>! ! ! !</v>
          </cell>
          <cell r="AJ1056" t="str">
            <v>-</v>
          </cell>
          <cell r="AL1056">
            <v>0</v>
          </cell>
          <cell r="AM1056">
            <v>3500</v>
          </cell>
          <cell r="AN1056" t="e">
            <v>#VALUE!</v>
          </cell>
          <cell r="AO1056" t="e">
            <v>#VALUE!</v>
          </cell>
          <cell r="AP1056">
            <v>-3500</v>
          </cell>
        </row>
        <row r="1057">
          <cell r="A1057">
            <v>64281600</v>
          </cell>
          <cell r="B1057">
            <v>40245300</v>
          </cell>
          <cell r="C1057">
            <v>9912057</v>
          </cell>
          <cell r="D1057" t="str">
            <v>BOF BE REUZENGARNALEN CURRYSAUS 400G</v>
          </cell>
          <cell r="E1057" t="str">
            <v>Bofrost BE</v>
          </cell>
          <cell r="F1057" t="str">
            <v>40337500 COVIPEEL 32 355mm</v>
          </cell>
          <cell r="G1057" t="str">
            <v>UK-59</v>
          </cell>
          <cell r="H1057">
            <v>548</v>
          </cell>
          <cell r="I1057">
            <v>0.4</v>
          </cell>
          <cell r="J1057" t="str">
            <v>H22</v>
          </cell>
          <cell r="K1057" t="str">
            <v>NVT</v>
          </cell>
          <cell r="L1057">
            <v>10</v>
          </cell>
          <cell r="M1057" t="str">
            <v>H22X10</v>
          </cell>
          <cell r="N1057">
            <v>84</v>
          </cell>
          <cell r="O1057">
            <v>5400870428167</v>
          </cell>
          <cell r="P1057" t="str">
            <v>I-2T</v>
          </cell>
          <cell r="Q1057">
            <v>1</v>
          </cell>
          <cell r="R1057">
            <v>4</v>
          </cell>
          <cell r="T1057">
            <v>3500</v>
          </cell>
          <cell r="U1057">
            <v>2</v>
          </cell>
          <cell r="V1057">
            <v>3500</v>
          </cell>
          <cell r="W1057">
            <v>2</v>
          </cell>
          <cell r="X1057">
            <v>0</v>
          </cell>
          <cell r="Y1057">
            <v>0</v>
          </cell>
          <cell r="Z1057">
            <v>0</v>
          </cell>
          <cell r="AA1057" t="str">
            <v>! ! ! !</v>
          </cell>
          <cell r="AC1057">
            <v>0</v>
          </cell>
          <cell r="AJ1057" t="str">
            <v>-</v>
          </cell>
          <cell r="AL1057">
            <v>0</v>
          </cell>
          <cell r="AM1057">
            <v>3500</v>
          </cell>
          <cell r="AN1057" t="e">
            <v>#VALUE!</v>
          </cell>
          <cell r="AO1057" t="e">
            <v>#VALUE!</v>
          </cell>
          <cell r="AP1057">
            <v>-3500</v>
          </cell>
        </row>
        <row r="1058">
          <cell r="A1058">
            <v>64281700</v>
          </cell>
          <cell r="B1058">
            <v>40245500</v>
          </cell>
          <cell r="C1058">
            <v>6902343</v>
          </cell>
          <cell r="D1058" t="str">
            <v>BOF BE REUZENGARNALEN PITTIGE TOMATENSAUS 400G</v>
          </cell>
          <cell r="E1058" t="str">
            <v>Bofrost BE</v>
          </cell>
          <cell r="F1058" t="str">
            <v>40337500 COVIPEEL 32 355mm</v>
          </cell>
          <cell r="G1058" t="str">
            <v>UK-59</v>
          </cell>
          <cell r="H1058">
            <v>548</v>
          </cell>
          <cell r="I1058">
            <v>0.4</v>
          </cell>
          <cell r="J1058" t="str">
            <v>H22</v>
          </cell>
          <cell r="K1058" t="str">
            <v>NVT</v>
          </cell>
          <cell r="L1058">
            <v>10</v>
          </cell>
          <cell r="M1058" t="str">
            <v>H22X10</v>
          </cell>
          <cell r="N1058">
            <v>84</v>
          </cell>
          <cell r="O1058">
            <v>5400870428174</v>
          </cell>
          <cell r="P1058" t="str">
            <v>I-2T</v>
          </cell>
          <cell r="Q1058">
            <v>1</v>
          </cell>
          <cell r="R1058">
            <v>2</v>
          </cell>
          <cell r="T1058">
            <v>3500</v>
          </cell>
          <cell r="U1058">
            <v>3</v>
          </cell>
          <cell r="V1058">
            <v>3500</v>
          </cell>
          <cell r="W1058">
            <v>3</v>
          </cell>
          <cell r="X1058">
            <v>0</v>
          </cell>
          <cell r="Y1058">
            <v>0</v>
          </cell>
          <cell r="Z1058">
            <v>0</v>
          </cell>
          <cell r="AA1058" t="str">
            <v>! ! ! !</v>
          </cell>
          <cell r="AC1058">
            <v>0</v>
          </cell>
          <cell r="AJ1058" t="str">
            <v>V-A</v>
          </cell>
          <cell r="AL1058">
            <v>0</v>
          </cell>
          <cell r="AM1058">
            <v>3500</v>
          </cell>
          <cell r="AN1058" t="e">
            <v>#VALUE!</v>
          </cell>
          <cell r="AO1058" t="e">
            <v>#VALUE!</v>
          </cell>
          <cell r="AP1058">
            <v>-3500</v>
          </cell>
        </row>
        <row r="1059">
          <cell r="A1059">
            <v>64281800</v>
          </cell>
          <cell r="B1059">
            <v>40245600</v>
          </cell>
          <cell r="C1059">
            <v>9912201</v>
          </cell>
          <cell r="D1059" t="str">
            <v>BOF BE KABELJAUW GARNALEN DUO VERMOUTH 450G</v>
          </cell>
          <cell r="E1059" t="str">
            <v>Bofrost BE</v>
          </cell>
          <cell r="F1059" t="str">
            <v>40337500 COVIPEEL 32 355mm</v>
          </cell>
          <cell r="G1059" t="str">
            <v>UK-59</v>
          </cell>
          <cell r="H1059">
            <v>548</v>
          </cell>
          <cell r="I1059">
            <v>0.45</v>
          </cell>
          <cell r="J1059" t="str">
            <v>H22</v>
          </cell>
          <cell r="K1059" t="str">
            <v>NVT</v>
          </cell>
          <cell r="L1059">
            <v>10</v>
          </cell>
          <cell r="M1059" t="str">
            <v>H22X10</v>
          </cell>
          <cell r="N1059">
            <v>84</v>
          </cell>
          <cell r="O1059">
            <v>5400870428181</v>
          </cell>
          <cell r="P1059" t="str">
            <v>I-2T</v>
          </cell>
          <cell r="Q1059">
            <v>1</v>
          </cell>
          <cell r="R1059">
            <v>4</v>
          </cell>
          <cell r="T1059">
            <v>3500</v>
          </cell>
          <cell r="U1059">
            <v>4</v>
          </cell>
          <cell r="V1059">
            <v>3500</v>
          </cell>
          <cell r="W1059">
            <v>4</v>
          </cell>
          <cell r="X1059">
            <v>0</v>
          </cell>
          <cell r="Y1059">
            <v>0</v>
          </cell>
          <cell r="Z1059">
            <v>0</v>
          </cell>
          <cell r="AA1059" t="str">
            <v>! ! ! !</v>
          </cell>
          <cell r="AB1059">
            <v>3000</v>
          </cell>
          <cell r="AC1059">
            <v>0</v>
          </cell>
          <cell r="AJ1059" t="str">
            <v>V-A</v>
          </cell>
          <cell r="AL1059">
            <v>0</v>
          </cell>
          <cell r="AM1059">
            <v>3500</v>
          </cell>
          <cell r="AN1059" t="e">
            <v>#VALUE!</v>
          </cell>
          <cell r="AO1059" t="e">
            <v>#VALUE!</v>
          </cell>
          <cell r="AP1059">
            <v>-3500</v>
          </cell>
        </row>
        <row r="1060">
          <cell r="A1060">
            <v>64282100</v>
          </cell>
          <cell r="B1060">
            <v>40266500</v>
          </cell>
          <cell r="C1060">
            <v>9912057</v>
          </cell>
          <cell r="D1060" t="str">
            <v>BOF BE REUZENGARNALEN ASC CURRYSAUS 400G</v>
          </cell>
          <cell r="E1060" t="str">
            <v>Bofrost BE</v>
          </cell>
          <cell r="F1060" t="str">
            <v>40337500 COVIPEEL 32 355mm</v>
          </cell>
          <cell r="G1060" t="str">
            <v>UK-59</v>
          </cell>
          <cell r="H1060">
            <v>548</v>
          </cell>
          <cell r="I1060">
            <v>0.4</v>
          </cell>
          <cell r="J1060" t="str">
            <v>H22</v>
          </cell>
          <cell r="K1060" t="str">
            <v>NVT</v>
          </cell>
          <cell r="L1060">
            <v>10</v>
          </cell>
          <cell r="M1060" t="str">
            <v>H22X10</v>
          </cell>
          <cell r="N1060">
            <v>84</v>
          </cell>
          <cell r="O1060">
            <v>5400870428211</v>
          </cell>
          <cell r="P1060" t="str">
            <v>I-2T</v>
          </cell>
          <cell r="Q1060">
            <v>1</v>
          </cell>
          <cell r="R1060">
            <v>4</v>
          </cell>
          <cell r="T1060">
            <v>3500</v>
          </cell>
          <cell r="U1060">
            <v>3</v>
          </cell>
          <cell r="V1060">
            <v>3500</v>
          </cell>
          <cell r="W1060">
            <v>3</v>
          </cell>
          <cell r="X1060">
            <v>0</v>
          </cell>
          <cell r="Y1060">
            <v>0</v>
          </cell>
          <cell r="Z1060">
            <v>0</v>
          </cell>
          <cell r="AA1060" t="str">
            <v>! ! ! !</v>
          </cell>
          <cell r="AC1060">
            <v>0</v>
          </cell>
          <cell r="AJ1060" t="str">
            <v>-</v>
          </cell>
          <cell r="AL1060">
            <v>0</v>
          </cell>
          <cell r="AM1060">
            <v>3500</v>
          </cell>
          <cell r="AN1060" t="e">
            <v>#VALUE!</v>
          </cell>
          <cell r="AO1060" t="e">
            <v>#VALUE!</v>
          </cell>
          <cell r="AP1060">
            <v>-3500</v>
          </cell>
        </row>
        <row r="1061">
          <cell r="A1061">
            <v>64290000</v>
          </cell>
          <cell r="B1061" t="str">
            <v>nvt</v>
          </cell>
          <cell r="C1061">
            <v>127908</v>
          </cell>
          <cell r="D1061" t="str">
            <v>CASPER PENNE 4 KAZEN BROCCOLI 435G</v>
          </cell>
          <cell r="E1061" t="str">
            <v>Casper</v>
          </cell>
          <cell r="F1061" t="str">
            <v>40336400 OLAF 30 355mm</v>
          </cell>
          <cell r="G1061" t="str">
            <v>UK-59</v>
          </cell>
          <cell r="H1061">
            <v>456</v>
          </cell>
          <cell r="I1061">
            <v>0.435</v>
          </cell>
          <cell r="J1061" t="str">
            <v>NVT</v>
          </cell>
          <cell r="K1061" t="str">
            <v>BLANCO 100X100</v>
          </cell>
          <cell r="L1061">
            <v>10</v>
          </cell>
          <cell r="M1061" t="str">
            <v>H22X10</v>
          </cell>
          <cell r="N1061">
            <v>96</v>
          </cell>
          <cell r="O1061">
            <v>5400870429003</v>
          </cell>
          <cell r="P1061" t="str">
            <v>2T</v>
          </cell>
          <cell r="Q1061">
            <v>3</v>
          </cell>
          <cell r="R1061">
            <v>3</v>
          </cell>
          <cell r="T1061">
            <v>3500</v>
          </cell>
          <cell r="U1061">
            <v>5</v>
          </cell>
          <cell r="V1061">
            <v>3500</v>
          </cell>
          <cell r="W1061">
            <v>5</v>
          </cell>
          <cell r="X1061">
            <v>0</v>
          </cell>
          <cell r="Y1061">
            <v>0</v>
          </cell>
          <cell r="Z1061">
            <v>3.2000000000000001E-2</v>
          </cell>
          <cell r="AA1061" t="str">
            <v>! !</v>
          </cell>
          <cell r="AB1061">
            <v>7500</v>
          </cell>
          <cell r="AC1061">
            <v>0</v>
          </cell>
          <cell r="AJ1061" t="str">
            <v>-</v>
          </cell>
          <cell r="AL1061">
            <v>0</v>
          </cell>
          <cell r="AM1061">
            <v>3500</v>
          </cell>
          <cell r="AN1061" t="e">
            <v>#VALUE!</v>
          </cell>
          <cell r="AO1061" t="e">
            <v>#VALUE!</v>
          </cell>
          <cell r="AP1061">
            <v>-3500</v>
          </cell>
        </row>
        <row r="1062">
          <cell r="A1062">
            <v>64290100</v>
          </cell>
          <cell r="B1062" t="str">
            <v>nvt</v>
          </cell>
          <cell r="C1062">
            <v>127909</v>
          </cell>
          <cell r="D1062" t="str">
            <v>CASPER PENNE TRUFFEL BOSCHAMPIGNON 435G</v>
          </cell>
          <cell r="E1062" t="str">
            <v>Casper</v>
          </cell>
          <cell r="F1062" t="str">
            <v>40336400 OLAF 30 355mm</v>
          </cell>
          <cell r="G1062" t="str">
            <v>UK-59</v>
          </cell>
          <cell r="H1062">
            <v>456</v>
          </cell>
          <cell r="I1062">
            <v>0.435</v>
          </cell>
          <cell r="J1062" t="str">
            <v>NVT</v>
          </cell>
          <cell r="K1062" t="str">
            <v>BLANCO 100X100</v>
          </cell>
          <cell r="L1062">
            <v>10</v>
          </cell>
          <cell r="M1062" t="str">
            <v>H22X10</v>
          </cell>
          <cell r="N1062">
            <v>96</v>
          </cell>
          <cell r="O1062">
            <v>5400870429010</v>
          </cell>
          <cell r="P1062" t="str">
            <v>2T</v>
          </cell>
          <cell r="Q1062">
            <v>3</v>
          </cell>
          <cell r="R1062">
            <v>3</v>
          </cell>
          <cell r="T1062">
            <v>3500</v>
          </cell>
          <cell r="U1062">
            <v>2</v>
          </cell>
          <cell r="V1062">
            <v>3500</v>
          </cell>
          <cell r="W1062">
            <v>2</v>
          </cell>
          <cell r="X1062">
            <v>0</v>
          </cell>
          <cell r="Y1062">
            <v>0</v>
          </cell>
          <cell r="Z1062">
            <v>3.2000000000000001E-2</v>
          </cell>
          <cell r="AA1062" t="str">
            <v>! !</v>
          </cell>
          <cell r="AB1062">
            <v>7500</v>
          </cell>
          <cell r="AC1062">
            <v>0</v>
          </cell>
          <cell r="AJ1062" t="str">
            <v>-</v>
          </cell>
          <cell r="AL1062">
            <v>0</v>
          </cell>
          <cell r="AM1062">
            <v>3500</v>
          </cell>
          <cell r="AN1062" t="e">
            <v>#VALUE!</v>
          </cell>
          <cell r="AO1062" t="e">
            <v>#VALUE!</v>
          </cell>
          <cell r="AP1062">
            <v>-3500</v>
          </cell>
        </row>
        <row r="1063">
          <cell r="A1063">
            <v>64290200</v>
          </cell>
          <cell r="B1063" t="str">
            <v>nvt</v>
          </cell>
          <cell r="C1063">
            <v>127910</v>
          </cell>
          <cell r="D1063" t="str">
            <v>CASPER MACARONI HAM KAAS CLASSIC 435G</v>
          </cell>
          <cell r="E1063" t="str">
            <v>Casper</v>
          </cell>
          <cell r="F1063" t="str">
            <v>40336400 OLAF 30 355mm</v>
          </cell>
          <cell r="G1063" t="str">
            <v>UK-59</v>
          </cell>
          <cell r="H1063">
            <v>365</v>
          </cell>
          <cell r="I1063">
            <v>0.435</v>
          </cell>
          <cell r="J1063" t="str">
            <v>NVT</v>
          </cell>
          <cell r="K1063" t="str">
            <v>BLANCO 100X100</v>
          </cell>
          <cell r="L1063">
            <v>10</v>
          </cell>
          <cell r="M1063" t="str">
            <v>H22X10</v>
          </cell>
          <cell r="N1063">
            <v>96</v>
          </cell>
          <cell r="O1063">
            <v>5400870429027</v>
          </cell>
          <cell r="P1063" t="str">
            <v>2T</v>
          </cell>
          <cell r="Q1063">
            <v>3</v>
          </cell>
          <cell r="R1063">
            <v>3</v>
          </cell>
          <cell r="T1063">
            <v>3500</v>
          </cell>
          <cell r="U1063">
            <v>2</v>
          </cell>
          <cell r="V1063">
            <v>3500</v>
          </cell>
          <cell r="W1063">
            <v>2</v>
          </cell>
          <cell r="X1063">
            <v>0</v>
          </cell>
          <cell r="Y1063">
            <v>0</v>
          </cell>
          <cell r="Z1063">
            <v>2.1999999999999999E-2</v>
          </cell>
          <cell r="AA1063" t="str">
            <v>! !</v>
          </cell>
          <cell r="AB1063">
            <v>12500</v>
          </cell>
          <cell r="AC1063">
            <v>0</v>
          </cell>
          <cell r="AJ1063" t="str">
            <v>V-A</v>
          </cell>
          <cell r="AL1063">
            <v>0</v>
          </cell>
          <cell r="AM1063">
            <v>3500</v>
          </cell>
          <cell r="AN1063" t="e">
            <v>#VALUE!</v>
          </cell>
          <cell r="AO1063" t="e">
            <v>#VALUE!</v>
          </cell>
          <cell r="AP1063">
            <v>-3500</v>
          </cell>
        </row>
        <row r="1064">
          <cell r="A1064">
            <v>64290300</v>
          </cell>
          <cell r="B1064" t="str">
            <v>nvt</v>
          </cell>
          <cell r="C1064">
            <v>127911</v>
          </cell>
          <cell r="D1064" t="str">
            <v>CASPER MACARONI HAM KAAS HOLY GRAIL 435G</v>
          </cell>
          <cell r="E1064" t="str">
            <v>Casper</v>
          </cell>
          <cell r="F1064" t="str">
            <v>40336400 OLAF 30 355mm</v>
          </cell>
          <cell r="G1064" t="str">
            <v>UK-59</v>
          </cell>
          <cell r="H1064">
            <v>365</v>
          </cell>
          <cell r="I1064">
            <v>0.435</v>
          </cell>
          <cell r="J1064" t="str">
            <v>NVT</v>
          </cell>
          <cell r="K1064" t="str">
            <v>BLANCO 100X100</v>
          </cell>
          <cell r="L1064">
            <v>10</v>
          </cell>
          <cell r="M1064" t="str">
            <v>H22X10</v>
          </cell>
          <cell r="N1064">
            <v>96</v>
          </cell>
          <cell r="O1064">
            <v>5400870429034</v>
          </cell>
          <cell r="P1064" t="str">
            <v>2T</v>
          </cell>
          <cell r="Q1064">
            <v>3</v>
          </cell>
          <cell r="R1064">
            <v>3</v>
          </cell>
          <cell r="T1064">
            <v>3500</v>
          </cell>
          <cell r="U1064">
            <v>2</v>
          </cell>
          <cell r="V1064">
            <v>3500</v>
          </cell>
          <cell r="W1064">
            <v>2</v>
          </cell>
          <cell r="X1064">
            <v>0</v>
          </cell>
          <cell r="Y1064">
            <v>0</v>
          </cell>
          <cell r="Z1064">
            <v>2.1999999999999999E-2</v>
          </cell>
          <cell r="AA1064" t="str">
            <v>! ! !</v>
          </cell>
          <cell r="AB1064">
            <v>12500</v>
          </cell>
          <cell r="AC1064">
            <v>0</v>
          </cell>
          <cell r="AJ1064" t="str">
            <v>V-A</v>
          </cell>
          <cell r="AL1064">
            <v>0</v>
          </cell>
          <cell r="AM1064">
            <v>3500</v>
          </cell>
          <cell r="AN1064" t="e">
            <v>#VALUE!</v>
          </cell>
          <cell r="AO1064" t="e">
            <v>#VALUE!</v>
          </cell>
          <cell r="AP1064">
            <v>-3500</v>
          </cell>
        </row>
        <row r="1065">
          <cell r="A1065">
            <v>64290400</v>
          </cell>
          <cell r="B1065" t="str">
            <v>nvt</v>
          </cell>
          <cell r="C1065">
            <v>124362</v>
          </cell>
          <cell r="D1065" t="str">
            <v>CASPER LASAGNE BOLOGNAISE CLASSIC 450G</v>
          </cell>
          <cell r="E1065" t="str">
            <v>Casper</v>
          </cell>
          <cell r="F1065" t="str">
            <v>40336400 OLAF 30 355mm</v>
          </cell>
          <cell r="G1065" t="str">
            <v>UK-59</v>
          </cell>
          <cell r="H1065">
            <v>365</v>
          </cell>
          <cell r="I1065">
            <v>0.45</v>
          </cell>
          <cell r="J1065" t="str">
            <v>NVT</v>
          </cell>
          <cell r="K1065" t="str">
            <v>BLANCO 100X100</v>
          </cell>
          <cell r="L1065">
            <v>10</v>
          </cell>
          <cell r="M1065" t="str">
            <v>H22X10</v>
          </cell>
          <cell r="N1065">
            <v>84</v>
          </cell>
          <cell r="O1065">
            <v>5400870429041</v>
          </cell>
          <cell r="P1065" t="str">
            <v>5T-H</v>
          </cell>
          <cell r="Q1065">
            <v>2</v>
          </cell>
          <cell r="R1065">
            <v>3</v>
          </cell>
          <cell r="S1065" t="str">
            <v>OLAF-folie</v>
          </cell>
          <cell r="T1065">
            <v>2600</v>
          </cell>
          <cell r="U1065">
            <v>7</v>
          </cell>
          <cell r="V1065">
            <v>2600</v>
          </cell>
          <cell r="W1065">
            <v>7</v>
          </cell>
          <cell r="X1065">
            <v>0</v>
          </cell>
          <cell r="Y1065">
            <v>0</v>
          </cell>
          <cell r="Z1065">
            <v>0.03</v>
          </cell>
          <cell r="AA1065" t="str">
            <v>! ! !</v>
          </cell>
          <cell r="AB1065">
            <v>10000</v>
          </cell>
          <cell r="AC1065">
            <v>0</v>
          </cell>
          <cell r="AG1065">
            <v>50</v>
          </cell>
          <cell r="AJ1065" t="str">
            <v>V-A</v>
          </cell>
          <cell r="AL1065">
            <v>3000</v>
          </cell>
          <cell r="AM1065">
            <v>2600</v>
          </cell>
          <cell r="AN1065" t="e">
            <v>#VALUE!</v>
          </cell>
          <cell r="AO1065" t="e">
            <v>#VALUE!</v>
          </cell>
          <cell r="AP1065">
            <v>400</v>
          </cell>
        </row>
        <row r="1066">
          <cell r="A1066">
            <v>64290500</v>
          </cell>
          <cell r="B1066" t="str">
            <v>nvt</v>
          </cell>
          <cell r="C1066">
            <v>127962</v>
          </cell>
          <cell r="D1066" t="str">
            <v>CASPER LINGUINE FIJNE KRUIDENSAUS 350G</v>
          </cell>
          <cell r="E1066" t="str">
            <v>Casper</v>
          </cell>
          <cell r="F1066" t="str">
            <v>40336400 OLAF 30 355mm</v>
          </cell>
          <cell r="G1066" t="str">
            <v>UK-59</v>
          </cell>
          <cell r="H1066">
            <v>456</v>
          </cell>
          <cell r="I1066">
            <v>0.35</v>
          </cell>
          <cell r="J1066" t="str">
            <v>NVT</v>
          </cell>
          <cell r="K1066" t="str">
            <v>BLANCO 100X100</v>
          </cell>
          <cell r="L1066">
            <v>10</v>
          </cell>
          <cell r="M1066" t="str">
            <v>H22X10</v>
          </cell>
          <cell r="N1066">
            <v>84</v>
          </cell>
          <cell r="O1066">
            <v>5400870429058</v>
          </cell>
          <cell r="P1066" t="str">
            <v>L-2T</v>
          </cell>
          <cell r="Q1066">
            <v>2</v>
          </cell>
          <cell r="R1066">
            <v>3</v>
          </cell>
          <cell r="S1066" t="str">
            <v>OLAF-folie</v>
          </cell>
          <cell r="T1066">
            <v>3200</v>
          </cell>
          <cell r="U1066">
            <v>5</v>
          </cell>
          <cell r="V1066">
            <v>3200</v>
          </cell>
          <cell r="W1066">
            <v>5</v>
          </cell>
          <cell r="X1066">
            <v>0</v>
          </cell>
          <cell r="Y1066">
            <v>0</v>
          </cell>
          <cell r="Z1066">
            <v>5.2999999999999999E-2</v>
          </cell>
          <cell r="AA1066" t="str">
            <v>! ! !</v>
          </cell>
          <cell r="AB1066">
            <v>3000</v>
          </cell>
          <cell r="AC1066">
            <v>0</v>
          </cell>
          <cell r="AJ1066" t="str">
            <v>V-A</v>
          </cell>
          <cell r="AL1066">
            <v>0</v>
          </cell>
          <cell r="AM1066">
            <v>3200</v>
          </cell>
          <cell r="AN1066" t="e">
            <v>#VALUE!</v>
          </cell>
          <cell r="AO1066" t="e">
            <v>#VALUE!</v>
          </cell>
          <cell r="AP1066">
            <v>-3200</v>
          </cell>
        </row>
        <row r="1067">
          <cell r="A1067">
            <v>64290600</v>
          </cell>
          <cell r="B1067" t="str">
            <v>nvt</v>
          </cell>
          <cell r="C1067">
            <v>127961</v>
          </cell>
          <cell r="D1067" t="str">
            <v>CASPER LINGUINE CURRYSAUS 350G</v>
          </cell>
          <cell r="E1067" t="str">
            <v>Casper</v>
          </cell>
          <cell r="F1067" t="str">
            <v>40336400 OLAF 30 355mm</v>
          </cell>
          <cell r="G1067" t="str">
            <v>UK-59</v>
          </cell>
          <cell r="H1067">
            <v>456</v>
          </cell>
          <cell r="I1067">
            <v>0.35</v>
          </cell>
          <cell r="J1067" t="str">
            <v>NVT</v>
          </cell>
          <cell r="K1067" t="str">
            <v>BLANCO 100X100</v>
          </cell>
          <cell r="L1067">
            <v>10</v>
          </cell>
          <cell r="M1067" t="str">
            <v>H22X10</v>
          </cell>
          <cell r="N1067">
            <v>84</v>
          </cell>
          <cell r="O1067">
            <v>5400870429065</v>
          </cell>
          <cell r="P1067" t="str">
            <v>L-2T</v>
          </cell>
          <cell r="Q1067">
            <v>2</v>
          </cell>
          <cell r="R1067">
            <v>3</v>
          </cell>
          <cell r="S1067" t="str">
            <v>OLAF-folie</v>
          </cell>
          <cell r="T1067">
            <v>3200</v>
          </cell>
          <cell r="U1067">
            <v>5</v>
          </cell>
          <cell r="V1067">
            <v>3200</v>
          </cell>
          <cell r="W1067">
            <v>5</v>
          </cell>
          <cell r="X1067">
            <v>0</v>
          </cell>
          <cell r="Y1067">
            <v>0</v>
          </cell>
          <cell r="Z1067">
            <v>5.2999999999999999E-2</v>
          </cell>
          <cell r="AA1067" t="str">
            <v>! ! ! !</v>
          </cell>
          <cell r="AB1067">
            <v>3000</v>
          </cell>
          <cell r="AC1067">
            <v>0</v>
          </cell>
          <cell r="AJ1067" t="str">
            <v>-</v>
          </cell>
          <cell r="AL1067">
            <v>0</v>
          </cell>
          <cell r="AM1067">
            <v>3200</v>
          </cell>
          <cell r="AN1067" t="e">
            <v>#VALUE!</v>
          </cell>
          <cell r="AO1067" t="e">
            <v>#VALUE!</v>
          </cell>
          <cell r="AP1067">
            <v>-3200</v>
          </cell>
        </row>
        <row r="1068">
          <cell r="A1068">
            <v>64290700</v>
          </cell>
          <cell r="B1068" t="str">
            <v>nvt</v>
          </cell>
          <cell r="C1068">
            <v>124363</v>
          </cell>
          <cell r="D1068" t="str">
            <v>CASPER LASAGNE BOLOGNAISE HG 450G</v>
          </cell>
          <cell r="E1068" t="str">
            <v>Casper</v>
          </cell>
          <cell r="F1068" t="str">
            <v>40336400 OLAF 30 355mm</v>
          </cell>
          <cell r="G1068" t="str">
            <v>UK-59</v>
          </cell>
          <cell r="H1068">
            <v>365</v>
          </cell>
          <cell r="I1068">
            <v>0.45</v>
          </cell>
          <cell r="J1068" t="str">
            <v>NVT</v>
          </cell>
          <cell r="K1068" t="str">
            <v>BLANCO 100X100</v>
          </cell>
          <cell r="L1068">
            <v>10</v>
          </cell>
          <cell r="M1068" t="str">
            <v>H22X10</v>
          </cell>
          <cell r="N1068">
            <v>84</v>
          </cell>
          <cell r="O1068">
            <v>5400870429072</v>
          </cell>
          <cell r="P1068" t="str">
            <v>5T-H</v>
          </cell>
          <cell r="Q1068">
            <v>2</v>
          </cell>
          <cell r="R1068">
            <v>3</v>
          </cell>
          <cell r="S1068" t="str">
            <v>OLAF-folie</v>
          </cell>
          <cell r="T1068">
            <v>2600</v>
          </cell>
          <cell r="U1068">
            <v>6</v>
          </cell>
          <cell r="V1068">
            <v>2600</v>
          </cell>
          <cell r="W1068">
            <v>6</v>
          </cell>
          <cell r="X1068">
            <v>0</v>
          </cell>
          <cell r="Y1068">
            <v>0</v>
          </cell>
          <cell r="Z1068">
            <v>0.03</v>
          </cell>
          <cell r="AA1068" t="str">
            <v>! ! !</v>
          </cell>
          <cell r="AB1068">
            <v>10000</v>
          </cell>
          <cell r="AC1068">
            <v>0</v>
          </cell>
          <cell r="AJ1068" t="str">
            <v>V-A</v>
          </cell>
          <cell r="AL1068">
            <v>0</v>
          </cell>
          <cell r="AM1068">
            <v>2600</v>
          </cell>
          <cell r="AN1068" t="e">
            <v>#VALUE!</v>
          </cell>
          <cell r="AO1068" t="e">
            <v>#VALUE!</v>
          </cell>
          <cell r="AP1068">
            <v>-2600</v>
          </cell>
        </row>
        <row r="1069">
          <cell r="A1069">
            <v>64290800</v>
          </cell>
          <cell r="B1069" t="str">
            <v>nvt</v>
          </cell>
          <cell r="C1069">
            <v>128645</v>
          </cell>
          <cell r="D1069" t="str">
            <v>CASPER VEG LASAGNE BOLOGNAISE 450G</v>
          </cell>
          <cell r="E1069" t="str">
            <v>Casper</v>
          </cell>
          <cell r="F1069" t="str">
            <v>40336400 OLAF 30 355mm</v>
          </cell>
          <cell r="G1069" t="str">
            <v>UK-59</v>
          </cell>
          <cell r="H1069">
            <v>456</v>
          </cell>
          <cell r="I1069">
            <v>0.45</v>
          </cell>
          <cell r="J1069" t="str">
            <v>NVT</v>
          </cell>
          <cell r="K1069" t="str">
            <v>BLANCO 100X100</v>
          </cell>
          <cell r="L1069">
            <v>10</v>
          </cell>
          <cell r="M1069" t="str">
            <v>H22X10</v>
          </cell>
          <cell r="N1069">
            <v>84</v>
          </cell>
          <cell r="O1069">
            <v>5400870429089</v>
          </cell>
          <cell r="P1069" t="str">
            <v>5T-H</v>
          </cell>
          <cell r="Q1069">
            <v>2</v>
          </cell>
          <cell r="R1069">
            <v>3</v>
          </cell>
          <cell r="S1069" t="str">
            <v>OLAF-folie</v>
          </cell>
          <cell r="T1069">
            <v>2600</v>
          </cell>
          <cell r="U1069">
            <v>7</v>
          </cell>
          <cell r="V1069">
            <v>2600</v>
          </cell>
          <cell r="W1069">
            <v>7</v>
          </cell>
          <cell r="X1069">
            <v>0</v>
          </cell>
          <cell r="Y1069">
            <v>0</v>
          </cell>
          <cell r="Z1069">
            <v>0.05</v>
          </cell>
          <cell r="AA1069" t="str">
            <v>! ! !</v>
          </cell>
          <cell r="AB1069">
            <v>3000</v>
          </cell>
          <cell r="AC1069">
            <v>0</v>
          </cell>
          <cell r="AJ1069" t="str">
            <v>V-A</v>
          </cell>
          <cell r="AL1069">
            <v>0</v>
          </cell>
          <cell r="AM1069">
            <v>2600</v>
          </cell>
          <cell r="AN1069" t="e">
            <v>#VALUE!</v>
          </cell>
          <cell r="AO1069" t="e">
            <v>#VALUE!</v>
          </cell>
          <cell r="AP1069">
            <v>-2600</v>
          </cell>
        </row>
        <row r="1070">
          <cell r="A1070">
            <v>64402200</v>
          </cell>
          <cell r="B1070">
            <v>40290200</v>
          </cell>
          <cell r="C1070">
            <v>9820540</v>
          </cell>
          <cell r="D1070" t="str">
            <v>BOF DE KIP KEBAB AUFLAUF 2X400G</v>
          </cell>
          <cell r="E1070" t="str">
            <v>Bofrost DE</v>
          </cell>
          <cell r="F1070" t="str">
            <v>355mm</v>
          </cell>
          <cell r="G1070" t="str">
            <v>UK-59</v>
          </cell>
          <cell r="H1070">
            <v>365</v>
          </cell>
          <cell r="I1070">
            <v>0.8</v>
          </cell>
          <cell r="J1070" t="str">
            <v>H44</v>
          </cell>
          <cell r="K1070" t="str">
            <v>NVT</v>
          </cell>
          <cell r="L1070">
            <v>4</v>
          </cell>
          <cell r="M1070" t="str">
            <v>H44X4</v>
          </cell>
          <cell r="N1070">
            <v>91</v>
          </cell>
          <cell r="O1070">
            <v>5400870440220</v>
          </cell>
          <cell r="P1070" t="str">
            <v>I-2T-K</v>
          </cell>
          <cell r="Q1070">
            <v>2</v>
          </cell>
          <cell r="R1070">
            <v>3</v>
          </cell>
          <cell r="T1070">
            <v>1500</v>
          </cell>
          <cell r="U1070">
            <v>7</v>
          </cell>
          <cell r="V1070">
            <v>1500</v>
          </cell>
          <cell r="W1070">
            <v>7</v>
          </cell>
          <cell r="Z1070">
            <v>8.4000000000000005E-2</v>
          </cell>
          <cell r="AA1070" t="str">
            <v>! !</v>
          </cell>
          <cell r="AB1070">
            <v>13405</v>
          </cell>
          <cell r="AG1070">
            <v>34</v>
          </cell>
          <cell r="AJ1070" t="str">
            <v>-</v>
          </cell>
          <cell r="AL1070">
            <v>2040</v>
          </cell>
          <cell r="AM1070">
            <v>1500</v>
          </cell>
          <cell r="AN1070" t="e">
            <v>#VALUE!</v>
          </cell>
          <cell r="AO1070" t="e">
            <v>#VALUE!</v>
          </cell>
          <cell r="AP1070">
            <v>540</v>
          </cell>
        </row>
        <row r="1071">
          <cell r="A1071">
            <v>64410100</v>
          </cell>
          <cell r="B1071">
            <v>40277000</v>
          </cell>
          <cell r="C1071" t="str">
            <v>nvt</v>
          </cell>
          <cell r="D1071" t="str">
            <v>FITMEALS DUO EW KIP LINGUINE TERIYAKI HALAL 2X400G</v>
          </cell>
          <cell r="E1071" t="str">
            <v>FITMEALS</v>
          </cell>
          <cell r="F1071" t="str">
            <v>355mm</v>
          </cell>
          <cell r="G1071" t="str">
            <v>UK-59</v>
          </cell>
          <cell r="H1071">
            <v>548</v>
          </cell>
          <cell r="I1071">
            <v>0.8</v>
          </cell>
          <cell r="J1071" t="str">
            <v>H44</v>
          </cell>
          <cell r="K1071" t="str">
            <v>NVT</v>
          </cell>
          <cell r="L1071">
            <v>4</v>
          </cell>
          <cell r="M1071" t="str">
            <v>H44X4</v>
          </cell>
          <cell r="N1071">
            <v>91</v>
          </cell>
          <cell r="O1071" t="str">
            <v>8721249768408 </v>
          </cell>
          <cell r="P1071" t="str">
            <v>I-L-2T</v>
          </cell>
          <cell r="Q1071">
            <v>2</v>
          </cell>
          <cell r="R1071">
            <v>5</v>
          </cell>
          <cell r="T1071">
            <v>1750</v>
          </cell>
          <cell r="U1071">
            <v>7</v>
          </cell>
          <cell r="V1071">
            <v>1750</v>
          </cell>
          <cell r="W1071">
            <v>7</v>
          </cell>
          <cell r="Z1071">
            <v>0.11799999999999999</v>
          </cell>
          <cell r="AA1071" t="str">
            <v>! ! ! ! !</v>
          </cell>
          <cell r="AB1071">
            <v>13405</v>
          </cell>
          <cell r="AJ1071" t="str">
            <v>-</v>
          </cell>
          <cell r="AL1071">
            <v>0</v>
          </cell>
          <cell r="AM1071">
            <v>1750</v>
          </cell>
          <cell r="AN1071" t="e">
            <v>#VALUE!</v>
          </cell>
          <cell r="AO1071" t="e">
            <v>#VALUE!</v>
          </cell>
          <cell r="AP1071">
            <v>-1750</v>
          </cell>
        </row>
        <row r="1072">
          <cell r="A1072">
            <v>64410200</v>
          </cell>
          <cell r="B1072">
            <v>40277100</v>
          </cell>
          <cell r="C1072" t="str">
            <v>nvt</v>
          </cell>
          <cell r="D1072" t="str">
            <v>FITMEALS DUO EW KIP PASTA HALAL 2X400G</v>
          </cell>
          <cell r="E1072" t="str">
            <v>FITMEALS</v>
          </cell>
          <cell r="F1072" t="str">
            <v>355mm</v>
          </cell>
          <cell r="G1072" t="str">
            <v>UK-59</v>
          </cell>
          <cell r="H1072">
            <v>548</v>
          </cell>
          <cell r="I1072">
            <v>0.8</v>
          </cell>
          <cell r="J1072" t="str">
            <v>H44</v>
          </cell>
          <cell r="K1072" t="str">
            <v>NVT</v>
          </cell>
          <cell r="L1072">
            <v>4</v>
          </cell>
          <cell r="M1072" t="str">
            <v>H44X4</v>
          </cell>
          <cell r="N1072">
            <v>91</v>
          </cell>
          <cell r="O1072" t="str">
            <v>8721249768385 </v>
          </cell>
          <cell r="P1072" t="str">
            <v>I-L-2T</v>
          </cell>
          <cell r="Q1072">
            <v>2</v>
          </cell>
          <cell r="R1072">
            <v>5</v>
          </cell>
          <cell r="T1072">
            <v>1750</v>
          </cell>
          <cell r="U1072">
            <v>7</v>
          </cell>
          <cell r="V1072">
            <v>1750</v>
          </cell>
          <cell r="W1072">
            <v>7</v>
          </cell>
          <cell r="Z1072">
            <v>0.11799999999999999</v>
          </cell>
          <cell r="AA1072" t="str">
            <v>! !</v>
          </cell>
          <cell r="AB1072">
            <v>13405</v>
          </cell>
          <cell r="AJ1072" t="str">
            <v>-</v>
          </cell>
          <cell r="AL1072">
            <v>0</v>
          </cell>
          <cell r="AM1072">
            <v>1750</v>
          </cell>
          <cell r="AN1072" t="e">
            <v>#VALUE!</v>
          </cell>
          <cell r="AO1072" t="e">
            <v>#VALUE!</v>
          </cell>
          <cell r="AP1072">
            <v>-1750</v>
          </cell>
        </row>
        <row r="1073">
          <cell r="A1073">
            <v>64800400</v>
          </cell>
          <cell r="C1073">
            <v>80005321</v>
          </cell>
          <cell r="D1073" t="str">
            <v>2397 TULIP TFS VLEESLASAGNE 310G</v>
          </cell>
          <cell r="E1073" t="str">
            <v>Tulip</v>
          </cell>
          <cell r="F1073" t="str">
            <v>nvt</v>
          </cell>
          <cell r="G1073" t="str">
            <v>nvt</v>
          </cell>
          <cell r="H1073">
            <v>365</v>
          </cell>
          <cell r="I1073">
            <v>0.31</v>
          </cell>
          <cell r="J1073" t="str">
            <v>NVT</v>
          </cell>
          <cell r="K1073" t="str">
            <v>NVT</v>
          </cell>
          <cell r="L1073">
            <v>16</v>
          </cell>
          <cell r="M1073" t="str">
            <v>TULIP KL</v>
          </cell>
          <cell r="N1073" t="str">
            <v>96</v>
          </cell>
          <cell r="O1073">
            <v>5707196345537</v>
          </cell>
          <cell r="Q1073">
            <v>0</v>
          </cell>
          <cell r="R1073">
            <v>4</v>
          </cell>
          <cell r="T1073">
            <v>3500</v>
          </cell>
          <cell r="U1073">
            <v>8</v>
          </cell>
          <cell r="V1073">
            <v>3500</v>
          </cell>
          <cell r="W1073">
            <v>8</v>
          </cell>
          <cell r="X1073">
            <v>0</v>
          </cell>
          <cell r="Y1073">
            <v>1</v>
          </cell>
          <cell r="Z1073">
            <v>0</v>
          </cell>
          <cell r="AA1073" t="str">
            <v>! ! !</v>
          </cell>
          <cell r="AB1073">
            <v>26810</v>
          </cell>
          <cell r="AC1073">
            <v>0</v>
          </cell>
          <cell r="AJ1073" t="str">
            <v>-</v>
          </cell>
          <cell r="AL1073">
            <v>0</v>
          </cell>
          <cell r="AM1073">
            <v>3500</v>
          </cell>
          <cell r="AN1073" t="e">
            <v>#VALUE!</v>
          </cell>
          <cell r="AO1073" t="e">
            <v>#VALUE!</v>
          </cell>
          <cell r="AP1073">
            <v>-3500</v>
          </cell>
        </row>
        <row r="1074">
          <cell r="A1074">
            <v>64800700</v>
          </cell>
          <cell r="C1074">
            <v>70002525</v>
          </cell>
          <cell r="D1074" t="str">
            <v>2525 TULIP TFS AUFLAUF SPINAZIE 310G</v>
          </cell>
          <cell r="E1074" t="str">
            <v>Tulip</v>
          </cell>
          <cell r="F1074" t="str">
            <v>nvt</v>
          </cell>
          <cell r="G1074" t="str">
            <v>nvt</v>
          </cell>
          <cell r="H1074">
            <v>365</v>
          </cell>
          <cell r="I1074">
            <v>0.31</v>
          </cell>
          <cell r="J1074" t="str">
            <v>NVT</v>
          </cell>
          <cell r="K1074" t="str">
            <v>NVT</v>
          </cell>
          <cell r="L1074">
            <v>30</v>
          </cell>
          <cell r="M1074" t="str">
            <v>TULIP GR</v>
          </cell>
          <cell r="N1074" t="str">
            <v>44</v>
          </cell>
          <cell r="O1074">
            <v>5741300525255</v>
          </cell>
          <cell r="P1074" t="str">
            <v>H</v>
          </cell>
          <cell r="Q1074">
            <v>0</v>
          </cell>
          <cell r="R1074">
            <v>2</v>
          </cell>
          <cell r="T1074">
            <v>2800</v>
          </cell>
          <cell r="U1074">
            <v>8</v>
          </cell>
          <cell r="V1074">
            <v>2800</v>
          </cell>
          <cell r="W1074">
            <v>8</v>
          </cell>
          <cell r="X1074">
            <v>0</v>
          </cell>
          <cell r="Y1074">
            <v>2</v>
          </cell>
          <cell r="Z1074">
            <v>0</v>
          </cell>
          <cell r="AA1074" t="str">
            <v>! ! !</v>
          </cell>
          <cell r="AB1074">
            <v>21448</v>
          </cell>
          <cell r="AC1074">
            <v>0</v>
          </cell>
          <cell r="AJ1074" t="str">
            <v>-</v>
          </cell>
          <cell r="AL1074">
            <v>0</v>
          </cell>
          <cell r="AM1074">
            <v>2800</v>
          </cell>
          <cell r="AN1074" t="e">
            <v>#VALUE!</v>
          </cell>
          <cell r="AO1074" t="e">
            <v>#VALUE!</v>
          </cell>
          <cell r="AP1074">
            <v>-2800</v>
          </cell>
        </row>
        <row r="1075">
          <cell r="A1075">
            <v>64800900</v>
          </cell>
          <cell r="C1075">
            <v>70002539</v>
          </cell>
          <cell r="D1075" t="str">
            <v>2539 TULIP TFS LASAGNE BOLOGNAISE MET BECHAMEL 310G</v>
          </cell>
          <cell r="E1075" t="str">
            <v>Tulip</v>
          </cell>
          <cell r="F1075" t="str">
            <v>nvt</v>
          </cell>
          <cell r="G1075" t="str">
            <v>nvt</v>
          </cell>
          <cell r="H1075">
            <v>365</v>
          </cell>
          <cell r="I1075">
            <v>0.31</v>
          </cell>
          <cell r="J1075" t="str">
            <v>NVT</v>
          </cell>
          <cell r="K1075" t="str">
            <v>NVT</v>
          </cell>
          <cell r="L1075">
            <v>16</v>
          </cell>
          <cell r="M1075" t="str">
            <v>TULIP KL</v>
          </cell>
          <cell r="N1075" t="str">
            <v>96</v>
          </cell>
          <cell r="O1075">
            <v>5741300525392</v>
          </cell>
          <cell r="Q1075">
            <v>0</v>
          </cell>
          <cell r="R1075">
            <v>4</v>
          </cell>
          <cell r="T1075">
            <v>3500</v>
          </cell>
          <cell r="U1075">
            <v>8</v>
          </cell>
          <cell r="V1075">
            <v>3500</v>
          </cell>
          <cell r="W1075">
            <v>8</v>
          </cell>
          <cell r="X1075">
            <v>0</v>
          </cell>
          <cell r="Y1075">
            <v>0</v>
          </cell>
          <cell r="Z1075">
            <v>0</v>
          </cell>
          <cell r="AA1075" t="str">
            <v>! ! !</v>
          </cell>
          <cell r="AB1075">
            <v>26810</v>
          </cell>
          <cell r="AC1075">
            <v>0</v>
          </cell>
          <cell r="AJ1075" t="str">
            <v>-</v>
          </cell>
          <cell r="AL1075">
            <v>0</v>
          </cell>
          <cell r="AM1075">
            <v>3500</v>
          </cell>
          <cell r="AN1075" t="e">
            <v>#VALUE!</v>
          </cell>
          <cell r="AO1075" t="e">
            <v>#VALUE!</v>
          </cell>
          <cell r="AP1075">
            <v>-3500</v>
          </cell>
        </row>
        <row r="1076">
          <cell r="A1076">
            <v>64801000</v>
          </cell>
          <cell r="C1076">
            <v>70005048</v>
          </cell>
          <cell r="D1076" t="str">
            <v>5048 TULIP TFS LASAGNE BOLOGNAISE 310G</v>
          </cell>
          <cell r="E1076" t="str">
            <v>Tulip</v>
          </cell>
          <cell r="F1076" t="str">
            <v>nvt</v>
          </cell>
          <cell r="G1076" t="str">
            <v>nvt</v>
          </cell>
          <cell r="H1076">
            <v>365</v>
          </cell>
          <cell r="I1076">
            <v>0.31</v>
          </cell>
          <cell r="J1076" t="str">
            <v>NVT</v>
          </cell>
          <cell r="K1076" t="str">
            <v>NVT</v>
          </cell>
          <cell r="L1076">
            <v>16</v>
          </cell>
          <cell r="M1076" t="str">
            <v>TULIP KL</v>
          </cell>
          <cell r="N1076" t="str">
            <v>128</v>
          </cell>
          <cell r="O1076">
            <v>5741300550486</v>
          </cell>
          <cell r="Q1076">
            <v>0</v>
          </cell>
          <cell r="R1076">
            <v>4</v>
          </cell>
          <cell r="S1076" t="str">
            <v>receptuur idem aan 64801100</v>
          </cell>
          <cell r="T1076">
            <v>3500</v>
          </cell>
          <cell r="U1076">
            <v>8</v>
          </cell>
          <cell r="V1076">
            <v>3500</v>
          </cell>
          <cell r="W1076">
            <v>8</v>
          </cell>
          <cell r="X1076">
            <v>0</v>
          </cell>
          <cell r="Y1076">
            <v>0</v>
          </cell>
          <cell r="Z1076">
            <v>0</v>
          </cell>
          <cell r="AA1076" t="str">
            <v>! ! !</v>
          </cell>
          <cell r="AB1076">
            <v>26810</v>
          </cell>
          <cell r="AC1076">
            <v>0</v>
          </cell>
          <cell r="AJ1076" t="str">
            <v>-</v>
          </cell>
          <cell r="AL1076">
            <v>0</v>
          </cell>
          <cell r="AM1076">
            <v>3500</v>
          </cell>
          <cell r="AN1076" t="e">
            <v>#VALUE!</v>
          </cell>
          <cell r="AO1076" t="e">
            <v>#VALUE!</v>
          </cell>
          <cell r="AP1076">
            <v>-3500</v>
          </cell>
        </row>
        <row r="1077">
          <cell r="A1077">
            <v>64810000</v>
          </cell>
          <cell r="D1077" t="str">
            <v>FS LASAGNE BOLOGNAISE 310G</v>
          </cell>
          <cell r="E1077" t="str">
            <v>DMB, lasagne</v>
          </cell>
          <cell r="F1077" t="str">
            <v>nvt</v>
          </cell>
          <cell r="G1077" t="str">
            <v>nvt</v>
          </cell>
          <cell r="H1077">
            <v>456</v>
          </cell>
          <cell r="I1077">
            <v>0.31</v>
          </cell>
          <cell r="J1077" t="str">
            <v>NVT</v>
          </cell>
          <cell r="K1077" t="str">
            <v>NVT</v>
          </cell>
          <cell r="L1077">
            <v>16</v>
          </cell>
          <cell r="M1077" t="str">
            <v>TULIP KL</v>
          </cell>
          <cell r="N1077" t="str">
            <v>176</v>
          </cell>
          <cell r="O1077">
            <v>5410953481002</v>
          </cell>
          <cell r="Q1077">
            <v>0</v>
          </cell>
          <cell r="R1077">
            <v>4</v>
          </cell>
          <cell r="S1077" t="str">
            <v>idem 64800900</v>
          </cell>
          <cell r="T1077">
            <v>3500</v>
          </cell>
          <cell r="U1077">
            <v>8</v>
          </cell>
          <cell r="V1077">
            <v>3500</v>
          </cell>
          <cell r="W1077">
            <v>8</v>
          </cell>
          <cell r="X1077">
            <v>0</v>
          </cell>
          <cell r="Y1077">
            <v>0</v>
          </cell>
          <cell r="Z1077">
            <v>0.12</v>
          </cell>
          <cell r="AA1077" t="str">
            <v>! ! !</v>
          </cell>
          <cell r="AC1077">
            <v>0</v>
          </cell>
          <cell r="AJ1077" t="str">
            <v>-</v>
          </cell>
          <cell r="AL1077">
            <v>0</v>
          </cell>
          <cell r="AM1077">
            <v>3500</v>
          </cell>
          <cell r="AN1077" t="e">
            <v>#VALUE!</v>
          </cell>
          <cell r="AO1077" t="e">
            <v>#VALUE!</v>
          </cell>
          <cell r="AP1077">
            <v>-3500</v>
          </cell>
        </row>
        <row r="1078">
          <cell r="A1078">
            <v>64810100</v>
          </cell>
          <cell r="D1078" t="str">
            <v>FS LASAGNE BOLOGNAISE 400G</v>
          </cell>
          <cell r="E1078" t="str">
            <v>DMB, lasagne</v>
          </cell>
          <cell r="F1078" t="str">
            <v>nvt</v>
          </cell>
          <cell r="G1078" t="str">
            <v>nvt</v>
          </cell>
          <cell r="H1078">
            <v>456</v>
          </cell>
          <cell r="I1078">
            <v>0.4</v>
          </cell>
          <cell r="J1078" t="str">
            <v>NVT</v>
          </cell>
          <cell r="K1078" t="str">
            <v>NVT</v>
          </cell>
          <cell r="L1078">
            <v>18</v>
          </cell>
          <cell r="M1078" t="str">
            <v>TULIP GR</v>
          </cell>
          <cell r="N1078" t="str">
            <v>88</v>
          </cell>
          <cell r="O1078">
            <v>5410953481019</v>
          </cell>
          <cell r="Q1078">
            <v>0</v>
          </cell>
          <cell r="R1078">
            <v>4</v>
          </cell>
          <cell r="T1078">
            <v>2800</v>
          </cell>
          <cell r="U1078">
            <v>8</v>
          </cell>
          <cell r="V1078">
            <v>2800</v>
          </cell>
          <cell r="W1078">
            <v>8</v>
          </cell>
          <cell r="X1078">
            <v>0</v>
          </cell>
          <cell r="Y1078">
            <v>0</v>
          </cell>
          <cell r="Z1078">
            <v>0.11</v>
          </cell>
          <cell r="AA1078" t="str">
            <v>! ! !</v>
          </cell>
          <cell r="AC1078">
            <v>0</v>
          </cell>
          <cell r="AJ1078" t="str">
            <v>V-A</v>
          </cell>
          <cell r="AL1078">
            <v>0</v>
          </cell>
          <cell r="AM1078">
            <v>2800</v>
          </cell>
          <cell r="AN1078" t="e">
            <v>#VALUE!</v>
          </cell>
          <cell r="AO1078" t="e">
            <v>#VALUE!</v>
          </cell>
          <cell r="AP1078">
            <v>-2800</v>
          </cell>
        </row>
        <row r="1079">
          <cell r="A1079">
            <v>64820100</v>
          </cell>
          <cell r="C1079">
            <v>124362</v>
          </cell>
          <cell r="D1079" t="str">
            <v>EAT CASPER LASAGNE CLASSIC 450G</v>
          </cell>
          <cell r="E1079" t="str">
            <v>Casper</v>
          </cell>
          <cell r="F1079" t="str">
            <v>nvt</v>
          </cell>
          <cell r="G1079" t="str">
            <v>nvt</v>
          </cell>
          <cell r="H1079">
            <v>365</v>
          </cell>
          <cell r="I1079">
            <v>0.45</v>
          </cell>
          <cell r="J1079" t="str">
            <v>NVT</v>
          </cell>
          <cell r="K1079" t="str">
            <v>NVT</v>
          </cell>
          <cell r="L1079">
            <v>18</v>
          </cell>
          <cell r="M1079" t="str">
            <v>TULIP GR</v>
          </cell>
          <cell r="N1079" t="str">
            <v>88</v>
          </cell>
          <cell r="O1079">
            <v>5400870482015</v>
          </cell>
          <cell r="Q1079">
            <v>0</v>
          </cell>
          <cell r="R1079">
            <v>4</v>
          </cell>
          <cell r="T1079">
            <v>2450</v>
          </cell>
          <cell r="U1079">
            <v>8</v>
          </cell>
          <cell r="V1079">
            <v>2450</v>
          </cell>
          <cell r="W1079">
            <v>8</v>
          </cell>
          <cell r="X1079">
            <v>0</v>
          </cell>
          <cell r="Y1079">
            <v>0</v>
          </cell>
          <cell r="Z1079">
            <v>0.02</v>
          </cell>
          <cell r="AA1079" t="str">
            <v>! ! !</v>
          </cell>
          <cell r="AB1079">
            <v>6491</v>
          </cell>
          <cell r="AC1079">
            <v>0</v>
          </cell>
          <cell r="AJ1079" t="str">
            <v>V-A</v>
          </cell>
          <cell r="AL1079">
            <v>0</v>
          </cell>
          <cell r="AM1079">
            <v>2450</v>
          </cell>
          <cell r="AN1079" t="e">
            <v>#VALUE!</v>
          </cell>
          <cell r="AO1079" t="e">
            <v>#VALUE!</v>
          </cell>
          <cell r="AP1079">
            <v>-2450</v>
          </cell>
        </row>
        <row r="1080">
          <cell r="A1080">
            <v>64820200</v>
          </cell>
          <cell r="C1080">
            <v>124363</v>
          </cell>
          <cell r="D1080" t="str">
            <v>EAT CASPER LASAGNE HOLY GRAIL 450G</v>
          </cell>
          <cell r="E1080" t="str">
            <v>Casper</v>
          </cell>
          <cell r="F1080" t="str">
            <v>nvt</v>
          </cell>
          <cell r="G1080" t="str">
            <v>nvt</v>
          </cell>
          <cell r="H1080">
            <v>365</v>
          </cell>
          <cell r="I1080">
            <v>0.45</v>
          </cell>
          <cell r="J1080" t="str">
            <v>NVT</v>
          </cell>
          <cell r="K1080" t="str">
            <v>NVT</v>
          </cell>
          <cell r="L1080">
            <v>18</v>
          </cell>
          <cell r="M1080" t="str">
            <v>TULIP GR</v>
          </cell>
          <cell r="N1080" t="str">
            <v>88</v>
          </cell>
          <cell r="O1080">
            <v>5400870482022</v>
          </cell>
          <cell r="Q1080">
            <v>0</v>
          </cell>
          <cell r="R1080">
            <v>4</v>
          </cell>
          <cell r="T1080">
            <v>2450</v>
          </cell>
          <cell r="U1080">
            <v>8</v>
          </cell>
          <cell r="V1080">
            <v>2450</v>
          </cell>
          <cell r="W1080">
            <v>8</v>
          </cell>
          <cell r="X1080">
            <v>0</v>
          </cell>
          <cell r="Y1080">
            <v>0</v>
          </cell>
          <cell r="Z1080">
            <v>0.02</v>
          </cell>
          <cell r="AA1080" t="str">
            <v>! ! !</v>
          </cell>
          <cell r="AB1080">
            <v>6491</v>
          </cell>
          <cell r="AC1080">
            <v>0</v>
          </cell>
          <cell r="AJ1080" t="str">
            <v>V-A</v>
          </cell>
          <cell r="AL1080">
            <v>0</v>
          </cell>
          <cell r="AM1080">
            <v>2450</v>
          </cell>
          <cell r="AN1080" t="e">
            <v>#VALUE!</v>
          </cell>
          <cell r="AO1080" t="e">
            <v>#VALUE!</v>
          </cell>
          <cell r="AP1080">
            <v>-2450</v>
          </cell>
        </row>
        <row r="1081">
          <cell r="A1081">
            <v>64820300</v>
          </cell>
          <cell r="C1081">
            <v>127041</v>
          </cell>
          <cell r="D1081" t="str">
            <v>EAT CASPER VEGETARISCHE LASAGNE BOLOGNAISE  450G</v>
          </cell>
          <cell r="E1081" t="str">
            <v>Casper</v>
          </cell>
          <cell r="F1081" t="str">
            <v>nvt</v>
          </cell>
          <cell r="G1081" t="str">
            <v>nvt</v>
          </cell>
          <cell r="H1081">
            <v>456</v>
          </cell>
          <cell r="I1081">
            <v>0.45</v>
          </cell>
          <cell r="J1081" t="str">
            <v>NVT</v>
          </cell>
          <cell r="K1081" t="str">
            <v>NVT</v>
          </cell>
          <cell r="L1081">
            <v>18</v>
          </cell>
          <cell r="M1081" t="str">
            <v>TULIP GR</v>
          </cell>
          <cell r="N1081" t="str">
            <v>88</v>
          </cell>
          <cell r="O1081">
            <v>5400870482039</v>
          </cell>
          <cell r="Q1081">
            <v>0</v>
          </cell>
          <cell r="R1081">
            <v>4</v>
          </cell>
          <cell r="T1081">
            <v>2450</v>
          </cell>
          <cell r="U1081">
            <v>8</v>
          </cell>
          <cell r="V1081">
            <v>2450</v>
          </cell>
          <cell r="W1081">
            <v>8</v>
          </cell>
          <cell r="X1081">
            <v>0</v>
          </cell>
          <cell r="Y1081">
            <v>0</v>
          </cell>
          <cell r="Z1081">
            <v>0.02</v>
          </cell>
          <cell r="AA1081" t="str">
            <v>! ! !</v>
          </cell>
          <cell r="AC1081">
            <v>0</v>
          </cell>
          <cell r="AJ1081" t="str">
            <v>-</v>
          </cell>
          <cell r="AL1081">
            <v>0</v>
          </cell>
          <cell r="AM1081">
            <v>2450</v>
          </cell>
          <cell r="AN1081" t="e">
            <v>#VALUE!</v>
          </cell>
          <cell r="AO1081" t="e">
            <v>#VALUE!</v>
          </cell>
          <cell r="AP1081">
            <v>-2450</v>
          </cell>
        </row>
        <row r="1082">
          <cell r="A1082">
            <v>64850900</v>
          </cell>
          <cell r="D1082" t="str">
            <v>FS LASAGNE BOLOGNAISE MET BECHAMEL 5KG</v>
          </cell>
          <cell r="E1082" t="str">
            <v xml:space="preserve">resten </v>
          </cell>
          <cell r="F1082" t="str">
            <v>nvt</v>
          </cell>
          <cell r="G1082" t="str">
            <v>nvt</v>
          </cell>
          <cell r="O1082">
            <v>5410953485093</v>
          </cell>
          <cell r="AA1082" t="str">
            <v>! ! !</v>
          </cell>
          <cell r="AC1082">
            <v>0</v>
          </cell>
          <cell r="AJ1082" t="str">
            <v>-</v>
          </cell>
          <cell r="AL1082">
            <v>0</v>
          </cell>
          <cell r="AM1082">
            <v>0</v>
          </cell>
          <cell r="AN1082" t="e">
            <v>#VALUE!</v>
          </cell>
          <cell r="AO1082" t="str">
            <v/>
          </cell>
          <cell r="AP1082">
            <v>0</v>
          </cell>
        </row>
        <row r="1083">
          <cell r="A1083">
            <v>65010100</v>
          </cell>
          <cell r="B1083">
            <v>40233700</v>
          </cell>
          <cell r="D1083" t="str">
            <v>ANUR HALAL SPAGHETTI BOLOGNAISE 450G</v>
          </cell>
          <cell r="E1083" t="str">
            <v>Anur</v>
          </cell>
          <cell r="F1083" t="str">
            <v>40337900 COVIPEEL 32 400 MM</v>
          </cell>
          <cell r="G1083" t="str">
            <v>C2176-1A EVOLVE</v>
          </cell>
          <cell r="H1083">
            <v>456</v>
          </cell>
          <cell r="I1083">
            <v>0.45</v>
          </cell>
          <cell r="J1083" t="str">
            <v>H29</v>
          </cell>
          <cell r="K1083" t="str">
            <v>NVT</v>
          </cell>
          <cell r="L1083">
            <v>10</v>
          </cell>
          <cell r="M1083" t="str">
            <v>H29x10</v>
          </cell>
          <cell r="N1083" t="str">
            <v>72</v>
          </cell>
          <cell r="S1083" t="str">
            <v>COVIPEEL-ipeelcoiu</v>
          </cell>
          <cell r="Z1083">
            <v>0</v>
          </cell>
          <cell r="AA1083" t="str">
            <v>! ! !</v>
          </cell>
          <cell r="AB1083">
            <v>3000</v>
          </cell>
          <cell r="AJ1083" t="str">
            <v>-</v>
          </cell>
          <cell r="AL1083">
            <v>0</v>
          </cell>
          <cell r="AM1083">
            <v>0</v>
          </cell>
          <cell r="AN1083" t="e">
            <v>#VALUE!</v>
          </cell>
          <cell r="AO1083" t="str">
            <v/>
          </cell>
          <cell r="AP1083">
            <v>0</v>
          </cell>
        </row>
        <row r="1084">
          <cell r="A1084">
            <v>65010200</v>
          </cell>
          <cell r="B1084">
            <v>40233800</v>
          </cell>
          <cell r="C1084" t="str">
            <v>G400.10</v>
          </cell>
          <cell r="D1084" t="str">
            <v>ANUR HALAL KIP STOOFPOT COUSCOUS 450G</v>
          </cell>
          <cell r="E1084" t="str">
            <v>Anur</v>
          </cell>
          <cell r="F1084" t="str">
            <v>40337900 COVIPEEL 32 400 MM</v>
          </cell>
          <cell r="G1084" t="str">
            <v>C2176-1A EVOLVE</v>
          </cell>
          <cell r="H1084">
            <v>456</v>
          </cell>
          <cell r="I1084">
            <v>0.45</v>
          </cell>
          <cell r="J1084" t="str">
            <v>H29</v>
          </cell>
          <cell r="K1084" t="str">
            <v>NVT</v>
          </cell>
          <cell r="L1084">
            <v>10</v>
          </cell>
          <cell r="M1084" t="str">
            <v>H29x10</v>
          </cell>
          <cell r="N1084" t="str">
            <v>72</v>
          </cell>
          <cell r="O1084">
            <v>8718337400104</v>
          </cell>
          <cell r="P1084" t="str">
            <v>I-M-2T</v>
          </cell>
          <cell r="Q1084">
            <v>3</v>
          </cell>
          <cell r="R1084">
            <v>5</v>
          </cell>
          <cell r="S1084" t="str">
            <v>abrikozen wellen D-1</v>
          </cell>
          <cell r="T1084">
            <v>3200</v>
          </cell>
          <cell r="U1084">
            <v>11</v>
          </cell>
          <cell r="V1084">
            <v>3200</v>
          </cell>
          <cell r="W1084">
            <v>11</v>
          </cell>
          <cell r="X1084">
            <v>0</v>
          </cell>
          <cell r="Y1084">
            <v>0</v>
          </cell>
          <cell r="Z1084">
            <v>0</v>
          </cell>
          <cell r="AA1084" t="str">
            <v>! ! ! ! !</v>
          </cell>
          <cell r="AB1084">
            <v>3000</v>
          </cell>
          <cell r="AC1084">
            <v>0</v>
          </cell>
          <cell r="AG1084">
            <v>64</v>
          </cell>
          <cell r="AJ1084" t="str">
            <v>-</v>
          </cell>
          <cell r="AL1084">
            <v>3840</v>
          </cell>
          <cell r="AM1084">
            <v>3200</v>
          </cell>
          <cell r="AN1084" t="e">
            <v>#VALUE!</v>
          </cell>
          <cell r="AO1084" t="e">
            <v>#VALUE!</v>
          </cell>
          <cell r="AP1084">
            <v>640</v>
          </cell>
        </row>
        <row r="1085">
          <cell r="A1085">
            <v>65010300</v>
          </cell>
          <cell r="B1085">
            <v>40233900</v>
          </cell>
          <cell r="C1085" t="str">
            <v>G400.13</v>
          </cell>
          <cell r="D1085" t="str">
            <v>ANUR HALAL IZMIR KOFTE BULGUR 450G</v>
          </cell>
          <cell r="E1085" t="str">
            <v>Anur</v>
          </cell>
          <cell r="F1085" t="str">
            <v>40337900 COVIPEEL 32 400 MM</v>
          </cell>
          <cell r="G1085" t="str">
            <v>C2176-1A EVOLVE</v>
          </cell>
          <cell r="H1085">
            <v>456</v>
          </cell>
          <cell r="I1085">
            <v>0.45</v>
          </cell>
          <cell r="J1085" t="str">
            <v>H29</v>
          </cell>
          <cell r="K1085" t="str">
            <v>NVT</v>
          </cell>
          <cell r="L1085">
            <v>10</v>
          </cell>
          <cell r="M1085" t="str">
            <v>H29x10</v>
          </cell>
          <cell r="N1085" t="str">
            <v>72</v>
          </cell>
          <cell r="O1085">
            <v>8718337400135</v>
          </cell>
          <cell r="P1085" t="str">
            <v>M-2T</v>
          </cell>
          <cell r="Q1085">
            <v>2</v>
          </cell>
          <cell r="R1085">
            <v>5</v>
          </cell>
          <cell r="S1085" t="str">
            <v>bulgur D-1</v>
          </cell>
          <cell r="T1085">
            <v>3200</v>
          </cell>
          <cell r="U1085">
            <v>10</v>
          </cell>
          <cell r="V1085">
            <v>3200</v>
          </cell>
          <cell r="W1085">
            <v>10</v>
          </cell>
          <cell r="X1085">
            <v>0</v>
          </cell>
          <cell r="Y1085">
            <v>0</v>
          </cell>
          <cell r="Z1085">
            <v>0</v>
          </cell>
          <cell r="AA1085" t="str">
            <v>! ! !</v>
          </cell>
          <cell r="AB1085">
            <v>3000</v>
          </cell>
          <cell r="AC1085">
            <v>0</v>
          </cell>
          <cell r="AG1085">
            <v>64</v>
          </cell>
          <cell r="AJ1085" t="str">
            <v>-</v>
          </cell>
          <cell r="AL1085">
            <v>3840</v>
          </cell>
          <cell r="AM1085">
            <v>3200</v>
          </cell>
          <cell r="AN1085" t="e">
            <v>#VALUE!</v>
          </cell>
          <cell r="AO1085" t="e">
            <v>#VALUE!</v>
          </cell>
          <cell r="AP1085">
            <v>640</v>
          </cell>
        </row>
        <row r="1086">
          <cell r="A1086">
            <v>65010400</v>
          </cell>
          <cell r="B1086">
            <v>40234000</v>
          </cell>
          <cell r="C1086" t="str">
            <v>G400.12</v>
          </cell>
          <cell r="D1086" t="str">
            <v>ANUR HALAL ADANA KEBAB BULGUR 450G</v>
          </cell>
          <cell r="E1086" t="str">
            <v>Anur</v>
          </cell>
          <cell r="F1086" t="str">
            <v>40337900 COVIPEEL 32 400 MM</v>
          </cell>
          <cell r="G1086" t="str">
            <v>C2176-1A EVOLVE</v>
          </cell>
          <cell r="H1086">
            <v>456</v>
          </cell>
          <cell r="I1086">
            <v>0.45</v>
          </cell>
          <cell r="J1086" t="str">
            <v>H29</v>
          </cell>
          <cell r="K1086" t="str">
            <v>NVT</v>
          </cell>
          <cell r="L1086">
            <v>10</v>
          </cell>
          <cell r="M1086" t="str">
            <v>H29x10</v>
          </cell>
          <cell r="N1086" t="str">
            <v>72</v>
          </cell>
          <cell r="O1086">
            <v>8718337400128</v>
          </cell>
          <cell r="P1086" t="str">
            <v>M-2T</v>
          </cell>
          <cell r="Q1086">
            <v>2</v>
          </cell>
          <cell r="R1086">
            <v>5</v>
          </cell>
          <cell r="S1086" t="str">
            <v>bulgur D-1</v>
          </cell>
          <cell r="T1086">
            <v>3200</v>
          </cell>
          <cell r="U1086">
            <v>10</v>
          </cell>
          <cell r="V1086">
            <v>3200</v>
          </cell>
          <cell r="W1086">
            <v>10</v>
          </cell>
          <cell r="X1086">
            <v>0</v>
          </cell>
          <cell r="Y1086">
            <v>0</v>
          </cell>
          <cell r="Z1086">
            <v>0</v>
          </cell>
          <cell r="AA1086" t="str">
            <v>! !</v>
          </cell>
          <cell r="AB1086">
            <v>3000</v>
          </cell>
          <cell r="AC1086">
            <v>0</v>
          </cell>
          <cell r="AG1086">
            <v>64</v>
          </cell>
          <cell r="AJ1086" t="str">
            <v>-</v>
          </cell>
          <cell r="AL1086">
            <v>3840</v>
          </cell>
          <cell r="AM1086">
            <v>3200</v>
          </cell>
          <cell r="AN1086" t="e">
            <v>#VALUE!</v>
          </cell>
          <cell r="AO1086" t="e">
            <v>#VALUE!</v>
          </cell>
          <cell r="AP1086">
            <v>640</v>
          </cell>
        </row>
        <row r="1087">
          <cell r="A1087">
            <v>65020100</v>
          </cell>
          <cell r="B1087">
            <v>40234100</v>
          </cell>
          <cell r="C1087" t="str">
            <v>V9611</v>
          </cell>
          <cell r="D1087" t="str">
            <v>WAHID HALAL SPAGHETTI BOLOGNAISE 450G</v>
          </cell>
          <cell r="E1087" t="str">
            <v>Anur</v>
          </cell>
          <cell r="F1087" t="str">
            <v>40337900 COVIPEEL 32 400 MM</v>
          </cell>
          <cell r="G1087" t="str">
            <v>C2176-1A EVOLVE</v>
          </cell>
          <cell r="H1087">
            <v>456</v>
          </cell>
          <cell r="I1087">
            <v>0.45</v>
          </cell>
          <cell r="J1087" t="str">
            <v>H29</v>
          </cell>
          <cell r="K1087" t="str">
            <v>NVT</v>
          </cell>
          <cell r="L1087">
            <v>10</v>
          </cell>
          <cell r="M1087" t="str">
            <v>H29x10</v>
          </cell>
          <cell r="N1087" t="str">
            <v>72</v>
          </cell>
          <cell r="O1087">
            <v>8718337096116</v>
          </cell>
          <cell r="S1087" t="str">
            <v>COVIPEEL-ipeelcoiu</v>
          </cell>
          <cell r="Z1087">
            <v>0</v>
          </cell>
          <cell r="AA1087" t="str">
            <v>! ! !</v>
          </cell>
          <cell r="AB1087">
            <v>3000</v>
          </cell>
          <cell r="AJ1087" t="str">
            <v>-</v>
          </cell>
          <cell r="AL1087">
            <v>0</v>
          </cell>
          <cell r="AM1087">
            <v>0</v>
          </cell>
          <cell r="AN1087" t="e">
            <v>#VALUE!</v>
          </cell>
          <cell r="AO1087" t="str">
            <v/>
          </cell>
          <cell r="AP1087">
            <v>0</v>
          </cell>
        </row>
        <row r="1088">
          <cell r="A1088">
            <v>65020200</v>
          </cell>
          <cell r="B1088">
            <v>40234200</v>
          </cell>
          <cell r="C1088" t="str">
            <v>V9610</v>
          </cell>
          <cell r="D1088" t="str">
            <v>WAHID HALAL KIP STOOFPOT COUSCOUS 450G</v>
          </cell>
          <cell r="E1088" t="str">
            <v>Anur</v>
          </cell>
          <cell r="F1088" t="str">
            <v>40337900 COVIPEEL 32 400 MM</v>
          </cell>
          <cell r="G1088" t="str">
            <v>C2176-1A EVOLVE</v>
          </cell>
          <cell r="H1088">
            <v>456</v>
          </cell>
          <cell r="I1088">
            <v>0.45</v>
          </cell>
          <cell r="J1088" t="str">
            <v>H29</v>
          </cell>
          <cell r="K1088" t="str">
            <v>NVT</v>
          </cell>
          <cell r="L1088">
            <v>10</v>
          </cell>
          <cell r="M1088" t="str">
            <v>H29x10</v>
          </cell>
          <cell r="N1088" t="str">
            <v>72</v>
          </cell>
          <cell r="O1088">
            <v>8718337096109</v>
          </cell>
          <cell r="P1088" t="str">
            <v>I-M-2T</v>
          </cell>
          <cell r="Q1088">
            <v>3</v>
          </cell>
          <cell r="R1088">
            <v>5</v>
          </cell>
          <cell r="S1088" t="str">
            <v>abrikozen wellen D-1</v>
          </cell>
          <cell r="T1088">
            <v>3200</v>
          </cell>
          <cell r="U1088">
            <v>11</v>
          </cell>
          <cell r="V1088">
            <v>3200</v>
          </cell>
          <cell r="W1088">
            <v>11</v>
          </cell>
          <cell r="X1088">
            <v>0</v>
          </cell>
          <cell r="Y1088">
            <v>0</v>
          </cell>
          <cell r="Z1088">
            <v>0</v>
          </cell>
          <cell r="AA1088" t="str">
            <v>! ! ! ! !</v>
          </cell>
          <cell r="AB1088">
            <v>3000</v>
          </cell>
          <cell r="AC1088">
            <v>0</v>
          </cell>
          <cell r="AG1088">
            <v>64</v>
          </cell>
          <cell r="AJ1088" t="str">
            <v>-</v>
          </cell>
          <cell r="AL1088">
            <v>3840</v>
          </cell>
          <cell r="AM1088">
            <v>3200</v>
          </cell>
          <cell r="AN1088" t="e">
            <v>#VALUE!</v>
          </cell>
          <cell r="AO1088" t="e">
            <v>#VALUE!</v>
          </cell>
          <cell r="AP1088">
            <v>640</v>
          </cell>
        </row>
        <row r="1089">
          <cell r="A1089">
            <v>65020300</v>
          </cell>
          <cell r="B1089">
            <v>40234400</v>
          </cell>
          <cell r="C1089" t="str">
            <v>V9613</v>
          </cell>
          <cell r="D1089" t="str">
            <v>WAHID HALAL IZMIR KOFTE BULGUR 450G</v>
          </cell>
          <cell r="E1089" t="str">
            <v>Anur</v>
          </cell>
          <cell r="F1089" t="str">
            <v>40337900 COVIPEEL 32 400 MM</v>
          </cell>
          <cell r="G1089" t="str">
            <v>C2176-1A EVOLVE</v>
          </cell>
          <cell r="H1089">
            <v>456</v>
          </cell>
          <cell r="I1089">
            <v>0.45</v>
          </cell>
          <cell r="J1089" t="str">
            <v>H29</v>
          </cell>
          <cell r="K1089" t="str">
            <v>NVT</v>
          </cell>
          <cell r="L1089">
            <v>10</v>
          </cell>
          <cell r="M1089" t="str">
            <v>H29x10</v>
          </cell>
          <cell r="N1089" t="str">
            <v>72</v>
          </cell>
          <cell r="O1089">
            <v>8718337096130</v>
          </cell>
          <cell r="P1089" t="str">
            <v>M-2T</v>
          </cell>
          <cell r="Q1089">
            <v>2</v>
          </cell>
          <cell r="R1089">
            <v>5</v>
          </cell>
          <cell r="S1089" t="str">
            <v>bulgur D-1</v>
          </cell>
          <cell r="T1089">
            <v>3200</v>
          </cell>
          <cell r="U1089">
            <v>10</v>
          </cell>
          <cell r="V1089">
            <v>3200</v>
          </cell>
          <cell r="W1089">
            <v>10</v>
          </cell>
          <cell r="X1089">
            <v>0</v>
          </cell>
          <cell r="Y1089">
            <v>0</v>
          </cell>
          <cell r="Z1089">
            <v>0</v>
          </cell>
          <cell r="AA1089" t="str">
            <v>! ! !</v>
          </cell>
          <cell r="AB1089">
            <v>3000</v>
          </cell>
          <cell r="AC1089">
            <v>0</v>
          </cell>
          <cell r="AG1089">
            <v>64</v>
          </cell>
          <cell r="AJ1089" t="str">
            <v>-</v>
          </cell>
          <cell r="AL1089">
            <v>3840</v>
          </cell>
          <cell r="AM1089">
            <v>3200</v>
          </cell>
          <cell r="AN1089" t="e">
            <v>#VALUE!</v>
          </cell>
          <cell r="AO1089" t="e">
            <v>#VALUE!</v>
          </cell>
          <cell r="AP1089">
            <v>640</v>
          </cell>
        </row>
        <row r="1090">
          <cell r="A1090">
            <v>65020400</v>
          </cell>
          <cell r="B1090">
            <v>40234500</v>
          </cell>
          <cell r="C1090" t="str">
            <v>V9612</v>
          </cell>
          <cell r="D1090" t="str">
            <v>WAHID HALAL ADANA KEBAB BULGUR 450G</v>
          </cell>
          <cell r="E1090" t="str">
            <v>Anur</v>
          </cell>
          <cell r="F1090" t="str">
            <v>40337900 COVIPEEL 32 400 MM</v>
          </cell>
          <cell r="G1090" t="str">
            <v>C2176-1A EVOLVE</v>
          </cell>
          <cell r="H1090">
            <v>456</v>
          </cell>
          <cell r="I1090">
            <v>0.45</v>
          </cell>
          <cell r="J1090" t="str">
            <v>H29</v>
          </cell>
          <cell r="K1090" t="str">
            <v>NVT</v>
          </cell>
          <cell r="L1090">
            <v>10</v>
          </cell>
          <cell r="M1090" t="str">
            <v>H29x10</v>
          </cell>
          <cell r="N1090" t="str">
            <v>72</v>
          </cell>
          <cell r="O1090">
            <v>8718337096123</v>
          </cell>
          <cell r="P1090" t="str">
            <v>M-2T</v>
          </cell>
          <cell r="Q1090">
            <v>2</v>
          </cell>
          <cell r="R1090">
            <v>5</v>
          </cell>
          <cell r="S1090" t="str">
            <v>bulgur D-1</v>
          </cell>
          <cell r="T1090">
            <v>3200</v>
          </cell>
          <cell r="U1090">
            <v>10</v>
          </cell>
          <cell r="V1090">
            <v>3200</v>
          </cell>
          <cell r="W1090">
            <v>10</v>
          </cell>
          <cell r="X1090">
            <v>0</v>
          </cell>
          <cell r="Y1090">
            <v>0</v>
          </cell>
          <cell r="Z1090">
            <v>0</v>
          </cell>
          <cell r="AA1090" t="str">
            <v>! !</v>
          </cell>
          <cell r="AB1090">
            <v>3000</v>
          </cell>
          <cell r="AC1090">
            <v>0</v>
          </cell>
          <cell r="AG1090">
            <v>64</v>
          </cell>
          <cell r="AJ1090" t="str">
            <v>-</v>
          </cell>
          <cell r="AL1090">
            <v>3840</v>
          </cell>
          <cell r="AM1090">
            <v>3200</v>
          </cell>
          <cell r="AN1090" t="e">
            <v>#VALUE!</v>
          </cell>
          <cell r="AO1090" t="e">
            <v>#VALUE!</v>
          </cell>
          <cell r="AP1090">
            <v>640</v>
          </cell>
        </row>
        <row r="1091">
          <cell r="A1091">
            <v>65040000</v>
          </cell>
          <cell r="B1091">
            <v>40283600</v>
          </cell>
          <cell r="C1091">
            <v>32857</v>
          </cell>
          <cell r="D1091" t="str">
            <v>COLR CHILI CON CARNE AARDAPPELKUBUS 450G</v>
          </cell>
          <cell r="E1091" t="str">
            <v>Colruyt</v>
          </cell>
          <cell r="F1091" t="str">
            <v>40337900 COVIPEEL 32 400 MM</v>
          </cell>
          <cell r="G1091" t="str">
            <v>C2176-1A EVOLVE</v>
          </cell>
          <cell r="H1091">
            <v>456</v>
          </cell>
          <cell r="I1091">
            <v>0.45</v>
          </cell>
          <cell r="J1091" t="str">
            <v>H29</v>
          </cell>
          <cell r="K1091" t="str">
            <v>NVT</v>
          </cell>
          <cell r="L1091">
            <v>10</v>
          </cell>
          <cell r="M1091" t="str">
            <v>H29x10</v>
          </cell>
          <cell r="N1091" t="str">
            <v>72</v>
          </cell>
          <cell r="O1091" t="str">
            <v xml:space="preserve">15400141931720           </v>
          </cell>
          <cell r="P1091" t="str">
            <v>2T-K</v>
          </cell>
          <cell r="Q1091">
            <v>2</v>
          </cell>
          <cell r="R1091">
            <v>4</v>
          </cell>
          <cell r="T1091">
            <v>3200</v>
          </cell>
          <cell r="U1091">
            <v>8</v>
          </cell>
          <cell r="V1091">
            <v>3200</v>
          </cell>
          <cell r="W1091">
            <v>8</v>
          </cell>
          <cell r="X1091">
            <v>0</v>
          </cell>
          <cell r="Y1091">
            <v>0</v>
          </cell>
          <cell r="Z1091">
            <v>0.09</v>
          </cell>
          <cell r="AA1091" t="str">
            <v>! !</v>
          </cell>
          <cell r="AB1091">
            <v>6000</v>
          </cell>
          <cell r="AC1091">
            <v>0</v>
          </cell>
          <cell r="AJ1091" t="str">
            <v>-</v>
          </cell>
          <cell r="AL1091">
            <v>0</v>
          </cell>
          <cell r="AM1091">
            <v>3200</v>
          </cell>
          <cell r="AN1091" t="e">
            <v>#VALUE!</v>
          </cell>
          <cell r="AO1091" t="e">
            <v>#VALUE!</v>
          </cell>
          <cell r="AP1091">
            <v>-3200</v>
          </cell>
        </row>
        <row r="1092">
          <cell r="A1092">
            <v>65040100</v>
          </cell>
          <cell r="B1092">
            <v>40283700</v>
          </cell>
          <cell r="C1092" t="str">
            <v>02048 </v>
          </cell>
          <cell r="D1092" t="str">
            <v>COLR HEEK TOMAAT KRUIDENKAASSAUS BLOEMK BROCC 450G</v>
          </cell>
          <cell r="E1092" t="str">
            <v>Colruyt</v>
          </cell>
          <cell r="F1092" t="str">
            <v>40337900 COVIPEEL 32 400 MM</v>
          </cell>
          <cell r="G1092" t="str">
            <v>C2176-1A EVOLVE</v>
          </cell>
          <cell r="H1092">
            <v>456</v>
          </cell>
          <cell r="I1092">
            <v>0.45</v>
          </cell>
          <cell r="J1092" t="str">
            <v>H29</v>
          </cell>
          <cell r="K1092" t="str">
            <v>NVT</v>
          </cell>
          <cell r="L1092">
            <v>10</v>
          </cell>
          <cell r="M1092" t="str">
            <v>H29x10</v>
          </cell>
          <cell r="N1092" t="str">
            <v>72</v>
          </cell>
          <cell r="O1092" t="str">
            <v xml:space="preserve">15400141931737            </v>
          </cell>
          <cell r="P1092" t="str">
            <v>2H-2T</v>
          </cell>
          <cell r="Q1092">
            <v>2</v>
          </cell>
          <cell r="R1092">
            <v>4</v>
          </cell>
          <cell r="T1092">
            <v>3200</v>
          </cell>
          <cell r="U1092">
            <v>7</v>
          </cell>
          <cell r="V1092">
            <v>3200</v>
          </cell>
          <cell r="W1092">
            <v>7</v>
          </cell>
          <cell r="Z1092">
            <v>0.09</v>
          </cell>
          <cell r="AA1092" t="str">
            <v>! ! ! !</v>
          </cell>
          <cell r="AB1092">
            <v>6000</v>
          </cell>
          <cell r="AC1092">
            <v>0</v>
          </cell>
          <cell r="AJ1092" t="str">
            <v>V-A</v>
          </cell>
          <cell r="AL1092">
            <v>0</v>
          </cell>
          <cell r="AM1092">
            <v>3200</v>
          </cell>
          <cell r="AN1092" t="e">
            <v>#VALUE!</v>
          </cell>
          <cell r="AO1092" t="e">
            <v>#VALUE!</v>
          </cell>
          <cell r="AP1092">
            <v>-3200</v>
          </cell>
        </row>
        <row r="1093">
          <cell r="A1093">
            <v>65040200</v>
          </cell>
          <cell r="B1093">
            <v>40283800</v>
          </cell>
          <cell r="C1093" t="str">
            <v>01611</v>
          </cell>
          <cell r="D1093" t="str">
            <v>COLR TAJINE CITROEN ZUIDERSE GR COUSCOUS 450G</v>
          </cell>
          <cell r="E1093" t="str">
            <v>Colruyt</v>
          </cell>
          <cell r="F1093" t="str">
            <v>40337900 COVIPEEL 32 400 MM</v>
          </cell>
          <cell r="G1093" t="str">
            <v>C2176-1A EVOLVE</v>
          </cell>
          <cell r="H1093">
            <v>456</v>
          </cell>
          <cell r="I1093">
            <v>0.45</v>
          </cell>
          <cell r="J1093" t="str">
            <v>H29</v>
          </cell>
          <cell r="K1093" t="str">
            <v>NVT</v>
          </cell>
          <cell r="L1093">
            <v>10</v>
          </cell>
          <cell r="M1093" t="str">
            <v>H29x10</v>
          </cell>
          <cell r="N1093" t="str">
            <v>72</v>
          </cell>
          <cell r="O1093" t="str">
            <v xml:space="preserve">15400141931713           </v>
          </cell>
          <cell r="P1093" t="str">
            <v>I-2T</v>
          </cell>
          <cell r="Q1093">
            <v>2</v>
          </cell>
          <cell r="R1093">
            <v>4</v>
          </cell>
          <cell r="T1093">
            <v>3200</v>
          </cell>
          <cell r="U1093">
            <v>6</v>
          </cell>
          <cell r="V1093">
            <v>3200</v>
          </cell>
          <cell r="W1093">
            <v>6</v>
          </cell>
          <cell r="X1093">
            <v>0</v>
          </cell>
          <cell r="Y1093">
            <v>0</v>
          </cell>
          <cell r="Z1093">
            <v>0.09</v>
          </cell>
          <cell r="AA1093" t="str">
            <v>! ! !</v>
          </cell>
          <cell r="AB1093">
            <v>6000</v>
          </cell>
          <cell r="AC1093">
            <v>0</v>
          </cell>
          <cell r="AJ1093" t="str">
            <v>-</v>
          </cell>
          <cell r="AL1093">
            <v>0</v>
          </cell>
          <cell r="AM1093">
            <v>3200</v>
          </cell>
          <cell r="AN1093" t="e">
            <v>#VALUE!</v>
          </cell>
          <cell r="AO1093" t="e">
            <v>#VALUE!</v>
          </cell>
          <cell r="AP1093">
            <v>-3200</v>
          </cell>
        </row>
        <row r="1094">
          <cell r="A1094">
            <v>65040300</v>
          </cell>
          <cell r="B1094">
            <v>40266400</v>
          </cell>
          <cell r="C1094">
            <v>32584</v>
          </cell>
          <cell r="D1094" t="str">
            <v>COLR GEHAKTBALLETJES KRIEKEN PUREE 450G</v>
          </cell>
          <cell r="E1094" t="str">
            <v>Colruyt</v>
          </cell>
          <cell r="F1094" t="str">
            <v>40337900 COVIPEEL 32 400 MM</v>
          </cell>
          <cell r="G1094" t="str">
            <v>C2176-1A EVOLVE</v>
          </cell>
          <cell r="H1094">
            <v>365</v>
          </cell>
          <cell r="I1094">
            <v>0.45</v>
          </cell>
          <cell r="J1094" t="str">
            <v>H29</v>
          </cell>
          <cell r="K1094" t="str">
            <v>NVT</v>
          </cell>
          <cell r="L1094">
            <v>10</v>
          </cell>
          <cell r="M1094" t="str">
            <v>H29x10</v>
          </cell>
          <cell r="N1094" t="str">
            <v>72</v>
          </cell>
          <cell r="O1094">
            <v>15400141768975</v>
          </cell>
          <cell r="P1094" t="str">
            <v>I-2H-2T</v>
          </cell>
          <cell r="Q1094">
            <v>2</v>
          </cell>
          <cell r="R1094">
            <v>2</v>
          </cell>
          <cell r="T1094">
            <v>3200</v>
          </cell>
          <cell r="U1094">
            <v>3</v>
          </cell>
          <cell r="V1094">
            <v>3200</v>
          </cell>
          <cell r="W1094">
            <v>3</v>
          </cell>
          <cell r="X1094">
            <v>0</v>
          </cell>
          <cell r="Y1094">
            <v>0</v>
          </cell>
          <cell r="Z1094">
            <v>0.09</v>
          </cell>
          <cell r="AA1094" t="str">
            <v>! !</v>
          </cell>
          <cell r="AB1094">
            <v>3000</v>
          </cell>
          <cell r="AC1094">
            <v>0</v>
          </cell>
          <cell r="AJ1094" t="str">
            <v>V-A</v>
          </cell>
          <cell r="AL1094">
            <v>0</v>
          </cell>
          <cell r="AM1094">
            <v>3200</v>
          </cell>
          <cell r="AN1094" t="e">
            <v>#VALUE!</v>
          </cell>
          <cell r="AO1094" t="e">
            <v>#VALUE!</v>
          </cell>
          <cell r="AP1094">
            <v>-3200</v>
          </cell>
        </row>
        <row r="1095">
          <cell r="A1095">
            <v>65040400</v>
          </cell>
          <cell r="B1095">
            <v>40266600</v>
          </cell>
          <cell r="C1095">
            <v>33886</v>
          </cell>
          <cell r="D1095" t="str">
            <v>COLR KIPSTOOFPOT BORDELAISE GEPLETTE AARD 450G</v>
          </cell>
          <cell r="E1095" t="str">
            <v>Colruyt</v>
          </cell>
          <cell r="F1095" t="str">
            <v>40337900 COVIPEEL 32 400 MM</v>
          </cell>
          <cell r="G1095" t="str">
            <v>C2176-1A EVOLVE</v>
          </cell>
          <cell r="H1095">
            <v>456</v>
          </cell>
          <cell r="I1095">
            <v>0.45</v>
          </cell>
          <cell r="J1095" t="str">
            <v>H29</v>
          </cell>
          <cell r="K1095" t="str">
            <v>NVT</v>
          </cell>
          <cell r="L1095">
            <v>10</v>
          </cell>
          <cell r="M1095" t="str">
            <v>H29x10</v>
          </cell>
          <cell r="N1095" t="str">
            <v>72</v>
          </cell>
          <cell r="O1095">
            <v>15400141768982</v>
          </cell>
          <cell r="P1095" t="str">
            <v>I-2T-2H</v>
          </cell>
          <cell r="Q1095">
            <v>3</v>
          </cell>
          <cell r="R1095">
            <v>2</v>
          </cell>
          <cell r="T1095">
            <v>3200</v>
          </cell>
          <cell r="U1095">
            <v>6</v>
          </cell>
          <cell r="V1095">
            <v>3200</v>
          </cell>
          <cell r="W1095">
            <v>6</v>
          </cell>
          <cell r="X1095">
            <v>0</v>
          </cell>
          <cell r="Y1095">
            <v>0</v>
          </cell>
          <cell r="Z1095">
            <v>0.09</v>
          </cell>
          <cell r="AA1095" t="str">
            <v>! !</v>
          </cell>
          <cell r="AB1095">
            <v>3000</v>
          </cell>
          <cell r="AC1095">
            <v>0</v>
          </cell>
          <cell r="AJ1095" t="str">
            <v>V-A</v>
          </cell>
          <cell r="AL1095">
            <v>0</v>
          </cell>
          <cell r="AM1095">
            <v>3200</v>
          </cell>
          <cell r="AN1095" t="e">
            <v>#VALUE!</v>
          </cell>
          <cell r="AO1095" t="e">
            <v>#VALUE!</v>
          </cell>
          <cell r="AP1095">
            <v>-3200</v>
          </cell>
        </row>
        <row r="1096">
          <cell r="A1096">
            <v>65040500</v>
          </cell>
          <cell r="B1096">
            <v>40267100</v>
          </cell>
          <cell r="C1096">
            <v>7900</v>
          </cell>
          <cell r="D1096" t="str">
            <v>COLR HAMBURGER BBQ ERWT WORTEL AARDAP 450G</v>
          </cell>
          <cell r="E1096" t="str">
            <v>Colruyt</v>
          </cell>
          <cell r="F1096" t="str">
            <v>40337900 COVIPEEL 32 400 MM</v>
          </cell>
          <cell r="G1096" t="str">
            <v>C2176-1A EVOLVE</v>
          </cell>
          <cell r="H1096">
            <v>365</v>
          </cell>
          <cell r="I1096">
            <v>0.45</v>
          </cell>
          <cell r="J1096" t="str">
            <v>H29</v>
          </cell>
          <cell r="K1096" t="str">
            <v>NVT</v>
          </cell>
          <cell r="L1096">
            <v>10</v>
          </cell>
          <cell r="M1096" t="str">
            <v>H29x10</v>
          </cell>
          <cell r="N1096" t="str">
            <v>72</v>
          </cell>
          <cell r="O1096">
            <v>15400141681472</v>
          </cell>
          <cell r="P1096" t="str">
            <v>I-2T</v>
          </cell>
          <cell r="Q1096">
            <v>2</v>
          </cell>
          <cell r="R1096">
            <v>2</v>
          </cell>
          <cell r="T1096">
            <v>3200</v>
          </cell>
          <cell r="U1096">
            <v>8</v>
          </cell>
          <cell r="V1096">
            <v>3200</v>
          </cell>
          <cell r="W1096">
            <v>8</v>
          </cell>
          <cell r="Z1096">
            <v>0.09</v>
          </cell>
          <cell r="AA1096" t="str">
            <v>! ! ! !</v>
          </cell>
          <cell r="AB1096">
            <v>3000</v>
          </cell>
          <cell r="AC1096">
            <v>2.5600000000000001E-2</v>
          </cell>
          <cell r="AJ1096" t="str">
            <v>V-A</v>
          </cell>
          <cell r="AL1096">
            <v>0</v>
          </cell>
          <cell r="AM1096">
            <v>3200</v>
          </cell>
          <cell r="AN1096" t="e">
            <v>#VALUE!</v>
          </cell>
          <cell r="AO1096" t="e">
            <v>#VALUE!</v>
          </cell>
          <cell r="AP1096">
            <v>-3200</v>
          </cell>
        </row>
        <row r="1097">
          <cell r="A1097">
            <v>65104300</v>
          </cell>
          <cell r="D1097" t="str">
            <v>DMB HAMBURGER CHAMPIGNONSAUS 2 KG</v>
          </cell>
          <cell r="E1097" t="str">
            <v xml:space="preserve">DMB </v>
          </cell>
          <cell r="F1097" t="str">
            <v>310mm</v>
          </cell>
          <cell r="G1097" t="str">
            <v>C2325-1C</v>
          </cell>
          <cell r="H1097">
            <v>456</v>
          </cell>
          <cell r="I1097">
            <v>2</v>
          </cell>
          <cell r="J1097" t="str">
            <v>NVT</v>
          </cell>
          <cell r="K1097" t="str">
            <v>DELIMEAL HORECA</v>
          </cell>
          <cell r="L1097">
            <v>4</v>
          </cell>
          <cell r="M1097" t="str">
            <v>BULK HO</v>
          </cell>
          <cell r="N1097">
            <v>48</v>
          </cell>
          <cell r="O1097">
            <v>5410953510436</v>
          </cell>
          <cell r="P1097" t="str">
            <v>2T</v>
          </cell>
          <cell r="Q1097">
            <v>1</v>
          </cell>
          <cell r="R1097">
            <v>2</v>
          </cell>
          <cell r="S1097" t="str">
            <v>Folie perforeren</v>
          </cell>
          <cell r="T1097">
            <v>600</v>
          </cell>
          <cell r="U1097">
            <v>6</v>
          </cell>
          <cell r="V1097">
            <v>600</v>
          </cell>
          <cell r="W1097">
            <v>6</v>
          </cell>
          <cell r="X1097">
            <v>0</v>
          </cell>
          <cell r="Y1097">
            <v>0</v>
          </cell>
          <cell r="Z1097">
            <v>0</v>
          </cell>
          <cell r="AA1097" t="str">
            <v>! ! !</v>
          </cell>
          <cell r="AB1097">
            <v>192</v>
          </cell>
          <cell r="AG1097">
            <v>13</v>
          </cell>
          <cell r="AJ1097" t="str">
            <v>V-A</v>
          </cell>
          <cell r="AL1097">
            <v>780</v>
          </cell>
          <cell r="AM1097">
            <v>600</v>
          </cell>
          <cell r="AN1097" t="e">
            <v>#VALUE!</v>
          </cell>
          <cell r="AO1097" t="e">
            <v>#VALUE!</v>
          </cell>
          <cell r="AP1097">
            <v>180</v>
          </cell>
        </row>
        <row r="1098">
          <cell r="A1098">
            <v>65104400</v>
          </cell>
          <cell r="D1098" t="str">
            <v>DMB HAMBURGER GESNEDEN CHAMPIGNONSAUS 2 KG</v>
          </cell>
          <cell r="E1098" t="str">
            <v xml:space="preserve">DMB </v>
          </cell>
          <cell r="F1098" t="str">
            <v>310mm</v>
          </cell>
          <cell r="G1098" t="str">
            <v>C2325-1C</v>
          </cell>
          <cell r="H1098">
            <v>456</v>
          </cell>
          <cell r="I1098">
            <v>2</v>
          </cell>
          <cell r="J1098" t="str">
            <v>NVT</v>
          </cell>
          <cell r="K1098" t="str">
            <v>DELIMEAL HORECA</v>
          </cell>
          <cell r="L1098">
            <v>4</v>
          </cell>
          <cell r="M1098" t="str">
            <v>BULK HO</v>
          </cell>
          <cell r="N1098">
            <v>48</v>
          </cell>
          <cell r="O1098">
            <v>5410953510443</v>
          </cell>
          <cell r="P1098" t="str">
            <v>2T</v>
          </cell>
          <cell r="Q1098">
            <v>1</v>
          </cell>
          <cell r="R1098">
            <v>2</v>
          </cell>
          <cell r="S1098" t="str">
            <v>Folie perforeren</v>
          </cell>
          <cell r="T1098">
            <v>600</v>
          </cell>
          <cell r="U1098">
            <v>5</v>
          </cell>
          <cell r="V1098">
            <v>600</v>
          </cell>
          <cell r="W1098">
            <v>5</v>
          </cell>
          <cell r="X1098">
            <v>0</v>
          </cell>
          <cell r="Y1098">
            <v>0</v>
          </cell>
          <cell r="Z1098">
            <v>0</v>
          </cell>
          <cell r="AA1098" t="str">
            <v>! ! !</v>
          </cell>
          <cell r="AB1098">
            <v>192</v>
          </cell>
          <cell r="AG1098">
            <v>13</v>
          </cell>
          <cell r="AJ1098" t="str">
            <v>V-A</v>
          </cell>
          <cell r="AL1098">
            <v>780</v>
          </cell>
          <cell r="AM1098">
            <v>600</v>
          </cell>
          <cell r="AN1098" t="e">
            <v>#VALUE!</v>
          </cell>
          <cell r="AO1098" t="e">
            <v>#VALUE!</v>
          </cell>
          <cell r="AP1098">
            <v>180</v>
          </cell>
        </row>
        <row r="1099">
          <cell r="A1099">
            <v>65105400</v>
          </cell>
          <cell r="D1099" t="str">
            <v>DMB KIPBURGER JACHTSAUS 2,16KG</v>
          </cell>
          <cell r="E1099" t="str">
            <v xml:space="preserve">DMB </v>
          </cell>
          <cell r="F1099" t="str">
            <v>40337000 OLAF 40 310MM</v>
          </cell>
          <cell r="G1099" t="str">
            <v>C2325-1C</v>
          </cell>
          <cell r="H1099">
            <v>456</v>
          </cell>
          <cell r="I1099">
            <v>2.16</v>
          </cell>
          <cell r="J1099" t="str">
            <v>NVT</v>
          </cell>
          <cell r="K1099" t="str">
            <v>DELIMEAL HORECA</v>
          </cell>
          <cell r="L1099">
            <v>4</v>
          </cell>
          <cell r="M1099" t="str">
            <v>BULK HO</v>
          </cell>
          <cell r="N1099">
            <v>48</v>
          </cell>
          <cell r="O1099">
            <v>5410953510542</v>
          </cell>
          <cell r="P1099" t="str">
            <v>2T</v>
          </cell>
          <cell r="Q1099">
            <v>1</v>
          </cell>
          <cell r="R1099">
            <v>3</v>
          </cell>
          <cell r="S1099" t="str">
            <v>Folie perforeren</v>
          </cell>
          <cell r="T1099">
            <v>625</v>
          </cell>
          <cell r="U1099">
            <v>6</v>
          </cell>
          <cell r="V1099">
            <v>625</v>
          </cell>
          <cell r="W1099">
            <v>6</v>
          </cell>
          <cell r="X1099">
            <v>0</v>
          </cell>
          <cell r="Y1099">
            <v>0</v>
          </cell>
          <cell r="Z1099">
            <v>0</v>
          </cell>
          <cell r="AA1099" t="str">
            <v>! ! !</v>
          </cell>
          <cell r="AC1099">
            <v>0</v>
          </cell>
          <cell r="AG1099">
            <v>15</v>
          </cell>
          <cell r="AJ1099" t="str">
            <v>V-A</v>
          </cell>
          <cell r="AL1099">
            <v>900</v>
          </cell>
          <cell r="AM1099">
            <v>625</v>
          </cell>
          <cell r="AN1099" t="e">
            <v>#VALUE!</v>
          </cell>
          <cell r="AO1099" t="e">
            <v>#VALUE!</v>
          </cell>
          <cell r="AP1099">
            <v>275</v>
          </cell>
        </row>
        <row r="1100">
          <cell r="A1100">
            <v>65105500</v>
          </cell>
          <cell r="D1100" t="str">
            <v>DMB KIPBURGER GESNEDEN JACHTSAUS 2,16KG</v>
          </cell>
          <cell r="E1100" t="str">
            <v xml:space="preserve">DMB </v>
          </cell>
          <cell r="F1100" t="str">
            <v>40337000 OLAF 40 310MM</v>
          </cell>
          <cell r="G1100" t="str">
            <v>C2325-1C</v>
          </cell>
          <cell r="H1100">
            <v>456</v>
          </cell>
          <cell r="I1100">
            <v>2.16</v>
          </cell>
          <cell r="J1100" t="str">
            <v>NVT</v>
          </cell>
          <cell r="K1100" t="str">
            <v>DELIMEAL HORECA</v>
          </cell>
          <cell r="L1100">
            <v>4</v>
          </cell>
          <cell r="M1100" t="str">
            <v>BULK HO</v>
          </cell>
          <cell r="N1100">
            <v>48</v>
          </cell>
          <cell r="O1100">
            <v>5410953510559</v>
          </cell>
          <cell r="P1100" t="str">
            <v>2T</v>
          </cell>
          <cell r="Q1100">
            <v>1</v>
          </cell>
          <cell r="R1100">
            <v>3</v>
          </cell>
          <cell r="S1100" t="str">
            <v>Folie perforeren</v>
          </cell>
          <cell r="T1100">
            <v>625</v>
          </cell>
          <cell r="U1100">
            <v>6</v>
          </cell>
          <cell r="V1100">
            <v>625</v>
          </cell>
          <cell r="W1100">
            <v>6</v>
          </cell>
          <cell r="X1100">
            <v>0</v>
          </cell>
          <cell r="Y1100">
            <v>0</v>
          </cell>
          <cell r="Z1100">
            <v>0</v>
          </cell>
          <cell r="AA1100" t="str">
            <v>! ! !</v>
          </cell>
          <cell r="AC1100">
            <v>0</v>
          </cell>
          <cell r="AG1100">
            <v>15</v>
          </cell>
          <cell r="AJ1100" t="str">
            <v>V-A</v>
          </cell>
          <cell r="AL1100">
            <v>900</v>
          </cell>
          <cell r="AM1100">
            <v>625</v>
          </cell>
          <cell r="AN1100" t="e">
            <v>#VALUE!</v>
          </cell>
          <cell r="AO1100" t="e">
            <v>#VALUE!</v>
          </cell>
          <cell r="AP1100">
            <v>275</v>
          </cell>
        </row>
        <row r="1101">
          <cell r="A1101">
            <v>65105900</v>
          </cell>
          <cell r="D1101" t="str">
            <v>DMB KIP FIJNE KRUIDENSAUS 1,9KG</v>
          </cell>
          <cell r="E1101" t="str">
            <v xml:space="preserve">DMB </v>
          </cell>
          <cell r="F1101" t="str">
            <v>40337000 OLAF 40 310MM</v>
          </cell>
          <cell r="G1101" t="str">
            <v>C2325-1C</v>
          </cell>
          <cell r="H1101">
            <v>456</v>
          </cell>
          <cell r="I1101">
            <v>1.9</v>
          </cell>
          <cell r="J1101" t="str">
            <v>NVT</v>
          </cell>
          <cell r="K1101" t="str">
            <v>DELIMEAL HORECA</v>
          </cell>
          <cell r="L1101">
            <v>4</v>
          </cell>
          <cell r="M1101" t="str">
            <v>BULK HO</v>
          </cell>
          <cell r="N1101">
            <v>48</v>
          </cell>
          <cell r="O1101">
            <v>5410953510597</v>
          </cell>
          <cell r="P1101" t="str">
            <v>I-2T</v>
          </cell>
          <cell r="Q1101">
            <v>1</v>
          </cell>
          <cell r="R1101">
            <v>3</v>
          </cell>
          <cell r="S1101" t="str">
            <v>Folie perforeren</v>
          </cell>
          <cell r="T1101">
            <v>675</v>
          </cell>
          <cell r="U1101">
            <v>6</v>
          </cell>
          <cell r="V1101">
            <v>675</v>
          </cell>
          <cell r="W1101">
            <v>6</v>
          </cell>
          <cell r="X1101">
            <v>0</v>
          </cell>
          <cell r="Y1101">
            <v>0</v>
          </cell>
          <cell r="Z1101">
            <v>0</v>
          </cell>
          <cell r="AA1101" t="str">
            <v>! !</v>
          </cell>
          <cell r="AC1101">
            <v>0</v>
          </cell>
          <cell r="AG1101">
            <v>16</v>
          </cell>
          <cell r="AJ1101" t="str">
            <v>-</v>
          </cell>
          <cell r="AL1101">
            <v>960</v>
          </cell>
          <cell r="AM1101">
            <v>675</v>
          </cell>
          <cell r="AN1101" t="e">
            <v>#VALUE!</v>
          </cell>
          <cell r="AO1101" t="e">
            <v>#VALUE!</v>
          </cell>
          <cell r="AP1101">
            <v>285</v>
          </cell>
        </row>
        <row r="1102">
          <cell r="A1102">
            <v>65106300</v>
          </cell>
          <cell r="D1102" t="str">
            <v>DMB KIPFILET ZOETZUUR 2KG</v>
          </cell>
          <cell r="E1102" t="str">
            <v xml:space="preserve">DMB </v>
          </cell>
          <cell r="F1102" t="str">
            <v>40337000 OLAF 40 310MM</v>
          </cell>
          <cell r="G1102" t="str">
            <v>C2325-1C</v>
          </cell>
          <cell r="H1102">
            <v>456</v>
          </cell>
          <cell r="I1102">
            <v>2</v>
          </cell>
          <cell r="J1102" t="str">
            <v>NVT</v>
          </cell>
          <cell r="K1102" t="str">
            <v>DELIMEAL HORECA</v>
          </cell>
          <cell r="L1102">
            <v>4</v>
          </cell>
          <cell r="M1102" t="str">
            <v>BULK HO</v>
          </cell>
          <cell r="N1102">
            <v>48</v>
          </cell>
          <cell r="O1102">
            <v>5410953510634</v>
          </cell>
          <cell r="P1102" t="str">
            <v>2T</v>
          </cell>
          <cell r="Q1102">
            <v>1</v>
          </cell>
          <cell r="R1102">
            <v>3</v>
          </cell>
          <cell r="S1102" t="str">
            <v>Folie perforeren</v>
          </cell>
          <cell r="T1102">
            <v>675</v>
          </cell>
          <cell r="U1102">
            <v>6</v>
          </cell>
          <cell r="V1102">
            <v>675</v>
          </cell>
          <cell r="W1102">
            <v>6</v>
          </cell>
          <cell r="X1102">
            <v>0</v>
          </cell>
          <cell r="Y1102">
            <v>0</v>
          </cell>
          <cell r="Z1102">
            <v>0</v>
          </cell>
          <cell r="AA1102" t="str">
            <v>! ! !</v>
          </cell>
          <cell r="AB1102">
            <v>192</v>
          </cell>
          <cell r="AC1102">
            <v>0</v>
          </cell>
          <cell r="AG1102">
            <v>16</v>
          </cell>
          <cell r="AJ1102" t="str">
            <v>V-A</v>
          </cell>
          <cell r="AL1102">
            <v>960</v>
          </cell>
          <cell r="AM1102">
            <v>675</v>
          </cell>
          <cell r="AN1102" t="e">
            <v>#VALUE!</v>
          </cell>
          <cell r="AO1102" t="e">
            <v>#VALUE!</v>
          </cell>
          <cell r="AP1102">
            <v>285</v>
          </cell>
        </row>
        <row r="1103">
          <cell r="A1103">
            <v>65106900</v>
          </cell>
          <cell r="D1103" t="str">
            <v>DMB KIPPENHAASJES BRAADJUS 2 KG</v>
          </cell>
          <cell r="E1103" t="str">
            <v xml:space="preserve">DMB </v>
          </cell>
          <cell r="F1103" t="str">
            <v>310mm</v>
          </cell>
          <cell r="G1103" t="str">
            <v>C2325-1C</v>
          </cell>
          <cell r="H1103">
            <v>456</v>
          </cell>
          <cell r="I1103">
            <v>2</v>
          </cell>
          <cell r="J1103" t="str">
            <v>NVT</v>
          </cell>
          <cell r="K1103" t="str">
            <v>DELIMEAL HORECA</v>
          </cell>
          <cell r="L1103">
            <v>4</v>
          </cell>
          <cell r="M1103" t="str">
            <v>BULK HO</v>
          </cell>
          <cell r="N1103">
            <v>48</v>
          </cell>
          <cell r="O1103">
            <v>5410953510696</v>
          </cell>
          <cell r="P1103" t="str">
            <v>2T-I</v>
          </cell>
          <cell r="Q1103">
            <v>1</v>
          </cell>
          <cell r="R1103">
            <v>2</v>
          </cell>
          <cell r="S1103" t="str">
            <v>Folie perforeren</v>
          </cell>
          <cell r="T1103">
            <v>600</v>
          </cell>
          <cell r="U1103">
            <v>3</v>
          </cell>
          <cell r="V1103">
            <v>600</v>
          </cell>
          <cell r="W1103">
            <v>4</v>
          </cell>
          <cell r="X1103">
            <v>0</v>
          </cell>
          <cell r="Y1103">
            <v>0</v>
          </cell>
          <cell r="Z1103">
            <v>0</v>
          </cell>
          <cell r="AA1103" t="str">
            <v>! !</v>
          </cell>
          <cell r="AB1103">
            <v>192</v>
          </cell>
          <cell r="AC1103">
            <v>0</v>
          </cell>
          <cell r="AG1103">
            <v>13</v>
          </cell>
          <cell r="AJ1103" t="str">
            <v>-</v>
          </cell>
          <cell r="AL1103">
            <v>780</v>
          </cell>
          <cell r="AM1103">
            <v>600</v>
          </cell>
          <cell r="AN1103" t="e">
            <v>#VALUE!</v>
          </cell>
          <cell r="AO1103" t="e">
            <v>#VALUE!</v>
          </cell>
          <cell r="AP1103">
            <v>180</v>
          </cell>
        </row>
        <row r="1104">
          <cell r="A1104">
            <v>65107000</v>
          </cell>
          <cell r="D1104" t="str">
            <v>DMB CHIPOLATA IN JUS 2KG</v>
          </cell>
          <cell r="E1104" t="str">
            <v xml:space="preserve">DMB </v>
          </cell>
          <cell r="F1104" t="str">
            <v>40337000 OLAF 40 310MM</v>
          </cell>
          <cell r="G1104" t="str">
            <v>C2325-1C</v>
          </cell>
          <cell r="H1104">
            <v>456</v>
          </cell>
          <cell r="I1104">
            <v>2</v>
          </cell>
          <cell r="J1104" t="str">
            <v>NVT</v>
          </cell>
          <cell r="K1104" t="str">
            <v>DELIMEAL HORECA</v>
          </cell>
          <cell r="L1104">
            <v>4</v>
          </cell>
          <cell r="M1104" t="str">
            <v>BULK HO</v>
          </cell>
          <cell r="N1104">
            <v>48</v>
          </cell>
          <cell r="O1104">
            <v>5410953510702</v>
          </cell>
          <cell r="P1104" t="str">
            <v>2T</v>
          </cell>
          <cell r="Q1104">
            <v>1</v>
          </cell>
          <cell r="R1104">
            <v>3</v>
          </cell>
          <cell r="S1104" t="str">
            <v>Folie perforeren</v>
          </cell>
          <cell r="T1104">
            <v>675</v>
          </cell>
          <cell r="U1104">
            <v>6</v>
          </cell>
          <cell r="V1104">
            <v>675</v>
          </cell>
          <cell r="W1104">
            <v>6</v>
          </cell>
          <cell r="X1104">
            <v>0</v>
          </cell>
          <cell r="Y1104">
            <v>0</v>
          </cell>
          <cell r="Z1104">
            <v>0</v>
          </cell>
          <cell r="AA1104" t="str">
            <v>-</v>
          </cell>
          <cell r="AC1104">
            <v>0</v>
          </cell>
          <cell r="AG1104">
            <v>16</v>
          </cell>
          <cell r="AJ1104" t="str">
            <v>V-A</v>
          </cell>
          <cell r="AL1104">
            <v>960</v>
          </cell>
          <cell r="AM1104">
            <v>675</v>
          </cell>
          <cell r="AN1104" t="e">
            <v>#VALUE!</v>
          </cell>
          <cell r="AO1104" t="e">
            <v>#VALUE!</v>
          </cell>
          <cell r="AP1104">
            <v>285</v>
          </cell>
        </row>
        <row r="1105">
          <cell r="A1105">
            <v>65107100</v>
          </cell>
          <cell r="D1105" t="str">
            <v>DMB CHIPOLATA GESNEDEN IN JUS 2KG</v>
          </cell>
          <cell r="E1105" t="str">
            <v xml:space="preserve">DMB </v>
          </cell>
          <cell r="F1105" t="str">
            <v>40337000 OLAF 40 310MM</v>
          </cell>
          <cell r="G1105" t="str">
            <v>C2325-1C</v>
          </cell>
          <cell r="H1105">
            <v>456</v>
          </cell>
          <cell r="I1105">
            <v>2</v>
          </cell>
          <cell r="J1105" t="str">
            <v>NVT</v>
          </cell>
          <cell r="K1105" t="str">
            <v>DELIMEAL HORECA</v>
          </cell>
          <cell r="L1105">
            <v>4</v>
          </cell>
          <cell r="M1105" t="str">
            <v>BULK HO</v>
          </cell>
          <cell r="N1105">
            <v>48</v>
          </cell>
          <cell r="O1105">
            <v>5410953510719</v>
          </cell>
          <cell r="P1105" t="str">
            <v>2T</v>
          </cell>
          <cell r="Q1105">
            <v>1</v>
          </cell>
          <cell r="R1105">
            <v>3</v>
          </cell>
          <cell r="S1105" t="str">
            <v>Folie perforeren</v>
          </cell>
          <cell r="T1105">
            <v>675</v>
          </cell>
          <cell r="U1105">
            <v>6</v>
          </cell>
          <cell r="V1105">
            <v>675</v>
          </cell>
          <cell r="W1105">
            <v>6</v>
          </cell>
          <cell r="X1105">
            <v>0</v>
          </cell>
          <cell r="Y1105">
            <v>0</v>
          </cell>
          <cell r="Z1105">
            <v>0</v>
          </cell>
          <cell r="AA1105" t="str">
            <v>-</v>
          </cell>
          <cell r="AC1105">
            <v>0</v>
          </cell>
          <cell r="AG1105">
            <v>16</v>
          </cell>
          <cell r="AJ1105" t="str">
            <v>V-A</v>
          </cell>
          <cell r="AL1105">
            <v>960</v>
          </cell>
          <cell r="AM1105">
            <v>675</v>
          </cell>
          <cell r="AN1105" t="e">
            <v>#VALUE!</v>
          </cell>
          <cell r="AO1105" t="e">
            <v>#VALUE!</v>
          </cell>
          <cell r="AP1105">
            <v>285</v>
          </cell>
        </row>
        <row r="1106">
          <cell r="A1106">
            <v>65107500</v>
          </cell>
          <cell r="D1106" t="str">
            <v>DMB KIPPENBOUT BRAADJUS 1,9KG</v>
          </cell>
          <cell r="E1106" t="str">
            <v xml:space="preserve">DMB </v>
          </cell>
          <cell r="F1106" t="str">
            <v>310mm</v>
          </cell>
          <cell r="G1106" t="str">
            <v>C2325-1C</v>
          </cell>
          <cell r="H1106">
            <v>456</v>
          </cell>
          <cell r="I1106">
            <v>1.9</v>
          </cell>
          <cell r="J1106" t="str">
            <v>NVT</v>
          </cell>
          <cell r="K1106" t="str">
            <v>DELIMEAL HORECA</v>
          </cell>
          <cell r="L1106">
            <v>4</v>
          </cell>
          <cell r="M1106" t="str">
            <v>BULK HO</v>
          </cell>
          <cell r="N1106">
            <v>48</v>
          </cell>
          <cell r="O1106">
            <v>5410953510757</v>
          </cell>
          <cell r="P1106" t="str">
            <v>2T</v>
          </cell>
          <cell r="Q1106">
            <v>1</v>
          </cell>
          <cell r="R1106">
            <v>2</v>
          </cell>
          <cell r="S1106" t="str">
            <v>Folie perforeren</v>
          </cell>
          <cell r="T1106">
            <v>650</v>
          </cell>
          <cell r="U1106">
            <v>7</v>
          </cell>
          <cell r="V1106">
            <v>650</v>
          </cell>
          <cell r="W1106">
            <v>7</v>
          </cell>
          <cell r="X1106">
            <v>0</v>
          </cell>
          <cell r="Y1106">
            <v>0</v>
          </cell>
          <cell r="Z1106">
            <v>0</v>
          </cell>
          <cell r="AA1106" t="str">
            <v>! ! !</v>
          </cell>
          <cell r="AB1106">
            <v>192</v>
          </cell>
          <cell r="AC1106">
            <v>0</v>
          </cell>
          <cell r="AG1106">
            <v>14</v>
          </cell>
          <cell r="AJ1106" t="str">
            <v>-</v>
          </cell>
          <cell r="AL1106">
            <v>840</v>
          </cell>
          <cell r="AM1106">
            <v>650</v>
          </cell>
          <cell r="AN1106" t="e">
            <v>#VALUE!</v>
          </cell>
          <cell r="AO1106" t="e">
            <v>#VALUE!</v>
          </cell>
          <cell r="AP1106">
            <v>190</v>
          </cell>
        </row>
        <row r="1107">
          <cell r="A1107">
            <v>65109600</v>
          </cell>
          <cell r="D1107" t="str">
            <v>DMB VLEESBROOD IN JUS 2KG</v>
          </cell>
          <cell r="E1107" t="str">
            <v xml:space="preserve">DMB </v>
          </cell>
          <cell r="F1107" t="str">
            <v>40337000 OLAF 40 310MM</v>
          </cell>
          <cell r="G1107" t="str">
            <v>C2325-1C</v>
          </cell>
          <cell r="H1107">
            <v>456</v>
          </cell>
          <cell r="I1107">
            <v>2</v>
          </cell>
          <cell r="J1107" t="str">
            <v>NVT</v>
          </cell>
          <cell r="K1107" t="str">
            <v>DELIMEAL HORECA</v>
          </cell>
          <cell r="L1107">
            <v>4</v>
          </cell>
          <cell r="M1107" t="str">
            <v>BULK HO</v>
          </cell>
          <cell r="N1107">
            <v>48</v>
          </cell>
          <cell r="O1107">
            <v>5410953510962</v>
          </cell>
          <cell r="P1107" t="str">
            <v>2T</v>
          </cell>
          <cell r="Q1107">
            <v>1</v>
          </cell>
          <cell r="R1107">
            <v>3</v>
          </cell>
          <cell r="S1107" t="str">
            <v>Folie perforeren</v>
          </cell>
          <cell r="T1107">
            <v>675</v>
          </cell>
          <cell r="U1107">
            <v>6</v>
          </cell>
          <cell r="V1107">
            <v>675</v>
          </cell>
          <cell r="W1107">
            <v>6</v>
          </cell>
          <cell r="X1107">
            <v>0</v>
          </cell>
          <cell r="Y1107">
            <v>0</v>
          </cell>
          <cell r="Z1107">
            <v>0</v>
          </cell>
          <cell r="AA1107" t="str">
            <v>-</v>
          </cell>
          <cell r="AC1107">
            <v>0</v>
          </cell>
          <cell r="AG1107">
            <v>16</v>
          </cell>
          <cell r="AJ1107" t="str">
            <v>V-A</v>
          </cell>
          <cell r="AL1107">
            <v>960</v>
          </cell>
          <cell r="AM1107">
            <v>675</v>
          </cell>
          <cell r="AN1107" t="e">
            <v>#VALUE!</v>
          </cell>
          <cell r="AO1107" t="e">
            <v>#VALUE!</v>
          </cell>
          <cell r="AP1107">
            <v>285</v>
          </cell>
        </row>
        <row r="1108">
          <cell r="A1108">
            <v>65109700</v>
          </cell>
          <cell r="D1108" t="str">
            <v>DMB VLEESBROOD GESNEDEN IN JUS 2KG</v>
          </cell>
          <cell r="E1108" t="str">
            <v xml:space="preserve">DMB </v>
          </cell>
          <cell r="F1108" t="str">
            <v>40337000 OLAF 40 310MM</v>
          </cell>
          <cell r="G1108" t="str">
            <v>C2325-1C</v>
          </cell>
          <cell r="H1108">
            <v>456</v>
          </cell>
          <cell r="I1108">
            <v>2</v>
          </cell>
          <cell r="J1108" t="str">
            <v>NVT</v>
          </cell>
          <cell r="K1108" t="str">
            <v>DELIMEAL HORECA</v>
          </cell>
          <cell r="L1108">
            <v>4</v>
          </cell>
          <cell r="M1108" t="str">
            <v>BULK HO</v>
          </cell>
          <cell r="N1108">
            <v>48</v>
          </cell>
          <cell r="O1108">
            <v>5410953510979</v>
          </cell>
          <cell r="P1108" t="str">
            <v>2T</v>
          </cell>
          <cell r="Q1108">
            <v>1</v>
          </cell>
          <cell r="R1108">
            <v>3</v>
          </cell>
          <cell r="S1108" t="str">
            <v>Folie perforeren</v>
          </cell>
          <cell r="T1108">
            <v>675</v>
          </cell>
          <cell r="U1108">
            <v>6</v>
          </cell>
          <cell r="V1108">
            <v>675</v>
          </cell>
          <cell r="W1108">
            <v>6</v>
          </cell>
          <cell r="X1108">
            <v>0</v>
          </cell>
          <cell r="Y1108">
            <v>0</v>
          </cell>
          <cell r="Z1108">
            <v>0</v>
          </cell>
          <cell r="AA1108" t="str">
            <v>-</v>
          </cell>
          <cell r="AC1108">
            <v>0</v>
          </cell>
          <cell r="AG1108">
            <v>16</v>
          </cell>
          <cell r="AJ1108" t="str">
            <v>V-A</v>
          </cell>
          <cell r="AL1108">
            <v>960</v>
          </cell>
          <cell r="AM1108">
            <v>675</v>
          </cell>
          <cell r="AN1108" t="e">
            <v>#VALUE!</v>
          </cell>
          <cell r="AO1108" t="e">
            <v>#VALUE!</v>
          </cell>
          <cell r="AP1108">
            <v>285</v>
          </cell>
        </row>
        <row r="1109">
          <cell r="A1109">
            <v>65110900</v>
          </cell>
          <cell r="D1109" t="str">
            <v>DMB GROENTEBURGER IN JUS 2KG</v>
          </cell>
          <cell r="E1109" t="str">
            <v xml:space="preserve">DMB </v>
          </cell>
          <cell r="F1109" t="str">
            <v>40337000 OLAF 40 310MM</v>
          </cell>
          <cell r="G1109" t="str">
            <v>C2325-1C</v>
          </cell>
          <cell r="H1109">
            <v>456</v>
          </cell>
          <cell r="I1109">
            <v>2</v>
          </cell>
          <cell r="J1109" t="str">
            <v>NVT</v>
          </cell>
          <cell r="K1109" t="str">
            <v>DELIMEAL HORECA</v>
          </cell>
          <cell r="L1109">
            <v>4</v>
          </cell>
          <cell r="M1109" t="str">
            <v>BULK HO</v>
          </cell>
          <cell r="N1109">
            <v>48</v>
          </cell>
          <cell r="O1109">
            <v>5410953511099</v>
          </cell>
          <cell r="P1109" t="str">
            <v>2T</v>
          </cell>
          <cell r="Q1109">
            <v>1</v>
          </cell>
          <cell r="R1109">
            <v>3</v>
          </cell>
          <cell r="S1109" t="str">
            <v>Folie perforeren</v>
          </cell>
          <cell r="T1109">
            <v>675</v>
          </cell>
          <cell r="U1109">
            <v>4</v>
          </cell>
          <cell r="V1109">
            <v>675</v>
          </cell>
          <cell r="W1109">
            <v>4</v>
          </cell>
          <cell r="X1109">
            <v>0</v>
          </cell>
          <cell r="Y1109">
            <v>0</v>
          </cell>
          <cell r="Z1109">
            <v>0</v>
          </cell>
          <cell r="AA1109" t="str">
            <v>! ! !</v>
          </cell>
          <cell r="AB1109">
            <v>192</v>
          </cell>
          <cell r="AC1109">
            <v>0</v>
          </cell>
          <cell r="AG1109">
            <v>16</v>
          </cell>
          <cell r="AJ1109" t="str">
            <v>V-A</v>
          </cell>
          <cell r="AL1109">
            <v>960</v>
          </cell>
          <cell r="AM1109">
            <v>675</v>
          </cell>
          <cell r="AN1109" t="e">
            <v>#VALUE!</v>
          </cell>
          <cell r="AO1109" t="e">
            <v>#VALUE!</v>
          </cell>
          <cell r="AP1109">
            <v>285</v>
          </cell>
        </row>
        <row r="1110">
          <cell r="A1110">
            <v>65111000</v>
          </cell>
          <cell r="D1110" t="str">
            <v>DMB GROENTEBURGER GESNEDEN IN JUS 2KG</v>
          </cell>
          <cell r="E1110" t="str">
            <v xml:space="preserve">DMB </v>
          </cell>
          <cell r="F1110" t="str">
            <v>40337000 OLAF 40 310MM</v>
          </cell>
          <cell r="G1110" t="str">
            <v>C2325-1C</v>
          </cell>
          <cell r="H1110">
            <v>456</v>
          </cell>
          <cell r="I1110">
            <v>2</v>
          </cell>
          <cell r="J1110" t="str">
            <v>NVT</v>
          </cell>
          <cell r="K1110" t="str">
            <v>DELIMEAL HORECA</v>
          </cell>
          <cell r="L1110">
            <v>4</v>
          </cell>
          <cell r="M1110" t="str">
            <v>BULK HO</v>
          </cell>
          <cell r="N1110">
            <v>48</v>
          </cell>
          <cell r="O1110">
            <v>5410953511105</v>
          </cell>
          <cell r="P1110" t="str">
            <v>2T</v>
          </cell>
          <cell r="Q1110">
            <v>1</v>
          </cell>
          <cell r="R1110">
            <v>3</v>
          </cell>
          <cell r="S1110" t="str">
            <v>D-1 uithalen en D-0 SNIJDEN groenteburger, Folie perforeren</v>
          </cell>
          <cell r="T1110">
            <v>675</v>
          </cell>
          <cell r="U1110">
            <v>5</v>
          </cell>
          <cell r="V1110">
            <v>675</v>
          </cell>
          <cell r="W1110">
            <v>5</v>
          </cell>
          <cell r="X1110">
            <v>0</v>
          </cell>
          <cell r="Y1110">
            <v>0</v>
          </cell>
          <cell r="Z1110">
            <v>0</v>
          </cell>
          <cell r="AA1110" t="str">
            <v>! ! !</v>
          </cell>
          <cell r="AB1110">
            <v>192</v>
          </cell>
          <cell r="AC1110">
            <v>0</v>
          </cell>
          <cell r="AG1110">
            <v>16</v>
          </cell>
          <cell r="AJ1110" t="str">
            <v>V-A</v>
          </cell>
          <cell r="AL1110">
            <v>960</v>
          </cell>
          <cell r="AM1110">
            <v>675</v>
          </cell>
          <cell r="AN1110" t="e">
            <v>#VALUE!</v>
          </cell>
          <cell r="AO1110" t="e">
            <v>#VALUE!</v>
          </cell>
          <cell r="AP1110">
            <v>285</v>
          </cell>
        </row>
        <row r="1111">
          <cell r="A1111">
            <v>65120500</v>
          </cell>
          <cell r="D1111" t="str">
            <v>DMB SCHORSENEREN IN BECHAMELSAUS 1,8KG</v>
          </cell>
          <cell r="E1111" t="str">
            <v xml:space="preserve">DMB </v>
          </cell>
          <cell r="F1111" t="str">
            <v>40337000 OLAF 40 310MM</v>
          </cell>
          <cell r="G1111" t="str">
            <v>C2325-1A</v>
          </cell>
          <cell r="H1111">
            <v>456</v>
          </cell>
          <cell r="I1111">
            <v>1.8</v>
          </cell>
          <cell r="J1111" t="str">
            <v>NVT</v>
          </cell>
          <cell r="K1111" t="str">
            <v>DELIMEAL HORECA</v>
          </cell>
          <cell r="L1111">
            <v>4</v>
          </cell>
          <cell r="M1111" t="str">
            <v>BULK LA</v>
          </cell>
          <cell r="N1111">
            <v>56</v>
          </cell>
          <cell r="O1111">
            <v>5410953512058</v>
          </cell>
          <cell r="P1111" t="str">
            <v>2T</v>
          </cell>
          <cell r="Q1111">
            <v>2</v>
          </cell>
          <cell r="R1111">
            <v>3</v>
          </cell>
          <cell r="S1111" t="str">
            <v>Folie perforeren</v>
          </cell>
          <cell r="T1111">
            <v>725</v>
          </cell>
          <cell r="U1111">
            <v>2</v>
          </cell>
          <cell r="V1111">
            <v>725</v>
          </cell>
          <cell r="W1111">
            <v>2</v>
          </cell>
          <cell r="X1111">
            <v>0</v>
          </cell>
          <cell r="Y1111">
            <v>0</v>
          </cell>
          <cell r="Z1111">
            <v>0</v>
          </cell>
          <cell r="AA1111" t="str">
            <v>! !</v>
          </cell>
          <cell r="AB1111">
            <v>224</v>
          </cell>
          <cell r="AC1111">
            <v>0</v>
          </cell>
          <cell r="AG1111">
            <v>17</v>
          </cell>
          <cell r="AJ1111" t="str">
            <v>-</v>
          </cell>
          <cell r="AL1111">
            <v>1020</v>
          </cell>
          <cell r="AM1111">
            <v>725</v>
          </cell>
          <cell r="AN1111" t="e">
            <v>#VALUE!</v>
          </cell>
          <cell r="AO1111" t="e">
            <v>#VALUE!</v>
          </cell>
          <cell r="AP1111">
            <v>295</v>
          </cell>
        </row>
        <row r="1112">
          <cell r="A1112">
            <v>65125100</v>
          </cell>
          <cell r="D1112" t="str">
            <v>DMB ERWTEN EN WORTELEN 1,8KG</v>
          </cell>
          <cell r="E1112" t="str">
            <v xml:space="preserve">DMB </v>
          </cell>
          <cell r="F1112" t="str">
            <v>40337000 OLAF 40 310MM</v>
          </cell>
          <cell r="G1112" t="str">
            <v>C2325-1C</v>
          </cell>
          <cell r="H1112">
            <v>456</v>
          </cell>
          <cell r="I1112">
            <v>1.8</v>
          </cell>
          <cell r="J1112" t="str">
            <v>NVT</v>
          </cell>
          <cell r="K1112" t="str">
            <v>DELIMEAL HORECA</v>
          </cell>
          <cell r="L1112">
            <v>4</v>
          </cell>
          <cell r="M1112" t="str">
            <v>BULK HO</v>
          </cell>
          <cell r="N1112">
            <v>48</v>
          </cell>
          <cell r="O1112">
            <v>5410953512515</v>
          </cell>
          <cell r="P1112" t="str">
            <v>//////</v>
          </cell>
          <cell r="Q1112">
            <v>1</v>
          </cell>
          <cell r="R1112">
            <v>3</v>
          </cell>
          <cell r="S1112" t="str">
            <v>Folie perforeren</v>
          </cell>
          <cell r="T1112">
            <v>725</v>
          </cell>
          <cell r="U1112">
            <v>5</v>
          </cell>
          <cell r="V1112">
            <v>725</v>
          </cell>
          <cell r="W1112">
            <v>5</v>
          </cell>
          <cell r="X1112">
            <v>0</v>
          </cell>
          <cell r="Y1112">
            <v>0</v>
          </cell>
          <cell r="Z1112">
            <v>0</v>
          </cell>
          <cell r="AA1112" t="str">
            <v>-</v>
          </cell>
          <cell r="AB1112">
            <v>400</v>
          </cell>
          <cell r="AC1112">
            <v>0</v>
          </cell>
          <cell r="AG1112">
            <v>17</v>
          </cell>
          <cell r="AJ1112" t="str">
            <v>-</v>
          </cell>
          <cell r="AL1112">
            <v>1020</v>
          </cell>
          <cell r="AM1112">
            <v>725</v>
          </cell>
          <cell r="AN1112" t="e">
            <v>#VALUE!</v>
          </cell>
          <cell r="AO1112" t="e">
            <v>#VALUE!</v>
          </cell>
          <cell r="AP1112">
            <v>295</v>
          </cell>
        </row>
        <row r="1113">
          <cell r="A1113">
            <v>65125500</v>
          </cell>
          <cell r="D1113" t="str">
            <v>DMB BROCCOLI  1,6KG</v>
          </cell>
          <cell r="E1113" t="str">
            <v xml:space="preserve">DMB </v>
          </cell>
          <cell r="F1113" t="str">
            <v>40337000 OLAF 40 310MM</v>
          </cell>
          <cell r="G1113" t="str">
            <v>C2325-1C</v>
          </cell>
          <cell r="H1113">
            <v>456</v>
          </cell>
          <cell r="I1113">
            <v>1.6</v>
          </cell>
          <cell r="J1113" t="str">
            <v>NVT</v>
          </cell>
          <cell r="K1113" t="str">
            <v>DELIMEAL HORECA</v>
          </cell>
          <cell r="L1113">
            <v>4</v>
          </cell>
          <cell r="M1113" t="str">
            <v>BULK HO</v>
          </cell>
          <cell r="N1113">
            <v>48</v>
          </cell>
          <cell r="O1113">
            <v>5410953512553</v>
          </cell>
          <cell r="P1113" t="str">
            <v>//////</v>
          </cell>
          <cell r="Q1113">
            <v>1</v>
          </cell>
          <cell r="R1113">
            <v>3</v>
          </cell>
          <cell r="S1113" t="str">
            <v>Folie perforeren</v>
          </cell>
          <cell r="T1113">
            <v>800</v>
          </cell>
          <cell r="U1113">
            <v>6</v>
          </cell>
          <cell r="V1113">
            <v>800</v>
          </cell>
          <cell r="W1113">
            <v>6</v>
          </cell>
          <cell r="X1113">
            <v>0</v>
          </cell>
          <cell r="Y1113">
            <v>0</v>
          </cell>
          <cell r="Z1113">
            <v>0</v>
          </cell>
          <cell r="AA1113" t="str">
            <v>-</v>
          </cell>
          <cell r="AB1113">
            <v>192</v>
          </cell>
          <cell r="AC1113">
            <v>0</v>
          </cell>
          <cell r="AG1113">
            <v>18</v>
          </cell>
          <cell r="AJ1113" t="str">
            <v>-</v>
          </cell>
          <cell r="AL1113">
            <v>1080</v>
          </cell>
          <cell r="AM1113">
            <v>800</v>
          </cell>
          <cell r="AN1113" t="e">
            <v>#VALUE!</v>
          </cell>
          <cell r="AO1113" t="e">
            <v>#VALUE!</v>
          </cell>
          <cell r="AP1113">
            <v>280</v>
          </cell>
        </row>
        <row r="1114">
          <cell r="A1114">
            <v>65126000</v>
          </cell>
          <cell r="D1114" t="str">
            <v>DMB SAVOOIKOOL WITTE SAUS 1,8KG</v>
          </cell>
          <cell r="E1114" t="str">
            <v xml:space="preserve">DMB </v>
          </cell>
          <cell r="F1114" t="str">
            <v>40337000 OLAF 40 310MM</v>
          </cell>
          <cell r="G1114" t="str">
            <v>C2325-1A</v>
          </cell>
          <cell r="H1114">
            <v>456</v>
          </cell>
          <cell r="I1114">
            <v>1.8</v>
          </cell>
          <cell r="J1114" t="str">
            <v>NVT</v>
          </cell>
          <cell r="K1114" t="str">
            <v>DELIMEAL HORECA</v>
          </cell>
          <cell r="L1114">
            <v>4</v>
          </cell>
          <cell r="M1114" t="str">
            <v>BULK LA</v>
          </cell>
          <cell r="N1114">
            <v>56</v>
          </cell>
          <cell r="O1114">
            <v>5410953512607</v>
          </cell>
          <cell r="P1114" t="str">
            <v>2T</v>
          </cell>
          <cell r="Q1114">
            <v>1</v>
          </cell>
          <cell r="R1114">
            <v>3</v>
          </cell>
          <cell r="S1114" t="str">
            <v>Folie perforeren</v>
          </cell>
          <cell r="T1114">
            <v>725</v>
          </cell>
          <cell r="U1114">
            <v>2</v>
          </cell>
          <cell r="V1114">
            <v>725</v>
          </cell>
          <cell r="W1114">
            <v>2</v>
          </cell>
          <cell r="X1114">
            <v>0</v>
          </cell>
          <cell r="Y1114">
            <v>0</v>
          </cell>
          <cell r="Z1114">
            <v>0</v>
          </cell>
          <cell r="AA1114" t="str">
            <v>! !</v>
          </cell>
          <cell r="AC1114">
            <v>0</v>
          </cell>
          <cell r="AG1114">
            <v>17</v>
          </cell>
          <cell r="AJ1114" t="str">
            <v>-</v>
          </cell>
          <cell r="AL1114">
            <v>1020</v>
          </cell>
          <cell r="AM1114">
            <v>725</v>
          </cell>
          <cell r="AN1114" t="e">
            <v>#VALUE!</v>
          </cell>
          <cell r="AO1114" t="e">
            <v>#VALUE!</v>
          </cell>
          <cell r="AP1114">
            <v>295</v>
          </cell>
        </row>
        <row r="1115">
          <cell r="A1115">
            <v>65126200</v>
          </cell>
          <cell r="D1115" t="str">
            <v>DMB BOTERBOONTJES 1,8KG</v>
          </cell>
          <cell r="E1115" t="str">
            <v xml:space="preserve">DMB </v>
          </cell>
          <cell r="F1115" t="str">
            <v>40337000 OLAF 40 310MM</v>
          </cell>
          <cell r="G1115" t="str">
            <v>C2325-1C</v>
          </cell>
          <cell r="H1115">
            <v>456</v>
          </cell>
          <cell r="I1115">
            <v>1.8</v>
          </cell>
          <cell r="J1115" t="str">
            <v>NVT</v>
          </cell>
          <cell r="K1115" t="str">
            <v>DELIMEAL HORECA</v>
          </cell>
          <cell r="L1115">
            <v>4</v>
          </cell>
          <cell r="M1115" t="str">
            <v>BULK HO</v>
          </cell>
          <cell r="N1115">
            <v>48</v>
          </cell>
          <cell r="O1115">
            <v>5410953512621</v>
          </cell>
          <cell r="P1115" t="str">
            <v>//////</v>
          </cell>
          <cell r="Q1115">
            <v>1</v>
          </cell>
          <cell r="R1115">
            <v>3</v>
          </cell>
          <cell r="S1115" t="str">
            <v>Folie perforeren</v>
          </cell>
          <cell r="T1115">
            <v>725</v>
          </cell>
          <cell r="U1115">
            <v>5</v>
          </cell>
          <cell r="V1115">
            <v>725</v>
          </cell>
          <cell r="W1115">
            <v>5</v>
          </cell>
          <cell r="X1115">
            <v>0</v>
          </cell>
          <cell r="Y1115">
            <v>0</v>
          </cell>
          <cell r="Z1115">
            <v>0</v>
          </cell>
          <cell r="AA1115" t="str">
            <v>-</v>
          </cell>
          <cell r="AB1115">
            <v>192</v>
          </cell>
          <cell r="AC1115">
            <v>0</v>
          </cell>
          <cell r="AG1115">
            <v>17</v>
          </cell>
          <cell r="AJ1115" t="str">
            <v>-</v>
          </cell>
          <cell r="AL1115">
            <v>1020</v>
          </cell>
          <cell r="AM1115">
            <v>725</v>
          </cell>
          <cell r="AN1115" t="e">
            <v>#VALUE!</v>
          </cell>
          <cell r="AO1115" t="e">
            <v>#VALUE!</v>
          </cell>
          <cell r="AP1115">
            <v>295</v>
          </cell>
        </row>
        <row r="1116">
          <cell r="A1116">
            <v>65126300</v>
          </cell>
          <cell r="D1116" t="str">
            <v>DMB MEXICAANSE GROENTENMIX 1,8KG</v>
          </cell>
          <cell r="E1116" t="str">
            <v xml:space="preserve">DMB </v>
          </cell>
          <cell r="F1116" t="str">
            <v>40337000 OLAF 40 310MM</v>
          </cell>
          <cell r="G1116" t="str">
            <v>C2325-1C</v>
          </cell>
          <cell r="H1116">
            <v>456</v>
          </cell>
          <cell r="I1116">
            <v>1.8</v>
          </cell>
          <cell r="J1116" t="str">
            <v>NVT</v>
          </cell>
          <cell r="K1116" t="str">
            <v>DELIMEAL HORECA</v>
          </cell>
          <cell r="L1116">
            <v>4</v>
          </cell>
          <cell r="M1116" t="str">
            <v>BULK HO</v>
          </cell>
          <cell r="N1116">
            <v>48</v>
          </cell>
          <cell r="O1116">
            <v>5410953512638</v>
          </cell>
          <cell r="P1116" t="str">
            <v>//////</v>
          </cell>
          <cell r="Q1116">
            <v>1</v>
          </cell>
          <cell r="R1116">
            <v>3</v>
          </cell>
          <cell r="S1116" t="str">
            <v>Folie perforeren</v>
          </cell>
          <cell r="T1116">
            <v>725</v>
          </cell>
          <cell r="U1116">
            <v>5</v>
          </cell>
          <cell r="V1116">
            <v>725</v>
          </cell>
          <cell r="W1116">
            <v>5</v>
          </cell>
          <cell r="X1116">
            <v>0</v>
          </cell>
          <cell r="Y1116">
            <v>0</v>
          </cell>
          <cell r="Z1116">
            <v>0</v>
          </cell>
          <cell r="AA1116" t="str">
            <v>-</v>
          </cell>
          <cell r="AC1116">
            <v>0</v>
          </cell>
          <cell r="AG1116">
            <v>17</v>
          </cell>
          <cell r="AJ1116" t="str">
            <v>-</v>
          </cell>
          <cell r="AL1116">
            <v>1020</v>
          </cell>
          <cell r="AM1116">
            <v>725</v>
          </cell>
          <cell r="AN1116" t="e">
            <v>#VALUE!</v>
          </cell>
          <cell r="AO1116" t="e">
            <v>#VALUE!</v>
          </cell>
          <cell r="AP1116">
            <v>295</v>
          </cell>
        </row>
        <row r="1117">
          <cell r="A1117">
            <v>65132000</v>
          </cell>
          <cell r="D1117" t="str">
            <v>DMB SPAGHETTI 1,62KG</v>
          </cell>
          <cell r="E1117" t="str">
            <v xml:space="preserve">DMB </v>
          </cell>
          <cell r="F1117" t="str">
            <v>40337000 OLAF 40 310MM</v>
          </cell>
          <cell r="G1117" t="str">
            <v>C2325-1C</v>
          </cell>
          <cell r="H1117">
            <v>456</v>
          </cell>
          <cell r="I1117">
            <v>1.62</v>
          </cell>
          <cell r="J1117" t="str">
            <v>NVT</v>
          </cell>
          <cell r="K1117" t="str">
            <v>DELIMEAL HORECA</v>
          </cell>
          <cell r="L1117">
            <v>4</v>
          </cell>
          <cell r="M1117" t="str">
            <v>BULK HO</v>
          </cell>
          <cell r="N1117">
            <v>48</v>
          </cell>
          <cell r="O1117">
            <v>5410953513208</v>
          </cell>
          <cell r="P1117" t="str">
            <v>//////</v>
          </cell>
          <cell r="Q1117">
            <v>2</v>
          </cell>
          <cell r="R1117">
            <v>3</v>
          </cell>
          <cell r="S1117" t="str">
            <v>Folie perforeren</v>
          </cell>
          <cell r="T1117">
            <v>800</v>
          </cell>
          <cell r="U1117">
            <v>6</v>
          </cell>
          <cell r="V1117">
            <v>800</v>
          </cell>
          <cell r="W1117">
            <v>6</v>
          </cell>
          <cell r="X1117">
            <v>0</v>
          </cell>
          <cell r="Y1117">
            <v>0</v>
          </cell>
          <cell r="Z1117">
            <v>0</v>
          </cell>
          <cell r="AA1117" t="str">
            <v>! !</v>
          </cell>
          <cell r="AB1117">
            <v>500</v>
          </cell>
          <cell r="AC1117">
            <v>0</v>
          </cell>
          <cell r="AG1117">
            <v>18</v>
          </cell>
          <cell r="AJ1117" t="str">
            <v>-</v>
          </cell>
          <cell r="AL1117">
            <v>1080</v>
          </cell>
          <cell r="AM1117">
            <v>800</v>
          </cell>
          <cell r="AN1117" t="e">
            <v>#VALUE!</v>
          </cell>
          <cell r="AO1117" t="e">
            <v>#VALUE!</v>
          </cell>
          <cell r="AP1117">
            <v>280</v>
          </cell>
        </row>
        <row r="1118">
          <cell r="A1118">
            <v>65132100</v>
          </cell>
          <cell r="D1118" t="str">
            <v>DMB MACARONI 1,62KG</v>
          </cell>
          <cell r="E1118" t="str">
            <v xml:space="preserve">DMB </v>
          </cell>
          <cell r="F1118" t="str">
            <v>40337000 OLAF 40 310MM</v>
          </cell>
          <cell r="G1118" t="str">
            <v>C2325-1C</v>
          </cell>
          <cell r="H1118">
            <v>456</v>
          </cell>
          <cell r="I1118">
            <v>1.62</v>
          </cell>
          <cell r="J1118" t="str">
            <v>NVT</v>
          </cell>
          <cell r="K1118" t="str">
            <v>DELIMEAL HORECA</v>
          </cell>
          <cell r="L1118">
            <v>4</v>
          </cell>
          <cell r="M1118" t="str">
            <v>BULK HO</v>
          </cell>
          <cell r="N1118">
            <v>48</v>
          </cell>
          <cell r="O1118">
            <v>5410953513215</v>
          </cell>
          <cell r="P1118" t="str">
            <v>//////</v>
          </cell>
          <cell r="Q1118">
            <v>1</v>
          </cell>
          <cell r="R1118">
            <v>3</v>
          </cell>
          <cell r="S1118" t="str">
            <v>Folie perforeren</v>
          </cell>
          <cell r="T1118">
            <v>800</v>
          </cell>
          <cell r="U1118">
            <v>5</v>
          </cell>
          <cell r="V1118">
            <v>800</v>
          </cell>
          <cell r="W1118">
            <v>5</v>
          </cell>
          <cell r="X1118">
            <v>0</v>
          </cell>
          <cell r="Y1118">
            <v>0</v>
          </cell>
          <cell r="Z1118">
            <v>0</v>
          </cell>
          <cell r="AA1118" t="str">
            <v>! !</v>
          </cell>
          <cell r="AB1118">
            <v>500</v>
          </cell>
          <cell r="AC1118">
            <v>0</v>
          </cell>
          <cell r="AG1118">
            <v>18</v>
          </cell>
          <cell r="AJ1118" t="str">
            <v>-</v>
          </cell>
          <cell r="AL1118">
            <v>1080</v>
          </cell>
          <cell r="AM1118">
            <v>800</v>
          </cell>
          <cell r="AN1118" t="e">
            <v>#VALUE!</v>
          </cell>
          <cell r="AO1118" t="e">
            <v>#VALUE!</v>
          </cell>
          <cell r="AP1118">
            <v>280</v>
          </cell>
        </row>
        <row r="1119">
          <cell r="A1119">
            <v>65132200</v>
          </cell>
          <cell r="D1119" t="str">
            <v>DMB PENNE 1,62KG</v>
          </cell>
          <cell r="E1119" t="str">
            <v xml:space="preserve">DMB </v>
          </cell>
          <cell r="F1119" t="str">
            <v>40337000 OLAF 40 310MM</v>
          </cell>
          <cell r="G1119" t="str">
            <v>C2325-1C</v>
          </cell>
          <cell r="H1119">
            <v>456</v>
          </cell>
          <cell r="I1119">
            <v>1.62</v>
          </cell>
          <cell r="J1119" t="str">
            <v>NVT</v>
          </cell>
          <cell r="K1119" t="str">
            <v>DELIMEAL HORECA</v>
          </cell>
          <cell r="L1119">
            <v>4</v>
          </cell>
          <cell r="M1119" t="str">
            <v>BULK HO</v>
          </cell>
          <cell r="N1119">
            <v>48</v>
          </cell>
          <cell r="O1119">
            <v>5410953513222</v>
          </cell>
          <cell r="P1119" t="str">
            <v>//////</v>
          </cell>
          <cell r="Q1119">
            <v>1</v>
          </cell>
          <cell r="R1119">
            <v>3</v>
          </cell>
          <cell r="S1119" t="str">
            <v>Folie perforeren</v>
          </cell>
          <cell r="T1119">
            <v>1000</v>
          </cell>
          <cell r="U1119">
            <v>5</v>
          </cell>
          <cell r="V1119">
            <v>1000</v>
          </cell>
          <cell r="W1119">
            <v>5</v>
          </cell>
          <cell r="X1119">
            <v>0</v>
          </cell>
          <cell r="Y1119">
            <v>0</v>
          </cell>
          <cell r="AA1119" t="str">
            <v>! !</v>
          </cell>
          <cell r="AB1119">
            <v>500</v>
          </cell>
          <cell r="AC1119">
            <v>0</v>
          </cell>
          <cell r="AG1119">
            <v>20</v>
          </cell>
          <cell r="AJ1119" t="str">
            <v>-</v>
          </cell>
          <cell r="AL1119">
            <v>1200</v>
          </cell>
          <cell r="AM1119">
            <v>1000</v>
          </cell>
          <cell r="AN1119" t="e">
            <v>#VALUE!</v>
          </cell>
          <cell r="AO1119" t="e">
            <v>#VALUE!</v>
          </cell>
          <cell r="AP1119">
            <v>200</v>
          </cell>
        </row>
        <row r="1120">
          <cell r="A1120">
            <v>65132400</v>
          </cell>
          <cell r="D1120" t="str">
            <v>DMB SPIRELLI 1,62KG</v>
          </cell>
          <cell r="E1120" t="str">
            <v xml:space="preserve">DMB </v>
          </cell>
          <cell r="F1120" t="str">
            <v>40337000 OLAF 40 310MM</v>
          </cell>
          <cell r="G1120" t="str">
            <v>C2325-1C</v>
          </cell>
          <cell r="H1120">
            <v>456</v>
          </cell>
          <cell r="I1120">
            <v>1.62</v>
          </cell>
          <cell r="J1120" t="str">
            <v>NVT</v>
          </cell>
          <cell r="K1120" t="str">
            <v>DELIMEAL HORECA</v>
          </cell>
          <cell r="L1120">
            <v>4</v>
          </cell>
          <cell r="M1120" t="str">
            <v>BULK HO</v>
          </cell>
          <cell r="N1120">
            <v>48</v>
          </cell>
          <cell r="O1120">
            <v>5410953513246</v>
          </cell>
          <cell r="P1120" t="str">
            <v>//////</v>
          </cell>
          <cell r="Q1120">
            <v>1</v>
          </cell>
          <cell r="R1120">
            <v>3</v>
          </cell>
          <cell r="S1120" t="str">
            <v>Folie perforeren</v>
          </cell>
          <cell r="T1120">
            <v>800</v>
          </cell>
          <cell r="U1120">
            <v>5</v>
          </cell>
          <cell r="V1120">
            <v>800</v>
          </cell>
          <cell r="W1120">
            <v>5</v>
          </cell>
          <cell r="X1120">
            <v>0</v>
          </cell>
          <cell r="Y1120">
            <v>0</v>
          </cell>
          <cell r="Z1120">
            <v>0</v>
          </cell>
          <cell r="AA1120" t="str">
            <v>! !</v>
          </cell>
          <cell r="AB1120">
            <v>500</v>
          </cell>
          <cell r="AC1120">
            <v>0</v>
          </cell>
          <cell r="AG1120">
            <v>18</v>
          </cell>
          <cell r="AJ1120" t="str">
            <v>-</v>
          </cell>
          <cell r="AL1120">
            <v>1080</v>
          </cell>
          <cell r="AM1120">
            <v>800</v>
          </cell>
          <cell r="AN1120" t="e">
            <v>#VALUE!</v>
          </cell>
          <cell r="AO1120" t="e">
            <v>#VALUE!</v>
          </cell>
          <cell r="AP1120">
            <v>280</v>
          </cell>
        </row>
        <row r="1121">
          <cell r="A1121">
            <v>65132500</v>
          </cell>
          <cell r="D1121" t="str">
            <v>DMB PENNE VOLKOREN 1,62KG</v>
          </cell>
          <cell r="E1121" t="str">
            <v xml:space="preserve">DMB </v>
          </cell>
          <cell r="F1121" t="str">
            <v>40337000 OLAF 40 310MM</v>
          </cell>
          <cell r="G1121" t="str">
            <v>C2325-1C</v>
          </cell>
          <cell r="H1121">
            <v>456</v>
          </cell>
          <cell r="I1121">
            <v>1.62</v>
          </cell>
          <cell r="J1121" t="str">
            <v>NVT</v>
          </cell>
          <cell r="K1121" t="str">
            <v>DELIMEAL HORECA</v>
          </cell>
          <cell r="L1121">
            <v>4</v>
          </cell>
          <cell r="M1121" t="str">
            <v>BULK HO</v>
          </cell>
          <cell r="N1121">
            <v>48</v>
          </cell>
          <cell r="O1121">
            <v>5410953513253</v>
          </cell>
          <cell r="P1121" t="str">
            <v>//////</v>
          </cell>
          <cell r="Q1121">
            <v>1</v>
          </cell>
          <cell r="R1121">
            <v>3</v>
          </cell>
          <cell r="S1121" t="str">
            <v>Folie perforeren</v>
          </cell>
          <cell r="T1121">
            <v>800</v>
          </cell>
          <cell r="U1121">
            <v>5</v>
          </cell>
          <cell r="V1121">
            <v>800</v>
          </cell>
          <cell r="W1121">
            <v>5</v>
          </cell>
          <cell r="X1121">
            <v>0</v>
          </cell>
          <cell r="Y1121">
            <v>0</v>
          </cell>
          <cell r="Z1121">
            <v>0</v>
          </cell>
          <cell r="AA1121" t="str">
            <v>! !</v>
          </cell>
          <cell r="AB1121">
            <v>500</v>
          </cell>
          <cell r="AC1121">
            <v>0</v>
          </cell>
          <cell r="AG1121">
            <v>18</v>
          </cell>
          <cell r="AJ1121" t="str">
            <v>-</v>
          </cell>
          <cell r="AL1121">
            <v>1080</v>
          </cell>
          <cell r="AM1121">
            <v>800</v>
          </cell>
          <cell r="AN1121" t="e">
            <v>#VALUE!</v>
          </cell>
          <cell r="AO1121" t="e">
            <v>#VALUE!</v>
          </cell>
          <cell r="AP1121">
            <v>280</v>
          </cell>
        </row>
        <row r="1122">
          <cell r="A1122">
            <v>65133100</v>
          </cell>
          <cell r="D1122" t="str">
            <v>DMB LASAGNETTI 1,5KG</v>
          </cell>
          <cell r="E1122" t="str">
            <v xml:space="preserve">DMB </v>
          </cell>
          <cell r="F1122" t="str">
            <v>40337000 OLAF 40 310MM</v>
          </cell>
          <cell r="G1122" t="str">
            <v>C2325-1C</v>
          </cell>
          <cell r="H1122">
            <v>456</v>
          </cell>
          <cell r="I1122">
            <v>1.5</v>
          </cell>
          <cell r="J1122" t="str">
            <v>NVT</v>
          </cell>
          <cell r="K1122" t="str">
            <v>DELIMEAL HORECA</v>
          </cell>
          <cell r="L1122">
            <v>4</v>
          </cell>
          <cell r="M1122" t="str">
            <v>BULK HO</v>
          </cell>
          <cell r="N1122">
            <v>48</v>
          </cell>
          <cell r="O1122">
            <v>5410953513314</v>
          </cell>
          <cell r="P1122" t="str">
            <v>//////</v>
          </cell>
          <cell r="Q1122">
            <v>1</v>
          </cell>
          <cell r="R1122">
            <v>2</v>
          </cell>
          <cell r="S1122" t="str">
            <v>Folie perforeren</v>
          </cell>
          <cell r="T1122">
            <v>870</v>
          </cell>
          <cell r="U1122">
            <v>6</v>
          </cell>
          <cell r="V1122">
            <v>870</v>
          </cell>
          <cell r="W1122">
            <v>6</v>
          </cell>
          <cell r="X1122">
            <v>0</v>
          </cell>
          <cell r="Y1122">
            <v>0</v>
          </cell>
          <cell r="Z1122">
            <v>0</v>
          </cell>
          <cell r="AA1122" t="str">
            <v>! !</v>
          </cell>
          <cell r="AB1122">
            <v>710</v>
          </cell>
          <cell r="AC1122">
            <v>0</v>
          </cell>
          <cell r="AG1122">
            <v>18</v>
          </cell>
          <cell r="AJ1122" t="str">
            <v>-</v>
          </cell>
          <cell r="AL1122">
            <v>1080</v>
          </cell>
          <cell r="AM1122">
            <v>870</v>
          </cell>
          <cell r="AN1122" t="e">
            <v>#VALUE!</v>
          </cell>
          <cell r="AO1122" t="e">
            <v>#VALUE!</v>
          </cell>
          <cell r="AP1122">
            <v>210</v>
          </cell>
        </row>
        <row r="1123">
          <cell r="A1123">
            <v>65134100</v>
          </cell>
          <cell r="D1123" t="str">
            <v>DMB RIJST MET GROENTEN 1,8KG</v>
          </cell>
          <cell r="E1123" t="str">
            <v xml:space="preserve">DMB </v>
          </cell>
          <cell r="F1123" t="str">
            <v>40337000 OLAF 40 310MM</v>
          </cell>
          <cell r="G1123" t="str">
            <v>C2325-1C</v>
          </cell>
          <cell r="H1123">
            <v>456</v>
          </cell>
          <cell r="I1123">
            <v>1.8</v>
          </cell>
          <cell r="J1123" t="str">
            <v>NVT</v>
          </cell>
          <cell r="K1123" t="str">
            <v>DELIMEAL HORECA</v>
          </cell>
          <cell r="L1123">
            <v>4</v>
          </cell>
          <cell r="M1123" t="str">
            <v>BULK HO</v>
          </cell>
          <cell r="N1123">
            <v>48</v>
          </cell>
          <cell r="O1123">
            <v>5410953513413</v>
          </cell>
          <cell r="P1123" t="str">
            <v>//////</v>
          </cell>
          <cell r="Q1123">
            <v>2</v>
          </cell>
          <cell r="R1123">
            <v>3</v>
          </cell>
          <cell r="S1123" t="str">
            <v>rijst D-1, Folie perforeren</v>
          </cell>
          <cell r="T1123">
            <v>725</v>
          </cell>
          <cell r="U1123">
            <v>5</v>
          </cell>
          <cell r="V1123">
            <v>725</v>
          </cell>
          <cell r="W1123">
            <v>5</v>
          </cell>
          <cell r="X1123">
            <v>0</v>
          </cell>
          <cell r="Y1123">
            <v>0</v>
          </cell>
          <cell r="Z1123">
            <v>0</v>
          </cell>
          <cell r="AA1123" t="str">
            <v>! ! !</v>
          </cell>
          <cell r="AB1123">
            <v>900</v>
          </cell>
          <cell r="AC1123">
            <v>0</v>
          </cell>
          <cell r="AG1123">
            <v>17</v>
          </cell>
          <cell r="AJ1123" t="str">
            <v>-</v>
          </cell>
          <cell r="AL1123">
            <v>1020</v>
          </cell>
          <cell r="AM1123">
            <v>725</v>
          </cell>
          <cell r="AN1123" t="e">
            <v>#VALUE!</v>
          </cell>
          <cell r="AO1123" t="e">
            <v>#VALUE!</v>
          </cell>
          <cell r="AP1123">
            <v>295</v>
          </cell>
        </row>
        <row r="1124">
          <cell r="A1124">
            <v>65140300</v>
          </cell>
          <cell r="D1124" t="str">
            <v>DMB KALKOENSCHNITZEL GESNEDEN 1,2KG</v>
          </cell>
          <cell r="E1124" t="str">
            <v xml:space="preserve">DMB </v>
          </cell>
          <cell r="F1124" t="str">
            <v>40337000 OLAF 40 310MM</v>
          </cell>
          <cell r="G1124" t="str">
            <v>C2325-1C</v>
          </cell>
          <cell r="H1124">
            <v>456</v>
          </cell>
          <cell r="I1124">
            <v>1.2</v>
          </cell>
          <cell r="J1124" t="str">
            <v>NVT</v>
          </cell>
          <cell r="K1124" t="str">
            <v>DELIMEAL HORECA</v>
          </cell>
          <cell r="L1124">
            <v>4</v>
          </cell>
          <cell r="M1124" t="str">
            <v>BULK HO</v>
          </cell>
          <cell r="N1124">
            <v>48</v>
          </cell>
          <cell r="O1124">
            <v>5410953514038</v>
          </cell>
          <cell r="P1124" t="str">
            <v>//////</v>
          </cell>
          <cell r="Q1124">
            <v>0</v>
          </cell>
          <cell r="R1124">
            <v>3</v>
          </cell>
          <cell r="S1124" t="str">
            <v>shnitzel 3 weken levertermijn, Folie perforeren</v>
          </cell>
          <cell r="T1124">
            <v>1000</v>
          </cell>
          <cell r="U1124">
            <v>6</v>
          </cell>
          <cell r="V1124">
            <v>1000</v>
          </cell>
          <cell r="W1124">
            <v>6</v>
          </cell>
          <cell r="X1124">
            <v>0</v>
          </cell>
          <cell r="Y1124">
            <v>0</v>
          </cell>
          <cell r="Z1124">
            <v>0</v>
          </cell>
          <cell r="AA1124" t="str">
            <v>! ! !</v>
          </cell>
          <cell r="AC1124">
            <v>0</v>
          </cell>
          <cell r="AG1124">
            <v>20</v>
          </cell>
          <cell r="AJ1124" t="str">
            <v>-</v>
          </cell>
          <cell r="AL1124">
            <v>1200</v>
          </cell>
          <cell r="AM1124">
            <v>1000</v>
          </cell>
          <cell r="AN1124" t="e">
            <v>#VALUE!</v>
          </cell>
          <cell r="AO1124" t="e">
            <v>#VALUE!</v>
          </cell>
          <cell r="AP1124">
            <v>200</v>
          </cell>
        </row>
        <row r="1125">
          <cell r="A1125">
            <v>65140700</v>
          </cell>
          <cell r="D1125" t="str">
            <v>DMB CORDON BLEU GESNEDEN 1,2KG</v>
          </cell>
          <cell r="E1125" t="str">
            <v xml:space="preserve">DMB </v>
          </cell>
          <cell r="F1125" t="str">
            <v>40337000 OLAF 40 310MM</v>
          </cell>
          <cell r="G1125" t="str">
            <v>C2325-1C</v>
          </cell>
          <cell r="H1125">
            <v>456</v>
          </cell>
          <cell r="I1125">
            <v>1.2</v>
          </cell>
          <cell r="J1125" t="str">
            <v>NVT</v>
          </cell>
          <cell r="K1125" t="str">
            <v>DELIMEAL HORECA</v>
          </cell>
          <cell r="L1125">
            <v>4</v>
          </cell>
          <cell r="M1125" t="str">
            <v>BULK HO</v>
          </cell>
          <cell r="N1125">
            <v>48</v>
          </cell>
          <cell r="O1125">
            <v>5410953514076</v>
          </cell>
          <cell r="P1125" t="str">
            <v>//////</v>
          </cell>
          <cell r="Q1125">
            <v>0</v>
          </cell>
          <cell r="R1125">
            <v>3</v>
          </cell>
          <cell r="S1125" t="str">
            <v>Folie perforeren</v>
          </cell>
          <cell r="T1125">
            <v>1000</v>
          </cell>
          <cell r="U1125">
            <v>6</v>
          </cell>
          <cell r="V1125">
            <v>1000</v>
          </cell>
          <cell r="W1125">
            <v>6</v>
          </cell>
          <cell r="X1125">
            <v>0</v>
          </cell>
          <cell r="Y1125">
            <v>0</v>
          </cell>
          <cell r="Z1125">
            <v>0</v>
          </cell>
          <cell r="AA1125" t="str">
            <v>! ! !</v>
          </cell>
          <cell r="AC1125">
            <v>0</v>
          </cell>
          <cell r="AG1125">
            <v>20</v>
          </cell>
          <cell r="AJ1125" t="str">
            <v>-</v>
          </cell>
          <cell r="AL1125">
            <v>1200</v>
          </cell>
          <cell r="AM1125">
            <v>1000</v>
          </cell>
          <cell r="AN1125" t="e">
            <v>#VALUE!</v>
          </cell>
          <cell r="AO1125" t="e">
            <v>#VALUE!</v>
          </cell>
          <cell r="AP1125">
            <v>200</v>
          </cell>
        </row>
        <row r="1126">
          <cell r="A1126">
            <v>65140800</v>
          </cell>
          <cell r="D1126" t="str">
            <v>DMB VEGETARISCHE SCHNITZEL 1,2KG</v>
          </cell>
          <cell r="E1126" t="str">
            <v xml:space="preserve">DMB </v>
          </cell>
          <cell r="F1126" t="str">
            <v>40337000 OLAF 40 310MM</v>
          </cell>
          <cell r="G1126" t="str">
            <v>C2325-1C</v>
          </cell>
          <cell r="H1126">
            <v>456</v>
          </cell>
          <cell r="I1126">
            <v>1.2</v>
          </cell>
          <cell r="J1126" t="str">
            <v>NVT</v>
          </cell>
          <cell r="K1126" t="str">
            <v>DELIMEAL HORECA</v>
          </cell>
          <cell r="L1126">
            <v>4</v>
          </cell>
          <cell r="M1126" t="str">
            <v>BULK HO</v>
          </cell>
          <cell r="N1126">
            <v>48</v>
          </cell>
          <cell r="O1126">
            <v>5410953514083</v>
          </cell>
          <cell r="P1126" t="str">
            <v>//////</v>
          </cell>
          <cell r="Q1126">
            <v>0</v>
          </cell>
          <cell r="R1126">
            <v>3</v>
          </cell>
          <cell r="S1126" t="str">
            <v>Folie perforeren</v>
          </cell>
          <cell r="T1126">
            <v>1000</v>
          </cell>
          <cell r="U1126">
            <v>5</v>
          </cell>
          <cell r="V1126">
            <v>1000</v>
          </cell>
          <cell r="W1126">
            <v>5</v>
          </cell>
          <cell r="X1126">
            <v>0</v>
          </cell>
          <cell r="Y1126">
            <v>0</v>
          </cell>
          <cell r="Z1126">
            <v>0</v>
          </cell>
          <cell r="AA1126" t="str">
            <v>! ! !</v>
          </cell>
          <cell r="AB1126">
            <v>192</v>
          </cell>
          <cell r="AC1126">
            <v>0</v>
          </cell>
          <cell r="AG1126">
            <v>20</v>
          </cell>
          <cell r="AJ1126" t="str">
            <v>-</v>
          </cell>
          <cell r="AL1126">
            <v>1200</v>
          </cell>
          <cell r="AM1126">
            <v>1000</v>
          </cell>
          <cell r="AN1126" t="e">
            <v>#VALUE!</v>
          </cell>
          <cell r="AO1126" t="e">
            <v>#VALUE!</v>
          </cell>
          <cell r="AP1126">
            <v>200</v>
          </cell>
        </row>
        <row r="1127">
          <cell r="A1127">
            <v>65140900</v>
          </cell>
          <cell r="D1127" t="str">
            <v>DMB VEGETARISCHE SCHNITZEL GESNEDEN 1,2KG</v>
          </cell>
          <cell r="E1127" t="str">
            <v xml:space="preserve">DMB </v>
          </cell>
          <cell r="F1127" t="str">
            <v>40337000 OLAF 40 310MM</v>
          </cell>
          <cell r="G1127" t="str">
            <v>C2325-1C</v>
          </cell>
          <cell r="H1127">
            <v>456</v>
          </cell>
          <cell r="I1127">
            <v>1.2</v>
          </cell>
          <cell r="J1127" t="str">
            <v>NVT</v>
          </cell>
          <cell r="K1127" t="str">
            <v>DELIMEAL HORECA</v>
          </cell>
          <cell r="L1127">
            <v>4</v>
          </cell>
          <cell r="M1127" t="str">
            <v>BULK HO</v>
          </cell>
          <cell r="N1127">
            <v>48</v>
          </cell>
          <cell r="O1127">
            <v>5410953514090</v>
          </cell>
          <cell r="P1127" t="str">
            <v>//////</v>
          </cell>
          <cell r="Q1127">
            <v>0</v>
          </cell>
          <cell r="R1127">
            <v>3</v>
          </cell>
          <cell r="S1127" t="str">
            <v>Folie perforeren, SCHNITZEL snijden</v>
          </cell>
          <cell r="T1127">
            <v>1000</v>
          </cell>
          <cell r="U1127">
            <v>5</v>
          </cell>
          <cell r="V1127">
            <v>1000</v>
          </cell>
          <cell r="W1127">
            <v>5</v>
          </cell>
          <cell r="X1127">
            <v>0</v>
          </cell>
          <cell r="Y1127">
            <v>0</v>
          </cell>
          <cell r="Z1127">
            <v>0</v>
          </cell>
          <cell r="AA1127" t="str">
            <v>! ! !</v>
          </cell>
          <cell r="AB1127">
            <v>192</v>
          </cell>
          <cell r="AC1127">
            <v>0</v>
          </cell>
          <cell r="AG1127">
            <v>20</v>
          </cell>
          <cell r="AJ1127" t="str">
            <v>-</v>
          </cell>
          <cell r="AL1127">
            <v>1200</v>
          </cell>
          <cell r="AM1127">
            <v>1000</v>
          </cell>
          <cell r="AN1127" t="e">
            <v>#VALUE!</v>
          </cell>
          <cell r="AO1127" t="e">
            <v>#VALUE!</v>
          </cell>
          <cell r="AP1127">
            <v>200</v>
          </cell>
        </row>
        <row r="1128">
          <cell r="A1128">
            <v>65141000</v>
          </cell>
          <cell r="D1128" t="str">
            <v>DMB VISKROKANTJE 1,2KG</v>
          </cell>
          <cell r="E1128" t="str">
            <v xml:space="preserve">DMB </v>
          </cell>
          <cell r="F1128" t="str">
            <v>40337000 OLAF 40 310MM</v>
          </cell>
          <cell r="G1128" t="str">
            <v>C2325-1C</v>
          </cell>
          <cell r="H1128">
            <v>456</v>
          </cell>
          <cell r="I1128">
            <v>1.2</v>
          </cell>
          <cell r="J1128" t="str">
            <v>NVT</v>
          </cell>
          <cell r="K1128" t="str">
            <v>DELIMEAL HORECA</v>
          </cell>
          <cell r="L1128">
            <v>4</v>
          </cell>
          <cell r="M1128" t="str">
            <v>BULK HO</v>
          </cell>
          <cell r="N1128">
            <v>48</v>
          </cell>
          <cell r="O1128">
            <v>5410953514106</v>
          </cell>
          <cell r="P1128" t="str">
            <v>//////</v>
          </cell>
          <cell r="Q1128">
            <v>0</v>
          </cell>
          <cell r="R1128">
            <v>3</v>
          </cell>
          <cell r="S1128" t="str">
            <v>Folie perforeren</v>
          </cell>
          <cell r="T1128">
            <v>700</v>
          </cell>
          <cell r="U1128">
            <v>8</v>
          </cell>
          <cell r="V1128">
            <v>700</v>
          </cell>
          <cell r="W1128">
            <v>8</v>
          </cell>
          <cell r="X1128">
            <v>0</v>
          </cell>
          <cell r="Y1128">
            <v>0</v>
          </cell>
          <cell r="Z1128">
            <v>0</v>
          </cell>
          <cell r="AA1128" t="str">
            <v>! ! ! !</v>
          </cell>
          <cell r="AB1128">
            <v>192</v>
          </cell>
          <cell r="AC1128">
            <v>0</v>
          </cell>
          <cell r="AG1128">
            <v>16</v>
          </cell>
          <cell r="AJ1128" t="str">
            <v>-</v>
          </cell>
          <cell r="AL1128">
            <v>960</v>
          </cell>
          <cell r="AM1128">
            <v>700</v>
          </cell>
          <cell r="AN1128" t="e">
            <v>#VALUE!</v>
          </cell>
          <cell r="AO1128" t="e">
            <v>#VALUE!</v>
          </cell>
          <cell r="AP1128">
            <v>260</v>
          </cell>
        </row>
        <row r="1129">
          <cell r="A1129">
            <v>65150600</v>
          </cell>
          <cell r="D1129" t="str">
            <v>DMB KAASSAUS 2,22KG</v>
          </cell>
          <cell r="E1129" t="str">
            <v>DMB HUB</v>
          </cell>
          <cell r="F1129" t="str">
            <v>40337000 OLAF 40 310MM</v>
          </cell>
          <cell r="G1129" t="str">
            <v>C2325-1C</v>
          </cell>
          <cell r="H1129">
            <v>456</v>
          </cell>
          <cell r="I1129">
            <v>2.2200000000000002</v>
          </cell>
          <cell r="J1129" t="str">
            <v>NVT</v>
          </cell>
          <cell r="K1129" t="str">
            <v>DELIMEAL HORECA</v>
          </cell>
          <cell r="L1129">
            <v>4</v>
          </cell>
          <cell r="M1129" t="str">
            <v>BULK HO</v>
          </cell>
          <cell r="N1129">
            <v>48</v>
          </cell>
          <cell r="O1129">
            <v>5410953515066</v>
          </cell>
          <cell r="P1129" t="str">
            <v>3T</v>
          </cell>
          <cell r="Q1129">
            <v>1</v>
          </cell>
          <cell r="R1129">
            <v>3</v>
          </cell>
          <cell r="S1129" t="str">
            <v>Folie perforeren</v>
          </cell>
          <cell r="T1129">
            <v>575</v>
          </cell>
          <cell r="U1129">
            <v>2</v>
          </cell>
          <cell r="V1129">
            <v>575</v>
          </cell>
          <cell r="W1129">
            <v>2</v>
          </cell>
          <cell r="X1129">
            <v>0</v>
          </cell>
          <cell r="Y1129">
            <v>0</v>
          </cell>
          <cell r="Z1129">
            <v>0</v>
          </cell>
          <cell r="AA1129" t="str">
            <v>! ! !</v>
          </cell>
          <cell r="AB1129">
            <v>100</v>
          </cell>
          <cell r="AC1129">
            <v>0</v>
          </cell>
          <cell r="AG1129">
            <v>14</v>
          </cell>
          <cell r="AJ1129" t="str">
            <v>-</v>
          </cell>
          <cell r="AL1129">
            <v>840</v>
          </cell>
          <cell r="AM1129">
            <v>575</v>
          </cell>
          <cell r="AN1129" t="e">
            <v>#VALUE!</v>
          </cell>
          <cell r="AO1129" t="e">
            <v>#VALUE!</v>
          </cell>
          <cell r="AP1129">
            <v>265</v>
          </cell>
        </row>
        <row r="1130">
          <cell r="A1130">
            <v>65300100</v>
          </cell>
          <cell r="D1130" t="str">
            <v>DMB BRAADJUS 800G</v>
          </cell>
          <cell r="E1130" t="str">
            <v xml:space="preserve">DMB </v>
          </cell>
          <cell r="F1130" t="str">
            <v>40336300 OLAF 30 290MM</v>
          </cell>
          <cell r="G1130" t="str">
            <v>C2227-1H evolve</v>
          </cell>
          <cell r="H1130">
            <v>456</v>
          </cell>
          <cell r="I1130">
            <v>0.8</v>
          </cell>
          <cell r="J1130" t="str">
            <v>NVT</v>
          </cell>
          <cell r="K1130" t="str">
            <v>DELIMEAL HORECA</v>
          </cell>
          <cell r="L1130">
            <v>6</v>
          </cell>
          <cell r="M1130" t="str">
            <v>DMC X 6</v>
          </cell>
          <cell r="N1130">
            <v>110</v>
          </cell>
          <cell r="O1130">
            <v>5410953530014</v>
          </cell>
          <cell r="P1130" t="str">
            <v>2T</v>
          </cell>
          <cell r="Q1130">
            <v>1</v>
          </cell>
          <cell r="R1130">
            <v>3</v>
          </cell>
          <cell r="S1130" t="str">
            <v>Folie perforeren</v>
          </cell>
          <cell r="T1130">
            <v>1000</v>
          </cell>
          <cell r="U1130">
            <v>3</v>
          </cell>
          <cell r="V1130">
            <v>1000</v>
          </cell>
          <cell r="W1130">
            <v>3</v>
          </cell>
          <cell r="X1130">
            <v>0</v>
          </cell>
          <cell r="Y1130">
            <v>0</v>
          </cell>
          <cell r="Z1130">
            <v>0</v>
          </cell>
          <cell r="AA1130" t="str">
            <v>! !</v>
          </cell>
          <cell r="AB1130">
            <v>660</v>
          </cell>
          <cell r="AC1130">
            <v>0</v>
          </cell>
          <cell r="AG1130">
            <v>22</v>
          </cell>
          <cell r="AJ1130" t="str">
            <v>-</v>
          </cell>
          <cell r="AL1130">
            <v>1320</v>
          </cell>
          <cell r="AM1130">
            <v>1000</v>
          </cell>
          <cell r="AN1130" t="e">
            <v>#VALUE!</v>
          </cell>
          <cell r="AO1130" t="e">
            <v>#VALUE!</v>
          </cell>
          <cell r="AP1130">
            <v>320</v>
          </cell>
        </row>
        <row r="1131">
          <cell r="A1131">
            <v>65300300</v>
          </cell>
          <cell r="D1131" t="str">
            <v>DMB HOLLANDAISESAUS 800G</v>
          </cell>
          <cell r="E1131" t="str">
            <v xml:space="preserve">DMB </v>
          </cell>
          <cell r="F1131" t="str">
            <v>40336300 OLAF 30 290MM</v>
          </cell>
          <cell r="G1131" t="str">
            <v>C2227-1H evolve</v>
          </cell>
          <cell r="H1131">
            <v>456</v>
          </cell>
          <cell r="I1131">
            <v>0.8</v>
          </cell>
          <cell r="J1131" t="str">
            <v>NVT</v>
          </cell>
          <cell r="K1131" t="str">
            <v>DELIMEAL HORECA</v>
          </cell>
          <cell r="L1131">
            <v>6</v>
          </cell>
          <cell r="M1131" t="str">
            <v>CATERING</v>
          </cell>
          <cell r="N1131">
            <v>110</v>
          </cell>
          <cell r="O1131">
            <v>5410953530038</v>
          </cell>
          <cell r="P1131" t="str">
            <v>2T</v>
          </cell>
          <cell r="Q1131">
            <v>1</v>
          </cell>
          <cell r="R1131">
            <v>3</v>
          </cell>
          <cell r="S1131" t="str">
            <v>Folie perforeren</v>
          </cell>
          <cell r="T1131">
            <v>1200</v>
          </cell>
          <cell r="U1131">
            <v>2</v>
          </cell>
          <cell r="V1131">
            <v>1200</v>
          </cell>
          <cell r="W1131">
            <v>2</v>
          </cell>
          <cell r="X1131">
            <v>0</v>
          </cell>
          <cell r="Y1131">
            <v>0</v>
          </cell>
          <cell r="Z1131">
            <v>0</v>
          </cell>
          <cell r="AA1131" t="str">
            <v>! ! !</v>
          </cell>
          <cell r="AC1131">
            <v>0</v>
          </cell>
          <cell r="AG1131">
            <v>25</v>
          </cell>
          <cell r="AJ1131" t="str">
            <v>-</v>
          </cell>
          <cell r="AL1131">
            <v>1500</v>
          </cell>
          <cell r="AM1131">
            <v>1200</v>
          </cell>
          <cell r="AN1131" t="e">
            <v>#VALUE!</v>
          </cell>
          <cell r="AO1131" t="e">
            <v>#VALUE!</v>
          </cell>
          <cell r="AP1131">
            <v>300</v>
          </cell>
        </row>
        <row r="1132">
          <cell r="A1132">
            <v>65300500</v>
          </cell>
          <cell r="D1132" t="str">
            <v>DMB TOMATENSAUS 800G</v>
          </cell>
          <cell r="E1132" t="str">
            <v xml:space="preserve">DMB </v>
          </cell>
          <cell r="F1132" t="str">
            <v>40336300 OLAF 30 290MM</v>
          </cell>
          <cell r="G1132" t="str">
            <v>C2227-1H evolve</v>
          </cell>
          <cell r="H1132">
            <v>456</v>
          </cell>
          <cell r="I1132">
            <v>0.8</v>
          </cell>
          <cell r="J1132" t="str">
            <v>NVT</v>
          </cell>
          <cell r="K1132" t="str">
            <v>DELIMEAL HORECA</v>
          </cell>
          <cell r="L1132">
            <v>6</v>
          </cell>
          <cell r="M1132" t="str">
            <v>CATERING</v>
          </cell>
          <cell r="N1132">
            <v>110</v>
          </cell>
          <cell r="O1132">
            <v>5410953530052</v>
          </cell>
          <cell r="P1132" t="str">
            <v>2T</v>
          </cell>
          <cell r="Q1132">
            <v>1</v>
          </cell>
          <cell r="R1132">
            <v>3</v>
          </cell>
          <cell r="S1132" t="str">
            <v>Folie perforeren</v>
          </cell>
          <cell r="T1132">
            <v>1200</v>
          </cell>
          <cell r="U1132">
            <v>2</v>
          </cell>
          <cell r="V1132">
            <v>1200</v>
          </cell>
          <cell r="W1132">
            <v>2</v>
          </cell>
          <cell r="X1132">
            <v>0</v>
          </cell>
          <cell r="Y1132">
            <v>0</v>
          </cell>
          <cell r="Z1132">
            <v>0</v>
          </cell>
          <cell r="AA1132" t="str">
            <v>! ! !</v>
          </cell>
          <cell r="AB1132">
            <v>660</v>
          </cell>
          <cell r="AC1132">
            <v>0</v>
          </cell>
          <cell r="AG1132">
            <v>25</v>
          </cell>
          <cell r="AJ1132" t="str">
            <v>-</v>
          </cell>
          <cell r="AL1132">
            <v>1500</v>
          </cell>
          <cell r="AM1132">
            <v>1200</v>
          </cell>
          <cell r="AN1132" t="e">
            <v>#VALUE!</v>
          </cell>
          <cell r="AO1132" t="e">
            <v>#VALUE!</v>
          </cell>
          <cell r="AP1132">
            <v>300</v>
          </cell>
        </row>
        <row r="1133">
          <cell r="A1133">
            <v>65300600</v>
          </cell>
          <cell r="D1133" t="str">
            <v>DMB FIJNE KRUIDENSAUS 800G</v>
          </cell>
          <cell r="E1133" t="str">
            <v xml:space="preserve">DMB </v>
          </cell>
          <cell r="F1133" t="str">
            <v>40336300 OLAF 30 290MM</v>
          </cell>
          <cell r="G1133" t="str">
            <v>C2227-1H evolve</v>
          </cell>
          <cell r="H1133">
            <v>456</v>
          </cell>
          <cell r="I1133">
            <v>0.8</v>
          </cell>
          <cell r="J1133" t="str">
            <v>NVT</v>
          </cell>
          <cell r="K1133" t="str">
            <v>DELIMEAL HORECA</v>
          </cell>
          <cell r="L1133">
            <v>6</v>
          </cell>
          <cell r="M1133" t="str">
            <v>DMC X 6</v>
          </cell>
          <cell r="N1133">
            <v>110</v>
          </cell>
          <cell r="O1133">
            <v>5410953530069</v>
          </cell>
          <cell r="P1133" t="str">
            <v>2T</v>
          </cell>
          <cell r="Q1133">
            <v>1</v>
          </cell>
          <cell r="R1133">
            <v>3</v>
          </cell>
          <cell r="S1133" t="str">
            <v>Folie perforeren</v>
          </cell>
          <cell r="T1133">
            <v>1200</v>
          </cell>
          <cell r="U1133">
            <v>2</v>
          </cell>
          <cell r="V1133">
            <v>1200</v>
          </cell>
          <cell r="W1133">
            <v>2</v>
          </cell>
          <cell r="X1133">
            <v>0</v>
          </cell>
          <cell r="Y1133">
            <v>0</v>
          </cell>
          <cell r="Z1133">
            <v>0</v>
          </cell>
          <cell r="AA1133" t="str">
            <v>! !</v>
          </cell>
          <cell r="AB1133">
            <v>660</v>
          </cell>
          <cell r="AC1133">
            <v>0</v>
          </cell>
          <cell r="AJ1133" t="str">
            <v>-</v>
          </cell>
          <cell r="AL1133">
            <v>0</v>
          </cell>
          <cell r="AM1133">
            <v>1200</v>
          </cell>
          <cell r="AN1133" t="e">
            <v>#VALUE!</v>
          </cell>
          <cell r="AO1133" t="e">
            <v>#VALUE!</v>
          </cell>
          <cell r="AP1133">
            <v>-1200</v>
          </cell>
        </row>
        <row r="1134">
          <cell r="A1134">
            <v>65400400</v>
          </cell>
          <cell r="B1134">
            <v>40234600</v>
          </cell>
          <cell r="C1134">
            <v>96017483</v>
          </cell>
          <cell r="D1134" t="str">
            <v>FINDUS NO KIP MANGO GROENTEN RIJSTMIX 350G</v>
          </cell>
          <cell r="E1134" t="str">
            <v>Iglo NO</v>
          </cell>
          <cell r="F1134" t="str">
            <v>40336800 OLAF 30 225MM</v>
          </cell>
          <cell r="G1134" t="str">
            <v>UK-57</v>
          </cell>
          <cell r="H1134">
            <v>456</v>
          </cell>
          <cell r="I1134">
            <v>0.35</v>
          </cell>
          <cell r="J1134" t="str">
            <v>H34</v>
          </cell>
          <cell r="K1134" t="str">
            <v>NVT</v>
          </cell>
          <cell r="L1134">
            <v>6</v>
          </cell>
          <cell r="M1134" t="str">
            <v>H34x6</v>
          </cell>
          <cell r="N1134">
            <v>72</v>
          </cell>
          <cell r="O1134">
            <v>7310500186023</v>
          </cell>
          <cell r="P1134" t="str">
            <v>I-M-T</v>
          </cell>
          <cell r="Q1134">
            <v>3</v>
          </cell>
          <cell r="R1134">
            <v>4</v>
          </cell>
          <cell r="S1134" t="str">
            <v>ZWARTE RIJST D-1</v>
          </cell>
          <cell r="T1134">
            <v>2500</v>
          </cell>
          <cell r="U1134">
            <v>7</v>
          </cell>
          <cell r="V1134">
            <v>2500</v>
          </cell>
          <cell r="W1134">
            <v>7</v>
          </cell>
          <cell r="X1134">
            <v>0</v>
          </cell>
          <cell r="Y1134">
            <v>0</v>
          </cell>
          <cell r="Z1134">
            <v>0</v>
          </cell>
          <cell r="AA1134" t="str">
            <v>! ! !</v>
          </cell>
          <cell r="AB1134">
            <v>19150</v>
          </cell>
          <cell r="AC1134">
            <v>0</v>
          </cell>
          <cell r="AG1134">
            <v>50</v>
          </cell>
          <cell r="AJ1134" t="str">
            <v>-</v>
          </cell>
          <cell r="AL1134">
            <v>3000</v>
          </cell>
          <cell r="AM1134">
            <v>2500</v>
          </cell>
          <cell r="AN1134" t="e">
            <v>#VALUE!</v>
          </cell>
          <cell r="AO1134" t="e">
            <v>#VALUE!</v>
          </cell>
          <cell r="AP1134">
            <v>500</v>
          </cell>
        </row>
        <row r="1135">
          <cell r="A1135">
            <v>65400500</v>
          </cell>
          <cell r="B1135">
            <v>40234700</v>
          </cell>
          <cell r="C1135">
            <v>96017484</v>
          </cell>
          <cell r="D1135" t="str">
            <v>FINDUS NO KIP SESAM BULGUR RODE LINZEN 350G</v>
          </cell>
          <cell r="E1135" t="str">
            <v>Iglo NO</v>
          </cell>
          <cell r="F1135" t="str">
            <v>40336800 OLAF 30 225MM</v>
          </cell>
          <cell r="G1135" t="str">
            <v>UK-57</v>
          </cell>
          <cell r="H1135">
            <v>456</v>
          </cell>
          <cell r="I1135">
            <v>0.35</v>
          </cell>
          <cell r="J1135" t="str">
            <v>H34</v>
          </cell>
          <cell r="K1135" t="str">
            <v>NVT</v>
          </cell>
          <cell r="L1135">
            <v>6</v>
          </cell>
          <cell r="M1135" t="str">
            <v>H34x6</v>
          </cell>
          <cell r="N1135">
            <v>72</v>
          </cell>
          <cell r="O1135">
            <v>7310500185996</v>
          </cell>
          <cell r="P1135" t="str">
            <v>I-L-T</v>
          </cell>
          <cell r="Q1135">
            <v>3</v>
          </cell>
          <cell r="R1135">
            <v>4</v>
          </cell>
          <cell r="S1135" t="str">
            <v xml:space="preserve">OLAF-foli </v>
          </cell>
          <cell r="T1135">
            <v>2500</v>
          </cell>
          <cell r="U1135">
            <v>7</v>
          </cell>
          <cell r="V1135">
            <v>2500</v>
          </cell>
          <cell r="W1135">
            <v>7</v>
          </cell>
          <cell r="X1135">
            <v>0</v>
          </cell>
          <cell r="Y1135">
            <v>0</v>
          </cell>
          <cell r="Z1135">
            <v>0</v>
          </cell>
          <cell r="AA1135" t="str">
            <v>! ! ! ! !</v>
          </cell>
          <cell r="AB1135">
            <v>19150</v>
          </cell>
          <cell r="AC1135">
            <v>0</v>
          </cell>
          <cell r="AG1135">
            <v>50</v>
          </cell>
          <cell r="AJ1135" t="str">
            <v>V-A</v>
          </cell>
          <cell r="AL1135">
            <v>3000</v>
          </cell>
          <cell r="AM1135">
            <v>2500</v>
          </cell>
          <cell r="AN1135" t="e">
            <v>#VALUE!</v>
          </cell>
          <cell r="AO1135" t="e">
            <v>#VALUE!</v>
          </cell>
          <cell r="AP1135">
            <v>500</v>
          </cell>
        </row>
        <row r="1136">
          <cell r="A1136">
            <v>65450100</v>
          </cell>
          <cell r="B1136">
            <v>40238300</v>
          </cell>
          <cell r="C1136">
            <v>7407341</v>
          </cell>
          <cell r="D1136" t="str">
            <v>LIDL NL RUNDBURGER BLK LOOKBOTER BONEN AARD NOOTJE</v>
          </cell>
          <cell r="E1136" t="str">
            <v>Lidl NL</v>
          </cell>
          <cell r="F1136" t="str">
            <v>40336800 OLAF 30 225MM</v>
          </cell>
          <cell r="G1136" t="str">
            <v>UK-57</v>
          </cell>
          <cell r="H1136">
            <v>456</v>
          </cell>
          <cell r="I1136">
            <v>0.38500000000000001</v>
          </cell>
          <cell r="J1136" t="str">
            <v>H34</v>
          </cell>
          <cell r="K1136" t="str">
            <v>NVT</v>
          </cell>
          <cell r="L1136">
            <v>6</v>
          </cell>
          <cell r="M1136" t="str">
            <v>H34x6</v>
          </cell>
          <cell r="N1136">
            <v>108</v>
          </cell>
          <cell r="O1136">
            <v>5400870545017</v>
          </cell>
          <cell r="P1136" t="str">
            <v>I</v>
          </cell>
          <cell r="Q1136">
            <v>1</v>
          </cell>
          <cell r="R1136">
            <v>7</v>
          </cell>
          <cell r="S1136" t="str">
            <v>mix</v>
          </cell>
          <cell r="T1136">
            <v>2000</v>
          </cell>
          <cell r="U1136">
            <v>9</v>
          </cell>
          <cell r="V1136">
            <v>2000</v>
          </cell>
          <cell r="W1136">
            <v>9</v>
          </cell>
          <cell r="X1136">
            <v>0</v>
          </cell>
          <cell r="Y1136">
            <v>0</v>
          </cell>
          <cell r="Z1136">
            <v>0.16</v>
          </cell>
          <cell r="AA1136" t="str">
            <v>! !</v>
          </cell>
          <cell r="AB1136">
            <v>15320</v>
          </cell>
          <cell r="AC1136">
            <v>0</v>
          </cell>
          <cell r="AG1136">
            <v>40</v>
          </cell>
          <cell r="AJ1136" t="str">
            <v>-</v>
          </cell>
          <cell r="AL1136">
            <v>2400</v>
          </cell>
          <cell r="AM1136">
            <v>2000</v>
          </cell>
          <cell r="AN1136" t="e">
            <v>#VALUE!</v>
          </cell>
          <cell r="AO1136" t="e">
            <v>#VALUE!</v>
          </cell>
          <cell r="AP1136">
            <v>400</v>
          </cell>
        </row>
        <row r="1137">
          <cell r="A1137">
            <v>65450200</v>
          </cell>
          <cell r="B1137">
            <v>40238400</v>
          </cell>
          <cell r="C1137">
            <v>7406677</v>
          </cell>
          <cell r="D1137" t="str">
            <v>LIDL NL PASTA BOLOGNAISE BLK</v>
          </cell>
          <cell r="E1137" t="str">
            <v>Lidl NL</v>
          </cell>
          <cell r="F1137" t="str">
            <v>40336800 OLAF 30 225MM</v>
          </cell>
          <cell r="G1137" t="str">
            <v>UK-57</v>
          </cell>
          <cell r="H1137">
            <v>456</v>
          </cell>
          <cell r="I1137">
            <v>0.45</v>
          </cell>
          <cell r="J1137" t="str">
            <v>H34</v>
          </cell>
          <cell r="K1137" t="str">
            <v>NVT</v>
          </cell>
          <cell r="L1137">
            <v>6</v>
          </cell>
          <cell r="M1137" t="str">
            <v>H34x6</v>
          </cell>
          <cell r="N1137">
            <v>108</v>
          </cell>
          <cell r="O1137">
            <v>5400870545024</v>
          </cell>
          <cell r="P1137" t="str">
            <v>L-T-K</v>
          </cell>
          <cell r="Q1137">
            <v>3</v>
          </cell>
          <cell r="R1137">
            <v>3</v>
          </cell>
          <cell r="S1137" t="str">
            <v xml:space="preserve">rundsgehakt dooien D-2 / OLAF-foli </v>
          </cell>
          <cell r="T1137">
            <v>2500</v>
          </cell>
          <cell r="U1137">
            <v>5</v>
          </cell>
          <cell r="V1137">
            <v>2500</v>
          </cell>
          <cell r="W1137">
            <v>5</v>
          </cell>
          <cell r="X1137">
            <v>0</v>
          </cell>
          <cell r="Y1137">
            <v>0</v>
          </cell>
          <cell r="Z1137">
            <v>0.16</v>
          </cell>
          <cell r="AA1137" t="str">
            <v>! ! !</v>
          </cell>
          <cell r="AB1137">
            <v>10213.333333333334</v>
          </cell>
          <cell r="AC1137">
            <v>0</v>
          </cell>
          <cell r="AG1137">
            <v>50</v>
          </cell>
          <cell r="AJ1137" t="str">
            <v>-</v>
          </cell>
          <cell r="AL1137">
            <v>3000</v>
          </cell>
          <cell r="AM1137">
            <v>2500</v>
          </cell>
          <cell r="AN1137" t="e">
            <v>#VALUE!</v>
          </cell>
          <cell r="AO1137" t="e">
            <v>#VALUE!</v>
          </cell>
          <cell r="AP1137">
            <v>500</v>
          </cell>
        </row>
        <row r="1138">
          <cell r="A1138">
            <v>65450300</v>
          </cell>
          <cell r="B1138">
            <v>40238500</v>
          </cell>
          <cell r="C1138">
            <v>7406676</v>
          </cell>
          <cell r="D1138" t="str">
            <v>LIDL NL KIPHAASJE BLK PEPERROOM ROSTI</v>
          </cell>
          <cell r="E1138" t="str">
            <v>Lidl NL</v>
          </cell>
          <cell r="F1138" t="str">
            <v>40336800 OLAF 30 225MM</v>
          </cell>
          <cell r="G1138" t="str">
            <v>UK-57</v>
          </cell>
          <cell r="H1138">
            <v>456</v>
          </cell>
          <cell r="I1138">
            <v>0.45</v>
          </cell>
          <cell r="J1138" t="str">
            <v>H34</v>
          </cell>
          <cell r="K1138" t="str">
            <v>NVT</v>
          </cell>
          <cell r="L1138">
            <v>6</v>
          </cell>
          <cell r="M1138" t="str">
            <v>H34x6</v>
          </cell>
          <cell r="N1138">
            <v>108</v>
          </cell>
          <cell r="O1138">
            <v>5400870545031</v>
          </cell>
          <cell r="P1138" t="str">
            <v>I-T</v>
          </cell>
          <cell r="Q1138">
            <v>2</v>
          </cell>
          <cell r="R1138">
            <v>3</v>
          </cell>
          <cell r="S1138" t="str">
            <v>produceren om de 2 keer (batch is 2x benodigde hoeveelheid)</v>
          </cell>
          <cell r="T1138">
            <v>2500</v>
          </cell>
          <cell r="U1138">
            <v>8</v>
          </cell>
          <cell r="V1138">
            <v>2500</v>
          </cell>
          <cell r="W1138">
            <v>8</v>
          </cell>
          <cell r="X1138">
            <v>0</v>
          </cell>
          <cell r="Y1138">
            <v>0</v>
          </cell>
          <cell r="Z1138">
            <v>0.16</v>
          </cell>
          <cell r="AA1138" t="str">
            <v>! ! !</v>
          </cell>
          <cell r="AB1138">
            <v>10213.333333333334</v>
          </cell>
          <cell r="AC1138">
            <v>0</v>
          </cell>
          <cell r="AG1138">
            <v>50</v>
          </cell>
          <cell r="AJ1138" t="str">
            <v>V-A</v>
          </cell>
          <cell r="AL1138">
            <v>3000</v>
          </cell>
          <cell r="AM1138">
            <v>2500</v>
          </cell>
          <cell r="AN1138" t="e">
            <v>#VALUE!</v>
          </cell>
          <cell r="AO1138" t="e">
            <v>#VALUE!</v>
          </cell>
          <cell r="AP1138">
            <v>500</v>
          </cell>
        </row>
        <row r="1139">
          <cell r="A1139">
            <v>65701700</v>
          </cell>
          <cell r="B1139">
            <v>40226900</v>
          </cell>
          <cell r="C1139">
            <v>5312</v>
          </cell>
          <cell r="D1139" t="str">
            <v xml:space="preserve">ALDI BE KABELJAUW MSC KRUIDENKAAS TOMAAT 2X225G (VR MIXED KARTON) </v>
          </cell>
          <cell r="E1139" t="str">
            <v>Aldi BE</v>
          </cell>
          <cell r="F1139" t="str">
            <v>40370300 zacht</v>
          </cell>
          <cell r="G1139" t="str">
            <v>40370400 zacht</v>
          </cell>
          <cell r="H1139">
            <v>548</v>
          </cell>
          <cell r="I1139">
            <v>0.45</v>
          </cell>
          <cell r="J1139" t="str">
            <v>H8</v>
          </cell>
          <cell r="K1139" t="str">
            <v>NVT</v>
          </cell>
          <cell r="L1139">
            <v>24</v>
          </cell>
          <cell r="M1139" t="str">
            <v>H8X24</v>
          </cell>
          <cell r="N1139">
            <v>42</v>
          </cell>
          <cell r="O1139">
            <v>5400870570170</v>
          </cell>
          <cell r="P1139" t="str">
            <v>CFS</v>
          </cell>
          <cell r="Q1139">
            <v>1</v>
          </cell>
          <cell r="R1139">
            <v>3</v>
          </cell>
          <cell r="S1139" t="str">
            <v>KABELJAUW verzagen (110g)</v>
          </cell>
          <cell r="T1139">
            <v>2300</v>
          </cell>
          <cell r="U1139">
            <v>5</v>
          </cell>
          <cell r="V1139">
            <v>2300</v>
          </cell>
          <cell r="W1139">
            <v>5</v>
          </cell>
          <cell r="X1139">
            <v>0</v>
          </cell>
          <cell r="Y1139">
            <v>0</v>
          </cell>
          <cell r="Z1139">
            <v>5.3999999999999999E-2</v>
          </cell>
          <cell r="AA1139" t="str">
            <v>! ! ! !</v>
          </cell>
          <cell r="AB1139">
            <v>11760</v>
          </cell>
          <cell r="AC1139">
            <v>0</v>
          </cell>
          <cell r="AG1139">
            <v>42</v>
          </cell>
          <cell r="AJ1139" t="str">
            <v>V-A</v>
          </cell>
          <cell r="AL1139">
            <v>2520</v>
          </cell>
          <cell r="AM1139">
            <v>2300</v>
          </cell>
          <cell r="AN1139" t="e">
            <v>#VALUE!</v>
          </cell>
          <cell r="AO1139" t="e">
            <v>#VALUE!</v>
          </cell>
          <cell r="AP1139">
            <v>220</v>
          </cell>
        </row>
        <row r="1140">
          <cell r="A1140">
            <v>65701800</v>
          </cell>
          <cell r="B1140">
            <v>40227000</v>
          </cell>
          <cell r="C1140">
            <v>5312</v>
          </cell>
          <cell r="D1140" t="str">
            <v xml:space="preserve">ALDI BE KABELJAUW MSC MOSTERDSAUS 2X225G (VR MIXED KARTON) </v>
          </cell>
          <cell r="E1140" t="str">
            <v>Aldi BE</v>
          </cell>
          <cell r="F1140" t="str">
            <v>40370300 zacht</v>
          </cell>
          <cell r="G1140" t="str">
            <v>40370400 zacht</v>
          </cell>
          <cell r="H1140">
            <v>548</v>
          </cell>
          <cell r="I1140">
            <v>0.45</v>
          </cell>
          <cell r="J1140" t="str">
            <v>H8</v>
          </cell>
          <cell r="K1140" t="str">
            <v>NVT</v>
          </cell>
          <cell r="L1140">
            <v>24</v>
          </cell>
          <cell r="M1140" t="str">
            <v>H8X24</v>
          </cell>
          <cell r="N1140">
            <v>42</v>
          </cell>
          <cell r="O1140">
            <v>5400870570187</v>
          </cell>
          <cell r="P1140" t="str">
            <v>CFS</v>
          </cell>
          <cell r="Q1140">
            <v>1</v>
          </cell>
          <cell r="R1140">
            <v>3</v>
          </cell>
          <cell r="S1140" t="str">
            <v>KABELJAUW verzagen (110g)</v>
          </cell>
          <cell r="T1140">
            <v>2300</v>
          </cell>
          <cell r="U1140">
            <v>5</v>
          </cell>
          <cell r="V1140">
            <v>2300</v>
          </cell>
          <cell r="W1140">
            <v>5</v>
          </cell>
          <cell r="X1140">
            <v>0</v>
          </cell>
          <cell r="Y1140">
            <v>0</v>
          </cell>
          <cell r="Z1140">
            <v>0.121</v>
          </cell>
          <cell r="AA1140" t="str">
            <v>! ! ! !</v>
          </cell>
          <cell r="AB1140">
            <v>11760</v>
          </cell>
          <cell r="AC1140">
            <v>0</v>
          </cell>
          <cell r="AG1140">
            <v>42</v>
          </cell>
          <cell r="AJ1140" t="str">
            <v>V-A</v>
          </cell>
          <cell r="AL1140">
            <v>2520</v>
          </cell>
          <cell r="AM1140">
            <v>2300</v>
          </cell>
          <cell r="AN1140" t="e">
            <v>#VALUE!</v>
          </cell>
          <cell r="AO1140" t="e">
            <v>#VALUE!</v>
          </cell>
          <cell r="AP1140">
            <v>220</v>
          </cell>
        </row>
        <row r="1141">
          <cell r="A1141">
            <v>65701900</v>
          </cell>
          <cell r="B1141">
            <v>40227100</v>
          </cell>
          <cell r="C1141">
            <v>5312</v>
          </cell>
          <cell r="D1141" t="str">
            <v xml:space="preserve">ALDI BE KABELJAUW MSC CITROEN DILLE SAUS 2X225G (VR MIXED KARTON) </v>
          </cell>
          <cell r="E1141" t="str">
            <v>Aldi BE</v>
          </cell>
          <cell r="F1141" t="str">
            <v>40370700 monofresh</v>
          </cell>
          <cell r="G1141" t="str">
            <v>40370800 monofresh</v>
          </cell>
          <cell r="H1141">
            <v>548</v>
          </cell>
          <cell r="I1141">
            <v>0.45</v>
          </cell>
          <cell r="J1141" t="str">
            <v>H8</v>
          </cell>
          <cell r="K1141" t="str">
            <v>NVT</v>
          </cell>
          <cell r="L1141">
            <v>24</v>
          </cell>
          <cell r="M1141" t="str">
            <v>H8X24</v>
          </cell>
          <cell r="N1141">
            <v>42</v>
          </cell>
          <cell r="O1141">
            <v>5400870570194</v>
          </cell>
          <cell r="P1141" t="str">
            <v>CFS</v>
          </cell>
          <cell r="Q1141">
            <v>1</v>
          </cell>
          <cell r="R1141">
            <v>3</v>
          </cell>
          <cell r="S1141" t="str">
            <v>KABELJAUW verzagen (110g)</v>
          </cell>
          <cell r="T1141">
            <v>2300</v>
          </cell>
          <cell r="U1141">
            <v>5</v>
          </cell>
          <cell r="V1141">
            <v>2300</v>
          </cell>
          <cell r="W1141">
            <v>5</v>
          </cell>
          <cell r="X1141">
            <v>0</v>
          </cell>
          <cell r="Y1141">
            <v>0</v>
          </cell>
          <cell r="Z1141">
            <v>0.121</v>
          </cell>
          <cell r="AA1141" t="str">
            <v>! ! ! !</v>
          </cell>
          <cell r="AB1141">
            <v>14700</v>
          </cell>
          <cell r="AC1141">
            <v>0</v>
          </cell>
          <cell r="AG1141">
            <v>42</v>
          </cell>
          <cell r="AJ1141" t="str">
            <v>-</v>
          </cell>
          <cell r="AL1141">
            <v>2520</v>
          </cell>
          <cell r="AM1141">
            <v>2300</v>
          </cell>
          <cell r="AN1141" t="e">
            <v>#VALUE!</v>
          </cell>
          <cell r="AO1141" t="e">
            <v>#VALUE!</v>
          </cell>
          <cell r="AP1141">
            <v>220</v>
          </cell>
        </row>
        <row r="1142">
          <cell r="A1142">
            <v>65703000</v>
          </cell>
          <cell r="B1142">
            <v>40228000</v>
          </cell>
          <cell r="C1142">
            <v>3197</v>
          </cell>
          <cell r="D1142" t="str">
            <v>ALDI BE ZALM GG BIESLOOKSAUS 2X225G (VR MIXED KARTON) (13)</v>
          </cell>
          <cell r="E1142" t="str">
            <v>Aldi BE</v>
          </cell>
          <cell r="F1142" t="str">
            <v>40370600 monofresh</v>
          </cell>
          <cell r="G1142" t="str">
            <v>40370500 monofresh</v>
          </cell>
          <cell r="H1142">
            <v>548</v>
          </cell>
          <cell r="I1142">
            <v>0.45</v>
          </cell>
          <cell r="J1142" t="str">
            <v>H8</v>
          </cell>
          <cell r="K1142" t="str">
            <v>NVT</v>
          </cell>
          <cell r="L1142">
            <v>24</v>
          </cell>
          <cell r="M1142" t="str">
            <v>H8X24</v>
          </cell>
          <cell r="N1142">
            <v>42</v>
          </cell>
          <cell r="O1142">
            <v>5400870570309</v>
          </cell>
          <cell r="P1142" t="str">
            <v>CFS</v>
          </cell>
          <cell r="Q1142">
            <v>1</v>
          </cell>
          <cell r="R1142">
            <v>3</v>
          </cell>
          <cell r="S1142" t="str">
            <v>ZALM verzagen (100g)</v>
          </cell>
          <cell r="T1142">
            <v>2300</v>
          </cell>
          <cell r="U1142">
            <v>5</v>
          </cell>
          <cell r="V1142">
            <v>2300</v>
          </cell>
          <cell r="W1142">
            <v>5</v>
          </cell>
          <cell r="X1142">
            <v>0</v>
          </cell>
          <cell r="Y1142">
            <v>0</v>
          </cell>
          <cell r="Z1142">
            <v>6.5000000000000002E-2</v>
          </cell>
          <cell r="AA1142" t="str">
            <v>! ! ! !</v>
          </cell>
          <cell r="AB1142">
            <v>17640</v>
          </cell>
          <cell r="AC1142">
            <v>0</v>
          </cell>
          <cell r="AJ1142" t="str">
            <v>V-A</v>
          </cell>
          <cell r="AL1142">
            <v>0</v>
          </cell>
          <cell r="AM1142">
            <v>2300</v>
          </cell>
          <cell r="AN1142" t="e">
            <v>#VALUE!</v>
          </cell>
          <cell r="AO1142" t="e">
            <v>#VALUE!</v>
          </cell>
          <cell r="AP1142">
            <v>-2300</v>
          </cell>
        </row>
        <row r="1143">
          <cell r="A1143">
            <v>65703100</v>
          </cell>
          <cell r="B1143">
            <v>40228100</v>
          </cell>
          <cell r="C1143">
            <v>3197</v>
          </cell>
          <cell r="D1143" t="str">
            <v>ALDI BE ZALM GG FIJNE GROENTENSAUS 2X225G (VR MIXED KARTON) (14)</v>
          </cell>
          <cell r="E1143" t="str">
            <v>Aldi BE</v>
          </cell>
          <cell r="F1143" t="str">
            <v>40370600 monofresh</v>
          </cell>
          <cell r="G1143" t="str">
            <v>40370500 monofresh</v>
          </cell>
          <cell r="H1143">
            <v>548</v>
          </cell>
          <cell r="I1143">
            <v>0.45</v>
          </cell>
          <cell r="J1143" t="str">
            <v>H8</v>
          </cell>
          <cell r="K1143" t="str">
            <v>NVT</v>
          </cell>
          <cell r="L1143">
            <v>24</v>
          </cell>
          <cell r="M1143" t="str">
            <v>H8X24</v>
          </cell>
          <cell r="N1143">
            <v>42</v>
          </cell>
          <cell r="O1143">
            <v>5400870570316</v>
          </cell>
          <cell r="P1143" t="str">
            <v>CFS</v>
          </cell>
          <cell r="Q1143">
            <v>1</v>
          </cell>
          <cell r="R1143">
            <v>3</v>
          </cell>
          <cell r="S1143" t="str">
            <v>ZALM verzagen (100g)</v>
          </cell>
          <cell r="T1143">
            <v>2300</v>
          </cell>
          <cell r="U1143">
            <v>5</v>
          </cell>
          <cell r="V1143">
            <v>2300</v>
          </cell>
          <cell r="W1143">
            <v>5</v>
          </cell>
          <cell r="X1143">
            <v>0</v>
          </cell>
          <cell r="Y1143">
            <v>0</v>
          </cell>
          <cell r="Z1143">
            <v>6.5000000000000002E-2</v>
          </cell>
          <cell r="AA1143" t="str">
            <v>! ! ! !</v>
          </cell>
          <cell r="AB1143">
            <v>17640</v>
          </cell>
          <cell r="AC1143">
            <v>0</v>
          </cell>
          <cell r="AJ1143" t="str">
            <v>V-A</v>
          </cell>
          <cell r="AL1143">
            <v>0</v>
          </cell>
          <cell r="AM1143">
            <v>2300</v>
          </cell>
          <cell r="AN1143" t="e">
            <v>#VALUE!</v>
          </cell>
          <cell r="AO1143" t="e">
            <v>#VALUE!</v>
          </cell>
          <cell r="AP1143">
            <v>-2300</v>
          </cell>
        </row>
        <row r="1144">
          <cell r="A1144">
            <v>65703200</v>
          </cell>
          <cell r="B1144">
            <v>40228200</v>
          </cell>
          <cell r="C1144">
            <v>3197</v>
          </cell>
          <cell r="D1144" t="str">
            <v>ALDI BE ZALM GG SPINAZIESAUS 2X225G (VR MIXED KARTON) (15)</v>
          </cell>
          <cell r="E1144" t="str">
            <v>Aldi BE</v>
          </cell>
          <cell r="F1144" t="str">
            <v>40370600 monofresh</v>
          </cell>
          <cell r="G1144" t="str">
            <v>40370500 monofresh</v>
          </cell>
          <cell r="H1144">
            <v>548</v>
          </cell>
          <cell r="I1144">
            <v>0.45</v>
          </cell>
          <cell r="J1144" t="str">
            <v>H8</v>
          </cell>
          <cell r="K1144" t="str">
            <v>NVT</v>
          </cell>
          <cell r="L1144">
            <v>24</v>
          </cell>
          <cell r="M1144" t="str">
            <v>H8X24</v>
          </cell>
          <cell r="N1144">
            <v>42</v>
          </cell>
          <cell r="O1144">
            <v>5400870570323</v>
          </cell>
          <cell r="P1144" t="str">
            <v>CFS</v>
          </cell>
          <cell r="Q1144">
            <v>1</v>
          </cell>
          <cell r="R1144">
            <v>3</v>
          </cell>
          <cell r="S1144" t="str">
            <v>ZALM verzagen (100g)</v>
          </cell>
          <cell r="T1144">
            <v>2300</v>
          </cell>
          <cell r="U1144">
            <v>5</v>
          </cell>
          <cell r="V1144">
            <v>2300</v>
          </cell>
          <cell r="W1144">
            <v>5</v>
          </cell>
          <cell r="X1144">
            <v>0</v>
          </cell>
          <cell r="Y1144">
            <v>0</v>
          </cell>
          <cell r="Z1144">
            <v>6.5000000000000002E-2</v>
          </cell>
          <cell r="AA1144" t="str">
            <v>! ! ! !</v>
          </cell>
          <cell r="AB1144">
            <v>11760</v>
          </cell>
          <cell r="AC1144">
            <v>0</v>
          </cell>
          <cell r="AJ1144" t="str">
            <v>V-A</v>
          </cell>
          <cell r="AL1144">
            <v>0</v>
          </cell>
          <cell r="AM1144">
            <v>2300</v>
          </cell>
          <cell r="AN1144" t="e">
            <v>#VALUE!</v>
          </cell>
          <cell r="AO1144" t="e">
            <v>#VALUE!</v>
          </cell>
          <cell r="AP1144">
            <v>-2300</v>
          </cell>
        </row>
        <row r="1145">
          <cell r="A1145">
            <v>65703300</v>
          </cell>
          <cell r="B1145">
            <v>40228300</v>
          </cell>
          <cell r="C1145">
            <v>3197</v>
          </cell>
          <cell r="D1145" t="str">
            <v>ALDI BE ZALM GG BEARNAISESAUS 2X225G (VR MIXED KARTON) (16)</v>
          </cell>
          <cell r="E1145" t="str">
            <v>Aldi BE</v>
          </cell>
          <cell r="F1145" t="str">
            <v>40370600 monofresh</v>
          </cell>
          <cell r="G1145" t="str">
            <v>40370500 monofresh</v>
          </cell>
          <cell r="H1145">
            <v>548</v>
          </cell>
          <cell r="I1145">
            <v>0.45</v>
          </cell>
          <cell r="J1145" t="str">
            <v>H8</v>
          </cell>
          <cell r="K1145" t="str">
            <v>NVT</v>
          </cell>
          <cell r="L1145">
            <v>24</v>
          </cell>
          <cell r="M1145" t="str">
            <v>H8X24</v>
          </cell>
          <cell r="N1145">
            <v>42</v>
          </cell>
          <cell r="O1145">
            <v>5400870570330</v>
          </cell>
          <cell r="P1145" t="str">
            <v>CFS</v>
          </cell>
          <cell r="Q1145">
            <v>1</v>
          </cell>
          <cell r="R1145">
            <v>3</v>
          </cell>
          <cell r="S1145" t="str">
            <v>ZALM verzagen (100g)</v>
          </cell>
          <cell r="T1145">
            <v>2300</v>
          </cell>
          <cell r="U1145">
            <v>5</v>
          </cell>
          <cell r="V1145">
            <v>2300</v>
          </cell>
          <cell r="W1145">
            <v>5</v>
          </cell>
          <cell r="X1145">
            <v>0</v>
          </cell>
          <cell r="Y1145">
            <v>0</v>
          </cell>
          <cell r="Z1145">
            <v>6.5000000000000002E-2</v>
          </cell>
          <cell r="AA1145" t="str">
            <v>! ! ! !</v>
          </cell>
          <cell r="AB1145">
            <v>11760</v>
          </cell>
          <cell r="AC1145">
            <v>0</v>
          </cell>
          <cell r="AJ1145" t="str">
            <v>V-A</v>
          </cell>
          <cell r="AL1145">
            <v>0</v>
          </cell>
          <cell r="AM1145">
            <v>2300</v>
          </cell>
          <cell r="AN1145" t="e">
            <v>#VALUE!</v>
          </cell>
          <cell r="AO1145" t="e">
            <v>#VALUE!</v>
          </cell>
          <cell r="AP1145">
            <v>-2300</v>
          </cell>
        </row>
        <row r="1146">
          <cell r="A1146">
            <v>65703400</v>
          </cell>
          <cell r="B1146">
            <v>40228400</v>
          </cell>
          <cell r="C1146">
            <v>3197</v>
          </cell>
          <cell r="D1146" t="str">
            <v>ALDI BE ZALM GG PREIROOMSAUS 2X225G (VR MIXED KARTON) (17)</v>
          </cell>
          <cell r="E1146" t="str">
            <v>Aldi BE</v>
          </cell>
          <cell r="F1146" t="str">
            <v>40370600 monofresh</v>
          </cell>
          <cell r="G1146" t="str">
            <v>40370500 monofresh</v>
          </cell>
          <cell r="H1146">
            <v>548</v>
          </cell>
          <cell r="I1146">
            <v>0.45</v>
          </cell>
          <cell r="J1146" t="str">
            <v>H8</v>
          </cell>
          <cell r="K1146" t="str">
            <v>NVT</v>
          </cell>
          <cell r="L1146">
            <v>24</v>
          </cell>
          <cell r="M1146" t="str">
            <v>H8X24</v>
          </cell>
          <cell r="N1146">
            <v>42</v>
          </cell>
          <cell r="O1146">
            <v>5400870570347</v>
          </cell>
          <cell r="P1146" t="str">
            <v>CFS</v>
          </cell>
          <cell r="Q1146">
            <v>1</v>
          </cell>
          <cell r="R1146">
            <v>3</v>
          </cell>
          <cell r="S1146" t="str">
            <v>ZALM verzagen (100g)</v>
          </cell>
          <cell r="T1146">
            <v>2300</v>
          </cell>
          <cell r="U1146">
            <v>5</v>
          </cell>
          <cell r="V1146">
            <v>2300</v>
          </cell>
          <cell r="W1146">
            <v>5</v>
          </cell>
          <cell r="X1146">
            <v>0</v>
          </cell>
          <cell r="Y1146">
            <v>0</v>
          </cell>
          <cell r="Z1146">
            <v>6.5000000000000002E-2</v>
          </cell>
          <cell r="AA1146" t="str">
            <v>! ! ! !</v>
          </cell>
          <cell r="AB1146">
            <v>11760</v>
          </cell>
          <cell r="AC1146">
            <v>0</v>
          </cell>
          <cell r="AJ1146" t="str">
            <v>V-A</v>
          </cell>
          <cell r="AL1146">
            <v>0</v>
          </cell>
          <cell r="AM1146">
            <v>2300</v>
          </cell>
          <cell r="AN1146" t="e">
            <v>#VALUE!</v>
          </cell>
          <cell r="AO1146" t="e">
            <v>#VALUE!</v>
          </cell>
          <cell r="AP1146">
            <v>-2300</v>
          </cell>
        </row>
        <row r="1147">
          <cell r="A1147">
            <v>65703500</v>
          </cell>
          <cell r="B1147">
            <v>40228500</v>
          </cell>
          <cell r="C1147">
            <v>4832</v>
          </cell>
          <cell r="D1147" t="str">
            <v>ALDI FR ZALM GG ZURING 2X225G (VR MIXED KARTON) (18)</v>
          </cell>
          <cell r="E1147" t="str">
            <v>Aldi FR</v>
          </cell>
          <cell r="F1147" t="str">
            <v>40370300 zacht</v>
          </cell>
          <cell r="G1147" t="str">
            <v>40370400 zacht</v>
          </cell>
          <cell r="H1147">
            <v>548</v>
          </cell>
          <cell r="I1147">
            <v>0.45</v>
          </cell>
          <cell r="J1147" t="str">
            <v>H8</v>
          </cell>
          <cell r="K1147" t="str">
            <v>NVT</v>
          </cell>
          <cell r="L1147">
            <v>24</v>
          </cell>
          <cell r="M1147" t="str">
            <v>H8X24</v>
          </cell>
          <cell r="N1147">
            <v>42</v>
          </cell>
          <cell r="O1147">
            <v>5400870570354</v>
          </cell>
          <cell r="P1147" t="str">
            <v>CFS</v>
          </cell>
          <cell r="Q1147">
            <v>1</v>
          </cell>
          <cell r="R1147">
            <v>3</v>
          </cell>
          <cell r="S1147" t="str">
            <v>ZALM verzagen (100g)</v>
          </cell>
          <cell r="T1147">
            <v>2300</v>
          </cell>
          <cell r="U1147">
            <v>5</v>
          </cell>
          <cell r="V1147">
            <v>2300</v>
          </cell>
          <cell r="W1147">
            <v>5</v>
          </cell>
          <cell r="X1147">
            <v>0</v>
          </cell>
          <cell r="Y1147">
            <v>0</v>
          </cell>
          <cell r="Z1147">
            <v>0.16300000000000001</v>
          </cell>
          <cell r="AA1147" t="str">
            <v>! ! ! !</v>
          </cell>
          <cell r="AB1147">
            <v>17618</v>
          </cell>
          <cell r="AC1147">
            <v>0</v>
          </cell>
          <cell r="AJ1147" t="str">
            <v>V-A</v>
          </cell>
          <cell r="AL1147">
            <v>0</v>
          </cell>
          <cell r="AM1147">
            <v>2300</v>
          </cell>
          <cell r="AN1147" t="e">
            <v>#VALUE!</v>
          </cell>
          <cell r="AO1147" t="e">
            <v>#VALUE!</v>
          </cell>
          <cell r="AP1147">
            <v>-2300</v>
          </cell>
        </row>
        <row r="1148">
          <cell r="A1148">
            <v>65703600</v>
          </cell>
          <cell r="B1148">
            <v>40228600</v>
          </cell>
          <cell r="C1148">
            <v>4832</v>
          </cell>
          <cell r="D1148" t="str">
            <v>ALDI FR ZALM GG FIJNE GROENTENSAUS 2X225G (VR MIXED KARTON) (19)</v>
          </cell>
          <cell r="E1148" t="str">
            <v>Aldi FR</v>
          </cell>
          <cell r="F1148" t="str">
            <v>40370300 zacht</v>
          </cell>
          <cell r="G1148" t="str">
            <v>40370400 zacht</v>
          </cell>
          <cell r="H1148">
            <v>548</v>
          </cell>
          <cell r="I1148">
            <v>0.45</v>
          </cell>
          <cell r="J1148" t="str">
            <v>H8</v>
          </cell>
          <cell r="K1148" t="str">
            <v>NVT</v>
          </cell>
          <cell r="L1148">
            <v>24</v>
          </cell>
          <cell r="M1148" t="str">
            <v>H8X24</v>
          </cell>
          <cell r="N1148">
            <v>42</v>
          </cell>
          <cell r="O1148">
            <v>5400870570361</v>
          </cell>
          <cell r="P1148" t="str">
            <v>CFS</v>
          </cell>
          <cell r="Q1148">
            <v>1</v>
          </cell>
          <cell r="R1148">
            <v>3</v>
          </cell>
          <cell r="S1148" t="str">
            <v>zalm verzagen op 100g</v>
          </cell>
          <cell r="T1148">
            <v>2300</v>
          </cell>
          <cell r="U1148">
            <v>5</v>
          </cell>
          <cell r="V1148">
            <v>2300</v>
          </cell>
          <cell r="W1148">
            <v>5</v>
          </cell>
          <cell r="X1148">
            <v>0</v>
          </cell>
          <cell r="Y1148">
            <v>0</v>
          </cell>
          <cell r="Z1148">
            <v>0.128</v>
          </cell>
          <cell r="AA1148" t="str">
            <v>! ! ! !</v>
          </cell>
          <cell r="AB1148">
            <v>17618</v>
          </cell>
          <cell r="AC1148">
            <v>0</v>
          </cell>
          <cell r="AJ1148" t="str">
            <v>V-A</v>
          </cell>
          <cell r="AL1148">
            <v>0</v>
          </cell>
          <cell r="AM1148">
            <v>2300</v>
          </cell>
          <cell r="AN1148" t="e">
            <v>#VALUE!</v>
          </cell>
          <cell r="AO1148" t="e">
            <v>#VALUE!</v>
          </cell>
          <cell r="AP1148">
            <v>-2300</v>
          </cell>
        </row>
        <row r="1149">
          <cell r="A1149">
            <v>65703700</v>
          </cell>
          <cell r="B1149">
            <v>40228700</v>
          </cell>
          <cell r="C1149">
            <v>4832</v>
          </cell>
          <cell r="D1149" t="str">
            <v>ALDI FR ZALM GG CITROEN BOTER SAUS 2X225G (VR MIXED KARTON) (20)</v>
          </cell>
          <cell r="E1149" t="str">
            <v>Aldi FR</v>
          </cell>
          <cell r="F1149" t="str">
            <v>40370300 zacht</v>
          </cell>
          <cell r="G1149" t="str">
            <v>40370400 zacht</v>
          </cell>
          <cell r="H1149">
            <v>548</v>
          </cell>
          <cell r="I1149">
            <v>0.45</v>
          </cell>
          <cell r="J1149" t="str">
            <v>H8</v>
          </cell>
          <cell r="K1149" t="str">
            <v>NVT</v>
          </cell>
          <cell r="L1149">
            <v>24</v>
          </cell>
          <cell r="M1149" t="str">
            <v>H8X24</v>
          </cell>
          <cell r="N1149">
            <v>42</v>
          </cell>
          <cell r="O1149">
            <v>5400870570378</v>
          </cell>
          <cell r="P1149" t="str">
            <v>CFS</v>
          </cell>
          <cell r="Q1149">
            <v>1</v>
          </cell>
          <cell r="R1149">
            <v>3</v>
          </cell>
          <cell r="S1149" t="str">
            <v>ZALM verzagen (100g)</v>
          </cell>
          <cell r="T1149">
            <v>2300</v>
          </cell>
          <cell r="U1149">
            <v>5</v>
          </cell>
          <cell r="V1149">
            <v>2300</v>
          </cell>
          <cell r="W1149">
            <v>5</v>
          </cell>
          <cell r="X1149">
            <v>0</v>
          </cell>
          <cell r="Y1149">
            <v>0</v>
          </cell>
          <cell r="Z1149">
            <v>0.16300000000000001</v>
          </cell>
          <cell r="AA1149" t="str">
            <v>! ! ! !</v>
          </cell>
          <cell r="AB1149">
            <v>17618</v>
          </cell>
          <cell r="AC1149">
            <v>0</v>
          </cell>
          <cell r="AJ1149" t="str">
            <v>V-A</v>
          </cell>
          <cell r="AL1149">
            <v>0</v>
          </cell>
          <cell r="AM1149">
            <v>2300</v>
          </cell>
          <cell r="AN1149" t="e">
            <v>#VALUE!</v>
          </cell>
          <cell r="AO1149" t="e">
            <v>#VALUE!</v>
          </cell>
          <cell r="AP1149">
            <v>-2300</v>
          </cell>
        </row>
        <row r="1150">
          <cell r="A1150">
            <v>65703800</v>
          </cell>
          <cell r="B1150">
            <v>40228800</v>
          </cell>
          <cell r="C1150">
            <v>4832</v>
          </cell>
          <cell r="D1150" t="str">
            <v>ALDI FR ZALM GG FIJNE KRUIDENSAUS 2X225G (VR MIXED KARTON) (21)</v>
          </cell>
          <cell r="E1150" t="str">
            <v>Aldi FR</v>
          </cell>
          <cell r="F1150" t="str">
            <v>40370300 zacht</v>
          </cell>
          <cell r="G1150" t="str">
            <v>40370400 zacht</v>
          </cell>
          <cell r="H1150">
            <v>548</v>
          </cell>
          <cell r="I1150">
            <v>0.45</v>
          </cell>
          <cell r="J1150" t="str">
            <v>H8</v>
          </cell>
          <cell r="K1150" t="str">
            <v>NVT</v>
          </cell>
          <cell r="L1150">
            <v>24</v>
          </cell>
          <cell r="M1150" t="str">
            <v>H8X24</v>
          </cell>
          <cell r="N1150">
            <v>42</v>
          </cell>
          <cell r="O1150">
            <v>5400870570385</v>
          </cell>
          <cell r="P1150" t="str">
            <v>CFS</v>
          </cell>
          <cell r="Q1150">
            <v>1</v>
          </cell>
          <cell r="R1150">
            <v>3</v>
          </cell>
          <cell r="S1150" t="str">
            <v>zalm verzagen op 100g</v>
          </cell>
          <cell r="T1150">
            <v>2300</v>
          </cell>
          <cell r="U1150">
            <v>5</v>
          </cell>
          <cell r="V1150">
            <v>2300</v>
          </cell>
          <cell r="W1150">
            <v>5</v>
          </cell>
          <cell r="X1150">
            <v>0</v>
          </cell>
          <cell r="Y1150">
            <v>0</v>
          </cell>
          <cell r="Z1150">
            <v>0.128</v>
          </cell>
          <cell r="AA1150" t="str">
            <v>! ! ! !</v>
          </cell>
          <cell r="AB1150">
            <v>17618</v>
          </cell>
          <cell r="AC1150">
            <v>0</v>
          </cell>
          <cell r="AJ1150" t="str">
            <v>-</v>
          </cell>
          <cell r="AL1150">
            <v>0</v>
          </cell>
          <cell r="AM1150">
            <v>2300</v>
          </cell>
          <cell r="AN1150" t="e">
            <v>#VALUE!</v>
          </cell>
          <cell r="AO1150" t="e">
            <v>#VALUE!</v>
          </cell>
          <cell r="AP1150">
            <v>-2300</v>
          </cell>
        </row>
        <row r="1151">
          <cell r="A1151">
            <v>65703900</v>
          </cell>
          <cell r="B1151">
            <v>40228900</v>
          </cell>
          <cell r="C1151">
            <v>4832</v>
          </cell>
          <cell r="D1151" t="str">
            <v>ALDI FR ZALM GG PREISAUS 2X225G (VR MIXED KARTON) (22)</v>
          </cell>
          <cell r="E1151" t="str">
            <v>Aldi FR</v>
          </cell>
          <cell r="F1151" t="str">
            <v>40370300 zacht</v>
          </cell>
          <cell r="G1151" t="str">
            <v>40370400 zacht</v>
          </cell>
          <cell r="H1151">
            <v>548</v>
          </cell>
          <cell r="I1151">
            <v>0.45</v>
          </cell>
          <cell r="J1151" t="str">
            <v>H8</v>
          </cell>
          <cell r="K1151" t="str">
            <v>NVT</v>
          </cell>
          <cell r="L1151">
            <v>24</v>
          </cell>
          <cell r="M1151" t="str">
            <v>H8X24</v>
          </cell>
          <cell r="N1151">
            <v>42</v>
          </cell>
          <cell r="O1151">
            <v>5400870570392</v>
          </cell>
          <cell r="P1151" t="str">
            <v>CFS</v>
          </cell>
          <cell r="Q1151">
            <v>1</v>
          </cell>
          <cell r="R1151">
            <v>3</v>
          </cell>
          <cell r="S1151" t="str">
            <v>ZALM verzagen (100g)</v>
          </cell>
          <cell r="T1151">
            <v>2300</v>
          </cell>
          <cell r="U1151">
            <v>5</v>
          </cell>
          <cell r="V1151">
            <v>2300</v>
          </cell>
          <cell r="W1151">
            <v>5</v>
          </cell>
          <cell r="X1151">
            <v>0</v>
          </cell>
          <cell r="Y1151">
            <v>0</v>
          </cell>
          <cell r="Z1151">
            <v>0.16300000000000001</v>
          </cell>
          <cell r="AA1151" t="str">
            <v>! ! ! !</v>
          </cell>
          <cell r="AB1151">
            <v>17618</v>
          </cell>
          <cell r="AC1151">
            <v>0</v>
          </cell>
          <cell r="AJ1151" t="str">
            <v>V-A</v>
          </cell>
          <cell r="AL1151">
            <v>0</v>
          </cell>
          <cell r="AM1151">
            <v>2300</v>
          </cell>
          <cell r="AN1151" t="e">
            <v>#VALUE!</v>
          </cell>
          <cell r="AO1151" t="e">
            <v>#VALUE!</v>
          </cell>
          <cell r="AP1151">
            <v>-2300</v>
          </cell>
        </row>
        <row r="1152">
          <cell r="A1152">
            <v>65704000</v>
          </cell>
          <cell r="B1152">
            <v>40243800</v>
          </cell>
          <cell r="C1152">
            <v>5006063</v>
          </cell>
          <cell r="D1152" t="str">
            <v>ALDI FR ZALM GG PREISAUS 2X200G (VR MIXED KARTON)(29)</v>
          </cell>
          <cell r="E1152" t="str">
            <v>Aldi FR</v>
          </cell>
          <cell r="F1152" t="str">
            <v>40370300 zacht</v>
          </cell>
          <cell r="G1152" t="str">
            <v>40370400 zacht</v>
          </cell>
          <cell r="H1152">
            <v>548</v>
          </cell>
          <cell r="I1152">
            <v>0.4</v>
          </cell>
          <cell r="J1152" t="str">
            <v>H8</v>
          </cell>
          <cell r="K1152" t="str">
            <v>NVT</v>
          </cell>
          <cell r="L1152">
            <v>24</v>
          </cell>
          <cell r="M1152" t="str">
            <v>H8X24</v>
          </cell>
          <cell r="N1152">
            <v>42</v>
          </cell>
          <cell r="O1152">
            <v>5400870570408</v>
          </cell>
          <cell r="P1152" t="str">
            <v>CFS</v>
          </cell>
          <cell r="Q1152">
            <v>1</v>
          </cell>
          <cell r="R1152">
            <v>3</v>
          </cell>
          <cell r="S1152" t="str">
            <v>ZALM verzagen (100g)</v>
          </cell>
          <cell r="T1152">
            <v>2300</v>
          </cell>
          <cell r="U1152">
            <v>5</v>
          </cell>
          <cell r="V1152">
            <v>2300</v>
          </cell>
          <cell r="W1152">
            <v>5</v>
          </cell>
          <cell r="X1152">
            <v>0</v>
          </cell>
          <cell r="Y1152">
            <v>0</v>
          </cell>
          <cell r="Z1152">
            <v>0.16300000000000001</v>
          </cell>
          <cell r="AA1152" t="str">
            <v>! ! ! !</v>
          </cell>
          <cell r="AB1152">
            <v>14112</v>
          </cell>
          <cell r="AC1152">
            <v>0</v>
          </cell>
          <cell r="AJ1152" t="str">
            <v>V-A</v>
          </cell>
          <cell r="AL1152">
            <v>0</v>
          </cell>
          <cell r="AM1152">
            <v>2300</v>
          </cell>
          <cell r="AN1152" t="e">
            <v>#VALUE!</v>
          </cell>
          <cell r="AO1152" t="e">
            <v>#VALUE!</v>
          </cell>
          <cell r="AP1152">
            <v>-2300</v>
          </cell>
        </row>
        <row r="1153">
          <cell r="A1153">
            <v>65704100</v>
          </cell>
          <cell r="B1153">
            <v>40243900</v>
          </cell>
          <cell r="C1153">
            <v>5006063</v>
          </cell>
          <cell r="D1153" t="str">
            <v>ALDI FR ZALM GG ZURINGSAUS 2X200G (VR MIXED KARTON)(30)</v>
          </cell>
          <cell r="E1153" t="str">
            <v>Aldi FR</v>
          </cell>
          <cell r="F1153" t="str">
            <v>40370300 zacht</v>
          </cell>
          <cell r="G1153" t="str">
            <v>40370400 zacht</v>
          </cell>
          <cell r="H1153">
            <v>548</v>
          </cell>
          <cell r="I1153">
            <v>0.4</v>
          </cell>
          <cell r="J1153" t="str">
            <v>H8</v>
          </cell>
          <cell r="K1153" t="str">
            <v>NVT</v>
          </cell>
          <cell r="L1153">
            <v>24</v>
          </cell>
          <cell r="M1153" t="str">
            <v>H8X24</v>
          </cell>
          <cell r="N1153">
            <v>42</v>
          </cell>
          <cell r="O1153">
            <v>5400870570415</v>
          </cell>
          <cell r="P1153" t="str">
            <v>CFS</v>
          </cell>
          <cell r="Q1153">
            <v>1</v>
          </cell>
          <cell r="R1153">
            <v>3</v>
          </cell>
          <cell r="S1153" t="str">
            <v>ZALM verzagen (100g)</v>
          </cell>
          <cell r="T1153">
            <v>2300</v>
          </cell>
          <cell r="U1153">
            <v>5</v>
          </cell>
          <cell r="V1153">
            <v>2300</v>
          </cell>
          <cell r="W1153">
            <v>5</v>
          </cell>
          <cell r="X1153">
            <v>0</v>
          </cell>
          <cell r="Y1153">
            <v>0</v>
          </cell>
          <cell r="Z1153">
            <v>0.16300000000000001</v>
          </cell>
          <cell r="AA1153" t="str">
            <v>! ! ! !</v>
          </cell>
          <cell r="AB1153">
            <v>17640</v>
          </cell>
          <cell r="AC1153">
            <v>0</v>
          </cell>
          <cell r="AJ1153" t="str">
            <v>V-A</v>
          </cell>
          <cell r="AL1153">
            <v>0</v>
          </cell>
          <cell r="AM1153">
            <v>2300</v>
          </cell>
          <cell r="AN1153" t="e">
            <v>#VALUE!</v>
          </cell>
          <cell r="AO1153" t="e">
            <v>#VALUE!</v>
          </cell>
          <cell r="AP1153">
            <v>-2300</v>
          </cell>
        </row>
        <row r="1154">
          <cell r="A1154">
            <v>65704200</v>
          </cell>
          <cell r="B1154">
            <v>40244000</v>
          </cell>
          <cell r="C1154">
            <v>5006063</v>
          </cell>
          <cell r="D1154" t="str">
            <v>ALDI FR ZALM GG BOTERSAUS 2X200G (VR MIXED KARTON)(31)</v>
          </cell>
          <cell r="E1154" t="str">
            <v>Aldi FR</v>
          </cell>
          <cell r="F1154" t="str">
            <v>40370300 zacht</v>
          </cell>
          <cell r="G1154" t="str">
            <v>40370400 zacht</v>
          </cell>
          <cell r="H1154">
            <v>548</v>
          </cell>
          <cell r="I1154">
            <v>0.4</v>
          </cell>
          <cell r="J1154" t="str">
            <v>H8</v>
          </cell>
          <cell r="K1154" t="str">
            <v>NVT</v>
          </cell>
          <cell r="L1154">
            <v>24</v>
          </cell>
          <cell r="M1154" t="str">
            <v>H8X24</v>
          </cell>
          <cell r="N1154">
            <v>42</v>
          </cell>
          <cell r="O1154">
            <v>5400870570422</v>
          </cell>
          <cell r="P1154" t="str">
            <v>CFS</v>
          </cell>
          <cell r="Q1154">
            <v>1</v>
          </cell>
          <cell r="R1154">
            <v>3</v>
          </cell>
          <cell r="S1154" t="str">
            <v>ZALM verzagen (100g)</v>
          </cell>
          <cell r="T1154">
            <v>2300</v>
          </cell>
          <cell r="U1154">
            <v>5</v>
          </cell>
          <cell r="V1154">
            <v>2300</v>
          </cell>
          <cell r="W1154">
            <v>5</v>
          </cell>
          <cell r="X1154">
            <v>0</v>
          </cell>
          <cell r="Y1154">
            <v>0</v>
          </cell>
          <cell r="Z1154">
            <v>0.16300000000000001</v>
          </cell>
          <cell r="AA1154" t="str">
            <v>! ! ! !</v>
          </cell>
          <cell r="AB1154">
            <v>10584</v>
          </cell>
          <cell r="AC1154">
            <v>0</v>
          </cell>
          <cell r="AJ1154" t="str">
            <v>V-A</v>
          </cell>
          <cell r="AL1154">
            <v>0</v>
          </cell>
          <cell r="AM1154">
            <v>2300</v>
          </cell>
          <cell r="AN1154" t="e">
            <v>#VALUE!</v>
          </cell>
          <cell r="AO1154" t="e">
            <v>#VALUE!</v>
          </cell>
          <cell r="AP1154">
            <v>-2300</v>
          </cell>
        </row>
        <row r="1155">
          <cell r="A1155">
            <v>65704300</v>
          </cell>
          <cell r="B1155">
            <v>40263000</v>
          </cell>
          <cell r="C1155">
            <v>3197</v>
          </cell>
          <cell r="D1155" t="str">
            <v xml:space="preserve">ALDI BE ZALM MSC BIESLOOKSAUS 2X225G (VR MIXED KARTON) </v>
          </cell>
          <cell r="E1155" t="str">
            <v>Aldi BE</v>
          </cell>
          <cell r="F1155" t="str">
            <v>40371000 zacht 100µ</v>
          </cell>
          <cell r="G1155" t="str">
            <v>40370400 zacht</v>
          </cell>
          <cell r="H1155">
            <v>548</v>
          </cell>
          <cell r="I1155">
            <v>0.45</v>
          </cell>
          <cell r="J1155" t="str">
            <v>H8</v>
          </cell>
          <cell r="K1155" t="str">
            <v>NVT</v>
          </cell>
          <cell r="L1155">
            <v>24</v>
          </cell>
          <cell r="M1155" t="str">
            <v>H8X24</v>
          </cell>
          <cell r="N1155">
            <v>42</v>
          </cell>
          <cell r="O1155">
            <v>5400870570439</v>
          </cell>
          <cell r="P1155" t="str">
            <v>CFS</v>
          </cell>
          <cell r="Q1155">
            <v>1</v>
          </cell>
          <cell r="R1155">
            <v>3</v>
          </cell>
          <cell r="S1155" t="str">
            <v>ZALM verzagen (100g)</v>
          </cell>
          <cell r="T1155">
            <v>2300</v>
          </cell>
          <cell r="U1155">
            <v>5</v>
          </cell>
          <cell r="V1155">
            <v>2300</v>
          </cell>
          <cell r="W1155">
            <v>5</v>
          </cell>
          <cell r="X1155">
            <v>0</v>
          </cell>
          <cell r="Y1155">
            <v>0</v>
          </cell>
          <cell r="Z1155">
            <v>0.121</v>
          </cell>
          <cell r="AA1155" t="str">
            <v>! ! ! !</v>
          </cell>
          <cell r="AB1155">
            <v>17640</v>
          </cell>
          <cell r="AC1155">
            <v>0</v>
          </cell>
          <cell r="AJ1155" t="str">
            <v>V-A</v>
          </cell>
          <cell r="AL1155">
            <v>0</v>
          </cell>
          <cell r="AM1155">
            <v>2300</v>
          </cell>
          <cell r="AN1155" t="e">
            <v>#VALUE!</v>
          </cell>
          <cell r="AO1155" t="e">
            <v>#VALUE!</v>
          </cell>
          <cell r="AP1155">
            <v>-2300</v>
          </cell>
        </row>
        <row r="1156">
          <cell r="A1156">
            <v>65704400</v>
          </cell>
          <cell r="B1156">
            <v>40263100</v>
          </cell>
          <cell r="C1156">
            <v>3197</v>
          </cell>
          <cell r="D1156" t="str">
            <v xml:space="preserve">ALDI BE ZALM MSC FIJNE GROENTENSAUS 2X225G (VR MIXED KARTON) </v>
          </cell>
          <cell r="E1156" t="str">
            <v>Aldi BE</v>
          </cell>
          <cell r="F1156" t="str">
            <v>40371000 zacht 100µ</v>
          </cell>
          <cell r="G1156" t="str">
            <v>40370400 zacht</v>
          </cell>
          <cell r="H1156">
            <v>548</v>
          </cell>
          <cell r="I1156">
            <v>0.45</v>
          </cell>
          <cell r="J1156" t="str">
            <v>H8</v>
          </cell>
          <cell r="K1156" t="str">
            <v>NVT</v>
          </cell>
          <cell r="L1156">
            <v>24</v>
          </cell>
          <cell r="M1156" t="str">
            <v>H8X24</v>
          </cell>
          <cell r="N1156">
            <v>42</v>
          </cell>
          <cell r="O1156">
            <v>5400870570446</v>
          </cell>
          <cell r="P1156" t="str">
            <v>CFS</v>
          </cell>
          <cell r="Q1156">
            <v>1</v>
          </cell>
          <cell r="R1156">
            <v>3</v>
          </cell>
          <cell r="S1156" t="str">
            <v>ZALM verzagen (100g)</v>
          </cell>
          <cell r="T1156">
            <v>2300</v>
          </cell>
          <cell r="U1156">
            <v>5</v>
          </cell>
          <cell r="V1156">
            <v>2300</v>
          </cell>
          <cell r="W1156">
            <v>5</v>
          </cell>
          <cell r="X1156">
            <v>0</v>
          </cell>
          <cell r="Y1156">
            <v>0</v>
          </cell>
          <cell r="Z1156">
            <v>0.121</v>
          </cell>
          <cell r="AA1156" t="str">
            <v>! ! ! !</v>
          </cell>
          <cell r="AB1156">
            <v>17640</v>
          </cell>
          <cell r="AC1156">
            <v>0</v>
          </cell>
          <cell r="AJ1156" t="str">
            <v>V-A</v>
          </cell>
          <cell r="AL1156">
            <v>0</v>
          </cell>
          <cell r="AM1156">
            <v>2300</v>
          </cell>
          <cell r="AN1156" t="e">
            <v>#VALUE!</v>
          </cell>
          <cell r="AO1156" t="e">
            <v>#VALUE!</v>
          </cell>
          <cell r="AP1156">
            <v>-2300</v>
          </cell>
        </row>
        <row r="1157">
          <cell r="A1157">
            <v>65704500</v>
          </cell>
          <cell r="B1157">
            <v>40263200</v>
          </cell>
          <cell r="C1157">
            <v>3197</v>
          </cell>
          <cell r="D1157" t="str">
            <v xml:space="preserve">ALDI BE ZALM MSC SPINAZIESAUS 2X225G (VR MIXED KARTON) </v>
          </cell>
          <cell r="E1157" t="str">
            <v>Aldi BE</v>
          </cell>
          <cell r="F1157" t="str">
            <v>40371000 zacht 100µ</v>
          </cell>
          <cell r="G1157" t="str">
            <v>40370400 zacht</v>
          </cell>
          <cell r="H1157">
            <v>548</v>
          </cell>
          <cell r="I1157">
            <v>0.45</v>
          </cell>
          <cell r="J1157" t="str">
            <v>H8</v>
          </cell>
          <cell r="K1157" t="str">
            <v>NVT</v>
          </cell>
          <cell r="L1157">
            <v>24</v>
          </cell>
          <cell r="M1157" t="str">
            <v>H8X24</v>
          </cell>
          <cell r="N1157">
            <v>42</v>
          </cell>
          <cell r="O1157">
            <v>5400870570453</v>
          </cell>
          <cell r="P1157" t="str">
            <v>CFS</v>
          </cell>
          <cell r="Q1157">
            <v>1</v>
          </cell>
          <cell r="R1157">
            <v>3</v>
          </cell>
          <cell r="S1157" t="str">
            <v>ZALM verzagen (100g)</v>
          </cell>
          <cell r="T1157">
            <v>2300</v>
          </cell>
          <cell r="U1157">
            <v>5</v>
          </cell>
          <cell r="V1157">
            <v>2300</v>
          </cell>
          <cell r="W1157">
            <v>5</v>
          </cell>
          <cell r="X1157">
            <v>0</v>
          </cell>
          <cell r="Y1157">
            <v>0</v>
          </cell>
          <cell r="Z1157">
            <v>0.121</v>
          </cell>
          <cell r="AA1157" t="str">
            <v>! ! ! !</v>
          </cell>
          <cell r="AB1157">
            <v>11760</v>
          </cell>
          <cell r="AC1157">
            <v>0</v>
          </cell>
          <cell r="AJ1157" t="str">
            <v>V-A</v>
          </cell>
          <cell r="AL1157">
            <v>0</v>
          </cell>
          <cell r="AM1157">
            <v>2300</v>
          </cell>
          <cell r="AN1157" t="e">
            <v>#VALUE!</v>
          </cell>
          <cell r="AO1157" t="e">
            <v>#VALUE!</v>
          </cell>
          <cell r="AP1157">
            <v>-2300</v>
          </cell>
        </row>
        <row r="1158">
          <cell r="A1158">
            <v>65704600</v>
          </cell>
          <cell r="B1158">
            <v>40263300</v>
          </cell>
          <cell r="C1158">
            <v>3197</v>
          </cell>
          <cell r="D1158" t="str">
            <v xml:space="preserve">ALDI BE ZALM MSC BEARNAISESAUS 2X225G (VR MIXED KARTON) </v>
          </cell>
          <cell r="E1158" t="str">
            <v>Aldi BE</v>
          </cell>
          <cell r="F1158" t="str">
            <v>40371000 zacht 100µ</v>
          </cell>
          <cell r="G1158" t="str">
            <v>40370400 zacht</v>
          </cell>
          <cell r="H1158">
            <v>548</v>
          </cell>
          <cell r="I1158">
            <v>0.45</v>
          </cell>
          <cell r="J1158" t="str">
            <v>H8</v>
          </cell>
          <cell r="K1158" t="str">
            <v>NVT</v>
          </cell>
          <cell r="L1158">
            <v>24</v>
          </cell>
          <cell r="M1158" t="str">
            <v>H8X24</v>
          </cell>
          <cell r="N1158">
            <v>42</v>
          </cell>
          <cell r="O1158">
            <v>5400870570460</v>
          </cell>
          <cell r="P1158" t="str">
            <v>CFS</v>
          </cell>
          <cell r="Q1158">
            <v>1</v>
          </cell>
          <cell r="R1158">
            <v>3</v>
          </cell>
          <cell r="S1158" t="str">
            <v>ZALM verzagen (100g)</v>
          </cell>
          <cell r="T1158">
            <v>2300</v>
          </cell>
          <cell r="U1158">
            <v>5</v>
          </cell>
          <cell r="V1158">
            <v>2300</v>
          </cell>
          <cell r="W1158">
            <v>5</v>
          </cell>
          <cell r="X1158">
            <v>0</v>
          </cell>
          <cell r="Y1158">
            <v>0</v>
          </cell>
          <cell r="Z1158">
            <v>0.121</v>
          </cell>
          <cell r="AA1158" t="str">
            <v>! ! ! !</v>
          </cell>
          <cell r="AB1158">
            <v>11760</v>
          </cell>
          <cell r="AC1158">
            <v>0</v>
          </cell>
          <cell r="AJ1158" t="str">
            <v>V-A</v>
          </cell>
          <cell r="AL1158">
            <v>0</v>
          </cell>
          <cell r="AM1158">
            <v>2300</v>
          </cell>
          <cell r="AN1158" t="e">
            <v>#VALUE!</v>
          </cell>
          <cell r="AO1158" t="e">
            <v>#VALUE!</v>
          </cell>
          <cell r="AP1158">
            <v>-2300</v>
          </cell>
        </row>
        <row r="1159">
          <cell r="A1159">
            <v>65704700</v>
          </cell>
          <cell r="B1159">
            <v>40263400</v>
          </cell>
          <cell r="C1159">
            <v>3197</v>
          </cell>
          <cell r="D1159" t="str">
            <v xml:space="preserve">ALDI BE ZALM MSC PREIROOMSAUS 2X225G (VR MIXED KARTON) </v>
          </cell>
          <cell r="E1159" t="str">
            <v>Aldi BE</v>
          </cell>
          <cell r="F1159" t="str">
            <v>40371000 zacht 100µ</v>
          </cell>
          <cell r="G1159" t="str">
            <v>40370400 zacht</v>
          </cell>
          <cell r="H1159">
            <v>548</v>
          </cell>
          <cell r="I1159">
            <v>0.45</v>
          </cell>
          <cell r="J1159" t="str">
            <v>H8</v>
          </cell>
          <cell r="K1159" t="str">
            <v>NVT</v>
          </cell>
          <cell r="L1159">
            <v>24</v>
          </cell>
          <cell r="M1159" t="str">
            <v>H8X24</v>
          </cell>
          <cell r="N1159">
            <v>42</v>
          </cell>
          <cell r="O1159">
            <v>5400870570477</v>
          </cell>
          <cell r="P1159" t="str">
            <v>CFS</v>
          </cell>
          <cell r="Q1159">
            <v>1</v>
          </cell>
          <cell r="R1159">
            <v>3</v>
          </cell>
          <cell r="S1159" t="str">
            <v>ZALM verzagen (100g)</v>
          </cell>
          <cell r="T1159">
            <v>2300</v>
          </cell>
          <cell r="U1159">
            <v>5</v>
          </cell>
          <cell r="V1159">
            <v>2300</v>
          </cell>
          <cell r="W1159">
            <v>5</v>
          </cell>
          <cell r="X1159">
            <v>0</v>
          </cell>
          <cell r="Y1159">
            <v>0</v>
          </cell>
          <cell r="Z1159">
            <v>0.121</v>
          </cell>
          <cell r="AA1159" t="str">
            <v>! ! ! !</v>
          </cell>
          <cell r="AB1159">
            <v>11760</v>
          </cell>
          <cell r="AC1159">
            <v>0</v>
          </cell>
          <cell r="AJ1159" t="str">
            <v>V-A</v>
          </cell>
          <cell r="AL1159">
            <v>0</v>
          </cell>
          <cell r="AM1159">
            <v>2300</v>
          </cell>
          <cell r="AN1159" t="e">
            <v>#VALUE!</v>
          </cell>
          <cell r="AO1159" t="e">
            <v>#VALUE!</v>
          </cell>
          <cell r="AP1159">
            <v>-2300</v>
          </cell>
        </row>
        <row r="1160">
          <cell r="A1160">
            <v>65900200</v>
          </cell>
          <cell r="B1160">
            <v>40262100</v>
          </cell>
          <cell r="C1160" t="str">
            <v>0010732</v>
          </cell>
          <cell r="D1160" t="str">
            <v>BOF DE MOUSSAKA 2*400G</v>
          </cell>
          <cell r="E1160" t="str">
            <v>Bofrost DE</v>
          </cell>
          <cell r="F1160" t="str">
            <v>40337500 COVIPEEL 32 355mm</v>
          </cell>
          <cell r="G1160" t="str">
            <v>OB 36mm</v>
          </cell>
          <cell r="H1160">
            <v>456</v>
          </cell>
          <cell r="I1160">
            <v>0.8</v>
          </cell>
          <cell r="J1160" t="str">
            <v>H32</v>
          </cell>
          <cell r="K1160" t="str">
            <v>NVT</v>
          </cell>
          <cell r="L1160">
            <v>5</v>
          </cell>
          <cell r="M1160" t="str">
            <v>H11x10</v>
          </cell>
          <cell r="N1160">
            <v>104</v>
          </cell>
          <cell r="O1160">
            <v>5400870590024</v>
          </cell>
          <cell r="P1160" t="str">
            <v>I-4T-K</v>
          </cell>
          <cell r="Q1160">
            <v>2</v>
          </cell>
          <cell r="R1160">
            <v>6</v>
          </cell>
          <cell r="S1160" t="str">
            <v>COVIPEEL-ipeelcoio</v>
          </cell>
          <cell r="T1160">
            <v>1750</v>
          </cell>
          <cell r="U1160">
            <v>4</v>
          </cell>
          <cell r="V1160">
            <v>1750</v>
          </cell>
          <cell r="W1160">
            <v>4</v>
          </cell>
          <cell r="X1160">
            <v>0</v>
          </cell>
          <cell r="Y1160">
            <v>0</v>
          </cell>
          <cell r="Z1160">
            <v>5.1999999999999998E-2</v>
          </cell>
          <cell r="AA1160" t="str">
            <v>! !</v>
          </cell>
          <cell r="AB1160">
            <v>13405</v>
          </cell>
          <cell r="AC1160">
            <v>0</v>
          </cell>
          <cell r="AG1160">
            <v>68</v>
          </cell>
          <cell r="AJ1160" t="str">
            <v>-</v>
          </cell>
          <cell r="AL1160">
            <v>4080</v>
          </cell>
          <cell r="AM1160">
            <v>1750</v>
          </cell>
          <cell r="AN1160" t="e">
            <v>#VALUE!</v>
          </cell>
          <cell r="AO1160" t="e">
            <v>#VALUE!</v>
          </cell>
          <cell r="AP1160">
            <v>2330</v>
          </cell>
        </row>
        <row r="1161">
          <cell r="A1161">
            <v>65900300</v>
          </cell>
          <cell r="B1161">
            <v>40242700</v>
          </cell>
          <cell r="C1161">
            <v>9920032</v>
          </cell>
          <cell r="D1161" t="str">
            <v>BOF DE GRATIN ASPERGE WORTEL 2X400G</v>
          </cell>
          <cell r="E1161" t="str">
            <v>Bofrost DE</v>
          </cell>
          <cell r="F1161" t="str">
            <v>40337500 COVIPEEL 32 355mm</v>
          </cell>
          <cell r="G1161" t="str">
            <v>OB 36mm</v>
          </cell>
          <cell r="H1161">
            <v>456</v>
          </cell>
          <cell r="I1161">
            <v>0.8</v>
          </cell>
          <cell r="J1161" t="str">
            <v>H32</v>
          </cell>
          <cell r="K1161" t="str">
            <v>NVT</v>
          </cell>
          <cell r="L1161">
            <v>5</v>
          </cell>
          <cell r="M1161" t="str">
            <v>H32x5</v>
          </cell>
          <cell r="N1161">
            <v>91</v>
          </cell>
          <cell r="O1161">
            <v>5400870590031</v>
          </cell>
          <cell r="P1161" t="str">
            <v>L-I-2T-K</v>
          </cell>
          <cell r="Q1161">
            <v>2</v>
          </cell>
          <cell r="R1161">
            <v>6</v>
          </cell>
          <cell r="S1161" t="str">
            <v>COVIPEEL-ipeelcoio</v>
          </cell>
          <cell r="T1161">
            <v>1750</v>
          </cell>
          <cell r="U1161">
            <v>5</v>
          </cell>
          <cell r="V1161">
            <v>1750</v>
          </cell>
          <cell r="W1161">
            <v>5</v>
          </cell>
          <cell r="X1161">
            <v>0</v>
          </cell>
          <cell r="Y1161">
            <v>0</v>
          </cell>
          <cell r="Z1161">
            <v>7.8E-2</v>
          </cell>
          <cell r="AA1161" t="str">
            <v>! !</v>
          </cell>
          <cell r="AB1161">
            <v>13500</v>
          </cell>
          <cell r="AC1161">
            <v>0</v>
          </cell>
          <cell r="AG1161">
            <v>68</v>
          </cell>
          <cell r="AJ1161" t="str">
            <v>-</v>
          </cell>
          <cell r="AL1161">
            <v>4080</v>
          </cell>
          <cell r="AM1161">
            <v>1750</v>
          </cell>
          <cell r="AN1161" t="e">
            <v>#VALUE!</v>
          </cell>
          <cell r="AO1161" t="e">
            <v>#VALUE!</v>
          </cell>
          <cell r="AP1161">
            <v>2330</v>
          </cell>
        </row>
        <row r="1162">
          <cell r="A1162">
            <v>65900400</v>
          </cell>
          <cell r="B1162">
            <v>40243400</v>
          </cell>
          <cell r="C1162">
            <v>9920033</v>
          </cell>
          <cell r="D1162" t="str">
            <v>BOF DE GRATIN CHAMPIGNON 2X400G</v>
          </cell>
          <cell r="E1162" t="str">
            <v>Bofrost DE</v>
          </cell>
          <cell r="F1162" t="str">
            <v>40337500 COVIPEEL 32 355mm</v>
          </cell>
          <cell r="G1162" t="str">
            <v>OB 36mm</v>
          </cell>
          <cell r="H1162">
            <v>456</v>
          </cell>
          <cell r="I1162">
            <v>0.8</v>
          </cell>
          <cell r="J1162" t="str">
            <v>H32</v>
          </cell>
          <cell r="K1162" t="str">
            <v>NVT</v>
          </cell>
          <cell r="L1162">
            <v>5</v>
          </cell>
          <cell r="M1162" t="str">
            <v>H32x5</v>
          </cell>
          <cell r="N1162">
            <v>91</v>
          </cell>
          <cell r="O1162">
            <v>5400870590048</v>
          </cell>
          <cell r="P1162" t="str">
            <v>I-2T</v>
          </cell>
          <cell r="Q1162">
            <v>1.5</v>
          </cell>
          <cell r="R1162">
            <v>6</v>
          </cell>
          <cell r="S1162" t="str">
            <v>COVIPEEL-ipeelcoio</v>
          </cell>
          <cell r="T1162">
            <v>1750</v>
          </cell>
          <cell r="U1162">
            <v>5</v>
          </cell>
          <cell r="V1162">
            <v>1750</v>
          </cell>
          <cell r="W1162">
            <v>5</v>
          </cell>
          <cell r="X1162">
            <v>0</v>
          </cell>
          <cell r="Y1162">
            <v>0</v>
          </cell>
          <cell r="Z1162">
            <v>7.8E-2</v>
          </cell>
          <cell r="AA1162" t="str">
            <v>! !</v>
          </cell>
          <cell r="AB1162">
            <v>13500</v>
          </cell>
          <cell r="AC1162">
            <v>0</v>
          </cell>
          <cell r="AG1162">
            <v>68</v>
          </cell>
          <cell r="AJ1162" t="str">
            <v>-</v>
          </cell>
          <cell r="AL1162">
            <v>4080</v>
          </cell>
          <cell r="AM1162">
            <v>1750</v>
          </cell>
          <cell r="AN1162" t="e">
            <v>#VALUE!</v>
          </cell>
          <cell r="AO1162" t="e">
            <v>#VALUE!</v>
          </cell>
          <cell r="AP1162">
            <v>2330</v>
          </cell>
        </row>
        <row r="1163">
          <cell r="A1163">
            <v>65900500</v>
          </cell>
          <cell r="B1163">
            <v>40264000</v>
          </cell>
          <cell r="C1163">
            <v>9720566</v>
          </cell>
          <cell r="D1163" t="str">
            <v>BOF DE MACARONI KAASSAUS BOLOGNAISE 2X400G</v>
          </cell>
          <cell r="E1163" t="str">
            <v>Bofrost DE</v>
          </cell>
          <cell r="F1163" t="str">
            <v>40337500 COVIPEEL 32 355mm</v>
          </cell>
          <cell r="G1163" t="str">
            <v>OB 36mm</v>
          </cell>
          <cell r="H1163">
            <v>365</v>
          </cell>
          <cell r="I1163">
            <v>0.8</v>
          </cell>
          <cell r="J1163" t="str">
            <v>H32</v>
          </cell>
          <cell r="K1163" t="str">
            <v>NVT</v>
          </cell>
          <cell r="L1163">
            <v>5</v>
          </cell>
          <cell r="M1163" t="str">
            <v>H32x5</v>
          </cell>
          <cell r="N1163">
            <v>91</v>
          </cell>
          <cell r="O1163">
            <v>5400870590055</v>
          </cell>
          <cell r="P1163" t="str">
            <v>4T-K</v>
          </cell>
          <cell r="Q1163">
            <v>3</v>
          </cell>
          <cell r="R1163">
            <v>6</v>
          </cell>
          <cell r="T1163">
            <v>1750</v>
          </cell>
          <cell r="U1163">
            <v>3</v>
          </cell>
          <cell r="V1163">
            <v>1750</v>
          </cell>
          <cell r="W1163">
            <v>3</v>
          </cell>
          <cell r="X1163">
            <v>0</v>
          </cell>
          <cell r="Y1163">
            <v>0</v>
          </cell>
          <cell r="Z1163">
            <v>7.8E-2</v>
          </cell>
          <cell r="AA1163" t="str">
            <v>! ! !</v>
          </cell>
          <cell r="AB1163">
            <v>13500</v>
          </cell>
          <cell r="AC1163">
            <v>0</v>
          </cell>
          <cell r="AJ1163" t="str">
            <v>V-A</v>
          </cell>
          <cell r="AL1163">
            <v>0</v>
          </cell>
          <cell r="AM1163">
            <v>1750</v>
          </cell>
          <cell r="AN1163" t="e">
            <v>#VALUE!</v>
          </cell>
          <cell r="AO1163" t="e">
            <v>#VALUE!</v>
          </cell>
          <cell r="AP1163">
            <v>-1750</v>
          </cell>
        </row>
        <row r="1164">
          <cell r="A1164">
            <v>65910000</v>
          </cell>
          <cell r="B1164">
            <v>40274900</v>
          </cell>
          <cell r="C1164">
            <v>9912246</v>
          </cell>
          <cell r="D1164" t="str">
            <v>BOF BE MACARONI KAASSAUS BOLOGNAISE 2X400G</v>
          </cell>
          <cell r="E1164" t="str">
            <v>Bofrost BE</v>
          </cell>
          <cell r="F1164" t="str">
            <v>40337500 COVIPEEL 32 355mm</v>
          </cell>
          <cell r="G1164" t="str">
            <v>OB 36mm</v>
          </cell>
          <cell r="H1164">
            <v>365</v>
          </cell>
          <cell r="I1164">
            <v>0.8</v>
          </cell>
          <cell r="J1164" t="str">
            <v>H32</v>
          </cell>
          <cell r="K1164" t="str">
            <v>NVT</v>
          </cell>
          <cell r="L1164">
            <v>5</v>
          </cell>
          <cell r="M1164" t="str">
            <v>H32x5</v>
          </cell>
          <cell r="N1164">
            <v>91</v>
          </cell>
          <cell r="O1164">
            <v>5400870591007</v>
          </cell>
          <cell r="P1164" t="str">
            <v>4T-K</v>
          </cell>
          <cell r="Q1164">
            <v>3</v>
          </cell>
          <cell r="R1164">
            <v>6</v>
          </cell>
          <cell r="T1164">
            <v>1750</v>
          </cell>
          <cell r="U1164">
            <v>3</v>
          </cell>
          <cell r="V1164">
            <v>1750</v>
          </cell>
          <cell r="W1164">
            <v>3</v>
          </cell>
          <cell r="X1164">
            <v>0</v>
          </cell>
          <cell r="Y1164">
            <v>0</v>
          </cell>
          <cell r="Z1164">
            <v>0</v>
          </cell>
          <cell r="AA1164" t="str">
            <v>! ! !</v>
          </cell>
          <cell r="AB1164">
            <v>9000</v>
          </cell>
          <cell r="AC1164">
            <v>0</v>
          </cell>
          <cell r="AJ1164" t="str">
            <v>V-A</v>
          </cell>
          <cell r="AL1164">
            <v>0</v>
          </cell>
          <cell r="AM1164">
            <v>1750</v>
          </cell>
          <cell r="AN1164" t="e">
            <v>#VALUE!</v>
          </cell>
          <cell r="AO1164" t="e">
            <v>#VALUE!</v>
          </cell>
          <cell r="AP1164">
            <v>-1750</v>
          </cell>
        </row>
        <row r="1165">
          <cell r="A1165">
            <v>65910100</v>
          </cell>
          <cell r="B1165">
            <v>40275000</v>
          </cell>
          <cell r="C1165">
            <v>9912336</v>
          </cell>
          <cell r="D1165" t="str">
            <v>BOF BE FR GRATIN DAUPHINOIS 2X400G</v>
          </cell>
          <cell r="E1165" t="str">
            <v>Bofrost BE</v>
          </cell>
          <cell r="F1165" t="str">
            <v>40337500 COVIPEEL 32 355mm</v>
          </cell>
          <cell r="G1165" t="str">
            <v>OB 36mm</v>
          </cell>
          <cell r="H1165">
            <v>456</v>
          </cell>
          <cell r="I1165">
            <v>0.8</v>
          </cell>
          <cell r="J1165" t="str">
            <v>H32</v>
          </cell>
          <cell r="K1165" t="str">
            <v>NVT</v>
          </cell>
          <cell r="L1165">
            <v>5</v>
          </cell>
          <cell r="M1165" t="str">
            <v>H32X5</v>
          </cell>
          <cell r="N1165">
            <v>91</v>
          </cell>
          <cell r="O1165">
            <v>5400870591014</v>
          </cell>
          <cell r="P1165" t="str">
            <v>I-2T-K</v>
          </cell>
          <cell r="Q1165">
            <v>1</v>
          </cell>
          <cell r="R1165">
            <v>6</v>
          </cell>
          <cell r="S1165" t="str">
            <v>COVIPEEL-ipeelcoio</v>
          </cell>
          <cell r="T1165">
            <v>1750</v>
          </cell>
          <cell r="U1165">
            <v>2</v>
          </cell>
          <cell r="V1165">
            <v>1750</v>
          </cell>
          <cell r="W1165">
            <v>2</v>
          </cell>
          <cell r="X1165">
            <v>0</v>
          </cell>
          <cell r="Y1165">
            <v>0</v>
          </cell>
          <cell r="Z1165">
            <v>0</v>
          </cell>
          <cell r="AA1165" t="str">
            <v>! !</v>
          </cell>
          <cell r="AB1165">
            <v>3000</v>
          </cell>
          <cell r="AC1165">
            <v>0</v>
          </cell>
          <cell r="AG1165">
            <v>68</v>
          </cell>
          <cell r="AJ1165" t="str">
            <v>-</v>
          </cell>
          <cell r="AL1165">
            <v>4080</v>
          </cell>
          <cell r="AM1165">
            <v>1750</v>
          </cell>
          <cell r="AN1165" t="e">
            <v>#VALUE!</v>
          </cell>
          <cell r="AO1165" t="e">
            <v>#VALUE!</v>
          </cell>
          <cell r="AP1165">
            <v>2330</v>
          </cell>
        </row>
        <row r="1166">
          <cell r="A1166">
            <v>65910200</v>
          </cell>
          <cell r="B1166">
            <v>40275100</v>
          </cell>
          <cell r="C1166">
            <v>9810732</v>
          </cell>
          <cell r="D1166" t="str">
            <v>BOF BE MOUSSAKA  2X400G</v>
          </cell>
          <cell r="E1166" t="str">
            <v>Bofrost BE</v>
          </cell>
          <cell r="F1166" t="str">
            <v>40337500 COVIPEEL 32 355mm</v>
          </cell>
          <cell r="G1166" t="str">
            <v>OB 36mm</v>
          </cell>
          <cell r="H1166">
            <v>456</v>
          </cell>
          <cell r="I1166">
            <v>0.8</v>
          </cell>
          <cell r="J1166" t="str">
            <v>H32</v>
          </cell>
          <cell r="K1166" t="str">
            <v>NVT</v>
          </cell>
          <cell r="L1166">
            <v>5</v>
          </cell>
          <cell r="M1166" t="str">
            <v>H32X5</v>
          </cell>
          <cell r="N1166">
            <v>91</v>
          </cell>
          <cell r="O1166">
            <v>5400870591021</v>
          </cell>
          <cell r="P1166" t="str">
            <v>I-4T-K</v>
          </cell>
          <cell r="Q1166">
            <v>2</v>
          </cell>
          <cell r="R1166">
            <v>6</v>
          </cell>
          <cell r="S1166" t="str">
            <v>COVIPEEL-ipeelcoio</v>
          </cell>
          <cell r="T1166">
            <v>1750</v>
          </cell>
          <cell r="U1166">
            <v>4</v>
          </cell>
          <cell r="V1166">
            <v>1750</v>
          </cell>
          <cell r="W1166">
            <v>4</v>
          </cell>
          <cell r="X1166">
            <v>0</v>
          </cell>
          <cell r="Y1166">
            <v>0</v>
          </cell>
          <cell r="Z1166">
            <v>0</v>
          </cell>
          <cell r="AA1166" t="str">
            <v>! !</v>
          </cell>
          <cell r="AB1166">
            <v>3000</v>
          </cell>
          <cell r="AC1166">
            <v>0</v>
          </cell>
          <cell r="AG1166">
            <v>68</v>
          </cell>
          <cell r="AJ1166" t="str">
            <v>-</v>
          </cell>
          <cell r="AL1166">
            <v>4080</v>
          </cell>
          <cell r="AM1166">
            <v>1750</v>
          </cell>
          <cell r="AN1166" t="e">
            <v>#VALUE!</v>
          </cell>
          <cell r="AO1166" t="e">
            <v>#VALUE!</v>
          </cell>
          <cell r="AP1166">
            <v>2330</v>
          </cell>
        </row>
        <row r="1167">
          <cell r="A1167">
            <v>66131000</v>
          </cell>
          <cell r="C1167">
            <v>125163</v>
          </cell>
          <cell r="D1167" t="str">
            <v>EAT CASPER PENNE 4 KAZEN BROCCOLI 2,175kg (5porties)</v>
          </cell>
          <cell r="E1167" t="str">
            <v>Casper</v>
          </cell>
          <cell r="F1167" t="str">
            <v>40337000 OLAF 40 310MM</v>
          </cell>
          <cell r="G1167" t="str">
            <v>C2325-1C</v>
          </cell>
          <cell r="H1167">
            <v>456</v>
          </cell>
          <cell r="I1167">
            <v>2.1749999999999998</v>
          </cell>
          <cell r="J1167" t="str">
            <v>NVT</v>
          </cell>
          <cell r="K1167" t="str">
            <v>BLANCO 100X100</v>
          </cell>
          <cell r="L1167">
            <v>4</v>
          </cell>
          <cell r="M1167" t="str">
            <v>BULK HO</v>
          </cell>
          <cell r="N1167">
            <v>48</v>
          </cell>
          <cell r="O1167">
            <v>5400870613105</v>
          </cell>
          <cell r="P1167" t="str">
            <v>3T-I</v>
          </cell>
          <cell r="Q1167">
            <v>3</v>
          </cell>
          <cell r="R1167">
            <v>3</v>
          </cell>
          <cell r="S1167" t="str">
            <v>Folie perforeren</v>
          </cell>
          <cell r="T1167">
            <v>575</v>
          </cell>
          <cell r="U1167">
            <v>5</v>
          </cell>
          <cell r="V1167">
            <v>575</v>
          </cell>
          <cell r="W1167">
            <v>5</v>
          </cell>
          <cell r="X1167">
            <v>0</v>
          </cell>
          <cell r="Y1167">
            <v>0</v>
          </cell>
          <cell r="Z1167">
            <v>0.13200000000000001</v>
          </cell>
          <cell r="AA1167" t="str">
            <v>! !</v>
          </cell>
          <cell r="AB1167">
            <v>1500</v>
          </cell>
          <cell r="AC1167">
            <v>0</v>
          </cell>
          <cell r="AG1167">
            <v>14</v>
          </cell>
          <cell r="AJ1167" t="str">
            <v>-</v>
          </cell>
          <cell r="AL1167">
            <v>840</v>
          </cell>
          <cell r="AM1167">
            <v>575</v>
          </cell>
          <cell r="AN1167" t="e">
            <v>#VALUE!</v>
          </cell>
          <cell r="AO1167" t="e">
            <v>#VALUE!</v>
          </cell>
          <cell r="AP1167">
            <v>265</v>
          </cell>
        </row>
        <row r="1168">
          <cell r="A1168">
            <v>66131100</v>
          </cell>
          <cell r="C1168" t="str">
            <v>125162 </v>
          </cell>
          <cell r="D1168" t="str">
            <v>CASPER PENNE TRUFFEL BOSCHAMPIGNONS 2,175kg (5porties)</v>
          </cell>
          <cell r="E1168" t="str">
            <v>Casper</v>
          </cell>
          <cell r="F1168" t="str">
            <v>40337000 OLAF 40 310MM</v>
          </cell>
          <cell r="G1168" t="str">
            <v>C2325-1C</v>
          </cell>
          <cell r="H1168">
            <v>456</v>
          </cell>
          <cell r="I1168">
            <v>2.1749999999999998</v>
          </cell>
          <cell r="J1168" t="str">
            <v>NVT</v>
          </cell>
          <cell r="K1168" t="str">
            <v>BLANCO 100X100</v>
          </cell>
          <cell r="L1168">
            <v>4</v>
          </cell>
          <cell r="M1168" t="str">
            <v>BULK HO</v>
          </cell>
          <cell r="N1168">
            <v>48</v>
          </cell>
          <cell r="O1168">
            <v>5400870613112</v>
          </cell>
          <cell r="P1168" t="str">
            <v>3T</v>
          </cell>
          <cell r="Q1168">
            <v>3</v>
          </cell>
          <cell r="R1168">
            <v>3</v>
          </cell>
          <cell r="S1168" t="str">
            <v>Folie perforeren</v>
          </cell>
          <cell r="T1168">
            <v>575</v>
          </cell>
          <cell r="U1168">
            <v>3</v>
          </cell>
          <cell r="V1168">
            <v>575</v>
          </cell>
          <cell r="W1168">
            <v>3</v>
          </cell>
          <cell r="X1168">
            <v>0</v>
          </cell>
          <cell r="Y1168">
            <v>0</v>
          </cell>
          <cell r="Z1168">
            <v>0.13200000000000001</v>
          </cell>
          <cell r="AA1168" t="str">
            <v>! !</v>
          </cell>
          <cell r="AB1168">
            <v>1500</v>
          </cell>
          <cell r="AC1168">
            <v>0</v>
          </cell>
          <cell r="AG1168">
            <v>14</v>
          </cell>
          <cell r="AJ1168" t="str">
            <v>-</v>
          </cell>
          <cell r="AL1168">
            <v>840</v>
          </cell>
          <cell r="AM1168">
            <v>575</v>
          </cell>
          <cell r="AN1168" t="e">
            <v>#VALUE!</v>
          </cell>
          <cell r="AO1168" t="e">
            <v>#VALUE!</v>
          </cell>
          <cell r="AP1168">
            <v>265</v>
          </cell>
        </row>
        <row r="1169">
          <cell r="A1169">
            <v>66131200</v>
          </cell>
          <cell r="C1169">
            <v>125564</v>
          </cell>
          <cell r="D1169" t="str">
            <v>CASPER MACARONI HAM KAAS CLASSIC 2,175kg (5porties)</v>
          </cell>
          <cell r="E1169" t="str">
            <v>Casper</v>
          </cell>
          <cell r="F1169" t="str">
            <v>40337000 OLAF 40 310MM</v>
          </cell>
          <cell r="G1169" t="str">
            <v>C2325-1C</v>
          </cell>
          <cell r="H1169">
            <v>365</v>
          </cell>
          <cell r="I1169">
            <v>2.1749999999999998</v>
          </cell>
          <cell r="J1169" t="str">
            <v>NVT</v>
          </cell>
          <cell r="K1169" t="str">
            <v>BLANCO 100X100</v>
          </cell>
          <cell r="L1169">
            <v>4</v>
          </cell>
          <cell r="M1169" t="str">
            <v>BULK HO</v>
          </cell>
          <cell r="N1169">
            <v>48</v>
          </cell>
          <cell r="O1169">
            <v>5400870613136</v>
          </cell>
          <cell r="P1169" t="str">
            <v>3T</v>
          </cell>
          <cell r="Q1169">
            <v>3</v>
          </cell>
          <cell r="R1169">
            <v>3</v>
          </cell>
          <cell r="S1169" t="str">
            <v>Folie perforeren</v>
          </cell>
          <cell r="T1169">
            <v>575</v>
          </cell>
          <cell r="U1169">
            <v>3</v>
          </cell>
          <cell r="V1169">
            <v>575</v>
          </cell>
          <cell r="W1169">
            <v>3</v>
          </cell>
          <cell r="X1169">
            <v>0</v>
          </cell>
          <cell r="Y1169">
            <v>0</v>
          </cell>
          <cell r="Z1169">
            <v>0.11700000000000001</v>
          </cell>
          <cell r="AA1169" t="str">
            <v>! !</v>
          </cell>
          <cell r="AB1169">
            <v>2500</v>
          </cell>
          <cell r="AC1169">
            <v>0</v>
          </cell>
          <cell r="AG1169">
            <v>14</v>
          </cell>
          <cell r="AJ1169" t="str">
            <v>V-A</v>
          </cell>
          <cell r="AL1169">
            <v>840</v>
          </cell>
          <cell r="AM1169">
            <v>575</v>
          </cell>
          <cell r="AN1169" t="e">
            <v>#VALUE!</v>
          </cell>
          <cell r="AO1169" t="e">
            <v>#VALUE!</v>
          </cell>
          <cell r="AP1169">
            <v>265</v>
          </cell>
        </row>
        <row r="1170">
          <cell r="A1170">
            <v>66131300</v>
          </cell>
          <cell r="C1170">
            <v>125565</v>
          </cell>
          <cell r="D1170" t="str">
            <v>CASPER MACARONI HAM KAAS HOLY GRAIL 2,175kg (5porties)</v>
          </cell>
          <cell r="E1170" t="str">
            <v>Casper</v>
          </cell>
          <cell r="F1170" t="str">
            <v>40337000 OLAF 40 310MM</v>
          </cell>
          <cell r="G1170" t="str">
            <v>C2325-1C</v>
          </cell>
          <cell r="H1170">
            <v>365</v>
          </cell>
          <cell r="I1170">
            <v>2.1749999999999998</v>
          </cell>
          <cell r="J1170" t="str">
            <v>NVT</v>
          </cell>
          <cell r="K1170" t="str">
            <v>BLANCO 100X100</v>
          </cell>
          <cell r="L1170">
            <v>4</v>
          </cell>
          <cell r="M1170" t="str">
            <v>BULK HO</v>
          </cell>
          <cell r="N1170">
            <v>48</v>
          </cell>
          <cell r="O1170">
            <v>5400870613129</v>
          </cell>
          <cell r="P1170" t="str">
            <v>3T</v>
          </cell>
          <cell r="Q1170">
            <v>3</v>
          </cell>
          <cell r="R1170">
            <v>3</v>
          </cell>
          <cell r="S1170" t="str">
            <v>Folie perforeren</v>
          </cell>
          <cell r="T1170">
            <v>575</v>
          </cell>
          <cell r="U1170">
            <v>3</v>
          </cell>
          <cell r="V1170">
            <v>575</v>
          </cell>
          <cell r="W1170">
            <v>3</v>
          </cell>
          <cell r="X1170">
            <v>0</v>
          </cell>
          <cell r="Y1170">
            <v>0</v>
          </cell>
          <cell r="Z1170">
            <v>0.11700000000000001</v>
          </cell>
          <cell r="AA1170" t="str">
            <v>! ! !</v>
          </cell>
          <cell r="AB1170">
            <v>2500</v>
          </cell>
          <cell r="AC1170">
            <v>0</v>
          </cell>
          <cell r="AG1170">
            <v>14</v>
          </cell>
          <cell r="AJ1170" t="str">
            <v>V-A</v>
          </cell>
          <cell r="AL1170">
            <v>840</v>
          </cell>
          <cell r="AM1170">
            <v>575</v>
          </cell>
          <cell r="AN1170" t="e">
            <v>#VALUE!</v>
          </cell>
          <cell r="AO1170" t="e">
            <v>#VALUE!</v>
          </cell>
          <cell r="AP1170">
            <v>265</v>
          </cell>
        </row>
        <row r="1171">
          <cell r="A1171">
            <v>66131400</v>
          </cell>
          <cell r="D1171" t="str">
            <v>CASPER TRIVELLI PAPRIKASAUS PEPPERONI AUBERG 2,175kg (5porties)</v>
          </cell>
          <cell r="E1171" t="str">
            <v>Casper</v>
          </cell>
          <cell r="F1171" t="str">
            <v>40337000 OLAF 40 310MM</v>
          </cell>
          <cell r="G1171" t="str">
            <v>C2325-1C</v>
          </cell>
          <cell r="H1171">
            <v>365</v>
          </cell>
          <cell r="I1171">
            <v>2.1749999999999998</v>
          </cell>
          <cell r="J1171" t="str">
            <v>NVT</v>
          </cell>
          <cell r="K1171" t="str">
            <v>BLANCO 100X100</v>
          </cell>
          <cell r="L1171">
            <v>4</v>
          </cell>
          <cell r="M1171" t="str">
            <v>BULK HO</v>
          </cell>
          <cell r="N1171">
            <v>48</v>
          </cell>
          <cell r="O1171">
            <v>5400870613143</v>
          </cell>
          <cell r="P1171" t="str">
            <v>3T</v>
          </cell>
          <cell r="Q1171">
            <v>3</v>
          </cell>
          <cell r="R1171">
            <v>3</v>
          </cell>
          <cell r="S1171" t="str">
            <v>folie perforeren</v>
          </cell>
          <cell r="T1171">
            <v>575</v>
          </cell>
          <cell r="U1171">
            <v>3</v>
          </cell>
          <cell r="V1171">
            <v>575</v>
          </cell>
          <cell r="W1171">
            <v>3</v>
          </cell>
          <cell r="X1171">
            <v>0</v>
          </cell>
          <cell r="Y1171">
            <v>0</v>
          </cell>
          <cell r="Z1171">
            <v>0.11700000000000001</v>
          </cell>
          <cell r="AA1171" t="str">
            <v>! ! !</v>
          </cell>
          <cell r="AB1171">
            <v>2000</v>
          </cell>
          <cell r="AC1171">
            <v>0</v>
          </cell>
          <cell r="AJ1171" t="str">
            <v>V-A</v>
          </cell>
          <cell r="AL1171">
            <v>0</v>
          </cell>
          <cell r="AM1171">
            <v>575</v>
          </cell>
          <cell r="AN1171" t="e">
            <v>#VALUE!</v>
          </cell>
          <cell r="AO1171" t="e">
            <v>#VALUE!</v>
          </cell>
          <cell r="AP1171">
            <v>-575</v>
          </cell>
        </row>
        <row r="1172">
          <cell r="A1172">
            <v>66300400</v>
          </cell>
          <cell r="B1172">
            <v>40264100</v>
          </cell>
          <cell r="C1172">
            <v>22615</v>
          </cell>
          <cell r="D1172" t="str">
            <v>FITMEALS EW KIP RIJST TERIYAKI HALAL 425G</v>
          </cell>
          <cell r="E1172" t="str">
            <v>FITMEALS</v>
          </cell>
          <cell r="F1172" t="str">
            <v>40336400 OLAF 30 355mm</v>
          </cell>
          <cell r="G1172" t="str">
            <v>NOVATO B187/60</v>
          </cell>
          <cell r="H1172">
            <v>548</v>
          </cell>
          <cell r="I1172">
            <v>0.42499999999999999</v>
          </cell>
          <cell r="J1172" t="str">
            <v>S13</v>
          </cell>
          <cell r="K1172" t="str">
            <v>NVT</v>
          </cell>
          <cell r="L1172">
            <v>6</v>
          </cell>
          <cell r="M1172" t="str">
            <v>S13X6</v>
          </cell>
          <cell r="N1172">
            <v>120</v>
          </cell>
          <cell r="O1172">
            <v>8721082520430</v>
          </cell>
          <cell r="P1172" t="str">
            <v>I-L-2T</v>
          </cell>
          <cell r="Q1172">
            <v>2</v>
          </cell>
          <cell r="R1172">
            <v>7</v>
          </cell>
          <cell r="T1172">
            <v>3200</v>
          </cell>
          <cell r="U1172">
            <v>0</v>
          </cell>
          <cell r="V1172">
            <v>3200</v>
          </cell>
          <cell r="W1172">
            <v>9</v>
          </cell>
          <cell r="X1172">
            <v>0</v>
          </cell>
          <cell r="Y1172">
            <v>0</v>
          </cell>
          <cell r="Z1172">
            <v>0.17</v>
          </cell>
          <cell r="AA1172" t="str">
            <v>! ! ! ! !</v>
          </cell>
          <cell r="AB1172">
            <v>7000</v>
          </cell>
          <cell r="AG1172">
            <v>23</v>
          </cell>
          <cell r="AJ1172" t="str">
            <v>-</v>
          </cell>
          <cell r="AL1172">
            <v>1380</v>
          </cell>
          <cell r="AM1172">
            <v>3200</v>
          </cell>
          <cell r="AN1172" t="e">
            <v>#VALUE!</v>
          </cell>
          <cell r="AO1172" t="e">
            <v>#VALUE!</v>
          </cell>
          <cell r="AP1172">
            <v>-1820</v>
          </cell>
        </row>
        <row r="1173">
          <cell r="A1173">
            <v>66300500</v>
          </cell>
          <cell r="B1173">
            <v>40264200</v>
          </cell>
          <cell r="C1173">
            <v>22614</v>
          </cell>
          <cell r="D1173" t="str">
            <v>FITMEALS EW PULLED KIP CURRY HALAL 425G</v>
          </cell>
          <cell r="E1173" t="str">
            <v>FITMEALS</v>
          </cell>
          <cell r="F1173" t="str">
            <v>40336400 OLAF 30 355mm</v>
          </cell>
          <cell r="G1173" t="str">
            <v>NOVATO B187/60</v>
          </cell>
          <cell r="H1173">
            <v>548</v>
          </cell>
          <cell r="I1173">
            <v>0.42499999999999999</v>
          </cell>
          <cell r="J1173" t="str">
            <v>S13</v>
          </cell>
          <cell r="K1173" t="str">
            <v>NVT</v>
          </cell>
          <cell r="L1173">
            <v>6</v>
          </cell>
          <cell r="M1173" t="str">
            <v>DOOS S13X6</v>
          </cell>
          <cell r="N1173">
            <v>120</v>
          </cell>
          <cell r="O1173">
            <v>8721082520416</v>
          </cell>
          <cell r="P1173" t="str">
            <v>L-2T</v>
          </cell>
          <cell r="Q1173">
            <v>2</v>
          </cell>
          <cell r="R1173">
            <v>7</v>
          </cell>
          <cell r="S1173" t="str">
            <v>PULLED CHICKEN D-2 ontdooien</v>
          </cell>
          <cell r="T1173">
            <v>0</v>
          </cell>
          <cell r="U1173">
            <v>0</v>
          </cell>
          <cell r="V1173">
            <v>3200</v>
          </cell>
          <cell r="W1173">
            <v>8</v>
          </cell>
          <cell r="X1173">
            <v>0</v>
          </cell>
          <cell r="Y1173">
            <v>0</v>
          </cell>
          <cell r="Z1173">
            <v>0.17</v>
          </cell>
          <cell r="AA1173" t="str">
            <v>! ! !</v>
          </cell>
          <cell r="AB1173">
            <v>7000</v>
          </cell>
          <cell r="AG1173">
            <v>23</v>
          </cell>
          <cell r="AJ1173" t="str">
            <v>-</v>
          </cell>
          <cell r="AL1173">
            <v>1380</v>
          </cell>
          <cell r="AM1173">
            <v>0</v>
          </cell>
          <cell r="AN1173" t="e">
            <v>#VALUE!</v>
          </cell>
          <cell r="AO1173" t="str">
            <v/>
          </cell>
          <cell r="AP1173">
            <v>1380</v>
          </cell>
        </row>
        <row r="1174">
          <cell r="A1174">
            <v>66300600</v>
          </cell>
          <cell r="B1174">
            <v>40264300</v>
          </cell>
          <cell r="C1174">
            <v>22612</v>
          </cell>
          <cell r="D1174" t="str">
            <v>FITMEALS EW KIP PASTA HALAL 425G</v>
          </cell>
          <cell r="E1174" t="str">
            <v>FITMEALS</v>
          </cell>
          <cell r="F1174" t="str">
            <v>40336400 OLAF 30 355mm</v>
          </cell>
          <cell r="G1174" t="str">
            <v>NOVATO B187/60</v>
          </cell>
          <cell r="H1174">
            <v>548</v>
          </cell>
          <cell r="I1174">
            <v>0.42499999999999999</v>
          </cell>
          <cell r="J1174" t="str">
            <v>S13</v>
          </cell>
          <cell r="K1174" t="str">
            <v>NVT</v>
          </cell>
          <cell r="L1174">
            <v>6</v>
          </cell>
          <cell r="M1174" t="str">
            <v>DOOS S13X6</v>
          </cell>
          <cell r="N1174">
            <v>120</v>
          </cell>
          <cell r="O1174">
            <v>8721082520379</v>
          </cell>
          <cell r="P1174" t="str">
            <v>I-L-2T</v>
          </cell>
          <cell r="Q1174">
            <v>2</v>
          </cell>
          <cell r="R1174">
            <v>7</v>
          </cell>
          <cell r="T1174">
            <v>0</v>
          </cell>
          <cell r="U1174">
            <v>0</v>
          </cell>
          <cell r="V1174">
            <v>3200</v>
          </cell>
          <cell r="W1174">
            <v>9</v>
          </cell>
          <cell r="X1174">
            <v>0</v>
          </cell>
          <cell r="Y1174">
            <v>0</v>
          </cell>
          <cell r="Z1174">
            <v>0.17</v>
          </cell>
          <cell r="AA1174" t="str">
            <v>! !</v>
          </cell>
          <cell r="AB1174">
            <v>7000</v>
          </cell>
          <cell r="AG1174">
            <v>23</v>
          </cell>
          <cell r="AJ1174" t="str">
            <v>-</v>
          </cell>
          <cell r="AL1174">
            <v>1380</v>
          </cell>
          <cell r="AM1174">
            <v>0</v>
          </cell>
          <cell r="AN1174" t="e">
            <v>#VALUE!</v>
          </cell>
          <cell r="AO1174" t="str">
            <v/>
          </cell>
          <cell r="AP1174">
            <v>1380</v>
          </cell>
        </row>
        <row r="1175">
          <cell r="A1175">
            <v>66300700</v>
          </cell>
          <cell r="B1175">
            <v>40264400</v>
          </cell>
          <cell r="C1175">
            <v>22616</v>
          </cell>
          <cell r="D1175" t="str">
            <v>FITMEALS EW SPAGHETTI BOLOGNAISE  425G</v>
          </cell>
          <cell r="E1175" t="str">
            <v>FITMEALS</v>
          </cell>
          <cell r="F1175" t="str">
            <v>40336400 OLAF 30 355mm</v>
          </cell>
          <cell r="G1175" t="str">
            <v>NOVATO B187/60</v>
          </cell>
          <cell r="H1175">
            <v>548</v>
          </cell>
          <cell r="I1175">
            <v>0.42499999999999999</v>
          </cell>
          <cell r="J1175" t="str">
            <v>S13</v>
          </cell>
          <cell r="K1175" t="str">
            <v>NVT</v>
          </cell>
          <cell r="L1175">
            <v>6</v>
          </cell>
          <cell r="M1175" t="str">
            <v>DOOS S13X6</v>
          </cell>
          <cell r="N1175">
            <v>120</v>
          </cell>
          <cell r="O1175">
            <v>8721082520461</v>
          </cell>
          <cell r="P1175" t="str">
            <v>L-2T</v>
          </cell>
          <cell r="Q1175">
            <v>2</v>
          </cell>
          <cell r="R1175">
            <v>7</v>
          </cell>
          <cell r="T1175">
            <v>0</v>
          </cell>
          <cell r="U1175">
            <v>0</v>
          </cell>
          <cell r="V1175">
            <v>3200</v>
          </cell>
          <cell r="W1175">
            <v>8</v>
          </cell>
          <cell r="X1175">
            <v>0</v>
          </cell>
          <cell r="Y1175">
            <v>0</v>
          </cell>
          <cell r="Z1175">
            <v>0.17</v>
          </cell>
          <cell r="AA1175" t="str">
            <v>! ! !</v>
          </cell>
          <cell r="AB1175">
            <v>7000</v>
          </cell>
          <cell r="AG1175">
            <v>23</v>
          </cell>
          <cell r="AJ1175" t="str">
            <v>-</v>
          </cell>
          <cell r="AL1175">
            <v>1380</v>
          </cell>
          <cell r="AM1175">
            <v>0</v>
          </cell>
          <cell r="AN1175" t="e">
            <v>#VALUE!</v>
          </cell>
          <cell r="AO1175" t="str">
            <v/>
          </cell>
          <cell r="AP1175">
            <v>1380</v>
          </cell>
        </row>
        <row r="1176">
          <cell r="A1176">
            <v>66300800</v>
          </cell>
          <cell r="B1176">
            <v>40264500</v>
          </cell>
          <cell r="C1176">
            <v>22613</v>
          </cell>
          <cell r="D1176" t="str">
            <v>FITMEALS EW KIP SATE HALAL 425G</v>
          </cell>
          <cell r="E1176" t="str">
            <v>FITMEALS</v>
          </cell>
          <cell r="F1176" t="str">
            <v>40336400 OLAF 30 355mm</v>
          </cell>
          <cell r="G1176" t="str">
            <v>NOVATO B187/60</v>
          </cell>
          <cell r="H1176">
            <v>548</v>
          </cell>
          <cell r="I1176">
            <v>0.42499999999999999</v>
          </cell>
          <cell r="J1176" t="str">
            <v>S13</v>
          </cell>
          <cell r="K1176" t="str">
            <v>NVT</v>
          </cell>
          <cell r="L1176">
            <v>6</v>
          </cell>
          <cell r="M1176" t="str">
            <v>DOOS S13X6</v>
          </cell>
          <cell r="N1176">
            <v>120</v>
          </cell>
          <cell r="O1176">
            <v>8721082520393</v>
          </cell>
          <cell r="P1176" t="str">
            <v>I-L-2T</v>
          </cell>
          <cell r="Q1176">
            <v>1</v>
          </cell>
          <cell r="R1176">
            <v>7</v>
          </cell>
          <cell r="T1176">
            <v>0</v>
          </cell>
          <cell r="U1176">
            <v>0</v>
          </cell>
          <cell r="V1176">
            <v>3200</v>
          </cell>
          <cell r="W1176">
            <v>9</v>
          </cell>
          <cell r="X1176">
            <v>0</v>
          </cell>
          <cell r="Y1176">
            <v>0</v>
          </cell>
          <cell r="Z1176">
            <v>0.17</v>
          </cell>
          <cell r="AA1176" t="str">
            <v>X</v>
          </cell>
          <cell r="AB1176">
            <v>7000</v>
          </cell>
          <cell r="AG1176">
            <v>23</v>
          </cell>
          <cell r="AJ1176" t="str">
            <v>-</v>
          </cell>
          <cell r="AL1176">
            <v>1380</v>
          </cell>
          <cell r="AM1176">
            <v>0</v>
          </cell>
          <cell r="AN1176" t="e">
            <v>#VALUE!</v>
          </cell>
          <cell r="AO1176" t="str">
            <v/>
          </cell>
          <cell r="AP1176">
            <v>1380</v>
          </cell>
        </row>
        <row r="1177">
          <cell r="A1177">
            <v>66300900</v>
          </cell>
          <cell r="B1177">
            <v>40265300</v>
          </cell>
          <cell r="C1177">
            <v>22617</v>
          </cell>
          <cell r="D1177" t="str">
            <v>FITMEALS EW KIP LINGUINE TERIYAKI HALAL 425G</v>
          </cell>
          <cell r="E1177" t="str">
            <v>FITMEALS</v>
          </cell>
          <cell r="F1177" t="str">
            <v>40336400 OLAF 30 355mm</v>
          </cell>
          <cell r="G1177" t="str">
            <v>NOVATO B187/60</v>
          </cell>
          <cell r="H1177">
            <v>548</v>
          </cell>
          <cell r="I1177">
            <v>0.42499999999999999</v>
          </cell>
          <cell r="J1177" t="str">
            <v>S13</v>
          </cell>
          <cell r="K1177" t="str">
            <v>NVT</v>
          </cell>
          <cell r="L1177">
            <v>6</v>
          </cell>
          <cell r="M1177" t="str">
            <v>DOOS S13X6</v>
          </cell>
          <cell r="N1177">
            <v>120</v>
          </cell>
          <cell r="O1177">
            <v>8721082520591</v>
          </cell>
          <cell r="P1177" t="str">
            <v>I-L-2T</v>
          </cell>
          <cell r="Q1177">
            <v>2</v>
          </cell>
          <cell r="R1177">
            <v>7</v>
          </cell>
          <cell r="T1177">
            <v>0</v>
          </cell>
          <cell r="U1177">
            <v>0</v>
          </cell>
          <cell r="V1177">
            <v>3200</v>
          </cell>
          <cell r="W1177">
            <v>9</v>
          </cell>
          <cell r="Z1177">
            <v>0.17</v>
          </cell>
          <cell r="AA1177" t="str">
            <v>! ! ! ! !</v>
          </cell>
          <cell r="AG1177">
            <v>23</v>
          </cell>
          <cell r="AJ1177" t="str">
            <v>-</v>
          </cell>
          <cell r="AL1177">
            <v>1380</v>
          </cell>
          <cell r="AM1177">
            <v>0</v>
          </cell>
          <cell r="AN1177" t="e">
            <v>#VALUE!</v>
          </cell>
          <cell r="AO1177" t="str">
            <v/>
          </cell>
          <cell r="AP1177">
            <v>1380</v>
          </cell>
        </row>
        <row r="1178">
          <cell r="A1178">
            <v>66400100</v>
          </cell>
          <cell r="C1178">
            <v>4677</v>
          </cell>
          <cell r="D1178" t="str">
            <v>DVM HOLLANDSE HACHEE RODE KOOL EN GEKOOKTE AARD (2st)</v>
          </cell>
          <cell r="E1178" t="str">
            <v>diepvriesman</v>
          </cell>
          <cell r="F1178" t="str">
            <v>40336300 OLAF 30 290MM</v>
          </cell>
          <cell r="G1178" t="str">
            <v>C2227-3R evolve</v>
          </cell>
          <cell r="H1178">
            <v>456</v>
          </cell>
          <cell r="I1178">
            <v>0.51</v>
          </cell>
          <cell r="J1178" t="str">
            <v>NVT</v>
          </cell>
          <cell r="K1178" t="str">
            <v>DVM</v>
          </cell>
          <cell r="L1178">
            <v>2</v>
          </cell>
          <cell r="M1178" t="str">
            <v>DVM</v>
          </cell>
          <cell r="N1178">
            <v>300</v>
          </cell>
          <cell r="O1178">
            <v>8717568241159</v>
          </cell>
          <cell r="P1178" t="str">
            <v>2T</v>
          </cell>
          <cell r="Q1178">
            <v>2</v>
          </cell>
          <cell r="R1178">
            <v>4</v>
          </cell>
          <cell r="S1178" t="str">
            <v>idem 63900100 en 66400102, AARDAPPELEN STEAMEN D-0</v>
          </cell>
          <cell r="T1178">
            <v>2200</v>
          </cell>
          <cell r="U1178">
            <v>3</v>
          </cell>
          <cell r="V1178">
            <v>2200</v>
          </cell>
          <cell r="W1178">
            <v>3</v>
          </cell>
          <cell r="X1178">
            <v>0</v>
          </cell>
          <cell r="Y1178">
            <v>0</v>
          </cell>
          <cell r="Z1178">
            <v>0</v>
          </cell>
          <cell r="AA1178" t="str">
            <v>! !</v>
          </cell>
          <cell r="AB1178">
            <v>600</v>
          </cell>
          <cell r="AC1178">
            <v>5.8800000000000005E-2</v>
          </cell>
          <cell r="AG1178">
            <v>45</v>
          </cell>
          <cell r="AJ1178" t="str">
            <v>-</v>
          </cell>
          <cell r="AL1178">
            <v>2700</v>
          </cell>
          <cell r="AM1178">
            <v>2200</v>
          </cell>
          <cell r="AN1178" t="e">
            <v>#VALUE!</v>
          </cell>
          <cell r="AO1178" t="e">
            <v>#VALUE!</v>
          </cell>
          <cell r="AP1178">
            <v>500</v>
          </cell>
        </row>
        <row r="1179">
          <cell r="A1179">
            <v>66400102</v>
          </cell>
          <cell r="C1179">
            <v>64677</v>
          </cell>
          <cell r="D1179" t="str">
            <v>DVM HOLLANDSE HACHEE RODE KOOL EN GEKOOKTE AARD (6st)</v>
          </cell>
          <cell r="E1179" t="str">
            <v>diepvriesman</v>
          </cell>
          <cell r="F1179" t="str">
            <v>40336300 OLAF 30 290MM</v>
          </cell>
          <cell r="G1179" t="str">
            <v>C2227-3R evolve</v>
          </cell>
          <cell r="H1179">
            <v>456</v>
          </cell>
          <cell r="I1179">
            <v>0.51</v>
          </cell>
          <cell r="J1179" t="str">
            <v>NVT</v>
          </cell>
          <cell r="K1179" t="str">
            <v>DVM</v>
          </cell>
          <cell r="L1179">
            <v>6</v>
          </cell>
          <cell r="M1179" t="str">
            <v>DVM X6</v>
          </cell>
          <cell r="N1179">
            <v>120</v>
          </cell>
          <cell r="O1179" t="str">
            <v>8717568243313</v>
          </cell>
          <cell r="P1179" t="str">
            <v>2T</v>
          </cell>
          <cell r="Q1179">
            <v>2</v>
          </cell>
          <cell r="R1179">
            <v>3</v>
          </cell>
          <cell r="S1179" t="str">
            <v>idem 63900100 en 66400100, AARDAPPELEN STEAMEN D-0</v>
          </cell>
          <cell r="T1179">
            <v>2200</v>
          </cell>
          <cell r="U1179">
            <v>3</v>
          </cell>
          <cell r="V1179">
            <v>2200</v>
          </cell>
          <cell r="W1179">
            <v>3</v>
          </cell>
          <cell r="X1179">
            <v>0</v>
          </cell>
          <cell r="Y1179">
            <v>0</v>
          </cell>
          <cell r="Z1179">
            <v>0</v>
          </cell>
          <cell r="AA1179" t="str">
            <v>! !</v>
          </cell>
          <cell r="AB1179">
            <v>600</v>
          </cell>
          <cell r="AC1179">
            <v>5.8800000000000005E-2</v>
          </cell>
          <cell r="AG1179">
            <v>45</v>
          </cell>
          <cell r="AJ1179" t="str">
            <v>-</v>
          </cell>
          <cell r="AL1179">
            <v>2700</v>
          </cell>
          <cell r="AM1179">
            <v>2200</v>
          </cell>
          <cell r="AN1179" t="e">
            <v>#VALUE!</v>
          </cell>
          <cell r="AO1179" t="e">
            <v>#VALUE!</v>
          </cell>
          <cell r="AP1179">
            <v>500</v>
          </cell>
        </row>
        <row r="1180">
          <cell r="A1180">
            <v>66400200</v>
          </cell>
          <cell r="C1180">
            <v>4684</v>
          </cell>
          <cell r="D1180" t="str">
            <v xml:space="preserve">DVM STOOFPOTJE MET ANDIJVIE A LA CREME PUREE      </v>
          </cell>
          <cell r="E1180" t="str">
            <v>diepvriesman</v>
          </cell>
          <cell r="F1180" t="str">
            <v>40336300 OLAF 30 290MM</v>
          </cell>
          <cell r="G1180" t="str">
            <v>C2227-3R evolve</v>
          </cell>
          <cell r="H1180">
            <v>456</v>
          </cell>
          <cell r="I1180">
            <v>0.5</v>
          </cell>
          <cell r="J1180" t="str">
            <v>NVT</v>
          </cell>
          <cell r="K1180" t="str">
            <v>DVM</v>
          </cell>
          <cell r="L1180">
            <v>2</v>
          </cell>
          <cell r="M1180" t="str">
            <v>DVM</v>
          </cell>
          <cell r="N1180">
            <v>300</v>
          </cell>
          <cell r="O1180">
            <v>8717568241234</v>
          </cell>
          <cell r="P1180" t="str">
            <v>2T-H</v>
          </cell>
          <cell r="Q1180">
            <v>3</v>
          </cell>
          <cell r="R1180">
            <v>4</v>
          </cell>
          <cell r="S1180" t="str">
            <v>idem 63900200</v>
          </cell>
          <cell r="T1180">
            <v>2200</v>
          </cell>
          <cell r="U1180">
            <v>1</v>
          </cell>
          <cell r="V1180">
            <v>2200</v>
          </cell>
          <cell r="W1180">
            <v>1</v>
          </cell>
          <cell r="X1180">
            <v>0</v>
          </cell>
          <cell r="Y1180">
            <v>0</v>
          </cell>
          <cell r="Z1180">
            <v>0</v>
          </cell>
          <cell r="AA1180" t="str">
            <v>! ! !</v>
          </cell>
          <cell r="AB1180">
            <v>600</v>
          </cell>
          <cell r="AC1180">
            <v>0</v>
          </cell>
          <cell r="AE1180" t="str">
            <v>x</v>
          </cell>
          <cell r="AG1180">
            <v>45</v>
          </cell>
          <cell r="AJ1180" t="str">
            <v>V-A</v>
          </cell>
          <cell r="AL1180">
            <v>2700</v>
          </cell>
          <cell r="AM1180">
            <v>2200</v>
          </cell>
          <cell r="AN1180" t="e">
            <v>#VALUE!</v>
          </cell>
          <cell r="AO1180" t="e">
            <v>#VALUE!</v>
          </cell>
          <cell r="AP1180">
            <v>500</v>
          </cell>
        </row>
        <row r="1181">
          <cell r="A1181">
            <v>66400400</v>
          </cell>
          <cell r="C1181">
            <v>4815</v>
          </cell>
          <cell r="D1181" t="str">
            <v xml:space="preserve">DVM GEPAN SCHNITZEL SPERZIEBONEN GEKRUIDE AARDAPPELKUBUS </v>
          </cell>
          <cell r="E1181" t="str">
            <v>diepvriesman</v>
          </cell>
          <cell r="F1181" t="str">
            <v>40336300 OLAF 30 290MM</v>
          </cell>
          <cell r="G1181" t="str">
            <v>C2227-2K evolve</v>
          </cell>
          <cell r="H1181">
            <v>456</v>
          </cell>
          <cell r="I1181">
            <v>0.47499999999999998</v>
          </cell>
          <cell r="J1181" t="str">
            <v>NVT</v>
          </cell>
          <cell r="K1181" t="str">
            <v>DVM</v>
          </cell>
          <cell r="L1181">
            <v>2</v>
          </cell>
          <cell r="M1181" t="str">
            <v>DVM</v>
          </cell>
          <cell r="N1181">
            <v>300</v>
          </cell>
          <cell r="O1181">
            <v>8717568241937</v>
          </cell>
          <cell r="P1181" t="str">
            <v>T-I</v>
          </cell>
          <cell r="Q1181">
            <v>2</v>
          </cell>
          <cell r="R1181">
            <v>4</v>
          </cell>
          <cell r="S1181" t="str">
            <v>idem 63900400, schnitzel D-1 uithalen</v>
          </cell>
          <cell r="T1181">
            <v>2000</v>
          </cell>
          <cell r="U1181">
            <v>5</v>
          </cell>
          <cell r="V1181">
            <v>2000</v>
          </cell>
          <cell r="W1181">
            <v>7</v>
          </cell>
          <cell r="X1181">
            <v>0</v>
          </cell>
          <cell r="Y1181">
            <v>0</v>
          </cell>
          <cell r="Z1181">
            <v>0</v>
          </cell>
          <cell r="AA1181" t="str">
            <v>! ! !</v>
          </cell>
          <cell r="AB1181">
            <v>600</v>
          </cell>
          <cell r="AC1181">
            <v>0</v>
          </cell>
          <cell r="AE1181" t="str">
            <v>x</v>
          </cell>
          <cell r="AG1181">
            <v>42</v>
          </cell>
          <cell r="AJ1181" t="str">
            <v>V-A</v>
          </cell>
          <cell r="AL1181">
            <v>2520</v>
          </cell>
          <cell r="AM1181">
            <v>2000</v>
          </cell>
          <cell r="AN1181" t="e">
            <v>#VALUE!</v>
          </cell>
          <cell r="AO1181" t="e">
            <v>#VALUE!</v>
          </cell>
          <cell r="AP1181">
            <v>520</v>
          </cell>
        </row>
        <row r="1182">
          <cell r="A1182">
            <v>66400500</v>
          </cell>
          <cell r="C1182">
            <v>4637</v>
          </cell>
          <cell r="D1182" t="str">
            <v>DVM VA MEDAIILON CHAMPIGNONROOMSAUS GROENTEMIX GEBAKKEN AARD</v>
          </cell>
          <cell r="E1182" t="str">
            <v>diepvriesman</v>
          </cell>
          <cell r="F1182" t="str">
            <v>40336300 OLAF 30 290MM</v>
          </cell>
          <cell r="G1182" t="str">
            <v>C2227-2K evolve</v>
          </cell>
          <cell r="H1182">
            <v>456</v>
          </cell>
          <cell r="I1182">
            <v>0.5</v>
          </cell>
          <cell r="J1182" t="str">
            <v>NVT</v>
          </cell>
          <cell r="K1182" t="str">
            <v>DVM</v>
          </cell>
          <cell r="L1182">
            <v>2</v>
          </cell>
          <cell r="M1182" t="str">
            <v>DVM</v>
          </cell>
          <cell r="N1182">
            <v>300</v>
          </cell>
          <cell r="O1182">
            <v>8717568243009</v>
          </cell>
          <cell r="P1182" t="str">
            <v>T-I</v>
          </cell>
          <cell r="Q1182">
            <v>2</v>
          </cell>
          <cell r="R1182">
            <v>4</v>
          </cell>
          <cell r="S1182" t="str">
            <v>idem 63900500</v>
          </cell>
          <cell r="T1182">
            <v>2200</v>
          </cell>
          <cell r="U1182">
            <v>7</v>
          </cell>
          <cell r="V1182">
            <v>2200</v>
          </cell>
          <cell r="W1182">
            <v>8</v>
          </cell>
          <cell r="X1182">
            <v>0</v>
          </cell>
          <cell r="Y1182">
            <v>0</v>
          </cell>
          <cell r="Z1182">
            <v>0</v>
          </cell>
          <cell r="AA1182" t="str">
            <v>! ! !</v>
          </cell>
          <cell r="AB1182">
            <v>600</v>
          </cell>
          <cell r="AC1182">
            <v>0</v>
          </cell>
          <cell r="AE1182" t="str">
            <v>x</v>
          </cell>
          <cell r="AG1182">
            <v>45</v>
          </cell>
          <cell r="AJ1182" t="str">
            <v>V-A</v>
          </cell>
          <cell r="AL1182">
            <v>2700</v>
          </cell>
          <cell r="AM1182">
            <v>2200</v>
          </cell>
          <cell r="AN1182" t="e">
            <v>#VALUE!</v>
          </cell>
          <cell r="AO1182" t="e">
            <v>#VALUE!</v>
          </cell>
          <cell r="AP1182">
            <v>500</v>
          </cell>
        </row>
        <row r="1183">
          <cell r="A1183">
            <v>66400700</v>
          </cell>
          <cell r="C1183">
            <v>4656</v>
          </cell>
          <cell r="D1183" t="str">
            <v>DVM GEGRILDE KIPPENBOUT GROENTEMIX EN PUREE (2st)</v>
          </cell>
          <cell r="E1183" t="str">
            <v>diepvriesman</v>
          </cell>
          <cell r="F1183" t="str">
            <v>40336300 OLAF 30 290MM</v>
          </cell>
          <cell r="G1183" t="str">
            <v>C2227-2K evolve</v>
          </cell>
          <cell r="H1183">
            <v>456</v>
          </cell>
          <cell r="I1183">
            <v>0.53</v>
          </cell>
          <cell r="J1183" t="str">
            <v>NVT</v>
          </cell>
          <cell r="K1183" t="str">
            <v>DVM</v>
          </cell>
          <cell r="L1183">
            <v>2</v>
          </cell>
          <cell r="M1183" t="str">
            <v>DVM</v>
          </cell>
          <cell r="N1183">
            <v>300</v>
          </cell>
          <cell r="O1183">
            <v>8717568241135</v>
          </cell>
          <cell r="P1183" t="str">
            <v>T-H</v>
          </cell>
          <cell r="Q1183">
            <v>2.5</v>
          </cell>
          <cell r="R1183">
            <v>4</v>
          </cell>
          <cell r="S1183" t="str">
            <v>idem 63900700 en 63502900</v>
          </cell>
          <cell r="T1183">
            <v>2200</v>
          </cell>
          <cell r="U1183">
            <v>5</v>
          </cell>
          <cell r="V1183">
            <v>2200</v>
          </cell>
          <cell r="W1183">
            <v>5</v>
          </cell>
          <cell r="X1183">
            <v>0</v>
          </cell>
          <cell r="Y1183">
            <v>0</v>
          </cell>
          <cell r="Z1183">
            <v>0</v>
          </cell>
          <cell r="AA1183" t="str">
            <v>! ! !</v>
          </cell>
          <cell r="AB1183">
            <v>600</v>
          </cell>
          <cell r="AC1183">
            <v>0.18455200000000002</v>
          </cell>
          <cell r="AG1183">
            <v>45</v>
          </cell>
          <cell r="AJ1183" t="str">
            <v>-</v>
          </cell>
          <cell r="AL1183">
            <v>2700</v>
          </cell>
          <cell r="AM1183">
            <v>2200</v>
          </cell>
          <cell r="AN1183" t="e">
            <v>#VALUE!</v>
          </cell>
          <cell r="AO1183" t="e">
            <v>#VALUE!</v>
          </cell>
          <cell r="AP1183">
            <v>500</v>
          </cell>
        </row>
        <row r="1184">
          <cell r="A1184">
            <v>66400702</v>
          </cell>
          <cell r="C1184">
            <v>64656</v>
          </cell>
          <cell r="D1184" t="str">
            <v>DVM GEGRILDE KIPPENBOUT GROENTEMIX EN PUREE (6st)</v>
          </cell>
          <cell r="E1184" t="str">
            <v>diepvriesman</v>
          </cell>
          <cell r="F1184" t="str">
            <v>40336300 OLAF 30 290MM</v>
          </cell>
          <cell r="G1184" t="str">
            <v>C2227-2K evolve</v>
          </cell>
          <cell r="H1184">
            <v>456</v>
          </cell>
          <cell r="I1184">
            <v>0.53</v>
          </cell>
          <cell r="J1184" t="str">
            <v>NVT</v>
          </cell>
          <cell r="K1184" t="str">
            <v>DVM</v>
          </cell>
          <cell r="L1184">
            <v>6</v>
          </cell>
          <cell r="M1184" t="str">
            <v>DVM X6</v>
          </cell>
          <cell r="N1184">
            <v>120</v>
          </cell>
          <cell r="O1184" t="str">
            <v>8717568243290</v>
          </cell>
          <cell r="P1184" t="str">
            <v>T-H</v>
          </cell>
          <cell r="Q1184">
            <v>2.5</v>
          </cell>
          <cell r="R1184">
            <v>3</v>
          </cell>
          <cell r="S1184" t="str">
            <v>idem 63900700, 63502900 en 66400700</v>
          </cell>
          <cell r="T1184">
            <v>2200</v>
          </cell>
          <cell r="U1184">
            <v>5</v>
          </cell>
          <cell r="V1184">
            <v>2200</v>
          </cell>
          <cell r="W1184">
            <v>5</v>
          </cell>
          <cell r="X1184">
            <v>0</v>
          </cell>
          <cell r="Y1184">
            <v>0</v>
          </cell>
          <cell r="Z1184">
            <v>0</v>
          </cell>
          <cell r="AA1184" t="str">
            <v>! ! !</v>
          </cell>
          <cell r="AB1184">
            <v>600</v>
          </cell>
          <cell r="AC1184">
            <v>0</v>
          </cell>
          <cell r="AG1184">
            <v>45</v>
          </cell>
          <cell r="AJ1184" t="str">
            <v>-</v>
          </cell>
          <cell r="AL1184">
            <v>2700</v>
          </cell>
          <cell r="AM1184">
            <v>2200</v>
          </cell>
          <cell r="AN1184" t="e">
            <v>#VALUE!</v>
          </cell>
          <cell r="AO1184" t="e">
            <v>#VALUE!</v>
          </cell>
          <cell r="AP1184">
            <v>500</v>
          </cell>
        </row>
        <row r="1185">
          <cell r="A1185">
            <v>66400800</v>
          </cell>
          <cell r="C1185">
            <v>4658</v>
          </cell>
          <cell r="D1185" t="str">
            <v xml:space="preserve">DVM LASAGNA BOLOGNESE (2st)                             </v>
          </cell>
          <cell r="E1185" t="str">
            <v>diepvriesman</v>
          </cell>
          <cell r="F1185" t="str">
            <v>40336300 OLAF 30 290MM</v>
          </cell>
          <cell r="G1185" t="str">
            <v>C2227-1H evolve</v>
          </cell>
          <cell r="H1185">
            <v>456</v>
          </cell>
          <cell r="I1185">
            <v>0.56999999999999995</v>
          </cell>
          <cell r="J1185" t="str">
            <v>NVT</v>
          </cell>
          <cell r="K1185" t="str">
            <v>DVM</v>
          </cell>
          <cell r="L1185">
            <v>2</v>
          </cell>
          <cell r="M1185" t="str">
            <v>DVM</v>
          </cell>
          <cell r="N1185">
            <v>300</v>
          </cell>
          <cell r="O1185">
            <v>8717568241456</v>
          </cell>
          <cell r="P1185" t="str">
            <v>4T-K</v>
          </cell>
          <cell r="Q1185">
            <v>2</v>
          </cell>
          <cell r="R1185">
            <v>4</v>
          </cell>
          <cell r="S1185" t="str">
            <v>idem 63900800 en 66400802</v>
          </cell>
          <cell r="T1185">
            <v>2200</v>
          </cell>
          <cell r="U1185">
            <v>3</v>
          </cell>
          <cell r="V1185">
            <v>2200</v>
          </cell>
          <cell r="W1185">
            <v>3</v>
          </cell>
          <cell r="X1185">
            <v>0</v>
          </cell>
          <cell r="Y1185">
            <v>0</v>
          </cell>
          <cell r="Z1185">
            <v>0</v>
          </cell>
          <cell r="AA1185" t="str">
            <v>! ! !</v>
          </cell>
          <cell r="AB1185">
            <v>600</v>
          </cell>
          <cell r="AC1185">
            <v>0</v>
          </cell>
          <cell r="AE1185" t="str">
            <v>x</v>
          </cell>
          <cell r="AG1185">
            <v>45</v>
          </cell>
          <cell r="AJ1185" t="str">
            <v>V-A</v>
          </cell>
          <cell r="AL1185">
            <v>2700</v>
          </cell>
          <cell r="AM1185">
            <v>2200</v>
          </cell>
          <cell r="AN1185" t="e">
            <v>#VALUE!</v>
          </cell>
          <cell r="AO1185" t="e">
            <v>#VALUE!</v>
          </cell>
          <cell r="AP1185">
            <v>500</v>
          </cell>
        </row>
        <row r="1186">
          <cell r="A1186">
            <v>66400802</v>
          </cell>
          <cell r="C1186">
            <v>64658</v>
          </cell>
          <cell r="D1186" t="str">
            <v xml:space="preserve">DVM LASAGNA BOLOGNESE (6st)                         </v>
          </cell>
          <cell r="E1186" t="str">
            <v>diepvriesman</v>
          </cell>
          <cell r="F1186" t="str">
            <v>40336300 OLAF 30 290MM</v>
          </cell>
          <cell r="G1186" t="str">
            <v>C2227-1H evolve</v>
          </cell>
          <cell r="H1186">
            <v>456</v>
          </cell>
          <cell r="I1186">
            <v>0.56999999999999995</v>
          </cell>
          <cell r="J1186" t="str">
            <v>NVT</v>
          </cell>
          <cell r="K1186" t="str">
            <v>DVM</v>
          </cell>
          <cell r="L1186">
            <v>6</v>
          </cell>
          <cell r="M1186" t="str">
            <v>DVM X6</v>
          </cell>
          <cell r="N1186">
            <v>120</v>
          </cell>
          <cell r="O1186" t="str">
            <v>8717568243306</v>
          </cell>
          <cell r="P1186" t="str">
            <v>4T-K</v>
          </cell>
          <cell r="Q1186">
            <v>2</v>
          </cell>
          <cell r="R1186">
            <v>3</v>
          </cell>
          <cell r="S1186" t="str">
            <v>idem 63900800 en 66400800</v>
          </cell>
          <cell r="T1186">
            <v>2200</v>
          </cell>
          <cell r="U1186">
            <v>3</v>
          </cell>
          <cell r="V1186">
            <v>2200</v>
          </cell>
          <cell r="W1186">
            <v>3</v>
          </cell>
          <cell r="X1186">
            <v>0</v>
          </cell>
          <cell r="Y1186">
            <v>0</v>
          </cell>
          <cell r="Z1186">
            <v>0</v>
          </cell>
          <cell r="AA1186" t="str">
            <v>! ! !</v>
          </cell>
          <cell r="AB1186">
            <v>600</v>
          </cell>
          <cell r="AC1186">
            <v>0</v>
          </cell>
          <cell r="AE1186" t="str">
            <v>x</v>
          </cell>
          <cell r="AG1186">
            <v>45</v>
          </cell>
          <cell r="AJ1186" t="str">
            <v>V-A</v>
          </cell>
          <cell r="AL1186">
            <v>2700</v>
          </cell>
          <cell r="AM1186">
            <v>2200</v>
          </cell>
          <cell r="AN1186" t="e">
            <v>#VALUE!</v>
          </cell>
          <cell r="AO1186" t="e">
            <v>#VALUE!</v>
          </cell>
          <cell r="AP1186">
            <v>500</v>
          </cell>
        </row>
        <row r="1187">
          <cell r="A1187">
            <v>66400900</v>
          </cell>
          <cell r="C1187">
            <v>4808</v>
          </cell>
          <cell r="D1187" t="str">
            <v>DVM KIPSTOOFPOTJE APPELCOMPOTE AARD.KUBUS GEKRUID</v>
          </cell>
          <cell r="E1187" t="str">
            <v>diepvriesman</v>
          </cell>
          <cell r="F1187" t="str">
            <v>40336300 OLAF 30 290MM</v>
          </cell>
          <cell r="G1187" t="str">
            <v>C2227-3R evolve</v>
          </cell>
          <cell r="H1187">
            <v>456</v>
          </cell>
          <cell r="I1187">
            <v>0.5</v>
          </cell>
          <cell r="J1187" t="str">
            <v>NVT</v>
          </cell>
          <cell r="K1187" t="str">
            <v>DVM</v>
          </cell>
          <cell r="L1187">
            <v>2</v>
          </cell>
          <cell r="M1187" t="str">
            <v>DVM</v>
          </cell>
          <cell r="N1187">
            <v>300</v>
          </cell>
          <cell r="O1187">
            <v>8717568243023</v>
          </cell>
          <cell r="P1187" t="str">
            <v>2T-I</v>
          </cell>
          <cell r="Q1187">
            <v>2</v>
          </cell>
          <cell r="R1187">
            <v>4</v>
          </cell>
          <cell r="S1187" t="str">
            <v>idem 63900900</v>
          </cell>
          <cell r="T1187">
            <v>2200</v>
          </cell>
          <cell r="U1187">
            <v>2</v>
          </cell>
          <cell r="V1187">
            <v>2200</v>
          </cell>
          <cell r="W1187">
            <v>2</v>
          </cell>
          <cell r="X1187">
            <v>0</v>
          </cell>
          <cell r="Y1187">
            <v>0</v>
          </cell>
          <cell r="Z1187">
            <v>0</v>
          </cell>
          <cell r="AA1187" t="str">
            <v>! ! !</v>
          </cell>
          <cell r="AB1187">
            <v>600</v>
          </cell>
          <cell r="AC1187">
            <v>0</v>
          </cell>
          <cell r="AE1187" t="str">
            <v>x</v>
          </cell>
          <cell r="AG1187">
            <v>45</v>
          </cell>
          <cell r="AJ1187" t="str">
            <v>-</v>
          </cell>
          <cell r="AL1187">
            <v>2700</v>
          </cell>
          <cell r="AM1187">
            <v>2200</v>
          </cell>
          <cell r="AN1187" t="e">
            <v>#VALUE!</v>
          </cell>
          <cell r="AO1187" t="e">
            <v>#VALUE!</v>
          </cell>
          <cell r="AP1187">
            <v>500</v>
          </cell>
        </row>
        <row r="1188">
          <cell r="A1188">
            <v>66401200</v>
          </cell>
          <cell r="C1188">
            <v>4688</v>
          </cell>
          <cell r="D1188" t="str">
            <v>DVM RUNDERBURGER UIENSAUS RODE KOOL AARDAPPELKUBUS (2st)</v>
          </cell>
          <cell r="E1188" t="str">
            <v>diepvriesman</v>
          </cell>
          <cell r="F1188" t="str">
            <v>40336300 OLAF 30 290MM</v>
          </cell>
          <cell r="G1188" t="str">
            <v>C2227-3R evolve</v>
          </cell>
          <cell r="H1188">
            <v>456</v>
          </cell>
          <cell r="I1188">
            <v>0.5</v>
          </cell>
          <cell r="J1188" t="str">
            <v>NVT</v>
          </cell>
          <cell r="K1188" t="str">
            <v>DVM</v>
          </cell>
          <cell r="L1188">
            <v>2</v>
          </cell>
          <cell r="M1188" t="str">
            <v>DVM</v>
          </cell>
          <cell r="N1188">
            <v>300</v>
          </cell>
          <cell r="O1188">
            <v>8717568241142</v>
          </cell>
          <cell r="P1188" t="str">
            <v>2T-I</v>
          </cell>
          <cell r="Q1188">
            <v>2</v>
          </cell>
          <cell r="R1188">
            <v>4</v>
          </cell>
          <cell r="S1188" t="str">
            <v>idem 63901200 en 66401202</v>
          </cell>
          <cell r="T1188">
            <v>2200</v>
          </cell>
          <cell r="U1188">
            <v>4</v>
          </cell>
          <cell r="V1188">
            <v>2200</v>
          </cell>
          <cell r="W1188">
            <v>5</v>
          </cell>
          <cell r="X1188">
            <v>0</v>
          </cell>
          <cell r="Y1188">
            <v>0</v>
          </cell>
          <cell r="Z1188">
            <v>0</v>
          </cell>
          <cell r="AA1188" t="str">
            <v>! ! !</v>
          </cell>
          <cell r="AB1188">
            <v>600</v>
          </cell>
          <cell r="AC1188">
            <v>3.2000000000000001E-2</v>
          </cell>
          <cell r="AG1188">
            <v>45</v>
          </cell>
          <cell r="AJ1188" t="str">
            <v>V-A</v>
          </cell>
          <cell r="AL1188">
            <v>2700</v>
          </cell>
          <cell r="AM1188">
            <v>2200</v>
          </cell>
          <cell r="AN1188" t="e">
            <v>#VALUE!</v>
          </cell>
          <cell r="AO1188" t="e">
            <v>#VALUE!</v>
          </cell>
          <cell r="AP1188">
            <v>500</v>
          </cell>
        </row>
        <row r="1189">
          <cell r="A1189">
            <v>66401202</v>
          </cell>
          <cell r="C1189">
            <v>64688</v>
          </cell>
          <cell r="D1189" t="str">
            <v>DVM RUNDERBURGER UIENSAUS RODE KOOL AARDAPPELKUBUS (6st)</v>
          </cell>
          <cell r="E1189" t="str">
            <v>diepvriesman</v>
          </cell>
          <cell r="F1189" t="str">
            <v>40336300 OLAF 30 290MM</v>
          </cell>
          <cell r="G1189" t="str">
            <v>C2227-3R evolve</v>
          </cell>
          <cell r="H1189">
            <v>456</v>
          </cell>
          <cell r="I1189">
            <v>0.5</v>
          </cell>
          <cell r="J1189" t="str">
            <v>NVT</v>
          </cell>
          <cell r="K1189" t="str">
            <v>DVM</v>
          </cell>
          <cell r="L1189">
            <v>6</v>
          </cell>
          <cell r="M1189" t="str">
            <v>DVM X6</v>
          </cell>
          <cell r="N1189">
            <v>120</v>
          </cell>
          <cell r="O1189" t="str">
            <v>8717568243344</v>
          </cell>
          <cell r="P1189" t="str">
            <v>2T-I</v>
          </cell>
          <cell r="Q1189">
            <v>2</v>
          </cell>
          <cell r="R1189">
            <v>4</v>
          </cell>
          <cell r="S1189" t="str">
            <v>idem 63901200 en 66401200</v>
          </cell>
          <cell r="T1189">
            <v>2200</v>
          </cell>
          <cell r="U1189">
            <v>4</v>
          </cell>
          <cell r="V1189">
            <v>2200</v>
          </cell>
          <cell r="W1189">
            <v>5</v>
          </cell>
          <cell r="X1189">
            <v>0</v>
          </cell>
          <cell r="Y1189">
            <v>0</v>
          </cell>
          <cell r="Z1189">
            <v>0</v>
          </cell>
          <cell r="AA1189" t="str">
            <v>! ! !</v>
          </cell>
          <cell r="AB1189">
            <v>600</v>
          </cell>
          <cell r="AC1189">
            <v>3.2000000000000001E-2</v>
          </cell>
          <cell r="AG1189">
            <v>45</v>
          </cell>
          <cell r="AJ1189" t="str">
            <v>V-A</v>
          </cell>
          <cell r="AL1189">
            <v>2700</v>
          </cell>
          <cell r="AM1189">
            <v>2200</v>
          </cell>
          <cell r="AN1189" t="e">
            <v>#VALUE!</v>
          </cell>
          <cell r="AO1189" t="e">
            <v>#VALUE!</v>
          </cell>
          <cell r="AP1189">
            <v>500</v>
          </cell>
        </row>
        <row r="1190">
          <cell r="A1190">
            <v>66401300</v>
          </cell>
          <cell r="C1190">
            <v>4698</v>
          </cell>
          <cell r="D1190" t="str">
            <v>DVM ZUURKOOLSTAMPPOT SPEKJES  SCHIJFJES ROOKWORST (2st)</v>
          </cell>
          <cell r="E1190" t="str">
            <v>diepvriesman</v>
          </cell>
          <cell r="F1190" t="str">
            <v>40336300 OLAF 30 290MM</v>
          </cell>
          <cell r="G1190" t="str">
            <v>C2227-2K evolve</v>
          </cell>
          <cell r="H1190">
            <v>365</v>
          </cell>
          <cell r="I1190">
            <v>0.6</v>
          </cell>
          <cell r="J1190" t="str">
            <v>NVT</v>
          </cell>
          <cell r="K1190" t="str">
            <v>DVM</v>
          </cell>
          <cell r="L1190">
            <v>2</v>
          </cell>
          <cell r="M1190" t="str">
            <v>DVM</v>
          </cell>
          <cell r="N1190">
            <v>300</v>
          </cell>
          <cell r="O1190">
            <v>8717568241852</v>
          </cell>
          <cell r="P1190" t="str">
            <v>H-T-I</v>
          </cell>
          <cell r="Q1190">
            <v>2.5</v>
          </cell>
          <cell r="R1190">
            <v>4</v>
          </cell>
          <cell r="S1190" t="str">
            <v>idem 63901300 en 66401302</v>
          </cell>
          <cell r="T1190">
            <v>2200</v>
          </cell>
          <cell r="U1190">
            <v>2</v>
          </cell>
          <cell r="V1190">
            <v>2200</v>
          </cell>
          <cell r="W1190">
            <v>3</v>
          </cell>
          <cell r="X1190">
            <v>0</v>
          </cell>
          <cell r="Y1190">
            <v>0</v>
          </cell>
          <cell r="Z1190">
            <v>0</v>
          </cell>
          <cell r="AA1190" t="str">
            <v>! !</v>
          </cell>
          <cell r="AB1190">
            <v>600</v>
          </cell>
          <cell r="AC1190">
            <v>0</v>
          </cell>
          <cell r="AE1190" t="str">
            <v>x</v>
          </cell>
          <cell r="AG1190">
            <v>45</v>
          </cell>
          <cell r="AJ1190" t="str">
            <v>V-A</v>
          </cell>
          <cell r="AL1190">
            <v>2700</v>
          </cell>
          <cell r="AM1190">
            <v>2200</v>
          </cell>
          <cell r="AN1190" t="e">
            <v>#VALUE!</v>
          </cell>
          <cell r="AO1190" t="e">
            <v>#VALUE!</v>
          </cell>
          <cell r="AP1190">
            <v>500</v>
          </cell>
        </row>
        <row r="1191">
          <cell r="A1191">
            <v>66401302</v>
          </cell>
          <cell r="C1191">
            <v>64698</v>
          </cell>
          <cell r="D1191" t="str">
            <v>DVM ZUURKOOLSTAMPPOT SPEKJES  SCHIJFJES ROOKWORST (6st)</v>
          </cell>
          <cell r="E1191" t="str">
            <v>diepvriesman</v>
          </cell>
          <cell r="F1191" t="str">
            <v>40336300 OLAF 30 290MM</v>
          </cell>
          <cell r="G1191" t="str">
            <v>C2227-2K evolve</v>
          </cell>
          <cell r="H1191">
            <v>365</v>
          </cell>
          <cell r="I1191">
            <v>0.6</v>
          </cell>
          <cell r="J1191" t="str">
            <v>NVT</v>
          </cell>
          <cell r="K1191" t="str">
            <v>DVM</v>
          </cell>
          <cell r="L1191">
            <v>6</v>
          </cell>
          <cell r="M1191" t="str">
            <v>DVM X6</v>
          </cell>
          <cell r="N1191">
            <v>120</v>
          </cell>
          <cell r="O1191" t="str">
            <v>8717568243375</v>
          </cell>
          <cell r="P1191" t="str">
            <v>H-T-I</v>
          </cell>
          <cell r="Q1191">
            <v>2.5</v>
          </cell>
          <cell r="R1191">
            <v>4</v>
          </cell>
          <cell r="S1191" t="str">
            <v>idem 63901300 en 66401300</v>
          </cell>
          <cell r="T1191">
            <v>2200</v>
          </cell>
          <cell r="U1191">
            <v>2</v>
          </cell>
          <cell r="V1191">
            <v>2200</v>
          </cell>
          <cell r="W1191">
            <v>3</v>
          </cell>
          <cell r="X1191">
            <v>0</v>
          </cell>
          <cell r="Y1191">
            <v>0</v>
          </cell>
          <cell r="Z1191">
            <v>0</v>
          </cell>
          <cell r="AA1191" t="str">
            <v>! !</v>
          </cell>
          <cell r="AB1191">
            <v>600</v>
          </cell>
          <cell r="AC1191">
            <v>0</v>
          </cell>
          <cell r="AE1191" t="str">
            <v>x</v>
          </cell>
          <cell r="AG1191">
            <v>45</v>
          </cell>
          <cell r="AJ1191" t="str">
            <v>V-A</v>
          </cell>
          <cell r="AL1191">
            <v>2700</v>
          </cell>
          <cell r="AM1191">
            <v>2200</v>
          </cell>
          <cell r="AN1191" t="e">
            <v>#VALUE!</v>
          </cell>
          <cell r="AO1191" t="e">
            <v>#VALUE!</v>
          </cell>
          <cell r="AP1191">
            <v>500</v>
          </cell>
        </row>
        <row r="1192">
          <cell r="A1192">
            <v>66401400</v>
          </cell>
          <cell r="C1192">
            <v>4681</v>
          </cell>
          <cell r="D1192" t="str">
            <v>DVM BOERENKOOLSTAMPPOT SPEKJES SCHIJFJES ROOKWORST (2st)</v>
          </cell>
          <cell r="E1192" t="str">
            <v>diepvriesman</v>
          </cell>
          <cell r="F1192" t="str">
            <v>40336300 OLAF 30 290MM</v>
          </cell>
          <cell r="G1192" t="str">
            <v>C2227-2K evolve</v>
          </cell>
          <cell r="H1192">
            <v>365</v>
          </cell>
          <cell r="I1192">
            <v>0.6</v>
          </cell>
          <cell r="J1192" t="str">
            <v>NVT</v>
          </cell>
          <cell r="K1192" t="str">
            <v>DVM</v>
          </cell>
          <cell r="L1192">
            <v>2</v>
          </cell>
          <cell r="M1192" t="str">
            <v>DVM</v>
          </cell>
          <cell r="N1192">
            <v>300</v>
          </cell>
          <cell r="O1192">
            <v>8717568241876</v>
          </cell>
          <cell r="P1192" t="str">
            <v>H-T-I</v>
          </cell>
          <cell r="Q1192">
            <v>2</v>
          </cell>
          <cell r="R1192">
            <v>4</v>
          </cell>
          <cell r="S1192" t="str">
            <v>idem 63901400 en 66401402</v>
          </cell>
          <cell r="T1192">
            <v>2200</v>
          </cell>
          <cell r="U1192">
            <v>2</v>
          </cell>
          <cell r="V1192">
            <v>2200</v>
          </cell>
          <cell r="W1192">
            <v>3</v>
          </cell>
          <cell r="X1192">
            <v>0</v>
          </cell>
          <cell r="Y1192">
            <v>0</v>
          </cell>
          <cell r="Z1192">
            <v>0</v>
          </cell>
          <cell r="AA1192" t="str">
            <v>! ! !</v>
          </cell>
          <cell r="AB1192">
            <v>600</v>
          </cell>
          <cell r="AC1192">
            <v>0</v>
          </cell>
          <cell r="AE1192" t="str">
            <v>x</v>
          </cell>
          <cell r="AG1192">
            <v>45</v>
          </cell>
          <cell r="AJ1192" t="str">
            <v>V-A</v>
          </cell>
          <cell r="AL1192">
            <v>2700</v>
          </cell>
          <cell r="AM1192">
            <v>2200</v>
          </cell>
          <cell r="AN1192" t="e">
            <v>#VALUE!</v>
          </cell>
          <cell r="AO1192" t="e">
            <v>#VALUE!</v>
          </cell>
          <cell r="AP1192">
            <v>500</v>
          </cell>
        </row>
        <row r="1193">
          <cell r="A1193">
            <v>66401402</v>
          </cell>
          <cell r="C1193">
            <v>64681</v>
          </cell>
          <cell r="D1193" t="str">
            <v>DVM BOERENKOOLSTAMPPOT SPEKJES SCHIJFJES ROOKWORST (6st)</v>
          </cell>
          <cell r="E1193" t="str">
            <v>diepvriesman</v>
          </cell>
          <cell r="F1193" t="str">
            <v>40336300 OLAF 30 290MM</v>
          </cell>
          <cell r="G1193" t="str">
            <v>C2227-2K evolve</v>
          </cell>
          <cell r="H1193">
            <v>365</v>
          </cell>
          <cell r="I1193">
            <v>0.6</v>
          </cell>
          <cell r="J1193" t="str">
            <v>NVT</v>
          </cell>
          <cell r="K1193" t="str">
            <v>DVM</v>
          </cell>
          <cell r="L1193">
            <v>6</v>
          </cell>
          <cell r="M1193" t="str">
            <v>DVM X6</v>
          </cell>
          <cell r="N1193">
            <v>120</v>
          </cell>
          <cell r="O1193" t="str">
            <v>8717568243320</v>
          </cell>
          <cell r="P1193" t="str">
            <v>H-T-I</v>
          </cell>
          <cell r="Q1193">
            <v>2</v>
          </cell>
          <cell r="R1193">
            <v>3</v>
          </cell>
          <cell r="S1193" t="str">
            <v>idem 63901400 en 66401400</v>
          </cell>
          <cell r="T1193">
            <v>2200</v>
          </cell>
          <cell r="U1193">
            <v>2</v>
          </cell>
          <cell r="V1193">
            <v>2200</v>
          </cell>
          <cell r="W1193">
            <v>3</v>
          </cell>
          <cell r="X1193">
            <v>0</v>
          </cell>
          <cell r="Y1193">
            <v>0</v>
          </cell>
          <cell r="Z1193">
            <v>0</v>
          </cell>
          <cell r="AA1193" t="str">
            <v>! ! !</v>
          </cell>
          <cell r="AB1193">
            <v>600</v>
          </cell>
          <cell r="AC1193">
            <v>0</v>
          </cell>
          <cell r="AE1193" t="str">
            <v>x</v>
          </cell>
          <cell r="AG1193">
            <v>45</v>
          </cell>
          <cell r="AJ1193" t="str">
            <v>V-A</v>
          </cell>
          <cell r="AL1193">
            <v>2700</v>
          </cell>
          <cell r="AM1193">
            <v>2200</v>
          </cell>
          <cell r="AN1193" t="e">
            <v>#VALUE!</v>
          </cell>
          <cell r="AO1193" t="e">
            <v>#VALUE!</v>
          </cell>
          <cell r="AP1193">
            <v>500</v>
          </cell>
        </row>
        <row r="1194">
          <cell r="A1194">
            <v>66401500</v>
          </cell>
          <cell r="C1194">
            <v>4690</v>
          </cell>
          <cell r="D1194" t="str">
            <v xml:space="preserve">DVM HUTSPOT MET STUKJES RUNDVLEES (2st)                </v>
          </cell>
          <cell r="E1194" t="str">
            <v>diepvriesman</v>
          </cell>
          <cell r="F1194" t="str">
            <v>40336300 OLAF 30 290MM</v>
          </cell>
          <cell r="G1194" t="str">
            <v>C2227-2K evolve</v>
          </cell>
          <cell r="H1194">
            <v>456</v>
          </cell>
          <cell r="I1194">
            <v>0.54</v>
          </cell>
          <cell r="J1194" t="str">
            <v>NVT</v>
          </cell>
          <cell r="K1194" t="str">
            <v>DVM</v>
          </cell>
          <cell r="L1194">
            <v>2</v>
          </cell>
          <cell r="M1194" t="str">
            <v>DVM</v>
          </cell>
          <cell r="N1194">
            <v>300</v>
          </cell>
          <cell r="O1194">
            <v>8717568241890</v>
          </cell>
          <cell r="P1194" t="str">
            <v>H-T-I</v>
          </cell>
          <cell r="Q1194">
            <v>3</v>
          </cell>
          <cell r="R1194">
            <v>4</v>
          </cell>
          <cell r="S1194" t="str">
            <v>idem 63901500 en 66401502</v>
          </cell>
          <cell r="T1194">
            <v>2200</v>
          </cell>
          <cell r="U1194">
            <v>2</v>
          </cell>
          <cell r="V1194">
            <v>2200</v>
          </cell>
          <cell r="W1194">
            <v>3</v>
          </cell>
          <cell r="X1194">
            <v>0</v>
          </cell>
          <cell r="Y1194">
            <v>0</v>
          </cell>
          <cell r="Z1194">
            <v>0</v>
          </cell>
          <cell r="AA1194" t="str">
            <v>! !</v>
          </cell>
          <cell r="AB1194">
            <v>600</v>
          </cell>
          <cell r="AC1194">
            <v>0</v>
          </cell>
          <cell r="AE1194" t="str">
            <v>x</v>
          </cell>
          <cell r="AG1194">
            <v>45</v>
          </cell>
          <cell r="AJ1194" t="str">
            <v>-</v>
          </cell>
          <cell r="AL1194">
            <v>2700</v>
          </cell>
          <cell r="AM1194">
            <v>2200</v>
          </cell>
          <cell r="AN1194" t="e">
            <v>#VALUE!</v>
          </cell>
          <cell r="AO1194" t="e">
            <v>#VALUE!</v>
          </cell>
          <cell r="AP1194">
            <v>500</v>
          </cell>
        </row>
        <row r="1195">
          <cell r="A1195">
            <v>66401502</v>
          </cell>
          <cell r="C1195">
            <v>64690</v>
          </cell>
          <cell r="D1195" t="str">
            <v xml:space="preserve">DVM HUTSPOT MET STUKJES RUNDVLEES (6st)                </v>
          </cell>
          <cell r="E1195" t="str">
            <v>diepvriesman</v>
          </cell>
          <cell r="F1195" t="str">
            <v>40336300 OLAF 30 290MM</v>
          </cell>
          <cell r="G1195" t="str">
            <v>C2227-2K evolve</v>
          </cell>
          <cell r="H1195">
            <v>456</v>
          </cell>
          <cell r="I1195">
            <v>0.54</v>
          </cell>
          <cell r="J1195" t="str">
            <v>NVT</v>
          </cell>
          <cell r="K1195" t="str">
            <v>DVM</v>
          </cell>
          <cell r="L1195">
            <v>6</v>
          </cell>
          <cell r="M1195" t="str">
            <v>DVM X6</v>
          </cell>
          <cell r="N1195">
            <v>120</v>
          </cell>
          <cell r="O1195" t="str">
            <v>8717568243351</v>
          </cell>
          <cell r="P1195" t="str">
            <v>H-T-I</v>
          </cell>
          <cell r="Q1195">
            <v>3</v>
          </cell>
          <cell r="R1195">
            <v>3</v>
          </cell>
          <cell r="S1195" t="str">
            <v>idem 63901500 en 66401500</v>
          </cell>
          <cell r="T1195">
            <v>2200</v>
          </cell>
          <cell r="U1195">
            <v>2</v>
          </cell>
          <cell r="V1195">
            <v>2200</v>
          </cell>
          <cell r="W1195">
            <v>3</v>
          </cell>
          <cell r="X1195">
            <v>0</v>
          </cell>
          <cell r="Y1195">
            <v>0</v>
          </cell>
          <cell r="Z1195">
            <v>0</v>
          </cell>
          <cell r="AA1195" t="str">
            <v>! !</v>
          </cell>
          <cell r="AB1195">
            <v>600</v>
          </cell>
          <cell r="AC1195">
            <v>0</v>
          </cell>
          <cell r="AE1195" t="str">
            <v>x</v>
          </cell>
          <cell r="AG1195">
            <v>45</v>
          </cell>
          <cell r="AJ1195" t="str">
            <v>-</v>
          </cell>
          <cell r="AL1195">
            <v>2700</v>
          </cell>
          <cell r="AM1195">
            <v>2200</v>
          </cell>
          <cell r="AN1195" t="e">
            <v>#VALUE!</v>
          </cell>
          <cell r="AO1195" t="e">
            <v>#VALUE!</v>
          </cell>
          <cell r="AP1195">
            <v>500</v>
          </cell>
        </row>
        <row r="1196">
          <cell r="A1196">
            <v>66401600</v>
          </cell>
          <cell r="C1196">
            <v>4643</v>
          </cell>
          <cell r="D1196" t="str">
            <v xml:space="preserve">DVM SPAGHETTI BOLOGNESE         </v>
          </cell>
          <cell r="E1196" t="str">
            <v>diepvriesman</v>
          </cell>
          <cell r="F1196" t="str">
            <v>40336300 OLAF 30 290MM</v>
          </cell>
          <cell r="G1196" t="str">
            <v>C2227-1H evolve</v>
          </cell>
          <cell r="H1196">
            <v>456</v>
          </cell>
          <cell r="I1196">
            <v>0.55000000000000004</v>
          </cell>
          <cell r="J1196" t="str">
            <v>NVT</v>
          </cell>
          <cell r="K1196" t="str">
            <v>DVM</v>
          </cell>
          <cell r="L1196">
            <v>2</v>
          </cell>
          <cell r="M1196" t="str">
            <v>DVM</v>
          </cell>
          <cell r="N1196">
            <v>300</v>
          </cell>
          <cell r="O1196">
            <v>8717568242026</v>
          </cell>
          <cell r="P1196" t="str">
            <v>2T-M-K</v>
          </cell>
          <cell r="Q1196">
            <v>3</v>
          </cell>
          <cell r="R1196">
            <v>4</v>
          </cell>
          <cell r="S1196" t="str">
            <v>idem 63901600</v>
          </cell>
          <cell r="T1196">
            <v>2200</v>
          </cell>
          <cell r="U1196">
            <v>3</v>
          </cell>
          <cell r="V1196">
            <v>2200</v>
          </cell>
          <cell r="W1196">
            <v>3</v>
          </cell>
          <cell r="X1196">
            <v>0</v>
          </cell>
          <cell r="Y1196">
            <v>0</v>
          </cell>
          <cell r="Z1196">
            <v>0</v>
          </cell>
          <cell r="AA1196" t="str">
            <v>! ! !</v>
          </cell>
          <cell r="AB1196">
            <v>600</v>
          </cell>
          <cell r="AC1196">
            <v>0</v>
          </cell>
          <cell r="AE1196" t="str">
            <v>x</v>
          </cell>
          <cell r="AG1196">
            <v>45</v>
          </cell>
          <cell r="AJ1196" t="str">
            <v>-</v>
          </cell>
          <cell r="AL1196">
            <v>2700</v>
          </cell>
          <cell r="AM1196">
            <v>2200</v>
          </cell>
          <cell r="AN1196" t="e">
            <v>#VALUE!</v>
          </cell>
          <cell r="AO1196" t="e">
            <v>#VALUE!</v>
          </cell>
          <cell r="AP1196">
            <v>500</v>
          </cell>
        </row>
        <row r="1197">
          <cell r="A1197">
            <v>66401700</v>
          </cell>
          <cell r="C1197">
            <v>4727</v>
          </cell>
          <cell r="D1197" t="str">
            <v xml:space="preserve">DVM MACARONI IN TOMATENSAUS MET HAM EN KAAS       </v>
          </cell>
          <cell r="E1197" t="str">
            <v>diepvriesman</v>
          </cell>
          <cell r="F1197" t="str">
            <v>40336300 OLAF 30 290MM</v>
          </cell>
          <cell r="G1197" t="str">
            <v>C2227-1H evolve</v>
          </cell>
          <cell r="H1197">
            <v>456</v>
          </cell>
          <cell r="I1197">
            <v>0.55000000000000004</v>
          </cell>
          <cell r="J1197" t="str">
            <v>NVT</v>
          </cell>
          <cell r="K1197" t="str">
            <v>DVM</v>
          </cell>
          <cell r="L1197">
            <v>2</v>
          </cell>
          <cell r="M1197" t="str">
            <v>DVM</v>
          </cell>
          <cell r="N1197">
            <v>300</v>
          </cell>
          <cell r="O1197">
            <v>8717568242071</v>
          </cell>
          <cell r="P1197" t="str">
            <v>2T-M-K</v>
          </cell>
          <cell r="Q1197">
            <v>2.5</v>
          </cell>
          <cell r="R1197">
            <v>4</v>
          </cell>
          <cell r="S1197" t="str">
            <v>idem 63901700, HAM SNIJDEN  pasta="elleboogjes"</v>
          </cell>
          <cell r="T1197">
            <v>2000</v>
          </cell>
          <cell r="U1197">
            <v>3</v>
          </cell>
          <cell r="V1197">
            <v>2000</v>
          </cell>
          <cell r="W1197">
            <v>3</v>
          </cell>
          <cell r="X1197">
            <v>0</v>
          </cell>
          <cell r="Y1197">
            <v>0</v>
          </cell>
          <cell r="Z1197">
            <v>0</v>
          </cell>
          <cell r="AA1197" t="str">
            <v>! !</v>
          </cell>
          <cell r="AB1197">
            <v>600</v>
          </cell>
          <cell r="AC1197">
            <v>0</v>
          </cell>
          <cell r="AE1197" t="str">
            <v>x</v>
          </cell>
          <cell r="AJ1197" t="str">
            <v>V-A</v>
          </cell>
          <cell r="AL1197">
            <v>0</v>
          </cell>
          <cell r="AM1197">
            <v>2000</v>
          </cell>
          <cell r="AN1197" t="e">
            <v>#VALUE!</v>
          </cell>
          <cell r="AO1197" t="e">
            <v>#VALUE!</v>
          </cell>
          <cell r="AP1197">
            <v>-2000</v>
          </cell>
        </row>
        <row r="1198">
          <cell r="A1198">
            <v>66402100</v>
          </cell>
          <cell r="C1198">
            <v>4660</v>
          </cell>
          <cell r="D1198" t="str">
            <v xml:space="preserve">DVM KIP IN KERRIESAUS MET DOPERWTEN EN RIJST      </v>
          </cell>
          <cell r="E1198" t="str">
            <v>diepvriesman</v>
          </cell>
          <cell r="F1198" t="str">
            <v>40336300 OLAF 30 290MM</v>
          </cell>
          <cell r="G1198" t="str">
            <v>C2227-3R evolve</v>
          </cell>
          <cell r="H1198">
            <v>456</v>
          </cell>
          <cell r="I1198">
            <v>0.5</v>
          </cell>
          <cell r="J1198" t="str">
            <v>NVT</v>
          </cell>
          <cell r="K1198" t="str">
            <v>DVM</v>
          </cell>
          <cell r="L1198">
            <v>2</v>
          </cell>
          <cell r="M1198" t="str">
            <v>DVM</v>
          </cell>
          <cell r="N1198">
            <v>300</v>
          </cell>
          <cell r="O1198">
            <v>8717568241357</v>
          </cell>
          <cell r="P1198" t="str">
            <v>I-T</v>
          </cell>
          <cell r="Q1198">
            <v>3</v>
          </cell>
          <cell r="R1198">
            <v>4</v>
          </cell>
          <cell r="S1198" t="str">
            <v>idem 63902100</v>
          </cell>
          <cell r="T1198">
            <v>2200</v>
          </cell>
          <cell r="U1198">
            <v>6</v>
          </cell>
          <cell r="V1198">
            <v>2200</v>
          </cell>
          <cell r="W1198">
            <v>7</v>
          </cell>
          <cell r="X1198">
            <v>0</v>
          </cell>
          <cell r="Y1198">
            <v>0</v>
          </cell>
          <cell r="Z1198">
            <v>0</v>
          </cell>
          <cell r="AA1198" t="str">
            <v>! ! !</v>
          </cell>
          <cell r="AB1198">
            <v>600</v>
          </cell>
          <cell r="AC1198">
            <v>0</v>
          </cell>
          <cell r="AE1198" t="str">
            <v>x</v>
          </cell>
          <cell r="AG1198">
            <v>45</v>
          </cell>
          <cell r="AJ1198" t="str">
            <v>-</v>
          </cell>
          <cell r="AL1198">
            <v>2700</v>
          </cell>
          <cell r="AM1198">
            <v>2200</v>
          </cell>
          <cell r="AN1198" t="e">
            <v>#VALUE!</v>
          </cell>
          <cell r="AO1198" t="e">
            <v>#VALUE!</v>
          </cell>
          <cell r="AP1198">
            <v>500</v>
          </cell>
        </row>
        <row r="1199">
          <cell r="A1199">
            <v>66402300</v>
          </cell>
          <cell r="C1199">
            <v>4685</v>
          </cell>
          <cell r="D1199" t="str">
            <v xml:space="preserve">DVM GEHAKTBAL BLOEMKOOL BROCCOLI GEK. AARD (2st)    </v>
          </cell>
          <cell r="E1199" t="str">
            <v>diepvriesman</v>
          </cell>
          <cell r="F1199" t="str">
            <v>40336300 OLAF 30 290MM</v>
          </cell>
          <cell r="G1199" t="str">
            <v>C2227-3R evolve</v>
          </cell>
          <cell r="H1199">
            <v>456</v>
          </cell>
          <cell r="I1199">
            <v>0.48499999999999999</v>
          </cell>
          <cell r="J1199" t="str">
            <v>NVT</v>
          </cell>
          <cell r="K1199" t="str">
            <v>DVM</v>
          </cell>
          <cell r="L1199">
            <v>2</v>
          </cell>
          <cell r="M1199" t="str">
            <v>DVM</v>
          </cell>
          <cell r="N1199">
            <v>300</v>
          </cell>
          <cell r="O1199">
            <v>8717568241166</v>
          </cell>
          <cell r="P1199" t="str">
            <v>I-T</v>
          </cell>
          <cell r="Q1199">
            <v>2</v>
          </cell>
          <cell r="R1199">
            <v>4</v>
          </cell>
          <cell r="S1199" t="str">
            <v>idem 63902300 en 66402302, AARDAPPELEN STEAMEN D-0</v>
          </cell>
          <cell r="T1199">
            <v>2200</v>
          </cell>
          <cell r="U1199">
            <v>5</v>
          </cell>
          <cell r="V1199">
            <v>2200</v>
          </cell>
          <cell r="W1199">
            <v>6</v>
          </cell>
          <cell r="X1199">
            <v>0</v>
          </cell>
          <cell r="Y1199">
            <v>0</v>
          </cell>
          <cell r="Z1199">
            <v>0</v>
          </cell>
          <cell r="AA1199" t="str">
            <v>! !</v>
          </cell>
          <cell r="AB1199">
            <v>600</v>
          </cell>
          <cell r="AC1199">
            <v>5.1449999999999996E-2</v>
          </cell>
          <cell r="AG1199">
            <v>45</v>
          </cell>
          <cell r="AJ1199" t="str">
            <v>V-A</v>
          </cell>
          <cell r="AL1199">
            <v>2700</v>
          </cell>
          <cell r="AM1199">
            <v>2200</v>
          </cell>
          <cell r="AN1199" t="e">
            <v>#VALUE!</v>
          </cell>
          <cell r="AO1199" t="e">
            <v>#VALUE!</v>
          </cell>
          <cell r="AP1199">
            <v>500</v>
          </cell>
        </row>
        <row r="1200">
          <cell r="A1200">
            <v>66402302</v>
          </cell>
          <cell r="C1200">
            <v>64685</v>
          </cell>
          <cell r="D1200" t="str">
            <v>DVM GEHAKTBAL BLOEMKOOL BROCCOLI GEK. AARD (6st)</v>
          </cell>
          <cell r="E1200" t="str">
            <v>diepvriesman</v>
          </cell>
          <cell r="F1200" t="str">
            <v>40336300 OLAF 30 290MM</v>
          </cell>
          <cell r="G1200" t="str">
            <v>C2227-3R evolve</v>
          </cell>
          <cell r="H1200">
            <v>456</v>
          </cell>
          <cell r="I1200">
            <v>0.48499999999999999</v>
          </cell>
          <cell r="J1200" t="str">
            <v>NVT</v>
          </cell>
          <cell r="K1200" t="str">
            <v>DVM</v>
          </cell>
          <cell r="L1200">
            <v>6</v>
          </cell>
          <cell r="M1200" t="str">
            <v>DVM X6</v>
          </cell>
          <cell r="N1200">
            <v>120</v>
          </cell>
          <cell r="O1200" t="str">
            <v>8717568243337</v>
          </cell>
          <cell r="P1200" t="str">
            <v>I-T</v>
          </cell>
          <cell r="Q1200">
            <v>2</v>
          </cell>
          <cell r="R1200">
            <v>4</v>
          </cell>
          <cell r="S1200" t="str">
            <v>idem 63902300 en 66402300, AARDAPPELEN STEAMEN D-0</v>
          </cell>
          <cell r="T1200">
            <v>2200</v>
          </cell>
          <cell r="U1200">
            <v>5</v>
          </cell>
          <cell r="V1200">
            <v>2200</v>
          </cell>
          <cell r="W1200">
            <v>6</v>
          </cell>
          <cell r="X1200">
            <v>0</v>
          </cell>
          <cell r="Y1200">
            <v>0</v>
          </cell>
          <cell r="Z1200">
            <v>0</v>
          </cell>
          <cell r="AA1200" t="str">
            <v>! !</v>
          </cell>
          <cell r="AB1200">
            <v>600</v>
          </cell>
          <cell r="AC1200">
            <v>5.1449999999999996E-2</v>
          </cell>
          <cell r="AG1200">
            <v>45</v>
          </cell>
          <cell r="AJ1200" t="str">
            <v>V-A</v>
          </cell>
          <cell r="AL1200">
            <v>2700</v>
          </cell>
          <cell r="AM1200">
            <v>2200</v>
          </cell>
          <cell r="AN1200" t="e">
            <v>#VALUE!</v>
          </cell>
          <cell r="AO1200" t="e">
            <v>#VALUE!</v>
          </cell>
          <cell r="AP1200">
            <v>500</v>
          </cell>
        </row>
        <row r="1201">
          <cell r="A1201">
            <v>66402800</v>
          </cell>
          <cell r="C1201">
            <v>4641</v>
          </cell>
          <cell r="D1201" t="str">
            <v xml:space="preserve">DVM GEHAKTBAL ANDIJVIE A LA CREME AARDAPPELPUREE  </v>
          </cell>
          <cell r="E1201" t="str">
            <v>diepvriesman</v>
          </cell>
          <cell r="F1201" t="str">
            <v>40336300 OLAF 30 290MM</v>
          </cell>
          <cell r="G1201" t="str">
            <v>C2227-3R evolve</v>
          </cell>
          <cell r="H1201">
            <v>456</v>
          </cell>
          <cell r="I1201">
            <v>0.5</v>
          </cell>
          <cell r="J1201" t="str">
            <v>NVT</v>
          </cell>
          <cell r="K1201" t="str">
            <v>DVM</v>
          </cell>
          <cell r="L1201">
            <v>2</v>
          </cell>
          <cell r="M1201" t="str">
            <v>DVM</v>
          </cell>
          <cell r="N1201">
            <v>300</v>
          </cell>
          <cell r="O1201">
            <v>8717568243146</v>
          </cell>
          <cell r="P1201" t="str">
            <v>2T-H</v>
          </cell>
          <cell r="Q1201">
            <v>2.5</v>
          </cell>
          <cell r="R1201">
            <v>4</v>
          </cell>
          <cell r="S1201" t="str">
            <v>idem 63902800</v>
          </cell>
          <cell r="T1201">
            <v>2200</v>
          </cell>
          <cell r="U1201">
            <v>2</v>
          </cell>
          <cell r="V1201">
            <v>2200</v>
          </cell>
          <cell r="W1201">
            <v>2</v>
          </cell>
          <cell r="X1201">
            <v>0</v>
          </cell>
          <cell r="Y1201">
            <v>0</v>
          </cell>
          <cell r="Z1201">
            <v>0</v>
          </cell>
          <cell r="AA1201" t="str">
            <v>! !</v>
          </cell>
          <cell r="AB1201">
            <v>600</v>
          </cell>
          <cell r="AC1201">
            <v>0</v>
          </cell>
          <cell r="AE1201" t="str">
            <v>x</v>
          </cell>
          <cell r="AG1201">
            <v>45</v>
          </cell>
          <cell r="AJ1201" t="str">
            <v>V-A</v>
          </cell>
          <cell r="AL1201">
            <v>2700</v>
          </cell>
          <cell r="AM1201">
            <v>2200</v>
          </cell>
          <cell r="AN1201" t="e">
            <v>#VALUE!</v>
          </cell>
          <cell r="AO1201" t="e">
            <v>#VALUE!</v>
          </cell>
          <cell r="AP1201">
            <v>500</v>
          </cell>
        </row>
        <row r="1202">
          <cell r="A1202">
            <v>66402900</v>
          </cell>
          <cell r="C1202">
            <v>4683</v>
          </cell>
          <cell r="D1202" t="str">
            <v>DVM JACHTSCHOTEL APPEL RODE KOOL EN AARDAPPELPUREE</v>
          </cell>
          <cell r="E1202" t="str">
            <v>diepvriesman</v>
          </cell>
          <cell r="F1202" t="str">
            <v>40336300 OLAF 30 290MM</v>
          </cell>
          <cell r="G1202" t="str">
            <v>C2227-3R evolve</v>
          </cell>
          <cell r="H1202">
            <v>456</v>
          </cell>
          <cell r="I1202">
            <v>0.55000000000000004</v>
          </cell>
          <cell r="J1202" t="str">
            <v>NVT</v>
          </cell>
          <cell r="K1202" t="str">
            <v>DVM</v>
          </cell>
          <cell r="L1202">
            <v>2</v>
          </cell>
          <cell r="M1202" t="str">
            <v>DVM</v>
          </cell>
          <cell r="N1202">
            <v>300</v>
          </cell>
          <cell r="O1202">
            <v>8717568241180</v>
          </cell>
          <cell r="P1202" t="str">
            <v>2T-H-I</v>
          </cell>
          <cell r="Q1202">
            <v>3</v>
          </cell>
          <cell r="R1202">
            <v>4</v>
          </cell>
          <cell r="S1202" t="str">
            <v>appels wellen D-1, idem 63516800 en 63902900</v>
          </cell>
          <cell r="T1202">
            <v>2200</v>
          </cell>
          <cell r="U1202">
            <v>2</v>
          </cell>
          <cell r="V1202">
            <v>2200</v>
          </cell>
          <cell r="W1202">
            <v>3</v>
          </cell>
          <cell r="X1202">
            <v>0</v>
          </cell>
          <cell r="Y1202">
            <v>0</v>
          </cell>
          <cell r="Z1202">
            <v>0</v>
          </cell>
          <cell r="AA1202" t="str">
            <v>! ! !</v>
          </cell>
          <cell r="AB1202">
            <v>600</v>
          </cell>
          <cell r="AC1202">
            <v>0</v>
          </cell>
          <cell r="AE1202" t="str">
            <v>x</v>
          </cell>
          <cell r="AG1202">
            <v>45</v>
          </cell>
          <cell r="AJ1202" t="str">
            <v>V-A</v>
          </cell>
          <cell r="AL1202">
            <v>2700</v>
          </cell>
          <cell r="AM1202">
            <v>2200</v>
          </cell>
          <cell r="AN1202" t="e">
            <v>#VALUE!</v>
          </cell>
          <cell r="AO1202" t="e">
            <v>#VALUE!</v>
          </cell>
          <cell r="AP1202">
            <v>500</v>
          </cell>
        </row>
        <row r="1203">
          <cell r="A1203">
            <v>66403000</v>
          </cell>
          <cell r="C1203">
            <v>4696</v>
          </cell>
          <cell r="D1203" t="str">
            <v xml:space="preserve">DVM HONGAARSE GOULASH MET DOPERWTJES EN RIJST     </v>
          </cell>
          <cell r="E1203" t="str">
            <v>diepvriesman</v>
          </cell>
          <cell r="F1203" t="str">
            <v>40336300 OLAF 30 290MM</v>
          </cell>
          <cell r="G1203" t="str">
            <v>C2227-3R evolve</v>
          </cell>
          <cell r="H1203">
            <v>456</v>
          </cell>
          <cell r="I1203">
            <v>0.5</v>
          </cell>
          <cell r="J1203" t="str">
            <v>NVT</v>
          </cell>
          <cell r="K1203" t="str">
            <v>DVM</v>
          </cell>
          <cell r="L1203">
            <v>2</v>
          </cell>
          <cell r="M1203" t="str">
            <v>DVM</v>
          </cell>
          <cell r="N1203">
            <v>300</v>
          </cell>
          <cell r="O1203">
            <v>8717568243566</v>
          </cell>
          <cell r="P1203" t="str">
            <v>T-I</v>
          </cell>
          <cell r="Q1203">
            <v>3</v>
          </cell>
          <cell r="R1203">
            <v>3</v>
          </cell>
          <cell r="S1203" t="str">
            <v>idem 63903000</v>
          </cell>
          <cell r="T1203">
            <v>2000</v>
          </cell>
          <cell r="U1203">
            <v>5</v>
          </cell>
          <cell r="V1203">
            <v>2000</v>
          </cell>
          <cell r="W1203">
            <v>7</v>
          </cell>
          <cell r="X1203">
            <v>0</v>
          </cell>
          <cell r="Y1203">
            <v>0</v>
          </cell>
          <cell r="Z1203">
            <v>0</v>
          </cell>
          <cell r="AA1203" t="str">
            <v>-</v>
          </cell>
          <cell r="AB1203">
            <v>600</v>
          </cell>
          <cell r="AC1203">
            <v>0</v>
          </cell>
          <cell r="AE1203" t="str">
            <v>x</v>
          </cell>
          <cell r="AJ1203" t="str">
            <v>V-A</v>
          </cell>
          <cell r="AL1203">
            <v>0</v>
          </cell>
          <cell r="AM1203">
            <v>2000</v>
          </cell>
          <cell r="AN1203" t="e">
            <v>#VALUE!</v>
          </cell>
          <cell r="AO1203" t="e">
            <v>#VALUE!</v>
          </cell>
          <cell r="AP1203">
            <v>-2000</v>
          </cell>
        </row>
        <row r="1204">
          <cell r="A1204">
            <v>66404400</v>
          </cell>
          <cell r="C1204">
            <v>4645</v>
          </cell>
          <cell r="D1204" t="str">
            <v xml:space="preserve">DVM GEHAKTBAL HOH SATESAUS SPERZIEB. GEB. AARDAP.     </v>
          </cell>
          <cell r="E1204" t="str">
            <v>diepvriesman</v>
          </cell>
          <cell r="F1204" t="str">
            <v>40336300 OLAF 30 290MM</v>
          </cell>
          <cell r="G1204" t="str">
            <v>C2227-3R evolve</v>
          </cell>
          <cell r="H1204">
            <v>456</v>
          </cell>
          <cell r="I1204">
            <v>0.52</v>
          </cell>
          <cell r="J1204" t="str">
            <v>NVT</v>
          </cell>
          <cell r="K1204" t="str">
            <v>DVM</v>
          </cell>
          <cell r="L1204">
            <v>2</v>
          </cell>
          <cell r="M1204" t="str">
            <v>DVM</v>
          </cell>
          <cell r="N1204">
            <v>300</v>
          </cell>
          <cell r="O1204">
            <v>8717568243122</v>
          </cell>
          <cell r="P1204" t="str">
            <v>I-T</v>
          </cell>
          <cell r="Q1204">
            <v>2</v>
          </cell>
          <cell r="R1204">
            <v>4</v>
          </cell>
          <cell r="S1204" t="str">
            <v>idem 63904400, VAKVERDELING IS AANGEPAST</v>
          </cell>
          <cell r="T1204">
            <v>2200</v>
          </cell>
          <cell r="U1204">
            <v>5</v>
          </cell>
          <cell r="V1204">
            <v>2200</v>
          </cell>
          <cell r="W1204">
            <v>6</v>
          </cell>
          <cell r="X1204">
            <v>0</v>
          </cell>
          <cell r="Y1204">
            <v>0</v>
          </cell>
          <cell r="Z1204">
            <v>0</v>
          </cell>
          <cell r="AA1204" t="str">
            <v>X</v>
          </cell>
          <cell r="AB1204">
            <v>600</v>
          </cell>
          <cell r="AC1204">
            <v>0</v>
          </cell>
          <cell r="AE1204" t="str">
            <v>x</v>
          </cell>
          <cell r="AG1204">
            <v>45</v>
          </cell>
          <cell r="AJ1204" t="str">
            <v>V-A</v>
          </cell>
          <cell r="AL1204">
            <v>2700</v>
          </cell>
          <cell r="AM1204">
            <v>2200</v>
          </cell>
          <cell r="AN1204" t="e">
            <v>#VALUE!</v>
          </cell>
          <cell r="AO1204" t="e">
            <v>#VALUE!</v>
          </cell>
          <cell r="AP1204">
            <v>500</v>
          </cell>
        </row>
        <row r="1205">
          <cell r="A1205">
            <v>66404800</v>
          </cell>
          <cell r="C1205">
            <v>4695</v>
          </cell>
          <cell r="D1205" t="str">
            <v xml:space="preserve">DVM MEXIC. KIPSCHOTEL PAPRIKA ANANAS RIJST        </v>
          </cell>
          <cell r="E1205" t="str">
            <v>diepvriesman</v>
          </cell>
          <cell r="F1205" t="str">
            <v>40336300 OLAF 30 290MM</v>
          </cell>
          <cell r="G1205" t="str">
            <v>C2227-2K evolve</v>
          </cell>
          <cell r="H1205">
            <v>456</v>
          </cell>
          <cell r="I1205">
            <v>0.52</v>
          </cell>
          <cell r="J1205" t="str">
            <v>NVT</v>
          </cell>
          <cell r="K1205" t="str">
            <v>DVM</v>
          </cell>
          <cell r="L1205">
            <v>2</v>
          </cell>
          <cell r="M1205" t="str">
            <v>DVM</v>
          </cell>
          <cell r="N1205">
            <v>300</v>
          </cell>
          <cell r="O1205">
            <v>8717568243580</v>
          </cell>
          <cell r="P1205" t="str">
            <v>T-M-I</v>
          </cell>
          <cell r="Q1205">
            <v>3</v>
          </cell>
          <cell r="R1205">
            <v>3</v>
          </cell>
          <cell r="S1205" t="str">
            <v>idem 63904800</v>
          </cell>
          <cell r="T1205">
            <v>2200</v>
          </cell>
          <cell r="U1205">
            <v>3</v>
          </cell>
          <cell r="V1205">
            <v>2200</v>
          </cell>
          <cell r="W1205">
            <v>5</v>
          </cell>
          <cell r="X1205">
            <v>0</v>
          </cell>
          <cell r="Y1205">
            <v>0</v>
          </cell>
          <cell r="Z1205">
            <v>0</v>
          </cell>
          <cell r="AA1205" t="str">
            <v>! ! !</v>
          </cell>
          <cell r="AB1205">
            <v>600</v>
          </cell>
          <cell r="AC1205">
            <v>0</v>
          </cell>
          <cell r="AE1205" t="str">
            <v>x</v>
          </cell>
          <cell r="AG1205">
            <v>45</v>
          </cell>
          <cell r="AJ1205" t="str">
            <v>-</v>
          </cell>
          <cell r="AL1205">
            <v>2700</v>
          </cell>
          <cell r="AM1205">
            <v>2200</v>
          </cell>
          <cell r="AN1205" t="e">
            <v>#VALUE!</v>
          </cell>
          <cell r="AO1205" t="e">
            <v>#VALUE!</v>
          </cell>
          <cell r="AP1205">
            <v>500</v>
          </cell>
        </row>
        <row r="1206">
          <cell r="A1206">
            <v>66405100</v>
          </cell>
          <cell r="C1206">
            <v>4662</v>
          </cell>
          <cell r="D1206" t="str">
            <v>DVM LEKKERBEKJE DOPERWT WORTEL AARD KUBUS GEKRUID</v>
          </cell>
          <cell r="E1206" t="str">
            <v>diepvriesman</v>
          </cell>
          <cell r="F1206" t="str">
            <v>40336300 OLAF 30 290MM</v>
          </cell>
          <cell r="G1206" t="str">
            <v>C2227-1H evolve</v>
          </cell>
          <cell r="H1206">
            <v>456</v>
          </cell>
          <cell r="I1206">
            <v>0.5</v>
          </cell>
          <cell r="J1206" t="str">
            <v>NVT</v>
          </cell>
          <cell r="K1206" t="str">
            <v>DVM</v>
          </cell>
          <cell r="L1206">
            <v>2</v>
          </cell>
          <cell r="M1206" t="str">
            <v>DVM</v>
          </cell>
          <cell r="N1206">
            <v>300</v>
          </cell>
          <cell r="O1206">
            <v>8717568242156</v>
          </cell>
          <cell r="P1206" t="str">
            <v>M-I</v>
          </cell>
          <cell r="Q1206">
            <v>1</v>
          </cell>
          <cell r="R1206">
            <v>4</v>
          </cell>
          <cell r="S1206" t="str">
            <v>idem 63905100</v>
          </cell>
          <cell r="T1206">
            <v>2200</v>
          </cell>
          <cell r="U1206">
            <v>5</v>
          </cell>
          <cell r="V1206">
            <v>2200</v>
          </cell>
          <cell r="W1206">
            <v>6</v>
          </cell>
          <cell r="X1206">
            <v>0</v>
          </cell>
          <cell r="Y1206">
            <v>0</v>
          </cell>
          <cell r="Z1206">
            <v>0</v>
          </cell>
          <cell r="AA1206" t="str">
            <v>! ! ! !</v>
          </cell>
          <cell r="AB1206">
            <v>600</v>
          </cell>
          <cell r="AC1206">
            <v>0</v>
          </cell>
          <cell r="AE1206" t="str">
            <v>x</v>
          </cell>
          <cell r="AG1206">
            <v>45</v>
          </cell>
          <cell r="AJ1206" t="str">
            <v>-</v>
          </cell>
          <cell r="AL1206">
            <v>2700</v>
          </cell>
          <cell r="AM1206">
            <v>2200</v>
          </cell>
          <cell r="AN1206" t="e">
            <v>#VALUE!</v>
          </cell>
          <cell r="AO1206" t="e">
            <v>#VALUE!</v>
          </cell>
          <cell r="AP1206">
            <v>500</v>
          </cell>
        </row>
        <row r="1207">
          <cell r="A1207">
            <v>66405500</v>
          </cell>
          <cell r="C1207">
            <v>4655</v>
          </cell>
          <cell r="D1207" t="str">
            <v xml:space="preserve">DVM KIP ROZEMARIJN BROCCOLI EN AARDAPPELPUREE    </v>
          </cell>
          <cell r="E1207" t="str">
            <v>diepvriesman</v>
          </cell>
          <cell r="F1207" t="str">
            <v>40336300 OLAF 30 290MM</v>
          </cell>
          <cell r="G1207" t="str">
            <v>C2227-3R evolve</v>
          </cell>
          <cell r="H1207">
            <v>456</v>
          </cell>
          <cell r="I1207">
            <v>0.55000000000000004</v>
          </cell>
          <cell r="J1207" t="str">
            <v>NVT</v>
          </cell>
          <cell r="K1207" t="str">
            <v>DVM</v>
          </cell>
          <cell r="L1207">
            <v>2</v>
          </cell>
          <cell r="M1207" t="str">
            <v>DVM</v>
          </cell>
          <cell r="N1207">
            <v>300</v>
          </cell>
          <cell r="O1207">
            <v>8717568241975</v>
          </cell>
          <cell r="P1207" t="str">
            <v>T-H-I</v>
          </cell>
          <cell r="Q1207">
            <v>3</v>
          </cell>
          <cell r="R1207">
            <v>4</v>
          </cell>
          <cell r="S1207" t="str">
            <v>idem 63905500</v>
          </cell>
          <cell r="T1207">
            <v>2200</v>
          </cell>
          <cell r="U1207">
            <v>4</v>
          </cell>
          <cell r="V1207">
            <v>2200</v>
          </cell>
          <cell r="W1207">
            <v>5</v>
          </cell>
          <cell r="X1207">
            <v>0</v>
          </cell>
          <cell r="Y1207">
            <v>0</v>
          </cell>
          <cell r="Z1207">
            <v>0</v>
          </cell>
          <cell r="AA1207" t="str">
            <v>! ! !</v>
          </cell>
          <cell r="AB1207">
            <v>600</v>
          </cell>
          <cell r="AC1207">
            <v>0</v>
          </cell>
          <cell r="AE1207" t="str">
            <v>x</v>
          </cell>
          <cell r="AG1207">
            <v>45</v>
          </cell>
          <cell r="AJ1207" t="str">
            <v>-</v>
          </cell>
          <cell r="AL1207">
            <v>2700</v>
          </cell>
          <cell r="AM1207">
            <v>2200</v>
          </cell>
          <cell r="AN1207" t="e">
            <v>#VALUE!</v>
          </cell>
          <cell r="AO1207" t="e">
            <v>#VALUE!</v>
          </cell>
          <cell r="AP1207">
            <v>500</v>
          </cell>
        </row>
        <row r="1208">
          <cell r="A1208">
            <v>66407500</v>
          </cell>
          <cell r="C1208">
            <v>4700</v>
          </cell>
          <cell r="D1208" t="str">
            <v xml:space="preserve">DVM PENNE PESTO MET KIP EN GROENE GROENTEN        </v>
          </cell>
          <cell r="E1208" t="str">
            <v>diepvriesman</v>
          </cell>
          <cell r="F1208" t="str">
            <v>40336300 OLAF 30 290MM</v>
          </cell>
          <cell r="G1208" t="str">
            <v>C2227-1H evolve</v>
          </cell>
          <cell r="H1208">
            <v>456</v>
          </cell>
          <cell r="I1208">
            <v>0.5</v>
          </cell>
          <cell r="J1208" t="str">
            <v>NVT</v>
          </cell>
          <cell r="K1208" t="str">
            <v>DVM</v>
          </cell>
          <cell r="L1208">
            <v>2</v>
          </cell>
          <cell r="M1208" t="str">
            <v>DVM</v>
          </cell>
          <cell r="N1208">
            <v>300</v>
          </cell>
          <cell r="O1208">
            <v>8717568245102</v>
          </cell>
          <cell r="P1208" t="str">
            <v>T-M-I</v>
          </cell>
          <cell r="Q1208">
            <v>2</v>
          </cell>
          <cell r="R1208">
            <v>3</v>
          </cell>
          <cell r="S1208" t="str">
            <v>idem 63907500 EN 63515400</v>
          </cell>
          <cell r="T1208">
            <v>1750</v>
          </cell>
          <cell r="U1208">
            <v>5</v>
          </cell>
          <cell r="V1208">
            <v>1750</v>
          </cell>
          <cell r="W1208">
            <v>6</v>
          </cell>
          <cell r="X1208">
            <v>0</v>
          </cell>
          <cell r="Y1208">
            <v>0</v>
          </cell>
          <cell r="Z1208">
            <v>0</v>
          </cell>
          <cell r="AA1208" t="str">
            <v>! !</v>
          </cell>
          <cell r="AB1208">
            <v>600</v>
          </cell>
          <cell r="AC1208">
            <v>0</v>
          </cell>
          <cell r="AE1208" t="str">
            <v>x</v>
          </cell>
          <cell r="AJ1208" t="str">
            <v>-</v>
          </cell>
          <cell r="AL1208">
            <v>0</v>
          </cell>
          <cell r="AM1208">
            <v>1750</v>
          </cell>
          <cell r="AN1208" t="e">
            <v>#VALUE!</v>
          </cell>
          <cell r="AO1208" t="e">
            <v>#VALUE!</v>
          </cell>
          <cell r="AP1208">
            <v>-1750</v>
          </cell>
        </row>
        <row r="1209">
          <cell r="A1209">
            <v>66409800</v>
          </cell>
          <cell r="C1209">
            <v>4888</v>
          </cell>
          <cell r="D1209" t="str">
            <v>DVM ERWTENSOEP MET ROOKWORSTSCHIJFJES (2st)</v>
          </cell>
          <cell r="E1209" t="str">
            <v>diepvriesman</v>
          </cell>
          <cell r="F1209" t="str">
            <v>40336300 OLAF 30 290MM</v>
          </cell>
          <cell r="G1209" t="str">
            <v>C2227-1H evolve</v>
          </cell>
          <cell r="H1209">
            <v>456</v>
          </cell>
          <cell r="I1209">
            <v>0.65</v>
          </cell>
          <cell r="J1209" t="str">
            <v>NVT</v>
          </cell>
          <cell r="K1209" t="str">
            <v>DVM</v>
          </cell>
          <cell r="L1209">
            <v>2</v>
          </cell>
          <cell r="M1209" t="str">
            <v>DVM</v>
          </cell>
          <cell r="N1209">
            <v>300</v>
          </cell>
          <cell r="O1209">
            <v>8717568241913</v>
          </cell>
          <cell r="P1209" t="str">
            <v>I-2T</v>
          </cell>
          <cell r="Q1209">
            <v>1</v>
          </cell>
          <cell r="R1209">
            <v>4</v>
          </cell>
          <cell r="S1209" t="str">
            <v>idem 63909800 en 66409802, D-1 erwten wellen, SPEK SNIJDEN MET TREIFF</v>
          </cell>
          <cell r="T1209">
            <v>2000</v>
          </cell>
          <cell r="U1209">
            <v>2</v>
          </cell>
          <cell r="V1209">
            <v>2000</v>
          </cell>
          <cell r="W1209">
            <v>3</v>
          </cell>
          <cell r="X1209">
            <v>0</v>
          </cell>
          <cell r="Y1209">
            <v>0</v>
          </cell>
          <cell r="Z1209">
            <v>0</v>
          </cell>
          <cell r="AA1209" t="str">
            <v>! ! !</v>
          </cell>
          <cell r="AB1209">
            <v>600</v>
          </cell>
          <cell r="AC1209">
            <v>0</v>
          </cell>
          <cell r="AG1209">
            <v>38</v>
          </cell>
          <cell r="AJ1209" t="str">
            <v>V-A</v>
          </cell>
          <cell r="AL1209">
            <v>2280</v>
          </cell>
          <cell r="AM1209">
            <v>2000</v>
          </cell>
          <cell r="AN1209" t="e">
            <v>#VALUE!</v>
          </cell>
          <cell r="AO1209" t="e">
            <v>#VALUE!</v>
          </cell>
          <cell r="AP1209">
            <v>280</v>
          </cell>
        </row>
        <row r="1210">
          <cell r="A1210">
            <v>66409802</v>
          </cell>
          <cell r="C1210">
            <v>64888</v>
          </cell>
          <cell r="D1210" t="str">
            <v>DVM ERWTENSOEP MET ROOKWORSTSCHIJFJES (6st)</v>
          </cell>
          <cell r="E1210" t="str">
            <v>diepvriesman</v>
          </cell>
          <cell r="F1210" t="str">
            <v>40336300 OLAF 30 290MM</v>
          </cell>
          <cell r="G1210" t="str">
            <v>C2227-1H evolve</v>
          </cell>
          <cell r="H1210">
            <v>456</v>
          </cell>
          <cell r="I1210">
            <v>0.65</v>
          </cell>
          <cell r="J1210" t="str">
            <v>NVT</v>
          </cell>
          <cell r="K1210" t="str">
            <v>DVM</v>
          </cell>
          <cell r="L1210">
            <v>6</v>
          </cell>
          <cell r="M1210" t="str">
            <v>DVM X6</v>
          </cell>
          <cell r="N1210">
            <v>120</v>
          </cell>
          <cell r="O1210" t="str">
            <v>8717568243412</v>
          </cell>
          <cell r="P1210" t="str">
            <v>I-2T</v>
          </cell>
          <cell r="Q1210">
            <v>1</v>
          </cell>
          <cell r="R1210">
            <v>3</v>
          </cell>
          <cell r="S1210" t="str">
            <v>idem 63909800 en 66409800, D-1 erwten wellen, SPEK SNIJDEN MET TREIFF</v>
          </cell>
          <cell r="T1210">
            <v>2000</v>
          </cell>
          <cell r="U1210">
            <v>2</v>
          </cell>
          <cell r="V1210">
            <v>2000</v>
          </cell>
          <cell r="W1210">
            <v>3</v>
          </cell>
          <cell r="X1210">
            <v>0</v>
          </cell>
          <cell r="Y1210">
            <v>0</v>
          </cell>
          <cell r="Z1210">
            <v>0</v>
          </cell>
          <cell r="AA1210" t="str">
            <v>! ! !</v>
          </cell>
          <cell r="AB1210">
            <v>600</v>
          </cell>
          <cell r="AC1210">
            <v>0</v>
          </cell>
          <cell r="AG1210">
            <v>38</v>
          </cell>
          <cell r="AJ1210" t="str">
            <v>V-A</v>
          </cell>
          <cell r="AL1210">
            <v>2280</v>
          </cell>
          <cell r="AM1210">
            <v>2000</v>
          </cell>
          <cell r="AN1210" t="e">
            <v>#VALUE!</v>
          </cell>
          <cell r="AO1210" t="e">
            <v>#VALUE!</v>
          </cell>
          <cell r="AP1210">
            <v>280</v>
          </cell>
        </row>
        <row r="1211">
          <cell r="A1211">
            <v>66410100</v>
          </cell>
          <cell r="C1211">
            <v>4884</v>
          </cell>
          <cell r="D1211" t="str">
            <v>DVM RUNDERGEHAKTBAL BLADSPIN. A LA CREME AARD (2st)</v>
          </cell>
          <cell r="E1211" t="str">
            <v>diepvriesman</v>
          </cell>
          <cell r="F1211" t="str">
            <v>40336300 OLAF 30 290MM</v>
          </cell>
          <cell r="G1211" t="str">
            <v>C2227-3R evolve</v>
          </cell>
          <cell r="H1211">
            <v>456</v>
          </cell>
          <cell r="I1211">
            <v>0.51</v>
          </cell>
          <cell r="J1211" t="str">
            <v>NVT</v>
          </cell>
          <cell r="K1211" t="str">
            <v>DVM</v>
          </cell>
          <cell r="L1211">
            <v>2</v>
          </cell>
          <cell r="M1211" t="str">
            <v>DVM</v>
          </cell>
          <cell r="N1211">
            <v>300</v>
          </cell>
          <cell r="O1211">
            <v>8717568241787</v>
          </cell>
          <cell r="P1211" t="str">
            <v>2T</v>
          </cell>
          <cell r="Q1211">
            <v>2</v>
          </cell>
          <cell r="R1211">
            <v>4</v>
          </cell>
          <cell r="S1211" t="str">
            <v>idem 63910100 en 66410102, AARDAPPELEN STEAMEN D-0</v>
          </cell>
          <cell r="T1211">
            <v>2200</v>
          </cell>
          <cell r="U1211">
            <v>4</v>
          </cell>
          <cell r="V1211">
            <v>2200</v>
          </cell>
          <cell r="W1211">
            <v>4</v>
          </cell>
          <cell r="X1211">
            <v>0</v>
          </cell>
          <cell r="Y1211">
            <v>0</v>
          </cell>
          <cell r="Z1211">
            <v>0</v>
          </cell>
          <cell r="AA1211" t="str">
            <v>! !</v>
          </cell>
          <cell r="AB1211">
            <v>600</v>
          </cell>
          <cell r="AC1211">
            <v>0</v>
          </cell>
          <cell r="AG1211">
            <v>45</v>
          </cell>
          <cell r="AJ1211" t="str">
            <v>-</v>
          </cell>
          <cell r="AL1211">
            <v>2700</v>
          </cell>
          <cell r="AM1211">
            <v>2200</v>
          </cell>
          <cell r="AN1211" t="e">
            <v>#VALUE!</v>
          </cell>
          <cell r="AO1211" t="e">
            <v>#VALUE!</v>
          </cell>
          <cell r="AP1211">
            <v>500</v>
          </cell>
        </row>
        <row r="1212">
          <cell r="A1212">
            <v>66410102</v>
          </cell>
          <cell r="C1212">
            <v>64884</v>
          </cell>
          <cell r="D1212" t="str">
            <v>DVM RUNDERGEHAKTBAL BLADSPIN. A LA CREME AARD (6st)</v>
          </cell>
          <cell r="E1212" t="str">
            <v>diepvriesman</v>
          </cell>
          <cell r="F1212" t="str">
            <v>40336300 OLAF 30 290MM</v>
          </cell>
          <cell r="G1212" t="str">
            <v>C2227-3R evolve</v>
          </cell>
          <cell r="H1212">
            <v>456</v>
          </cell>
          <cell r="I1212">
            <v>0.51</v>
          </cell>
          <cell r="J1212" t="str">
            <v>NVT</v>
          </cell>
          <cell r="K1212" t="str">
            <v>DVM</v>
          </cell>
          <cell r="L1212">
            <v>6</v>
          </cell>
          <cell r="M1212" t="str">
            <v>DVM X6</v>
          </cell>
          <cell r="N1212">
            <v>120</v>
          </cell>
          <cell r="O1212" t="str">
            <v>8717568243399</v>
          </cell>
          <cell r="P1212" t="str">
            <v>2T</v>
          </cell>
          <cell r="Q1212">
            <v>2</v>
          </cell>
          <cell r="R1212">
            <v>3</v>
          </cell>
          <cell r="S1212" t="str">
            <v>idem 63910100 en 66410100, AARDAPPELEN STEAMEN D-0</v>
          </cell>
          <cell r="T1212">
            <v>2200</v>
          </cell>
          <cell r="U1212">
            <v>4</v>
          </cell>
          <cell r="V1212">
            <v>2200</v>
          </cell>
          <cell r="W1212">
            <v>4</v>
          </cell>
          <cell r="X1212">
            <v>0</v>
          </cell>
          <cell r="Y1212">
            <v>0</v>
          </cell>
          <cell r="Z1212">
            <v>0</v>
          </cell>
          <cell r="AA1212" t="str">
            <v>! !</v>
          </cell>
          <cell r="AB1212">
            <v>600</v>
          </cell>
          <cell r="AC1212">
            <v>0</v>
          </cell>
          <cell r="AG1212">
            <v>45</v>
          </cell>
          <cell r="AJ1212" t="str">
            <v>-</v>
          </cell>
          <cell r="AL1212">
            <v>2700</v>
          </cell>
          <cell r="AM1212">
            <v>2200</v>
          </cell>
          <cell r="AN1212" t="e">
            <v>#VALUE!</v>
          </cell>
          <cell r="AO1212" t="e">
            <v>#VALUE!</v>
          </cell>
          <cell r="AP1212">
            <v>500</v>
          </cell>
        </row>
        <row r="1213">
          <cell r="A1213">
            <v>66410500</v>
          </cell>
          <cell r="C1213">
            <v>4830</v>
          </cell>
          <cell r="D1213" t="str">
            <v>DVM SPEKLAPJE JUS RODE BIETJES AARDAP (2st)</v>
          </cell>
          <cell r="E1213" t="str">
            <v>diepvriesman</v>
          </cell>
          <cell r="F1213" t="str">
            <v>40336300 OLAF 30 290MM</v>
          </cell>
          <cell r="G1213" t="str">
            <v>C2227-3R evolve</v>
          </cell>
          <cell r="H1213">
            <v>365</v>
          </cell>
          <cell r="I1213">
            <v>0.5</v>
          </cell>
          <cell r="J1213" t="str">
            <v>NVT</v>
          </cell>
          <cell r="K1213" t="str">
            <v>DVM</v>
          </cell>
          <cell r="L1213">
            <v>2</v>
          </cell>
          <cell r="M1213" t="str">
            <v>DVM</v>
          </cell>
          <cell r="N1213">
            <v>300</v>
          </cell>
          <cell r="O1213">
            <v>8717568241500</v>
          </cell>
          <cell r="P1213" t="str">
            <v>2T</v>
          </cell>
          <cell r="Q1213">
            <v>2</v>
          </cell>
          <cell r="R1213">
            <v>4</v>
          </cell>
          <cell r="S1213" t="str">
            <v>idem 63910500 en 66410502, AARDAPPELEN STEAMEN D-0</v>
          </cell>
          <cell r="T1213">
            <v>2200</v>
          </cell>
          <cell r="U1213">
            <v>6</v>
          </cell>
          <cell r="V1213">
            <v>2200</v>
          </cell>
          <cell r="W1213">
            <v>6</v>
          </cell>
          <cell r="X1213">
            <v>0</v>
          </cell>
          <cell r="Y1213">
            <v>0</v>
          </cell>
          <cell r="Z1213">
            <v>0</v>
          </cell>
          <cell r="AA1213" t="str">
            <v>! ! !</v>
          </cell>
          <cell r="AB1213">
            <v>600</v>
          </cell>
          <cell r="AC1213">
            <v>0</v>
          </cell>
          <cell r="AG1213">
            <v>45</v>
          </cell>
          <cell r="AJ1213" t="str">
            <v>V-A</v>
          </cell>
          <cell r="AL1213">
            <v>2700</v>
          </cell>
          <cell r="AM1213">
            <v>2200</v>
          </cell>
          <cell r="AN1213" t="e">
            <v>#VALUE!</v>
          </cell>
          <cell r="AO1213" t="e">
            <v>#VALUE!</v>
          </cell>
          <cell r="AP1213">
            <v>500</v>
          </cell>
        </row>
        <row r="1214">
          <cell r="A1214">
            <v>66410502</v>
          </cell>
          <cell r="C1214">
            <v>64830</v>
          </cell>
          <cell r="D1214" t="str">
            <v>DVM SPEKLAPJE JUS RODE BIETJES AARDAP (6st)</v>
          </cell>
          <cell r="E1214" t="str">
            <v>diepvriesman</v>
          </cell>
          <cell r="F1214" t="str">
            <v>40336300 OLAF 30 290MM</v>
          </cell>
          <cell r="G1214" t="str">
            <v>C2227-3R evolve</v>
          </cell>
          <cell r="H1214">
            <v>365</v>
          </cell>
          <cell r="I1214">
            <v>0.5</v>
          </cell>
          <cell r="J1214" t="str">
            <v>NVT</v>
          </cell>
          <cell r="K1214" t="str">
            <v>DVM</v>
          </cell>
          <cell r="L1214">
            <v>6</v>
          </cell>
          <cell r="M1214" t="str">
            <v>DVM X6</v>
          </cell>
          <cell r="N1214">
            <v>120</v>
          </cell>
          <cell r="O1214" t="str">
            <v>8717568243382</v>
          </cell>
          <cell r="P1214" t="str">
            <v>2T</v>
          </cell>
          <cell r="Q1214">
            <v>2</v>
          </cell>
          <cell r="R1214">
            <v>3</v>
          </cell>
          <cell r="S1214" t="str">
            <v>idem 63910500 en 66410500, AARDAPPELEN STEAMEN D-0</v>
          </cell>
          <cell r="T1214">
            <v>2200</v>
          </cell>
          <cell r="U1214">
            <v>5</v>
          </cell>
          <cell r="V1214">
            <v>2200</v>
          </cell>
          <cell r="W1214">
            <v>5</v>
          </cell>
          <cell r="X1214">
            <v>0</v>
          </cell>
          <cell r="Y1214">
            <v>0</v>
          </cell>
          <cell r="Z1214">
            <v>0</v>
          </cell>
          <cell r="AA1214" t="str">
            <v>! ! !</v>
          </cell>
          <cell r="AB1214">
            <v>600</v>
          </cell>
          <cell r="AC1214">
            <v>0</v>
          </cell>
          <cell r="AG1214">
            <v>45</v>
          </cell>
          <cell r="AJ1214" t="str">
            <v>V-A</v>
          </cell>
          <cell r="AL1214">
            <v>2700</v>
          </cell>
          <cell r="AM1214">
            <v>2200</v>
          </cell>
          <cell r="AN1214" t="e">
            <v>#VALUE!</v>
          </cell>
          <cell r="AO1214" t="e">
            <v>#VALUE!</v>
          </cell>
          <cell r="AP1214">
            <v>500</v>
          </cell>
        </row>
        <row r="1215">
          <cell r="A1215">
            <v>66410700</v>
          </cell>
          <cell r="C1215">
            <v>4724</v>
          </cell>
          <cell r="D1215" t="str">
            <v>DVM HEEK HOLLANDAISE BROCCOLI PUREE</v>
          </cell>
          <cell r="E1215" t="str">
            <v>diepvriesman</v>
          </cell>
          <cell r="F1215" t="str">
            <v>40336300 OLAF 30 290MM</v>
          </cell>
          <cell r="G1215" t="str">
            <v>C2227-2K evolve</v>
          </cell>
          <cell r="H1215">
            <v>456</v>
          </cell>
          <cell r="I1215">
            <v>0.54500000000000004</v>
          </cell>
          <cell r="J1215" t="str">
            <v>NVT</v>
          </cell>
          <cell r="K1215" t="str">
            <v>DVM</v>
          </cell>
          <cell r="L1215">
            <v>2</v>
          </cell>
          <cell r="M1215" t="str">
            <v>DVM</v>
          </cell>
          <cell r="N1215">
            <v>300</v>
          </cell>
          <cell r="O1215">
            <v>8717568243542</v>
          </cell>
          <cell r="P1215" t="str">
            <v>T-H</v>
          </cell>
          <cell r="Q1215">
            <v>2.5</v>
          </cell>
          <cell r="R1215">
            <v>3</v>
          </cell>
          <cell r="S1215" t="str">
            <v>idem 63910700</v>
          </cell>
          <cell r="T1215">
            <v>1750</v>
          </cell>
          <cell r="U1215">
            <v>4</v>
          </cell>
          <cell r="V1215">
            <v>1750</v>
          </cell>
          <cell r="W1215">
            <v>4</v>
          </cell>
          <cell r="X1215">
            <v>0</v>
          </cell>
          <cell r="Y1215">
            <v>0</v>
          </cell>
          <cell r="Z1215">
            <v>0</v>
          </cell>
          <cell r="AA1215" t="str">
            <v>! ! ! !</v>
          </cell>
          <cell r="AB1215">
            <v>600</v>
          </cell>
          <cell r="AC1215">
            <v>0</v>
          </cell>
          <cell r="AG1215">
            <v>35</v>
          </cell>
          <cell r="AJ1215" t="str">
            <v>V-A</v>
          </cell>
          <cell r="AL1215">
            <v>2100</v>
          </cell>
          <cell r="AM1215">
            <v>1750</v>
          </cell>
          <cell r="AN1215" t="e">
            <v>#VALUE!</v>
          </cell>
          <cell r="AO1215" t="e">
            <v>#VALUE!</v>
          </cell>
          <cell r="AP1215">
            <v>350</v>
          </cell>
        </row>
        <row r="1216">
          <cell r="A1216">
            <v>66411000</v>
          </cell>
          <cell r="C1216">
            <v>4697</v>
          </cell>
          <cell r="D1216" t="str">
            <v>DVM ANDIJVIESTAMPPOT GEHAKTBAL (2st)</v>
          </cell>
          <cell r="E1216" t="str">
            <v>diepvriesman</v>
          </cell>
          <cell r="F1216" t="str">
            <v>40336300 OLAF 30 290MM</v>
          </cell>
          <cell r="G1216" t="str">
            <v>C2227-2K evolve</v>
          </cell>
          <cell r="H1216">
            <v>456</v>
          </cell>
          <cell r="I1216">
            <v>0.5</v>
          </cell>
          <cell r="J1216" t="str">
            <v>NVT</v>
          </cell>
          <cell r="K1216" t="str">
            <v>DVM</v>
          </cell>
          <cell r="L1216">
            <v>2</v>
          </cell>
          <cell r="M1216" t="str">
            <v>DVM</v>
          </cell>
          <cell r="N1216">
            <v>300</v>
          </cell>
          <cell r="O1216">
            <v>8717568241548</v>
          </cell>
          <cell r="P1216" t="str">
            <v>H-T</v>
          </cell>
          <cell r="Q1216">
            <v>2</v>
          </cell>
          <cell r="R1216">
            <v>4</v>
          </cell>
          <cell r="S1216" t="str">
            <v>idem 63911000 en 66411002</v>
          </cell>
          <cell r="T1216">
            <v>2200</v>
          </cell>
          <cell r="U1216">
            <v>2</v>
          </cell>
          <cell r="V1216">
            <v>2200</v>
          </cell>
          <cell r="W1216">
            <v>2</v>
          </cell>
          <cell r="X1216">
            <v>0</v>
          </cell>
          <cell r="Y1216">
            <v>0</v>
          </cell>
          <cell r="Z1216">
            <v>0</v>
          </cell>
          <cell r="AA1216" t="str">
            <v>! ! !</v>
          </cell>
          <cell r="AB1216">
            <v>600</v>
          </cell>
          <cell r="AC1216">
            <v>0</v>
          </cell>
          <cell r="AG1216">
            <v>45</v>
          </cell>
          <cell r="AJ1216" t="str">
            <v>V-A</v>
          </cell>
          <cell r="AL1216">
            <v>2700</v>
          </cell>
          <cell r="AM1216">
            <v>2200</v>
          </cell>
          <cell r="AN1216" t="e">
            <v>#VALUE!</v>
          </cell>
          <cell r="AO1216" t="e">
            <v>#VALUE!</v>
          </cell>
          <cell r="AP1216">
            <v>500</v>
          </cell>
        </row>
        <row r="1217">
          <cell r="A1217">
            <v>66411002</v>
          </cell>
          <cell r="C1217">
            <v>64697</v>
          </cell>
          <cell r="D1217" t="str">
            <v>DVM ANDIJVIESTAMPPOT GEHAKTBAL (6st)</v>
          </cell>
          <cell r="E1217" t="str">
            <v>diepvriesman</v>
          </cell>
          <cell r="F1217" t="str">
            <v>40336300 OLAF 30 290MM</v>
          </cell>
          <cell r="G1217" t="str">
            <v>C2227-2K evolve</v>
          </cell>
          <cell r="H1217">
            <v>456</v>
          </cell>
          <cell r="I1217">
            <v>0.5</v>
          </cell>
          <cell r="J1217" t="str">
            <v>NVT</v>
          </cell>
          <cell r="K1217" t="str">
            <v>DVM</v>
          </cell>
          <cell r="L1217">
            <v>6</v>
          </cell>
          <cell r="M1217" t="str">
            <v>DVM X6</v>
          </cell>
          <cell r="N1217">
            <v>120</v>
          </cell>
          <cell r="O1217" t="str">
            <v>8717568243368</v>
          </cell>
          <cell r="P1217" t="str">
            <v>H-T</v>
          </cell>
          <cell r="Q1217">
            <v>2</v>
          </cell>
          <cell r="R1217">
            <v>3</v>
          </cell>
          <cell r="S1217" t="str">
            <v>idem 63911000 en 66411000</v>
          </cell>
          <cell r="T1217">
            <v>2200</v>
          </cell>
          <cell r="U1217">
            <v>2</v>
          </cell>
          <cell r="V1217">
            <v>2200</v>
          </cell>
          <cell r="W1217">
            <v>2</v>
          </cell>
          <cell r="X1217">
            <v>0</v>
          </cell>
          <cell r="Y1217">
            <v>0</v>
          </cell>
          <cell r="Z1217">
            <v>0</v>
          </cell>
          <cell r="AA1217" t="str">
            <v>! ! !</v>
          </cell>
          <cell r="AB1217">
            <v>600</v>
          </cell>
          <cell r="AC1217">
            <v>0</v>
          </cell>
          <cell r="AG1217">
            <v>45</v>
          </cell>
          <cell r="AJ1217" t="str">
            <v>V-A</v>
          </cell>
          <cell r="AL1217">
            <v>2700</v>
          </cell>
          <cell r="AM1217">
            <v>2200</v>
          </cell>
          <cell r="AN1217" t="e">
            <v>#VALUE!</v>
          </cell>
          <cell r="AO1217" t="e">
            <v>#VALUE!</v>
          </cell>
          <cell r="AP1217">
            <v>500</v>
          </cell>
        </row>
        <row r="1218">
          <cell r="A1218">
            <v>66411100</v>
          </cell>
          <cell r="C1218">
            <v>4887</v>
          </cell>
          <cell r="D1218" t="str">
            <v>DVM HETE BLIKSEM BRAADWORST (2st)</v>
          </cell>
          <cell r="E1218" t="str">
            <v>diepvriesman</v>
          </cell>
          <cell r="F1218" t="str">
            <v>40336300 OLAF 30 290MM</v>
          </cell>
          <cell r="G1218" t="str">
            <v>C2227-2K evolve</v>
          </cell>
          <cell r="H1218">
            <v>456</v>
          </cell>
          <cell r="I1218">
            <v>0.6</v>
          </cell>
          <cell r="J1218" t="str">
            <v>NVT</v>
          </cell>
          <cell r="K1218" t="str">
            <v>DVM</v>
          </cell>
          <cell r="L1218">
            <v>2</v>
          </cell>
          <cell r="M1218" t="str">
            <v>DVM</v>
          </cell>
          <cell r="N1218">
            <v>300</v>
          </cell>
          <cell r="O1218">
            <v>8717568242286</v>
          </cell>
          <cell r="P1218" t="str">
            <v>H-T</v>
          </cell>
          <cell r="Q1218">
            <v>2</v>
          </cell>
          <cell r="R1218">
            <v>4</v>
          </cell>
          <cell r="S1218" t="str">
            <v>idem 63911100 en 66411102, 42 max</v>
          </cell>
          <cell r="T1218">
            <v>2000</v>
          </cell>
          <cell r="U1218">
            <v>2</v>
          </cell>
          <cell r="V1218">
            <v>2000</v>
          </cell>
          <cell r="W1218">
            <v>2</v>
          </cell>
          <cell r="X1218">
            <v>0</v>
          </cell>
          <cell r="Y1218">
            <v>0</v>
          </cell>
          <cell r="Z1218">
            <v>0</v>
          </cell>
          <cell r="AA1218" t="str">
            <v>! ! !</v>
          </cell>
          <cell r="AB1218">
            <v>600</v>
          </cell>
          <cell r="AC1218">
            <v>6.7014705882352935E-2</v>
          </cell>
          <cell r="AG1218">
            <v>42</v>
          </cell>
          <cell r="AJ1218" t="str">
            <v>V-A</v>
          </cell>
          <cell r="AL1218">
            <v>2520</v>
          </cell>
          <cell r="AM1218">
            <v>2000</v>
          </cell>
          <cell r="AN1218" t="e">
            <v>#VALUE!</v>
          </cell>
          <cell r="AO1218" t="e">
            <v>#VALUE!</v>
          </cell>
          <cell r="AP1218">
            <v>520</v>
          </cell>
        </row>
        <row r="1219">
          <cell r="A1219">
            <v>66411102</v>
          </cell>
          <cell r="C1219">
            <v>64887</v>
          </cell>
          <cell r="D1219" t="str">
            <v>DVM HETE BLIKSEM BRAADWORST (6st)</v>
          </cell>
          <cell r="E1219" t="str">
            <v>diepvriesman</v>
          </cell>
          <cell r="F1219" t="str">
            <v>40336300 OLAF 30 290MM</v>
          </cell>
          <cell r="G1219" t="str">
            <v>C2227-2K evolve</v>
          </cell>
          <cell r="H1219">
            <v>456</v>
          </cell>
          <cell r="I1219">
            <v>0.6</v>
          </cell>
          <cell r="J1219" t="str">
            <v>NVT</v>
          </cell>
          <cell r="K1219" t="str">
            <v>DVM</v>
          </cell>
          <cell r="L1219">
            <v>6</v>
          </cell>
          <cell r="M1219" t="str">
            <v>DVM X6</v>
          </cell>
          <cell r="N1219">
            <v>120</v>
          </cell>
          <cell r="O1219" t="str">
            <v>8717568243405</v>
          </cell>
          <cell r="P1219" t="str">
            <v>H-T</v>
          </cell>
          <cell r="Q1219">
            <v>2</v>
          </cell>
          <cell r="R1219">
            <v>3</v>
          </cell>
          <cell r="S1219" t="str">
            <v>idem 63911100 en 66411100, 42 max</v>
          </cell>
          <cell r="T1219">
            <v>2000</v>
          </cell>
          <cell r="U1219">
            <v>2</v>
          </cell>
          <cell r="V1219">
            <v>2000</v>
          </cell>
          <cell r="W1219">
            <v>2</v>
          </cell>
          <cell r="X1219">
            <v>0</v>
          </cell>
          <cell r="Y1219">
            <v>0</v>
          </cell>
          <cell r="Z1219">
            <v>0</v>
          </cell>
          <cell r="AA1219" t="str">
            <v>! ! !</v>
          </cell>
          <cell r="AB1219">
            <v>600</v>
          </cell>
          <cell r="AC1219">
            <v>6.7014705882352935E-2</v>
          </cell>
          <cell r="AG1219">
            <v>42</v>
          </cell>
          <cell r="AJ1219" t="str">
            <v>V-A</v>
          </cell>
          <cell r="AL1219">
            <v>2520</v>
          </cell>
          <cell r="AM1219">
            <v>2000</v>
          </cell>
          <cell r="AN1219" t="e">
            <v>#VALUE!</v>
          </cell>
          <cell r="AO1219" t="e">
            <v>#VALUE!</v>
          </cell>
          <cell r="AP1219">
            <v>520</v>
          </cell>
        </row>
        <row r="1220">
          <cell r="A1220">
            <v>66411300</v>
          </cell>
          <cell r="C1220">
            <v>4646</v>
          </cell>
          <cell r="D1220" t="str">
            <v>DVM SPARERIBS BBQ ERWT WORTEL GEBAKKEN AARD</v>
          </cell>
          <cell r="E1220" t="str">
            <v>diepvriesman</v>
          </cell>
          <cell r="F1220" t="str">
            <v>40336300 OLAF 30 290MM</v>
          </cell>
          <cell r="G1220" t="str">
            <v>C2227-1H evolve</v>
          </cell>
          <cell r="H1220">
            <v>456</v>
          </cell>
          <cell r="I1220">
            <v>0.53</v>
          </cell>
          <cell r="J1220" t="str">
            <v>NVT</v>
          </cell>
          <cell r="K1220" t="str">
            <v>DVM</v>
          </cell>
          <cell r="L1220">
            <v>2</v>
          </cell>
          <cell r="M1220" t="str">
            <v>DVM</v>
          </cell>
          <cell r="N1220">
            <v>300</v>
          </cell>
          <cell r="O1220">
            <v>8717568241524</v>
          </cell>
          <cell r="P1220" t="str">
            <v>T-I</v>
          </cell>
          <cell r="Q1220">
            <v>2</v>
          </cell>
          <cell r="R1220">
            <v>4</v>
          </cell>
          <cell r="S1220" t="str">
            <v>idem 63911300</v>
          </cell>
          <cell r="T1220">
            <v>1750</v>
          </cell>
          <cell r="U1220">
            <v>7</v>
          </cell>
          <cell r="V1220">
            <v>1750</v>
          </cell>
          <cell r="W1220">
            <v>8</v>
          </cell>
          <cell r="X1220">
            <v>0</v>
          </cell>
          <cell r="Y1220">
            <v>0</v>
          </cell>
          <cell r="Z1220">
            <v>0</v>
          </cell>
          <cell r="AA1220" t="str">
            <v>! ! ! !</v>
          </cell>
          <cell r="AB1220">
            <v>600</v>
          </cell>
          <cell r="AC1220">
            <v>0</v>
          </cell>
          <cell r="AJ1220" t="str">
            <v>V-A</v>
          </cell>
          <cell r="AL1220">
            <v>0</v>
          </cell>
          <cell r="AM1220">
            <v>1750</v>
          </cell>
          <cell r="AN1220" t="e">
            <v>#VALUE!</v>
          </cell>
          <cell r="AO1220" t="e">
            <v>#VALUE!</v>
          </cell>
          <cell r="AP1220">
            <v>-1750</v>
          </cell>
        </row>
        <row r="1221">
          <cell r="A1221">
            <v>66411600</v>
          </cell>
          <cell r="C1221">
            <v>4648</v>
          </cell>
          <cell r="D1221" t="str">
            <v>DVM CORDON BLEU SPINAZIE PUREE (2st)</v>
          </cell>
          <cell r="E1221" t="str">
            <v>diepvriesman</v>
          </cell>
          <cell r="F1221" t="str">
            <v>40336300 OLAF 30 290MM</v>
          </cell>
          <cell r="G1221" t="str">
            <v>C2227-3R evolve</v>
          </cell>
          <cell r="H1221">
            <v>456</v>
          </cell>
          <cell r="I1221">
            <v>0.52500000000000002</v>
          </cell>
          <cell r="J1221" t="str">
            <v>NVT</v>
          </cell>
          <cell r="K1221" t="str">
            <v>DVM</v>
          </cell>
          <cell r="L1221">
            <v>2</v>
          </cell>
          <cell r="M1221" t="str">
            <v>DVM</v>
          </cell>
          <cell r="N1221">
            <v>300</v>
          </cell>
          <cell r="O1221">
            <v>8717568241111</v>
          </cell>
          <cell r="P1221" t="str">
            <v>H-2T</v>
          </cell>
          <cell r="Q1221">
            <v>3</v>
          </cell>
          <cell r="R1221">
            <v>4</v>
          </cell>
          <cell r="S1221" t="str">
            <v>idem 63911600 en 66411602</v>
          </cell>
          <cell r="T1221">
            <v>2200</v>
          </cell>
          <cell r="U1221">
            <v>2</v>
          </cell>
          <cell r="V1221">
            <v>2200</v>
          </cell>
          <cell r="W1221">
            <v>2</v>
          </cell>
          <cell r="X1221">
            <v>0</v>
          </cell>
          <cell r="Y1221">
            <v>0</v>
          </cell>
          <cell r="Z1221">
            <v>0</v>
          </cell>
          <cell r="AA1221" t="str">
            <v>! ! !</v>
          </cell>
          <cell r="AB1221">
            <v>600</v>
          </cell>
          <cell r="AC1221">
            <v>0</v>
          </cell>
          <cell r="AG1221">
            <v>45</v>
          </cell>
          <cell r="AJ1221" t="str">
            <v>-</v>
          </cell>
          <cell r="AL1221">
            <v>2700</v>
          </cell>
          <cell r="AM1221">
            <v>2200</v>
          </cell>
          <cell r="AN1221" t="e">
            <v>#VALUE!</v>
          </cell>
          <cell r="AO1221" t="e">
            <v>#VALUE!</v>
          </cell>
          <cell r="AP1221">
            <v>500</v>
          </cell>
        </row>
        <row r="1222">
          <cell r="A1222">
            <v>66411602</v>
          </cell>
          <cell r="C1222">
            <v>64648</v>
          </cell>
          <cell r="D1222" t="str">
            <v>DVM CORDON BLEU SPINAZIE PUREE (6st)</v>
          </cell>
          <cell r="E1222" t="str">
            <v>diepvriesman</v>
          </cell>
          <cell r="F1222" t="str">
            <v>40336300 OLAF 30 290MM</v>
          </cell>
          <cell r="G1222" t="str">
            <v>C2227-3R evolve</v>
          </cell>
          <cell r="H1222">
            <v>456</v>
          </cell>
          <cell r="I1222">
            <v>0.52500000000000002</v>
          </cell>
          <cell r="J1222" t="str">
            <v>NVT</v>
          </cell>
          <cell r="K1222" t="str">
            <v>DVM</v>
          </cell>
          <cell r="L1222">
            <v>6</v>
          </cell>
          <cell r="M1222" t="str">
            <v>DVM X6</v>
          </cell>
          <cell r="N1222">
            <v>120</v>
          </cell>
          <cell r="O1222" t="str">
            <v>8717568243276</v>
          </cell>
          <cell r="P1222" t="str">
            <v>H-2T</v>
          </cell>
          <cell r="Q1222">
            <v>3</v>
          </cell>
          <cell r="R1222">
            <v>3</v>
          </cell>
          <cell r="S1222" t="str">
            <v>idem 63911600 en 66411600</v>
          </cell>
          <cell r="T1222">
            <v>2200</v>
          </cell>
          <cell r="U1222">
            <v>2</v>
          </cell>
          <cell r="V1222">
            <v>2200</v>
          </cell>
          <cell r="W1222">
            <v>2</v>
          </cell>
          <cell r="X1222">
            <v>0</v>
          </cell>
          <cell r="Y1222">
            <v>0</v>
          </cell>
          <cell r="Z1222">
            <v>0</v>
          </cell>
          <cell r="AA1222" t="str">
            <v>! ! !</v>
          </cell>
          <cell r="AB1222">
            <v>600</v>
          </cell>
          <cell r="AC1222">
            <v>0</v>
          </cell>
          <cell r="AG1222">
            <v>45</v>
          </cell>
          <cell r="AJ1222" t="str">
            <v>-</v>
          </cell>
          <cell r="AL1222">
            <v>2700</v>
          </cell>
          <cell r="AM1222">
            <v>2200</v>
          </cell>
          <cell r="AN1222" t="e">
            <v>#VALUE!</v>
          </cell>
          <cell r="AO1222" t="e">
            <v>#VALUE!</v>
          </cell>
          <cell r="AP1222">
            <v>500</v>
          </cell>
        </row>
        <row r="1223">
          <cell r="A1223">
            <v>66411900</v>
          </cell>
          <cell r="C1223">
            <v>4657</v>
          </cell>
          <cell r="D1223" t="str">
            <v>DVM WILDSTOOFPOTJE APPEL/VEENBESSENCOMPOTE AARDAPPELPUREE</v>
          </cell>
          <cell r="E1223" t="str">
            <v>diepvriesman</v>
          </cell>
          <cell r="F1223" t="str">
            <v>40336300 OLAF 30 290MM</v>
          </cell>
          <cell r="G1223" t="str">
            <v>C2227-3R evolve</v>
          </cell>
          <cell r="H1223">
            <v>456</v>
          </cell>
          <cell r="I1223">
            <v>0.5</v>
          </cell>
          <cell r="J1223" t="str">
            <v>NVT</v>
          </cell>
          <cell r="K1223" t="str">
            <v>DVM</v>
          </cell>
          <cell r="L1223">
            <v>2</v>
          </cell>
          <cell r="M1223" t="str">
            <v>DVM</v>
          </cell>
          <cell r="N1223">
            <v>300</v>
          </cell>
          <cell r="O1223">
            <v>8717568243184</v>
          </cell>
          <cell r="P1223" t="str">
            <v>3T-H</v>
          </cell>
          <cell r="Q1223">
            <v>3</v>
          </cell>
          <cell r="R1223">
            <v>4</v>
          </cell>
          <cell r="S1223" t="str">
            <v>idem 63911900, hert dag-1 (vacuumzakken)</v>
          </cell>
          <cell r="T1223">
            <v>2000</v>
          </cell>
          <cell r="U1223">
            <v>6</v>
          </cell>
          <cell r="V1223">
            <v>2000</v>
          </cell>
          <cell r="W1223">
            <v>6</v>
          </cell>
          <cell r="X1223">
            <v>0</v>
          </cell>
          <cell r="Y1223">
            <v>0</v>
          </cell>
          <cell r="Z1223">
            <v>0</v>
          </cell>
          <cell r="AA1223" t="str">
            <v>! !</v>
          </cell>
          <cell r="AB1223">
            <v>600</v>
          </cell>
          <cell r="AC1223">
            <v>0.12025000000000001</v>
          </cell>
          <cell r="AG1223">
            <v>40</v>
          </cell>
          <cell r="AJ1223" t="str">
            <v>V-A</v>
          </cell>
          <cell r="AL1223">
            <v>2400</v>
          </cell>
          <cell r="AM1223">
            <v>2000</v>
          </cell>
          <cell r="AN1223" t="e">
            <v>#VALUE!</v>
          </cell>
          <cell r="AO1223" t="e">
            <v>#VALUE!</v>
          </cell>
          <cell r="AP1223">
            <v>400</v>
          </cell>
        </row>
        <row r="1224">
          <cell r="A1224">
            <v>66412100</v>
          </cell>
          <cell r="C1224">
            <v>4687</v>
          </cell>
          <cell r="D1224" t="str">
            <v>DVM BRAADWORST SPRUITEN AARDAPPELPUREE</v>
          </cell>
          <cell r="E1224" t="str">
            <v>diepvriesman</v>
          </cell>
          <cell r="F1224" t="str">
            <v>40336300 OLAF 30 290MM</v>
          </cell>
          <cell r="G1224" t="str">
            <v>C2227-3R evolve</v>
          </cell>
          <cell r="H1224">
            <v>456</v>
          </cell>
          <cell r="I1224">
            <v>0.5</v>
          </cell>
          <cell r="J1224" t="str">
            <v>NVT</v>
          </cell>
          <cell r="K1224" t="str">
            <v>DVM</v>
          </cell>
          <cell r="L1224">
            <v>2</v>
          </cell>
          <cell r="M1224" t="str">
            <v>DVM</v>
          </cell>
          <cell r="N1224">
            <v>300</v>
          </cell>
          <cell r="O1224">
            <v>8717568243061</v>
          </cell>
          <cell r="P1224" t="str">
            <v>H-T</v>
          </cell>
          <cell r="Q1224">
            <v>3</v>
          </cell>
          <cell r="R1224">
            <v>4</v>
          </cell>
          <cell r="S1224" t="str">
            <v>idem 63912100</v>
          </cell>
          <cell r="T1224">
            <v>2200</v>
          </cell>
          <cell r="U1224">
            <v>4</v>
          </cell>
          <cell r="V1224">
            <v>2200</v>
          </cell>
          <cell r="W1224">
            <v>4</v>
          </cell>
          <cell r="X1224">
            <v>0</v>
          </cell>
          <cell r="Y1224">
            <v>0</v>
          </cell>
          <cell r="Z1224">
            <v>0</v>
          </cell>
          <cell r="AA1224" t="str">
            <v>! !</v>
          </cell>
          <cell r="AB1224">
            <v>600</v>
          </cell>
          <cell r="AC1224">
            <v>4.1176470588235294E-2</v>
          </cell>
          <cell r="AG1224">
            <v>45</v>
          </cell>
          <cell r="AJ1224" t="str">
            <v>V-A</v>
          </cell>
          <cell r="AL1224">
            <v>2700</v>
          </cell>
          <cell r="AM1224">
            <v>2200</v>
          </cell>
          <cell r="AN1224" t="e">
            <v>#VALUE!</v>
          </cell>
          <cell r="AO1224" t="e">
            <v>#VALUE!</v>
          </cell>
          <cell r="AP1224">
            <v>500</v>
          </cell>
        </row>
        <row r="1225">
          <cell r="A1225">
            <v>66412300</v>
          </cell>
          <cell r="C1225">
            <v>4653</v>
          </cell>
          <cell r="D1225" t="str">
            <v>DVM VA KARBONADE (Z BEEN) SPRUITEN AARDAPPEL (2st)</v>
          </cell>
          <cell r="E1225" t="str">
            <v>diepvriesman</v>
          </cell>
          <cell r="F1225" t="str">
            <v>40336300 OLAF 30 290MM</v>
          </cell>
          <cell r="G1225" t="str">
            <v>C2227-3R evolve</v>
          </cell>
          <cell r="H1225">
            <v>456</v>
          </cell>
          <cell r="I1225">
            <v>0.5</v>
          </cell>
          <cell r="J1225" t="str">
            <v>NVT</v>
          </cell>
          <cell r="K1225" t="str">
            <v>DVM</v>
          </cell>
          <cell r="L1225">
            <v>2</v>
          </cell>
          <cell r="M1225" t="str">
            <v>DVM</v>
          </cell>
          <cell r="N1225">
            <v>300</v>
          </cell>
          <cell r="O1225">
            <v>8717568241951</v>
          </cell>
          <cell r="P1225" t="str">
            <v>T</v>
          </cell>
          <cell r="Q1225">
            <v>3</v>
          </cell>
          <cell r="R1225">
            <v>4</v>
          </cell>
          <cell r="S1225" t="str">
            <v>idem 63912300 en 66412302, AARDAPPELEN STEAMEN D-0</v>
          </cell>
          <cell r="T1225">
            <v>2000</v>
          </cell>
          <cell r="U1225">
            <v>6</v>
          </cell>
          <cell r="V1225">
            <v>2000</v>
          </cell>
          <cell r="W1225">
            <v>6</v>
          </cell>
          <cell r="X1225">
            <v>0</v>
          </cell>
          <cell r="Y1225">
            <v>0</v>
          </cell>
          <cell r="Z1225">
            <v>0</v>
          </cell>
          <cell r="AA1225" t="str">
            <v>! ! !</v>
          </cell>
          <cell r="AB1225">
            <v>600</v>
          </cell>
          <cell r="AC1225">
            <v>0</v>
          </cell>
          <cell r="AG1225">
            <v>42</v>
          </cell>
          <cell r="AJ1225" t="str">
            <v>V-A</v>
          </cell>
          <cell r="AL1225">
            <v>2520</v>
          </cell>
          <cell r="AM1225">
            <v>2000</v>
          </cell>
          <cell r="AN1225" t="e">
            <v>#VALUE!</v>
          </cell>
          <cell r="AO1225" t="e">
            <v>#VALUE!</v>
          </cell>
          <cell r="AP1225">
            <v>520</v>
          </cell>
        </row>
        <row r="1226">
          <cell r="A1226">
            <v>66412302</v>
          </cell>
          <cell r="C1226">
            <v>64653</v>
          </cell>
          <cell r="D1226" t="str">
            <v>DVM VA KARBONADE (Z BEEN) SPRUITEN AARDAPPEL (6st)</v>
          </cell>
          <cell r="E1226" t="str">
            <v>diepvriesman</v>
          </cell>
          <cell r="F1226" t="str">
            <v>40336300 OLAF 30 290MM</v>
          </cell>
          <cell r="G1226" t="str">
            <v>C2227-3R evolve</v>
          </cell>
          <cell r="H1226">
            <v>456</v>
          </cell>
          <cell r="I1226">
            <v>0.5</v>
          </cell>
          <cell r="J1226" t="str">
            <v>NVT</v>
          </cell>
          <cell r="K1226" t="str">
            <v>DVM</v>
          </cell>
          <cell r="L1226">
            <v>6</v>
          </cell>
          <cell r="M1226" t="str">
            <v>DVM X6</v>
          </cell>
          <cell r="N1226">
            <v>120</v>
          </cell>
          <cell r="O1226" t="str">
            <v>8717568243283</v>
          </cell>
          <cell r="P1226" t="str">
            <v>T</v>
          </cell>
          <cell r="Q1226">
            <v>3</v>
          </cell>
          <cell r="R1226">
            <v>3</v>
          </cell>
          <cell r="S1226" t="str">
            <v>idem 63912300 en 66412300, AARDAPPELEN STEAMEN D-0</v>
          </cell>
          <cell r="T1226">
            <v>2000</v>
          </cell>
          <cell r="U1226">
            <v>6</v>
          </cell>
          <cell r="V1226">
            <v>2000</v>
          </cell>
          <cell r="W1226">
            <v>6</v>
          </cell>
          <cell r="X1226">
            <v>0</v>
          </cell>
          <cell r="Y1226">
            <v>0</v>
          </cell>
          <cell r="Z1226">
            <v>0</v>
          </cell>
          <cell r="AA1226" t="str">
            <v>! ! !</v>
          </cell>
          <cell r="AB1226">
            <v>600</v>
          </cell>
          <cell r="AC1226">
            <v>0</v>
          </cell>
          <cell r="AJ1226" t="str">
            <v>V-A</v>
          </cell>
          <cell r="AL1226">
            <v>0</v>
          </cell>
          <cell r="AM1226">
            <v>2000</v>
          </cell>
          <cell r="AN1226" t="e">
            <v>#VALUE!</v>
          </cell>
          <cell r="AO1226" t="e">
            <v>#VALUE!</v>
          </cell>
          <cell r="AP1226">
            <v>-2000</v>
          </cell>
        </row>
        <row r="1227">
          <cell r="A1227">
            <v>66412500</v>
          </cell>
          <cell r="C1227">
            <v>4889</v>
          </cell>
          <cell r="D1227" t="str">
            <v>DVM PREISTAMPPOT KIPFILET</v>
          </cell>
          <cell r="E1227" t="str">
            <v>diepvriesman</v>
          </cell>
          <cell r="F1227" t="str">
            <v>40336300 OLAF 30 290MM</v>
          </cell>
          <cell r="G1227" t="str">
            <v>C2227-2K evolve</v>
          </cell>
          <cell r="H1227">
            <v>456</v>
          </cell>
          <cell r="I1227">
            <v>0.6</v>
          </cell>
          <cell r="J1227" t="str">
            <v>NVT</v>
          </cell>
          <cell r="K1227" t="str">
            <v>DVM</v>
          </cell>
          <cell r="L1227">
            <v>2</v>
          </cell>
          <cell r="M1227" t="str">
            <v>DVM</v>
          </cell>
          <cell r="N1227">
            <v>300</v>
          </cell>
          <cell r="O1227">
            <v>8717568245126</v>
          </cell>
          <cell r="P1227" t="str">
            <v>H-T</v>
          </cell>
          <cell r="Q1227">
            <v>2.5</v>
          </cell>
          <cell r="R1227">
            <v>3</v>
          </cell>
          <cell r="S1227" t="str">
            <v>idem 63912500</v>
          </cell>
          <cell r="T1227">
            <v>2200</v>
          </cell>
          <cell r="U1227">
            <v>2</v>
          </cell>
          <cell r="V1227">
            <v>2200</v>
          </cell>
          <cell r="W1227">
            <v>2</v>
          </cell>
          <cell r="X1227">
            <v>0</v>
          </cell>
          <cell r="Y1227">
            <v>0</v>
          </cell>
          <cell r="Z1227">
            <v>0</v>
          </cell>
          <cell r="AA1227" t="str">
            <v>! !</v>
          </cell>
          <cell r="AB1227">
            <v>600</v>
          </cell>
          <cell r="AC1227">
            <v>0</v>
          </cell>
          <cell r="AG1227">
            <v>45</v>
          </cell>
          <cell r="AJ1227" t="str">
            <v>V-A</v>
          </cell>
          <cell r="AL1227">
            <v>2700</v>
          </cell>
          <cell r="AM1227">
            <v>2200</v>
          </cell>
          <cell r="AN1227" t="e">
            <v>#VALUE!</v>
          </cell>
          <cell r="AO1227" t="e">
            <v>#VALUE!</v>
          </cell>
          <cell r="AP1227">
            <v>500</v>
          </cell>
        </row>
        <row r="1228">
          <cell r="A1228">
            <v>66412800</v>
          </cell>
          <cell r="C1228">
            <v>4666</v>
          </cell>
          <cell r="D1228" t="str">
            <v>DVM VARKENSROLLADE ANDIJVIE KOOKAARDAPPEL</v>
          </cell>
          <cell r="E1228" t="str">
            <v>diepvriesman</v>
          </cell>
          <cell r="F1228" t="str">
            <v>40336300 OLAF 30 290MM</v>
          </cell>
          <cell r="G1228" t="str">
            <v>C2227-3R evolve</v>
          </cell>
          <cell r="H1228">
            <v>456</v>
          </cell>
          <cell r="I1228">
            <v>0.5</v>
          </cell>
          <cell r="J1228" t="str">
            <v>NVT</v>
          </cell>
          <cell r="K1228" t="str">
            <v>DVM</v>
          </cell>
          <cell r="L1228">
            <v>2</v>
          </cell>
          <cell r="M1228" t="str">
            <v>DVM</v>
          </cell>
          <cell r="N1228">
            <v>300</v>
          </cell>
          <cell r="O1228">
            <v>8717568243108</v>
          </cell>
          <cell r="P1228" t="str">
            <v>2T</v>
          </cell>
          <cell r="Q1228">
            <v>3</v>
          </cell>
          <cell r="R1228">
            <v>4</v>
          </cell>
          <cell r="S1228" t="str">
            <v>idem 63912800, AARDAPPELEN STEAMEN D-0</v>
          </cell>
          <cell r="T1228">
            <v>2000</v>
          </cell>
          <cell r="U1228">
            <v>5</v>
          </cell>
          <cell r="V1228">
            <v>2000</v>
          </cell>
          <cell r="W1228">
            <v>5</v>
          </cell>
          <cell r="X1228">
            <v>0</v>
          </cell>
          <cell r="Y1228">
            <v>0</v>
          </cell>
          <cell r="Z1228">
            <v>0</v>
          </cell>
          <cell r="AA1228" t="str">
            <v>! !</v>
          </cell>
          <cell r="AB1228">
            <v>600</v>
          </cell>
          <cell r="AC1228">
            <v>4.5937499999999999E-2</v>
          </cell>
          <cell r="AJ1228" t="str">
            <v>V-A</v>
          </cell>
          <cell r="AL1228">
            <v>0</v>
          </cell>
          <cell r="AM1228">
            <v>2000</v>
          </cell>
          <cell r="AN1228" t="e">
            <v>#VALUE!</v>
          </cell>
          <cell r="AO1228" t="e">
            <v>#VALUE!</v>
          </cell>
          <cell r="AP1228">
            <v>-2000</v>
          </cell>
        </row>
        <row r="1229">
          <cell r="A1229">
            <v>66412900</v>
          </cell>
          <cell r="C1229">
            <v>4678</v>
          </cell>
          <cell r="D1229" t="str">
            <v>DVM RUNDERLAPJE STOOFPEREN PUREE</v>
          </cell>
          <cell r="E1229" t="str">
            <v>diepvriesman</v>
          </cell>
          <cell r="F1229" t="str">
            <v>40336300 OLAF 30 290MM</v>
          </cell>
          <cell r="G1229" t="str">
            <v>C2227-3R evolve</v>
          </cell>
          <cell r="H1229">
            <v>456</v>
          </cell>
          <cell r="I1229">
            <v>0.53</v>
          </cell>
          <cell r="J1229" t="str">
            <v>NVT</v>
          </cell>
          <cell r="K1229" t="str">
            <v>DVM</v>
          </cell>
          <cell r="L1229">
            <v>2</v>
          </cell>
          <cell r="M1229" t="str">
            <v>DVM</v>
          </cell>
          <cell r="N1229">
            <v>300</v>
          </cell>
          <cell r="O1229">
            <v>8717568241203</v>
          </cell>
          <cell r="P1229" t="str">
            <v>2T-H</v>
          </cell>
          <cell r="Q1229">
            <v>3</v>
          </cell>
          <cell r="R1229">
            <v>4</v>
          </cell>
          <cell r="S1229" t="str">
            <v>idem 63912900</v>
          </cell>
          <cell r="T1229">
            <v>2200</v>
          </cell>
          <cell r="U1229">
            <v>4</v>
          </cell>
          <cell r="V1229">
            <v>2200</v>
          </cell>
          <cell r="W1229">
            <v>4</v>
          </cell>
          <cell r="X1229">
            <v>0</v>
          </cell>
          <cell r="Y1229">
            <v>0</v>
          </cell>
          <cell r="Z1229">
            <v>0</v>
          </cell>
          <cell r="AA1229" t="str">
            <v>! !</v>
          </cell>
          <cell r="AB1229">
            <v>600</v>
          </cell>
          <cell r="AC1229">
            <v>0</v>
          </cell>
          <cell r="AG1229">
            <v>45</v>
          </cell>
          <cell r="AJ1229" t="str">
            <v>-</v>
          </cell>
          <cell r="AL1229">
            <v>2700</v>
          </cell>
          <cell r="AM1229">
            <v>2200</v>
          </cell>
          <cell r="AN1229" t="e">
            <v>#VALUE!</v>
          </cell>
          <cell r="AO1229" t="e">
            <v>#VALUE!</v>
          </cell>
          <cell r="AP1229">
            <v>500</v>
          </cell>
        </row>
        <row r="1230">
          <cell r="A1230">
            <v>66413000</v>
          </cell>
          <cell r="C1230">
            <v>4639</v>
          </cell>
          <cell r="D1230" t="str">
            <v>DVM RUNDERLAPJE SNIJBONEN PUREE</v>
          </cell>
          <cell r="E1230" t="str">
            <v>diepvriesman</v>
          </cell>
          <cell r="F1230" t="str">
            <v>40336300 OLAF 30 290MM</v>
          </cell>
          <cell r="G1230" t="str">
            <v>C2227-2K evolve</v>
          </cell>
          <cell r="H1230">
            <v>456</v>
          </cell>
          <cell r="I1230">
            <v>0.5</v>
          </cell>
          <cell r="J1230" t="str">
            <v>NVT</v>
          </cell>
          <cell r="K1230" t="str">
            <v>DVM</v>
          </cell>
          <cell r="L1230">
            <v>2</v>
          </cell>
          <cell r="M1230" t="str">
            <v>DVM</v>
          </cell>
          <cell r="N1230">
            <v>300</v>
          </cell>
          <cell r="O1230">
            <v>8717568243160</v>
          </cell>
          <cell r="P1230" t="str">
            <v>H-T</v>
          </cell>
          <cell r="Q1230">
            <v>3</v>
          </cell>
          <cell r="R1230">
            <v>4</v>
          </cell>
          <cell r="S1230" t="str">
            <v>idem 63913000</v>
          </cell>
          <cell r="T1230">
            <v>2000</v>
          </cell>
          <cell r="U1230">
            <v>4</v>
          </cell>
          <cell r="V1230">
            <v>2000</v>
          </cell>
          <cell r="W1230">
            <v>4</v>
          </cell>
          <cell r="X1230">
            <v>0</v>
          </cell>
          <cell r="Y1230">
            <v>0</v>
          </cell>
          <cell r="Z1230">
            <v>0</v>
          </cell>
          <cell r="AA1230" t="str">
            <v>! !</v>
          </cell>
          <cell r="AB1230">
            <v>600</v>
          </cell>
          <cell r="AC1230">
            <v>0</v>
          </cell>
          <cell r="AG1230">
            <v>40</v>
          </cell>
          <cell r="AJ1230" t="str">
            <v>-</v>
          </cell>
          <cell r="AL1230">
            <v>2400</v>
          </cell>
          <cell r="AM1230">
            <v>2000</v>
          </cell>
          <cell r="AN1230" t="e">
            <v>#VALUE!</v>
          </cell>
          <cell r="AO1230" t="e">
            <v>#VALUE!</v>
          </cell>
          <cell r="AP1230">
            <v>400</v>
          </cell>
        </row>
        <row r="1231">
          <cell r="A1231">
            <v>66413100</v>
          </cell>
          <cell r="C1231">
            <v>4638</v>
          </cell>
          <cell r="D1231" t="str">
            <v>DVM RUNDERLAPJE BLOEMKOOL BECHAMEL AARDAPPEL</v>
          </cell>
          <cell r="E1231" t="str">
            <v>diepvriesman</v>
          </cell>
          <cell r="F1231" t="str">
            <v>40336300 OLAF 30 290MM</v>
          </cell>
          <cell r="G1231" t="str">
            <v>C2227-3R evolve</v>
          </cell>
          <cell r="H1231">
            <v>456</v>
          </cell>
          <cell r="I1231">
            <v>0.5</v>
          </cell>
          <cell r="J1231" t="str">
            <v>NVT</v>
          </cell>
          <cell r="K1231" t="str">
            <v>DVM</v>
          </cell>
          <cell r="L1231">
            <v>2</v>
          </cell>
          <cell r="M1231" t="str">
            <v>DVM</v>
          </cell>
          <cell r="N1231">
            <v>300</v>
          </cell>
          <cell r="O1231">
            <v>8717568241272</v>
          </cell>
          <cell r="P1231" t="str">
            <v>2T</v>
          </cell>
          <cell r="Q1231">
            <v>3</v>
          </cell>
          <cell r="R1231">
            <v>4</v>
          </cell>
          <cell r="S1231" t="str">
            <v>idem 63913100, AARDAPPELEN STEAMEN D-0</v>
          </cell>
          <cell r="T1231">
            <v>2000</v>
          </cell>
          <cell r="U1231">
            <v>6</v>
          </cell>
          <cell r="V1231">
            <v>2000</v>
          </cell>
          <cell r="W1231">
            <v>6</v>
          </cell>
          <cell r="X1231">
            <v>0</v>
          </cell>
          <cell r="Y1231">
            <v>0</v>
          </cell>
          <cell r="Z1231">
            <v>0</v>
          </cell>
          <cell r="AA1231" t="str">
            <v>! !</v>
          </cell>
          <cell r="AB1231">
            <v>600</v>
          </cell>
          <cell r="AC1231">
            <v>0</v>
          </cell>
          <cell r="AJ1231" t="str">
            <v>-</v>
          </cell>
          <cell r="AL1231">
            <v>0</v>
          </cell>
          <cell r="AM1231">
            <v>2000</v>
          </cell>
          <cell r="AN1231" t="e">
            <v>#VALUE!</v>
          </cell>
          <cell r="AO1231" t="e">
            <v>#VALUE!</v>
          </cell>
          <cell r="AP1231">
            <v>-2000</v>
          </cell>
        </row>
        <row r="1232">
          <cell r="A1232">
            <v>66413700</v>
          </cell>
          <cell r="C1232">
            <v>4886</v>
          </cell>
          <cell r="D1232" t="str">
            <v>DVM KIPPENSPIES EXOTISCHE GROENTEN GEBAKKEN AARDAPPEL</v>
          </cell>
          <cell r="E1232" t="str">
            <v>diepvriesman</v>
          </cell>
          <cell r="F1232" t="str">
            <v>40336300 OLAF 30 290MM</v>
          </cell>
          <cell r="G1232" t="str">
            <v>C2227-2K evolve</v>
          </cell>
          <cell r="H1232">
            <v>456</v>
          </cell>
          <cell r="I1232">
            <v>0.5</v>
          </cell>
          <cell r="J1232" t="str">
            <v>NVT</v>
          </cell>
          <cell r="K1232" t="str">
            <v>DVM</v>
          </cell>
          <cell r="L1232">
            <v>2</v>
          </cell>
          <cell r="M1232" t="str">
            <v>DVM</v>
          </cell>
          <cell r="N1232">
            <v>300</v>
          </cell>
          <cell r="O1232">
            <v>8717568244907</v>
          </cell>
          <cell r="P1232" t="str">
            <v>T</v>
          </cell>
          <cell r="Q1232">
            <v>2</v>
          </cell>
          <cell r="R1232">
            <v>3</v>
          </cell>
          <cell r="S1232" t="str">
            <v>idem 63913700</v>
          </cell>
          <cell r="T1232">
            <v>2000</v>
          </cell>
          <cell r="U1232">
            <v>5</v>
          </cell>
          <cell r="V1232">
            <v>2000</v>
          </cell>
          <cell r="W1232">
            <v>5</v>
          </cell>
          <cell r="X1232">
            <v>0</v>
          </cell>
          <cell r="Y1232">
            <v>0</v>
          </cell>
          <cell r="Z1232">
            <v>0</v>
          </cell>
          <cell r="AA1232" t="str">
            <v>! ! !</v>
          </cell>
          <cell r="AB1232">
            <v>600</v>
          </cell>
          <cell r="AC1232">
            <v>8.9285714285714288E-2</v>
          </cell>
          <cell r="AJ1232" t="str">
            <v>-</v>
          </cell>
          <cell r="AL1232">
            <v>0</v>
          </cell>
          <cell r="AM1232">
            <v>2000</v>
          </cell>
          <cell r="AN1232" t="e">
            <v>#VALUE!</v>
          </cell>
          <cell r="AO1232" t="e">
            <v>#VALUE!</v>
          </cell>
          <cell r="AP1232">
            <v>-2000</v>
          </cell>
        </row>
        <row r="1233">
          <cell r="A1233">
            <v>66413800</v>
          </cell>
          <cell r="C1233">
            <v>4659</v>
          </cell>
          <cell r="D1233" t="str">
            <v>DVM KIPHAASJE WITLOF AARDAPPELPUREE</v>
          </cell>
          <cell r="E1233" t="str">
            <v>diepvriesman</v>
          </cell>
          <cell r="F1233" t="str">
            <v>40336300 OLAF 30 290MM</v>
          </cell>
          <cell r="G1233" t="str">
            <v>C2227-3R evolve</v>
          </cell>
          <cell r="H1233">
            <v>456</v>
          </cell>
          <cell r="I1233">
            <v>0.5</v>
          </cell>
          <cell r="J1233" t="str">
            <v>NVT</v>
          </cell>
          <cell r="K1233" t="str">
            <v>DVM</v>
          </cell>
          <cell r="L1233">
            <v>2</v>
          </cell>
          <cell r="M1233" t="str">
            <v>DVM</v>
          </cell>
          <cell r="N1233">
            <v>300</v>
          </cell>
          <cell r="O1233">
            <v>8717568244860</v>
          </cell>
          <cell r="P1233" t="str">
            <v>I-H-2T</v>
          </cell>
          <cell r="Q1233">
            <v>3</v>
          </cell>
          <cell r="R1233">
            <v>3</v>
          </cell>
          <cell r="S1233" t="str">
            <v>idem 63913800</v>
          </cell>
          <cell r="T1233">
            <v>2200</v>
          </cell>
          <cell r="U1233">
            <v>2</v>
          </cell>
          <cell r="V1233">
            <v>2200</v>
          </cell>
          <cell r="W1233">
            <v>2</v>
          </cell>
          <cell r="X1233">
            <v>0</v>
          </cell>
          <cell r="Y1233">
            <v>0</v>
          </cell>
          <cell r="Z1233">
            <v>0</v>
          </cell>
          <cell r="AA1233" t="str">
            <v>! !</v>
          </cell>
          <cell r="AB1233">
            <v>600</v>
          </cell>
          <cell r="AC1233">
            <v>0</v>
          </cell>
          <cell r="AG1233">
            <v>45</v>
          </cell>
          <cell r="AJ1233" t="str">
            <v>-</v>
          </cell>
          <cell r="AL1233">
            <v>2700</v>
          </cell>
          <cell r="AM1233">
            <v>2200</v>
          </cell>
          <cell r="AN1233" t="e">
            <v>#VALUE!</v>
          </cell>
          <cell r="AO1233" t="e">
            <v>#VALUE!</v>
          </cell>
          <cell r="AP1233">
            <v>500</v>
          </cell>
        </row>
        <row r="1234">
          <cell r="A1234">
            <v>66414100</v>
          </cell>
          <cell r="C1234">
            <v>4890</v>
          </cell>
          <cell r="D1234" t="str">
            <v xml:space="preserve">DVM ZALMFILET DILLESAUS WORTEL PUREE (2st)      </v>
          </cell>
          <cell r="E1234" t="str">
            <v>diepvriesman</v>
          </cell>
          <cell r="F1234" t="str">
            <v>40336300 OLAF 30 290MM</v>
          </cell>
          <cell r="G1234" t="str">
            <v>C2227-3R evolve</v>
          </cell>
          <cell r="H1234">
            <v>456</v>
          </cell>
          <cell r="I1234">
            <v>0.54</v>
          </cell>
          <cell r="J1234" t="str">
            <v>NVT</v>
          </cell>
          <cell r="K1234" t="str">
            <v>DVM</v>
          </cell>
          <cell r="L1234">
            <v>2</v>
          </cell>
          <cell r="M1234" t="str">
            <v>DVM</v>
          </cell>
          <cell r="N1234">
            <v>300</v>
          </cell>
          <cell r="O1234">
            <v>8717568241128</v>
          </cell>
          <cell r="P1234" t="str">
            <v>T-H</v>
          </cell>
          <cell r="Q1234">
            <v>3</v>
          </cell>
          <cell r="R1234">
            <v>4</v>
          </cell>
          <cell r="S1234" t="str">
            <v>idem 63914100 en 66414102</v>
          </cell>
          <cell r="T1234">
            <v>2200</v>
          </cell>
          <cell r="U1234">
            <v>5</v>
          </cell>
          <cell r="V1234">
            <v>2200</v>
          </cell>
          <cell r="W1234">
            <v>5</v>
          </cell>
          <cell r="X1234">
            <v>0</v>
          </cell>
          <cell r="Y1234">
            <v>0</v>
          </cell>
          <cell r="Z1234">
            <v>0</v>
          </cell>
          <cell r="AA1234" t="str">
            <v>! ! ! !</v>
          </cell>
          <cell r="AB1234">
            <v>600</v>
          </cell>
          <cell r="AC1234">
            <v>0</v>
          </cell>
          <cell r="AG1234">
            <v>45</v>
          </cell>
          <cell r="AJ1234" t="str">
            <v>V-A</v>
          </cell>
          <cell r="AL1234">
            <v>2700</v>
          </cell>
          <cell r="AM1234">
            <v>2200</v>
          </cell>
          <cell r="AN1234" t="e">
            <v>#VALUE!</v>
          </cell>
          <cell r="AO1234" t="e">
            <v>#VALUE!</v>
          </cell>
          <cell r="AP1234">
            <v>500</v>
          </cell>
        </row>
        <row r="1235">
          <cell r="A1235">
            <v>66414102</v>
          </cell>
          <cell r="C1235">
            <v>64890</v>
          </cell>
          <cell r="D1235" t="str">
            <v xml:space="preserve">DVM ZALMFILET DILLESAUS WORTEL PUREE (6st)        </v>
          </cell>
          <cell r="E1235" t="str">
            <v>diepvriesman</v>
          </cell>
          <cell r="F1235" t="str">
            <v>40336300 OLAF 30 290MM</v>
          </cell>
          <cell r="G1235" t="str">
            <v>C2227-3R evolve</v>
          </cell>
          <cell r="H1235">
            <v>456</v>
          </cell>
          <cell r="I1235">
            <v>0.54</v>
          </cell>
          <cell r="J1235" t="str">
            <v>NVT</v>
          </cell>
          <cell r="K1235" t="str">
            <v>DVM</v>
          </cell>
          <cell r="L1235">
            <v>6</v>
          </cell>
          <cell r="M1235" t="str">
            <v>DVM X6</v>
          </cell>
          <cell r="N1235">
            <v>120</v>
          </cell>
          <cell r="O1235" t="str">
            <v>8717568243429</v>
          </cell>
          <cell r="P1235" t="str">
            <v>T-H</v>
          </cell>
          <cell r="Q1235">
            <v>3</v>
          </cell>
          <cell r="R1235">
            <v>3</v>
          </cell>
          <cell r="S1235" t="str">
            <v>idem 63914100 en 66414100</v>
          </cell>
          <cell r="T1235">
            <v>2200</v>
          </cell>
          <cell r="U1235">
            <v>5</v>
          </cell>
          <cell r="V1235">
            <v>2200</v>
          </cell>
          <cell r="W1235">
            <v>5</v>
          </cell>
          <cell r="X1235">
            <v>0</v>
          </cell>
          <cell r="Y1235">
            <v>0</v>
          </cell>
          <cell r="Z1235">
            <v>0</v>
          </cell>
          <cell r="AA1235" t="str">
            <v>! ! ! !</v>
          </cell>
          <cell r="AB1235">
            <v>600</v>
          </cell>
          <cell r="AC1235">
            <v>0</v>
          </cell>
          <cell r="AG1235">
            <v>45</v>
          </cell>
          <cell r="AJ1235" t="str">
            <v>V-A</v>
          </cell>
          <cell r="AL1235">
            <v>2700</v>
          </cell>
          <cell r="AM1235">
            <v>2200</v>
          </cell>
          <cell r="AN1235" t="e">
            <v>#VALUE!</v>
          </cell>
          <cell r="AO1235" t="e">
            <v>#VALUE!</v>
          </cell>
          <cell r="AP1235">
            <v>500</v>
          </cell>
        </row>
        <row r="1236">
          <cell r="A1236">
            <v>66414200</v>
          </cell>
          <cell r="C1236">
            <v>4826</v>
          </cell>
          <cell r="D1236" t="str">
            <v>DVM GEBAKKEN VIS PARIJSE WORTEL AARD KUBUS GEKRUID</v>
          </cell>
          <cell r="E1236" t="str">
            <v>diepvriesman</v>
          </cell>
          <cell r="F1236" t="str">
            <v>40336300 OLAF 30 290MM</v>
          </cell>
          <cell r="G1236" t="str">
            <v>C2227-3R evolve</v>
          </cell>
          <cell r="H1236">
            <v>456</v>
          </cell>
          <cell r="I1236">
            <v>0.5</v>
          </cell>
          <cell r="J1236" t="str">
            <v>NVT</v>
          </cell>
          <cell r="K1236" t="str">
            <v>DVM</v>
          </cell>
          <cell r="L1236">
            <v>2</v>
          </cell>
          <cell r="M1236" t="str">
            <v>DVM</v>
          </cell>
          <cell r="N1236">
            <v>300</v>
          </cell>
          <cell r="O1236">
            <v>8717568241326</v>
          </cell>
          <cell r="P1236" t="str">
            <v>I-T</v>
          </cell>
          <cell r="Q1236">
            <v>2</v>
          </cell>
          <cell r="R1236">
            <v>4</v>
          </cell>
          <cell r="S1236" t="str">
            <v>idem 63914200</v>
          </cell>
          <cell r="T1236">
            <v>2200</v>
          </cell>
          <cell r="U1236">
            <v>6</v>
          </cell>
          <cell r="V1236">
            <v>2200</v>
          </cell>
          <cell r="W1236">
            <v>7</v>
          </cell>
          <cell r="X1236">
            <v>0</v>
          </cell>
          <cell r="Y1236">
            <v>0</v>
          </cell>
          <cell r="Z1236">
            <v>0</v>
          </cell>
          <cell r="AA1236" t="str">
            <v>! ! ! !</v>
          </cell>
          <cell r="AB1236">
            <v>600</v>
          </cell>
          <cell r="AC1236">
            <v>0</v>
          </cell>
          <cell r="AG1236">
            <v>45</v>
          </cell>
          <cell r="AJ1236" t="str">
            <v>V-A</v>
          </cell>
          <cell r="AL1236">
            <v>2700</v>
          </cell>
          <cell r="AM1236">
            <v>2200</v>
          </cell>
          <cell r="AN1236" t="e">
            <v>#VALUE!</v>
          </cell>
          <cell r="AO1236" t="e">
            <v>#VALUE!</v>
          </cell>
          <cell r="AP1236">
            <v>500</v>
          </cell>
        </row>
        <row r="1237">
          <cell r="A1237">
            <v>66414300</v>
          </cell>
          <cell r="C1237">
            <v>4723</v>
          </cell>
          <cell r="D1237" t="str">
            <v>DVM KABELJAUW FIJNE GROENTENSAUS WORTEL PUREE</v>
          </cell>
          <cell r="E1237" t="str">
            <v>diepvriesman</v>
          </cell>
          <cell r="F1237" t="str">
            <v>40336300 OLAF 30 290MM</v>
          </cell>
          <cell r="G1237" t="str">
            <v>C2227-3R evolve</v>
          </cell>
          <cell r="H1237">
            <v>456</v>
          </cell>
          <cell r="I1237">
            <v>0.55000000000000004</v>
          </cell>
          <cell r="J1237" t="str">
            <v>NVT</v>
          </cell>
          <cell r="K1237" t="str">
            <v>DVM</v>
          </cell>
          <cell r="L1237">
            <v>2</v>
          </cell>
          <cell r="M1237" t="str">
            <v>DVM</v>
          </cell>
          <cell r="N1237">
            <v>300</v>
          </cell>
          <cell r="O1237">
            <v>8717568243047</v>
          </cell>
          <cell r="P1237" t="str">
            <v>H-T</v>
          </cell>
          <cell r="Q1237">
            <v>2.5</v>
          </cell>
          <cell r="R1237">
            <v>4</v>
          </cell>
          <cell r="S1237" t="str">
            <v>idem 63914300</v>
          </cell>
          <cell r="T1237">
            <v>2200</v>
          </cell>
          <cell r="U1237">
            <v>5</v>
          </cell>
          <cell r="V1237">
            <v>2200</v>
          </cell>
          <cell r="W1237">
            <v>5</v>
          </cell>
          <cell r="X1237">
            <v>0</v>
          </cell>
          <cell r="Y1237">
            <v>0</v>
          </cell>
          <cell r="Z1237">
            <v>0</v>
          </cell>
          <cell r="AA1237" t="str">
            <v>! ! ! !</v>
          </cell>
          <cell r="AB1237">
            <v>600</v>
          </cell>
          <cell r="AC1237">
            <v>0</v>
          </cell>
          <cell r="AG1237">
            <v>45</v>
          </cell>
          <cell r="AJ1237" t="str">
            <v>V-A</v>
          </cell>
          <cell r="AL1237">
            <v>2700</v>
          </cell>
          <cell r="AM1237">
            <v>2200</v>
          </cell>
          <cell r="AN1237" t="e">
            <v>#VALUE!</v>
          </cell>
          <cell r="AO1237" t="e">
            <v>#VALUE!</v>
          </cell>
          <cell r="AP1237">
            <v>500</v>
          </cell>
        </row>
        <row r="1238">
          <cell r="A1238">
            <v>66480300</v>
          </cell>
          <cell r="C1238">
            <v>4818</v>
          </cell>
          <cell r="D1238" t="str">
            <v xml:space="preserve">DVM NA BOERENKOOL MET EEN KALFSGEHAKTBAL             </v>
          </cell>
          <cell r="E1238" t="str">
            <v>diepvriesman, dieet</v>
          </cell>
          <cell r="F1238" t="str">
            <v>40336300 OLAF 30 290MM</v>
          </cell>
          <cell r="G1238" t="str">
            <v>C2227-2K evolve</v>
          </cell>
          <cell r="H1238">
            <v>456</v>
          </cell>
          <cell r="I1238">
            <v>0.5</v>
          </cell>
          <cell r="J1238" t="str">
            <v>NVT</v>
          </cell>
          <cell r="K1238" t="str">
            <v>DVM</v>
          </cell>
          <cell r="L1238">
            <v>2</v>
          </cell>
          <cell r="M1238" t="str">
            <v>DVM</v>
          </cell>
          <cell r="N1238">
            <v>300</v>
          </cell>
          <cell r="O1238">
            <v>8717568243443</v>
          </cell>
          <cell r="P1238" t="str">
            <v>H-T</v>
          </cell>
          <cell r="Q1238">
            <v>2</v>
          </cell>
          <cell r="R1238">
            <v>3</v>
          </cell>
          <cell r="S1238" t="str">
            <v>idem 63580500, 63980300</v>
          </cell>
          <cell r="T1238">
            <v>2000</v>
          </cell>
          <cell r="U1238">
            <v>3</v>
          </cell>
          <cell r="V1238">
            <v>2000</v>
          </cell>
          <cell r="W1238">
            <v>3</v>
          </cell>
          <cell r="X1238">
            <v>0</v>
          </cell>
          <cell r="Y1238">
            <v>0</v>
          </cell>
          <cell r="Z1238">
            <v>0</v>
          </cell>
          <cell r="AA1238" t="str">
            <v>! ! !</v>
          </cell>
          <cell r="AB1238">
            <v>600</v>
          </cell>
          <cell r="AC1238">
            <v>3.5610157480314958E-2</v>
          </cell>
          <cell r="AE1238" t="str">
            <v>x</v>
          </cell>
          <cell r="AG1238">
            <v>42</v>
          </cell>
          <cell r="AJ1238" t="str">
            <v>-</v>
          </cell>
          <cell r="AL1238">
            <v>2520</v>
          </cell>
          <cell r="AM1238">
            <v>2000</v>
          </cell>
          <cell r="AN1238" t="e">
            <v>#VALUE!</v>
          </cell>
          <cell r="AO1238" t="e">
            <v>#VALUE!</v>
          </cell>
          <cell r="AP1238">
            <v>520</v>
          </cell>
        </row>
        <row r="1239">
          <cell r="A1239">
            <v>66480600</v>
          </cell>
          <cell r="C1239">
            <v>4824</v>
          </cell>
          <cell r="D1239" t="str">
            <v xml:space="preserve">DVM NA GEHAKTBAL UIENJUS MET PREI GEKOOKTE AARDAPPELEN       </v>
          </cell>
          <cell r="E1239" t="str">
            <v>diepvriesman, dieet</v>
          </cell>
          <cell r="F1239" t="str">
            <v>40336300 OLAF 30 290MM</v>
          </cell>
          <cell r="G1239" t="str">
            <v>C2227-3R evolve</v>
          </cell>
          <cell r="H1239">
            <v>456</v>
          </cell>
          <cell r="I1239">
            <v>0.5</v>
          </cell>
          <cell r="J1239" t="str">
            <v>NVT</v>
          </cell>
          <cell r="K1239" t="str">
            <v>DVM</v>
          </cell>
          <cell r="L1239">
            <v>2</v>
          </cell>
          <cell r="M1239" t="str">
            <v>DVM</v>
          </cell>
          <cell r="N1239">
            <v>300</v>
          </cell>
          <cell r="O1239">
            <v>8717568243467</v>
          </cell>
          <cell r="P1239" t="str">
            <v>2T</v>
          </cell>
          <cell r="Q1239">
            <v>2</v>
          </cell>
          <cell r="R1239">
            <v>3</v>
          </cell>
          <cell r="S1239" t="str">
            <v>idem 63980600 AARDAPPELEN STEAMEN D-0</v>
          </cell>
          <cell r="T1239">
            <v>1750</v>
          </cell>
          <cell r="U1239">
            <v>5</v>
          </cell>
          <cell r="V1239">
            <v>1750</v>
          </cell>
          <cell r="W1239">
            <v>5</v>
          </cell>
          <cell r="X1239">
            <v>0</v>
          </cell>
          <cell r="Y1239">
            <v>0</v>
          </cell>
          <cell r="Z1239">
            <v>0</v>
          </cell>
          <cell r="AA1239" t="str">
            <v>! ! !</v>
          </cell>
          <cell r="AB1239">
            <v>600</v>
          </cell>
          <cell r="AC1239">
            <v>5.8800000000000005E-2</v>
          </cell>
          <cell r="AE1239" t="str">
            <v>x</v>
          </cell>
          <cell r="AG1239">
            <v>35</v>
          </cell>
          <cell r="AJ1239" t="str">
            <v>-</v>
          </cell>
          <cell r="AL1239">
            <v>2100</v>
          </cell>
          <cell r="AM1239">
            <v>1750</v>
          </cell>
          <cell r="AN1239" t="e">
            <v>#VALUE!</v>
          </cell>
          <cell r="AO1239" t="e">
            <v>#VALUE!</v>
          </cell>
          <cell r="AP1239">
            <v>350</v>
          </cell>
        </row>
        <row r="1240">
          <cell r="A1240">
            <v>66481000</v>
          </cell>
          <cell r="C1240">
            <v>4829</v>
          </cell>
          <cell r="D1240" t="str">
            <v xml:space="preserve">DVM NA RUNDVLEES SPRUITJES GEKOOKTE AARDAPPELEN      </v>
          </cell>
          <cell r="E1240" t="str">
            <v>diepvriesman, dieet</v>
          </cell>
          <cell r="F1240" t="str">
            <v>40336300 OLAF 30 290MM</v>
          </cell>
          <cell r="G1240" t="str">
            <v>C2227-3R evolve</v>
          </cell>
          <cell r="H1240">
            <v>456</v>
          </cell>
          <cell r="I1240">
            <v>0.5</v>
          </cell>
          <cell r="J1240" t="str">
            <v>NVT</v>
          </cell>
          <cell r="K1240" t="str">
            <v>DVM</v>
          </cell>
          <cell r="L1240">
            <v>2</v>
          </cell>
          <cell r="M1240" t="str">
            <v>DVM</v>
          </cell>
          <cell r="N1240">
            <v>300</v>
          </cell>
          <cell r="O1240">
            <v>8717568243504</v>
          </cell>
          <cell r="P1240" t="str">
            <v>T</v>
          </cell>
          <cell r="Q1240">
            <v>2</v>
          </cell>
          <cell r="R1240">
            <v>3</v>
          </cell>
          <cell r="S1240" t="str">
            <v>vacuumzakken, idem 63981000,  analoog 63580200 (andere aardap.), AARDAPPELEN STEAMEN D-0</v>
          </cell>
          <cell r="T1240">
            <v>1500</v>
          </cell>
          <cell r="U1240">
            <v>7</v>
          </cell>
          <cell r="V1240">
            <v>1500</v>
          </cell>
          <cell r="W1240">
            <v>7</v>
          </cell>
          <cell r="X1240">
            <v>0</v>
          </cell>
          <cell r="Y1240">
            <v>0</v>
          </cell>
          <cell r="Z1240">
            <v>0</v>
          </cell>
          <cell r="AA1240" t="str">
            <v>! ! !</v>
          </cell>
          <cell r="AB1240">
            <v>600</v>
          </cell>
          <cell r="AC1240">
            <v>5.8800000000000005E-2</v>
          </cell>
          <cell r="AE1240" t="str">
            <v>x</v>
          </cell>
          <cell r="AJ1240" t="str">
            <v>V-A</v>
          </cell>
          <cell r="AL1240">
            <v>0</v>
          </cell>
          <cell r="AM1240">
            <v>1500</v>
          </cell>
          <cell r="AN1240" t="e">
            <v>#VALUE!</v>
          </cell>
          <cell r="AO1240" t="e">
            <v>#VALUE!</v>
          </cell>
          <cell r="AP1240">
            <v>-1500</v>
          </cell>
        </row>
        <row r="1241">
          <cell r="A1241">
            <v>66482300</v>
          </cell>
          <cell r="C1241">
            <v>4814</v>
          </cell>
          <cell r="D1241" t="str">
            <v>DVM NA KIP OMA'S RECEPT SPERZIEBONEN PUREE TOMAAT 500G</v>
          </cell>
          <cell r="E1241" t="str">
            <v>diepvriesman, dieet</v>
          </cell>
          <cell r="F1241" t="str">
            <v>40336300 OLAF 30 290MM</v>
          </cell>
          <cell r="G1241" t="str">
            <v>C2227-3R evolve</v>
          </cell>
          <cell r="H1241">
            <v>456</v>
          </cell>
          <cell r="I1241">
            <v>0.5</v>
          </cell>
          <cell r="J1241" t="str">
            <v>NVT</v>
          </cell>
          <cell r="K1241" t="str">
            <v>DVM</v>
          </cell>
          <cell r="L1241">
            <v>2</v>
          </cell>
          <cell r="M1241" t="str">
            <v>DVM</v>
          </cell>
          <cell r="N1241">
            <v>300</v>
          </cell>
          <cell r="O1241">
            <v>8717568243528</v>
          </cell>
          <cell r="P1241" t="str">
            <v>H-T</v>
          </cell>
          <cell r="Q1241">
            <v>2.5</v>
          </cell>
          <cell r="R1241">
            <v>3</v>
          </cell>
          <cell r="S1241" t="str">
            <v>idem 63982300</v>
          </cell>
          <cell r="T1241">
            <v>1750</v>
          </cell>
          <cell r="U1241">
            <v>8</v>
          </cell>
          <cell r="V1241">
            <v>1750</v>
          </cell>
          <cell r="W1241">
            <v>8</v>
          </cell>
          <cell r="X1241">
            <v>0</v>
          </cell>
          <cell r="Y1241">
            <v>0</v>
          </cell>
          <cell r="Z1241">
            <v>0</v>
          </cell>
          <cell r="AA1241" t="str">
            <v>! ! !</v>
          </cell>
          <cell r="AB1241">
            <v>600</v>
          </cell>
          <cell r="AC1241">
            <v>0</v>
          </cell>
          <cell r="AG1241">
            <v>35</v>
          </cell>
          <cell r="AJ1241" t="str">
            <v>V-A</v>
          </cell>
          <cell r="AL1241">
            <v>2100</v>
          </cell>
          <cell r="AM1241">
            <v>1750</v>
          </cell>
          <cell r="AN1241" t="e">
            <v>#VALUE!</v>
          </cell>
          <cell r="AO1241" t="e">
            <v>#VALUE!</v>
          </cell>
          <cell r="AP1241">
            <v>350</v>
          </cell>
        </row>
        <row r="1242">
          <cell r="A1242">
            <v>66482700</v>
          </cell>
          <cell r="C1242">
            <v>4817</v>
          </cell>
          <cell r="D1242" t="str">
            <v xml:space="preserve">DVM NA ALASKA POLLAK WATERKERSSAUS WORTELEN KRIEL       </v>
          </cell>
          <cell r="E1242" t="str">
            <v>diepvriesman, dieet</v>
          </cell>
          <cell r="F1242" t="str">
            <v>40336300 OLAF 30 290MM</v>
          </cell>
          <cell r="G1242" t="str">
            <v>C2227-3R evolve</v>
          </cell>
          <cell r="H1242">
            <v>456</v>
          </cell>
          <cell r="I1242">
            <v>0.5</v>
          </cell>
          <cell r="J1242" t="str">
            <v>NVT</v>
          </cell>
          <cell r="K1242" t="str">
            <v>DVM</v>
          </cell>
          <cell r="L1242">
            <v>2</v>
          </cell>
          <cell r="M1242" t="str">
            <v>DVM</v>
          </cell>
          <cell r="N1242">
            <v>300</v>
          </cell>
          <cell r="O1242">
            <v>8717568243481</v>
          </cell>
          <cell r="P1242" t="str">
            <v>T</v>
          </cell>
          <cell r="Q1242">
            <v>2</v>
          </cell>
          <cell r="R1242">
            <v>3</v>
          </cell>
          <cell r="S1242" t="str">
            <v>idem 63982700</v>
          </cell>
          <cell r="T1242">
            <v>1750</v>
          </cell>
          <cell r="U1242">
            <v>7</v>
          </cell>
          <cell r="V1242">
            <v>1750</v>
          </cell>
          <cell r="W1242">
            <v>7</v>
          </cell>
          <cell r="X1242">
            <v>0</v>
          </cell>
          <cell r="Y1242">
            <v>0</v>
          </cell>
          <cell r="Z1242">
            <v>0</v>
          </cell>
          <cell r="AA1242" t="str">
            <v>! ! ! !</v>
          </cell>
          <cell r="AB1242">
            <v>600</v>
          </cell>
          <cell r="AC1242">
            <v>0</v>
          </cell>
          <cell r="AE1242" t="str">
            <v>x</v>
          </cell>
          <cell r="AG1242">
            <v>35</v>
          </cell>
          <cell r="AJ1242" t="str">
            <v>V-A</v>
          </cell>
          <cell r="AL1242">
            <v>2100</v>
          </cell>
          <cell r="AM1242">
            <v>1750</v>
          </cell>
          <cell r="AN1242" t="e">
            <v>#VALUE!</v>
          </cell>
          <cell r="AO1242" t="e">
            <v>#VALUE!</v>
          </cell>
          <cell r="AP1242">
            <v>350</v>
          </cell>
        </row>
        <row r="1243">
          <cell r="A1243">
            <v>66500100</v>
          </cell>
          <cell r="C1243">
            <v>10701</v>
          </cell>
          <cell r="D1243" t="str">
            <v>FRIO MACARONI 400G</v>
          </cell>
          <cell r="E1243" t="str">
            <v>Frio Foods</v>
          </cell>
          <cell r="F1243" t="str">
            <v>40336300 OLAF 30 290MM</v>
          </cell>
          <cell r="G1243" t="str">
            <v>C2227-1T evolve</v>
          </cell>
          <cell r="H1243">
            <v>365</v>
          </cell>
          <cell r="I1243">
            <v>0.4</v>
          </cell>
          <cell r="J1243" t="str">
            <v>NVT</v>
          </cell>
          <cell r="K1243" t="str">
            <v>BLANCO 100X150</v>
          </cell>
          <cell r="L1243">
            <v>8</v>
          </cell>
          <cell r="M1243" t="str">
            <v>doos mabos</v>
          </cell>
          <cell r="N1243">
            <v>90</v>
          </cell>
          <cell r="O1243">
            <v>8716893021375</v>
          </cell>
          <cell r="P1243" t="str">
            <v>M</v>
          </cell>
          <cell r="Q1243">
            <v>3</v>
          </cell>
          <cell r="R1243">
            <v>3</v>
          </cell>
          <cell r="S1243" t="str">
            <v>INKJET</v>
          </cell>
          <cell r="T1243">
            <v>2200</v>
          </cell>
          <cell r="U1243">
            <v>4</v>
          </cell>
          <cell r="V1243">
            <v>2200</v>
          </cell>
          <cell r="W1243">
            <v>4</v>
          </cell>
          <cell r="X1243">
            <v>0</v>
          </cell>
          <cell r="Y1243">
            <v>0</v>
          </cell>
          <cell r="Z1243">
            <v>0</v>
          </cell>
          <cell r="AA1243" t="str">
            <v>! ! !</v>
          </cell>
          <cell r="AB1243">
            <v>16852</v>
          </cell>
          <cell r="AC1243">
            <v>0</v>
          </cell>
          <cell r="AG1243">
            <v>45</v>
          </cell>
          <cell r="AJ1243" t="str">
            <v>V-A</v>
          </cell>
          <cell r="AL1243">
            <v>2700</v>
          </cell>
          <cell r="AM1243">
            <v>2200</v>
          </cell>
          <cell r="AN1243" t="e">
            <v>#VALUE!</v>
          </cell>
          <cell r="AO1243" t="e">
            <v>#VALUE!</v>
          </cell>
          <cell r="AP1243">
            <v>500</v>
          </cell>
        </row>
        <row r="1244">
          <cell r="A1244">
            <v>66500200</v>
          </cell>
          <cell r="C1244">
            <v>10700</v>
          </cell>
          <cell r="D1244" t="str">
            <v>FRIO BAMI 400G</v>
          </cell>
          <cell r="E1244" t="str">
            <v>Frio Foods</v>
          </cell>
          <cell r="F1244" t="str">
            <v>40336300 OLAF 30 290MM</v>
          </cell>
          <cell r="G1244" t="str">
            <v>C2227-1T evolve</v>
          </cell>
          <cell r="H1244">
            <v>365</v>
          </cell>
          <cell r="I1244">
            <v>0.4</v>
          </cell>
          <cell r="J1244" t="str">
            <v>NVT</v>
          </cell>
          <cell r="K1244" t="str">
            <v>BLANCO 100X150</v>
          </cell>
          <cell r="L1244">
            <v>8</v>
          </cell>
          <cell r="M1244" t="str">
            <v>doos mabos</v>
          </cell>
          <cell r="N1244">
            <v>90</v>
          </cell>
          <cell r="O1244">
            <v>8716893021337</v>
          </cell>
          <cell r="P1244" t="str">
            <v>L</v>
          </cell>
          <cell r="Q1244">
            <v>3</v>
          </cell>
          <cell r="R1244">
            <v>3</v>
          </cell>
          <cell r="S1244" t="str">
            <v>INKJET</v>
          </cell>
          <cell r="T1244">
            <v>2000</v>
          </cell>
          <cell r="U1244">
            <v>5</v>
          </cell>
          <cell r="V1244">
            <v>2000</v>
          </cell>
          <cell r="W1244">
            <v>5</v>
          </cell>
          <cell r="X1244">
            <v>0</v>
          </cell>
          <cell r="Y1244">
            <v>0</v>
          </cell>
          <cell r="Z1244">
            <v>0</v>
          </cell>
          <cell r="AA1244" t="str">
            <v>! ! !</v>
          </cell>
          <cell r="AB1244">
            <v>15320</v>
          </cell>
          <cell r="AC1244">
            <v>0</v>
          </cell>
          <cell r="AG1244">
            <v>45</v>
          </cell>
          <cell r="AJ1244" t="str">
            <v>V-A</v>
          </cell>
          <cell r="AL1244">
            <v>2700</v>
          </cell>
          <cell r="AM1244">
            <v>2000</v>
          </cell>
          <cell r="AN1244" t="e">
            <v>#VALUE!</v>
          </cell>
          <cell r="AO1244" t="e">
            <v>#VALUE!</v>
          </cell>
          <cell r="AP1244">
            <v>700</v>
          </cell>
        </row>
        <row r="1245">
          <cell r="A1245">
            <v>66500300</v>
          </cell>
          <cell r="C1245">
            <v>10702</v>
          </cell>
          <cell r="D1245" t="str">
            <v>FRIO NASI 400G</v>
          </cell>
          <cell r="E1245" t="str">
            <v>Frio Foods</v>
          </cell>
          <cell r="F1245" t="str">
            <v>40336300 OLAF 30 290MM</v>
          </cell>
          <cell r="G1245" t="str">
            <v>C2227-1T evolve</v>
          </cell>
          <cell r="H1245">
            <v>365</v>
          </cell>
          <cell r="I1245">
            <v>0.4</v>
          </cell>
          <cell r="J1245" t="str">
            <v>NVT</v>
          </cell>
          <cell r="K1245" t="str">
            <v>BLANCO 100X150</v>
          </cell>
          <cell r="L1245">
            <v>8</v>
          </cell>
          <cell r="M1245" t="str">
            <v>doos mabos</v>
          </cell>
          <cell r="N1245">
            <v>90</v>
          </cell>
          <cell r="O1245">
            <v>8716893021351</v>
          </cell>
          <cell r="P1245" t="str">
            <v>L</v>
          </cell>
          <cell r="Q1245">
            <v>3</v>
          </cell>
          <cell r="R1245">
            <v>3</v>
          </cell>
          <cell r="S1245" t="str">
            <v>INKJET</v>
          </cell>
          <cell r="T1245">
            <v>2200</v>
          </cell>
          <cell r="U1245">
            <v>4</v>
          </cell>
          <cell r="V1245">
            <v>2200</v>
          </cell>
          <cell r="W1245">
            <v>4</v>
          </cell>
          <cell r="X1245">
            <v>0</v>
          </cell>
          <cell r="Y1245">
            <v>0</v>
          </cell>
          <cell r="Z1245">
            <v>0</v>
          </cell>
          <cell r="AA1245" t="str">
            <v>! ! !</v>
          </cell>
          <cell r="AB1245">
            <v>16852</v>
          </cell>
          <cell r="AC1245">
            <v>0</v>
          </cell>
          <cell r="AG1245">
            <v>45</v>
          </cell>
          <cell r="AJ1245" t="str">
            <v>V-A</v>
          </cell>
          <cell r="AL1245">
            <v>2700</v>
          </cell>
          <cell r="AM1245">
            <v>2200</v>
          </cell>
          <cell r="AN1245" t="e">
            <v>#VALUE!</v>
          </cell>
          <cell r="AO1245" t="e">
            <v>#VALUE!</v>
          </cell>
          <cell r="AP1245">
            <v>500</v>
          </cell>
        </row>
        <row r="1246">
          <cell r="A1246">
            <v>66600100</v>
          </cell>
          <cell r="B1246">
            <v>40264700</v>
          </cell>
          <cell r="C1246">
            <v>204917</v>
          </cell>
          <cell r="D1246" t="str">
            <v>LIDL GB AT IE DK NI FRIET CHEDDAR SPEK 280G (MIXED)</v>
          </cell>
          <cell r="E1246" t="str">
            <v>Lidl INT</v>
          </cell>
          <cell r="F1246" t="str">
            <v>Nvt</v>
          </cell>
          <cell r="G1246" t="str">
            <v>KRAFT BIG + SMALL</v>
          </cell>
          <cell r="H1246">
            <v>410</v>
          </cell>
          <cell r="I1246">
            <v>0.28000000000000003</v>
          </cell>
          <cell r="J1246" t="str">
            <v>H14</v>
          </cell>
          <cell r="K1246" t="str">
            <v>NVT</v>
          </cell>
          <cell r="L1246">
            <v>24</v>
          </cell>
          <cell r="M1246" t="str">
            <v>H14x24</v>
          </cell>
          <cell r="N1246">
            <v>36</v>
          </cell>
          <cell r="O1246">
            <v>5400870660017</v>
          </cell>
          <cell r="P1246" t="str">
            <v>I-T</v>
          </cell>
          <cell r="Q1246">
            <v>2</v>
          </cell>
          <cell r="R1246">
            <v>4</v>
          </cell>
          <cell r="V1246">
            <v>2500</v>
          </cell>
          <cell r="W1246">
            <v>5</v>
          </cell>
          <cell r="X1246">
            <v>0</v>
          </cell>
          <cell r="Y1246">
            <v>0</v>
          </cell>
          <cell r="Z1246">
            <v>6.5000000000000002E-2</v>
          </cell>
          <cell r="AA1246" t="str">
            <v>! !</v>
          </cell>
          <cell r="AB1246">
            <v>19000</v>
          </cell>
          <cell r="AJ1246" t="str">
            <v>V-A </v>
          </cell>
          <cell r="AL1246">
            <v>0</v>
          </cell>
          <cell r="AM1246">
            <v>0</v>
          </cell>
          <cell r="AN1246" t="e">
            <v>#VALUE!</v>
          </cell>
          <cell r="AO1246" t="str">
            <v/>
          </cell>
          <cell r="AP1246">
            <v>0</v>
          </cell>
        </row>
        <row r="1247">
          <cell r="A1247">
            <v>66600200</v>
          </cell>
          <cell r="B1247">
            <v>40264800</v>
          </cell>
          <cell r="C1247">
            <v>204918</v>
          </cell>
          <cell r="D1247" t="str">
            <v>LIDL GB AT IE DK NI FRIET CHEDDAR CHILI 280G (MIXED)</v>
          </cell>
          <cell r="E1247" t="str">
            <v>Lidl INT</v>
          </cell>
          <cell r="F1247" t="str">
            <v>Nvt</v>
          </cell>
          <cell r="G1247" t="str">
            <v>KRAFT BIG + SMALL</v>
          </cell>
          <cell r="H1247">
            <v>410</v>
          </cell>
          <cell r="I1247">
            <v>0.28000000000000003</v>
          </cell>
          <cell r="J1247" t="str">
            <v>H14</v>
          </cell>
          <cell r="K1247" t="str">
            <v>NVT</v>
          </cell>
          <cell r="L1247">
            <v>24</v>
          </cell>
          <cell r="M1247" t="str">
            <v>H14x24</v>
          </cell>
          <cell r="N1247">
            <v>36</v>
          </cell>
          <cell r="O1247">
            <v>5400870660024</v>
          </cell>
          <cell r="P1247" t="str">
            <v>I-T</v>
          </cell>
          <cell r="Q1247">
            <v>2</v>
          </cell>
          <cell r="R1247">
            <v>4</v>
          </cell>
          <cell r="V1247">
            <v>2500</v>
          </cell>
          <cell r="W1247">
            <v>5</v>
          </cell>
          <cell r="X1247">
            <v>0</v>
          </cell>
          <cell r="Y1247">
            <v>0</v>
          </cell>
          <cell r="Z1247">
            <v>6.5000000000000002E-2</v>
          </cell>
          <cell r="AA1247" t="str">
            <v>! !</v>
          </cell>
          <cell r="AB1247">
            <v>19000</v>
          </cell>
          <cell r="AJ1247" t="str">
            <v>-</v>
          </cell>
          <cell r="AL1247">
            <v>0</v>
          </cell>
          <cell r="AM1247">
            <v>0</v>
          </cell>
          <cell r="AN1247" t="e">
            <v>#VALUE!</v>
          </cell>
          <cell r="AO1247" t="str">
            <v/>
          </cell>
          <cell r="AP1247">
            <v>0</v>
          </cell>
        </row>
        <row r="1248">
          <cell r="A1248">
            <v>66600300</v>
          </cell>
          <cell r="B1248">
            <v>40264900</v>
          </cell>
          <cell r="C1248">
            <v>204919</v>
          </cell>
          <cell r="D1248" t="str">
            <v>LIDL GB AT IE DK NI FRIET BBQ PULLED CHICKEN 280G (MIXED)</v>
          </cell>
          <cell r="E1248" t="str">
            <v>Lidl INT</v>
          </cell>
          <cell r="F1248" t="str">
            <v>Nvt</v>
          </cell>
          <cell r="G1248" t="str">
            <v>KRAFT BIG + SMALL</v>
          </cell>
          <cell r="H1248">
            <v>410</v>
          </cell>
          <cell r="I1248">
            <v>0.28000000000000003</v>
          </cell>
          <cell r="J1248" t="str">
            <v>H14</v>
          </cell>
          <cell r="K1248" t="str">
            <v>NVT</v>
          </cell>
          <cell r="L1248">
            <v>24</v>
          </cell>
          <cell r="M1248" t="str">
            <v>H14x24</v>
          </cell>
          <cell r="N1248">
            <v>36</v>
          </cell>
          <cell r="O1248">
            <v>5400870660031</v>
          </cell>
          <cell r="P1248" t="str">
            <v>I-T</v>
          </cell>
          <cell r="Q1248">
            <v>1</v>
          </cell>
          <cell r="R1248">
            <v>4</v>
          </cell>
          <cell r="S1248" t="str">
            <v>PULLED CHICKEN D-2 ontdooien</v>
          </cell>
          <cell r="V1248">
            <v>2500</v>
          </cell>
          <cell r="W1248">
            <v>5</v>
          </cell>
          <cell r="X1248">
            <v>0</v>
          </cell>
          <cell r="Y1248">
            <v>0</v>
          </cell>
          <cell r="Z1248">
            <v>6.5000000000000002E-2</v>
          </cell>
          <cell r="AA1248" t="str">
            <v>! !</v>
          </cell>
          <cell r="AB1248">
            <v>19000</v>
          </cell>
          <cell r="AJ1248" t="str">
            <v> -</v>
          </cell>
          <cell r="AL1248">
            <v>0</v>
          </cell>
          <cell r="AM1248">
            <v>0</v>
          </cell>
          <cell r="AN1248" t="e">
            <v>#VALUE!</v>
          </cell>
          <cell r="AO1248" t="str">
            <v/>
          </cell>
          <cell r="AP1248">
            <v>0</v>
          </cell>
        </row>
        <row r="1249">
          <cell r="A1249">
            <v>66600400</v>
          </cell>
          <cell r="B1249">
            <v>40265000</v>
          </cell>
          <cell r="C1249">
            <v>204917</v>
          </cell>
          <cell r="D1249" t="str">
            <v>LIDL RO SI LT FRIET CHEDDAR SPEK 280G (MIXED)</v>
          </cell>
          <cell r="E1249" t="str">
            <v>Lidl INT</v>
          </cell>
          <cell r="F1249" t="str">
            <v>Nvt</v>
          </cell>
          <cell r="G1249" t="str">
            <v>KRAFT BIG + SMALL</v>
          </cell>
          <cell r="H1249">
            <v>410</v>
          </cell>
          <cell r="I1249">
            <v>0.28000000000000003</v>
          </cell>
          <cell r="J1249" t="str">
            <v>H14</v>
          </cell>
          <cell r="K1249" t="str">
            <v>NVT</v>
          </cell>
          <cell r="L1249">
            <v>24</v>
          </cell>
          <cell r="M1249" t="str">
            <v>H14x24</v>
          </cell>
          <cell r="N1249">
            <v>36</v>
          </cell>
          <cell r="O1249">
            <v>5400870660048</v>
          </cell>
          <cell r="P1249" t="str">
            <v>I-T</v>
          </cell>
          <cell r="Q1249">
            <v>1</v>
          </cell>
          <cell r="R1249">
            <v>4</v>
          </cell>
          <cell r="V1249">
            <v>2500</v>
          </cell>
          <cell r="W1249">
            <v>5</v>
          </cell>
          <cell r="X1249">
            <v>0</v>
          </cell>
          <cell r="Y1249">
            <v>0</v>
          </cell>
          <cell r="Z1249">
            <v>6.5000000000000002E-2</v>
          </cell>
          <cell r="AA1249" t="str">
            <v>! !</v>
          </cell>
          <cell r="AB1249">
            <v>19000</v>
          </cell>
          <cell r="AJ1249" t="str">
            <v>V-A </v>
          </cell>
          <cell r="AL1249">
            <v>0</v>
          </cell>
          <cell r="AM1249">
            <v>0</v>
          </cell>
          <cell r="AN1249" t="e">
            <v>#VALUE!</v>
          </cell>
          <cell r="AO1249" t="str">
            <v/>
          </cell>
          <cell r="AP1249">
            <v>0</v>
          </cell>
        </row>
        <row r="1250">
          <cell r="A1250">
            <v>66600500</v>
          </cell>
          <cell r="B1250">
            <v>40265100</v>
          </cell>
          <cell r="C1250">
            <v>204918</v>
          </cell>
          <cell r="D1250" t="str">
            <v>LIDL RO SI LT FRIET CHEDDAR CHILI 280G (MIXED)</v>
          </cell>
          <cell r="E1250" t="str">
            <v>Lidl INT</v>
          </cell>
          <cell r="F1250" t="str">
            <v>Nvt</v>
          </cell>
          <cell r="G1250" t="str">
            <v>KRAFT BIG + SMALL</v>
          </cell>
          <cell r="H1250">
            <v>410</v>
          </cell>
          <cell r="I1250">
            <v>0.28000000000000003</v>
          </cell>
          <cell r="J1250" t="str">
            <v>H14</v>
          </cell>
          <cell r="K1250" t="str">
            <v>NVT</v>
          </cell>
          <cell r="L1250">
            <v>24</v>
          </cell>
          <cell r="M1250" t="str">
            <v>H14x24</v>
          </cell>
          <cell r="N1250">
            <v>36</v>
          </cell>
          <cell r="O1250">
            <v>5400870660055</v>
          </cell>
          <cell r="P1250" t="str">
            <v>I-T</v>
          </cell>
          <cell r="Q1250">
            <v>1</v>
          </cell>
          <cell r="R1250">
            <v>4</v>
          </cell>
          <cell r="V1250">
            <v>2500</v>
          </cell>
          <cell r="W1250">
            <v>5</v>
          </cell>
          <cell r="X1250">
            <v>0</v>
          </cell>
          <cell r="Y1250">
            <v>0</v>
          </cell>
          <cell r="Z1250">
            <v>6.5000000000000002E-2</v>
          </cell>
          <cell r="AA1250" t="str">
            <v>! !</v>
          </cell>
          <cell r="AB1250">
            <v>19000</v>
          </cell>
          <cell r="AJ1250" t="str">
            <v>- </v>
          </cell>
          <cell r="AL1250">
            <v>0</v>
          </cell>
          <cell r="AM1250">
            <v>0</v>
          </cell>
          <cell r="AN1250" t="e">
            <v>#VALUE!</v>
          </cell>
          <cell r="AO1250" t="str">
            <v/>
          </cell>
          <cell r="AP1250">
            <v>0</v>
          </cell>
        </row>
        <row r="1251">
          <cell r="A1251">
            <v>66600600</v>
          </cell>
          <cell r="B1251">
            <v>40265200</v>
          </cell>
          <cell r="C1251">
            <v>204919</v>
          </cell>
          <cell r="D1251" t="str">
            <v>LIDL RO SI LT FRIET BBQ PULLED CHICKEN 280G (MIXED)</v>
          </cell>
          <cell r="E1251" t="str">
            <v>Lidl INT</v>
          </cell>
          <cell r="F1251" t="str">
            <v>Nvt</v>
          </cell>
          <cell r="G1251" t="str">
            <v>KRAFT BIG + SMALL</v>
          </cell>
          <cell r="H1251">
            <v>410</v>
          </cell>
          <cell r="I1251">
            <v>0.28000000000000003</v>
          </cell>
          <cell r="J1251" t="str">
            <v>H14</v>
          </cell>
          <cell r="K1251" t="str">
            <v>NVT</v>
          </cell>
          <cell r="L1251">
            <v>24</v>
          </cell>
          <cell r="M1251" t="str">
            <v>H14x24</v>
          </cell>
          <cell r="N1251">
            <v>36</v>
          </cell>
          <cell r="O1251">
            <v>5400870660062</v>
          </cell>
          <cell r="P1251" t="str">
            <v>I-T</v>
          </cell>
          <cell r="Q1251">
            <v>1</v>
          </cell>
          <cell r="R1251">
            <v>4</v>
          </cell>
          <cell r="S1251" t="str">
            <v>PULLED CHICKEN D-2 ontdooien</v>
          </cell>
          <cell r="V1251">
            <v>2500</v>
          </cell>
          <cell r="W1251">
            <v>5</v>
          </cell>
          <cell r="X1251">
            <v>0</v>
          </cell>
          <cell r="Y1251">
            <v>0</v>
          </cell>
          <cell r="Z1251">
            <v>6.5000000000000002E-2</v>
          </cell>
          <cell r="AA1251" t="str">
            <v>! !</v>
          </cell>
          <cell r="AB1251">
            <v>19000</v>
          </cell>
          <cell r="AJ1251" t="str">
            <v>- </v>
          </cell>
          <cell r="AL1251">
            <v>0</v>
          </cell>
          <cell r="AM1251">
            <v>0</v>
          </cell>
          <cell r="AN1251" t="e">
            <v>#VALUE!</v>
          </cell>
          <cell r="AO1251" t="str">
            <v/>
          </cell>
          <cell r="AP1251">
            <v>0</v>
          </cell>
        </row>
        <row r="1252">
          <cell r="A1252">
            <v>66700000</v>
          </cell>
          <cell r="B1252">
            <v>40267200</v>
          </cell>
          <cell r="C1252">
            <v>220359</v>
          </cell>
          <cell r="D1252" t="str">
            <v>LIDL DE ZALM ASC DILLE RIJST 400G(VR MIXED KARTON)</v>
          </cell>
          <cell r="E1252" t="str">
            <v>Lidl DE</v>
          </cell>
          <cell r="F1252" t="str">
            <v>355mm</v>
          </cell>
          <cell r="G1252" t="str">
            <v>UK59 KRAFT</v>
          </cell>
          <cell r="H1252">
            <v>456</v>
          </cell>
          <cell r="I1252">
            <v>0.4</v>
          </cell>
          <cell r="J1252" t="str">
            <v>H23</v>
          </cell>
          <cell r="K1252" t="str">
            <v>NVT</v>
          </cell>
          <cell r="L1252">
            <v>20</v>
          </cell>
          <cell r="M1252" t="str">
            <v>H11X24</v>
          </cell>
          <cell r="N1252">
            <v>48</v>
          </cell>
          <cell r="O1252">
            <v>5400870670009</v>
          </cell>
          <cell r="P1252" t="str">
            <v>L-2T</v>
          </cell>
          <cell r="Q1252">
            <v>3</v>
          </cell>
          <cell r="R1252">
            <v>2</v>
          </cell>
          <cell r="T1252">
            <v>3500</v>
          </cell>
          <cell r="U1252">
            <v>6</v>
          </cell>
          <cell r="V1252">
            <v>3500</v>
          </cell>
          <cell r="W1252">
            <v>6</v>
          </cell>
          <cell r="X1252">
            <v>0</v>
          </cell>
          <cell r="Y1252">
            <v>0</v>
          </cell>
          <cell r="Z1252">
            <v>0.18099999999999999</v>
          </cell>
          <cell r="AA1252" t="str">
            <v>! ! ! !</v>
          </cell>
          <cell r="AB1252">
            <v>12810</v>
          </cell>
          <cell r="AC1252">
            <v>0</v>
          </cell>
          <cell r="AJ1252" t="str">
            <v>V-A</v>
          </cell>
          <cell r="AL1252">
            <v>0</v>
          </cell>
          <cell r="AM1252">
            <v>3500</v>
          </cell>
          <cell r="AN1252" t="e">
            <v>#VALUE!</v>
          </cell>
          <cell r="AO1252" t="e">
            <v>#VALUE!</v>
          </cell>
          <cell r="AP1252">
            <v>-3500</v>
          </cell>
        </row>
        <row r="1253">
          <cell r="A1253">
            <v>66700100</v>
          </cell>
          <cell r="B1253">
            <v>40267300</v>
          </cell>
          <cell r="C1253">
            <v>220360</v>
          </cell>
          <cell r="D1253" t="str">
            <v>LIDL DE KABELJ MSC MOSTERD STAMPPOT 400G(VR MIXED KARTON)</v>
          </cell>
          <cell r="E1253" t="str">
            <v>Lidl DE</v>
          </cell>
          <cell r="F1253" t="str">
            <v>355mm</v>
          </cell>
          <cell r="G1253" t="str">
            <v>UK59 KRAFT</v>
          </cell>
          <cell r="H1253">
            <v>456</v>
          </cell>
          <cell r="I1253">
            <v>0.4</v>
          </cell>
          <cell r="J1253" t="str">
            <v>H23</v>
          </cell>
          <cell r="K1253" t="str">
            <v>NVT</v>
          </cell>
          <cell r="L1253">
            <v>20</v>
          </cell>
          <cell r="M1253" t="str">
            <v>H11X24</v>
          </cell>
          <cell r="N1253">
            <v>48</v>
          </cell>
          <cell r="O1253">
            <v>5400870670016</v>
          </cell>
          <cell r="P1253" t="str">
            <v>2H-2T</v>
          </cell>
          <cell r="Q1253">
            <v>2</v>
          </cell>
          <cell r="R1253">
            <v>2</v>
          </cell>
          <cell r="T1253">
            <v>3500</v>
          </cell>
          <cell r="U1253">
            <v>4</v>
          </cell>
          <cell r="V1253">
            <v>3500</v>
          </cell>
          <cell r="W1253">
            <v>4</v>
          </cell>
          <cell r="X1253">
            <v>0</v>
          </cell>
          <cell r="Y1253">
            <v>0</v>
          </cell>
          <cell r="Z1253">
            <v>0.18099999999999999</v>
          </cell>
          <cell r="AA1253" t="str">
            <v>! ! ! !</v>
          </cell>
          <cell r="AB1253">
            <v>26810</v>
          </cell>
          <cell r="AC1253">
            <v>0</v>
          </cell>
          <cell r="AJ1253" t="str">
            <v>V-A</v>
          </cell>
          <cell r="AL1253">
            <v>0</v>
          </cell>
          <cell r="AM1253">
            <v>3500</v>
          </cell>
          <cell r="AN1253" t="e">
            <v>#VALUE!</v>
          </cell>
          <cell r="AO1253" t="e">
            <v>#VALUE!</v>
          </cell>
          <cell r="AP1253">
            <v>-3500</v>
          </cell>
        </row>
        <row r="1254">
          <cell r="A1254">
            <v>66700200</v>
          </cell>
          <cell r="B1254">
            <v>40267400</v>
          </cell>
          <cell r="C1254">
            <v>220361</v>
          </cell>
          <cell r="D1254" t="str">
            <v>LIDL DE BALLETJES ZWEEDSE SAUS PUREE 400G(VR MIXED KARTON)</v>
          </cell>
          <cell r="E1254" t="str">
            <v>Lidl DE</v>
          </cell>
          <cell r="F1254" t="str">
            <v>355mm</v>
          </cell>
          <cell r="G1254" t="str">
            <v>UK59 KRAFT</v>
          </cell>
          <cell r="H1254">
            <v>365</v>
          </cell>
          <cell r="I1254">
            <v>0.4</v>
          </cell>
          <cell r="J1254" t="str">
            <v>H23</v>
          </cell>
          <cell r="K1254" t="str">
            <v>NVT</v>
          </cell>
          <cell r="L1254">
            <v>20</v>
          </cell>
          <cell r="M1254" t="str">
            <v>H11X24</v>
          </cell>
          <cell r="N1254">
            <v>48</v>
          </cell>
          <cell r="O1254">
            <v>5400870670023</v>
          </cell>
          <cell r="P1254" t="str">
            <v>I-2H-2T</v>
          </cell>
          <cell r="Q1254">
            <v>2</v>
          </cell>
          <cell r="R1254">
            <v>2</v>
          </cell>
          <cell r="T1254">
            <v>3500</v>
          </cell>
          <cell r="U1254">
            <v>3</v>
          </cell>
          <cell r="V1254">
            <v>3500</v>
          </cell>
          <cell r="W1254">
            <v>3</v>
          </cell>
          <cell r="X1254">
            <v>0</v>
          </cell>
          <cell r="Y1254">
            <v>0</v>
          </cell>
          <cell r="Z1254">
            <v>0.18099999999999999</v>
          </cell>
          <cell r="AA1254" t="str">
            <v>! !</v>
          </cell>
          <cell r="AB1254">
            <v>26810</v>
          </cell>
          <cell r="AC1254">
            <v>0</v>
          </cell>
          <cell r="AJ1254" t="str">
            <v>V-A</v>
          </cell>
          <cell r="AL1254">
            <v>0</v>
          </cell>
          <cell r="AM1254">
            <v>3500</v>
          </cell>
          <cell r="AN1254" t="e">
            <v>#VALUE!</v>
          </cell>
          <cell r="AO1254" t="e">
            <v>#VALUE!</v>
          </cell>
          <cell r="AP1254">
            <v>-3500</v>
          </cell>
        </row>
        <row r="1255">
          <cell r="A1255">
            <v>66700300</v>
          </cell>
          <cell r="B1255">
            <v>40267500</v>
          </cell>
          <cell r="C1255">
            <v>220364</v>
          </cell>
          <cell r="D1255" t="str">
            <v>LIDL DE RISOTTO KIP CHAMPIGNON 400G(VR MIXED KARTON)</v>
          </cell>
          <cell r="E1255" t="str">
            <v>Lidl DE</v>
          </cell>
          <cell r="F1255" t="str">
            <v>355mm</v>
          </cell>
          <cell r="G1255" t="str">
            <v>UK59 KRAFT</v>
          </cell>
          <cell r="H1255">
            <v>456</v>
          </cell>
          <cell r="I1255">
            <v>0.4</v>
          </cell>
          <cell r="J1255" t="str">
            <v>H23</v>
          </cell>
          <cell r="K1255" t="str">
            <v>NVT</v>
          </cell>
          <cell r="L1255">
            <v>20</v>
          </cell>
          <cell r="M1255" t="str">
            <v>H11X24</v>
          </cell>
          <cell r="N1255">
            <v>48</v>
          </cell>
          <cell r="O1255">
            <v>5400870670030</v>
          </cell>
          <cell r="P1255" t="str">
            <v>I-L-2T-K</v>
          </cell>
          <cell r="Q1255">
            <v>3</v>
          </cell>
          <cell r="R1255">
            <v>2</v>
          </cell>
          <cell r="T1255">
            <v>3500</v>
          </cell>
          <cell r="U1255">
            <v>3</v>
          </cell>
          <cell r="V1255">
            <v>3500</v>
          </cell>
          <cell r="W1255">
            <v>5</v>
          </cell>
          <cell r="X1255">
            <v>0</v>
          </cell>
          <cell r="Y1255">
            <v>0</v>
          </cell>
          <cell r="Z1255">
            <v>0.18099999999999999</v>
          </cell>
          <cell r="AA1255" t="str">
            <v>! !</v>
          </cell>
          <cell r="AB1255">
            <v>26810</v>
          </cell>
          <cell r="AC1255">
            <v>0</v>
          </cell>
          <cell r="AJ1255" t="str">
            <v>-</v>
          </cell>
          <cell r="AL1255">
            <v>0</v>
          </cell>
          <cell r="AM1255">
            <v>3500</v>
          </cell>
          <cell r="AN1255" t="e">
            <v>#VALUE!</v>
          </cell>
          <cell r="AO1255" t="e">
            <v>#VALUE!</v>
          </cell>
          <cell r="AP1255">
            <v>-3500</v>
          </cell>
        </row>
        <row r="1256">
          <cell r="A1256">
            <v>66700400</v>
          </cell>
          <cell r="B1256">
            <v>40267600</v>
          </cell>
          <cell r="C1256">
            <v>220363</v>
          </cell>
          <cell r="D1256" t="str">
            <v>LIDL DE KIP HONING MANGO AARDAPSCHIJF 400G(VR MIXED KARTON)</v>
          </cell>
          <cell r="E1256" t="str">
            <v>Lidl DE</v>
          </cell>
          <cell r="F1256" t="str">
            <v>355mm</v>
          </cell>
          <cell r="G1256" t="str">
            <v>UK59 KRAFT</v>
          </cell>
          <cell r="H1256">
            <v>456</v>
          </cell>
          <cell r="I1256">
            <v>0.4</v>
          </cell>
          <cell r="J1256" t="str">
            <v>H23</v>
          </cell>
          <cell r="K1256" t="str">
            <v>NVT</v>
          </cell>
          <cell r="L1256">
            <v>20</v>
          </cell>
          <cell r="M1256" t="str">
            <v>H11X24</v>
          </cell>
          <cell r="N1256">
            <v>48</v>
          </cell>
          <cell r="O1256">
            <v>5400870670047</v>
          </cell>
          <cell r="P1256" t="str">
            <v>I-2T</v>
          </cell>
          <cell r="Q1256">
            <v>2</v>
          </cell>
          <cell r="R1256">
            <v>2</v>
          </cell>
          <cell r="T1256">
            <v>3500</v>
          </cell>
          <cell r="U1256">
            <v>4</v>
          </cell>
          <cell r="V1256">
            <v>3500</v>
          </cell>
          <cell r="W1256">
            <v>7</v>
          </cell>
          <cell r="X1256">
            <v>0</v>
          </cell>
          <cell r="Y1256">
            <v>0</v>
          </cell>
          <cell r="Z1256">
            <v>0.18099999999999999</v>
          </cell>
          <cell r="AA1256" t="str">
            <v>! !</v>
          </cell>
          <cell r="AB1256">
            <v>12810</v>
          </cell>
          <cell r="AC1256">
            <v>0</v>
          </cell>
          <cell r="AJ1256" t="str">
            <v>-</v>
          </cell>
          <cell r="AL1256">
            <v>0</v>
          </cell>
          <cell r="AM1256">
            <v>3500</v>
          </cell>
          <cell r="AN1256" t="e">
            <v>#VALUE!</v>
          </cell>
          <cell r="AO1256" t="e">
            <v>#VALUE!</v>
          </cell>
          <cell r="AP1256">
            <v>-3500</v>
          </cell>
        </row>
        <row r="1257">
          <cell r="A1257">
            <v>66700500</v>
          </cell>
          <cell r="B1257">
            <v>40267700</v>
          </cell>
          <cell r="C1257">
            <v>220365</v>
          </cell>
          <cell r="D1257" t="str">
            <v>LIDL DE KIP INDISCHE CURRY RIJST 400G(VR MIXED KARTON)</v>
          </cell>
          <cell r="E1257" t="str">
            <v>Lidl DE</v>
          </cell>
          <cell r="F1257" t="str">
            <v>355mm</v>
          </cell>
          <cell r="G1257" t="str">
            <v>UK59 KRAFT</v>
          </cell>
          <cell r="H1257">
            <v>456</v>
          </cell>
          <cell r="I1257">
            <v>0.4</v>
          </cell>
          <cell r="J1257" t="str">
            <v>H23</v>
          </cell>
          <cell r="K1257" t="str">
            <v>NVT</v>
          </cell>
          <cell r="L1257">
            <v>20</v>
          </cell>
          <cell r="M1257" t="str">
            <v>H11X24</v>
          </cell>
          <cell r="N1257">
            <v>48</v>
          </cell>
          <cell r="O1257">
            <v>5400870670054</v>
          </cell>
          <cell r="P1257" t="str">
            <v>I-L-2T-K</v>
          </cell>
          <cell r="Q1257">
            <v>2</v>
          </cell>
          <cell r="R1257">
            <v>2</v>
          </cell>
          <cell r="S1257" t="str">
            <v>Linzen D-1,als laatste produceren - keuken moeilijk te reinigen</v>
          </cell>
          <cell r="T1257">
            <v>3500</v>
          </cell>
          <cell r="U1257">
            <v>3</v>
          </cell>
          <cell r="V1257">
            <v>3500</v>
          </cell>
          <cell r="W1257">
            <v>5</v>
          </cell>
          <cell r="X1257">
            <v>0</v>
          </cell>
          <cell r="Y1257">
            <v>0</v>
          </cell>
          <cell r="Z1257">
            <v>0.18099999999999999</v>
          </cell>
          <cell r="AA1257" t="str">
            <v>! !</v>
          </cell>
          <cell r="AB1257">
            <v>26810</v>
          </cell>
          <cell r="AC1257">
            <v>0</v>
          </cell>
          <cell r="AJ1257" t="str">
            <v>-</v>
          </cell>
          <cell r="AL1257">
            <v>0</v>
          </cell>
          <cell r="AM1257">
            <v>3500</v>
          </cell>
          <cell r="AN1257" t="e">
            <v>#VALUE!</v>
          </cell>
          <cell r="AO1257" t="e">
            <v>#VALUE!</v>
          </cell>
          <cell r="AP1257">
            <v>-3500</v>
          </cell>
        </row>
        <row r="1258">
          <cell r="A1258">
            <v>66700600</v>
          </cell>
          <cell r="B1258">
            <v>40273400</v>
          </cell>
          <cell r="C1258">
            <v>226522</v>
          </cell>
          <cell r="D1258" t="str">
            <v>LIDL HR BG DK CZ ZALM ASC DILLE RIJST 400G(VR MIXED KARTON)</v>
          </cell>
          <cell r="E1258" t="str">
            <v>Lidl INT</v>
          </cell>
          <cell r="F1258" t="str">
            <v>40337500 COVIPEEL 32 355mm</v>
          </cell>
          <cell r="G1258" t="str">
            <v>UK59 KRAFT</v>
          </cell>
          <cell r="H1258">
            <v>456</v>
          </cell>
          <cell r="I1258">
            <v>0.4</v>
          </cell>
          <cell r="J1258" t="str">
            <v>H23</v>
          </cell>
          <cell r="K1258" t="str">
            <v>NVT</v>
          </cell>
          <cell r="L1258">
            <v>20</v>
          </cell>
          <cell r="M1258" t="str">
            <v>H11X24</v>
          </cell>
          <cell r="N1258">
            <v>48</v>
          </cell>
          <cell r="O1258">
            <v>5400870670061</v>
          </cell>
          <cell r="P1258" t="str">
            <v>L-2T</v>
          </cell>
          <cell r="Q1258">
            <v>3</v>
          </cell>
          <cell r="R1258">
            <v>2</v>
          </cell>
          <cell r="T1258">
            <v>3500</v>
          </cell>
          <cell r="U1258">
            <v>6</v>
          </cell>
          <cell r="V1258">
            <v>3500</v>
          </cell>
          <cell r="W1258">
            <v>6</v>
          </cell>
          <cell r="X1258">
            <v>0</v>
          </cell>
          <cell r="Y1258">
            <v>0</v>
          </cell>
          <cell r="Z1258">
            <v>0.11</v>
          </cell>
          <cell r="AA1258" t="str">
            <v>! ! ! !</v>
          </cell>
          <cell r="AB1258">
            <v>12810</v>
          </cell>
          <cell r="AC1258">
            <v>0</v>
          </cell>
          <cell r="AJ1258" t="str">
            <v>V-A</v>
          </cell>
          <cell r="AL1258">
            <v>0</v>
          </cell>
          <cell r="AM1258">
            <v>3500</v>
          </cell>
          <cell r="AN1258" t="e">
            <v>#VALUE!</v>
          </cell>
          <cell r="AO1258" t="e">
            <v>#VALUE!</v>
          </cell>
          <cell r="AP1258">
            <v>-3500</v>
          </cell>
        </row>
        <row r="1259">
          <cell r="A1259">
            <v>66700700</v>
          </cell>
          <cell r="B1259">
            <v>40273500</v>
          </cell>
          <cell r="C1259">
            <v>226523</v>
          </cell>
          <cell r="D1259" t="str">
            <v>LIDL HR BG DK CZ KIP HONING MANGO AARDAPSCHIJF 400(VR MIXED KARTON)</v>
          </cell>
          <cell r="E1259" t="str">
            <v>Lidl INT</v>
          </cell>
          <cell r="F1259" t="str">
            <v>40337500 COVIPEEL 32 355mm</v>
          </cell>
          <cell r="G1259" t="str">
            <v>UK59 KRAFT</v>
          </cell>
          <cell r="H1259">
            <v>456</v>
          </cell>
          <cell r="I1259">
            <v>0.4</v>
          </cell>
          <cell r="J1259" t="str">
            <v>H23</v>
          </cell>
          <cell r="K1259" t="str">
            <v>NVT</v>
          </cell>
          <cell r="L1259">
            <v>20</v>
          </cell>
          <cell r="M1259" t="str">
            <v>H11X24</v>
          </cell>
          <cell r="N1259">
            <v>48</v>
          </cell>
          <cell r="O1259">
            <v>5400870670078</v>
          </cell>
          <cell r="P1259" t="str">
            <v>2T</v>
          </cell>
          <cell r="Q1259">
            <v>2</v>
          </cell>
          <cell r="R1259">
            <v>2</v>
          </cell>
          <cell r="T1259">
            <v>3500</v>
          </cell>
          <cell r="U1259">
            <v>4</v>
          </cell>
          <cell r="V1259">
            <v>3500</v>
          </cell>
          <cell r="W1259">
            <v>4</v>
          </cell>
          <cell r="X1259">
            <v>0</v>
          </cell>
          <cell r="Y1259">
            <v>0</v>
          </cell>
          <cell r="Z1259">
            <v>0.11</v>
          </cell>
          <cell r="AA1259" t="str">
            <v>! !</v>
          </cell>
          <cell r="AB1259">
            <v>12810</v>
          </cell>
          <cell r="AC1259">
            <v>0</v>
          </cell>
          <cell r="AJ1259" t="str">
            <v>-</v>
          </cell>
          <cell r="AL1259">
            <v>0</v>
          </cell>
          <cell r="AM1259">
            <v>3500</v>
          </cell>
          <cell r="AN1259" t="e">
            <v>#VALUE!</v>
          </cell>
          <cell r="AO1259" t="e">
            <v>#VALUE!</v>
          </cell>
          <cell r="AP1259">
            <v>-3500</v>
          </cell>
        </row>
        <row r="1260">
          <cell r="A1260">
            <v>66700800</v>
          </cell>
          <cell r="B1260">
            <v>40273600</v>
          </cell>
          <cell r="D1260" t="str">
            <v>LIDL DE KIP PAPRIKA SPATZLE 400G(VR MIXED KARTON)</v>
          </cell>
          <cell r="E1260" t="str">
            <v>Lidl DE</v>
          </cell>
          <cell r="F1260" t="str">
            <v>355mm</v>
          </cell>
          <cell r="G1260" t="str">
            <v>UK59 KRAFT</v>
          </cell>
          <cell r="H1260">
            <v>456</v>
          </cell>
          <cell r="I1260">
            <v>0.4</v>
          </cell>
          <cell r="J1260" t="str">
            <v>H23</v>
          </cell>
          <cell r="K1260" t="str">
            <v>NVT</v>
          </cell>
          <cell r="L1260">
            <v>20</v>
          </cell>
          <cell r="M1260" t="str">
            <v>H11X24</v>
          </cell>
          <cell r="N1260">
            <v>48</v>
          </cell>
          <cell r="P1260" t="str">
            <v>I-L-2T</v>
          </cell>
          <cell r="Q1260">
            <v>2</v>
          </cell>
          <cell r="R1260">
            <v>2</v>
          </cell>
          <cell r="T1260">
            <v>3200</v>
          </cell>
          <cell r="U1260">
            <v>3</v>
          </cell>
          <cell r="V1260">
            <v>3200</v>
          </cell>
          <cell r="W1260">
            <v>3</v>
          </cell>
          <cell r="X1260">
            <v>0</v>
          </cell>
          <cell r="Y1260">
            <v>0</v>
          </cell>
          <cell r="Z1260">
            <v>0.18099999999999999</v>
          </cell>
          <cell r="AA1260" t="str">
            <v>! !</v>
          </cell>
          <cell r="AC1260">
            <v>0</v>
          </cell>
          <cell r="AJ1260" t="str">
            <v>V-A </v>
          </cell>
          <cell r="AL1260">
            <v>0</v>
          </cell>
          <cell r="AM1260">
            <v>3200</v>
          </cell>
          <cell r="AN1260" t="e">
            <v>#VALUE!</v>
          </cell>
          <cell r="AO1260" t="e">
            <v>#VALUE!</v>
          </cell>
          <cell r="AP1260">
            <v>-3200</v>
          </cell>
        </row>
        <row r="1261">
          <cell r="A1261">
            <v>66700900</v>
          </cell>
          <cell r="B1261">
            <v>40277200</v>
          </cell>
          <cell r="C1261">
            <v>1002254</v>
          </cell>
          <cell r="D1261" t="str">
            <v>LIDL DE MEXICAN BREAKFAST 350G (MIXED)</v>
          </cell>
          <cell r="E1261" t="str">
            <v>Lidl DE</v>
          </cell>
          <cell r="F1261" t="str">
            <v>40337500 COVIPEEL 32 355mm</v>
          </cell>
          <cell r="G1261" t="str">
            <v>UK59 KRAFT</v>
          </cell>
          <cell r="H1261">
            <v>365</v>
          </cell>
          <cell r="I1261">
            <v>0.35</v>
          </cell>
          <cell r="J1261" t="str">
            <v>H23</v>
          </cell>
          <cell r="K1261" t="str">
            <v>NVT</v>
          </cell>
          <cell r="L1261">
            <v>10</v>
          </cell>
          <cell r="M1261" t="str">
            <v>H22X10</v>
          </cell>
          <cell r="N1261">
            <v>84</v>
          </cell>
          <cell r="O1261">
            <v>5400870670092</v>
          </cell>
          <cell r="P1261" t="str">
            <v>I-2T</v>
          </cell>
          <cell r="Q1261">
            <v>2</v>
          </cell>
          <cell r="R1261">
            <v>2</v>
          </cell>
          <cell r="T1261">
            <v>3500</v>
          </cell>
          <cell r="U1261">
            <v>2</v>
          </cell>
          <cell r="V1261">
            <v>3500</v>
          </cell>
          <cell r="W1261">
            <v>2</v>
          </cell>
          <cell r="X1261">
            <v>0</v>
          </cell>
          <cell r="Y1261">
            <v>0</v>
          </cell>
          <cell r="Z1261">
            <v>0.1</v>
          </cell>
          <cell r="AA1261" t="str">
            <v>! !</v>
          </cell>
          <cell r="AB1261">
            <v>16170</v>
          </cell>
          <cell r="AC1261">
            <v>0</v>
          </cell>
          <cell r="AJ1261" t="str">
            <v>V-A </v>
          </cell>
          <cell r="AL1261">
            <v>0</v>
          </cell>
          <cell r="AM1261">
            <v>3500</v>
          </cell>
          <cell r="AN1261" t="e">
            <v>#VALUE!</v>
          </cell>
          <cell r="AO1261" t="e">
            <v>#VALUE!</v>
          </cell>
          <cell r="AP1261">
            <v>-3500</v>
          </cell>
        </row>
        <row r="1262">
          <cell r="A1262">
            <v>66701000</v>
          </cell>
          <cell r="B1262">
            <v>40277300</v>
          </cell>
          <cell r="C1262">
            <v>1002255</v>
          </cell>
          <cell r="D1262" t="str">
            <v>LIDL DE AMERICAN BREAKFAST 350G (MIXED)</v>
          </cell>
          <cell r="E1262" t="str">
            <v>Lidl DE</v>
          </cell>
          <cell r="F1262" t="str">
            <v>40337500 COVIPEEL 32 355mm</v>
          </cell>
          <cell r="G1262" t="str">
            <v>UK59 KRAFT</v>
          </cell>
          <cell r="H1262">
            <v>365</v>
          </cell>
          <cell r="I1262">
            <v>0.35</v>
          </cell>
          <cell r="J1262" t="str">
            <v>H23</v>
          </cell>
          <cell r="K1262" t="str">
            <v>NVT</v>
          </cell>
          <cell r="L1262">
            <v>10</v>
          </cell>
          <cell r="M1262" t="str">
            <v>H22X10</v>
          </cell>
          <cell r="N1262">
            <v>84</v>
          </cell>
          <cell r="O1262">
            <v>5400870670108</v>
          </cell>
          <cell r="P1262" t="str">
            <v>I-2T</v>
          </cell>
          <cell r="Q1262">
            <v>2</v>
          </cell>
          <cell r="R1262">
            <v>2</v>
          </cell>
          <cell r="T1262">
            <v>3500</v>
          </cell>
          <cell r="U1262">
            <v>4</v>
          </cell>
          <cell r="V1262">
            <v>3500</v>
          </cell>
          <cell r="W1262">
            <v>4</v>
          </cell>
          <cell r="X1262">
            <v>0</v>
          </cell>
          <cell r="Y1262">
            <v>0</v>
          </cell>
          <cell r="Z1262">
            <v>0.1</v>
          </cell>
          <cell r="AA1262" t="str">
            <v>! ! !</v>
          </cell>
          <cell r="AB1262">
            <v>16170</v>
          </cell>
          <cell r="AC1262">
            <v>0</v>
          </cell>
          <cell r="AJ1262" t="str">
            <v>V-A </v>
          </cell>
          <cell r="AL1262">
            <v>0</v>
          </cell>
          <cell r="AM1262">
            <v>3500</v>
          </cell>
          <cell r="AN1262" t="e">
            <v>#VALUE!</v>
          </cell>
          <cell r="AO1262" t="e">
            <v>#VALUE!</v>
          </cell>
          <cell r="AP1262">
            <v>-3500</v>
          </cell>
        </row>
        <row r="1263">
          <cell r="A1263">
            <v>66701100</v>
          </cell>
          <cell r="B1263">
            <v>40280400</v>
          </cell>
          <cell r="C1263">
            <v>1002254</v>
          </cell>
          <cell r="D1263" t="str">
            <v>LIDL NL MEXICAN BREAKFAST 350G</v>
          </cell>
          <cell r="E1263" t="str">
            <v>Lidl DE</v>
          </cell>
          <cell r="F1263" t="str">
            <v>40337500 COVIPEEL 32 355mm</v>
          </cell>
          <cell r="G1263" t="str">
            <v>UK59 KRAFT</v>
          </cell>
          <cell r="H1263">
            <v>365</v>
          </cell>
          <cell r="I1263">
            <v>0.35</v>
          </cell>
          <cell r="J1263" t="str">
            <v>H23</v>
          </cell>
          <cell r="K1263" t="str">
            <v>NVT</v>
          </cell>
          <cell r="L1263">
            <v>10</v>
          </cell>
          <cell r="M1263" t="str">
            <v>H22X10</v>
          </cell>
          <cell r="N1263">
            <v>84</v>
          </cell>
          <cell r="O1263" t="str">
            <v>5400870670115 </v>
          </cell>
          <cell r="P1263" t="str">
            <v>I-2T</v>
          </cell>
          <cell r="Q1263">
            <v>1</v>
          </cell>
          <cell r="R1263">
            <v>2</v>
          </cell>
          <cell r="T1263">
            <v>3500</v>
          </cell>
          <cell r="U1263">
            <v>3</v>
          </cell>
          <cell r="V1263">
            <v>3500</v>
          </cell>
          <cell r="W1263">
            <v>3</v>
          </cell>
          <cell r="X1263">
            <v>0</v>
          </cell>
          <cell r="Y1263">
            <v>0</v>
          </cell>
          <cell r="Z1263">
            <v>0.1</v>
          </cell>
          <cell r="AA1263" t="str">
            <v>! !</v>
          </cell>
          <cell r="AC1263">
            <v>0</v>
          </cell>
          <cell r="AJ1263" t="str">
            <v>V-A </v>
          </cell>
          <cell r="AL1263">
            <v>0</v>
          </cell>
          <cell r="AM1263">
            <v>3500</v>
          </cell>
          <cell r="AN1263" t="e">
            <v>#VALUE!</v>
          </cell>
          <cell r="AO1263" t="e">
            <v>#VALUE!</v>
          </cell>
          <cell r="AP1263">
            <v>-3500</v>
          </cell>
        </row>
        <row r="1264">
          <cell r="A1264">
            <v>66701200</v>
          </cell>
          <cell r="B1264">
            <v>40281300</v>
          </cell>
          <cell r="C1264">
            <v>226522</v>
          </cell>
          <cell r="D1264" t="str">
            <v>LIDL NL HU BG ZALM ASC DILLE RIJST 400G(MIXED)</v>
          </cell>
          <cell r="E1264" t="str">
            <v>Lidl INT</v>
          </cell>
          <cell r="F1264" t="str">
            <v>355mm</v>
          </cell>
          <cell r="G1264" t="str">
            <v>UK59 KRAFT</v>
          </cell>
          <cell r="H1264">
            <v>456</v>
          </cell>
          <cell r="I1264">
            <v>0.4</v>
          </cell>
          <cell r="J1264" t="str">
            <v>H23</v>
          </cell>
          <cell r="K1264" t="str">
            <v>NVT</v>
          </cell>
          <cell r="L1264">
            <v>20</v>
          </cell>
          <cell r="M1264" t="str">
            <v>H11X24</v>
          </cell>
          <cell r="N1264">
            <v>48</v>
          </cell>
          <cell r="O1264">
            <v>5400870670122</v>
          </cell>
          <cell r="P1264" t="str">
            <v>L-2T</v>
          </cell>
          <cell r="Q1264">
            <v>3</v>
          </cell>
          <cell r="R1264">
            <v>2</v>
          </cell>
          <cell r="T1264">
            <v>3500</v>
          </cell>
          <cell r="U1264">
            <v>5</v>
          </cell>
          <cell r="V1264">
            <v>3500</v>
          </cell>
          <cell r="W1264">
            <v>5</v>
          </cell>
          <cell r="X1264">
            <v>0</v>
          </cell>
          <cell r="Y1264">
            <v>0</v>
          </cell>
          <cell r="Z1264">
            <v>0.18099999999999999</v>
          </cell>
          <cell r="AA1264" t="str">
            <v>! ! ! !</v>
          </cell>
          <cell r="AJ1264" t="str">
            <v>V-A </v>
          </cell>
          <cell r="AL1264">
            <v>0</v>
          </cell>
          <cell r="AM1264">
            <v>3500</v>
          </cell>
          <cell r="AN1264" t="e">
            <v>#VALUE!</v>
          </cell>
          <cell r="AO1264" t="e">
            <v>#VALUE!</v>
          </cell>
          <cell r="AP1264">
            <v>-3500</v>
          </cell>
        </row>
        <row r="1265">
          <cell r="A1265">
            <v>66701300</v>
          </cell>
          <cell r="B1265">
            <v>40281400</v>
          </cell>
          <cell r="C1265">
            <v>226523</v>
          </cell>
          <cell r="D1265" t="str">
            <v>LIDL NL HU BG KIP HONING MANGO 400G(MIXED)</v>
          </cell>
          <cell r="E1265" t="str">
            <v>Lidl INT</v>
          </cell>
          <cell r="F1265" t="str">
            <v>355mm</v>
          </cell>
          <cell r="G1265" t="str">
            <v>UK59 KRAFT</v>
          </cell>
          <cell r="H1265">
            <v>456</v>
          </cell>
          <cell r="I1265">
            <v>0.4</v>
          </cell>
          <cell r="J1265" t="str">
            <v>H23</v>
          </cell>
          <cell r="K1265" t="str">
            <v>NVT</v>
          </cell>
          <cell r="L1265">
            <v>20</v>
          </cell>
          <cell r="M1265" t="str">
            <v>H11X24</v>
          </cell>
          <cell r="N1265">
            <v>48</v>
          </cell>
          <cell r="O1265">
            <v>5400870670139</v>
          </cell>
          <cell r="P1265" t="str">
            <v>I-2T</v>
          </cell>
          <cell r="Q1265">
            <v>2</v>
          </cell>
          <cell r="R1265">
            <v>2</v>
          </cell>
          <cell r="T1265">
            <v>3500</v>
          </cell>
          <cell r="U1265">
            <v>3</v>
          </cell>
          <cell r="V1265">
            <v>3500</v>
          </cell>
          <cell r="W1265">
            <v>3</v>
          </cell>
          <cell r="X1265">
            <v>0</v>
          </cell>
          <cell r="Y1265">
            <v>0</v>
          </cell>
          <cell r="Z1265">
            <v>0.18099999999999999</v>
          </cell>
          <cell r="AA1265" t="str">
            <v>! !</v>
          </cell>
          <cell r="AJ1265" t="str">
            <v>- </v>
          </cell>
          <cell r="AL1265">
            <v>0</v>
          </cell>
          <cell r="AM1265">
            <v>3500</v>
          </cell>
          <cell r="AN1265" t="e">
            <v>#VALUE!</v>
          </cell>
          <cell r="AO1265" t="e">
            <v>#VALUE!</v>
          </cell>
          <cell r="AP1265">
            <v>-3500</v>
          </cell>
        </row>
        <row r="1266">
          <cell r="A1266">
            <v>66800100</v>
          </cell>
          <cell r="B1266">
            <v>40268100</v>
          </cell>
          <cell r="C1266" t="str">
            <v>DV-0007</v>
          </cell>
          <cell r="D1266" t="str">
            <v>MAMA'S INDISCHE KIP SATE BAMI SAMBALBOONTJES 400G</v>
          </cell>
          <cell r="E1266" t="str">
            <v>MAMA'S</v>
          </cell>
          <cell r="F1266" t="str">
            <v>40337500 COVIPEEL 32 355mm</v>
          </cell>
          <cell r="G1266" t="str">
            <v>NOVATO B187/60</v>
          </cell>
          <cell r="H1266">
            <v>456</v>
          </cell>
          <cell r="I1266">
            <v>0.4</v>
          </cell>
          <cell r="J1266" t="str">
            <v>H25</v>
          </cell>
          <cell r="K1266" t="str">
            <v>NVT</v>
          </cell>
          <cell r="L1266">
            <v>6</v>
          </cell>
          <cell r="M1266" t="str">
            <v>H25X6</v>
          </cell>
          <cell r="N1266">
            <v>120</v>
          </cell>
          <cell r="O1266">
            <v>8721161411451</v>
          </cell>
          <cell r="P1266" t="str">
            <v>I-L-2T</v>
          </cell>
          <cell r="Q1266">
            <v>3</v>
          </cell>
          <cell r="R1266">
            <v>2</v>
          </cell>
          <cell r="T1266">
            <v>3200</v>
          </cell>
          <cell r="U1266">
            <v>6</v>
          </cell>
          <cell r="V1266">
            <v>3200</v>
          </cell>
          <cell r="W1266">
            <v>7</v>
          </cell>
          <cell r="Z1266">
            <v>4.2000000000000003E-2</v>
          </cell>
          <cell r="AA1266" t="str">
            <v>X</v>
          </cell>
          <cell r="AB1266">
            <v>22980</v>
          </cell>
          <cell r="AC1266">
            <v>0</v>
          </cell>
          <cell r="AG1266">
            <v>32</v>
          </cell>
          <cell r="AJ1266" t="str">
            <v>V-A </v>
          </cell>
          <cell r="AL1266">
            <v>1920</v>
          </cell>
          <cell r="AM1266">
            <v>3200</v>
          </cell>
          <cell r="AN1266" t="e">
            <v>#VALUE!</v>
          </cell>
          <cell r="AO1266" t="e">
            <v>#VALUE!</v>
          </cell>
          <cell r="AP1266">
            <v>-1280</v>
          </cell>
        </row>
        <row r="1267">
          <cell r="A1267">
            <v>66800200</v>
          </cell>
          <cell r="B1267">
            <v>40268200</v>
          </cell>
          <cell r="C1267" t="str">
            <v>DV-0006</v>
          </cell>
          <cell r="D1267" t="str">
            <v>MAMA'S BABI PANGANG RIJST SOJABONEN 400G</v>
          </cell>
          <cell r="E1267" t="str">
            <v>MAMA'S</v>
          </cell>
          <cell r="F1267" t="str">
            <v>40337500 COVIPEEL 32 355mm</v>
          </cell>
          <cell r="G1267" t="str">
            <v>NOVATO B187/60</v>
          </cell>
          <cell r="H1267">
            <v>365</v>
          </cell>
          <cell r="I1267">
            <v>0.4</v>
          </cell>
          <cell r="J1267" t="str">
            <v>H25</v>
          </cell>
          <cell r="K1267" t="str">
            <v>NVT</v>
          </cell>
          <cell r="L1267">
            <v>6</v>
          </cell>
          <cell r="M1267" t="str">
            <v>H25X6</v>
          </cell>
          <cell r="N1267">
            <v>120</v>
          </cell>
          <cell r="O1267">
            <v>8721161411437</v>
          </cell>
          <cell r="P1267" t="str">
            <v>I-L-2T</v>
          </cell>
          <cell r="Q1267">
            <v>3</v>
          </cell>
          <cell r="R1267">
            <v>2</v>
          </cell>
          <cell r="S1267" t="str">
            <v>Rijst D-1</v>
          </cell>
          <cell r="T1267">
            <v>3200</v>
          </cell>
          <cell r="U1267">
            <v>6</v>
          </cell>
          <cell r="V1267">
            <v>3200</v>
          </cell>
          <cell r="W1267">
            <v>7</v>
          </cell>
          <cell r="Z1267">
            <v>4.2000000000000003E-2</v>
          </cell>
          <cell r="AA1267" t="str">
            <v>! ! ! ! !</v>
          </cell>
          <cell r="AB1267">
            <v>22980</v>
          </cell>
          <cell r="AC1267">
            <v>0</v>
          </cell>
          <cell r="AG1267">
            <v>32</v>
          </cell>
          <cell r="AJ1267" t="str">
            <v>V-A </v>
          </cell>
          <cell r="AL1267">
            <v>1920</v>
          </cell>
          <cell r="AM1267">
            <v>3200</v>
          </cell>
          <cell r="AN1267" t="e">
            <v>#VALUE!</v>
          </cell>
          <cell r="AO1267" t="e">
            <v>#VALUE!</v>
          </cell>
          <cell r="AP1267">
            <v>-1280</v>
          </cell>
        </row>
        <row r="1268">
          <cell r="A1268">
            <v>66800300</v>
          </cell>
          <cell r="B1268">
            <v>40268300</v>
          </cell>
          <cell r="C1268" t="str">
            <v>DV-0001</v>
          </cell>
          <cell r="D1268" t="str">
            <v>MAMA'S KIP MADRAS BASMATI RODE RIJST GROENTEN 400G</v>
          </cell>
          <cell r="E1268" t="str">
            <v>MAMA'S</v>
          </cell>
          <cell r="F1268" t="str">
            <v>40337500 COVIPEEL 32 355mm</v>
          </cell>
          <cell r="G1268" t="str">
            <v>NOVATO B187/60</v>
          </cell>
          <cell r="H1268">
            <v>456</v>
          </cell>
          <cell r="I1268">
            <v>0.4</v>
          </cell>
          <cell r="J1268" t="str">
            <v>H25</v>
          </cell>
          <cell r="K1268" t="str">
            <v>NVT</v>
          </cell>
          <cell r="L1268">
            <v>6</v>
          </cell>
          <cell r="M1268" t="str">
            <v>H25X6</v>
          </cell>
          <cell r="N1268">
            <v>120</v>
          </cell>
          <cell r="O1268">
            <v>8721161411338</v>
          </cell>
          <cell r="P1268" t="str">
            <v>I-L-2T</v>
          </cell>
          <cell r="Q1268">
            <v>3</v>
          </cell>
          <cell r="R1268">
            <v>2</v>
          </cell>
          <cell r="S1268" t="str">
            <v>Rijst D-1</v>
          </cell>
          <cell r="T1268">
            <v>3200</v>
          </cell>
          <cell r="U1268">
            <v>6</v>
          </cell>
          <cell r="V1268">
            <v>3200</v>
          </cell>
          <cell r="W1268">
            <v>7</v>
          </cell>
          <cell r="Z1268">
            <v>4.2000000000000003E-2</v>
          </cell>
          <cell r="AA1268" t="str">
            <v>! !</v>
          </cell>
          <cell r="AB1268">
            <v>16400</v>
          </cell>
          <cell r="AC1268">
            <v>0</v>
          </cell>
          <cell r="AG1268">
            <v>32</v>
          </cell>
          <cell r="AJ1268" t="str">
            <v>- </v>
          </cell>
          <cell r="AL1268">
            <v>1920</v>
          </cell>
          <cell r="AM1268">
            <v>3200</v>
          </cell>
          <cell r="AN1268" t="e">
            <v>#VALUE!</v>
          </cell>
          <cell r="AO1268" t="e">
            <v>#VALUE!</v>
          </cell>
          <cell r="AP1268">
            <v>-1280</v>
          </cell>
        </row>
        <row r="1269">
          <cell r="A1269">
            <v>66800400</v>
          </cell>
          <cell r="B1269">
            <v>40268400</v>
          </cell>
          <cell r="C1269" t="str">
            <v>DV-0003</v>
          </cell>
          <cell r="D1269" t="str">
            <v>MAMA'S KIP TERIYAKI PANDAN GROENTEMIX 400G</v>
          </cell>
          <cell r="E1269" t="str">
            <v>MAMA'S</v>
          </cell>
          <cell r="F1269" t="str">
            <v>40337500 COVIPEEL 32 355mm</v>
          </cell>
          <cell r="G1269" t="str">
            <v>NOVATO B187/60</v>
          </cell>
          <cell r="H1269">
            <v>456</v>
          </cell>
          <cell r="I1269">
            <v>0.4</v>
          </cell>
          <cell r="J1269" t="str">
            <v>H25</v>
          </cell>
          <cell r="K1269" t="str">
            <v>NVT</v>
          </cell>
          <cell r="L1269">
            <v>6</v>
          </cell>
          <cell r="M1269" t="str">
            <v>H25X6</v>
          </cell>
          <cell r="N1269">
            <v>120</v>
          </cell>
          <cell r="O1269">
            <v>8721161411376</v>
          </cell>
          <cell r="P1269" t="str">
            <v>I-L-2T</v>
          </cell>
          <cell r="Q1269">
            <v>3</v>
          </cell>
          <cell r="R1269">
            <v>2</v>
          </cell>
          <cell r="T1269">
            <v>3200</v>
          </cell>
          <cell r="U1269">
            <v>6</v>
          </cell>
          <cell r="V1269">
            <v>3200</v>
          </cell>
          <cell r="W1269">
            <v>7</v>
          </cell>
          <cell r="Z1269">
            <v>4.2000000000000003E-2</v>
          </cell>
          <cell r="AA1269" t="str">
            <v>! ! ! ! !</v>
          </cell>
          <cell r="AB1269">
            <v>22980</v>
          </cell>
          <cell r="AC1269">
            <v>0</v>
          </cell>
          <cell r="AG1269">
            <v>32</v>
          </cell>
          <cell r="AJ1269" t="str">
            <v>- </v>
          </cell>
          <cell r="AL1269">
            <v>1920</v>
          </cell>
          <cell r="AM1269">
            <v>3200</v>
          </cell>
          <cell r="AN1269" t="e">
            <v>#VALUE!</v>
          </cell>
          <cell r="AO1269" t="e">
            <v>#VALUE!</v>
          </cell>
          <cell r="AP1269">
            <v>-1280</v>
          </cell>
        </row>
        <row r="1270">
          <cell r="A1270">
            <v>66800500</v>
          </cell>
          <cell r="B1270">
            <v>40268500</v>
          </cell>
          <cell r="C1270" t="str">
            <v>DV-0004</v>
          </cell>
          <cell r="D1270" t="str">
            <v>MAMA'S KIP PENNE PESTO GROENTEN 400G</v>
          </cell>
          <cell r="E1270" t="str">
            <v>MAMA'S</v>
          </cell>
          <cell r="F1270" t="str">
            <v>40337500 COVIPEEL 32 355mm</v>
          </cell>
          <cell r="G1270" t="str">
            <v>NOVATO B187/60</v>
          </cell>
          <cell r="H1270">
            <v>456</v>
          </cell>
          <cell r="I1270">
            <v>0.4</v>
          </cell>
          <cell r="J1270" t="str">
            <v>H25</v>
          </cell>
          <cell r="K1270" t="str">
            <v>NVT</v>
          </cell>
          <cell r="L1270">
            <v>6</v>
          </cell>
          <cell r="M1270" t="str">
            <v>H25X6</v>
          </cell>
          <cell r="N1270">
            <v>120</v>
          </cell>
          <cell r="O1270">
            <v>8721161411390</v>
          </cell>
          <cell r="P1270" t="str">
            <v>I-L-2T</v>
          </cell>
          <cell r="Q1270">
            <v>3</v>
          </cell>
          <cell r="R1270">
            <v>2</v>
          </cell>
          <cell r="T1270">
            <v>3200</v>
          </cell>
          <cell r="U1270">
            <v>5</v>
          </cell>
          <cell r="V1270">
            <v>3200</v>
          </cell>
          <cell r="W1270">
            <v>6</v>
          </cell>
          <cell r="Z1270">
            <v>4.2000000000000003E-2</v>
          </cell>
          <cell r="AA1270" t="str">
            <v>! ! ! ! !</v>
          </cell>
          <cell r="AB1270">
            <v>16400</v>
          </cell>
          <cell r="AC1270">
            <v>0</v>
          </cell>
          <cell r="AG1270">
            <v>32</v>
          </cell>
          <cell r="AJ1270" t="str">
            <v>- </v>
          </cell>
          <cell r="AL1270">
            <v>1920</v>
          </cell>
          <cell r="AM1270">
            <v>3200</v>
          </cell>
          <cell r="AN1270" t="e">
            <v>#VALUE!</v>
          </cell>
          <cell r="AO1270" t="e">
            <v>#VALUE!</v>
          </cell>
          <cell r="AP1270">
            <v>-1280</v>
          </cell>
        </row>
        <row r="1271">
          <cell r="A1271">
            <v>66800600</v>
          </cell>
          <cell r="B1271">
            <v>40269200</v>
          </cell>
          <cell r="C1271" t="str">
            <v>DV-0008</v>
          </cell>
          <cell r="D1271" t="str">
            <v>MAMA'S BALLETJES ZWEEDSEROOMSAUS STAMPPOT 400G</v>
          </cell>
          <cell r="E1271" t="str">
            <v>MAMA'S</v>
          </cell>
          <cell r="F1271" t="str">
            <v>40337500 COVIPEEL 32 355mm</v>
          </cell>
          <cell r="G1271" t="str">
            <v>NOVATO B187/60</v>
          </cell>
          <cell r="H1271">
            <v>365</v>
          </cell>
          <cell r="I1271">
            <v>0.4</v>
          </cell>
          <cell r="J1271" t="str">
            <v>H25</v>
          </cell>
          <cell r="K1271" t="str">
            <v>NVT</v>
          </cell>
          <cell r="L1271">
            <v>6</v>
          </cell>
          <cell r="M1271" t="str">
            <v>H25X6</v>
          </cell>
          <cell r="N1271">
            <v>120</v>
          </cell>
          <cell r="O1271">
            <v>8721161411475</v>
          </cell>
          <cell r="P1271" t="str">
            <v>I-2H-2T</v>
          </cell>
          <cell r="Q1271">
            <v>2</v>
          </cell>
          <cell r="R1271">
            <v>2</v>
          </cell>
          <cell r="T1271">
            <v>3200</v>
          </cell>
          <cell r="U1271">
            <v>3</v>
          </cell>
          <cell r="V1271">
            <v>3200</v>
          </cell>
          <cell r="W1271">
            <v>4</v>
          </cell>
          <cell r="Z1271">
            <v>4.2000000000000003E-2</v>
          </cell>
          <cell r="AA1271" t="str">
            <v>! !</v>
          </cell>
          <cell r="AB1271">
            <v>16400</v>
          </cell>
          <cell r="AC1271">
            <v>0</v>
          </cell>
          <cell r="AG1271">
            <v>32</v>
          </cell>
          <cell r="AJ1271" t="str">
            <v>V-A</v>
          </cell>
          <cell r="AL1271">
            <v>1920</v>
          </cell>
          <cell r="AM1271">
            <v>3200</v>
          </cell>
          <cell r="AN1271" t="e">
            <v>#VALUE!</v>
          </cell>
          <cell r="AO1271" t="e">
            <v>#VALUE!</v>
          </cell>
          <cell r="AP1271">
            <v>-1280</v>
          </cell>
        </row>
        <row r="1272">
          <cell r="A1272">
            <v>66800700</v>
          </cell>
          <cell r="B1272">
            <v>40269300</v>
          </cell>
          <cell r="C1272" t="str">
            <v>DV-0002</v>
          </cell>
          <cell r="D1272" t="str">
            <v>MAMA'S RISOTTO KIP BOSCHAMPIGNON 400G</v>
          </cell>
          <cell r="E1272" t="str">
            <v>MAMA'S</v>
          </cell>
          <cell r="F1272" t="str">
            <v>40337500 COVIPEEL 32 355mm</v>
          </cell>
          <cell r="G1272" t="str">
            <v>NOVATO B187/60</v>
          </cell>
          <cell r="H1272">
            <v>456</v>
          </cell>
          <cell r="I1272">
            <v>0.4</v>
          </cell>
          <cell r="J1272" t="str">
            <v>H25</v>
          </cell>
          <cell r="K1272" t="str">
            <v>NVT</v>
          </cell>
          <cell r="L1272">
            <v>6</v>
          </cell>
          <cell r="M1272" t="str">
            <v>H25X6</v>
          </cell>
          <cell r="N1272">
            <v>120</v>
          </cell>
          <cell r="O1272">
            <v>8721161411352</v>
          </cell>
          <cell r="P1272" t="str">
            <v>I-L-2T-K</v>
          </cell>
          <cell r="Q1272">
            <v>2</v>
          </cell>
          <cell r="R1272">
            <v>2</v>
          </cell>
          <cell r="T1272">
            <v>3200</v>
          </cell>
          <cell r="U1272">
            <v>3</v>
          </cell>
          <cell r="V1272">
            <v>3200</v>
          </cell>
          <cell r="W1272">
            <v>4</v>
          </cell>
          <cell r="Z1272">
            <v>4.2000000000000003E-2</v>
          </cell>
          <cell r="AA1272" t="str">
            <v>! !</v>
          </cell>
          <cell r="AB1272">
            <v>16400</v>
          </cell>
          <cell r="AC1272">
            <v>0</v>
          </cell>
          <cell r="AG1272">
            <v>32</v>
          </cell>
          <cell r="AJ1272" t="str">
            <v>-</v>
          </cell>
          <cell r="AL1272">
            <v>1920</v>
          </cell>
          <cell r="AM1272">
            <v>3200</v>
          </cell>
          <cell r="AN1272" t="e">
            <v>#VALUE!</v>
          </cell>
          <cell r="AO1272" t="e">
            <v>#VALUE!</v>
          </cell>
          <cell r="AP1272">
            <v>-1280</v>
          </cell>
        </row>
        <row r="1273">
          <cell r="A1273">
            <v>66800800</v>
          </cell>
          <cell r="B1273">
            <v>40269400</v>
          </cell>
          <cell r="C1273" t="str">
            <v>DV-0009</v>
          </cell>
          <cell r="D1273" t="str">
            <v>MAMA'S KABELJAUW MOSTERDSAUS STAMPPOT 400G</v>
          </cell>
          <cell r="E1273" t="str">
            <v>MAMA'S</v>
          </cell>
          <cell r="F1273" t="str">
            <v>40337500 COVIPEEL 32 355mm</v>
          </cell>
          <cell r="G1273" t="str">
            <v>NOVATO B187/60</v>
          </cell>
          <cell r="H1273">
            <v>456</v>
          </cell>
          <cell r="I1273">
            <v>0.4</v>
          </cell>
          <cell r="J1273" t="str">
            <v>H25</v>
          </cell>
          <cell r="K1273" t="str">
            <v>NVT</v>
          </cell>
          <cell r="L1273">
            <v>6</v>
          </cell>
          <cell r="M1273" t="str">
            <v>H25X6</v>
          </cell>
          <cell r="N1273">
            <v>120</v>
          </cell>
          <cell r="O1273">
            <v>8721161411499</v>
          </cell>
          <cell r="P1273" t="str">
            <v>2H-2T</v>
          </cell>
          <cell r="Q1273">
            <v>3</v>
          </cell>
          <cell r="R1273">
            <v>2</v>
          </cell>
          <cell r="T1273">
            <v>3200</v>
          </cell>
          <cell r="U1273">
            <v>4</v>
          </cell>
          <cell r="V1273">
            <v>3200</v>
          </cell>
          <cell r="W1273">
            <v>5</v>
          </cell>
          <cell r="Z1273">
            <v>4.2000000000000003E-2</v>
          </cell>
          <cell r="AA1273" t="str">
            <v>! ! ! !</v>
          </cell>
          <cell r="AB1273">
            <v>16400</v>
          </cell>
          <cell r="AC1273">
            <v>0</v>
          </cell>
          <cell r="AG1273">
            <v>32</v>
          </cell>
          <cell r="AJ1273" t="str">
            <v>V-A</v>
          </cell>
          <cell r="AL1273">
            <v>1920</v>
          </cell>
          <cell r="AM1273">
            <v>3200</v>
          </cell>
          <cell r="AN1273" t="e">
            <v>#VALUE!</v>
          </cell>
          <cell r="AO1273" t="e">
            <v>#VALUE!</v>
          </cell>
          <cell r="AP1273">
            <v>-1280</v>
          </cell>
        </row>
        <row r="1274">
          <cell r="A1274">
            <v>66800900</v>
          </cell>
          <cell r="B1274">
            <v>40269500</v>
          </cell>
          <cell r="C1274" t="str">
            <v>DV-0010</v>
          </cell>
          <cell r="D1274" t="str">
            <v>MAMA'S INDISCHE RENDANG NASI BOONTJES 400G</v>
          </cell>
          <cell r="E1274" t="str">
            <v>MAMA'S</v>
          </cell>
          <cell r="F1274" t="str">
            <v>40337500 COVIPEEL 32 355mm</v>
          </cell>
          <cell r="G1274" t="str">
            <v>NOVATO B187/60</v>
          </cell>
          <cell r="H1274">
            <v>456</v>
          </cell>
          <cell r="I1274">
            <v>0.4</v>
          </cell>
          <cell r="J1274" t="str">
            <v>H25</v>
          </cell>
          <cell r="K1274" t="str">
            <v>NVT</v>
          </cell>
          <cell r="L1274">
            <v>6</v>
          </cell>
          <cell r="M1274" t="str">
            <v>H25X6</v>
          </cell>
          <cell r="N1274">
            <v>120</v>
          </cell>
          <cell r="O1274">
            <v>8721161411512</v>
          </cell>
          <cell r="P1274" t="str">
            <v>I-L-2T</v>
          </cell>
          <cell r="Q1274">
            <v>3</v>
          </cell>
          <cell r="R1274">
            <v>2</v>
          </cell>
          <cell r="S1274" t="str">
            <v>RIJST D-1</v>
          </cell>
          <cell r="T1274">
            <v>3200</v>
          </cell>
          <cell r="U1274">
            <v>6</v>
          </cell>
          <cell r="V1274">
            <v>3200</v>
          </cell>
          <cell r="W1274">
            <v>7</v>
          </cell>
          <cell r="Z1274">
            <v>4.2000000000000003E-2</v>
          </cell>
          <cell r="AA1274" t="str">
            <v>X</v>
          </cell>
          <cell r="AB1274">
            <v>22980</v>
          </cell>
          <cell r="AC1274">
            <v>0</v>
          </cell>
          <cell r="AG1274">
            <v>32</v>
          </cell>
          <cell r="AJ1274" t="str">
            <v>V-A</v>
          </cell>
          <cell r="AL1274">
            <v>1920</v>
          </cell>
          <cell r="AM1274">
            <v>3200</v>
          </cell>
          <cell r="AN1274" t="e">
            <v>#VALUE!</v>
          </cell>
          <cell r="AO1274" t="e">
            <v>#VALUE!</v>
          </cell>
          <cell r="AP1274">
            <v>-1280</v>
          </cell>
        </row>
        <row r="1275">
          <cell r="A1275">
            <v>66801000</v>
          </cell>
          <cell r="B1275">
            <v>40269600</v>
          </cell>
          <cell r="C1275" t="str">
            <v>DV-0005</v>
          </cell>
          <cell r="D1275" t="str">
            <v>MAMA'S ZALM AARDAPPEL ECRASE BONEN LOOKBOTER 400G</v>
          </cell>
          <cell r="E1275" t="str">
            <v>MAMA'S</v>
          </cell>
          <cell r="F1275" t="str">
            <v>40337500 COVIPEEL 32 355mm</v>
          </cell>
          <cell r="G1275" t="str">
            <v>NOVATO B187/60</v>
          </cell>
          <cell r="H1275">
            <v>456</v>
          </cell>
          <cell r="I1275">
            <v>0.4</v>
          </cell>
          <cell r="J1275" t="str">
            <v>H25</v>
          </cell>
          <cell r="K1275" t="str">
            <v>NVT</v>
          </cell>
          <cell r="L1275">
            <v>6</v>
          </cell>
          <cell r="M1275" t="str">
            <v>H25X6</v>
          </cell>
          <cell r="N1275">
            <v>120</v>
          </cell>
          <cell r="O1275">
            <v>8721161411413</v>
          </cell>
          <cell r="P1275" t="str">
            <v>2H-2T</v>
          </cell>
          <cell r="Q1275">
            <v>3</v>
          </cell>
          <cell r="R1275">
            <v>2</v>
          </cell>
          <cell r="S1275" t="str">
            <v>BONEN GAREN IN GERNAL</v>
          </cell>
          <cell r="T1275">
            <v>3200</v>
          </cell>
          <cell r="U1275">
            <v>7</v>
          </cell>
          <cell r="V1275">
            <v>3200</v>
          </cell>
          <cell r="W1275">
            <v>8</v>
          </cell>
          <cell r="Z1275">
            <v>4.2000000000000003E-2</v>
          </cell>
          <cell r="AA1275" t="str">
            <v>! ! ! !</v>
          </cell>
          <cell r="AB1275">
            <v>16400</v>
          </cell>
          <cell r="AC1275">
            <v>0</v>
          </cell>
          <cell r="AG1275">
            <v>32</v>
          </cell>
          <cell r="AJ1275" t="str">
            <v>-</v>
          </cell>
          <cell r="AL1275">
            <v>1920</v>
          </cell>
          <cell r="AM1275">
            <v>3200</v>
          </cell>
          <cell r="AN1275" t="e">
            <v>#VALUE!</v>
          </cell>
          <cell r="AO1275" t="e">
            <v>#VALUE!</v>
          </cell>
          <cell r="AP1275">
            <v>-1280</v>
          </cell>
        </row>
        <row r="1276">
          <cell r="A1276">
            <v>66801500</v>
          </cell>
          <cell r="B1276">
            <v>40268500</v>
          </cell>
          <cell r="C1276">
            <v>66801500</v>
          </cell>
          <cell r="D1276" t="str">
            <v>MAMA'S KIP PENNE PESTO GROENTEN 400G</v>
          </cell>
          <cell r="E1276" t="str">
            <v>MAMA'S</v>
          </cell>
          <cell r="F1276" t="str">
            <v>40337500 COVIPEEL 32 355mm</v>
          </cell>
          <cell r="G1276" t="str">
            <v>NOVATO B187/60</v>
          </cell>
          <cell r="H1276">
            <v>456</v>
          </cell>
          <cell r="I1276">
            <v>0.4</v>
          </cell>
          <cell r="J1276" t="str">
            <v>H25</v>
          </cell>
          <cell r="K1276" t="str">
            <v>NVT</v>
          </cell>
          <cell r="L1276">
            <v>5</v>
          </cell>
          <cell r="M1276" t="str">
            <v>Shrink H25 x 5</v>
          </cell>
          <cell r="N1276">
            <v>154</v>
          </cell>
          <cell r="O1276">
            <v>8721249768545</v>
          </cell>
          <cell r="P1276" t="str">
            <v>I-L-2T</v>
          </cell>
          <cell r="Q1276">
            <v>3</v>
          </cell>
          <cell r="R1276">
            <v>2</v>
          </cell>
          <cell r="T1276">
            <v>3200</v>
          </cell>
          <cell r="U1276">
            <v>5</v>
          </cell>
          <cell r="V1276">
            <v>3200</v>
          </cell>
          <cell r="W1276">
            <v>6</v>
          </cell>
          <cell r="Z1276">
            <v>4.2000000000000003E-2</v>
          </cell>
          <cell r="AA1276" t="str">
            <v>! ! ! ! !</v>
          </cell>
          <cell r="AB1276">
            <v>16400</v>
          </cell>
          <cell r="AC1276">
            <v>0</v>
          </cell>
          <cell r="AG1276">
            <v>32</v>
          </cell>
          <cell r="AJ1276" t="str">
            <v>- </v>
          </cell>
          <cell r="AL1276">
            <v>1920</v>
          </cell>
          <cell r="AM1276">
            <v>3200</v>
          </cell>
          <cell r="AN1276" t="e">
            <v>#VALUE!</v>
          </cell>
          <cell r="AO1276" t="e">
            <v>#VALUE!</v>
          </cell>
          <cell r="AP1276">
            <v>-1280</v>
          </cell>
        </row>
        <row r="1277">
          <cell r="A1277">
            <v>66801600</v>
          </cell>
          <cell r="B1277">
            <v>40269200</v>
          </cell>
          <cell r="C1277">
            <v>66801600</v>
          </cell>
          <cell r="D1277" t="str">
            <v>MAMA'S BALLETJES ZWEEDSEROOMSAUS STAMPPOT 400G</v>
          </cell>
          <cell r="E1277" t="str">
            <v>MAMA'S</v>
          </cell>
          <cell r="F1277" t="str">
            <v>40337500 COVIPEEL 32 355mm</v>
          </cell>
          <cell r="G1277" t="str">
            <v>NOVATO B187/60</v>
          </cell>
          <cell r="H1277">
            <v>365</v>
          </cell>
          <cell r="I1277">
            <v>0.4</v>
          </cell>
          <cell r="J1277" t="str">
            <v>H25</v>
          </cell>
          <cell r="K1277" t="str">
            <v>NVT</v>
          </cell>
          <cell r="L1277">
            <v>5</v>
          </cell>
          <cell r="M1277" t="str">
            <v>Shrink H25 x 5</v>
          </cell>
          <cell r="N1277">
            <v>154</v>
          </cell>
          <cell r="O1277">
            <v>8721249768583</v>
          </cell>
          <cell r="P1277" t="str">
            <v>I-2H-2T</v>
          </cell>
          <cell r="Q1277">
            <v>2</v>
          </cell>
          <cell r="R1277">
            <v>2</v>
          </cell>
          <cell r="T1277">
            <v>3200</v>
          </cell>
          <cell r="U1277">
            <v>3</v>
          </cell>
          <cell r="V1277">
            <v>3200</v>
          </cell>
          <cell r="W1277">
            <v>4</v>
          </cell>
          <cell r="Z1277">
            <v>4.2000000000000003E-2</v>
          </cell>
          <cell r="AA1277" t="str">
            <v>! !</v>
          </cell>
          <cell r="AB1277">
            <v>16400</v>
          </cell>
          <cell r="AC1277">
            <v>0</v>
          </cell>
          <cell r="AG1277">
            <v>32</v>
          </cell>
          <cell r="AJ1277" t="str">
            <v>V-A</v>
          </cell>
          <cell r="AL1277">
            <v>1920</v>
          </cell>
          <cell r="AM1277">
            <v>3200</v>
          </cell>
          <cell r="AN1277" t="e">
            <v>#VALUE!</v>
          </cell>
          <cell r="AO1277" t="e">
            <v>#VALUE!</v>
          </cell>
          <cell r="AP1277">
            <v>-1280</v>
          </cell>
        </row>
        <row r="1278">
          <cell r="A1278">
            <v>66801800</v>
          </cell>
          <cell r="B1278">
            <v>40269400</v>
          </cell>
          <cell r="C1278">
            <v>66801800</v>
          </cell>
          <cell r="D1278" t="str">
            <v>MAMA'S KABELJAUW MOSTERDSAUS STAMPPOT 400G</v>
          </cell>
          <cell r="E1278" t="str">
            <v>MAMA'S</v>
          </cell>
          <cell r="F1278" t="str">
            <v>355mm</v>
          </cell>
          <cell r="G1278" t="str">
            <v>NOVATO KRAFT</v>
          </cell>
          <cell r="H1278">
            <v>456</v>
          </cell>
          <cell r="I1278">
            <v>0.4</v>
          </cell>
          <cell r="J1278" t="str">
            <v>H25</v>
          </cell>
          <cell r="K1278" t="str">
            <v>NVT</v>
          </cell>
          <cell r="L1278">
            <v>5</v>
          </cell>
          <cell r="M1278" t="str">
            <v>Shrink H25 x 5</v>
          </cell>
          <cell r="N1278">
            <v>154</v>
          </cell>
          <cell r="O1278">
            <v>8721249768590</v>
          </cell>
          <cell r="P1278" t="str">
            <v>2H-2T</v>
          </cell>
          <cell r="Q1278">
            <v>3</v>
          </cell>
          <cell r="R1278">
            <v>2</v>
          </cell>
          <cell r="T1278">
            <v>3500</v>
          </cell>
          <cell r="U1278">
            <v>4</v>
          </cell>
          <cell r="V1278">
            <v>3500</v>
          </cell>
          <cell r="W1278">
            <v>5</v>
          </cell>
          <cell r="X1278">
            <v>0</v>
          </cell>
          <cell r="Y1278">
            <v>0</v>
          </cell>
          <cell r="Z1278">
            <v>4.2999999999999997E-2</v>
          </cell>
          <cell r="AA1278" t="str">
            <v>! ! ! !</v>
          </cell>
          <cell r="AB1278">
            <v>26810</v>
          </cell>
          <cell r="AC1278">
            <v>0</v>
          </cell>
          <cell r="AG1278">
            <v>68</v>
          </cell>
          <cell r="AJ1278" t="str">
            <v>V-A</v>
          </cell>
          <cell r="AL1278">
            <v>4080</v>
          </cell>
          <cell r="AM1278">
            <v>3500</v>
          </cell>
          <cell r="AN1278" t="e">
            <v>#VALUE!</v>
          </cell>
          <cell r="AO1278" t="e">
            <v>#VALUE!</v>
          </cell>
          <cell r="AP1278">
            <v>580</v>
          </cell>
        </row>
        <row r="1279">
          <cell r="A1279">
            <v>66801900</v>
          </cell>
          <cell r="B1279">
            <v>40269500</v>
          </cell>
          <cell r="C1279">
            <v>66801900</v>
          </cell>
          <cell r="D1279" t="str">
            <v>MAMA'S INDISCHE RENDANG NASI BOONTJES 400G</v>
          </cell>
          <cell r="E1279" t="str">
            <v>MAMA'S</v>
          </cell>
          <cell r="F1279" t="str">
            <v>40337500 COVIPEEL 32 355mm</v>
          </cell>
          <cell r="G1279" t="str">
            <v>NOVATO B187/60</v>
          </cell>
          <cell r="H1279">
            <v>456</v>
          </cell>
          <cell r="I1279">
            <v>0.4</v>
          </cell>
          <cell r="J1279" t="str">
            <v>H25</v>
          </cell>
          <cell r="K1279" t="str">
            <v>NVT</v>
          </cell>
          <cell r="L1279">
            <v>5</v>
          </cell>
          <cell r="M1279" t="str">
            <v>Shrink H25 x 5</v>
          </cell>
          <cell r="N1279">
            <v>154</v>
          </cell>
          <cell r="O1279">
            <v>8721249768606</v>
          </cell>
          <cell r="P1279" t="str">
            <v>I-L-2T</v>
          </cell>
          <cell r="Q1279">
            <v>3</v>
          </cell>
          <cell r="R1279">
            <v>2</v>
          </cell>
          <cell r="S1279" t="str">
            <v>RIJST D-1</v>
          </cell>
          <cell r="T1279">
            <v>3200</v>
          </cell>
          <cell r="U1279">
            <v>6</v>
          </cell>
          <cell r="V1279">
            <v>3200</v>
          </cell>
          <cell r="W1279">
            <v>7</v>
          </cell>
          <cell r="Z1279">
            <v>4.2000000000000003E-2</v>
          </cell>
          <cell r="AA1279" t="str">
            <v>X</v>
          </cell>
          <cell r="AB1279">
            <v>22980</v>
          </cell>
          <cell r="AC1279">
            <v>0</v>
          </cell>
          <cell r="AG1279">
            <v>32</v>
          </cell>
          <cell r="AJ1279" t="str">
            <v>V-A</v>
          </cell>
          <cell r="AL1279">
            <v>1920</v>
          </cell>
          <cell r="AM1279">
            <v>3200</v>
          </cell>
          <cell r="AN1279" t="e">
            <v>#VALUE!</v>
          </cell>
          <cell r="AO1279" t="e">
            <v>#VALUE!</v>
          </cell>
          <cell r="AP1279">
            <v>-1280</v>
          </cell>
        </row>
        <row r="1280">
          <cell r="A1280">
            <v>66802000</v>
          </cell>
          <cell r="B1280">
            <v>40278700</v>
          </cell>
          <cell r="C1280">
            <v>66802000</v>
          </cell>
          <cell r="D1280" t="str">
            <v>MAMA'S LINGUINE ZALM LOOKBOTER GROENTEMIX 400G</v>
          </cell>
          <cell r="E1280" t="str">
            <v>MAMA'S</v>
          </cell>
          <cell r="F1280" t="str">
            <v>355mm</v>
          </cell>
          <cell r="G1280" t="str">
            <v>NOVATO KRAFT</v>
          </cell>
          <cell r="H1280">
            <v>456</v>
          </cell>
          <cell r="I1280">
            <v>0.4</v>
          </cell>
          <cell r="J1280" t="str">
            <v>H25</v>
          </cell>
          <cell r="K1280" t="str">
            <v>NVT</v>
          </cell>
          <cell r="L1280">
            <v>5</v>
          </cell>
          <cell r="M1280" t="str">
            <v>Shrink H25 x 5</v>
          </cell>
          <cell r="N1280">
            <v>154</v>
          </cell>
          <cell r="O1280">
            <v>8721325521217</v>
          </cell>
          <cell r="P1280" t="str">
            <v>I-L-2T</v>
          </cell>
          <cell r="Q1280">
            <v>3</v>
          </cell>
          <cell r="R1280">
            <v>2</v>
          </cell>
          <cell r="T1280">
            <v>3500</v>
          </cell>
          <cell r="U1280">
            <v>5</v>
          </cell>
          <cell r="V1280">
            <v>3500</v>
          </cell>
          <cell r="W1280">
            <v>5</v>
          </cell>
          <cell r="Z1280">
            <v>4.2000000000000003E-2</v>
          </cell>
          <cell r="AA1280" t="str">
            <v>! ! ! !</v>
          </cell>
          <cell r="AB1280">
            <v>26810</v>
          </cell>
          <cell r="AG1280">
            <v>68</v>
          </cell>
          <cell r="AJ1280" t="str">
            <v>-</v>
          </cell>
          <cell r="AL1280">
            <v>4080</v>
          </cell>
          <cell r="AM1280">
            <v>3500</v>
          </cell>
          <cell r="AN1280" t="e">
            <v>#VALUE!</v>
          </cell>
          <cell r="AO1280" t="e">
            <v>#VALUE!</v>
          </cell>
          <cell r="AP1280">
            <v>580</v>
          </cell>
        </row>
        <row r="1281">
          <cell r="A1281">
            <v>66802100</v>
          </cell>
          <cell r="B1281">
            <v>40282000</v>
          </cell>
          <cell r="C1281">
            <v>66802100</v>
          </cell>
          <cell r="D1281" t="str">
            <v>MAMA'S KIP TERIYAKI PANDAN GROENTEMIX NL FR D 400G</v>
          </cell>
          <cell r="E1281" t="str">
            <v>MAMA'S</v>
          </cell>
          <cell r="F1281" t="str">
            <v>355mm</v>
          </cell>
          <cell r="G1281" t="str">
            <v>NOVATO KRAFT</v>
          </cell>
          <cell r="H1281">
            <v>456</v>
          </cell>
          <cell r="I1281">
            <v>0.4</v>
          </cell>
          <cell r="J1281" t="str">
            <v>H25</v>
          </cell>
          <cell r="K1281" t="str">
            <v>NVT</v>
          </cell>
          <cell r="L1281">
            <v>5</v>
          </cell>
          <cell r="M1281" t="str">
            <v>Shrink H25 x 5</v>
          </cell>
          <cell r="N1281">
            <v>154</v>
          </cell>
          <cell r="O1281">
            <v>8721325521828</v>
          </cell>
          <cell r="P1281" t="str">
            <v>I-L-2T</v>
          </cell>
          <cell r="Q1281">
            <v>3</v>
          </cell>
          <cell r="R1281">
            <v>2</v>
          </cell>
          <cell r="T1281">
            <v>3500</v>
          </cell>
          <cell r="U1281">
            <v>6</v>
          </cell>
          <cell r="V1281">
            <v>3500</v>
          </cell>
          <cell r="W1281">
            <v>7</v>
          </cell>
          <cell r="X1281">
            <v>0</v>
          </cell>
          <cell r="Y1281">
            <v>0</v>
          </cell>
          <cell r="Z1281">
            <v>4.2999999999999997E-2</v>
          </cell>
          <cell r="AA1281" t="str">
            <v>! ! ! ! !</v>
          </cell>
          <cell r="AB1281">
            <v>26810</v>
          </cell>
          <cell r="AC1281">
            <v>0</v>
          </cell>
          <cell r="AG1281">
            <v>68</v>
          </cell>
          <cell r="AJ1281" t="str">
            <v>- </v>
          </cell>
          <cell r="AL1281">
            <v>4080</v>
          </cell>
          <cell r="AM1281">
            <v>3500</v>
          </cell>
          <cell r="AN1281" t="e">
            <v>#VALUE!</v>
          </cell>
          <cell r="AO1281" t="e">
            <v>#VALUE!</v>
          </cell>
          <cell r="AP1281">
            <v>580</v>
          </cell>
        </row>
        <row r="1282">
          <cell r="A1282">
            <v>66802200</v>
          </cell>
          <cell r="B1282">
            <v>40282100</v>
          </cell>
          <cell r="C1282">
            <v>66802200</v>
          </cell>
          <cell r="D1282" t="str">
            <v>MAMA'S RISOTTO KIP BOSCHAMPIGNON NL FR D 400G</v>
          </cell>
          <cell r="E1282" t="str">
            <v>MAMA'S</v>
          </cell>
          <cell r="F1282" t="str">
            <v>355mm</v>
          </cell>
          <cell r="G1282" t="str">
            <v>NOVATO KRAFT</v>
          </cell>
          <cell r="H1282">
            <v>456</v>
          </cell>
          <cell r="I1282">
            <v>0.4</v>
          </cell>
          <cell r="J1282" t="str">
            <v>H25</v>
          </cell>
          <cell r="K1282" t="str">
            <v>NVT</v>
          </cell>
          <cell r="L1282">
            <v>5</v>
          </cell>
          <cell r="M1282" t="str">
            <v>Shrink H25 x 5</v>
          </cell>
          <cell r="N1282">
            <v>154</v>
          </cell>
          <cell r="O1282">
            <v>8721325521835</v>
          </cell>
          <cell r="P1282" t="str">
            <v>I-L-2T-K</v>
          </cell>
          <cell r="Q1282">
            <v>2</v>
          </cell>
          <cell r="R1282">
            <v>2</v>
          </cell>
          <cell r="T1282">
            <v>3500</v>
          </cell>
          <cell r="U1282">
            <v>3</v>
          </cell>
          <cell r="V1282">
            <v>3500</v>
          </cell>
          <cell r="W1282">
            <v>4</v>
          </cell>
          <cell r="X1282">
            <v>0</v>
          </cell>
          <cell r="Y1282">
            <v>0</v>
          </cell>
          <cell r="Z1282">
            <v>4.2999999999999997E-2</v>
          </cell>
          <cell r="AA1282" t="str">
            <v>! !</v>
          </cell>
          <cell r="AB1282">
            <v>26810</v>
          </cell>
          <cell r="AC1282">
            <v>0</v>
          </cell>
          <cell r="AG1282">
            <v>68</v>
          </cell>
          <cell r="AJ1282" t="str">
            <v>-</v>
          </cell>
          <cell r="AL1282">
            <v>4080</v>
          </cell>
          <cell r="AM1282">
            <v>3500</v>
          </cell>
          <cell r="AN1282" t="e">
            <v>#VALUE!</v>
          </cell>
          <cell r="AO1282" t="e">
            <v>#VALUE!</v>
          </cell>
          <cell r="AP1282">
            <v>580</v>
          </cell>
        </row>
        <row r="1283">
          <cell r="A1283">
            <v>66802300</v>
          </cell>
          <cell r="B1283">
            <v>40284100</v>
          </cell>
          <cell r="C1283">
            <v>66802300</v>
          </cell>
          <cell r="D1283" t="str">
            <v>MAMA'S BABI PANGANG RIJST SOJABONEN NL-FR-D 400G</v>
          </cell>
          <cell r="E1283" t="str">
            <v>MAMA'S</v>
          </cell>
          <cell r="F1283" t="str">
            <v>355mm</v>
          </cell>
          <cell r="G1283" t="str">
            <v>NOVATO KRAFT</v>
          </cell>
          <cell r="H1283">
            <v>365</v>
          </cell>
          <cell r="I1283">
            <v>0.4</v>
          </cell>
          <cell r="J1283" t="str">
            <v>H25</v>
          </cell>
          <cell r="K1283" t="str">
            <v>NVT</v>
          </cell>
          <cell r="L1283">
            <v>5</v>
          </cell>
          <cell r="M1283" t="str">
            <v>Shrink H25 x 5</v>
          </cell>
          <cell r="N1283">
            <v>154</v>
          </cell>
          <cell r="O1283">
            <v>8721325521866</v>
          </cell>
          <cell r="P1283" t="str">
            <v>I-L-2T</v>
          </cell>
          <cell r="Q1283">
            <v>3</v>
          </cell>
          <cell r="R1283">
            <v>2</v>
          </cell>
          <cell r="T1283">
            <v>3500</v>
          </cell>
          <cell r="U1283">
            <v>6</v>
          </cell>
          <cell r="V1283">
            <v>3500</v>
          </cell>
          <cell r="W1283">
            <v>7</v>
          </cell>
          <cell r="X1283">
            <v>0</v>
          </cell>
          <cell r="Y1283">
            <v>0</v>
          </cell>
          <cell r="Z1283">
            <v>4.2999999999999997E-2</v>
          </cell>
          <cell r="AA1283" t="str">
            <v>! ! ! ! !</v>
          </cell>
          <cell r="AB1283">
            <v>26810</v>
          </cell>
          <cell r="AC1283">
            <v>0</v>
          </cell>
          <cell r="AG1283">
            <v>68</v>
          </cell>
          <cell r="AJ1283" t="str">
            <v>V-A </v>
          </cell>
          <cell r="AK1283" t="str">
            <v>ja</v>
          </cell>
          <cell r="AL1283">
            <v>4080</v>
          </cell>
          <cell r="AM1283">
            <v>3500</v>
          </cell>
          <cell r="AN1283" t="e">
            <v>#VALUE!</v>
          </cell>
          <cell r="AO1283" t="e">
            <v>#VALUE!</v>
          </cell>
          <cell r="AP1283">
            <v>580</v>
          </cell>
        </row>
        <row r="1284">
          <cell r="A1284">
            <v>66802400</v>
          </cell>
          <cell r="B1284">
            <v>40285100</v>
          </cell>
          <cell r="C1284">
            <v>66802400</v>
          </cell>
          <cell r="D1284" t="str">
            <v>MAMA'S LINGUINE ZALM LOOKBOTER GROENTEMIX NL-FR-D 400G</v>
          </cell>
          <cell r="E1284" t="str">
            <v>MAMA'S</v>
          </cell>
          <cell r="F1284" t="str">
            <v>355mm</v>
          </cell>
          <cell r="G1284" t="str">
            <v>NOVATO KRAFT</v>
          </cell>
          <cell r="H1284">
            <v>456</v>
          </cell>
          <cell r="I1284">
            <v>0.4</v>
          </cell>
          <cell r="J1284" t="str">
            <v>H25</v>
          </cell>
          <cell r="K1284" t="str">
            <v>NVT</v>
          </cell>
          <cell r="L1284">
            <v>5</v>
          </cell>
          <cell r="M1284" t="str">
            <v>Shrink H25 x 5</v>
          </cell>
          <cell r="N1284">
            <v>154</v>
          </cell>
          <cell r="O1284">
            <v>8721325521873</v>
          </cell>
          <cell r="P1284" t="str">
            <v>I-L-2T</v>
          </cell>
          <cell r="Q1284">
            <v>3</v>
          </cell>
          <cell r="R1284">
            <v>2</v>
          </cell>
          <cell r="T1284">
            <v>3500</v>
          </cell>
          <cell r="U1284">
            <v>6</v>
          </cell>
          <cell r="V1284">
            <v>3500</v>
          </cell>
          <cell r="W1284">
            <v>6</v>
          </cell>
          <cell r="Z1284">
            <v>4.2999999999999997E-2</v>
          </cell>
          <cell r="AA1284" t="str">
            <v>! ! ! !</v>
          </cell>
          <cell r="AG1284">
            <v>68</v>
          </cell>
          <cell r="AJ1284" t="str">
            <v>-</v>
          </cell>
          <cell r="AK1284" t="str">
            <v>ja</v>
          </cell>
          <cell r="AL1284">
            <v>4080</v>
          </cell>
          <cell r="AM1284">
            <v>3500</v>
          </cell>
          <cell r="AN1284" t="e">
            <v>#VALUE!</v>
          </cell>
          <cell r="AO1284" t="e">
            <v>#VALUE!</v>
          </cell>
          <cell r="AP1284">
            <v>580</v>
          </cell>
        </row>
        <row r="1285">
          <cell r="A1285">
            <v>66810100</v>
          </cell>
          <cell r="B1285">
            <v>40268600</v>
          </cell>
          <cell r="C1285" t="str">
            <v>Nvt</v>
          </cell>
          <cell r="D1285" t="str">
            <v>FITMEALS EW KIP RIJST TERIYAKI HALAL 425G</v>
          </cell>
          <cell r="E1285" t="str">
            <v>FITMEALS</v>
          </cell>
          <cell r="F1285" t="str">
            <v>40337500 COVIPEEL 32 355mm</v>
          </cell>
          <cell r="G1285" t="str">
            <v>NOVATO B187/60</v>
          </cell>
          <cell r="H1285">
            <v>548</v>
          </cell>
          <cell r="I1285">
            <v>0.42499999999999999</v>
          </cell>
          <cell r="J1285" t="str">
            <v>H25</v>
          </cell>
          <cell r="K1285" t="str">
            <v>NVT</v>
          </cell>
          <cell r="L1285">
            <v>6</v>
          </cell>
          <cell r="M1285" t="str">
            <v>H25X6</v>
          </cell>
          <cell r="N1285">
            <v>120</v>
          </cell>
          <cell r="O1285">
            <v>8721082520430</v>
          </cell>
          <cell r="P1285" t="str">
            <v>I-L-2T</v>
          </cell>
          <cell r="Q1285">
            <v>2</v>
          </cell>
          <cell r="R1285">
            <v>4</v>
          </cell>
          <cell r="T1285">
            <v>3200</v>
          </cell>
          <cell r="U1285">
            <v>6</v>
          </cell>
          <cell r="V1285">
            <v>3200</v>
          </cell>
          <cell r="W1285">
            <v>7</v>
          </cell>
          <cell r="X1285">
            <v>0</v>
          </cell>
          <cell r="Y1285">
            <v>0</v>
          </cell>
          <cell r="Z1285">
            <v>4.2000000000000003E-2</v>
          </cell>
          <cell r="AA1285" t="str">
            <v>! ! ! ! !</v>
          </cell>
          <cell r="AB1285">
            <v>7000</v>
          </cell>
          <cell r="AC1285">
            <v>0</v>
          </cell>
          <cell r="AG1285">
            <v>32</v>
          </cell>
          <cell r="AJ1285" t="str">
            <v>-</v>
          </cell>
          <cell r="AL1285">
            <v>1920</v>
          </cell>
          <cell r="AM1285">
            <v>3200</v>
          </cell>
          <cell r="AN1285" t="e">
            <v>#VALUE!</v>
          </cell>
          <cell r="AO1285" t="e">
            <v>#VALUE!</v>
          </cell>
          <cell r="AP1285">
            <v>-1280</v>
          </cell>
        </row>
        <row r="1286">
          <cell r="A1286">
            <v>66810200</v>
          </cell>
          <cell r="B1286">
            <v>40268700</v>
          </cell>
          <cell r="C1286" t="str">
            <v>Nvt</v>
          </cell>
          <cell r="D1286" t="str">
            <v>FITMEALS EW PULLED KIP CURRY HALAL 425G</v>
          </cell>
          <cell r="E1286" t="str">
            <v>FITMEALS</v>
          </cell>
          <cell r="F1286" t="str">
            <v>40337500 COVIPEEL 32 355mm</v>
          </cell>
          <cell r="G1286" t="str">
            <v>NOVATO B187/60</v>
          </cell>
          <cell r="H1286">
            <v>548</v>
          </cell>
          <cell r="I1286">
            <v>0.42499999999999999</v>
          </cell>
          <cell r="J1286" t="str">
            <v>H25</v>
          </cell>
          <cell r="K1286" t="str">
            <v>NVT</v>
          </cell>
          <cell r="L1286">
            <v>6</v>
          </cell>
          <cell r="M1286" t="str">
            <v>H25X6</v>
          </cell>
          <cell r="N1286">
            <v>120</v>
          </cell>
          <cell r="O1286">
            <v>8721082520416</v>
          </cell>
          <cell r="P1286" t="str">
            <v>L-2T</v>
          </cell>
          <cell r="Q1286">
            <v>2</v>
          </cell>
          <cell r="R1286">
            <v>4</v>
          </cell>
          <cell r="S1286" t="str">
            <v>PULLED CHICKEN D-2 ontdooien</v>
          </cell>
          <cell r="T1286">
            <v>3200</v>
          </cell>
          <cell r="U1286">
            <v>6</v>
          </cell>
          <cell r="V1286">
            <v>3200</v>
          </cell>
          <cell r="W1286">
            <v>7</v>
          </cell>
          <cell r="X1286">
            <v>0</v>
          </cell>
          <cell r="Y1286">
            <v>0</v>
          </cell>
          <cell r="Z1286">
            <v>4.2000000000000003E-2</v>
          </cell>
          <cell r="AA1286" t="str">
            <v>! ! !</v>
          </cell>
          <cell r="AB1286">
            <v>7000</v>
          </cell>
          <cell r="AC1286">
            <v>0</v>
          </cell>
          <cell r="AG1286">
            <v>32</v>
          </cell>
          <cell r="AJ1286" t="str">
            <v>-</v>
          </cell>
          <cell r="AL1286">
            <v>1920</v>
          </cell>
          <cell r="AM1286">
            <v>3200</v>
          </cell>
          <cell r="AN1286" t="e">
            <v>#VALUE!</v>
          </cell>
          <cell r="AO1286" t="e">
            <v>#VALUE!</v>
          </cell>
          <cell r="AP1286">
            <v>-1280</v>
          </cell>
        </row>
        <row r="1287">
          <cell r="A1287">
            <v>66810300</v>
          </cell>
          <cell r="B1287">
            <v>40268800</v>
          </cell>
          <cell r="C1287">
            <v>66810300</v>
          </cell>
          <cell r="D1287" t="str">
            <v>FITMEALS EW KIP PASTA HALAL 425G</v>
          </cell>
          <cell r="E1287" t="str">
            <v>FITMEALS</v>
          </cell>
          <cell r="F1287" t="str">
            <v>40337500 COVIPEEL 32 355mm</v>
          </cell>
          <cell r="G1287" t="str">
            <v>NOVATO B187/60</v>
          </cell>
          <cell r="H1287">
            <v>548</v>
          </cell>
          <cell r="I1287">
            <v>0.42499999999999999</v>
          </cell>
          <cell r="J1287" t="str">
            <v>H25</v>
          </cell>
          <cell r="K1287" t="str">
            <v>NVT</v>
          </cell>
          <cell r="L1287">
            <v>6</v>
          </cell>
          <cell r="M1287" t="str">
            <v>H25X6</v>
          </cell>
          <cell r="N1287">
            <v>120</v>
          </cell>
          <cell r="O1287">
            <v>8721082520379</v>
          </cell>
          <cell r="P1287" t="str">
            <v>I-L-2T</v>
          </cell>
          <cell r="Q1287">
            <v>2</v>
          </cell>
          <cell r="R1287">
            <v>2</v>
          </cell>
          <cell r="T1287">
            <v>3200</v>
          </cell>
          <cell r="U1287">
            <v>7</v>
          </cell>
          <cell r="V1287">
            <v>3200</v>
          </cell>
          <cell r="W1287">
            <v>8</v>
          </cell>
          <cell r="X1287">
            <v>0</v>
          </cell>
          <cell r="Y1287">
            <v>0</v>
          </cell>
          <cell r="Z1287">
            <v>4.2000000000000003E-2</v>
          </cell>
          <cell r="AA1287" t="str">
            <v>! !</v>
          </cell>
          <cell r="AB1287">
            <v>7000</v>
          </cell>
          <cell r="AC1287">
            <v>0</v>
          </cell>
          <cell r="AG1287">
            <v>32</v>
          </cell>
          <cell r="AJ1287" t="str">
            <v>-</v>
          </cell>
          <cell r="AL1287">
            <v>1920</v>
          </cell>
          <cell r="AM1287">
            <v>3200</v>
          </cell>
          <cell r="AN1287" t="e">
            <v>#VALUE!</v>
          </cell>
          <cell r="AO1287" t="e">
            <v>#VALUE!</v>
          </cell>
          <cell r="AP1287">
            <v>-1280</v>
          </cell>
        </row>
        <row r="1288">
          <cell r="A1288">
            <v>66810400</v>
          </cell>
          <cell r="B1288">
            <v>40268900</v>
          </cell>
          <cell r="C1288">
            <v>66810400</v>
          </cell>
          <cell r="D1288" t="str">
            <v>FITMEALS EW SPAGHETTI BOLOGNAISE  425G</v>
          </cell>
          <cell r="E1288" t="str">
            <v>FITMEALS</v>
          </cell>
          <cell r="F1288" t="str">
            <v>40337500 COVIPEEL 32 355mm</v>
          </cell>
          <cell r="G1288" t="str">
            <v>NOVATO B187/60</v>
          </cell>
          <cell r="H1288">
            <v>548</v>
          </cell>
          <cell r="I1288">
            <v>0.42499999999999999</v>
          </cell>
          <cell r="J1288" t="str">
            <v>H25</v>
          </cell>
          <cell r="K1288" t="str">
            <v>NVT</v>
          </cell>
          <cell r="L1288">
            <v>6</v>
          </cell>
          <cell r="M1288" t="str">
            <v>H25X6</v>
          </cell>
          <cell r="N1288">
            <v>120</v>
          </cell>
          <cell r="O1288">
            <v>8721082520461</v>
          </cell>
          <cell r="P1288" t="str">
            <v>L-2T</v>
          </cell>
          <cell r="Q1288">
            <v>2</v>
          </cell>
          <cell r="R1288">
            <v>2</v>
          </cell>
          <cell r="T1288">
            <v>3200</v>
          </cell>
          <cell r="U1288">
            <v>6</v>
          </cell>
          <cell r="V1288">
            <v>3200</v>
          </cell>
          <cell r="W1288">
            <v>7</v>
          </cell>
          <cell r="X1288">
            <v>0</v>
          </cell>
          <cell r="Y1288">
            <v>0</v>
          </cell>
          <cell r="Z1288">
            <v>4.2000000000000003E-2</v>
          </cell>
          <cell r="AA1288" t="str">
            <v>! ! !</v>
          </cell>
          <cell r="AB1288">
            <v>7000</v>
          </cell>
          <cell r="AC1288">
            <v>0</v>
          </cell>
          <cell r="AG1288">
            <v>32</v>
          </cell>
          <cell r="AJ1288" t="str">
            <v>-</v>
          </cell>
          <cell r="AL1288">
            <v>1920</v>
          </cell>
          <cell r="AM1288">
            <v>3200</v>
          </cell>
          <cell r="AN1288" t="e">
            <v>#VALUE!</v>
          </cell>
          <cell r="AO1288" t="e">
            <v>#VALUE!</v>
          </cell>
          <cell r="AP1288">
            <v>-1280</v>
          </cell>
        </row>
        <row r="1289">
          <cell r="A1289">
            <v>66810500</v>
          </cell>
          <cell r="B1289">
            <v>40269000</v>
          </cell>
          <cell r="C1289" t="str">
            <v>Nvt</v>
          </cell>
          <cell r="D1289" t="str">
            <v>FITMEALS EW KIP SATE RIJST HALAL 425G</v>
          </cell>
          <cell r="E1289" t="str">
            <v>FITMEALS</v>
          </cell>
          <cell r="F1289" t="str">
            <v>40337500 COVIPEEL 32 355mm</v>
          </cell>
          <cell r="G1289" t="str">
            <v>NOVATO B187/60</v>
          </cell>
          <cell r="H1289">
            <v>548</v>
          </cell>
          <cell r="I1289">
            <v>0.42499999999999999</v>
          </cell>
          <cell r="J1289" t="str">
            <v>H25</v>
          </cell>
          <cell r="K1289" t="str">
            <v>NVT</v>
          </cell>
          <cell r="L1289">
            <v>6</v>
          </cell>
          <cell r="M1289" t="str">
            <v>H25X6</v>
          </cell>
          <cell r="N1289">
            <v>120</v>
          </cell>
          <cell r="O1289">
            <v>8721082520393</v>
          </cell>
          <cell r="P1289" t="str">
            <v>I-L-2T</v>
          </cell>
          <cell r="Q1289">
            <v>3</v>
          </cell>
          <cell r="R1289">
            <v>4</v>
          </cell>
          <cell r="T1289">
            <v>3200</v>
          </cell>
          <cell r="U1289">
            <v>6</v>
          </cell>
          <cell r="V1289">
            <v>3200</v>
          </cell>
          <cell r="W1289">
            <v>7</v>
          </cell>
          <cell r="X1289">
            <v>0</v>
          </cell>
          <cell r="Y1289">
            <v>0</v>
          </cell>
          <cell r="Z1289">
            <v>4.2000000000000003E-2</v>
          </cell>
          <cell r="AA1289" t="str">
            <v>X</v>
          </cell>
          <cell r="AB1289">
            <v>7000</v>
          </cell>
          <cell r="AC1289">
            <v>0</v>
          </cell>
          <cell r="AG1289">
            <v>32</v>
          </cell>
          <cell r="AJ1289" t="str">
            <v>-</v>
          </cell>
          <cell r="AL1289">
            <v>1920</v>
          </cell>
          <cell r="AM1289">
            <v>3200</v>
          </cell>
          <cell r="AN1289" t="e">
            <v>#VALUE!</v>
          </cell>
          <cell r="AO1289" t="e">
            <v>#VALUE!</v>
          </cell>
          <cell r="AP1289">
            <v>-1280</v>
          </cell>
        </row>
        <row r="1290">
          <cell r="A1290">
            <v>66810600</v>
          </cell>
          <cell r="B1290">
            <v>40269100</v>
          </cell>
          <cell r="C1290" t="str">
            <v>Nvt</v>
          </cell>
          <cell r="D1290" t="str">
            <v>FITMEALS EW KIP LINGUINE TERIYAKI HALAL 425G</v>
          </cell>
          <cell r="E1290" t="str">
            <v>FITMEALS</v>
          </cell>
          <cell r="F1290" t="str">
            <v>40337500 COVIPEEL 32 355mm</v>
          </cell>
          <cell r="G1290" t="str">
            <v>NOVATO B187/60</v>
          </cell>
          <cell r="H1290">
            <v>548</v>
          </cell>
          <cell r="I1290">
            <v>0.42499999999999999</v>
          </cell>
          <cell r="J1290" t="str">
            <v>H25</v>
          </cell>
          <cell r="K1290" t="str">
            <v>NVT</v>
          </cell>
          <cell r="L1290">
            <v>6</v>
          </cell>
          <cell r="M1290" t="str">
            <v>H25X6</v>
          </cell>
          <cell r="N1290">
            <v>120</v>
          </cell>
          <cell r="O1290">
            <v>8721082520591</v>
          </cell>
          <cell r="P1290" t="str">
            <v>I-L-2T</v>
          </cell>
          <cell r="Q1290">
            <v>2</v>
          </cell>
          <cell r="R1290">
            <v>4</v>
          </cell>
          <cell r="T1290">
            <v>3200</v>
          </cell>
          <cell r="U1290">
            <v>7</v>
          </cell>
          <cell r="V1290">
            <v>3200</v>
          </cell>
          <cell r="W1290">
            <v>8</v>
          </cell>
          <cell r="X1290">
            <v>0</v>
          </cell>
          <cell r="Y1290">
            <v>0</v>
          </cell>
          <cell r="Z1290">
            <v>4.2000000000000003E-2</v>
          </cell>
          <cell r="AA1290" t="str">
            <v>! ! ! ! !</v>
          </cell>
          <cell r="AC1290">
            <v>0</v>
          </cell>
          <cell r="AG1290">
            <v>32</v>
          </cell>
          <cell r="AJ1290" t="str">
            <v>-</v>
          </cell>
          <cell r="AL1290">
            <v>1920</v>
          </cell>
          <cell r="AM1290">
            <v>3200</v>
          </cell>
          <cell r="AN1290" t="e">
            <v>#VALUE!</v>
          </cell>
          <cell r="AO1290" t="e">
            <v>#VALUE!</v>
          </cell>
          <cell r="AP1290">
            <v>-1280</v>
          </cell>
        </row>
        <row r="1291">
          <cell r="A1291">
            <v>66810700</v>
          </cell>
          <cell r="B1291">
            <v>40275600</v>
          </cell>
          <cell r="C1291">
            <v>66810700</v>
          </cell>
          <cell r="D1291" t="str">
            <v>FITMEALS EW KIP RIJST TERIYAKI HALAL 425G NL FR D</v>
          </cell>
          <cell r="E1291" t="str">
            <v>FITMEALS</v>
          </cell>
          <cell r="F1291" t="str">
            <v>40337500 COVIPEEL 32 355mm</v>
          </cell>
          <cell r="G1291" t="str">
            <v>NOVATO B187/60</v>
          </cell>
          <cell r="H1291">
            <v>548</v>
          </cell>
          <cell r="I1291">
            <v>0.42499999999999999</v>
          </cell>
          <cell r="J1291" t="str">
            <v>H25</v>
          </cell>
          <cell r="K1291" t="str">
            <v>NVT</v>
          </cell>
          <cell r="L1291">
            <v>6</v>
          </cell>
          <cell r="M1291" t="str">
            <v>H25X6</v>
          </cell>
          <cell r="N1291">
            <v>120</v>
          </cell>
          <cell r="O1291">
            <v>8721082520430</v>
          </cell>
          <cell r="P1291" t="str">
            <v>I-L-2T</v>
          </cell>
          <cell r="Q1291">
            <v>2</v>
          </cell>
          <cell r="R1291">
            <v>2</v>
          </cell>
          <cell r="T1291">
            <v>3200</v>
          </cell>
          <cell r="U1291">
            <v>6</v>
          </cell>
          <cell r="V1291">
            <v>3200</v>
          </cell>
          <cell r="W1291">
            <v>7</v>
          </cell>
          <cell r="X1291">
            <v>0</v>
          </cell>
          <cell r="Y1291">
            <v>0</v>
          </cell>
          <cell r="Z1291">
            <v>4.2000000000000003E-2</v>
          </cell>
          <cell r="AA1291" t="str">
            <v>! ! ! ! !</v>
          </cell>
          <cell r="AB1291">
            <v>7000</v>
          </cell>
          <cell r="AC1291">
            <v>0</v>
          </cell>
          <cell r="AG1291">
            <v>32</v>
          </cell>
          <cell r="AJ1291" t="str">
            <v>-</v>
          </cell>
          <cell r="AL1291">
            <v>1920</v>
          </cell>
          <cell r="AM1291">
            <v>3200</v>
          </cell>
          <cell r="AN1291" t="e">
            <v>#VALUE!</v>
          </cell>
          <cell r="AO1291" t="e">
            <v>#VALUE!</v>
          </cell>
          <cell r="AP1291">
            <v>-1280</v>
          </cell>
        </row>
        <row r="1292">
          <cell r="A1292">
            <v>66810800</v>
          </cell>
          <cell r="B1292">
            <v>40275700</v>
          </cell>
          <cell r="C1292">
            <v>66810800</v>
          </cell>
          <cell r="D1292" t="str">
            <v>FITMEALS EW PULLED KIP CURRY HALAL 425G NL FR D</v>
          </cell>
          <cell r="E1292" t="str">
            <v>FITMEALS</v>
          </cell>
          <cell r="F1292" t="str">
            <v>40337500 COVIPEEL 32 355mm</v>
          </cell>
          <cell r="G1292" t="str">
            <v>NOVATO B187/60</v>
          </cell>
          <cell r="H1292">
            <v>548</v>
          </cell>
          <cell r="I1292">
            <v>0.42499999999999999</v>
          </cell>
          <cell r="J1292" t="str">
            <v>H25</v>
          </cell>
          <cell r="K1292" t="str">
            <v>NVT</v>
          </cell>
          <cell r="L1292">
            <v>6</v>
          </cell>
          <cell r="M1292" t="str">
            <v>H25X6</v>
          </cell>
          <cell r="N1292">
            <v>120</v>
          </cell>
          <cell r="O1292">
            <v>8721082520416</v>
          </cell>
          <cell r="P1292" t="str">
            <v>L-2T</v>
          </cell>
          <cell r="Q1292">
            <v>2</v>
          </cell>
          <cell r="R1292">
            <v>2</v>
          </cell>
          <cell r="S1292" t="str">
            <v>PULLED CHICKEN D-2 ontdooien</v>
          </cell>
          <cell r="T1292">
            <v>3200</v>
          </cell>
          <cell r="U1292">
            <v>6</v>
          </cell>
          <cell r="V1292">
            <v>3200</v>
          </cell>
          <cell r="W1292">
            <v>7</v>
          </cell>
          <cell r="X1292">
            <v>0</v>
          </cell>
          <cell r="Y1292">
            <v>0</v>
          </cell>
          <cell r="Z1292">
            <v>4.2000000000000003E-2</v>
          </cell>
          <cell r="AA1292" t="str">
            <v>! ! !</v>
          </cell>
          <cell r="AB1292">
            <v>7000</v>
          </cell>
          <cell r="AG1292">
            <v>32</v>
          </cell>
          <cell r="AJ1292" t="str">
            <v>-</v>
          </cell>
          <cell r="AL1292">
            <v>1920</v>
          </cell>
          <cell r="AM1292">
            <v>3200</v>
          </cell>
          <cell r="AN1292" t="e">
            <v>#VALUE!</v>
          </cell>
          <cell r="AO1292" t="e">
            <v>#VALUE!</v>
          </cell>
          <cell r="AP1292">
            <v>-1280</v>
          </cell>
        </row>
        <row r="1293">
          <cell r="A1293">
            <v>66810900</v>
          </cell>
          <cell r="B1293">
            <v>40275800</v>
          </cell>
          <cell r="C1293">
            <v>66810900</v>
          </cell>
          <cell r="D1293" t="str">
            <v>FITMEALS EW KIP PASTA HALAL 425G NL FR D</v>
          </cell>
          <cell r="E1293" t="str">
            <v>FITMEALS</v>
          </cell>
          <cell r="F1293" t="str">
            <v>40337500 COVIPEEL 32 355mm</v>
          </cell>
          <cell r="G1293" t="str">
            <v>NOVATO B187/60</v>
          </cell>
          <cell r="H1293">
            <v>548</v>
          </cell>
          <cell r="I1293">
            <v>0.42499999999999999</v>
          </cell>
          <cell r="J1293" t="str">
            <v>H25</v>
          </cell>
          <cell r="K1293" t="str">
            <v>NVT</v>
          </cell>
          <cell r="L1293">
            <v>6</v>
          </cell>
          <cell r="M1293" t="str">
            <v>H25X6</v>
          </cell>
          <cell r="N1293">
            <v>120</v>
          </cell>
          <cell r="O1293">
            <v>8721082520379</v>
          </cell>
          <cell r="P1293" t="str">
            <v>I-L-2T</v>
          </cell>
          <cell r="Q1293">
            <v>2</v>
          </cell>
          <cell r="R1293">
            <v>2</v>
          </cell>
          <cell r="T1293">
            <v>3200</v>
          </cell>
          <cell r="U1293">
            <v>7</v>
          </cell>
          <cell r="V1293">
            <v>3200</v>
          </cell>
          <cell r="W1293">
            <v>8</v>
          </cell>
          <cell r="X1293">
            <v>0</v>
          </cell>
          <cell r="Y1293">
            <v>0</v>
          </cell>
          <cell r="Z1293">
            <v>4.2000000000000003E-2</v>
          </cell>
          <cell r="AA1293" t="str">
            <v>! !</v>
          </cell>
          <cell r="AB1293">
            <v>7000</v>
          </cell>
          <cell r="AG1293">
            <v>32</v>
          </cell>
          <cell r="AJ1293" t="str">
            <v>-</v>
          </cell>
          <cell r="AL1293">
            <v>1920</v>
          </cell>
          <cell r="AM1293">
            <v>3200</v>
          </cell>
          <cell r="AN1293" t="e">
            <v>#VALUE!</v>
          </cell>
          <cell r="AO1293" t="e">
            <v>#VALUE!</v>
          </cell>
          <cell r="AP1293">
            <v>-1280</v>
          </cell>
        </row>
        <row r="1294">
          <cell r="A1294">
            <v>66811000</v>
          </cell>
          <cell r="B1294">
            <v>40275900</v>
          </cell>
          <cell r="C1294">
            <v>66811000</v>
          </cell>
          <cell r="D1294" t="str">
            <v>FITMEALS EW SPAGHETTI BOLOGNAISE  425G NL FR D</v>
          </cell>
          <cell r="E1294" t="str">
            <v>FITMEALS</v>
          </cell>
          <cell r="F1294" t="str">
            <v>40337500 COVIPEEL 32 355mm</v>
          </cell>
          <cell r="G1294" t="str">
            <v>NOVATO B187/60</v>
          </cell>
          <cell r="H1294">
            <v>548</v>
          </cell>
          <cell r="I1294">
            <v>0.42499999999999999</v>
          </cell>
          <cell r="J1294" t="str">
            <v>H25</v>
          </cell>
          <cell r="K1294" t="str">
            <v>NVT</v>
          </cell>
          <cell r="L1294">
            <v>6</v>
          </cell>
          <cell r="M1294" t="str">
            <v>H25X6</v>
          </cell>
          <cell r="N1294">
            <v>120</v>
          </cell>
          <cell r="O1294">
            <v>8721082520461</v>
          </cell>
          <cell r="P1294" t="str">
            <v>L-2T</v>
          </cell>
          <cell r="Q1294">
            <v>2</v>
          </cell>
          <cell r="R1294">
            <v>2</v>
          </cell>
          <cell r="T1294">
            <v>3200</v>
          </cell>
          <cell r="U1294">
            <v>6</v>
          </cell>
          <cell r="V1294">
            <v>3200</v>
          </cell>
          <cell r="W1294">
            <v>7</v>
          </cell>
          <cell r="X1294">
            <v>0</v>
          </cell>
          <cell r="Y1294">
            <v>0</v>
          </cell>
          <cell r="Z1294">
            <v>4.2000000000000003E-2</v>
          </cell>
          <cell r="AA1294" t="str">
            <v>! ! !</v>
          </cell>
          <cell r="AB1294">
            <v>7000</v>
          </cell>
          <cell r="AG1294">
            <v>32</v>
          </cell>
          <cell r="AJ1294" t="str">
            <v>-</v>
          </cell>
          <cell r="AL1294">
            <v>1920</v>
          </cell>
          <cell r="AM1294">
            <v>3200</v>
          </cell>
          <cell r="AN1294" t="e">
            <v>#VALUE!</v>
          </cell>
          <cell r="AO1294" t="e">
            <v>#VALUE!</v>
          </cell>
          <cell r="AP1294">
            <v>-1280</v>
          </cell>
        </row>
        <row r="1295">
          <cell r="A1295">
            <v>66811100</v>
          </cell>
          <cell r="B1295">
            <v>40276000</v>
          </cell>
          <cell r="C1295">
            <v>66811100</v>
          </cell>
          <cell r="D1295" t="str">
            <v>FITMEALS EW KIP SATE RIJST HALAL 425G NL FR D</v>
          </cell>
          <cell r="E1295" t="str">
            <v>FITMEALS</v>
          </cell>
          <cell r="F1295" t="str">
            <v>40337500 COVIPEEL 32 355mm</v>
          </cell>
          <cell r="G1295" t="str">
            <v>NOVATO B187/60</v>
          </cell>
          <cell r="H1295">
            <v>548</v>
          </cell>
          <cell r="I1295">
            <v>0.42499999999999999</v>
          </cell>
          <cell r="J1295" t="str">
            <v>H25</v>
          </cell>
          <cell r="K1295" t="str">
            <v>NVT</v>
          </cell>
          <cell r="L1295">
            <v>6</v>
          </cell>
          <cell r="M1295" t="str">
            <v>H25X6</v>
          </cell>
          <cell r="N1295">
            <v>120</v>
          </cell>
          <cell r="O1295">
            <v>8721082520393</v>
          </cell>
          <cell r="P1295" t="str">
            <v>I-L-2T</v>
          </cell>
          <cell r="Q1295">
            <v>3</v>
          </cell>
          <cell r="R1295">
            <v>2</v>
          </cell>
          <cell r="T1295">
            <v>3200</v>
          </cell>
          <cell r="U1295">
            <v>6</v>
          </cell>
          <cell r="V1295">
            <v>3200</v>
          </cell>
          <cell r="W1295">
            <v>7</v>
          </cell>
          <cell r="X1295">
            <v>0</v>
          </cell>
          <cell r="Y1295">
            <v>0</v>
          </cell>
          <cell r="Z1295">
            <v>4.2000000000000003E-2</v>
          </cell>
          <cell r="AA1295" t="str">
            <v>X</v>
          </cell>
          <cell r="AB1295">
            <v>7000</v>
          </cell>
          <cell r="AG1295">
            <v>32</v>
          </cell>
          <cell r="AJ1295" t="str">
            <v>-</v>
          </cell>
          <cell r="AL1295">
            <v>1920</v>
          </cell>
          <cell r="AM1295">
            <v>3200</v>
          </cell>
          <cell r="AN1295" t="e">
            <v>#VALUE!</v>
          </cell>
          <cell r="AO1295" t="e">
            <v>#VALUE!</v>
          </cell>
          <cell r="AP1295">
            <v>-1280</v>
          </cell>
        </row>
        <row r="1296">
          <cell r="A1296">
            <v>66811200</v>
          </cell>
          <cell r="B1296">
            <v>40276100</v>
          </cell>
          <cell r="C1296">
            <v>66811200</v>
          </cell>
          <cell r="D1296" t="str">
            <v>FITMEALS EW KIP LINGUINE TERIYAKI HALAL 425G NL FR D</v>
          </cell>
          <cell r="E1296" t="str">
            <v>FITMEALS</v>
          </cell>
          <cell r="F1296" t="str">
            <v>40337500 COVIPEEL 32 355mm</v>
          </cell>
          <cell r="G1296" t="str">
            <v>NOVATO B187/60</v>
          </cell>
          <cell r="H1296">
            <v>548</v>
          </cell>
          <cell r="I1296">
            <v>0.42499999999999999</v>
          </cell>
          <cell r="J1296" t="str">
            <v>H25</v>
          </cell>
          <cell r="K1296" t="str">
            <v>NVT</v>
          </cell>
          <cell r="L1296">
            <v>6</v>
          </cell>
          <cell r="M1296" t="str">
            <v>H25X6</v>
          </cell>
          <cell r="N1296">
            <v>120</v>
          </cell>
          <cell r="O1296">
            <v>8721082520591</v>
          </cell>
          <cell r="P1296" t="str">
            <v>I-L-2T</v>
          </cell>
          <cell r="Q1296">
            <v>2</v>
          </cell>
          <cell r="R1296">
            <v>2</v>
          </cell>
          <cell r="T1296">
            <v>3200</v>
          </cell>
          <cell r="U1296">
            <v>7</v>
          </cell>
          <cell r="V1296">
            <v>3200</v>
          </cell>
          <cell r="W1296">
            <v>8</v>
          </cell>
          <cell r="X1296">
            <v>0</v>
          </cell>
          <cell r="Y1296">
            <v>0</v>
          </cell>
          <cell r="Z1296">
            <v>4.2000000000000003E-2</v>
          </cell>
          <cell r="AA1296" t="str">
            <v>! ! ! ! !</v>
          </cell>
          <cell r="AG1296">
            <v>32</v>
          </cell>
          <cell r="AJ1296" t="str">
            <v>-</v>
          </cell>
          <cell r="AL1296">
            <v>1920</v>
          </cell>
          <cell r="AM1296">
            <v>3200</v>
          </cell>
          <cell r="AN1296" t="e">
            <v>#VALUE!</v>
          </cell>
          <cell r="AO1296" t="e">
            <v>#VALUE!</v>
          </cell>
          <cell r="AP1296">
            <v>-1280</v>
          </cell>
        </row>
        <row r="1297">
          <cell r="A1297">
            <v>66820100</v>
          </cell>
          <cell r="B1297">
            <v>40269700</v>
          </cell>
          <cell r="C1297" t="str">
            <v>V-0001</v>
          </cell>
          <cell r="D1297" t="str">
            <v>VOOD VEGAN LASAGNE BOLOGNAISE GEGRILDE GROENTEN 400G</v>
          </cell>
          <cell r="E1297" t="str">
            <v>VOOD</v>
          </cell>
          <cell r="F1297" t="str">
            <v>40337500 COVIPEEL 32 355mm</v>
          </cell>
          <cell r="G1297" t="str">
            <v>NOVATO B187/60</v>
          </cell>
          <cell r="H1297">
            <v>456</v>
          </cell>
          <cell r="I1297">
            <v>0.4</v>
          </cell>
          <cell r="J1297" t="str">
            <v>H25</v>
          </cell>
          <cell r="K1297" t="str">
            <v>NVT</v>
          </cell>
          <cell r="L1297">
            <v>6</v>
          </cell>
          <cell r="M1297" t="str">
            <v>H25X6</v>
          </cell>
          <cell r="N1297">
            <v>120</v>
          </cell>
          <cell r="O1297">
            <v>8721161359203</v>
          </cell>
          <cell r="P1297" t="str">
            <v>3T-H-K</v>
          </cell>
          <cell r="Q1297">
            <v>3</v>
          </cell>
          <cell r="R1297">
            <v>2</v>
          </cell>
          <cell r="T1297">
            <v>2600</v>
          </cell>
          <cell r="U1297">
            <v>7</v>
          </cell>
          <cell r="V1297">
            <v>2600</v>
          </cell>
          <cell r="W1297">
            <v>8</v>
          </cell>
          <cell r="Z1297">
            <v>5.1999999999999998E-2</v>
          </cell>
          <cell r="AA1297" t="str">
            <v>! ! !</v>
          </cell>
          <cell r="AB1297">
            <v>6000</v>
          </cell>
          <cell r="AG1297">
            <v>50</v>
          </cell>
          <cell r="AJ1297" t="str">
            <v>-</v>
          </cell>
          <cell r="AL1297">
            <v>3000</v>
          </cell>
          <cell r="AM1297">
            <v>2600</v>
          </cell>
          <cell r="AN1297" t="e">
            <v>#VALUE!</v>
          </cell>
          <cell r="AO1297" t="e">
            <v>#VALUE!</v>
          </cell>
          <cell r="AP1297">
            <v>400</v>
          </cell>
        </row>
        <row r="1298">
          <cell r="A1298">
            <v>66820200</v>
          </cell>
          <cell r="B1298">
            <v>40269800</v>
          </cell>
          <cell r="C1298" t="str">
            <v>V-0002</v>
          </cell>
          <cell r="D1298" t="str">
            <v>VOOD VEGAN MOUSSAKA 400G</v>
          </cell>
          <cell r="E1298" t="str">
            <v>VOOD</v>
          </cell>
          <cell r="F1298" t="str">
            <v>40337500 COVIPEEL 32 355mm</v>
          </cell>
          <cell r="G1298" t="str">
            <v>NOVATO B187/60</v>
          </cell>
          <cell r="H1298">
            <v>456</v>
          </cell>
          <cell r="I1298">
            <v>0.4</v>
          </cell>
          <cell r="J1298" t="str">
            <v>H25</v>
          </cell>
          <cell r="K1298" t="str">
            <v>NVT</v>
          </cell>
          <cell r="L1298">
            <v>6</v>
          </cell>
          <cell r="M1298" t="str">
            <v>H25X6</v>
          </cell>
          <cell r="N1298">
            <v>120</v>
          </cell>
          <cell r="O1298">
            <v>8721161359227</v>
          </cell>
          <cell r="P1298" t="str">
            <v>I-4T-K</v>
          </cell>
          <cell r="Q1298">
            <v>2</v>
          </cell>
          <cell r="R1298">
            <v>2</v>
          </cell>
          <cell r="S1298" t="str">
            <v>Linzen D-1</v>
          </cell>
          <cell r="T1298">
            <v>3200</v>
          </cell>
          <cell r="U1298">
            <v>3</v>
          </cell>
          <cell r="V1298">
            <v>3200</v>
          </cell>
          <cell r="W1298">
            <v>4</v>
          </cell>
          <cell r="Z1298">
            <v>5.1999999999999998E-2</v>
          </cell>
          <cell r="AA1298" t="str">
            <v>! ! !</v>
          </cell>
          <cell r="AB1298">
            <v>6000</v>
          </cell>
          <cell r="AG1298">
            <v>32</v>
          </cell>
          <cell r="AJ1298" t="str">
            <v>-</v>
          </cell>
          <cell r="AL1298">
            <v>1920</v>
          </cell>
          <cell r="AM1298">
            <v>3200</v>
          </cell>
          <cell r="AN1298" t="e">
            <v>#VALUE!</v>
          </cell>
          <cell r="AO1298" t="e">
            <v>#VALUE!</v>
          </cell>
          <cell r="AP1298">
            <v>-1280</v>
          </cell>
        </row>
        <row r="1299">
          <cell r="A1299">
            <v>66820300</v>
          </cell>
          <cell r="B1299">
            <v>40269900</v>
          </cell>
          <cell r="C1299" t="str">
            <v>V-0003</v>
          </cell>
          <cell r="D1299" t="str">
            <v>VOOD VEGAN NO CHICKEN SATE RIJSTMIX GROENTEN 400G</v>
          </cell>
          <cell r="E1299" t="str">
            <v>VOOD</v>
          </cell>
          <cell r="F1299" t="str">
            <v>40337500 COVIPEEL 32 355mm</v>
          </cell>
          <cell r="G1299" t="str">
            <v>NOVATO B187/60</v>
          </cell>
          <cell r="H1299">
            <v>456</v>
          </cell>
          <cell r="I1299">
            <v>0.4</v>
          </cell>
          <cell r="J1299" t="str">
            <v>H25</v>
          </cell>
          <cell r="K1299" t="str">
            <v>NVT</v>
          </cell>
          <cell r="L1299">
            <v>6</v>
          </cell>
          <cell r="M1299" t="str">
            <v>H25X6</v>
          </cell>
          <cell r="N1299">
            <v>120</v>
          </cell>
          <cell r="O1299">
            <v>8721161359241</v>
          </cell>
          <cell r="P1299" t="str">
            <v>I-L-2T</v>
          </cell>
          <cell r="Q1299">
            <v>3</v>
          </cell>
          <cell r="R1299">
            <v>2</v>
          </cell>
          <cell r="T1299">
            <v>3200</v>
          </cell>
          <cell r="U1299">
            <v>7</v>
          </cell>
          <cell r="V1299">
            <v>3200</v>
          </cell>
          <cell r="W1299">
            <v>8</v>
          </cell>
          <cell r="Z1299">
            <v>5.1999999999999998E-2</v>
          </cell>
          <cell r="AA1299" t="str">
            <v>X</v>
          </cell>
          <cell r="AB1299">
            <v>6000</v>
          </cell>
          <cell r="AG1299">
            <v>32</v>
          </cell>
          <cell r="AJ1299" t="str">
            <v>-</v>
          </cell>
          <cell r="AL1299">
            <v>1920</v>
          </cell>
          <cell r="AM1299">
            <v>3200</v>
          </cell>
          <cell r="AN1299" t="e">
            <v>#VALUE!</v>
          </cell>
          <cell r="AO1299" t="e">
            <v>#VALUE!</v>
          </cell>
          <cell r="AP1299">
            <v>-1280</v>
          </cell>
        </row>
        <row r="1300">
          <cell r="A1300">
            <v>66820400</v>
          </cell>
          <cell r="B1300">
            <v>40272700</v>
          </cell>
          <cell r="C1300" t="str">
            <v>V-0004</v>
          </cell>
          <cell r="D1300" t="str">
            <v>VOOD VEGAN NO CHICKEN CURRY POMPOEN RIJST 400G</v>
          </cell>
          <cell r="E1300" t="str">
            <v>VOOD</v>
          </cell>
          <cell r="F1300" t="str">
            <v>40337500 COVIPEEL 32 355mm</v>
          </cell>
          <cell r="G1300" t="str">
            <v>NOVATO B187/60</v>
          </cell>
          <cell r="H1300">
            <v>456</v>
          </cell>
          <cell r="I1300">
            <v>0.4</v>
          </cell>
          <cell r="J1300" t="str">
            <v>H25</v>
          </cell>
          <cell r="K1300" t="str">
            <v>NVT</v>
          </cell>
          <cell r="L1300">
            <v>6</v>
          </cell>
          <cell r="M1300" t="str">
            <v>H25X6</v>
          </cell>
          <cell r="N1300">
            <v>120</v>
          </cell>
          <cell r="O1300">
            <v>8721161359265</v>
          </cell>
          <cell r="P1300" t="str">
            <v>I-L-2T</v>
          </cell>
          <cell r="Q1300">
            <v>3</v>
          </cell>
          <cell r="R1300">
            <v>2</v>
          </cell>
          <cell r="T1300">
            <v>3200</v>
          </cell>
          <cell r="U1300">
            <v>6</v>
          </cell>
          <cell r="V1300">
            <v>3200</v>
          </cell>
          <cell r="W1300">
            <v>7</v>
          </cell>
          <cell r="Z1300">
            <v>5.1999999999999998E-2</v>
          </cell>
          <cell r="AA1300" t="str">
            <v>! ! !</v>
          </cell>
          <cell r="AB1300">
            <v>6000</v>
          </cell>
          <cell r="AG1300">
            <v>32</v>
          </cell>
          <cell r="AJ1300" t="str">
            <v>-</v>
          </cell>
          <cell r="AL1300">
            <v>1920</v>
          </cell>
          <cell r="AM1300">
            <v>3200</v>
          </cell>
          <cell r="AN1300" t="e">
            <v>#VALUE!</v>
          </cell>
          <cell r="AO1300" t="e">
            <v>#VALUE!</v>
          </cell>
          <cell r="AP1300">
            <v>-1280</v>
          </cell>
        </row>
        <row r="1301">
          <cell r="A1301">
            <v>66820500</v>
          </cell>
          <cell r="B1301">
            <v>40272800</v>
          </cell>
          <cell r="C1301" t="str">
            <v>V-0005</v>
          </cell>
          <cell r="D1301" t="str">
            <v>VOOD VEGAN RISOTTO BOSCHAMP GROENE GROENTEN 400G</v>
          </cell>
          <cell r="E1301" t="str">
            <v>VOOD</v>
          </cell>
          <cell r="F1301" t="str">
            <v>40337500 COVIPEEL 32 355mm</v>
          </cell>
          <cell r="G1301" t="str">
            <v>NOVATO B187/60</v>
          </cell>
          <cell r="H1301">
            <v>456</v>
          </cell>
          <cell r="I1301">
            <v>0.4</v>
          </cell>
          <cell r="J1301" t="str">
            <v>H25</v>
          </cell>
          <cell r="K1301" t="str">
            <v>NVT</v>
          </cell>
          <cell r="L1301">
            <v>6</v>
          </cell>
          <cell r="M1301" t="str">
            <v>H25X6</v>
          </cell>
          <cell r="N1301">
            <v>120</v>
          </cell>
          <cell r="O1301">
            <v>8721161359289</v>
          </cell>
          <cell r="P1301" t="str">
            <v>L-2T-K</v>
          </cell>
          <cell r="Q1301">
            <v>3</v>
          </cell>
          <cell r="R1301">
            <v>2</v>
          </cell>
          <cell r="T1301">
            <v>3200</v>
          </cell>
          <cell r="U1301">
            <v>6</v>
          </cell>
          <cell r="V1301">
            <v>3200</v>
          </cell>
          <cell r="W1301">
            <v>7</v>
          </cell>
          <cell r="Z1301">
            <v>5.1999999999999998E-2</v>
          </cell>
          <cell r="AA1301" t="str">
            <v>! ! !</v>
          </cell>
          <cell r="AB1301">
            <v>6000</v>
          </cell>
          <cell r="AG1301">
            <v>32</v>
          </cell>
          <cell r="AJ1301" t="str">
            <v>-</v>
          </cell>
          <cell r="AL1301">
            <v>1920</v>
          </cell>
          <cell r="AM1301">
            <v>3200</v>
          </cell>
          <cell r="AN1301" t="e">
            <v>#VALUE!</v>
          </cell>
          <cell r="AO1301" t="e">
            <v>#VALUE!</v>
          </cell>
          <cell r="AP1301">
            <v>-1280</v>
          </cell>
        </row>
        <row r="1302">
          <cell r="A1302">
            <v>66820600</v>
          </cell>
          <cell r="B1302">
            <v>40269700</v>
          </cell>
          <cell r="C1302">
            <v>66820600</v>
          </cell>
          <cell r="D1302" t="str">
            <v>VOOD VEGAN LASAGNE BOLOGNAISE GEGRILDE GROENTEN 400G</v>
          </cell>
          <cell r="E1302" t="str">
            <v>VOOD</v>
          </cell>
          <cell r="F1302" t="str">
            <v>40337500 COVIPEEL 32 355mm</v>
          </cell>
          <cell r="G1302" t="str">
            <v>NOVATO B187/60</v>
          </cell>
          <cell r="H1302">
            <v>456</v>
          </cell>
          <cell r="I1302">
            <v>0.4</v>
          </cell>
          <cell r="J1302" t="str">
            <v>H25</v>
          </cell>
          <cell r="K1302" t="str">
            <v>NVT</v>
          </cell>
          <cell r="L1302">
            <v>5</v>
          </cell>
          <cell r="M1302" t="str">
            <v>Shrink H25 x 5</v>
          </cell>
          <cell r="N1302">
            <v>154</v>
          </cell>
          <cell r="O1302">
            <v>8721249768675</v>
          </cell>
          <cell r="P1302" t="str">
            <v>3T-H-K</v>
          </cell>
          <cell r="Q1302">
            <v>3</v>
          </cell>
          <cell r="R1302">
            <v>2</v>
          </cell>
          <cell r="T1302">
            <v>2600</v>
          </cell>
          <cell r="U1302">
            <v>7</v>
          </cell>
          <cell r="V1302">
            <v>2600</v>
          </cell>
          <cell r="W1302">
            <v>8</v>
          </cell>
          <cell r="Z1302">
            <v>5.1999999999999998E-2</v>
          </cell>
          <cell r="AA1302" t="str">
            <v>! ! !</v>
          </cell>
          <cell r="AB1302">
            <v>11600</v>
          </cell>
          <cell r="AG1302">
            <v>50</v>
          </cell>
          <cell r="AJ1302" t="str">
            <v>-</v>
          </cell>
          <cell r="AL1302">
            <v>3000</v>
          </cell>
          <cell r="AM1302">
            <v>2600</v>
          </cell>
          <cell r="AN1302" t="e">
            <v>#VALUE!</v>
          </cell>
          <cell r="AO1302" t="e">
            <v>#VALUE!</v>
          </cell>
          <cell r="AP1302">
            <v>400</v>
          </cell>
        </row>
        <row r="1303">
          <cell r="A1303">
            <v>66820700</v>
          </cell>
          <cell r="B1303">
            <v>40269800</v>
          </cell>
          <cell r="C1303">
            <v>66820700</v>
          </cell>
          <cell r="D1303" t="str">
            <v>VOOD VEGAN MOUSSAKA 400G</v>
          </cell>
          <cell r="E1303" t="str">
            <v>VOOD</v>
          </cell>
          <cell r="F1303" t="str">
            <v>40337500 COVIPEEL 32 355mm</v>
          </cell>
          <cell r="G1303" t="str">
            <v>NOVATO B187/60</v>
          </cell>
          <cell r="H1303">
            <v>456</v>
          </cell>
          <cell r="I1303">
            <v>0.4</v>
          </cell>
          <cell r="J1303" t="str">
            <v>H25</v>
          </cell>
          <cell r="K1303" t="str">
            <v>NVT</v>
          </cell>
          <cell r="L1303">
            <v>5</v>
          </cell>
          <cell r="M1303" t="str">
            <v>Shrink H25 x 5</v>
          </cell>
          <cell r="N1303">
            <v>154</v>
          </cell>
          <cell r="O1303">
            <v>8721249768682</v>
          </cell>
          <cell r="P1303" t="str">
            <v>I-4T-K</v>
          </cell>
          <cell r="Q1303">
            <v>2</v>
          </cell>
          <cell r="R1303">
            <v>2</v>
          </cell>
          <cell r="S1303" t="str">
            <v>Linzen D-1</v>
          </cell>
          <cell r="T1303">
            <v>3200</v>
          </cell>
          <cell r="U1303">
            <v>3</v>
          </cell>
          <cell r="V1303">
            <v>3200</v>
          </cell>
          <cell r="W1303">
            <v>4</v>
          </cell>
          <cell r="Z1303">
            <v>5.1999999999999998E-2</v>
          </cell>
          <cell r="AA1303" t="str">
            <v>! ! !</v>
          </cell>
          <cell r="AB1303">
            <v>11600</v>
          </cell>
          <cell r="AG1303">
            <v>32</v>
          </cell>
          <cell r="AJ1303" t="str">
            <v>-</v>
          </cell>
          <cell r="AL1303">
            <v>1920</v>
          </cell>
          <cell r="AM1303">
            <v>3200</v>
          </cell>
          <cell r="AN1303" t="e">
            <v>#VALUE!</v>
          </cell>
          <cell r="AO1303" t="e">
            <v>#VALUE!</v>
          </cell>
          <cell r="AP1303">
            <v>-1280</v>
          </cell>
        </row>
        <row r="1304">
          <cell r="A1304">
            <v>66820800</v>
          </cell>
          <cell r="B1304">
            <v>40269900</v>
          </cell>
          <cell r="C1304">
            <v>66820800</v>
          </cell>
          <cell r="D1304" t="str">
            <v>VOOD VEGAN NO CHICKEN SATE RIJSTMIX GROENTEN 400G</v>
          </cell>
          <cell r="E1304" t="str">
            <v>VOOD</v>
          </cell>
          <cell r="F1304" t="str">
            <v>40337500 COVIPEEL 32 355mm</v>
          </cell>
          <cell r="G1304" t="str">
            <v>NOVATO B187/60</v>
          </cell>
          <cell r="H1304">
            <v>456</v>
          </cell>
          <cell r="I1304">
            <v>0.4</v>
          </cell>
          <cell r="J1304" t="str">
            <v>H25</v>
          </cell>
          <cell r="K1304" t="str">
            <v>NVT</v>
          </cell>
          <cell r="L1304">
            <v>5</v>
          </cell>
          <cell r="M1304" t="str">
            <v>Shrink H25 x 5</v>
          </cell>
          <cell r="N1304">
            <v>154</v>
          </cell>
          <cell r="O1304">
            <v>8721249768699</v>
          </cell>
          <cell r="P1304" t="str">
            <v>I-L-2T</v>
          </cell>
          <cell r="Q1304">
            <v>3</v>
          </cell>
          <cell r="R1304">
            <v>2</v>
          </cell>
          <cell r="T1304">
            <v>3200</v>
          </cell>
          <cell r="U1304">
            <v>7</v>
          </cell>
          <cell r="V1304">
            <v>3200</v>
          </cell>
          <cell r="W1304">
            <v>8</v>
          </cell>
          <cell r="Z1304">
            <v>5.1999999999999998E-2</v>
          </cell>
          <cell r="AA1304" t="str">
            <v>X</v>
          </cell>
          <cell r="AB1304">
            <v>11600</v>
          </cell>
          <cell r="AG1304">
            <v>32</v>
          </cell>
          <cell r="AJ1304" t="str">
            <v>-</v>
          </cell>
          <cell r="AL1304">
            <v>1920</v>
          </cell>
          <cell r="AM1304">
            <v>3200</v>
          </cell>
          <cell r="AN1304" t="e">
            <v>#VALUE!</v>
          </cell>
          <cell r="AO1304" t="e">
            <v>#VALUE!</v>
          </cell>
          <cell r="AP1304">
            <v>-1280</v>
          </cell>
        </row>
        <row r="1305">
          <cell r="A1305">
            <v>66820900</v>
          </cell>
          <cell r="B1305">
            <v>40272700</v>
          </cell>
          <cell r="C1305">
            <v>66820900</v>
          </cell>
          <cell r="D1305" t="str">
            <v>VOOD VEGAN NO CHICKEN CURRY POMPOEN RIJST 400G</v>
          </cell>
          <cell r="E1305" t="str">
            <v>VOOD</v>
          </cell>
          <cell r="F1305" t="str">
            <v>40337500 COVIPEEL 32 355mm</v>
          </cell>
          <cell r="G1305" t="str">
            <v>NOVATO B187/60</v>
          </cell>
          <cell r="H1305">
            <v>456</v>
          </cell>
          <cell r="I1305">
            <v>0.4</v>
          </cell>
          <cell r="J1305" t="str">
            <v>H25</v>
          </cell>
          <cell r="K1305" t="str">
            <v>NVT</v>
          </cell>
          <cell r="L1305">
            <v>5</v>
          </cell>
          <cell r="M1305" t="str">
            <v>Shrink H25 x 5</v>
          </cell>
          <cell r="N1305">
            <v>154</v>
          </cell>
          <cell r="O1305">
            <v>8721249768705</v>
          </cell>
          <cell r="P1305" t="str">
            <v>I-L-2T</v>
          </cell>
          <cell r="Q1305">
            <v>3</v>
          </cell>
          <cell r="R1305">
            <v>2</v>
          </cell>
          <cell r="T1305">
            <v>3200</v>
          </cell>
          <cell r="U1305">
            <v>6</v>
          </cell>
          <cell r="V1305">
            <v>3200</v>
          </cell>
          <cell r="W1305">
            <v>7</v>
          </cell>
          <cell r="Z1305">
            <v>5.1999999999999998E-2</v>
          </cell>
          <cell r="AA1305" t="str">
            <v>! ! !</v>
          </cell>
          <cell r="AB1305">
            <v>11600</v>
          </cell>
          <cell r="AG1305">
            <v>32</v>
          </cell>
          <cell r="AJ1305" t="str">
            <v>-</v>
          </cell>
          <cell r="AL1305">
            <v>1920</v>
          </cell>
          <cell r="AM1305">
            <v>3200</v>
          </cell>
          <cell r="AN1305" t="e">
            <v>#VALUE!</v>
          </cell>
          <cell r="AO1305" t="e">
            <v>#VALUE!</v>
          </cell>
          <cell r="AP1305">
            <v>-1280</v>
          </cell>
        </row>
        <row r="1306">
          <cell r="A1306">
            <v>66821000</v>
          </cell>
          <cell r="B1306">
            <v>40272800</v>
          </cell>
          <cell r="C1306">
            <v>66821000</v>
          </cell>
          <cell r="D1306" t="str">
            <v>VOOD VEGAN RISOTTO BOSCHAMP GROENE GROENTEN 400G</v>
          </cell>
          <cell r="E1306" t="str">
            <v>VOOD</v>
          </cell>
          <cell r="F1306" t="str">
            <v>40337500 COVIPEEL 32 355mm</v>
          </cell>
          <cell r="G1306" t="str">
            <v>NOVATO B187/60</v>
          </cell>
          <cell r="H1306">
            <v>456</v>
          </cell>
          <cell r="I1306">
            <v>0.4</v>
          </cell>
          <cell r="J1306" t="str">
            <v>H25</v>
          </cell>
          <cell r="K1306" t="str">
            <v>NVT</v>
          </cell>
          <cell r="L1306">
            <v>5</v>
          </cell>
          <cell r="M1306" t="str">
            <v>Shrink H25 x 5</v>
          </cell>
          <cell r="N1306">
            <v>154</v>
          </cell>
          <cell r="O1306">
            <v>8721249768712</v>
          </cell>
          <cell r="P1306" t="str">
            <v>L-2T-K</v>
          </cell>
          <cell r="Q1306">
            <v>3</v>
          </cell>
          <cell r="R1306">
            <v>2</v>
          </cell>
          <cell r="T1306">
            <v>3200</v>
          </cell>
          <cell r="U1306">
            <v>6</v>
          </cell>
          <cell r="V1306">
            <v>3200</v>
          </cell>
          <cell r="W1306">
            <v>7</v>
          </cell>
          <cell r="Z1306">
            <v>5.1999999999999998E-2</v>
          </cell>
          <cell r="AA1306" t="str">
            <v>! ! !</v>
          </cell>
          <cell r="AB1306">
            <v>11600</v>
          </cell>
          <cell r="AG1306">
            <v>32</v>
          </cell>
          <cell r="AJ1306" t="str">
            <v>-</v>
          </cell>
          <cell r="AL1306">
            <v>1920</v>
          </cell>
          <cell r="AM1306">
            <v>3200</v>
          </cell>
          <cell r="AN1306" t="e">
            <v>#VALUE!</v>
          </cell>
          <cell r="AO1306" t="e">
            <v>#VALUE!</v>
          </cell>
          <cell r="AP1306">
            <v>-1280</v>
          </cell>
        </row>
        <row r="1307">
          <cell r="A1307">
            <v>66900100</v>
          </cell>
          <cell r="B1307">
            <v>40274300</v>
          </cell>
          <cell r="C1307">
            <v>204917</v>
          </cell>
          <cell r="D1307" t="str">
            <v>LIDL FI IT NI IE DK FRIET CHEDDAR SPEK 280G (MIXED)</v>
          </cell>
          <cell r="E1307" t="str">
            <v>Lidl INT</v>
          </cell>
          <cell r="F1307" t="str">
            <v>40336300 OLAF 30 290MM</v>
          </cell>
          <cell r="G1307" t="str">
            <v>AR 1150-8 white/white</v>
          </cell>
          <cell r="H1307">
            <v>456</v>
          </cell>
          <cell r="I1307">
            <v>0.28000000000000003</v>
          </cell>
          <cell r="J1307" t="str">
            <v>H9 45mm</v>
          </cell>
          <cell r="K1307" t="str">
            <v>NVT</v>
          </cell>
          <cell r="L1307">
            <v>15</v>
          </cell>
          <cell r="M1307" t="str">
            <v>H10X18</v>
          </cell>
          <cell r="N1307">
            <v>36</v>
          </cell>
          <cell r="O1307">
            <v>5400870690014</v>
          </cell>
          <cell r="P1307" t="str">
            <v>I-T</v>
          </cell>
          <cell r="Q1307">
            <v>1</v>
          </cell>
          <cell r="R1307">
            <v>2</v>
          </cell>
          <cell r="T1307">
            <v>2200</v>
          </cell>
          <cell r="U1307">
            <v>5</v>
          </cell>
          <cell r="V1307">
            <v>2200</v>
          </cell>
          <cell r="W1307">
            <v>5</v>
          </cell>
          <cell r="Z1307">
            <v>0.16</v>
          </cell>
          <cell r="AA1307" t="str">
            <v>! !</v>
          </cell>
          <cell r="AJ1307" t="str">
            <v>V-A </v>
          </cell>
          <cell r="AL1307">
            <v>0</v>
          </cell>
          <cell r="AM1307">
            <v>2200</v>
          </cell>
          <cell r="AN1307" t="e">
            <v>#VALUE!</v>
          </cell>
          <cell r="AO1307" t="e">
            <v>#VALUE!</v>
          </cell>
          <cell r="AP1307">
            <v>-2200</v>
          </cell>
        </row>
        <row r="1308">
          <cell r="A1308">
            <v>66900200</v>
          </cell>
          <cell r="B1308">
            <v>40274400</v>
          </cell>
          <cell r="C1308">
            <v>204918</v>
          </cell>
          <cell r="D1308" t="str">
            <v>LIDL FI IT NI IE DK FRIET CHEDDAR CHILI 280G (MIXED)</v>
          </cell>
          <cell r="E1308" t="str">
            <v>Lidl INT</v>
          </cell>
          <cell r="F1308" t="str">
            <v>40336300 OLAF 30 290MM</v>
          </cell>
          <cell r="G1308" t="str">
            <v>AR 1150-8 white/white</v>
          </cell>
          <cell r="H1308">
            <v>456</v>
          </cell>
          <cell r="I1308">
            <v>0.28000000000000003</v>
          </cell>
          <cell r="J1308" t="str">
            <v>H9 45mm</v>
          </cell>
          <cell r="K1308" t="str">
            <v>NVT</v>
          </cell>
          <cell r="L1308">
            <v>15</v>
          </cell>
          <cell r="M1308" t="str">
            <v>H10X18</v>
          </cell>
          <cell r="N1308">
            <v>36</v>
          </cell>
          <cell r="O1308">
            <v>5400870690021</v>
          </cell>
          <cell r="P1308" t="str">
            <v>I-T</v>
          </cell>
          <cell r="Q1308">
            <v>1</v>
          </cell>
          <cell r="R1308">
            <v>2</v>
          </cell>
          <cell r="T1308">
            <v>2200</v>
          </cell>
          <cell r="U1308">
            <v>6</v>
          </cell>
          <cell r="V1308">
            <v>2200</v>
          </cell>
          <cell r="W1308">
            <v>6</v>
          </cell>
          <cell r="Z1308">
            <v>0.16</v>
          </cell>
          <cell r="AA1308" t="str">
            <v>! !</v>
          </cell>
          <cell r="AJ1308" t="str">
            <v>-</v>
          </cell>
          <cell r="AL1308">
            <v>0</v>
          </cell>
          <cell r="AM1308">
            <v>2200</v>
          </cell>
          <cell r="AN1308" t="e">
            <v>#VALUE!</v>
          </cell>
          <cell r="AO1308" t="e">
            <v>#VALUE!</v>
          </cell>
          <cell r="AP1308">
            <v>-2200</v>
          </cell>
        </row>
        <row r="1309">
          <cell r="A1309">
            <v>66900300</v>
          </cell>
          <cell r="B1309">
            <v>40274500</v>
          </cell>
          <cell r="C1309">
            <v>204919</v>
          </cell>
          <cell r="D1309" t="str">
            <v>LIDL FI IT NI IE DK FRIET BBQ PULLED CHICKEN 280G (MIXED)</v>
          </cell>
          <cell r="E1309" t="str">
            <v>Lidl INT</v>
          </cell>
          <cell r="F1309" t="str">
            <v>40336300 OLAF 30 290MM</v>
          </cell>
          <cell r="G1309" t="str">
            <v>AR 1150-8 white/white</v>
          </cell>
          <cell r="H1309">
            <v>456</v>
          </cell>
          <cell r="I1309">
            <v>0.28000000000000003</v>
          </cell>
          <cell r="J1309" t="str">
            <v>H9 45mm</v>
          </cell>
          <cell r="K1309" t="str">
            <v>NVT</v>
          </cell>
          <cell r="L1309">
            <v>15</v>
          </cell>
          <cell r="M1309" t="str">
            <v>H10X18</v>
          </cell>
          <cell r="N1309">
            <v>36</v>
          </cell>
          <cell r="O1309">
            <v>5400870690038</v>
          </cell>
          <cell r="P1309" t="str">
            <v>I-T</v>
          </cell>
          <cell r="Q1309">
            <v>1</v>
          </cell>
          <cell r="R1309">
            <v>2</v>
          </cell>
          <cell r="S1309" t="str">
            <v>PULLED CHICKEN D-2 ontdooien</v>
          </cell>
          <cell r="T1309">
            <v>2200</v>
          </cell>
          <cell r="U1309">
            <v>6</v>
          </cell>
          <cell r="V1309">
            <v>2200</v>
          </cell>
          <cell r="W1309">
            <v>6</v>
          </cell>
          <cell r="Z1309">
            <v>0.16</v>
          </cell>
          <cell r="AA1309" t="str">
            <v>! !</v>
          </cell>
          <cell r="AJ1309" t="str">
            <v> -</v>
          </cell>
          <cell r="AL1309">
            <v>0</v>
          </cell>
          <cell r="AM1309">
            <v>2200</v>
          </cell>
          <cell r="AN1309" t="e">
            <v>#VALUE!</v>
          </cell>
          <cell r="AO1309" t="e">
            <v>#VALUE!</v>
          </cell>
          <cell r="AP1309">
            <v>-2200</v>
          </cell>
        </row>
        <row r="1310">
          <cell r="A1310">
            <v>66900400</v>
          </cell>
          <cell r="B1310">
            <v>40275200</v>
          </cell>
          <cell r="C1310">
            <v>204917</v>
          </cell>
          <cell r="D1310" t="str">
            <v>LIDL LV HR CH BE FRIET CHEDDAR SPEK 280G (MIXED)</v>
          </cell>
          <cell r="E1310" t="str">
            <v>Lidl INT</v>
          </cell>
          <cell r="F1310" t="str">
            <v>40336300 OLAF 30 290MM</v>
          </cell>
          <cell r="G1310" t="str">
            <v>AR 1150-8 white/white</v>
          </cell>
          <cell r="H1310">
            <v>456</v>
          </cell>
          <cell r="I1310">
            <v>0.28000000000000003</v>
          </cell>
          <cell r="J1310" t="str">
            <v>H9 45mm</v>
          </cell>
          <cell r="K1310" t="str">
            <v>NVT</v>
          </cell>
          <cell r="L1310">
            <v>15</v>
          </cell>
          <cell r="M1310" t="str">
            <v>H10X18</v>
          </cell>
          <cell r="N1310">
            <v>36</v>
          </cell>
          <cell r="O1310">
            <v>5400870690045</v>
          </cell>
          <cell r="P1310" t="str">
            <v>I-T</v>
          </cell>
          <cell r="Q1310">
            <v>1</v>
          </cell>
          <cell r="R1310">
            <v>2</v>
          </cell>
          <cell r="T1310">
            <v>2200</v>
          </cell>
          <cell r="U1310">
            <v>6</v>
          </cell>
          <cell r="V1310">
            <v>2200</v>
          </cell>
          <cell r="W1310">
            <v>6</v>
          </cell>
          <cell r="Z1310">
            <v>0.16</v>
          </cell>
          <cell r="AA1310" t="str">
            <v>! !</v>
          </cell>
          <cell r="AJ1310" t="str">
            <v>V-A </v>
          </cell>
          <cell r="AL1310">
            <v>0</v>
          </cell>
          <cell r="AM1310">
            <v>2200</v>
          </cell>
          <cell r="AN1310" t="e">
            <v>#VALUE!</v>
          </cell>
          <cell r="AO1310" t="e">
            <v>#VALUE!</v>
          </cell>
          <cell r="AP1310">
            <v>-2200</v>
          </cell>
        </row>
        <row r="1311">
          <cell r="A1311">
            <v>66900500</v>
          </cell>
          <cell r="B1311">
            <v>40275300</v>
          </cell>
          <cell r="C1311">
            <v>204918</v>
          </cell>
          <cell r="D1311" t="str">
            <v>LIDL LV HR CH BE FRIET CHEDDAR CHILI 280G (MIXED)</v>
          </cell>
          <cell r="E1311" t="str">
            <v>Lidl INT</v>
          </cell>
          <cell r="F1311" t="str">
            <v>40336300 OLAF 30 290MM</v>
          </cell>
          <cell r="G1311" t="str">
            <v>AR 1150-8 white/white</v>
          </cell>
          <cell r="H1311">
            <v>456</v>
          </cell>
          <cell r="I1311">
            <v>0.28000000000000003</v>
          </cell>
          <cell r="J1311" t="str">
            <v>H9 45mm</v>
          </cell>
          <cell r="K1311" t="str">
            <v>NVT</v>
          </cell>
          <cell r="L1311">
            <v>15</v>
          </cell>
          <cell r="M1311" t="str">
            <v>H10X18</v>
          </cell>
          <cell r="N1311">
            <v>36</v>
          </cell>
          <cell r="O1311">
            <v>5400870690052</v>
          </cell>
          <cell r="P1311" t="str">
            <v>I-T</v>
          </cell>
          <cell r="Q1311">
            <v>1</v>
          </cell>
          <cell r="R1311">
            <v>2</v>
          </cell>
          <cell r="T1311">
            <v>2200</v>
          </cell>
          <cell r="U1311">
            <v>6</v>
          </cell>
          <cell r="V1311">
            <v>2200</v>
          </cell>
          <cell r="W1311">
            <v>6</v>
          </cell>
          <cell r="Z1311">
            <v>0.16</v>
          </cell>
          <cell r="AA1311" t="str">
            <v>! !</v>
          </cell>
          <cell r="AJ1311" t="str">
            <v>-</v>
          </cell>
          <cell r="AL1311">
            <v>0</v>
          </cell>
          <cell r="AM1311">
            <v>2200</v>
          </cell>
          <cell r="AN1311" t="e">
            <v>#VALUE!</v>
          </cell>
          <cell r="AO1311" t="e">
            <v>#VALUE!</v>
          </cell>
          <cell r="AP1311">
            <v>-2200</v>
          </cell>
        </row>
        <row r="1312">
          <cell r="A1312">
            <v>66900600</v>
          </cell>
          <cell r="B1312">
            <v>40275400</v>
          </cell>
          <cell r="C1312">
            <v>204919</v>
          </cell>
          <cell r="D1312" t="str">
            <v>LIDL LV HR CH BE FRIET BBQ PULLED CHICKEN 280G (MIXED)</v>
          </cell>
          <cell r="E1312" t="str">
            <v>Lidl INT</v>
          </cell>
          <cell r="F1312" t="str">
            <v>40336300 OLAF 30 290MM</v>
          </cell>
          <cell r="G1312" t="str">
            <v>AR 1150-8 white/white</v>
          </cell>
          <cell r="H1312">
            <v>456</v>
          </cell>
          <cell r="I1312">
            <v>0.28000000000000003</v>
          </cell>
          <cell r="J1312" t="str">
            <v>H9 45mm</v>
          </cell>
          <cell r="K1312" t="str">
            <v>NVT</v>
          </cell>
          <cell r="L1312">
            <v>15</v>
          </cell>
          <cell r="M1312" t="str">
            <v>H10X18</v>
          </cell>
          <cell r="N1312">
            <v>36</v>
          </cell>
          <cell r="O1312">
            <v>5400870690069</v>
          </cell>
          <cell r="P1312" t="str">
            <v>I-T</v>
          </cell>
          <cell r="Q1312">
            <v>1</v>
          </cell>
          <cell r="R1312">
            <v>2</v>
          </cell>
          <cell r="S1312" t="str">
            <v>PULLED CHICKEN D-2 ontdooien</v>
          </cell>
          <cell r="T1312">
            <v>2200</v>
          </cell>
          <cell r="U1312">
            <v>6</v>
          </cell>
          <cell r="V1312">
            <v>2200</v>
          </cell>
          <cell r="W1312">
            <v>6</v>
          </cell>
          <cell r="Z1312">
            <v>0.16</v>
          </cell>
          <cell r="AA1312" t="str">
            <v>! !</v>
          </cell>
          <cell r="AJ1312" t="str">
            <v> -</v>
          </cell>
          <cell r="AL1312">
            <v>0</v>
          </cell>
          <cell r="AM1312">
            <v>2200</v>
          </cell>
          <cell r="AN1312" t="e">
            <v>#VALUE!</v>
          </cell>
          <cell r="AO1312" t="e">
            <v>#VALUE!</v>
          </cell>
          <cell r="AP1312">
            <v>-2200</v>
          </cell>
        </row>
        <row r="1313">
          <cell r="A1313">
            <v>66900700</v>
          </cell>
          <cell r="B1313">
            <v>40276500</v>
          </cell>
          <cell r="C1313">
            <v>204917</v>
          </cell>
          <cell r="D1313" t="str">
            <v>LIDL RO FRIET CHEDDAR SPEK 280G (MIXED)</v>
          </cell>
          <cell r="E1313" t="str">
            <v>Lidl INT</v>
          </cell>
          <cell r="F1313" t="str">
            <v>40336300 OLAF 30 290MM</v>
          </cell>
          <cell r="G1313" t="str">
            <v>AR 1150-8 white/white</v>
          </cell>
          <cell r="H1313">
            <v>456</v>
          </cell>
          <cell r="I1313">
            <v>0.28000000000000003</v>
          </cell>
          <cell r="J1313" t="str">
            <v>H9 45mm</v>
          </cell>
          <cell r="K1313" t="str">
            <v>NVT</v>
          </cell>
          <cell r="L1313">
            <v>15</v>
          </cell>
          <cell r="M1313" t="str">
            <v>H10X18</v>
          </cell>
          <cell r="N1313">
            <v>36</v>
          </cell>
          <cell r="O1313">
            <v>5400870690045</v>
          </cell>
          <cell r="P1313" t="str">
            <v>I-T</v>
          </cell>
          <cell r="Q1313">
            <v>1</v>
          </cell>
          <cell r="R1313">
            <v>2</v>
          </cell>
          <cell r="T1313">
            <v>2200</v>
          </cell>
          <cell r="U1313">
            <v>6</v>
          </cell>
          <cell r="V1313">
            <v>2200</v>
          </cell>
          <cell r="W1313">
            <v>6</v>
          </cell>
          <cell r="Z1313">
            <v>0.14000000000000001</v>
          </cell>
          <cell r="AA1313" t="str">
            <v>! !</v>
          </cell>
          <cell r="AJ1313" t="str">
            <v>V-A </v>
          </cell>
          <cell r="AL1313">
            <v>0</v>
          </cell>
          <cell r="AM1313">
            <v>2200</v>
          </cell>
          <cell r="AN1313" t="e">
            <v>#VALUE!</v>
          </cell>
          <cell r="AO1313" t="e">
            <v>#VALUE!</v>
          </cell>
          <cell r="AP1313">
            <v>-2200</v>
          </cell>
        </row>
        <row r="1314">
          <cell r="A1314">
            <v>66900800</v>
          </cell>
          <cell r="B1314">
            <v>40276600</v>
          </cell>
          <cell r="C1314">
            <v>204918</v>
          </cell>
          <cell r="D1314" t="str">
            <v>LIDL RO FRIET CHEDDAR CHILI 280G (MIXED)</v>
          </cell>
          <cell r="E1314" t="str">
            <v>Lidl INT</v>
          </cell>
          <cell r="F1314" t="str">
            <v>40336300 OLAF 30 290MM</v>
          </cell>
          <cell r="G1314" t="str">
            <v>AR 1150-8 white/white</v>
          </cell>
          <cell r="H1314">
            <v>456</v>
          </cell>
          <cell r="I1314">
            <v>0.28000000000000003</v>
          </cell>
          <cell r="J1314" t="str">
            <v>H9 45mm</v>
          </cell>
          <cell r="K1314" t="str">
            <v>NVT</v>
          </cell>
          <cell r="L1314">
            <v>15</v>
          </cell>
          <cell r="M1314" t="str">
            <v>H10X18</v>
          </cell>
          <cell r="N1314">
            <v>36</v>
          </cell>
          <cell r="O1314">
            <v>5400870690052</v>
          </cell>
          <cell r="P1314" t="str">
            <v>I-T</v>
          </cell>
          <cell r="Q1314">
            <v>1</v>
          </cell>
          <cell r="R1314">
            <v>2</v>
          </cell>
          <cell r="T1314">
            <v>2200</v>
          </cell>
          <cell r="U1314">
            <v>6</v>
          </cell>
          <cell r="V1314">
            <v>2200</v>
          </cell>
          <cell r="W1314">
            <v>6</v>
          </cell>
          <cell r="Z1314">
            <v>0.14000000000000001</v>
          </cell>
          <cell r="AA1314" t="str">
            <v>! !</v>
          </cell>
          <cell r="AJ1314" t="str">
            <v>-</v>
          </cell>
          <cell r="AL1314">
            <v>0</v>
          </cell>
          <cell r="AM1314">
            <v>2200</v>
          </cell>
          <cell r="AN1314" t="e">
            <v>#VALUE!</v>
          </cell>
          <cell r="AO1314" t="e">
            <v>#VALUE!</v>
          </cell>
          <cell r="AP1314">
            <v>-2200</v>
          </cell>
        </row>
        <row r="1315">
          <cell r="A1315">
            <v>66900900</v>
          </cell>
          <cell r="B1315">
            <v>40276700</v>
          </cell>
          <cell r="C1315">
            <v>204919</v>
          </cell>
          <cell r="D1315" t="str">
            <v>LIDL RO FRIET BBQ PULLED CHICKEN 280G (MIXED)</v>
          </cell>
          <cell r="E1315" t="str">
            <v>Lidl INT</v>
          </cell>
          <cell r="F1315" t="str">
            <v>40336300 OLAF 30 290MM</v>
          </cell>
          <cell r="G1315" t="str">
            <v>AR 1150-8 white/white</v>
          </cell>
          <cell r="H1315">
            <v>456</v>
          </cell>
          <cell r="I1315">
            <v>0.28000000000000003</v>
          </cell>
          <cell r="J1315" t="str">
            <v>H9 45mm</v>
          </cell>
          <cell r="K1315" t="str">
            <v>NVT</v>
          </cell>
          <cell r="L1315">
            <v>15</v>
          </cell>
          <cell r="M1315" t="str">
            <v>H10X18</v>
          </cell>
          <cell r="N1315">
            <v>36</v>
          </cell>
          <cell r="O1315">
            <v>5400870690069</v>
          </cell>
          <cell r="P1315" t="str">
            <v>I-T</v>
          </cell>
          <cell r="Q1315">
            <v>1</v>
          </cell>
          <cell r="R1315">
            <v>2</v>
          </cell>
          <cell r="T1315">
            <v>2200</v>
          </cell>
          <cell r="U1315">
            <v>6</v>
          </cell>
          <cell r="V1315">
            <v>2200</v>
          </cell>
          <cell r="W1315">
            <v>6</v>
          </cell>
          <cell r="Z1315">
            <v>0.14000000000000001</v>
          </cell>
          <cell r="AA1315" t="str">
            <v>! !</v>
          </cell>
          <cell r="AJ1315" t="str">
            <v> -</v>
          </cell>
          <cell r="AL1315">
            <v>0</v>
          </cell>
          <cell r="AM1315">
            <v>2200</v>
          </cell>
          <cell r="AN1315" t="e">
            <v>#VALUE!</v>
          </cell>
          <cell r="AO1315" t="e">
            <v>#VALUE!</v>
          </cell>
          <cell r="AP1315">
            <v>-2200</v>
          </cell>
        </row>
        <row r="1316">
          <cell r="A1316">
            <v>66901000</v>
          </cell>
          <cell r="B1316">
            <v>40277400</v>
          </cell>
          <cell r="C1316">
            <v>204917</v>
          </cell>
          <cell r="D1316" t="str">
            <v>LIDL FR FRIET CHEDDAR SPEK 280G (MIXED)</v>
          </cell>
          <cell r="E1316" t="str">
            <v>Lidl INT</v>
          </cell>
          <cell r="F1316" t="str">
            <v>290mm</v>
          </cell>
          <cell r="G1316" t="str">
            <v>AR 1150-8 white/white</v>
          </cell>
          <cell r="H1316">
            <v>456</v>
          </cell>
          <cell r="I1316">
            <v>0.28000000000000003</v>
          </cell>
          <cell r="J1316" t="str">
            <v>H9 45mm</v>
          </cell>
          <cell r="K1316" t="str">
            <v>NVT</v>
          </cell>
          <cell r="L1316">
            <v>15</v>
          </cell>
          <cell r="M1316" t="str">
            <v>H10X18</v>
          </cell>
          <cell r="N1316">
            <v>36</v>
          </cell>
          <cell r="O1316">
            <v>5400870690106</v>
          </cell>
          <cell r="P1316" t="str">
            <v>I-T</v>
          </cell>
          <cell r="Q1316">
            <v>1</v>
          </cell>
          <cell r="R1316">
            <v>2</v>
          </cell>
          <cell r="T1316">
            <v>2200</v>
          </cell>
          <cell r="U1316">
            <v>6</v>
          </cell>
          <cell r="V1316">
            <v>2200</v>
          </cell>
          <cell r="W1316">
            <v>6</v>
          </cell>
          <cell r="Z1316">
            <v>0.158</v>
          </cell>
          <cell r="AA1316" t="str">
            <v>! !</v>
          </cell>
          <cell r="AG1316">
            <v>45</v>
          </cell>
          <cell r="AJ1316" t="str">
            <v>V-A </v>
          </cell>
          <cell r="AL1316">
            <v>2700</v>
          </cell>
          <cell r="AM1316">
            <v>2200</v>
          </cell>
          <cell r="AN1316" t="e">
            <v>#VALUE!</v>
          </cell>
          <cell r="AO1316" t="e">
            <v>#VALUE!</v>
          </cell>
          <cell r="AP1316">
            <v>500</v>
          </cell>
        </row>
        <row r="1317">
          <cell r="A1317">
            <v>66901100</v>
          </cell>
          <cell r="B1317">
            <v>40277500</v>
          </cell>
          <cell r="C1317">
            <v>204918</v>
          </cell>
          <cell r="D1317" t="str">
            <v>LIDL FR FRIET CHEDDAR CHILI 280G (MIXED)</v>
          </cell>
          <cell r="E1317" t="str">
            <v>Lidl INT</v>
          </cell>
          <cell r="F1317" t="str">
            <v>290mm</v>
          </cell>
          <cell r="G1317" t="str">
            <v>AR 1150-8 white/white</v>
          </cell>
          <cell r="H1317">
            <v>456</v>
          </cell>
          <cell r="I1317">
            <v>0.28000000000000003</v>
          </cell>
          <cell r="J1317" t="str">
            <v>H9 45mm</v>
          </cell>
          <cell r="K1317" t="str">
            <v>NVT</v>
          </cell>
          <cell r="L1317">
            <v>15</v>
          </cell>
          <cell r="M1317" t="str">
            <v>H10X18</v>
          </cell>
          <cell r="N1317">
            <v>36</v>
          </cell>
          <cell r="O1317">
            <v>5400870690113</v>
          </cell>
          <cell r="P1317" t="str">
            <v>I-T</v>
          </cell>
          <cell r="Q1317">
            <v>1</v>
          </cell>
          <cell r="R1317">
            <v>2</v>
          </cell>
          <cell r="T1317">
            <v>2200</v>
          </cell>
          <cell r="U1317">
            <v>6</v>
          </cell>
          <cell r="V1317">
            <v>2200</v>
          </cell>
          <cell r="W1317">
            <v>6</v>
          </cell>
          <cell r="Z1317">
            <v>0.158</v>
          </cell>
          <cell r="AA1317" t="str">
            <v>! !</v>
          </cell>
          <cell r="AG1317">
            <v>45</v>
          </cell>
          <cell r="AJ1317" t="str">
            <v>-</v>
          </cell>
          <cell r="AL1317">
            <v>2700</v>
          </cell>
          <cell r="AM1317">
            <v>2200</v>
          </cell>
          <cell r="AN1317" t="e">
            <v>#VALUE!</v>
          </cell>
          <cell r="AO1317" t="e">
            <v>#VALUE!</v>
          </cell>
          <cell r="AP1317">
            <v>500</v>
          </cell>
        </row>
        <row r="1318">
          <cell r="A1318">
            <v>66901200</v>
          </cell>
          <cell r="B1318">
            <v>40277600</v>
          </cell>
          <cell r="C1318">
            <v>204919</v>
          </cell>
          <cell r="D1318" t="str">
            <v>LIDL FR FRIET BBQ PULLED CHICKEN 280G (MIXED)</v>
          </cell>
          <cell r="E1318" t="str">
            <v>Lidl INT</v>
          </cell>
          <cell r="F1318" t="str">
            <v>290mm</v>
          </cell>
          <cell r="G1318" t="str">
            <v>AR 1150-8 white/white</v>
          </cell>
          <cell r="H1318">
            <v>456</v>
          </cell>
          <cell r="I1318">
            <v>0.28000000000000003</v>
          </cell>
          <cell r="J1318" t="str">
            <v>H9 45mm</v>
          </cell>
          <cell r="K1318" t="str">
            <v>NVT</v>
          </cell>
          <cell r="L1318">
            <v>15</v>
          </cell>
          <cell r="M1318" t="str">
            <v>H10X18</v>
          </cell>
          <cell r="N1318">
            <v>36</v>
          </cell>
          <cell r="O1318">
            <v>5400870690120</v>
          </cell>
          <cell r="P1318" t="str">
            <v>I-T</v>
          </cell>
          <cell r="Q1318">
            <v>1</v>
          </cell>
          <cell r="R1318">
            <v>2</v>
          </cell>
          <cell r="S1318" t="str">
            <v>PULLED CHICKEN D-2 ontdooien</v>
          </cell>
          <cell r="T1318">
            <v>2200</v>
          </cell>
          <cell r="U1318">
            <v>6</v>
          </cell>
          <cell r="V1318">
            <v>2200</v>
          </cell>
          <cell r="W1318">
            <v>6</v>
          </cell>
          <cell r="Z1318">
            <v>0.158</v>
          </cell>
          <cell r="AA1318" t="str">
            <v>-</v>
          </cell>
          <cell r="AG1318">
            <v>45</v>
          </cell>
          <cell r="AJ1318" t="str">
            <v> -</v>
          </cell>
          <cell r="AL1318">
            <v>2700</v>
          </cell>
          <cell r="AM1318">
            <v>2200</v>
          </cell>
          <cell r="AN1318" t="e">
            <v>#VALUE!</v>
          </cell>
          <cell r="AO1318" t="e">
            <v>#VALUE!</v>
          </cell>
          <cell r="AP1318">
            <v>500</v>
          </cell>
        </row>
        <row r="1319">
          <cell r="A1319">
            <v>66901300</v>
          </cell>
          <cell r="B1319">
            <v>40281500</v>
          </cell>
          <cell r="C1319">
            <v>1014338</v>
          </cell>
          <cell r="D1319" t="str">
            <v>LIDL IE NI CY NL FI FRIET PIRI PIRI 400G</v>
          </cell>
          <cell r="E1319" t="str">
            <v>Lidl INT</v>
          </cell>
          <cell r="F1319" t="str">
            <v>290mm</v>
          </cell>
          <cell r="G1319" t="str">
            <v>AR 1150-8 white/white</v>
          </cell>
          <cell r="H1319">
            <v>456</v>
          </cell>
          <cell r="I1319">
            <v>0.4</v>
          </cell>
          <cell r="J1319" t="str">
            <v>H9 45mm</v>
          </cell>
          <cell r="K1319" t="str">
            <v>NVT</v>
          </cell>
          <cell r="L1319">
            <v>15</v>
          </cell>
          <cell r="M1319" t="str">
            <v>H10X18</v>
          </cell>
          <cell r="N1319">
            <v>36</v>
          </cell>
          <cell r="O1319">
            <v>4053216361140</v>
          </cell>
          <cell r="P1319" t="str">
            <v>I-T</v>
          </cell>
          <cell r="Q1319">
            <v>1</v>
          </cell>
          <cell r="R1319">
            <v>2</v>
          </cell>
          <cell r="T1319">
            <v>2200</v>
          </cell>
          <cell r="U1319">
            <v>6</v>
          </cell>
          <cell r="V1319">
            <v>2200</v>
          </cell>
          <cell r="W1319">
            <v>6</v>
          </cell>
          <cell r="Z1319">
            <v>0.16500000000000001</v>
          </cell>
          <cell r="AA1319" t="str">
            <v>! ! !</v>
          </cell>
          <cell r="AG1319">
            <v>68</v>
          </cell>
          <cell r="AJ1319" t="str">
            <v>V-A </v>
          </cell>
          <cell r="AK1319" t="str">
            <v>ja</v>
          </cell>
          <cell r="AL1319">
            <v>4080</v>
          </cell>
          <cell r="AM1319">
            <v>2200</v>
          </cell>
          <cell r="AN1319" t="e">
            <v>#VALUE!</v>
          </cell>
          <cell r="AO1319" t="e">
            <v>#VALUE!</v>
          </cell>
          <cell r="AP1319">
            <v>1880</v>
          </cell>
        </row>
        <row r="1320">
          <cell r="A1320">
            <v>66901400</v>
          </cell>
          <cell r="B1320">
            <v>40281600</v>
          </cell>
          <cell r="C1320">
            <v>1018812</v>
          </cell>
          <cell r="D1320" t="str">
            <v>LIDL SK SE CY FRIET CHEESY PEPPER 280G (MIXED)</v>
          </cell>
          <cell r="E1320" t="str">
            <v>Lidl INT</v>
          </cell>
          <cell r="F1320" t="str">
            <v>290mm</v>
          </cell>
          <cell r="G1320" t="str">
            <v>AR 1150-8 white/white</v>
          </cell>
          <cell r="H1320">
            <v>456</v>
          </cell>
          <cell r="I1320">
            <v>0.28000000000000003</v>
          </cell>
          <cell r="J1320" t="str">
            <v>H9 45mm</v>
          </cell>
          <cell r="K1320" t="str">
            <v>NVT</v>
          </cell>
          <cell r="L1320">
            <v>15</v>
          </cell>
          <cell r="M1320" t="str">
            <v>H10X18</v>
          </cell>
          <cell r="N1320">
            <v>36</v>
          </cell>
          <cell r="O1320">
            <v>5400870690144</v>
          </cell>
          <cell r="P1320" t="str">
            <v>I-T</v>
          </cell>
          <cell r="Q1320">
            <v>1</v>
          </cell>
          <cell r="R1320">
            <v>2</v>
          </cell>
          <cell r="T1320">
            <v>2200</v>
          </cell>
          <cell r="U1320">
            <v>6</v>
          </cell>
          <cell r="V1320">
            <v>2200</v>
          </cell>
          <cell r="W1320">
            <v>6</v>
          </cell>
          <cell r="Z1320">
            <v>0.248</v>
          </cell>
          <cell r="AA1320" t="str">
            <v>! !</v>
          </cell>
          <cell r="AG1320">
            <v>45</v>
          </cell>
          <cell r="AJ1320" t="str">
            <v>V-A </v>
          </cell>
          <cell r="AK1320" t="str">
            <v>- </v>
          </cell>
          <cell r="AL1320">
            <v>2700</v>
          </cell>
          <cell r="AM1320">
            <v>2200</v>
          </cell>
          <cell r="AN1320" t="e">
            <v>#VALUE!</v>
          </cell>
          <cell r="AO1320" t="e">
            <v>#VALUE!</v>
          </cell>
          <cell r="AP1320">
            <v>500</v>
          </cell>
        </row>
        <row r="1321">
          <cell r="A1321">
            <v>66901500</v>
          </cell>
          <cell r="B1321">
            <v>40281700</v>
          </cell>
          <cell r="C1321">
            <v>1018813</v>
          </cell>
          <cell r="D1321" t="str">
            <v>LIDL SK SE CY FRIET ST GALLANER UI SAUS 280G (MIXED)</v>
          </cell>
          <cell r="E1321" t="str">
            <v>Lidl INT</v>
          </cell>
          <cell r="F1321" t="str">
            <v>290mm</v>
          </cell>
          <cell r="G1321" t="str">
            <v>AR 1150-8 white/white</v>
          </cell>
          <cell r="H1321">
            <v>456</v>
          </cell>
          <cell r="I1321">
            <v>0.28000000000000003</v>
          </cell>
          <cell r="J1321" t="str">
            <v>H9 45mm</v>
          </cell>
          <cell r="K1321" t="str">
            <v>NVT</v>
          </cell>
          <cell r="L1321">
            <v>15</v>
          </cell>
          <cell r="M1321" t="str">
            <v>H10X18</v>
          </cell>
          <cell r="N1321">
            <v>36</v>
          </cell>
          <cell r="O1321">
            <v>5400870690151</v>
          </cell>
          <cell r="P1321" t="str">
            <v>I-T</v>
          </cell>
          <cell r="Q1321">
            <v>1</v>
          </cell>
          <cell r="R1321">
            <v>2</v>
          </cell>
          <cell r="T1321">
            <v>2200</v>
          </cell>
          <cell r="U1321">
            <v>6</v>
          </cell>
          <cell r="V1321">
            <v>2200</v>
          </cell>
          <cell r="W1321">
            <v>6</v>
          </cell>
          <cell r="Z1321">
            <v>0.248</v>
          </cell>
          <cell r="AA1321" t="str">
            <v>! ! !</v>
          </cell>
          <cell r="AG1321">
            <v>45</v>
          </cell>
          <cell r="AJ1321" t="str">
            <v>V-A </v>
          </cell>
          <cell r="AK1321" t="str">
            <v> -</v>
          </cell>
          <cell r="AL1321">
            <v>2700</v>
          </cell>
          <cell r="AM1321">
            <v>2200</v>
          </cell>
          <cell r="AN1321" t="e">
            <v>#VALUE!</v>
          </cell>
          <cell r="AO1321" t="e">
            <v>#VALUE!</v>
          </cell>
          <cell r="AP1321">
            <v>500</v>
          </cell>
        </row>
        <row r="1322">
          <cell r="A1322">
            <v>66901600</v>
          </cell>
          <cell r="B1322">
            <v>40281800</v>
          </cell>
          <cell r="C1322">
            <v>1018814</v>
          </cell>
          <cell r="D1322" t="str">
            <v>LIDL SK SE CY FRIET SPICY COCKTAIL SAUS 280G (MIXED)</v>
          </cell>
          <cell r="E1322" t="str">
            <v>Lidl INT</v>
          </cell>
          <cell r="F1322" t="str">
            <v>290mm</v>
          </cell>
          <cell r="G1322" t="str">
            <v>AR 1150-8 white/white</v>
          </cell>
          <cell r="H1322">
            <v>456</v>
          </cell>
          <cell r="I1322">
            <v>0.28000000000000003</v>
          </cell>
          <cell r="J1322" t="str">
            <v>H9 45mm</v>
          </cell>
          <cell r="K1322" t="str">
            <v>NVT</v>
          </cell>
          <cell r="L1322">
            <v>15</v>
          </cell>
          <cell r="M1322" t="str">
            <v>H10X18</v>
          </cell>
          <cell r="N1322">
            <v>36</v>
          </cell>
          <cell r="O1322">
            <v>5400870690168</v>
          </cell>
          <cell r="P1322" t="str">
            <v>I-T</v>
          </cell>
          <cell r="Q1322">
            <v>1</v>
          </cell>
          <cell r="R1322">
            <v>2</v>
          </cell>
          <cell r="T1322">
            <v>2200</v>
          </cell>
          <cell r="U1322">
            <v>6</v>
          </cell>
          <cell r="V1322">
            <v>2200</v>
          </cell>
          <cell r="W1322">
            <v>6</v>
          </cell>
          <cell r="Z1322">
            <v>0.248</v>
          </cell>
          <cell r="AA1322" t="str">
            <v>! ! !</v>
          </cell>
          <cell r="AG1322">
            <v>45</v>
          </cell>
          <cell r="AJ1322" t="str">
            <v>V-A </v>
          </cell>
          <cell r="AK1322" t="str">
            <v> -</v>
          </cell>
          <cell r="AL1322">
            <v>2700</v>
          </cell>
          <cell r="AM1322">
            <v>2200</v>
          </cell>
          <cell r="AN1322" t="e">
            <v>#VALUE!</v>
          </cell>
          <cell r="AO1322" t="e">
            <v>#VALUE!</v>
          </cell>
          <cell r="AP1322">
            <v>500</v>
          </cell>
        </row>
        <row r="1323">
          <cell r="A1323">
            <v>81658800</v>
          </cell>
          <cell r="C1323">
            <v>5374</v>
          </cell>
          <cell r="D1323" t="str">
            <v>ALDI BE BEREIDE MAALTIJDEN MSC ASSORTIMENT 18X500G</v>
          </cell>
          <cell r="E1323" t="str">
            <v>Aldi BE</v>
          </cell>
          <cell r="H1323">
            <v>365</v>
          </cell>
          <cell r="I1323">
            <v>9</v>
          </cell>
          <cell r="J1323" t="str">
            <v>H10</v>
          </cell>
          <cell r="K1323" t="str">
            <v>NVT</v>
          </cell>
          <cell r="L1323">
            <v>18</v>
          </cell>
          <cell r="M1323" t="str">
            <v>H10x18</v>
          </cell>
          <cell r="N1323">
            <v>36</v>
          </cell>
          <cell r="O1323">
            <v>4068261057405</v>
          </cell>
          <cell r="S1323" t="str">
            <v>4 x (61658700) + 5 x (61659000) + 3 x (61658800) + 3 x( 61659100) + 3 x (61658900), Offlinemix</v>
          </cell>
          <cell r="Z1323">
            <v>0.17299999999999999</v>
          </cell>
          <cell r="AA1323" t="str">
            <v>! ! ! !</v>
          </cell>
          <cell r="AJ1323" t="str">
            <v>NVT</v>
          </cell>
          <cell r="AL1323">
            <v>0</v>
          </cell>
          <cell r="AM1323">
            <v>0</v>
          </cell>
          <cell r="AN1323" t="e">
            <v>#VALUE!</v>
          </cell>
          <cell r="AO1323" t="str">
            <v/>
          </cell>
          <cell r="AP1323">
            <v>0</v>
          </cell>
        </row>
        <row r="1324">
          <cell r="A1324">
            <v>81684900</v>
          </cell>
          <cell r="C1324">
            <v>7405166</v>
          </cell>
          <cell r="D1324" t="str">
            <v>LIDL BE DIEPVRIESMAALTIJDEN SK8 MSC</v>
          </cell>
          <cell r="E1324" t="str">
            <v>Lidl BE</v>
          </cell>
          <cell r="H1324">
            <v>456</v>
          </cell>
          <cell r="I1324">
            <v>4</v>
          </cell>
          <cell r="J1324" t="str">
            <v>H10</v>
          </cell>
          <cell r="K1324" t="str">
            <v>NVT</v>
          </cell>
          <cell r="L1324">
            <v>8</v>
          </cell>
          <cell r="M1324" t="str">
            <v>H10X8</v>
          </cell>
          <cell r="N1324">
            <v>81</v>
          </cell>
          <cell r="O1324">
            <v>5400870168490</v>
          </cell>
          <cell r="S1324" t="str">
            <v>4x (61684900) + 2 x (61685300) + 1x (61684800) + 1x (61685100)</v>
          </cell>
          <cell r="Z1324">
            <v>0.11</v>
          </cell>
          <cell r="AA1324" t="str">
            <v>! ! ! !</v>
          </cell>
          <cell r="AJ1324" t="str">
            <v>NVT</v>
          </cell>
          <cell r="AL1324">
            <v>0</v>
          </cell>
          <cell r="AM1324">
            <v>0</v>
          </cell>
          <cell r="AN1324" t="e">
            <v>#VALUE!</v>
          </cell>
          <cell r="AO1324" t="str">
            <v/>
          </cell>
          <cell r="AP1324">
            <v>0</v>
          </cell>
        </row>
        <row r="1325">
          <cell r="A1325">
            <v>81686100</v>
          </cell>
          <cell r="C1325">
            <v>7405707</v>
          </cell>
          <cell r="D1325" t="str">
            <v xml:space="preserve">LIDL BE LUXE GRATIN </v>
          </cell>
          <cell r="E1325" t="str">
            <v>Lidl BE</v>
          </cell>
          <cell r="H1325">
            <v>456</v>
          </cell>
          <cell r="I1325">
            <v>5.6</v>
          </cell>
          <cell r="J1325" t="str">
            <v>H10</v>
          </cell>
          <cell r="K1325" t="str">
            <v>NVT</v>
          </cell>
          <cell r="L1325">
            <v>8</v>
          </cell>
          <cell r="M1325" t="str">
            <v>H10X8</v>
          </cell>
          <cell r="N1325">
            <v>81</v>
          </cell>
          <cell r="O1325">
            <v>5400870999889</v>
          </cell>
          <cell r="S1325" t="str">
            <v>5 x (61686200) + 3 x (61686100)</v>
          </cell>
          <cell r="Z1325">
            <v>0.11</v>
          </cell>
          <cell r="AA1325" t="str">
            <v>! ! !</v>
          </cell>
          <cell r="AJ1325" t="str">
            <v>NVT</v>
          </cell>
          <cell r="AL1325">
            <v>0</v>
          </cell>
          <cell r="AM1325">
            <v>0</v>
          </cell>
          <cell r="AN1325" t="e">
            <v>#VALUE!</v>
          </cell>
          <cell r="AO1325" t="str">
            <v/>
          </cell>
          <cell r="AP1325">
            <v>0</v>
          </cell>
        </row>
        <row r="1326">
          <cell r="A1326">
            <v>83110200</v>
          </cell>
          <cell r="C1326">
            <v>3144</v>
          </cell>
          <cell r="D1326" t="str">
            <v>ALDI BE VISPAN ASC MSC GG ASSORTIMENT 24X300G</v>
          </cell>
          <cell r="E1326" t="str">
            <v>Aldi BE</v>
          </cell>
          <cell r="H1326">
            <v>548</v>
          </cell>
          <cell r="I1326">
            <v>7.2</v>
          </cell>
          <cell r="J1326" t="str">
            <v>H11</v>
          </cell>
          <cell r="K1326" t="str">
            <v>NVT</v>
          </cell>
          <cell r="L1326">
            <v>24</v>
          </cell>
          <cell r="M1326" t="str">
            <v>H11X24</v>
          </cell>
          <cell r="N1326">
            <v>48</v>
          </cell>
          <cell r="O1326">
            <v>5400870999711</v>
          </cell>
          <cell r="S1326" t="str">
            <v>6x (63110200) + 7 x (63110300) + 6x (63110400) + 5x (63110500)</v>
          </cell>
          <cell r="AA1326" t="str">
            <v>! ! ! !</v>
          </cell>
          <cell r="AJ1326" t="str">
            <v>V-A</v>
          </cell>
          <cell r="AL1326">
            <v>0</v>
          </cell>
          <cell r="AM1326">
            <v>0</v>
          </cell>
          <cell r="AN1326" t="e">
            <v>#VALUE!</v>
          </cell>
          <cell r="AO1326" t="str">
            <v/>
          </cell>
          <cell r="AP1326">
            <v>0</v>
          </cell>
        </row>
        <row r="1327">
          <cell r="A1327">
            <v>83110300</v>
          </cell>
          <cell r="C1327">
            <v>3144</v>
          </cell>
          <cell r="D1327" t="str">
            <v>ALDI BE VISPAN ASC MSC ASSORTIMENT 24X300G</v>
          </cell>
          <cell r="E1327" t="str">
            <v>Aldi BE</v>
          </cell>
          <cell r="H1327">
            <v>548</v>
          </cell>
          <cell r="I1327">
            <v>7.2</v>
          </cell>
          <cell r="J1327" t="str">
            <v>H11</v>
          </cell>
          <cell r="K1327" t="str">
            <v>NVT</v>
          </cell>
          <cell r="L1327">
            <v>24</v>
          </cell>
          <cell r="M1327" t="str">
            <v>H11X24</v>
          </cell>
          <cell r="N1327">
            <v>48</v>
          </cell>
          <cell r="O1327">
            <v>4068261057283</v>
          </cell>
          <cell r="S1327" t="str">
            <v>6x (63110200) + 7 x (63110300) + 6x (63110600) + 5x (63110500)</v>
          </cell>
          <cell r="Z1327">
            <v>3.6999999999999998E-2</v>
          </cell>
          <cell r="AA1327" t="str">
            <v>! ! ! !</v>
          </cell>
          <cell r="AJ1327" t="str">
            <v>V-A</v>
          </cell>
          <cell r="AL1327">
            <v>0</v>
          </cell>
          <cell r="AM1327">
            <v>0</v>
          </cell>
          <cell r="AN1327" t="e">
            <v>#VALUE!</v>
          </cell>
          <cell r="AO1327" t="str">
            <v/>
          </cell>
          <cell r="AP1327">
            <v>0</v>
          </cell>
        </row>
        <row r="1328">
          <cell r="A1328">
            <v>83110700</v>
          </cell>
          <cell r="C1328">
            <v>2377</v>
          </cell>
          <cell r="D1328" t="str">
            <v>ALDI BE SCAMPI ASC ASSORTIMENT 10X250G</v>
          </cell>
          <cell r="E1328" t="str">
            <v>Aldi BE</v>
          </cell>
          <cell r="G1328" t="str">
            <v>I+Q585:W5854T</v>
          </cell>
          <cell r="H1328">
            <v>548</v>
          </cell>
          <cell r="I1328">
            <v>2.5</v>
          </cell>
          <cell r="J1328" t="str">
            <v>H11</v>
          </cell>
          <cell r="K1328" t="str">
            <v>NVT</v>
          </cell>
          <cell r="L1328">
            <v>10</v>
          </cell>
          <cell r="M1328" t="str">
            <v>H11X10</v>
          </cell>
          <cell r="N1328">
            <v>105</v>
          </cell>
          <cell r="O1328">
            <v>4068261057221</v>
          </cell>
          <cell r="S1328" t="str">
            <v>5 x (63110700) + 5 x (63110800)</v>
          </cell>
          <cell r="AL1328">
            <v>0</v>
          </cell>
          <cell r="AM1328">
            <v>0</v>
          </cell>
          <cell r="AN1328" t="e">
            <v>#VALUE!</v>
          </cell>
          <cell r="AO1328" t="str">
            <v/>
          </cell>
          <cell r="AP1328">
            <v>0</v>
          </cell>
        </row>
        <row r="1329">
          <cell r="A1329">
            <v>83152800</v>
          </cell>
          <cell r="C1329">
            <v>7402914</v>
          </cell>
          <cell r="D1329" t="str">
            <v>LIDL BE SCAMPI ASC SK2</v>
          </cell>
          <cell r="E1329" t="str">
            <v>Lidl INT</v>
          </cell>
          <cell r="H1329">
            <v>487</v>
          </cell>
          <cell r="I1329">
            <v>2.5</v>
          </cell>
          <cell r="J1329" t="str">
            <v>H11</v>
          </cell>
          <cell r="K1329" t="str">
            <v>NVT</v>
          </cell>
          <cell r="L1329">
            <v>10</v>
          </cell>
          <cell r="M1329" t="str">
            <v>H11x10</v>
          </cell>
          <cell r="N1329">
            <v>90</v>
          </cell>
          <cell r="O1329">
            <v>5400870999599</v>
          </cell>
          <cell r="S1329" t="str">
            <v>5 x (63152800) + 5 x (63152900)</v>
          </cell>
          <cell r="AA1329" t="str">
            <v>! ! ! !</v>
          </cell>
          <cell r="AJ1329" t="str">
            <v>V-A</v>
          </cell>
          <cell r="AL1329">
            <v>0</v>
          </cell>
          <cell r="AM1329">
            <v>0</v>
          </cell>
          <cell r="AN1329" t="e">
            <v>#VALUE!</v>
          </cell>
          <cell r="AO1329" t="str">
            <v/>
          </cell>
          <cell r="AP1329">
            <v>0</v>
          </cell>
        </row>
        <row r="1330">
          <cell r="A1330">
            <v>83154300</v>
          </cell>
          <cell r="C1330">
            <v>7402914</v>
          </cell>
          <cell r="D1330" t="str">
            <v>LIDL AT HR BG SCAMPI ASC SK2</v>
          </cell>
          <cell r="E1330" t="str">
            <v>Lidl INT</v>
          </cell>
          <cell r="H1330">
            <v>487</v>
          </cell>
          <cell r="I1330">
            <v>2.5</v>
          </cell>
          <cell r="J1330" t="str">
            <v>H11</v>
          </cell>
          <cell r="K1330" t="str">
            <v>NVT</v>
          </cell>
          <cell r="L1330">
            <v>10</v>
          </cell>
          <cell r="M1330" t="str">
            <v>H11x10</v>
          </cell>
          <cell r="N1330">
            <v>78</v>
          </cell>
          <cell r="O1330">
            <v>5400870999728</v>
          </cell>
          <cell r="S1330" t="str">
            <v>5 x (63154300) + 5 x (63154400)</v>
          </cell>
          <cell r="Z1330">
            <v>0.123</v>
          </cell>
          <cell r="AA1330" t="str">
            <v>! ! ! !</v>
          </cell>
          <cell r="AJ1330" t="str">
            <v>NVT</v>
          </cell>
          <cell r="AL1330">
            <v>0</v>
          </cell>
          <cell r="AM1330">
            <v>0</v>
          </cell>
          <cell r="AN1330" t="e">
            <v>#VALUE!</v>
          </cell>
          <cell r="AO1330" t="str">
            <v/>
          </cell>
          <cell r="AP1330">
            <v>0</v>
          </cell>
        </row>
        <row r="1331">
          <cell r="A1331">
            <v>83154800</v>
          </cell>
          <cell r="C1331">
            <v>7402914</v>
          </cell>
          <cell r="D1331" t="str">
            <v>LIDL BG GR SCAMPI ASC SK2</v>
          </cell>
          <cell r="E1331" t="str">
            <v>Lidl INT</v>
          </cell>
          <cell r="H1331">
            <v>487</v>
          </cell>
          <cell r="I1331">
            <v>2.5</v>
          </cell>
          <cell r="J1331" t="str">
            <v>H11</v>
          </cell>
          <cell r="K1331" t="str">
            <v>NVT</v>
          </cell>
          <cell r="L1331">
            <v>10</v>
          </cell>
          <cell r="M1331" t="str">
            <v>H11x10</v>
          </cell>
          <cell r="N1331">
            <v>90</v>
          </cell>
          <cell r="O1331">
            <v>5400870999605</v>
          </cell>
          <cell r="S1331" t="str">
            <v>5 x (63154800) + 5 x (63154900)</v>
          </cell>
          <cell r="AA1331" t="str">
            <v>! ! ! !</v>
          </cell>
          <cell r="AJ1331" t="str">
            <v>V-A</v>
          </cell>
          <cell r="AL1331">
            <v>0</v>
          </cell>
          <cell r="AM1331">
            <v>0</v>
          </cell>
          <cell r="AN1331" t="e">
            <v>#VALUE!</v>
          </cell>
          <cell r="AO1331" t="str">
            <v/>
          </cell>
          <cell r="AP1331">
            <v>0</v>
          </cell>
        </row>
        <row r="1332">
          <cell r="A1332">
            <v>84251000</v>
          </cell>
          <cell r="C1332">
            <v>228138</v>
          </cell>
          <cell r="D1332" t="str">
            <v>FARMERSLAND PASTA SCAMPI SRI L ASC 10X400G</v>
          </cell>
          <cell r="E1332" t="str">
            <v>FARMERSLAND</v>
          </cell>
          <cell r="H1332">
            <v>456</v>
          </cell>
          <cell r="I1332">
            <v>4</v>
          </cell>
          <cell r="J1332" t="str">
            <v>H22</v>
          </cell>
          <cell r="K1332" t="str">
            <v>NVT</v>
          </cell>
          <cell r="L1332">
            <v>10</v>
          </cell>
          <cell r="M1332" t="str">
            <v>H22X10</v>
          </cell>
          <cell r="N1332">
            <v>84</v>
          </cell>
          <cell r="O1332">
            <v>4260159539073</v>
          </cell>
          <cell r="S1332" t="str">
            <v>5x (64251000) + 5x (64251100)</v>
          </cell>
          <cell r="Z1332">
            <v>0.06</v>
          </cell>
          <cell r="AA1332" t="str">
            <v>! ! ! !</v>
          </cell>
          <cell r="AJ1332" t="str">
            <v>V-A</v>
          </cell>
          <cell r="AL1332">
            <v>0</v>
          </cell>
          <cell r="AM1332">
            <v>0</v>
          </cell>
          <cell r="AN1332" t="e">
            <v>#VALUE!</v>
          </cell>
          <cell r="AO1332" t="str">
            <v/>
          </cell>
          <cell r="AP1332">
            <v>0</v>
          </cell>
        </row>
        <row r="1333">
          <cell r="A1333">
            <v>84251200</v>
          </cell>
          <cell r="C1333">
            <v>228138</v>
          </cell>
          <cell r="D1333" t="str">
            <v>FARMERSLAND PASTA SCAMPI INDIA ASC 10X400G</v>
          </cell>
          <cell r="E1333" t="str">
            <v>FARMERSLAND</v>
          </cell>
          <cell r="H1333">
            <v>456</v>
          </cell>
          <cell r="I1333">
            <v>4</v>
          </cell>
          <cell r="J1333" t="str">
            <v>H22</v>
          </cell>
          <cell r="K1333" t="str">
            <v>NVT</v>
          </cell>
          <cell r="L1333">
            <v>10</v>
          </cell>
          <cell r="M1333" t="str">
            <v>H22X10</v>
          </cell>
          <cell r="N1333">
            <v>84</v>
          </cell>
          <cell r="O1333">
            <v>4260159539073</v>
          </cell>
          <cell r="S1333" t="str">
            <v>5x (64251200) + 5x (64251300)</v>
          </cell>
          <cell r="Z1333">
            <v>0.14100000000000001</v>
          </cell>
          <cell r="AA1333" t="str">
            <v>! ! ! !</v>
          </cell>
          <cell r="AJ1333" t="str">
            <v>V-A</v>
          </cell>
          <cell r="AL1333">
            <v>0</v>
          </cell>
          <cell r="AM1333">
            <v>0</v>
          </cell>
          <cell r="AN1333" t="e">
            <v>#VALUE!</v>
          </cell>
          <cell r="AO1333" t="str">
            <v/>
          </cell>
          <cell r="AP1333">
            <v>0</v>
          </cell>
        </row>
        <row r="1334">
          <cell r="A1334">
            <v>85450100</v>
          </cell>
          <cell r="C1334">
            <v>7407339</v>
          </cell>
          <cell r="D1334" t="str">
            <v>LIDL NL VRIESVERSE MAALTIJDEN SK10 BLK</v>
          </cell>
          <cell r="E1334" t="str">
            <v>Lidl NL</v>
          </cell>
          <cell r="H1334">
            <v>456</v>
          </cell>
          <cell r="I1334">
            <v>2.5049999999999999</v>
          </cell>
          <cell r="J1334" t="str">
            <v>H34</v>
          </cell>
          <cell r="K1334" t="str">
            <v>NVT</v>
          </cell>
          <cell r="L1334">
            <v>6</v>
          </cell>
          <cell r="M1334" t="str">
            <v>H34x6</v>
          </cell>
          <cell r="N1334">
            <v>108</v>
          </cell>
          <cell r="O1334">
            <v>5400870999766</v>
          </cell>
          <cell r="S1334" t="str">
            <v xml:space="preserve">3 x (65450100) + 3 x (65450200) </v>
          </cell>
          <cell r="AA1334" t="str">
            <v>! ! !</v>
          </cell>
          <cell r="AJ1334" t="str">
            <v>V-A</v>
          </cell>
          <cell r="AL1334">
            <v>0</v>
          </cell>
          <cell r="AM1334">
            <v>0</v>
          </cell>
          <cell r="AN1334" t="e">
            <v>#VALUE!</v>
          </cell>
          <cell r="AO1334" t="str">
            <v/>
          </cell>
          <cell r="AP1334">
            <v>0</v>
          </cell>
        </row>
        <row r="1335">
          <cell r="A1335">
            <v>85701500</v>
          </cell>
          <cell r="C1335">
            <v>5312</v>
          </cell>
          <cell r="D1335" t="str">
            <v>ALDI BE KABELJAUW MSC IN SAUS ASSORTIMENT 24X450G</v>
          </cell>
          <cell r="E1335" t="str">
            <v>Aldi BE</v>
          </cell>
          <cell r="I1335">
            <v>10.8</v>
          </cell>
          <cell r="J1335" t="str">
            <v>H8</v>
          </cell>
          <cell r="L1335">
            <v>24</v>
          </cell>
          <cell r="M1335" t="str">
            <v>H8X24</v>
          </cell>
          <cell r="N1335" t="str">
            <v>42</v>
          </cell>
          <cell r="O1335">
            <v>4068261057375</v>
          </cell>
          <cell r="Q1335">
            <v>0</v>
          </cell>
          <cell r="R1335">
            <v>8</v>
          </cell>
          <cell r="S1335" t="str">
            <v>6 x (65701500) + 5 x (65701600) + 4 x (65701700) + 4 x (65701800) + 5 x (65701900)</v>
          </cell>
          <cell r="Z1335">
            <v>0.121</v>
          </cell>
          <cell r="AA1335" t="str">
            <v>! ! ! !</v>
          </cell>
          <cell r="AJ1335" t="str">
            <v>NVT</v>
          </cell>
          <cell r="AL1335">
            <v>0</v>
          </cell>
          <cell r="AM1335">
            <v>0</v>
          </cell>
          <cell r="AN1335" t="e">
            <v>#VALUE!</v>
          </cell>
          <cell r="AO1335" t="str">
            <v/>
          </cell>
          <cell r="AP1335">
            <v>0</v>
          </cell>
        </row>
        <row r="1336">
          <cell r="A1336">
            <v>85701800</v>
          </cell>
          <cell r="C1336">
            <v>5312</v>
          </cell>
          <cell r="D1336" t="str">
            <v>ALDI BE KABELJAUW MSC IN SAUS ASSORTIMENT 24X450G TUSSENOPLOSSING</v>
          </cell>
          <cell r="E1336" t="str">
            <v>Aldi BE</v>
          </cell>
          <cell r="I1336">
            <v>10.8</v>
          </cell>
          <cell r="J1336" t="str">
            <v>H8</v>
          </cell>
          <cell r="L1336">
            <v>24</v>
          </cell>
          <cell r="M1336" t="str">
            <v>H8X24</v>
          </cell>
          <cell r="N1336" t="str">
            <v>42</v>
          </cell>
          <cell r="O1336">
            <v>4068261057375</v>
          </cell>
          <cell r="S1336" t="str">
            <v>9 x (65701600) + 6 x (65701800) + 9 x (65701900)</v>
          </cell>
          <cell r="Z1336">
            <v>0.121</v>
          </cell>
          <cell r="AL1336">
            <v>0</v>
          </cell>
          <cell r="AM1336">
            <v>0</v>
          </cell>
          <cell r="AN1336" t="e">
            <v>#VALUE!</v>
          </cell>
          <cell r="AO1336" t="str">
            <v/>
          </cell>
          <cell r="AP1336">
            <v>0</v>
          </cell>
        </row>
        <row r="1337">
          <cell r="A1337">
            <v>85703000</v>
          </cell>
          <cell r="C1337">
            <v>3197</v>
          </cell>
          <cell r="D1337" t="str">
            <v>ALDI BE ZALM GG IN SAUS ASSORTIMENT 24X450G</v>
          </cell>
          <cell r="E1337" t="str">
            <v>Aldi BE</v>
          </cell>
          <cell r="I1337">
            <v>10.8</v>
          </cell>
          <cell r="J1337" t="str">
            <v>H8</v>
          </cell>
          <cell r="L1337">
            <v>24</v>
          </cell>
          <cell r="M1337" t="str">
            <v>H8X24</v>
          </cell>
          <cell r="N1337" t="str">
            <v>42</v>
          </cell>
          <cell r="O1337">
            <v>5400870999865</v>
          </cell>
          <cell r="S1337" t="str">
            <v>6 x (65703000) + 6 x (65703100) + 4 x (65703200) + 4 x (65703300) + 4 x (65703400)</v>
          </cell>
          <cell r="AA1337" t="str">
            <v>! ! ! !</v>
          </cell>
          <cell r="AJ1337" t="str">
            <v>NVT</v>
          </cell>
          <cell r="AL1337">
            <v>0</v>
          </cell>
          <cell r="AM1337">
            <v>0</v>
          </cell>
          <cell r="AN1337" t="e">
            <v>#VALUE!</v>
          </cell>
          <cell r="AO1337" t="str">
            <v/>
          </cell>
          <cell r="AP1337">
            <v>0</v>
          </cell>
        </row>
        <row r="1338">
          <cell r="A1338">
            <v>85703500</v>
          </cell>
          <cell r="C1338">
            <v>4832</v>
          </cell>
          <cell r="D1338" t="str">
            <v>ALDI FR ZALM GG IN SAUS ASSORTIMENT 24X450G</v>
          </cell>
          <cell r="E1338" t="str">
            <v>Aldi FR</v>
          </cell>
          <cell r="I1338">
            <v>10.8</v>
          </cell>
          <cell r="J1338" t="str">
            <v>H8</v>
          </cell>
          <cell r="L1338">
            <v>24</v>
          </cell>
          <cell r="M1338" t="str">
            <v>H8X24</v>
          </cell>
          <cell r="N1338" t="str">
            <v>42</v>
          </cell>
          <cell r="O1338">
            <v>5400870999858</v>
          </cell>
          <cell r="S1338" t="str">
            <v>10 x (65703500) + 6 x (65703700) + 8 x (65703900)</v>
          </cell>
          <cell r="AA1338" t="str">
            <v>! ! ! !</v>
          </cell>
          <cell r="AJ1338" t="str">
            <v>NVT</v>
          </cell>
          <cell r="AL1338">
            <v>0</v>
          </cell>
          <cell r="AM1338">
            <v>0</v>
          </cell>
          <cell r="AN1338" t="e">
            <v>#VALUE!</v>
          </cell>
          <cell r="AO1338" t="str">
            <v/>
          </cell>
          <cell r="AP1338">
            <v>0</v>
          </cell>
        </row>
        <row r="1339">
          <cell r="A1339">
            <v>85704000</v>
          </cell>
          <cell r="C1339">
            <v>5006063</v>
          </cell>
          <cell r="D1339" t="str">
            <v>ALDI FR ZALM GG IN SAUS ASSORTIMENT 24X400G</v>
          </cell>
          <cell r="E1339" t="str">
            <v>Aldi FR</v>
          </cell>
          <cell r="I1339">
            <v>9.6</v>
          </cell>
          <cell r="J1339" t="str">
            <v>H8</v>
          </cell>
          <cell r="L1339">
            <v>24</v>
          </cell>
          <cell r="M1339" t="str">
            <v>H8X24</v>
          </cell>
          <cell r="N1339" t="str">
            <v>42</v>
          </cell>
          <cell r="O1339">
            <v>5400870999704</v>
          </cell>
          <cell r="S1339" t="str">
            <v>10 x (65704100) + 6 x (65704200) + 8 x (65704000)</v>
          </cell>
          <cell r="AA1339" t="str">
            <v>! ! ! !</v>
          </cell>
          <cell r="AJ1339" t="str">
            <v>NVT</v>
          </cell>
          <cell r="AL1339">
            <v>0</v>
          </cell>
          <cell r="AM1339">
            <v>0</v>
          </cell>
          <cell r="AN1339" t="e">
            <v>#VALUE!</v>
          </cell>
          <cell r="AO1339" t="str">
            <v/>
          </cell>
          <cell r="AP1339">
            <v>0</v>
          </cell>
        </row>
        <row r="1340">
          <cell r="A1340">
            <v>85704300</v>
          </cell>
          <cell r="C1340">
            <v>3197</v>
          </cell>
          <cell r="D1340" t="str">
            <v>ALDI BE ZALM MSC IN SAUS ASSORTIMENT 24X450G</v>
          </cell>
          <cell r="E1340" t="str">
            <v>Aldi BE</v>
          </cell>
          <cell r="I1340">
            <v>10.8</v>
          </cell>
          <cell r="J1340" t="str">
            <v>H8</v>
          </cell>
          <cell r="L1340">
            <v>24</v>
          </cell>
          <cell r="M1340" t="str">
            <v>H8X24</v>
          </cell>
          <cell r="N1340" t="str">
            <v>42</v>
          </cell>
          <cell r="O1340">
            <v>4068261057290</v>
          </cell>
          <cell r="Q1340">
            <v>0</v>
          </cell>
          <cell r="R1340">
            <v>8</v>
          </cell>
          <cell r="S1340" t="str">
            <v>6 x (65704300) + 6 x (65704400) + 4 x (65704500) + 4 x (65704600) + 4 x (65704700)</v>
          </cell>
          <cell r="Z1340">
            <v>0.121</v>
          </cell>
          <cell r="AA1340" t="str">
            <v>! ! ! !</v>
          </cell>
          <cell r="AJ1340" t="str">
            <v>NVT</v>
          </cell>
          <cell r="AL1340">
            <v>0</v>
          </cell>
          <cell r="AM1340">
            <v>0</v>
          </cell>
          <cell r="AN1340" t="e">
            <v>#VALUE!</v>
          </cell>
          <cell r="AO1340" t="str">
            <v/>
          </cell>
          <cell r="AP1340">
            <v>0</v>
          </cell>
        </row>
        <row r="1341">
          <cell r="A1341">
            <v>86600100</v>
          </cell>
          <cell r="C1341">
            <v>204921</v>
          </cell>
          <cell r="D1341" t="str">
            <v>LIDL GB AT IE DK NI LOADED FRIES 280G</v>
          </cell>
          <cell r="E1341" t="str">
            <v>Lidl INT</v>
          </cell>
          <cell r="H1341">
            <v>410</v>
          </cell>
          <cell r="I1341">
            <v>6.72</v>
          </cell>
          <cell r="J1341" t="str">
            <v>H14</v>
          </cell>
          <cell r="L1341">
            <v>24</v>
          </cell>
          <cell r="M1341" t="str">
            <v>H14x24</v>
          </cell>
          <cell r="N1341" t="str">
            <v>36</v>
          </cell>
          <cell r="O1341" t="str">
            <v>5400870999575 </v>
          </cell>
          <cell r="S1341" t="str">
            <v>7x (66600100) + 9 x (66600200) +  8 x (66600300)</v>
          </cell>
          <cell r="AA1341" t="str">
            <v>! !</v>
          </cell>
          <cell r="AJ1341" t="str">
            <v>V-A </v>
          </cell>
          <cell r="AL1341">
            <v>0</v>
          </cell>
          <cell r="AM1341">
            <v>0</v>
          </cell>
          <cell r="AN1341" t="e">
            <v>#VALUE!</v>
          </cell>
          <cell r="AO1341" t="str">
            <v/>
          </cell>
          <cell r="AP1341">
            <v>0</v>
          </cell>
        </row>
        <row r="1342">
          <cell r="A1342">
            <v>86600400</v>
          </cell>
          <cell r="C1342">
            <v>204921</v>
          </cell>
          <cell r="D1342" t="str">
            <v>LIDL RO SI LT LOADED FRIES 280G</v>
          </cell>
          <cell r="E1342" t="str">
            <v>Lidl INT</v>
          </cell>
          <cell r="H1342">
            <v>410</v>
          </cell>
          <cell r="I1342">
            <v>6.72</v>
          </cell>
          <cell r="J1342" t="str">
            <v>H14</v>
          </cell>
          <cell r="L1342">
            <v>24</v>
          </cell>
          <cell r="M1342" t="str">
            <v>H14x24</v>
          </cell>
          <cell r="N1342" t="str">
            <v>36</v>
          </cell>
          <cell r="O1342" t="str">
            <v>5400870999551 </v>
          </cell>
          <cell r="S1342" t="str">
            <v>7x (66600400) + 9 x (66600500) +  8 x (66600600)</v>
          </cell>
          <cell r="AA1342" t="str">
            <v>! !</v>
          </cell>
          <cell r="AJ1342" t="str">
            <v>V-A </v>
          </cell>
          <cell r="AL1342">
            <v>0</v>
          </cell>
          <cell r="AM1342">
            <v>0</v>
          </cell>
          <cell r="AN1342" t="e">
            <v>#VALUE!</v>
          </cell>
          <cell r="AO1342" t="str">
            <v/>
          </cell>
          <cell r="AP1342">
            <v>0</v>
          </cell>
        </row>
        <row r="1343">
          <cell r="A1343">
            <v>86700000</v>
          </cell>
          <cell r="C1343">
            <v>220367</v>
          </cell>
          <cell r="D1343" t="str">
            <v>LIDL DE WELL N ESSEN ASC MSC ASSORTIMENT 20X400G</v>
          </cell>
          <cell r="E1343" t="str">
            <v>Lidl DE</v>
          </cell>
          <cell r="H1343">
            <v>365</v>
          </cell>
          <cell r="I1343">
            <v>8</v>
          </cell>
          <cell r="J1343" t="str">
            <v>H23</v>
          </cell>
          <cell r="L1343">
            <v>20</v>
          </cell>
          <cell r="M1343" t="str">
            <v>H11X24</v>
          </cell>
          <cell r="N1343" t="str">
            <v>48</v>
          </cell>
          <cell r="O1343">
            <v>5400870999544</v>
          </cell>
          <cell r="S1343" t="str">
            <v>2 x (66700000) + 4 x (66700100) + 4 x (66700200) + 4 x (66700300) + 2 x (66700400) + 4 x (66700500)</v>
          </cell>
          <cell r="AA1343" t="str">
            <v>! ! ! !</v>
          </cell>
          <cell r="AJ1343" t="str">
            <v>V-A </v>
          </cell>
          <cell r="AL1343">
            <v>0</v>
          </cell>
          <cell r="AM1343">
            <v>0</v>
          </cell>
          <cell r="AN1343" t="e">
            <v>#VALUE!</v>
          </cell>
          <cell r="AO1343" t="str">
            <v/>
          </cell>
          <cell r="AP1343">
            <v>0</v>
          </cell>
        </row>
        <row r="1344">
          <cell r="A1344">
            <v>86700600</v>
          </cell>
          <cell r="C1344">
            <v>24750</v>
          </cell>
          <cell r="D1344" t="str">
            <v>LIDL HR BG DK CZ WELL N ESSEN ASC ASSORTIMENT 20X400G</v>
          </cell>
          <cell r="E1344" t="str">
            <v>Lidl DE</v>
          </cell>
          <cell r="H1344">
            <v>456</v>
          </cell>
          <cell r="I1344">
            <v>8</v>
          </cell>
          <cell r="J1344" t="str">
            <v>H23</v>
          </cell>
          <cell r="L1344">
            <v>20</v>
          </cell>
          <cell r="M1344" t="str">
            <v>H11X24</v>
          </cell>
          <cell r="N1344" t="str">
            <v>48</v>
          </cell>
          <cell r="O1344">
            <v>5400870999537</v>
          </cell>
          <cell r="S1344" t="str">
            <v>10 x (66700600) + 10 x (66700700)</v>
          </cell>
          <cell r="AA1344" t="str">
            <v>! ! ! !</v>
          </cell>
          <cell r="AJ1344" t="str">
            <v>V-A </v>
          </cell>
          <cell r="AL1344">
            <v>0</v>
          </cell>
          <cell r="AM1344">
            <v>0</v>
          </cell>
          <cell r="AN1344" t="e">
            <v>#VALUE!</v>
          </cell>
          <cell r="AO1344" t="str">
            <v/>
          </cell>
          <cell r="AP1344">
            <v>0</v>
          </cell>
        </row>
        <row r="1345">
          <cell r="A1345">
            <v>86700900</v>
          </cell>
          <cell r="C1345">
            <v>1002258</v>
          </cell>
          <cell r="D1345" t="str">
            <v>LIDL DE BREAKFAST ASSORTIMENT 10X350G</v>
          </cell>
          <cell r="E1345" t="str">
            <v>Lidl DE</v>
          </cell>
          <cell r="H1345">
            <v>365</v>
          </cell>
          <cell r="I1345">
            <v>3.5</v>
          </cell>
          <cell r="J1345" t="str">
            <v>H23</v>
          </cell>
          <cell r="L1345">
            <v>10</v>
          </cell>
          <cell r="M1345" t="str">
            <v>H22X10</v>
          </cell>
          <cell r="N1345" t="str">
            <v>84</v>
          </cell>
          <cell r="O1345">
            <v>5400870999483</v>
          </cell>
          <cell r="S1345" t="str">
            <v>5 x (66700900) + 5 x (66701000)</v>
          </cell>
          <cell r="Z1345">
            <v>0.1</v>
          </cell>
          <cell r="AA1345" t="str">
            <v>! ! !</v>
          </cell>
          <cell r="AJ1345" t="str">
            <v>V-A </v>
          </cell>
          <cell r="AL1345">
            <v>0</v>
          </cell>
          <cell r="AM1345">
            <v>0</v>
          </cell>
          <cell r="AN1345" t="e">
            <v>#VALUE!</v>
          </cell>
          <cell r="AO1345" t="str">
            <v/>
          </cell>
          <cell r="AP1345">
            <v>0</v>
          </cell>
        </row>
        <row r="1346">
          <cell r="A1346">
            <v>86701200</v>
          </cell>
          <cell r="C1346">
            <v>1003268</v>
          </cell>
          <cell r="D1346" t="str">
            <v>LIDL NL HU BG WELL N ESSEN ASC ASSORT 20X400G</v>
          </cell>
          <cell r="E1346" t="str">
            <v>Lidl DE</v>
          </cell>
          <cell r="H1346">
            <v>456</v>
          </cell>
          <cell r="I1346">
            <v>8</v>
          </cell>
          <cell r="J1346" t="str">
            <v>H23</v>
          </cell>
          <cell r="L1346">
            <v>20</v>
          </cell>
          <cell r="M1346" t="str">
            <v>H11X24</v>
          </cell>
          <cell r="N1346" t="str">
            <v>48</v>
          </cell>
          <cell r="O1346">
            <v>5400870999469</v>
          </cell>
          <cell r="S1346" t="str">
            <v>10 x (66701200) + 10 x (66701300)</v>
          </cell>
          <cell r="AA1346" t="str">
            <v>! ! ! !</v>
          </cell>
          <cell r="AJ1346" t="str">
            <v>V-A </v>
          </cell>
          <cell r="AL1346">
            <v>0</v>
          </cell>
          <cell r="AM1346">
            <v>0</v>
          </cell>
          <cell r="AN1346" t="e">
            <v>#VALUE!</v>
          </cell>
          <cell r="AO1346" t="str">
            <v/>
          </cell>
          <cell r="AP1346">
            <v>0</v>
          </cell>
        </row>
        <row r="1347">
          <cell r="A1347">
            <v>86900100</v>
          </cell>
          <cell r="C1347">
            <v>204922</v>
          </cell>
          <cell r="D1347" t="str">
            <v>LIDL FI IT NI IE DK LOADED FRIES 15X280G</v>
          </cell>
          <cell r="E1347" t="str">
            <v>Lidl INT</v>
          </cell>
          <cell r="H1347">
            <v>456</v>
          </cell>
          <cell r="I1347">
            <v>4.2</v>
          </cell>
          <cell r="J1347" t="str">
            <v>H9 45mm</v>
          </cell>
          <cell r="L1347">
            <v>15</v>
          </cell>
          <cell r="M1347" t="str">
            <v>H10X18</v>
          </cell>
          <cell r="N1347" t="str">
            <v>42</v>
          </cell>
          <cell r="O1347">
            <v>5400870999520</v>
          </cell>
          <cell r="S1347" t="str">
            <v>4x (66900100) + 6 x (66900200) +  5 x (66900300)</v>
          </cell>
          <cell r="Z1347">
            <v>0.16</v>
          </cell>
          <cell r="AA1347" t="str">
            <v>! !</v>
          </cell>
          <cell r="AJ1347" t="str">
            <v>V-A </v>
          </cell>
          <cell r="AL1347">
            <v>0</v>
          </cell>
          <cell r="AM1347">
            <v>0</v>
          </cell>
          <cell r="AN1347" t="e">
            <v>#VALUE!</v>
          </cell>
          <cell r="AO1347" t="str">
            <v/>
          </cell>
          <cell r="AP1347">
            <v>0</v>
          </cell>
        </row>
        <row r="1348">
          <cell r="A1348">
            <v>86900400</v>
          </cell>
          <cell r="C1348">
            <v>204922</v>
          </cell>
          <cell r="D1348" t="str">
            <v>LIDL LV HR CH BE LOADED FRIES 15X280G</v>
          </cell>
          <cell r="E1348" t="str">
            <v>Lidl INT</v>
          </cell>
          <cell r="H1348">
            <v>456</v>
          </cell>
          <cell r="I1348">
            <v>4.2</v>
          </cell>
          <cell r="J1348" t="str">
            <v>H9 45mm</v>
          </cell>
          <cell r="L1348">
            <v>15</v>
          </cell>
          <cell r="M1348" t="str">
            <v>H10X18</v>
          </cell>
          <cell r="N1348" t="str">
            <v>42</v>
          </cell>
          <cell r="O1348">
            <v>5400870999513</v>
          </cell>
          <cell r="S1348" t="str">
            <v>4x (66900400) + 6 x (66900500) +  5 x (66900600)</v>
          </cell>
          <cell r="Z1348">
            <v>0.16</v>
          </cell>
          <cell r="AA1348" t="str">
            <v>! !</v>
          </cell>
          <cell r="AJ1348" t="str">
            <v>V-A </v>
          </cell>
          <cell r="AL1348">
            <v>0</v>
          </cell>
          <cell r="AM1348">
            <v>0</v>
          </cell>
          <cell r="AN1348" t="e">
            <v>#VALUE!</v>
          </cell>
          <cell r="AO1348" t="str">
            <v/>
          </cell>
          <cell r="AP1348">
            <v>0</v>
          </cell>
        </row>
        <row r="1349">
          <cell r="A1349">
            <v>86900700</v>
          </cell>
          <cell r="C1349">
            <v>204922</v>
          </cell>
          <cell r="D1349" t="str">
            <v>LIDL RO LOADED FRIES 15X280G</v>
          </cell>
          <cell r="E1349" t="str">
            <v>Lidl INT</v>
          </cell>
          <cell r="H1349">
            <v>456</v>
          </cell>
          <cell r="I1349">
            <v>4.2</v>
          </cell>
          <cell r="J1349" t="str">
            <v>H9 45mm</v>
          </cell>
          <cell r="L1349">
            <v>15</v>
          </cell>
          <cell r="M1349" t="str">
            <v>H10X18</v>
          </cell>
          <cell r="N1349" t="str">
            <v>42</v>
          </cell>
          <cell r="O1349">
            <v>5400870999513</v>
          </cell>
          <cell r="S1349" t="str">
            <v>4x (66900700) + 6 x (66900800) +  5 x (66900900)</v>
          </cell>
          <cell r="Z1349">
            <v>0.14000000000000001</v>
          </cell>
          <cell r="AA1349" t="str">
            <v>! !</v>
          </cell>
          <cell r="AJ1349" t="str">
            <v>V-A </v>
          </cell>
          <cell r="AL1349">
            <v>0</v>
          </cell>
          <cell r="AM1349">
            <v>0</v>
          </cell>
          <cell r="AN1349" t="e">
            <v>#VALUE!</v>
          </cell>
          <cell r="AO1349" t="str">
            <v/>
          </cell>
          <cell r="AP1349">
            <v>0</v>
          </cell>
        </row>
        <row r="1350">
          <cell r="A1350">
            <v>86901000</v>
          </cell>
          <cell r="C1350">
            <v>1000072</v>
          </cell>
          <cell r="D1350" t="str">
            <v>LIDL FR LOADED FRIES 15X280G</v>
          </cell>
          <cell r="E1350" t="str">
            <v>Lidl INT</v>
          </cell>
          <cell r="H1350">
            <v>456</v>
          </cell>
          <cell r="I1350">
            <v>4.2</v>
          </cell>
          <cell r="J1350" t="str">
            <v>H9 45mm</v>
          </cell>
          <cell r="L1350">
            <v>15</v>
          </cell>
          <cell r="M1350" t="str">
            <v>H10X18</v>
          </cell>
          <cell r="N1350" t="str">
            <v>42</v>
          </cell>
          <cell r="O1350">
            <v>5400870999476</v>
          </cell>
          <cell r="S1350" t="str">
            <v>4x (66901000) + 6 x (66901100) +  5 x (66901200)</v>
          </cell>
          <cell r="AA1350" t="str">
            <v>! !</v>
          </cell>
          <cell r="AJ1350" t="str">
            <v>V-A </v>
          </cell>
          <cell r="AL1350">
            <v>0</v>
          </cell>
          <cell r="AM1350">
            <v>0</v>
          </cell>
          <cell r="AN1350" t="e">
            <v>#VALUE!</v>
          </cell>
          <cell r="AO1350" t="str">
            <v/>
          </cell>
          <cell r="AP1350">
            <v>0</v>
          </cell>
        </row>
        <row r="1351">
          <cell r="A1351">
            <v>86901400</v>
          </cell>
          <cell r="C1351">
            <v>1018818</v>
          </cell>
          <cell r="D1351" t="str">
            <v>LIDL SK SE CY LOADED FRIES 15X280G</v>
          </cell>
          <cell r="E1351" t="str">
            <v>Lidl INT</v>
          </cell>
          <cell r="H1351">
            <v>456</v>
          </cell>
          <cell r="I1351">
            <v>4.2</v>
          </cell>
          <cell r="J1351" t="str">
            <v>H9 45mm</v>
          </cell>
          <cell r="L1351">
            <v>15</v>
          </cell>
          <cell r="M1351" t="str">
            <v>H10X18</v>
          </cell>
          <cell r="N1351" t="str">
            <v>42</v>
          </cell>
          <cell r="O1351">
            <v>5400870999414</v>
          </cell>
          <cell r="S1351" t="str">
            <v>5x (66901400) + 5x (66901500) + 5x (66901600)</v>
          </cell>
          <cell r="AA1351" t="str">
            <v>! ! !</v>
          </cell>
          <cell r="AJ1351" t="str">
            <v>V-A </v>
          </cell>
          <cell r="AK1351" t="str">
            <v> -</v>
          </cell>
          <cell r="AL1351">
            <v>0</v>
          </cell>
          <cell r="AM1351">
            <v>0</v>
          </cell>
          <cell r="AN1351" t="e">
            <v>#VALUE!</v>
          </cell>
          <cell r="AO1351" t="str">
            <v/>
          </cell>
          <cell r="AP1351">
            <v>0</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verzicht documenten"/>
      <sheetName val="dagelijkse documenten"/>
      <sheetName val="lijnopstellingsfiche"/>
      <sheetName val="historiek LOF"/>
      <sheetName val="historiek documenten"/>
      <sheetName val="uitleg-index"/>
      <sheetName val="Blad1"/>
    </sheetNames>
    <sheetDataSet>
      <sheetData sheetId="0"/>
      <sheetData sheetId="1"/>
      <sheetData sheetId="2">
        <row r="2">
          <cell r="AP2" t="str">
            <v xml:space="preserve">aantal weegschalen </v>
          </cell>
          <cell r="AQ2" t="str">
            <v>6 nummer</v>
          </cell>
        </row>
        <row r="3">
          <cell r="AP3" t="str">
            <v>-</v>
          </cell>
          <cell r="AQ3">
            <v>63141500</v>
          </cell>
        </row>
        <row r="4">
          <cell r="AP4" t="str">
            <v>-</v>
          </cell>
          <cell r="AQ4">
            <v>63597200</v>
          </cell>
        </row>
        <row r="5">
          <cell r="AP5" t="str">
            <v>-</v>
          </cell>
          <cell r="AQ5">
            <v>60920100</v>
          </cell>
        </row>
        <row r="6">
          <cell r="AP6" t="str">
            <v>-</v>
          </cell>
          <cell r="AQ6">
            <v>60920200</v>
          </cell>
        </row>
        <row r="7">
          <cell r="AP7" t="str">
            <v>1</v>
          </cell>
          <cell r="AQ7">
            <v>60920400</v>
          </cell>
        </row>
        <row r="8">
          <cell r="AP8" t="str">
            <v>-</v>
          </cell>
          <cell r="AQ8">
            <v>60920500</v>
          </cell>
        </row>
        <row r="9">
          <cell r="AP9" t="str">
            <v>-</v>
          </cell>
          <cell r="AQ9">
            <v>60920600</v>
          </cell>
        </row>
        <row r="10">
          <cell r="AP10" t="str">
            <v>-</v>
          </cell>
          <cell r="AQ10">
            <v>60920700</v>
          </cell>
        </row>
        <row r="11">
          <cell r="AP11" t="str">
            <v>-</v>
          </cell>
          <cell r="AQ11">
            <v>60920800</v>
          </cell>
        </row>
        <row r="12">
          <cell r="AP12" t="str">
            <v>-</v>
          </cell>
          <cell r="AQ12">
            <v>60920900</v>
          </cell>
        </row>
        <row r="13">
          <cell r="AP13" t="str">
            <v>-</v>
          </cell>
          <cell r="AQ13">
            <v>60921000</v>
          </cell>
        </row>
        <row r="14">
          <cell r="AP14" t="str">
            <v>-</v>
          </cell>
          <cell r="AQ14">
            <v>60921100</v>
          </cell>
        </row>
        <row r="15">
          <cell r="AP15" t="str">
            <v>-</v>
          </cell>
          <cell r="AQ15">
            <v>60921200</v>
          </cell>
        </row>
        <row r="16">
          <cell r="AP16" t="str">
            <v>-</v>
          </cell>
          <cell r="AQ16">
            <v>60921300</v>
          </cell>
        </row>
        <row r="17">
          <cell r="AP17" t="str">
            <v>-</v>
          </cell>
          <cell r="AQ17">
            <v>61642400</v>
          </cell>
        </row>
        <row r="18">
          <cell r="AP18" t="str">
            <v>-</v>
          </cell>
          <cell r="AQ18">
            <v>61642500</v>
          </cell>
        </row>
        <row r="19">
          <cell r="AP19" t="str">
            <v>-</v>
          </cell>
          <cell r="AQ19">
            <v>61642700</v>
          </cell>
        </row>
        <row r="20">
          <cell r="AP20" t="str">
            <v>-</v>
          </cell>
          <cell r="AQ20">
            <v>61642800</v>
          </cell>
        </row>
        <row r="21">
          <cell r="AP21">
            <v>1</v>
          </cell>
          <cell r="AQ21">
            <v>61658700</v>
          </cell>
        </row>
        <row r="22">
          <cell r="AP22">
            <v>1</v>
          </cell>
          <cell r="AQ22">
            <v>61658800</v>
          </cell>
        </row>
        <row r="23">
          <cell r="AP23" t="str">
            <v>-</v>
          </cell>
          <cell r="AQ23">
            <v>61658900</v>
          </cell>
        </row>
        <row r="24">
          <cell r="AP24" t="str">
            <v>-</v>
          </cell>
          <cell r="AQ24">
            <v>61659000</v>
          </cell>
        </row>
        <row r="25">
          <cell r="AP25" t="str">
            <v>-</v>
          </cell>
          <cell r="AQ25">
            <v>61659100</v>
          </cell>
        </row>
        <row r="26">
          <cell r="AP26">
            <v>7</v>
          </cell>
          <cell r="AQ26">
            <v>61659200</v>
          </cell>
        </row>
        <row r="27">
          <cell r="AP27">
            <v>1</v>
          </cell>
          <cell r="AQ27">
            <v>61672000</v>
          </cell>
        </row>
        <row r="28">
          <cell r="AP28">
            <v>1</v>
          </cell>
          <cell r="AQ28">
            <v>61672100</v>
          </cell>
        </row>
        <row r="29">
          <cell r="AP29">
            <v>1</v>
          </cell>
          <cell r="AQ29">
            <v>61672200</v>
          </cell>
        </row>
        <row r="30">
          <cell r="AP30">
            <v>1</v>
          </cell>
          <cell r="AQ30">
            <v>61686000</v>
          </cell>
        </row>
        <row r="31">
          <cell r="AP31">
            <v>5</v>
          </cell>
          <cell r="AQ31">
            <v>61690500</v>
          </cell>
        </row>
        <row r="32">
          <cell r="AP32" t="str">
            <v>-</v>
          </cell>
          <cell r="AQ32">
            <v>61691400</v>
          </cell>
        </row>
        <row r="33">
          <cell r="AP33">
            <v>10</v>
          </cell>
          <cell r="AQ33">
            <v>61691500</v>
          </cell>
        </row>
        <row r="34">
          <cell r="AP34">
            <v>3</v>
          </cell>
          <cell r="AQ34">
            <v>61691800</v>
          </cell>
        </row>
        <row r="35">
          <cell r="AP35">
            <v>1</v>
          </cell>
          <cell r="AQ35">
            <v>61691900</v>
          </cell>
        </row>
        <row r="36">
          <cell r="AP36">
            <v>9</v>
          </cell>
          <cell r="AQ36">
            <v>61693700</v>
          </cell>
        </row>
        <row r="37">
          <cell r="AP37" t="str">
            <v>-</v>
          </cell>
          <cell r="AQ37">
            <v>61693800</v>
          </cell>
        </row>
        <row r="38">
          <cell r="AP38" t="str">
            <v>-</v>
          </cell>
          <cell r="AQ38">
            <v>61699500</v>
          </cell>
        </row>
        <row r="39">
          <cell r="AP39" t="str">
            <v>-</v>
          </cell>
          <cell r="AQ39">
            <v>61699600</v>
          </cell>
        </row>
        <row r="40">
          <cell r="AP40" t="str">
            <v>-</v>
          </cell>
          <cell r="AQ40">
            <v>61699700</v>
          </cell>
        </row>
        <row r="41">
          <cell r="AP41">
            <v>1</v>
          </cell>
          <cell r="AQ41">
            <v>63000400</v>
          </cell>
        </row>
        <row r="42">
          <cell r="AP42">
            <v>1</v>
          </cell>
          <cell r="AQ42">
            <v>63000800</v>
          </cell>
        </row>
        <row r="43">
          <cell r="AP43" t="str">
            <v>-</v>
          </cell>
          <cell r="AQ43">
            <v>63110200</v>
          </cell>
        </row>
        <row r="44">
          <cell r="AP44" t="str">
            <v>-</v>
          </cell>
          <cell r="AQ44">
            <v>63110300</v>
          </cell>
        </row>
        <row r="45">
          <cell r="AP45" t="str">
            <v>-</v>
          </cell>
          <cell r="AQ45">
            <v>63110500</v>
          </cell>
        </row>
        <row r="46">
          <cell r="AP46" t="str">
            <v>-</v>
          </cell>
          <cell r="AQ46">
            <v>63110600</v>
          </cell>
        </row>
        <row r="47">
          <cell r="AP47">
            <v>9</v>
          </cell>
          <cell r="AQ47">
            <v>63140000</v>
          </cell>
        </row>
        <row r="48">
          <cell r="AP48" t="str">
            <v>-</v>
          </cell>
          <cell r="AQ48">
            <v>63140100</v>
          </cell>
        </row>
        <row r="49">
          <cell r="AP49">
            <v>8</v>
          </cell>
          <cell r="AQ49">
            <v>63140400</v>
          </cell>
        </row>
        <row r="50">
          <cell r="AP50" t="str">
            <v>-</v>
          </cell>
          <cell r="AQ50">
            <v>63141400</v>
          </cell>
        </row>
        <row r="51">
          <cell r="AP51" t="str">
            <v>-</v>
          </cell>
          <cell r="AQ51">
            <v>63141600</v>
          </cell>
        </row>
        <row r="52">
          <cell r="AP52" t="str">
            <v>-</v>
          </cell>
          <cell r="AQ52">
            <v>63150000</v>
          </cell>
        </row>
        <row r="53">
          <cell r="AP53" t="str">
            <v>-</v>
          </cell>
          <cell r="AQ53">
            <v>63183700</v>
          </cell>
        </row>
        <row r="54">
          <cell r="AP54">
            <v>10</v>
          </cell>
          <cell r="AQ54">
            <v>63250000</v>
          </cell>
        </row>
        <row r="55">
          <cell r="AP55" t="str">
            <v>-</v>
          </cell>
          <cell r="AQ55">
            <v>63291300</v>
          </cell>
        </row>
        <row r="56">
          <cell r="AP56" t="str">
            <v>-</v>
          </cell>
          <cell r="AQ56">
            <v>63292300</v>
          </cell>
        </row>
        <row r="57">
          <cell r="AP57" t="str">
            <v>-</v>
          </cell>
          <cell r="AQ57">
            <v>63293000</v>
          </cell>
        </row>
        <row r="58">
          <cell r="AP58">
            <v>1</v>
          </cell>
          <cell r="AQ58">
            <v>63293100</v>
          </cell>
        </row>
        <row r="59">
          <cell r="AP59">
            <v>5</v>
          </cell>
          <cell r="AQ59">
            <v>63293300</v>
          </cell>
        </row>
        <row r="60">
          <cell r="AP60" t="str">
            <v>-</v>
          </cell>
          <cell r="AQ60">
            <v>63293400</v>
          </cell>
        </row>
        <row r="61">
          <cell r="AP61" t="str">
            <v>-</v>
          </cell>
          <cell r="AQ61">
            <v>63310200</v>
          </cell>
        </row>
        <row r="62">
          <cell r="AP62" t="str">
            <v>-</v>
          </cell>
          <cell r="AQ62">
            <v>63310400</v>
          </cell>
        </row>
        <row r="63">
          <cell r="AP63" t="str">
            <v>-</v>
          </cell>
          <cell r="AQ63">
            <v>63310500</v>
          </cell>
        </row>
        <row r="64">
          <cell r="AP64">
            <v>1</v>
          </cell>
          <cell r="AQ64">
            <v>63310600</v>
          </cell>
        </row>
        <row r="65">
          <cell r="AP65">
            <v>1</v>
          </cell>
          <cell r="AQ65">
            <v>63310800</v>
          </cell>
        </row>
        <row r="66">
          <cell r="AP66">
            <v>1</v>
          </cell>
          <cell r="AQ66">
            <v>63311100</v>
          </cell>
        </row>
        <row r="67">
          <cell r="AP67">
            <v>1</v>
          </cell>
          <cell r="AQ67">
            <v>63311200</v>
          </cell>
        </row>
        <row r="68">
          <cell r="AP68">
            <v>1</v>
          </cell>
          <cell r="AQ68">
            <v>63311500</v>
          </cell>
        </row>
        <row r="69">
          <cell r="AP69">
            <v>2</v>
          </cell>
          <cell r="AQ69">
            <v>63311600</v>
          </cell>
        </row>
        <row r="70">
          <cell r="AP70">
            <v>1</v>
          </cell>
          <cell r="AQ70">
            <v>63311700</v>
          </cell>
        </row>
        <row r="71">
          <cell r="AP71">
            <v>2</v>
          </cell>
          <cell r="AQ71">
            <v>63311800</v>
          </cell>
        </row>
        <row r="72">
          <cell r="AP72">
            <v>1</v>
          </cell>
          <cell r="AQ72">
            <v>63312200</v>
          </cell>
        </row>
        <row r="73">
          <cell r="AP73">
            <v>1</v>
          </cell>
          <cell r="AQ73">
            <v>63312400</v>
          </cell>
        </row>
        <row r="74">
          <cell r="AP74">
            <v>2</v>
          </cell>
          <cell r="AQ74">
            <v>63312600</v>
          </cell>
        </row>
        <row r="75">
          <cell r="AP75" t="str">
            <v>-</v>
          </cell>
          <cell r="AQ75">
            <v>63313000</v>
          </cell>
        </row>
        <row r="76">
          <cell r="AP76" t="str">
            <v>-</v>
          </cell>
          <cell r="AQ76">
            <v>63313100</v>
          </cell>
        </row>
        <row r="77">
          <cell r="AP77" t="str">
            <v>-</v>
          </cell>
          <cell r="AQ77">
            <v>63313200</v>
          </cell>
        </row>
        <row r="78">
          <cell r="AP78" t="str">
            <v>-</v>
          </cell>
          <cell r="AQ78">
            <v>63313300</v>
          </cell>
        </row>
        <row r="79">
          <cell r="AP79">
            <v>9</v>
          </cell>
          <cell r="AQ79">
            <v>63313700</v>
          </cell>
        </row>
        <row r="80">
          <cell r="AP80">
            <v>9</v>
          </cell>
          <cell r="AQ80">
            <v>63313800</v>
          </cell>
        </row>
        <row r="81">
          <cell r="AP81">
            <v>6</v>
          </cell>
          <cell r="AQ81">
            <v>63314400</v>
          </cell>
        </row>
        <row r="82">
          <cell r="AP82" t="str">
            <v>-</v>
          </cell>
          <cell r="AQ82">
            <v>63314500</v>
          </cell>
        </row>
        <row r="83">
          <cell r="AP83">
            <v>5</v>
          </cell>
          <cell r="AQ83">
            <v>63314600</v>
          </cell>
        </row>
        <row r="84">
          <cell r="AP84" t="str">
            <v>-</v>
          </cell>
          <cell r="AQ84">
            <v>63314700</v>
          </cell>
        </row>
        <row r="85">
          <cell r="AP85">
            <v>1</v>
          </cell>
          <cell r="AQ85">
            <v>63317400</v>
          </cell>
        </row>
        <row r="86">
          <cell r="AP86">
            <v>2</v>
          </cell>
          <cell r="AQ86">
            <v>63317900</v>
          </cell>
        </row>
        <row r="87">
          <cell r="AP87">
            <v>1</v>
          </cell>
          <cell r="AQ87">
            <v>63318200</v>
          </cell>
        </row>
        <row r="88">
          <cell r="AP88" t="str">
            <v>-</v>
          </cell>
          <cell r="AQ88">
            <v>63318500</v>
          </cell>
        </row>
        <row r="89">
          <cell r="AP89">
            <v>1</v>
          </cell>
          <cell r="AQ89">
            <v>63318700</v>
          </cell>
        </row>
        <row r="90">
          <cell r="AP90">
            <v>1</v>
          </cell>
          <cell r="AQ90">
            <v>63318800</v>
          </cell>
        </row>
        <row r="91">
          <cell r="AP91" t="str">
            <v>-</v>
          </cell>
          <cell r="AQ91">
            <v>63318900</v>
          </cell>
        </row>
        <row r="92">
          <cell r="AP92">
            <v>2</v>
          </cell>
          <cell r="AQ92">
            <v>63319000</v>
          </cell>
        </row>
        <row r="93">
          <cell r="AP93" t="str">
            <v>-</v>
          </cell>
          <cell r="AQ93">
            <v>63319200</v>
          </cell>
        </row>
        <row r="94">
          <cell r="AP94">
            <v>1</v>
          </cell>
          <cell r="AQ94">
            <v>63319500</v>
          </cell>
        </row>
        <row r="95">
          <cell r="AP95">
            <v>1</v>
          </cell>
          <cell r="AQ95">
            <v>63319800</v>
          </cell>
        </row>
        <row r="96">
          <cell r="AP96" t="str">
            <v>-</v>
          </cell>
          <cell r="AQ96">
            <v>63405600</v>
          </cell>
        </row>
        <row r="97">
          <cell r="AP97">
            <v>8</v>
          </cell>
          <cell r="AQ97">
            <v>63407000</v>
          </cell>
        </row>
        <row r="98">
          <cell r="AP98">
            <v>5</v>
          </cell>
          <cell r="AQ98">
            <v>63407300</v>
          </cell>
        </row>
        <row r="99">
          <cell r="AP99">
            <v>2</v>
          </cell>
          <cell r="AQ99">
            <v>63407500</v>
          </cell>
        </row>
        <row r="100">
          <cell r="AP100">
            <v>1</v>
          </cell>
          <cell r="AQ100">
            <v>63407900</v>
          </cell>
        </row>
        <row r="101">
          <cell r="AP101">
            <v>1</v>
          </cell>
          <cell r="AQ101">
            <v>63408000</v>
          </cell>
        </row>
        <row r="102">
          <cell r="AP102">
            <v>5</v>
          </cell>
          <cell r="AQ102">
            <v>63408100</v>
          </cell>
        </row>
        <row r="103">
          <cell r="AP103" t="str">
            <v>-</v>
          </cell>
          <cell r="AQ103">
            <v>63408200</v>
          </cell>
        </row>
        <row r="104">
          <cell r="AP104" t="str">
            <v>-</v>
          </cell>
          <cell r="AQ104">
            <v>63408300</v>
          </cell>
        </row>
        <row r="105">
          <cell r="AP105">
            <v>5</v>
          </cell>
          <cell r="AQ105">
            <v>63408500</v>
          </cell>
        </row>
        <row r="106">
          <cell r="AP106" t="str">
            <v>-</v>
          </cell>
          <cell r="AQ106">
            <v>63408600</v>
          </cell>
        </row>
        <row r="107">
          <cell r="AP107" t="str">
            <v>-</v>
          </cell>
          <cell r="AQ107">
            <v>63408700</v>
          </cell>
        </row>
        <row r="108">
          <cell r="AP108" t="str">
            <v>-</v>
          </cell>
          <cell r="AQ108">
            <v>63408800</v>
          </cell>
        </row>
        <row r="109">
          <cell r="AP109" t="str">
            <v>-</v>
          </cell>
          <cell r="AQ109">
            <v>63408900</v>
          </cell>
        </row>
        <row r="110">
          <cell r="AP110">
            <v>1</v>
          </cell>
          <cell r="AQ110">
            <v>63500300</v>
          </cell>
        </row>
        <row r="111">
          <cell r="AP111">
            <v>1</v>
          </cell>
          <cell r="AQ111">
            <v>63500400</v>
          </cell>
        </row>
        <row r="112">
          <cell r="AP112">
            <v>5</v>
          </cell>
          <cell r="AQ112">
            <v>63500500</v>
          </cell>
        </row>
        <row r="113">
          <cell r="AP113">
            <v>1</v>
          </cell>
          <cell r="AQ113">
            <v>63500800</v>
          </cell>
        </row>
        <row r="114">
          <cell r="AP114" t="str">
            <v>-</v>
          </cell>
          <cell r="AQ114">
            <v>63501000</v>
          </cell>
        </row>
        <row r="115">
          <cell r="AP115">
            <v>1</v>
          </cell>
          <cell r="AQ115">
            <v>63501200</v>
          </cell>
        </row>
        <row r="116">
          <cell r="AP116">
            <v>5</v>
          </cell>
          <cell r="AQ116">
            <v>63501300</v>
          </cell>
        </row>
        <row r="117">
          <cell r="AP117" t="str">
            <v>-</v>
          </cell>
          <cell r="AQ117">
            <v>63501400</v>
          </cell>
        </row>
        <row r="118">
          <cell r="AP118" t="str">
            <v>-</v>
          </cell>
          <cell r="AQ118">
            <v>63501500</v>
          </cell>
        </row>
        <row r="119">
          <cell r="AP119">
            <v>1</v>
          </cell>
          <cell r="AQ119">
            <v>63501600</v>
          </cell>
        </row>
        <row r="120">
          <cell r="AP120" t="str">
            <v>-</v>
          </cell>
          <cell r="AQ120">
            <v>63501700</v>
          </cell>
        </row>
        <row r="121">
          <cell r="AP121">
            <v>1</v>
          </cell>
          <cell r="AQ121">
            <v>63502100</v>
          </cell>
        </row>
        <row r="122">
          <cell r="AP122" t="str">
            <v>-</v>
          </cell>
          <cell r="AQ122">
            <v>63502200</v>
          </cell>
        </row>
        <row r="123">
          <cell r="AP123" t="str">
            <v>-</v>
          </cell>
          <cell r="AQ123">
            <v>63502300</v>
          </cell>
        </row>
        <row r="124">
          <cell r="AP124" t="str">
            <v>-</v>
          </cell>
          <cell r="AQ124">
            <v>63502600</v>
          </cell>
        </row>
        <row r="125">
          <cell r="AP125" t="str">
            <v>-</v>
          </cell>
          <cell r="AQ125">
            <v>63502800</v>
          </cell>
        </row>
        <row r="126">
          <cell r="AP126" t="str">
            <v>-</v>
          </cell>
          <cell r="AQ126">
            <v>63502900</v>
          </cell>
        </row>
        <row r="127">
          <cell r="AP127">
            <v>5</v>
          </cell>
          <cell r="AQ127">
            <v>63503100</v>
          </cell>
        </row>
        <row r="128">
          <cell r="AP128" t="str">
            <v>-</v>
          </cell>
          <cell r="AQ128">
            <v>63503400</v>
          </cell>
        </row>
        <row r="129">
          <cell r="AP129">
            <v>1</v>
          </cell>
          <cell r="AQ129">
            <v>63503700</v>
          </cell>
        </row>
        <row r="130">
          <cell r="AP130">
            <v>1</v>
          </cell>
          <cell r="AQ130">
            <v>63503800</v>
          </cell>
        </row>
        <row r="131">
          <cell r="AP131">
            <v>9</v>
          </cell>
          <cell r="AQ131">
            <v>63503900</v>
          </cell>
        </row>
        <row r="132">
          <cell r="AP132">
            <v>1</v>
          </cell>
          <cell r="AQ132">
            <v>63504100</v>
          </cell>
        </row>
        <row r="133">
          <cell r="AP133" t="str">
            <v>-</v>
          </cell>
          <cell r="AQ133">
            <v>63504300</v>
          </cell>
        </row>
        <row r="134">
          <cell r="AP134" t="str">
            <v>-</v>
          </cell>
          <cell r="AQ134">
            <v>63504500</v>
          </cell>
        </row>
        <row r="135">
          <cell r="AP135">
            <v>1</v>
          </cell>
          <cell r="AQ135">
            <v>63504700</v>
          </cell>
        </row>
        <row r="136">
          <cell r="AP136">
            <v>1</v>
          </cell>
          <cell r="AQ136">
            <v>63505600</v>
          </cell>
        </row>
        <row r="137">
          <cell r="AP137">
            <v>4</v>
          </cell>
          <cell r="AQ137">
            <v>63506100</v>
          </cell>
        </row>
        <row r="138">
          <cell r="AP138" t="str">
            <v>-</v>
          </cell>
          <cell r="AQ138">
            <v>63506200</v>
          </cell>
        </row>
        <row r="139">
          <cell r="AP139">
            <v>5</v>
          </cell>
          <cell r="AQ139">
            <v>63506700</v>
          </cell>
        </row>
        <row r="140">
          <cell r="AP140">
            <v>5</v>
          </cell>
          <cell r="AQ140">
            <v>63506800</v>
          </cell>
        </row>
        <row r="141">
          <cell r="AP141" t="str">
            <v>-</v>
          </cell>
          <cell r="AQ141">
            <v>63506900</v>
          </cell>
        </row>
        <row r="142">
          <cell r="AP142" t="str">
            <v>-</v>
          </cell>
          <cell r="AQ142">
            <v>63507400</v>
          </cell>
        </row>
        <row r="143">
          <cell r="AP143" t="str">
            <v>-</v>
          </cell>
          <cell r="AQ143">
            <v>63507600</v>
          </cell>
        </row>
        <row r="144">
          <cell r="AP144" t="str">
            <v>-</v>
          </cell>
          <cell r="AQ144">
            <v>63507700</v>
          </cell>
        </row>
        <row r="145">
          <cell r="AP145">
            <v>1</v>
          </cell>
          <cell r="AQ145">
            <v>63507800</v>
          </cell>
        </row>
        <row r="146">
          <cell r="AP146">
            <v>5</v>
          </cell>
          <cell r="AQ146">
            <v>63508200</v>
          </cell>
        </row>
        <row r="147">
          <cell r="AP147">
            <v>5</v>
          </cell>
          <cell r="AQ147">
            <v>63508800</v>
          </cell>
        </row>
        <row r="148">
          <cell r="AP148" t="str">
            <v>-</v>
          </cell>
          <cell r="AQ148">
            <v>63509200</v>
          </cell>
        </row>
        <row r="149">
          <cell r="AP149" t="str">
            <v>-</v>
          </cell>
          <cell r="AQ149">
            <v>63509300</v>
          </cell>
        </row>
        <row r="150">
          <cell r="AP150" t="str">
            <v>-</v>
          </cell>
          <cell r="AQ150">
            <v>63509400</v>
          </cell>
        </row>
        <row r="151">
          <cell r="AP151" t="str">
            <v>-</v>
          </cell>
          <cell r="AQ151">
            <v>63509500</v>
          </cell>
        </row>
        <row r="152">
          <cell r="AP152" t="str">
            <v>-</v>
          </cell>
          <cell r="AQ152">
            <v>63511200</v>
          </cell>
        </row>
        <row r="153">
          <cell r="AP153" t="str">
            <v>-</v>
          </cell>
          <cell r="AQ153">
            <v>63511900</v>
          </cell>
        </row>
        <row r="154">
          <cell r="AP154" t="str">
            <v>-</v>
          </cell>
          <cell r="AQ154">
            <v>63512100</v>
          </cell>
        </row>
        <row r="155">
          <cell r="AP155">
            <v>1</v>
          </cell>
          <cell r="AQ155">
            <v>63512200</v>
          </cell>
        </row>
        <row r="156">
          <cell r="AP156" t="str">
            <v>-</v>
          </cell>
          <cell r="AQ156">
            <v>63512300</v>
          </cell>
        </row>
        <row r="157">
          <cell r="AP157">
            <v>5</v>
          </cell>
          <cell r="AQ157">
            <v>63513200</v>
          </cell>
        </row>
        <row r="158">
          <cell r="AP158" t="str">
            <v>-</v>
          </cell>
          <cell r="AQ158">
            <v>63513400</v>
          </cell>
        </row>
        <row r="159">
          <cell r="AP159" t="str">
            <v>-</v>
          </cell>
          <cell r="AQ159">
            <v>63513500</v>
          </cell>
        </row>
        <row r="160">
          <cell r="AP160" t="str">
            <v>-</v>
          </cell>
          <cell r="AQ160">
            <v>63513600</v>
          </cell>
        </row>
        <row r="161">
          <cell r="AP161" t="str">
            <v>-</v>
          </cell>
          <cell r="AQ161">
            <v>63514800</v>
          </cell>
        </row>
        <row r="162">
          <cell r="AP162">
            <v>1</v>
          </cell>
          <cell r="AQ162">
            <v>63515100</v>
          </cell>
        </row>
        <row r="163">
          <cell r="AP163" t="str">
            <v>-</v>
          </cell>
          <cell r="AQ163">
            <v>63515200</v>
          </cell>
        </row>
        <row r="164">
          <cell r="AP164">
            <v>1</v>
          </cell>
          <cell r="AQ164">
            <v>63515300</v>
          </cell>
        </row>
        <row r="165">
          <cell r="AP165">
            <v>1</v>
          </cell>
          <cell r="AQ165">
            <v>63515500</v>
          </cell>
        </row>
        <row r="166">
          <cell r="AP166">
            <v>1</v>
          </cell>
          <cell r="AQ166">
            <v>63515600</v>
          </cell>
        </row>
        <row r="167">
          <cell r="AP167" t="str">
            <v>-</v>
          </cell>
          <cell r="AQ167">
            <v>63515900</v>
          </cell>
        </row>
        <row r="168">
          <cell r="AP168" t="str">
            <v>-</v>
          </cell>
          <cell r="AQ168">
            <v>63516300</v>
          </cell>
        </row>
        <row r="169">
          <cell r="AP169" t="str">
            <v>-</v>
          </cell>
          <cell r="AQ169">
            <v>63516400</v>
          </cell>
        </row>
        <row r="170">
          <cell r="AP170" t="str">
            <v>-</v>
          </cell>
          <cell r="AQ170">
            <v>63516600</v>
          </cell>
        </row>
        <row r="171">
          <cell r="AP171" t="str">
            <v>-</v>
          </cell>
          <cell r="AQ171">
            <v>63516700</v>
          </cell>
        </row>
        <row r="172">
          <cell r="AP172">
            <v>1</v>
          </cell>
          <cell r="AQ172">
            <v>63516800</v>
          </cell>
        </row>
        <row r="173">
          <cell r="AP173" t="str">
            <v>-</v>
          </cell>
          <cell r="AQ173">
            <v>63516900</v>
          </cell>
        </row>
        <row r="174">
          <cell r="AP174">
            <v>4</v>
          </cell>
          <cell r="AQ174">
            <v>63517100</v>
          </cell>
        </row>
        <row r="175">
          <cell r="AP175" t="str">
            <v>-</v>
          </cell>
          <cell r="AQ175">
            <v>63517500</v>
          </cell>
        </row>
        <row r="176">
          <cell r="AP176">
            <v>5</v>
          </cell>
          <cell r="AQ176">
            <v>63517600</v>
          </cell>
        </row>
        <row r="177">
          <cell r="AP177">
            <v>1</v>
          </cell>
          <cell r="AQ177">
            <v>63517800</v>
          </cell>
        </row>
        <row r="178">
          <cell r="AP178" t="str">
            <v>-</v>
          </cell>
          <cell r="AQ178">
            <v>63518000</v>
          </cell>
        </row>
        <row r="179">
          <cell r="AP179" t="str">
            <v>-</v>
          </cell>
          <cell r="AQ179">
            <v>63518100</v>
          </cell>
        </row>
        <row r="180">
          <cell r="AP180">
            <v>1</v>
          </cell>
          <cell r="AQ180">
            <v>63518300</v>
          </cell>
        </row>
        <row r="181">
          <cell r="AP181">
            <v>2</v>
          </cell>
          <cell r="AQ181">
            <v>63518400</v>
          </cell>
        </row>
        <row r="182">
          <cell r="AP182">
            <v>1</v>
          </cell>
          <cell r="AQ182">
            <v>63518500</v>
          </cell>
        </row>
        <row r="183">
          <cell r="AP183" t="str">
            <v>-</v>
          </cell>
          <cell r="AQ183">
            <v>63518700</v>
          </cell>
        </row>
        <row r="184">
          <cell r="AP184" t="str">
            <v>-</v>
          </cell>
          <cell r="AQ184">
            <v>63518800</v>
          </cell>
        </row>
        <row r="185">
          <cell r="AP185">
            <v>1</v>
          </cell>
          <cell r="AQ185">
            <v>63560400</v>
          </cell>
        </row>
        <row r="186">
          <cell r="AP186">
            <v>1</v>
          </cell>
          <cell r="AQ186">
            <v>63562600</v>
          </cell>
        </row>
        <row r="187">
          <cell r="AP187">
            <v>1</v>
          </cell>
          <cell r="AQ187">
            <v>63562800</v>
          </cell>
        </row>
        <row r="188">
          <cell r="AP188">
            <v>2</v>
          </cell>
          <cell r="AQ188">
            <v>63563000</v>
          </cell>
        </row>
        <row r="189">
          <cell r="AP189" t="str">
            <v>-</v>
          </cell>
          <cell r="AQ189">
            <v>63563200</v>
          </cell>
        </row>
        <row r="190">
          <cell r="AP190">
            <v>1</v>
          </cell>
          <cell r="AQ190">
            <v>63563300</v>
          </cell>
        </row>
        <row r="191">
          <cell r="AP191" t="str">
            <v>-</v>
          </cell>
          <cell r="AQ191">
            <v>63563400</v>
          </cell>
        </row>
        <row r="192">
          <cell r="AP192" t="str">
            <v>-</v>
          </cell>
          <cell r="AQ192">
            <v>63563500</v>
          </cell>
        </row>
        <row r="193">
          <cell r="AP193">
            <v>1</v>
          </cell>
          <cell r="AQ193">
            <v>63563600</v>
          </cell>
        </row>
        <row r="194">
          <cell r="AP194" t="str">
            <v>-</v>
          </cell>
          <cell r="AQ194">
            <v>63570100</v>
          </cell>
        </row>
        <row r="195">
          <cell r="AP195" t="str">
            <v>-</v>
          </cell>
          <cell r="AQ195">
            <v>63570200</v>
          </cell>
        </row>
        <row r="196">
          <cell r="AP196" t="str">
            <v>-</v>
          </cell>
          <cell r="AQ196">
            <v>63570300</v>
          </cell>
        </row>
        <row r="197">
          <cell r="AP197" t="str">
            <v>-</v>
          </cell>
          <cell r="AQ197">
            <v>63570400</v>
          </cell>
        </row>
        <row r="198">
          <cell r="AP198" t="str">
            <v>-</v>
          </cell>
          <cell r="AQ198">
            <v>63570500</v>
          </cell>
        </row>
        <row r="199">
          <cell r="AP199" t="str">
            <v>-</v>
          </cell>
          <cell r="AQ199">
            <v>63570600</v>
          </cell>
        </row>
        <row r="200">
          <cell r="AP200" t="str">
            <v>-</v>
          </cell>
          <cell r="AQ200">
            <v>63570800</v>
          </cell>
        </row>
        <row r="201">
          <cell r="AP201" t="str">
            <v>-</v>
          </cell>
          <cell r="AQ201">
            <v>63571500</v>
          </cell>
        </row>
        <row r="202">
          <cell r="AP202" t="str">
            <v>-</v>
          </cell>
          <cell r="AQ202">
            <v>63571700</v>
          </cell>
        </row>
        <row r="203">
          <cell r="AP203" t="str">
            <v>-</v>
          </cell>
          <cell r="AQ203">
            <v>63571800</v>
          </cell>
        </row>
        <row r="204">
          <cell r="AP204" t="str">
            <v>-</v>
          </cell>
          <cell r="AQ204">
            <v>63571900</v>
          </cell>
        </row>
        <row r="205">
          <cell r="AP205" t="str">
            <v>-</v>
          </cell>
          <cell r="AQ205">
            <v>63572000</v>
          </cell>
        </row>
        <row r="206">
          <cell r="AP206">
            <v>4</v>
          </cell>
          <cell r="AQ206">
            <v>63580200</v>
          </cell>
        </row>
        <row r="207">
          <cell r="AP207">
            <v>4</v>
          </cell>
          <cell r="AQ207">
            <v>63580300</v>
          </cell>
        </row>
        <row r="208">
          <cell r="AP208" t="str">
            <v>-</v>
          </cell>
          <cell r="AQ208">
            <v>63580400</v>
          </cell>
        </row>
        <row r="209">
          <cell r="AP209" t="str">
            <v>-</v>
          </cell>
          <cell r="AQ209">
            <v>63580500</v>
          </cell>
        </row>
        <row r="210">
          <cell r="AP210" t="str">
            <v>-</v>
          </cell>
          <cell r="AQ210">
            <v>63580700</v>
          </cell>
        </row>
        <row r="211">
          <cell r="AP211" t="str">
            <v>-</v>
          </cell>
          <cell r="AQ211">
            <v>63580800</v>
          </cell>
        </row>
        <row r="212">
          <cell r="AP212" t="str">
            <v>-</v>
          </cell>
          <cell r="AQ212">
            <v>63580900</v>
          </cell>
        </row>
        <row r="213">
          <cell r="AP213" t="str">
            <v>-</v>
          </cell>
          <cell r="AQ213">
            <v>63581000</v>
          </cell>
        </row>
        <row r="214">
          <cell r="AP214">
            <v>5</v>
          </cell>
          <cell r="AQ214">
            <v>63581100</v>
          </cell>
        </row>
        <row r="215">
          <cell r="AP215">
            <v>5</v>
          </cell>
          <cell r="AQ215">
            <v>63581200</v>
          </cell>
        </row>
        <row r="216">
          <cell r="AP216">
            <v>1</v>
          </cell>
          <cell r="AQ216">
            <v>63596300</v>
          </cell>
        </row>
        <row r="217">
          <cell r="AP217" t="str">
            <v>-</v>
          </cell>
          <cell r="AQ217">
            <v>63596400</v>
          </cell>
        </row>
        <row r="218">
          <cell r="AP218">
            <v>1</v>
          </cell>
          <cell r="AQ218">
            <v>63596500</v>
          </cell>
        </row>
        <row r="219">
          <cell r="AP219" t="str">
            <v>-</v>
          </cell>
          <cell r="AQ219">
            <v>63596600</v>
          </cell>
        </row>
        <row r="220">
          <cell r="AP220" t="str">
            <v>-</v>
          </cell>
          <cell r="AQ220">
            <v>63596700</v>
          </cell>
        </row>
        <row r="221">
          <cell r="AP221" t="str">
            <v>-</v>
          </cell>
          <cell r="AQ221">
            <v>63596800</v>
          </cell>
        </row>
        <row r="222">
          <cell r="AP222" t="str">
            <v>-</v>
          </cell>
          <cell r="AQ222">
            <v>63596900</v>
          </cell>
        </row>
        <row r="223">
          <cell r="AP223" t="str">
            <v>-</v>
          </cell>
          <cell r="AQ223">
            <v>63597000</v>
          </cell>
        </row>
        <row r="224">
          <cell r="AP224" t="str">
            <v>-</v>
          </cell>
          <cell r="AQ224">
            <v>63804300</v>
          </cell>
        </row>
        <row r="225">
          <cell r="AP225" t="str">
            <v>-</v>
          </cell>
          <cell r="AQ225">
            <v>63805600</v>
          </cell>
        </row>
        <row r="226">
          <cell r="AP226" t="str">
            <v>-</v>
          </cell>
          <cell r="AQ226">
            <v>63808200</v>
          </cell>
        </row>
        <row r="227">
          <cell r="AP227" t="str">
            <v>-</v>
          </cell>
          <cell r="AQ227">
            <v>63808400</v>
          </cell>
        </row>
        <row r="228">
          <cell r="AP228" t="str">
            <v>-</v>
          </cell>
          <cell r="AQ228">
            <v>63808500</v>
          </cell>
        </row>
        <row r="229">
          <cell r="AP229" t="str">
            <v>-</v>
          </cell>
          <cell r="AQ229">
            <v>63808600</v>
          </cell>
        </row>
        <row r="230">
          <cell r="AP230" t="str">
            <v>-</v>
          </cell>
          <cell r="AQ230">
            <v>63809000</v>
          </cell>
        </row>
        <row r="231">
          <cell r="AP231" t="str">
            <v>-</v>
          </cell>
          <cell r="AQ231">
            <v>63809200</v>
          </cell>
        </row>
        <row r="232">
          <cell r="AP232" t="str">
            <v>-</v>
          </cell>
          <cell r="AQ232">
            <v>63809300</v>
          </cell>
        </row>
        <row r="233">
          <cell r="AP233" t="str">
            <v>-</v>
          </cell>
          <cell r="AQ233">
            <v>63809400</v>
          </cell>
        </row>
        <row r="234">
          <cell r="AP234">
            <v>8</v>
          </cell>
          <cell r="AQ234">
            <v>63809600</v>
          </cell>
        </row>
        <row r="235">
          <cell r="AP235" t="str">
            <v>-</v>
          </cell>
          <cell r="AQ235">
            <v>63810000</v>
          </cell>
        </row>
        <row r="236">
          <cell r="AP236" t="str">
            <v>-</v>
          </cell>
          <cell r="AQ236">
            <v>63810100</v>
          </cell>
        </row>
        <row r="237">
          <cell r="AP237" t="str">
            <v>-</v>
          </cell>
          <cell r="AQ237">
            <v>63810200</v>
          </cell>
        </row>
        <row r="238">
          <cell r="AP238">
            <v>1</v>
          </cell>
          <cell r="AQ238">
            <v>63810500</v>
          </cell>
        </row>
        <row r="239">
          <cell r="AP239" t="str">
            <v>-</v>
          </cell>
          <cell r="AQ239">
            <v>63810700</v>
          </cell>
        </row>
        <row r="240">
          <cell r="AP240" t="str">
            <v>-</v>
          </cell>
          <cell r="AQ240">
            <v>63810800</v>
          </cell>
        </row>
        <row r="241">
          <cell r="AP241" t="str">
            <v>-</v>
          </cell>
          <cell r="AQ241">
            <v>63810900</v>
          </cell>
        </row>
        <row r="242">
          <cell r="AP242" t="str">
            <v>-</v>
          </cell>
          <cell r="AQ242">
            <v>63811000</v>
          </cell>
        </row>
        <row r="243">
          <cell r="AP243">
            <v>1</v>
          </cell>
          <cell r="AQ243">
            <v>63860500</v>
          </cell>
        </row>
        <row r="244">
          <cell r="AP244" t="str">
            <v>-</v>
          </cell>
          <cell r="AQ244">
            <v>63900200</v>
          </cell>
        </row>
        <row r="245">
          <cell r="AP245" t="str">
            <v>-</v>
          </cell>
          <cell r="AQ245">
            <v>63900300</v>
          </cell>
        </row>
        <row r="246">
          <cell r="AP246">
            <v>1</v>
          </cell>
          <cell r="AQ246">
            <v>63900400</v>
          </cell>
        </row>
        <row r="247">
          <cell r="AP247" t="str">
            <v>-</v>
          </cell>
          <cell r="AQ247">
            <v>63900500</v>
          </cell>
        </row>
        <row r="248">
          <cell r="AP248" t="str">
            <v>-</v>
          </cell>
          <cell r="AQ248">
            <v>63900700</v>
          </cell>
        </row>
        <row r="249">
          <cell r="AP249" t="str">
            <v>-</v>
          </cell>
          <cell r="AQ249">
            <v>63900800</v>
          </cell>
        </row>
        <row r="250">
          <cell r="AP250">
            <v>1</v>
          </cell>
          <cell r="AQ250">
            <v>63900900</v>
          </cell>
        </row>
        <row r="251">
          <cell r="AP251">
            <v>1</v>
          </cell>
          <cell r="AQ251">
            <v>63901200</v>
          </cell>
        </row>
        <row r="252">
          <cell r="AP252">
            <v>1</v>
          </cell>
          <cell r="AQ252">
            <v>63901300</v>
          </cell>
        </row>
        <row r="253">
          <cell r="AP253">
            <v>1</v>
          </cell>
          <cell r="AQ253">
            <v>63901400</v>
          </cell>
        </row>
        <row r="254">
          <cell r="AP254">
            <v>1</v>
          </cell>
          <cell r="AQ254">
            <v>63901500</v>
          </cell>
        </row>
        <row r="255">
          <cell r="AP255">
            <v>1</v>
          </cell>
          <cell r="AQ255">
            <v>63901600</v>
          </cell>
        </row>
        <row r="256">
          <cell r="AP256">
            <v>1</v>
          </cell>
          <cell r="AQ256">
            <v>63901700</v>
          </cell>
        </row>
        <row r="257">
          <cell r="AP257">
            <v>1</v>
          </cell>
          <cell r="AQ257">
            <v>63901800</v>
          </cell>
        </row>
        <row r="258">
          <cell r="AP258">
            <v>1</v>
          </cell>
          <cell r="AQ258">
            <v>63901900</v>
          </cell>
        </row>
        <row r="259">
          <cell r="AP259">
            <v>1</v>
          </cell>
          <cell r="AQ259">
            <v>63902000</v>
          </cell>
        </row>
        <row r="260">
          <cell r="AP260" t="str">
            <v>-</v>
          </cell>
          <cell r="AQ260">
            <v>63902100</v>
          </cell>
        </row>
        <row r="261">
          <cell r="AP261" t="str">
            <v>-</v>
          </cell>
          <cell r="AQ261">
            <v>63902300</v>
          </cell>
        </row>
        <row r="262">
          <cell r="AP262" t="str">
            <v>-</v>
          </cell>
          <cell r="AQ262">
            <v>63902500</v>
          </cell>
        </row>
        <row r="263">
          <cell r="AP263" t="str">
            <v>-</v>
          </cell>
          <cell r="AQ263">
            <v>63902700</v>
          </cell>
        </row>
        <row r="264">
          <cell r="AP264" t="str">
            <v>-</v>
          </cell>
          <cell r="AQ264">
            <v>63902800</v>
          </cell>
        </row>
        <row r="265">
          <cell r="AP265">
            <v>1</v>
          </cell>
          <cell r="AQ265">
            <v>63902900</v>
          </cell>
        </row>
        <row r="266">
          <cell r="AP266" t="str">
            <v>-</v>
          </cell>
          <cell r="AQ266">
            <v>63903000</v>
          </cell>
        </row>
        <row r="267">
          <cell r="AP267" t="str">
            <v>-</v>
          </cell>
          <cell r="AQ267">
            <v>63903100</v>
          </cell>
        </row>
        <row r="268">
          <cell r="AP268" t="str">
            <v>-</v>
          </cell>
          <cell r="AQ268">
            <v>63903200</v>
          </cell>
        </row>
        <row r="269">
          <cell r="AP269">
            <v>1</v>
          </cell>
          <cell r="AQ269">
            <v>63903400</v>
          </cell>
        </row>
        <row r="270">
          <cell r="AP270" t="str">
            <v>-</v>
          </cell>
          <cell r="AQ270">
            <v>63903600</v>
          </cell>
        </row>
        <row r="271">
          <cell r="AP271" t="str">
            <v>-</v>
          </cell>
          <cell r="AQ271">
            <v>63903700</v>
          </cell>
        </row>
        <row r="272">
          <cell r="AP272">
            <v>1</v>
          </cell>
          <cell r="AQ272">
            <v>63904000</v>
          </cell>
        </row>
        <row r="273">
          <cell r="AP273">
            <v>1</v>
          </cell>
          <cell r="AQ273">
            <v>63904100</v>
          </cell>
        </row>
        <row r="274">
          <cell r="AP274">
            <v>1</v>
          </cell>
          <cell r="AQ274">
            <v>63904400</v>
          </cell>
        </row>
        <row r="275">
          <cell r="AP275" t="str">
            <v>-</v>
          </cell>
          <cell r="AQ275">
            <v>63904600</v>
          </cell>
        </row>
        <row r="276">
          <cell r="AP276">
            <v>1</v>
          </cell>
          <cell r="AQ276">
            <v>63904800</v>
          </cell>
        </row>
        <row r="277">
          <cell r="AP277" t="str">
            <v>-</v>
          </cell>
          <cell r="AQ277">
            <v>63904900</v>
          </cell>
        </row>
        <row r="278">
          <cell r="AP278" t="str">
            <v>-</v>
          </cell>
          <cell r="AQ278">
            <v>63905000</v>
          </cell>
        </row>
        <row r="279">
          <cell r="AP279">
            <v>1</v>
          </cell>
          <cell r="AQ279">
            <v>63905100</v>
          </cell>
        </row>
        <row r="280">
          <cell r="AP280">
            <v>1</v>
          </cell>
          <cell r="AQ280">
            <v>63905200</v>
          </cell>
        </row>
        <row r="281">
          <cell r="AP281" t="str">
            <v>-</v>
          </cell>
          <cell r="AQ281">
            <v>63905300</v>
          </cell>
        </row>
        <row r="282">
          <cell r="AP282">
            <v>1</v>
          </cell>
          <cell r="AQ282">
            <v>63905500</v>
          </cell>
        </row>
        <row r="283">
          <cell r="AP283" t="str">
            <v>-</v>
          </cell>
          <cell r="AQ283">
            <v>63905600</v>
          </cell>
        </row>
        <row r="284">
          <cell r="AP284">
            <v>1</v>
          </cell>
          <cell r="AQ284">
            <v>63906100</v>
          </cell>
        </row>
        <row r="285">
          <cell r="AP285">
            <v>1</v>
          </cell>
          <cell r="AQ285">
            <v>63906400</v>
          </cell>
        </row>
        <row r="286">
          <cell r="AP286" t="str">
            <v>-</v>
          </cell>
          <cell r="AQ286">
            <v>63906600</v>
          </cell>
        </row>
        <row r="287">
          <cell r="AP287" t="str">
            <v>-</v>
          </cell>
          <cell r="AQ287">
            <v>63906700</v>
          </cell>
        </row>
        <row r="288">
          <cell r="AP288" t="str">
            <v>-</v>
          </cell>
          <cell r="AQ288">
            <v>63907000</v>
          </cell>
        </row>
        <row r="289">
          <cell r="AP289">
            <v>1</v>
          </cell>
          <cell r="AQ289">
            <v>63907400</v>
          </cell>
        </row>
        <row r="290">
          <cell r="AP290">
            <v>1</v>
          </cell>
          <cell r="AQ290">
            <v>63907500</v>
          </cell>
        </row>
        <row r="291">
          <cell r="AP291" t="str">
            <v>-</v>
          </cell>
          <cell r="AQ291">
            <v>63908700</v>
          </cell>
        </row>
        <row r="292">
          <cell r="AP292" t="str">
            <v>-</v>
          </cell>
          <cell r="AQ292">
            <v>63909300</v>
          </cell>
        </row>
        <row r="293">
          <cell r="AP293" t="str">
            <v>-</v>
          </cell>
          <cell r="AQ293">
            <v>63909800</v>
          </cell>
        </row>
        <row r="294">
          <cell r="AP294" t="str">
            <v>-</v>
          </cell>
          <cell r="AQ294">
            <v>63910100</v>
          </cell>
        </row>
        <row r="295">
          <cell r="AP295" t="str">
            <v>-</v>
          </cell>
          <cell r="AQ295">
            <v>63910200</v>
          </cell>
        </row>
        <row r="296">
          <cell r="AP296" t="str">
            <v>-</v>
          </cell>
          <cell r="AQ296">
            <v>63910300</v>
          </cell>
        </row>
        <row r="297">
          <cell r="AP297" t="str">
            <v>-</v>
          </cell>
          <cell r="AQ297">
            <v>63910500</v>
          </cell>
        </row>
        <row r="298">
          <cell r="AP298" t="str">
            <v>-</v>
          </cell>
          <cell r="AQ298">
            <v>63910700</v>
          </cell>
        </row>
        <row r="299">
          <cell r="AP299">
            <v>1</v>
          </cell>
          <cell r="AQ299">
            <v>63910800</v>
          </cell>
        </row>
        <row r="300">
          <cell r="AP300">
            <v>1</v>
          </cell>
          <cell r="AQ300">
            <v>63910900</v>
          </cell>
        </row>
        <row r="301">
          <cell r="AP301" t="str">
            <v>-</v>
          </cell>
          <cell r="AQ301">
            <v>63911100</v>
          </cell>
        </row>
        <row r="302">
          <cell r="AP302">
            <v>1</v>
          </cell>
          <cell r="AQ302">
            <v>63911300</v>
          </cell>
        </row>
        <row r="303">
          <cell r="AP303">
            <v>1</v>
          </cell>
          <cell r="AQ303">
            <v>63911400</v>
          </cell>
        </row>
        <row r="304">
          <cell r="AP304" t="str">
            <v>-</v>
          </cell>
          <cell r="AQ304">
            <v>63911500</v>
          </cell>
        </row>
        <row r="305">
          <cell r="AP305" t="str">
            <v>-</v>
          </cell>
          <cell r="AQ305">
            <v>63911600</v>
          </cell>
        </row>
        <row r="306">
          <cell r="AP306">
            <v>5</v>
          </cell>
          <cell r="AQ306">
            <v>63911900</v>
          </cell>
        </row>
        <row r="307">
          <cell r="AP307">
            <v>1</v>
          </cell>
          <cell r="AQ307">
            <v>63912000</v>
          </cell>
        </row>
        <row r="308">
          <cell r="AP308" t="str">
            <v>-</v>
          </cell>
          <cell r="AQ308">
            <v>63912100</v>
          </cell>
        </row>
        <row r="309">
          <cell r="AP309">
            <v>1</v>
          </cell>
          <cell r="AQ309">
            <v>63912200</v>
          </cell>
        </row>
        <row r="310">
          <cell r="AP310" t="str">
            <v>-</v>
          </cell>
          <cell r="AQ310">
            <v>63912300</v>
          </cell>
        </row>
        <row r="311">
          <cell r="AP311" t="str">
            <v>-</v>
          </cell>
          <cell r="AQ311">
            <v>63912400</v>
          </cell>
        </row>
        <row r="312">
          <cell r="AP312" t="str">
            <v>-</v>
          </cell>
          <cell r="AQ312">
            <v>63912500</v>
          </cell>
        </row>
        <row r="313">
          <cell r="AP313" t="str">
            <v>-</v>
          </cell>
          <cell r="AQ313">
            <v>63912600</v>
          </cell>
        </row>
        <row r="314">
          <cell r="AP314">
            <v>1</v>
          </cell>
          <cell r="AQ314">
            <v>63912700</v>
          </cell>
        </row>
        <row r="315">
          <cell r="AP315" t="str">
            <v>-</v>
          </cell>
          <cell r="AQ315">
            <v>63912800</v>
          </cell>
        </row>
        <row r="316">
          <cell r="AP316" t="str">
            <v>-</v>
          </cell>
          <cell r="AQ316">
            <v>63912900</v>
          </cell>
        </row>
        <row r="317">
          <cell r="AP317" t="str">
            <v>-</v>
          </cell>
          <cell r="AQ317">
            <v>63913000</v>
          </cell>
        </row>
        <row r="318">
          <cell r="AP318" t="str">
            <v>-</v>
          </cell>
          <cell r="AQ318">
            <v>63913100</v>
          </cell>
        </row>
        <row r="319">
          <cell r="AP319">
            <v>1</v>
          </cell>
          <cell r="AQ319">
            <v>63913200</v>
          </cell>
        </row>
        <row r="320">
          <cell r="AP320">
            <v>1</v>
          </cell>
          <cell r="AQ320">
            <v>63913600</v>
          </cell>
        </row>
        <row r="321">
          <cell r="AP321" t="str">
            <v>-</v>
          </cell>
          <cell r="AQ321">
            <v>63913700</v>
          </cell>
        </row>
        <row r="322">
          <cell r="AP322">
            <v>1</v>
          </cell>
          <cell r="AQ322">
            <v>63913800</v>
          </cell>
        </row>
        <row r="323">
          <cell r="AP323" t="str">
            <v>-</v>
          </cell>
          <cell r="AQ323">
            <v>63913900</v>
          </cell>
        </row>
        <row r="324">
          <cell r="AP324">
            <v>1</v>
          </cell>
          <cell r="AQ324">
            <v>63914000</v>
          </cell>
        </row>
        <row r="325">
          <cell r="AP325" t="str">
            <v>-</v>
          </cell>
          <cell r="AQ325">
            <v>63914100</v>
          </cell>
        </row>
        <row r="326">
          <cell r="AP326">
            <v>1</v>
          </cell>
          <cell r="AQ326">
            <v>63914200</v>
          </cell>
        </row>
        <row r="327">
          <cell r="AP327" t="str">
            <v>-</v>
          </cell>
          <cell r="AQ327">
            <v>63914300</v>
          </cell>
        </row>
        <row r="328">
          <cell r="AP328" t="str">
            <v>-</v>
          </cell>
          <cell r="AQ328">
            <v>63930100</v>
          </cell>
        </row>
        <row r="329">
          <cell r="AP329" t="str">
            <v>-</v>
          </cell>
          <cell r="AQ329">
            <v>63930200</v>
          </cell>
        </row>
        <row r="330">
          <cell r="AP330">
            <v>6</v>
          </cell>
          <cell r="AQ330">
            <v>63930500</v>
          </cell>
        </row>
        <row r="331">
          <cell r="AP331" t="str">
            <v>-</v>
          </cell>
          <cell r="AQ331">
            <v>63930800</v>
          </cell>
        </row>
        <row r="332">
          <cell r="AP332">
            <v>1</v>
          </cell>
          <cell r="AQ332">
            <v>63930900</v>
          </cell>
        </row>
        <row r="333">
          <cell r="AP333">
            <v>1</v>
          </cell>
          <cell r="AQ333">
            <v>63931500</v>
          </cell>
        </row>
        <row r="334">
          <cell r="AP334">
            <v>1</v>
          </cell>
          <cell r="AQ334">
            <v>63931900</v>
          </cell>
        </row>
        <row r="335">
          <cell r="AP335">
            <v>1</v>
          </cell>
          <cell r="AQ335">
            <v>63932000</v>
          </cell>
        </row>
        <row r="336">
          <cell r="AP336" t="str">
            <v>-</v>
          </cell>
          <cell r="AQ336">
            <v>63932100</v>
          </cell>
        </row>
        <row r="337">
          <cell r="AP337">
            <v>4</v>
          </cell>
          <cell r="AQ337">
            <v>63932200</v>
          </cell>
        </row>
        <row r="338">
          <cell r="AP338" t="str">
            <v>-</v>
          </cell>
          <cell r="AQ338">
            <v>63932300</v>
          </cell>
        </row>
        <row r="339">
          <cell r="AP339" t="str">
            <v>-</v>
          </cell>
          <cell r="AQ339">
            <v>63932400</v>
          </cell>
        </row>
        <row r="340">
          <cell r="AP340" t="str">
            <v>-</v>
          </cell>
          <cell r="AQ340">
            <v>63932500</v>
          </cell>
        </row>
        <row r="341">
          <cell r="AP341" t="str">
            <v>-</v>
          </cell>
          <cell r="AQ341">
            <v>63932600</v>
          </cell>
        </row>
        <row r="342">
          <cell r="AP342">
            <v>1</v>
          </cell>
          <cell r="AQ342">
            <v>63932900</v>
          </cell>
        </row>
        <row r="343">
          <cell r="AP343" t="str">
            <v>-</v>
          </cell>
          <cell r="AQ343">
            <v>63933000</v>
          </cell>
        </row>
        <row r="344">
          <cell r="AP344">
            <v>1</v>
          </cell>
          <cell r="AQ344">
            <v>63933600</v>
          </cell>
        </row>
        <row r="345">
          <cell r="AP345" t="str">
            <v>-</v>
          </cell>
          <cell r="AQ345">
            <v>63933700</v>
          </cell>
        </row>
        <row r="346">
          <cell r="AP346" t="str">
            <v>-</v>
          </cell>
          <cell r="AQ346">
            <v>63934100</v>
          </cell>
        </row>
        <row r="347">
          <cell r="AP347">
            <v>1</v>
          </cell>
          <cell r="AQ347">
            <v>63934800</v>
          </cell>
        </row>
        <row r="348">
          <cell r="AP348" t="str">
            <v>-</v>
          </cell>
          <cell r="AQ348">
            <v>63935000</v>
          </cell>
        </row>
        <row r="349">
          <cell r="AP349">
            <v>1</v>
          </cell>
          <cell r="AQ349">
            <v>63935500</v>
          </cell>
        </row>
        <row r="350">
          <cell r="AP350">
            <v>1</v>
          </cell>
          <cell r="AQ350">
            <v>63936400</v>
          </cell>
        </row>
        <row r="351">
          <cell r="AP351">
            <v>1</v>
          </cell>
          <cell r="AQ351">
            <v>63960300</v>
          </cell>
        </row>
        <row r="352">
          <cell r="AP352" t="str">
            <v>-</v>
          </cell>
          <cell r="AQ352">
            <v>63960800</v>
          </cell>
        </row>
        <row r="353">
          <cell r="AP353" t="str">
            <v>-</v>
          </cell>
          <cell r="AQ353">
            <v>63960900</v>
          </cell>
        </row>
        <row r="354">
          <cell r="AP354" t="str">
            <v>-</v>
          </cell>
          <cell r="AQ354">
            <v>63961100</v>
          </cell>
        </row>
        <row r="355">
          <cell r="AP355">
            <v>1</v>
          </cell>
          <cell r="AQ355">
            <v>63961400</v>
          </cell>
        </row>
        <row r="356">
          <cell r="AP356" t="str">
            <v>-</v>
          </cell>
          <cell r="AQ356">
            <v>63961500</v>
          </cell>
        </row>
        <row r="357">
          <cell r="AP357" t="str">
            <v>-</v>
          </cell>
          <cell r="AQ357">
            <v>63961700</v>
          </cell>
        </row>
        <row r="358">
          <cell r="AP358">
            <v>1</v>
          </cell>
          <cell r="AQ358">
            <v>63961800</v>
          </cell>
        </row>
        <row r="359">
          <cell r="AP359" t="str">
            <v>-</v>
          </cell>
          <cell r="AQ359">
            <v>63961900</v>
          </cell>
        </row>
        <row r="360">
          <cell r="AP360" t="str">
            <v>-</v>
          </cell>
          <cell r="AQ360">
            <v>63962000</v>
          </cell>
        </row>
        <row r="361">
          <cell r="AP361" t="str">
            <v>-</v>
          </cell>
          <cell r="AQ361">
            <v>63962300</v>
          </cell>
        </row>
        <row r="362">
          <cell r="AP362">
            <v>2</v>
          </cell>
          <cell r="AQ362">
            <v>63963200</v>
          </cell>
        </row>
        <row r="363">
          <cell r="AP363">
            <v>1</v>
          </cell>
          <cell r="AQ363">
            <v>63963300</v>
          </cell>
        </row>
        <row r="364">
          <cell r="AP364" t="str">
            <v>-</v>
          </cell>
          <cell r="AQ364">
            <v>63963400</v>
          </cell>
        </row>
        <row r="365">
          <cell r="AP365">
            <v>1</v>
          </cell>
          <cell r="AQ365">
            <v>63963500</v>
          </cell>
        </row>
        <row r="366">
          <cell r="AP366" t="str">
            <v>-</v>
          </cell>
          <cell r="AQ366">
            <v>63963600</v>
          </cell>
        </row>
        <row r="367">
          <cell r="AP367" t="str">
            <v>-</v>
          </cell>
          <cell r="AQ367">
            <v>63970100</v>
          </cell>
        </row>
        <row r="368">
          <cell r="AP368" t="str">
            <v>-</v>
          </cell>
          <cell r="AQ368">
            <v>63970200</v>
          </cell>
        </row>
        <row r="369">
          <cell r="AP369" t="str">
            <v>-</v>
          </cell>
          <cell r="AQ369">
            <v>63970300</v>
          </cell>
        </row>
        <row r="370">
          <cell r="AP370" t="str">
            <v>-</v>
          </cell>
          <cell r="AQ370">
            <v>63970400</v>
          </cell>
        </row>
        <row r="371">
          <cell r="AP371" t="str">
            <v>-</v>
          </cell>
          <cell r="AQ371">
            <v>63970500</v>
          </cell>
        </row>
        <row r="372">
          <cell r="AP372" t="str">
            <v>-</v>
          </cell>
          <cell r="AQ372">
            <v>63970600</v>
          </cell>
        </row>
        <row r="373">
          <cell r="AP373" t="str">
            <v>-</v>
          </cell>
          <cell r="AQ373">
            <v>63970700</v>
          </cell>
        </row>
        <row r="374">
          <cell r="AP374" t="str">
            <v>-</v>
          </cell>
          <cell r="AQ374">
            <v>63970800</v>
          </cell>
        </row>
        <row r="375">
          <cell r="AP375" t="str">
            <v>-</v>
          </cell>
          <cell r="AQ375">
            <v>63970900</v>
          </cell>
        </row>
        <row r="376">
          <cell r="AP376" t="str">
            <v>-</v>
          </cell>
          <cell r="AQ376">
            <v>63971000</v>
          </cell>
        </row>
        <row r="377">
          <cell r="AP377" t="str">
            <v>-</v>
          </cell>
          <cell r="AQ377">
            <v>63971200</v>
          </cell>
        </row>
        <row r="378">
          <cell r="AP378" t="str">
            <v>-</v>
          </cell>
          <cell r="AQ378">
            <v>63971300</v>
          </cell>
        </row>
        <row r="379">
          <cell r="AP379" t="str">
            <v>-</v>
          </cell>
          <cell r="AQ379">
            <v>63971400</v>
          </cell>
        </row>
        <row r="380">
          <cell r="AP380" t="str">
            <v>-</v>
          </cell>
          <cell r="AQ380">
            <v>63971500</v>
          </cell>
        </row>
        <row r="381">
          <cell r="AP381" t="str">
            <v>-</v>
          </cell>
          <cell r="AQ381">
            <v>63971700</v>
          </cell>
        </row>
        <row r="382">
          <cell r="AP382" t="str">
            <v>-</v>
          </cell>
          <cell r="AQ382">
            <v>63971800</v>
          </cell>
        </row>
        <row r="383">
          <cell r="AP383" t="str">
            <v>-</v>
          </cell>
          <cell r="AQ383">
            <v>63971900</v>
          </cell>
        </row>
        <row r="384">
          <cell r="AP384" t="str">
            <v>-</v>
          </cell>
          <cell r="AQ384">
            <v>63972000</v>
          </cell>
        </row>
        <row r="385">
          <cell r="AP385" t="str">
            <v>-</v>
          </cell>
          <cell r="AQ385">
            <v>63980200</v>
          </cell>
        </row>
        <row r="386">
          <cell r="AP386" t="str">
            <v>-</v>
          </cell>
          <cell r="AQ386">
            <v>63980300</v>
          </cell>
        </row>
        <row r="387">
          <cell r="AP387" t="str">
            <v>-</v>
          </cell>
          <cell r="AQ387">
            <v>63980400</v>
          </cell>
        </row>
        <row r="388">
          <cell r="AP388" t="str">
            <v>-</v>
          </cell>
          <cell r="AQ388">
            <v>63980500</v>
          </cell>
        </row>
        <row r="389">
          <cell r="AP389" t="str">
            <v>-</v>
          </cell>
          <cell r="AQ389">
            <v>63980600</v>
          </cell>
        </row>
        <row r="390">
          <cell r="AP390">
            <v>4</v>
          </cell>
          <cell r="AQ390">
            <v>63980700</v>
          </cell>
        </row>
        <row r="391">
          <cell r="AP391">
            <v>4</v>
          </cell>
          <cell r="AQ391">
            <v>63981000</v>
          </cell>
        </row>
        <row r="392">
          <cell r="AP392">
            <v>4</v>
          </cell>
          <cell r="AQ392">
            <v>63981100</v>
          </cell>
        </row>
        <row r="393">
          <cell r="AP393">
            <v>1</v>
          </cell>
          <cell r="AQ393">
            <v>63982200</v>
          </cell>
        </row>
        <row r="394">
          <cell r="AP394">
            <v>5</v>
          </cell>
          <cell r="AQ394">
            <v>63982300</v>
          </cell>
        </row>
        <row r="395">
          <cell r="AP395">
            <v>1</v>
          </cell>
          <cell r="AQ395">
            <v>63982400</v>
          </cell>
        </row>
        <row r="396">
          <cell r="AP396" t="str">
            <v>-</v>
          </cell>
          <cell r="AQ396">
            <v>63982600</v>
          </cell>
        </row>
        <row r="397">
          <cell r="AP397" t="str">
            <v>-</v>
          </cell>
          <cell r="AQ397">
            <v>63982700</v>
          </cell>
        </row>
        <row r="398">
          <cell r="AP398">
            <v>1</v>
          </cell>
          <cell r="AQ398">
            <v>63990300</v>
          </cell>
        </row>
        <row r="399">
          <cell r="AP399" t="str">
            <v>-</v>
          </cell>
          <cell r="AQ399">
            <v>63990400</v>
          </cell>
        </row>
        <row r="400">
          <cell r="AP400">
            <v>1</v>
          </cell>
          <cell r="AQ400">
            <v>63990500</v>
          </cell>
        </row>
        <row r="401">
          <cell r="AP401" t="str">
            <v>-</v>
          </cell>
          <cell r="AQ401">
            <v>63990600</v>
          </cell>
        </row>
        <row r="402">
          <cell r="AP402" t="str">
            <v>-</v>
          </cell>
          <cell r="AQ402">
            <v>63990700</v>
          </cell>
        </row>
        <row r="403">
          <cell r="AP403" t="str">
            <v>-</v>
          </cell>
          <cell r="AQ403">
            <v>63990800</v>
          </cell>
        </row>
        <row r="404">
          <cell r="AP404" t="str">
            <v>-</v>
          </cell>
          <cell r="AQ404">
            <v>63991000</v>
          </cell>
        </row>
        <row r="405">
          <cell r="AP405" t="str">
            <v>-</v>
          </cell>
          <cell r="AQ405">
            <v>63991100</v>
          </cell>
        </row>
        <row r="406">
          <cell r="AP406" t="str">
            <v>-</v>
          </cell>
          <cell r="AQ406">
            <v>64210000</v>
          </cell>
        </row>
        <row r="407">
          <cell r="AP407" t="str">
            <v>-</v>
          </cell>
          <cell r="AQ407">
            <v>64223900</v>
          </cell>
        </row>
        <row r="408">
          <cell r="AP408">
            <v>1</v>
          </cell>
          <cell r="AQ408">
            <v>64224000</v>
          </cell>
        </row>
        <row r="409">
          <cell r="AP409">
            <v>10</v>
          </cell>
          <cell r="AQ409">
            <v>64224100</v>
          </cell>
        </row>
        <row r="410">
          <cell r="AP410">
            <v>1</v>
          </cell>
          <cell r="AQ410">
            <v>64224200</v>
          </cell>
        </row>
        <row r="411">
          <cell r="AP411" t="str">
            <v>-</v>
          </cell>
          <cell r="AQ411">
            <v>64224300</v>
          </cell>
        </row>
        <row r="412">
          <cell r="AP412" t="str">
            <v>-</v>
          </cell>
          <cell r="AQ412">
            <v>64224400</v>
          </cell>
        </row>
        <row r="413">
          <cell r="AP413">
            <v>1</v>
          </cell>
          <cell r="AQ413">
            <v>64224500</v>
          </cell>
        </row>
        <row r="414">
          <cell r="AP414">
            <v>6</v>
          </cell>
          <cell r="AQ414">
            <v>64224600</v>
          </cell>
        </row>
        <row r="415">
          <cell r="AP415" t="str">
            <v>-</v>
          </cell>
          <cell r="AQ415">
            <v>64224700</v>
          </cell>
        </row>
        <row r="416">
          <cell r="AP416">
            <v>1</v>
          </cell>
          <cell r="AQ416">
            <v>64224800</v>
          </cell>
        </row>
        <row r="417">
          <cell r="AP417" t="str">
            <v>-</v>
          </cell>
          <cell r="AQ417">
            <v>64224900</v>
          </cell>
        </row>
        <row r="418">
          <cell r="AP418">
            <v>1</v>
          </cell>
          <cell r="AQ418">
            <v>64225000</v>
          </cell>
        </row>
        <row r="419">
          <cell r="AP419" t="str">
            <v>-</v>
          </cell>
          <cell r="AQ419">
            <v>64225100</v>
          </cell>
        </row>
        <row r="420">
          <cell r="AP420" t="str">
            <v>-</v>
          </cell>
          <cell r="AQ420">
            <v>64225200</v>
          </cell>
        </row>
        <row r="421">
          <cell r="AP421" t="str">
            <v>-</v>
          </cell>
          <cell r="AQ421">
            <v>64225300</v>
          </cell>
        </row>
        <row r="422">
          <cell r="AP422" t="str">
            <v>-</v>
          </cell>
          <cell r="AQ422">
            <v>64225400</v>
          </cell>
        </row>
        <row r="423">
          <cell r="AP423" t="str">
            <v>-</v>
          </cell>
          <cell r="AQ423">
            <v>64225600</v>
          </cell>
        </row>
        <row r="424">
          <cell r="AP424">
            <v>1</v>
          </cell>
          <cell r="AQ424">
            <v>64225700</v>
          </cell>
        </row>
        <row r="425">
          <cell r="AP425" t="str">
            <v>-</v>
          </cell>
          <cell r="AQ425">
            <v>64225800</v>
          </cell>
        </row>
        <row r="426">
          <cell r="AP426" t="str">
            <v>-</v>
          </cell>
          <cell r="AQ426">
            <v>64225900</v>
          </cell>
        </row>
        <row r="427">
          <cell r="AP427">
            <v>1</v>
          </cell>
          <cell r="AQ427">
            <v>64226000</v>
          </cell>
        </row>
        <row r="428">
          <cell r="AP428" t="str">
            <v>-</v>
          </cell>
          <cell r="AQ428">
            <v>64226100</v>
          </cell>
        </row>
        <row r="429">
          <cell r="AP429" t="str">
            <v>-</v>
          </cell>
          <cell r="AQ429">
            <v>64226200</v>
          </cell>
        </row>
        <row r="430">
          <cell r="AP430" t="str">
            <v>-</v>
          </cell>
          <cell r="AQ430">
            <v>64226300</v>
          </cell>
        </row>
        <row r="431">
          <cell r="AP431" t="str">
            <v>-</v>
          </cell>
          <cell r="AQ431">
            <v>64226400</v>
          </cell>
        </row>
        <row r="432">
          <cell r="AP432" t="str">
            <v>-</v>
          </cell>
          <cell r="AQ432">
            <v>64226500</v>
          </cell>
        </row>
        <row r="433">
          <cell r="AP433" t="str">
            <v>-</v>
          </cell>
          <cell r="AQ433">
            <v>64226600</v>
          </cell>
        </row>
        <row r="434">
          <cell r="AP434">
            <v>2</v>
          </cell>
          <cell r="AQ434">
            <v>64231000</v>
          </cell>
        </row>
        <row r="435">
          <cell r="AP435" t="str">
            <v>-</v>
          </cell>
          <cell r="AQ435">
            <v>64231100</v>
          </cell>
        </row>
        <row r="436">
          <cell r="AP436" t="str">
            <v>-</v>
          </cell>
          <cell r="AQ436">
            <v>64231200</v>
          </cell>
        </row>
        <row r="437">
          <cell r="AP437">
            <v>1</v>
          </cell>
          <cell r="AQ437">
            <v>64240100</v>
          </cell>
        </row>
        <row r="438">
          <cell r="AP438">
            <v>1</v>
          </cell>
          <cell r="AQ438">
            <v>64240200</v>
          </cell>
        </row>
        <row r="439">
          <cell r="AP439" t="str">
            <v>-</v>
          </cell>
          <cell r="AQ439">
            <v>64240300</v>
          </cell>
        </row>
        <row r="440">
          <cell r="AP440">
            <v>10</v>
          </cell>
          <cell r="AQ440">
            <v>64260300</v>
          </cell>
        </row>
        <row r="441">
          <cell r="AP441">
            <v>1</v>
          </cell>
          <cell r="AQ441">
            <v>64270000</v>
          </cell>
        </row>
        <row r="442">
          <cell r="AP442">
            <v>1</v>
          </cell>
          <cell r="AQ442">
            <v>64270100</v>
          </cell>
        </row>
        <row r="443">
          <cell r="AP443">
            <v>1</v>
          </cell>
          <cell r="AQ443">
            <v>64270200</v>
          </cell>
        </row>
        <row r="444">
          <cell r="AP444">
            <v>1</v>
          </cell>
          <cell r="AQ444">
            <v>64280000</v>
          </cell>
        </row>
        <row r="445">
          <cell r="AP445" t="str">
            <v>-</v>
          </cell>
          <cell r="AQ445">
            <v>64280100</v>
          </cell>
        </row>
        <row r="446">
          <cell r="AP446" t="str">
            <v>-</v>
          </cell>
          <cell r="AQ446">
            <v>64280300</v>
          </cell>
        </row>
        <row r="447">
          <cell r="AP447" t="str">
            <v>-</v>
          </cell>
          <cell r="AQ447">
            <v>64280500</v>
          </cell>
        </row>
        <row r="448">
          <cell r="AP448" t="str">
            <v>-</v>
          </cell>
          <cell r="AQ448">
            <v>64280700</v>
          </cell>
        </row>
        <row r="449">
          <cell r="AP449" t="str">
            <v>-</v>
          </cell>
          <cell r="AQ449">
            <v>64280800</v>
          </cell>
        </row>
        <row r="450">
          <cell r="AP450">
            <v>9</v>
          </cell>
          <cell r="AQ450">
            <v>64280900</v>
          </cell>
        </row>
        <row r="451">
          <cell r="AP451" t="str">
            <v>-</v>
          </cell>
          <cell r="AQ451">
            <v>64281000</v>
          </cell>
        </row>
        <row r="452">
          <cell r="AP452">
            <v>5</v>
          </cell>
          <cell r="AQ452">
            <v>64281100</v>
          </cell>
        </row>
        <row r="453">
          <cell r="AP453">
            <v>1</v>
          </cell>
          <cell r="AQ453">
            <v>64281700</v>
          </cell>
        </row>
        <row r="454">
          <cell r="AP454">
            <v>1</v>
          </cell>
          <cell r="AQ454">
            <v>64281900</v>
          </cell>
        </row>
        <row r="455">
          <cell r="AP455" t="str">
            <v>-</v>
          </cell>
          <cell r="AQ455">
            <v>64282000</v>
          </cell>
        </row>
        <row r="456">
          <cell r="AP456" t="str">
            <v>-</v>
          </cell>
          <cell r="AQ456">
            <v>64282200</v>
          </cell>
        </row>
        <row r="457">
          <cell r="AP457" t="str">
            <v>-</v>
          </cell>
          <cell r="AQ457">
            <v>64282300</v>
          </cell>
        </row>
        <row r="458">
          <cell r="AP458" t="str">
            <v>-</v>
          </cell>
          <cell r="AQ458">
            <v>64291000</v>
          </cell>
        </row>
        <row r="459">
          <cell r="AP459" t="str">
            <v>-</v>
          </cell>
          <cell r="AQ459">
            <v>64291100</v>
          </cell>
        </row>
        <row r="460">
          <cell r="AP460" t="str">
            <v>-</v>
          </cell>
          <cell r="AQ460">
            <v>64400100</v>
          </cell>
        </row>
        <row r="461">
          <cell r="AP461" t="str">
            <v>-</v>
          </cell>
          <cell r="AQ461">
            <v>64400200</v>
          </cell>
        </row>
        <row r="462">
          <cell r="AP462" t="str">
            <v>-</v>
          </cell>
          <cell r="AQ462">
            <v>64400300</v>
          </cell>
        </row>
        <row r="463">
          <cell r="AP463" t="str">
            <v>-</v>
          </cell>
          <cell r="AQ463">
            <v>64402000</v>
          </cell>
        </row>
        <row r="464">
          <cell r="AP464" t="str">
            <v>-</v>
          </cell>
          <cell r="AQ464">
            <v>64410100</v>
          </cell>
        </row>
        <row r="465">
          <cell r="AP465">
            <v>1</v>
          </cell>
          <cell r="AQ465">
            <v>64410200</v>
          </cell>
        </row>
        <row r="466">
          <cell r="AP466" t="str">
            <v>-</v>
          </cell>
          <cell r="AQ466">
            <v>65040300</v>
          </cell>
        </row>
        <row r="467">
          <cell r="AP467" t="str">
            <v>-</v>
          </cell>
          <cell r="AQ467">
            <v>65040400</v>
          </cell>
        </row>
        <row r="468">
          <cell r="AP468" t="str">
            <v>-</v>
          </cell>
          <cell r="AQ468">
            <v>65040500</v>
          </cell>
        </row>
        <row r="469">
          <cell r="AP469" t="str">
            <v>-</v>
          </cell>
          <cell r="AQ469">
            <v>65050000</v>
          </cell>
        </row>
        <row r="470">
          <cell r="AP470" t="str">
            <v>-</v>
          </cell>
          <cell r="AQ470">
            <v>65050100</v>
          </cell>
        </row>
        <row r="471">
          <cell r="AP471" t="str">
            <v>-</v>
          </cell>
          <cell r="AQ471">
            <v>65050200</v>
          </cell>
        </row>
        <row r="472">
          <cell r="AP472" t="str">
            <v>-</v>
          </cell>
          <cell r="AQ472">
            <v>65050300</v>
          </cell>
        </row>
        <row r="473">
          <cell r="AP473" t="str">
            <v>-</v>
          </cell>
          <cell r="AQ473">
            <v>65050400</v>
          </cell>
        </row>
        <row r="474">
          <cell r="AP474">
            <v>8</v>
          </cell>
          <cell r="AQ474">
            <v>65050500</v>
          </cell>
        </row>
        <row r="475">
          <cell r="AP475" t="str">
            <v>-</v>
          </cell>
          <cell r="AQ475">
            <v>65101200</v>
          </cell>
        </row>
        <row r="476">
          <cell r="AP476" t="str">
            <v>-</v>
          </cell>
          <cell r="AQ476">
            <v>65101800</v>
          </cell>
        </row>
        <row r="477">
          <cell r="AP477" t="str">
            <v>-</v>
          </cell>
          <cell r="AQ477">
            <v>65101900</v>
          </cell>
        </row>
        <row r="478">
          <cell r="AP478" t="str">
            <v>-</v>
          </cell>
          <cell r="AQ478">
            <v>65102200</v>
          </cell>
        </row>
        <row r="479">
          <cell r="AP479">
            <v>4</v>
          </cell>
          <cell r="AQ479">
            <v>65102300</v>
          </cell>
        </row>
        <row r="480">
          <cell r="AP480">
            <v>4</v>
          </cell>
          <cell r="AQ480">
            <v>65102400</v>
          </cell>
        </row>
        <row r="481">
          <cell r="AP481">
            <v>4</v>
          </cell>
          <cell r="AQ481">
            <v>65102700</v>
          </cell>
        </row>
        <row r="482">
          <cell r="AP482" t="str">
            <v>-</v>
          </cell>
          <cell r="AQ482">
            <v>65102900</v>
          </cell>
        </row>
        <row r="483">
          <cell r="AP483">
            <v>1</v>
          </cell>
          <cell r="AQ483">
            <v>65104000</v>
          </cell>
        </row>
        <row r="484">
          <cell r="AP484">
            <v>1</v>
          </cell>
          <cell r="AQ484">
            <v>65104200</v>
          </cell>
        </row>
        <row r="485">
          <cell r="AP485" t="str">
            <v>-</v>
          </cell>
          <cell r="AQ485">
            <v>65105200</v>
          </cell>
        </row>
        <row r="486">
          <cell r="AP486">
            <v>4</v>
          </cell>
          <cell r="AQ486">
            <v>65105300</v>
          </cell>
        </row>
        <row r="487">
          <cell r="AP487">
            <v>1</v>
          </cell>
          <cell r="AQ487">
            <v>65106000</v>
          </cell>
        </row>
        <row r="488">
          <cell r="AP488" t="str">
            <v>-</v>
          </cell>
          <cell r="AQ488">
            <v>65106100</v>
          </cell>
        </row>
        <row r="489">
          <cell r="AP489">
            <v>1</v>
          </cell>
          <cell r="AQ489">
            <v>65106400</v>
          </cell>
        </row>
        <row r="490">
          <cell r="AP490">
            <v>1</v>
          </cell>
          <cell r="AQ490">
            <v>65106900</v>
          </cell>
        </row>
        <row r="491">
          <cell r="AP491" t="str">
            <v>-</v>
          </cell>
          <cell r="AQ491">
            <v>65107200</v>
          </cell>
        </row>
        <row r="492">
          <cell r="AP492" t="str">
            <v>-</v>
          </cell>
          <cell r="AQ492">
            <v>65107300</v>
          </cell>
        </row>
        <row r="493">
          <cell r="AP493">
            <v>1</v>
          </cell>
          <cell r="AQ493">
            <v>65107400</v>
          </cell>
        </row>
        <row r="494">
          <cell r="AP494" t="str">
            <v>-</v>
          </cell>
          <cell r="AQ494">
            <v>65107500</v>
          </cell>
        </row>
        <row r="495">
          <cell r="AP495" t="str">
            <v>-</v>
          </cell>
          <cell r="AQ495">
            <v>65107600</v>
          </cell>
        </row>
        <row r="496">
          <cell r="AP496">
            <v>4</v>
          </cell>
          <cell r="AQ496">
            <v>65107700</v>
          </cell>
        </row>
        <row r="497">
          <cell r="AP497" t="str">
            <v>-</v>
          </cell>
          <cell r="AQ497">
            <v>65107800</v>
          </cell>
        </row>
        <row r="498">
          <cell r="AP498">
            <v>4</v>
          </cell>
          <cell r="AQ498">
            <v>65107900</v>
          </cell>
        </row>
        <row r="499">
          <cell r="AP499">
            <v>4</v>
          </cell>
          <cell r="AQ499">
            <v>65108100</v>
          </cell>
        </row>
        <row r="500">
          <cell r="AP500" t="str">
            <v>-</v>
          </cell>
          <cell r="AQ500">
            <v>65108200</v>
          </cell>
        </row>
        <row r="501">
          <cell r="AP501">
            <v>4</v>
          </cell>
          <cell r="AQ501">
            <v>65108300</v>
          </cell>
        </row>
        <row r="502">
          <cell r="AP502" t="str">
            <v>-</v>
          </cell>
          <cell r="AQ502">
            <v>65108400</v>
          </cell>
        </row>
        <row r="503">
          <cell r="AP503">
            <v>4</v>
          </cell>
          <cell r="AQ503">
            <v>65108500</v>
          </cell>
        </row>
        <row r="504">
          <cell r="AP504">
            <v>1</v>
          </cell>
          <cell r="AQ504">
            <v>65110600</v>
          </cell>
        </row>
        <row r="505">
          <cell r="AP505">
            <v>4</v>
          </cell>
          <cell r="AQ505">
            <v>65120200</v>
          </cell>
        </row>
        <row r="506">
          <cell r="AP506" t="str">
            <v>-</v>
          </cell>
          <cell r="AQ506">
            <v>65120400</v>
          </cell>
        </row>
        <row r="507">
          <cell r="AP507">
            <v>4</v>
          </cell>
          <cell r="AQ507">
            <v>65125000</v>
          </cell>
        </row>
        <row r="508">
          <cell r="AP508">
            <v>3</v>
          </cell>
          <cell r="AQ508">
            <v>65125400</v>
          </cell>
        </row>
        <row r="509">
          <cell r="AP509" t="str">
            <v>-</v>
          </cell>
          <cell r="AQ509">
            <v>65125700</v>
          </cell>
        </row>
        <row r="510">
          <cell r="AP510">
            <v>4</v>
          </cell>
          <cell r="AQ510">
            <v>65126200</v>
          </cell>
        </row>
        <row r="511">
          <cell r="AP511">
            <v>4</v>
          </cell>
          <cell r="AQ511">
            <v>65126400</v>
          </cell>
        </row>
        <row r="512">
          <cell r="AP512">
            <v>1</v>
          </cell>
          <cell r="AQ512">
            <v>65130000</v>
          </cell>
        </row>
        <row r="513">
          <cell r="AP513">
            <v>1</v>
          </cell>
          <cell r="AQ513">
            <v>65130200</v>
          </cell>
        </row>
        <row r="514">
          <cell r="AP514">
            <v>1</v>
          </cell>
          <cell r="AQ514">
            <v>65130300</v>
          </cell>
        </row>
        <row r="515">
          <cell r="AP515">
            <v>1</v>
          </cell>
          <cell r="AQ515">
            <v>65130400</v>
          </cell>
        </row>
        <row r="516">
          <cell r="AP516">
            <v>1</v>
          </cell>
          <cell r="AQ516">
            <v>65130500</v>
          </cell>
        </row>
        <row r="517">
          <cell r="AP517">
            <v>1</v>
          </cell>
          <cell r="AQ517">
            <v>65130600</v>
          </cell>
        </row>
        <row r="518">
          <cell r="AP518">
            <v>4</v>
          </cell>
          <cell r="AQ518">
            <v>65131100</v>
          </cell>
        </row>
        <row r="519">
          <cell r="AP519">
            <v>4</v>
          </cell>
          <cell r="AQ519">
            <v>65131300</v>
          </cell>
        </row>
        <row r="520">
          <cell r="AP520">
            <v>4</v>
          </cell>
          <cell r="AQ520">
            <v>65132600</v>
          </cell>
        </row>
        <row r="521">
          <cell r="AP521">
            <v>4</v>
          </cell>
          <cell r="AQ521">
            <v>65132700</v>
          </cell>
        </row>
        <row r="522">
          <cell r="AP522">
            <v>4</v>
          </cell>
          <cell r="AQ522">
            <v>65132800</v>
          </cell>
        </row>
        <row r="523">
          <cell r="AP523">
            <v>4</v>
          </cell>
          <cell r="AQ523">
            <v>65132900</v>
          </cell>
        </row>
        <row r="524">
          <cell r="AP524">
            <v>4</v>
          </cell>
          <cell r="AQ524">
            <v>65133100</v>
          </cell>
        </row>
        <row r="525">
          <cell r="AP525">
            <v>4</v>
          </cell>
          <cell r="AQ525">
            <v>65134000</v>
          </cell>
        </row>
        <row r="526">
          <cell r="AP526" t="str">
            <v>-</v>
          </cell>
          <cell r="AQ526">
            <v>65140600</v>
          </cell>
        </row>
        <row r="527">
          <cell r="AP527" t="str">
            <v>-</v>
          </cell>
          <cell r="AQ527">
            <v>65141000</v>
          </cell>
        </row>
        <row r="528">
          <cell r="AP528" t="str">
            <v>-</v>
          </cell>
          <cell r="AQ528">
            <v>65150000</v>
          </cell>
        </row>
        <row r="529">
          <cell r="AP529" t="str">
            <v>-</v>
          </cell>
          <cell r="AQ529">
            <v>65150100</v>
          </cell>
        </row>
        <row r="530">
          <cell r="AP530" t="str">
            <v>-</v>
          </cell>
          <cell r="AQ530">
            <v>65150200</v>
          </cell>
        </row>
        <row r="531">
          <cell r="AP531" t="str">
            <v>-</v>
          </cell>
          <cell r="AQ531">
            <v>65150700</v>
          </cell>
        </row>
        <row r="532">
          <cell r="AP532" t="str">
            <v>-</v>
          </cell>
          <cell r="AQ532">
            <v>65150900</v>
          </cell>
        </row>
        <row r="533">
          <cell r="AP533" t="str">
            <v>-</v>
          </cell>
          <cell r="AQ533">
            <v>65151200</v>
          </cell>
        </row>
        <row r="534">
          <cell r="AP534">
            <v>1</v>
          </cell>
          <cell r="AQ534">
            <v>65151300</v>
          </cell>
        </row>
        <row r="535">
          <cell r="AP535" t="str">
            <v>-</v>
          </cell>
          <cell r="AQ535">
            <v>65151500</v>
          </cell>
        </row>
        <row r="536">
          <cell r="AP536" t="str">
            <v>-</v>
          </cell>
          <cell r="AQ536">
            <v>65151600</v>
          </cell>
        </row>
        <row r="537">
          <cell r="AP537" t="str">
            <v>-</v>
          </cell>
          <cell r="AQ537">
            <v>65300100</v>
          </cell>
        </row>
        <row r="538">
          <cell r="AP538" t="str">
            <v>-</v>
          </cell>
          <cell r="AQ538">
            <v>65300600</v>
          </cell>
        </row>
        <row r="539">
          <cell r="AP539">
            <v>1</v>
          </cell>
          <cell r="AQ539">
            <v>65420000</v>
          </cell>
        </row>
        <row r="540">
          <cell r="AP540" t="str">
            <v>-</v>
          </cell>
          <cell r="AQ540">
            <v>65420100</v>
          </cell>
        </row>
        <row r="541">
          <cell r="AP541" t="str">
            <v>-</v>
          </cell>
          <cell r="AQ541">
            <v>65420200</v>
          </cell>
        </row>
        <row r="542">
          <cell r="AP542" t="str">
            <v>-</v>
          </cell>
          <cell r="AQ542">
            <v>65701500</v>
          </cell>
        </row>
        <row r="543">
          <cell r="AP543" t="str">
            <v>-</v>
          </cell>
          <cell r="AQ543">
            <v>65701600</v>
          </cell>
        </row>
        <row r="544">
          <cell r="AP544" t="str">
            <v>-</v>
          </cell>
          <cell r="AQ544">
            <v>65701700</v>
          </cell>
        </row>
        <row r="545">
          <cell r="AP545" t="str">
            <v>-</v>
          </cell>
          <cell r="AQ545">
            <v>65701800</v>
          </cell>
        </row>
        <row r="546">
          <cell r="AP546" t="str">
            <v>-</v>
          </cell>
          <cell r="AQ546">
            <v>65701900</v>
          </cell>
        </row>
        <row r="547">
          <cell r="AP547" t="str">
            <v>-</v>
          </cell>
          <cell r="AQ547">
            <v>65704300</v>
          </cell>
        </row>
        <row r="548">
          <cell r="AP548" t="str">
            <v>-</v>
          </cell>
          <cell r="AQ548">
            <v>65704400</v>
          </cell>
        </row>
        <row r="549">
          <cell r="AP549" t="str">
            <v>-</v>
          </cell>
          <cell r="AQ549">
            <v>65704500</v>
          </cell>
        </row>
        <row r="550">
          <cell r="AP550" t="str">
            <v>-</v>
          </cell>
          <cell r="AQ550">
            <v>65704600</v>
          </cell>
        </row>
        <row r="551">
          <cell r="AP551" t="str">
            <v>-</v>
          </cell>
          <cell r="AQ551">
            <v>65704700</v>
          </cell>
        </row>
        <row r="552">
          <cell r="AP552" t="str">
            <v>-</v>
          </cell>
          <cell r="AQ552">
            <v>65704700</v>
          </cell>
        </row>
        <row r="553">
          <cell r="AP553" t="str">
            <v>-</v>
          </cell>
          <cell r="AQ553">
            <v>65704900</v>
          </cell>
        </row>
        <row r="554">
          <cell r="AP554" t="str">
            <v>-</v>
          </cell>
          <cell r="AQ554">
            <v>65705000</v>
          </cell>
        </row>
        <row r="555">
          <cell r="AP555" t="str">
            <v>-</v>
          </cell>
          <cell r="AQ555">
            <v>65900300</v>
          </cell>
        </row>
        <row r="556">
          <cell r="AP556" t="str">
            <v>-</v>
          </cell>
          <cell r="AQ556">
            <v>65900400</v>
          </cell>
        </row>
        <row r="557">
          <cell r="AP557" t="str">
            <v>-</v>
          </cell>
          <cell r="AQ557">
            <v>65900500</v>
          </cell>
        </row>
        <row r="558">
          <cell r="AP558" t="str">
            <v>-</v>
          </cell>
          <cell r="AQ558">
            <v>65910000</v>
          </cell>
        </row>
        <row r="559">
          <cell r="AP559" t="str">
            <v>-</v>
          </cell>
          <cell r="AQ559">
            <v>66000100</v>
          </cell>
        </row>
        <row r="560">
          <cell r="AP560" t="str">
            <v>-</v>
          </cell>
          <cell r="AQ560">
            <v>66000200</v>
          </cell>
        </row>
        <row r="561">
          <cell r="AP561" t="str">
            <v>-</v>
          </cell>
          <cell r="AQ561">
            <v>66200100</v>
          </cell>
        </row>
        <row r="562">
          <cell r="AP562" t="str">
            <v>-</v>
          </cell>
          <cell r="AQ562">
            <v>66700000</v>
          </cell>
        </row>
        <row r="563">
          <cell r="AP563" t="str">
            <v>-</v>
          </cell>
          <cell r="AQ563">
            <v>66700100</v>
          </cell>
        </row>
        <row r="564">
          <cell r="AP564" t="str">
            <v>-</v>
          </cell>
          <cell r="AQ564">
            <v>66700200</v>
          </cell>
        </row>
        <row r="565">
          <cell r="AP565" t="str">
            <v>-</v>
          </cell>
          <cell r="AQ565">
            <v>66700300</v>
          </cell>
        </row>
        <row r="566">
          <cell r="AP566" t="str">
            <v>-</v>
          </cell>
          <cell r="AQ566">
            <v>66700400</v>
          </cell>
        </row>
        <row r="567">
          <cell r="AP567" t="str">
            <v>-</v>
          </cell>
          <cell r="AQ567">
            <v>66700500</v>
          </cell>
        </row>
        <row r="568">
          <cell r="AP568" t="str">
            <v>-</v>
          </cell>
          <cell r="AQ568">
            <v>66700600</v>
          </cell>
        </row>
        <row r="569">
          <cell r="AP569" t="str">
            <v>-</v>
          </cell>
          <cell r="AQ569">
            <v>66700700</v>
          </cell>
        </row>
        <row r="570">
          <cell r="AP570">
            <v>1</v>
          </cell>
          <cell r="AQ570">
            <v>66700800</v>
          </cell>
        </row>
        <row r="571">
          <cell r="AP571" t="str">
            <v>-</v>
          </cell>
          <cell r="AQ571">
            <v>66700900</v>
          </cell>
        </row>
        <row r="572">
          <cell r="AP572">
            <v>1</v>
          </cell>
          <cell r="AQ572">
            <v>66701000</v>
          </cell>
        </row>
        <row r="573">
          <cell r="AP573" t="str">
            <v>-</v>
          </cell>
          <cell r="AQ573">
            <v>66800100</v>
          </cell>
        </row>
        <row r="574">
          <cell r="AP574">
            <v>1</v>
          </cell>
          <cell r="AQ574">
            <v>66800200</v>
          </cell>
        </row>
        <row r="575">
          <cell r="AP575">
            <v>1</v>
          </cell>
          <cell r="AQ575">
            <v>66800300</v>
          </cell>
        </row>
        <row r="576">
          <cell r="AP576" t="str">
            <v>-</v>
          </cell>
          <cell r="AQ576">
            <v>66800400</v>
          </cell>
        </row>
        <row r="577">
          <cell r="AP577" t="str">
            <v>-</v>
          </cell>
          <cell r="AQ577">
            <v>66800500</v>
          </cell>
        </row>
        <row r="578">
          <cell r="AP578" t="str">
            <v>-</v>
          </cell>
          <cell r="AQ578">
            <v>66800600</v>
          </cell>
        </row>
        <row r="579">
          <cell r="AP579" t="str">
            <v>-</v>
          </cell>
          <cell r="AQ579">
            <v>66800700</v>
          </cell>
        </row>
        <row r="580">
          <cell r="AP580" t="str">
            <v>-</v>
          </cell>
          <cell r="AQ580">
            <v>66800800</v>
          </cell>
        </row>
        <row r="581">
          <cell r="AP581">
            <v>1</v>
          </cell>
          <cell r="AQ581">
            <v>66800900</v>
          </cell>
        </row>
        <row r="582">
          <cell r="AP582" t="str">
            <v>-</v>
          </cell>
          <cell r="AQ582">
            <v>66801000</v>
          </cell>
        </row>
        <row r="583">
          <cell r="AP583" t="str">
            <v>-</v>
          </cell>
          <cell r="AQ583">
            <v>66801100</v>
          </cell>
        </row>
        <row r="584">
          <cell r="AP584">
            <v>1</v>
          </cell>
          <cell r="AQ584">
            <v>66801200</v>
          </cell>
        </row>
        <row r="585">
          <cell r="AP585">
            <v>1</v>
          </cell>
          <cell r="AQ585">
            <v>66801300</v>
          </cell>
        </row>
        <row r="586">
          <cell r="AP586">
            <v>1</v>
          </cell>
          <cell r="AQ586">
            <v>66801300</v>
          </cell>
        </row>
        <row r="587">
          <cell r="AP587" t="str">
            <v>-</v>
          </cell>
          <cell r="AQ587">
            <v>66801300</v>
          </cell>
        </row>
        <row r="588">
          <cell r="AP588" t="str">
            <v>-</v>
          </cell>
          <cell r="AQ588">
            <v>66801400</v>
          </cell>
        </row>
        <row r="589">
          <cell r="AP589" t="str">
            <v>-</v>
          </cell>
          <cell r="AQ589">
            <v>66801500</v>
          </cell>
        </row>
        <row r="590">
          <cell r="AP590" t="str">
            <v>-</v>
          </cell>
          <cell r="AQ590">
            <v>66801600</v>
          </cell>
        </row>
        <row r="591">
          <cell r="AP591" t="str">
            <v>-</v>
          </cell>
          <cell r="AQ591">
            <v>66801700</v>
          </cell>
        </row>
        <row r="592">
          <cell r="AP592" t="str">
            <v>-</v>
          </cell>
          <cell r="AQ592">
            <v>66801800</v>
          </cell>
        </row>
        <row r="593">
          <cell r="AP593">
            <v>1</v>
          </cell>
          <cell r="AQ593">
            <v>66810200</v>
          </cell>
        </row>
        <row r="594">
          <cell r="AP594" t="str">
            <v>-</v>
          </cell>
          <cell r="AQ594">
            <v>66810300</v>
          </cell>
        </row>
        <row r="595">
          <cell r="AP595" t="str">
            <v>-</v>
          </cell>
          <cell r="AQ595">
            <v>66810400</v>
          </cell>
        </row>
        <row r="596">
          <cell r="AP596" t="str">
            <v>-</v>
          </cell>
          <cell r="AQ596">
            <v>66810600</v>
          </cell>
        </row>
        <row r="597">
          <cell r="AP597" t="str">
            <v>-</v>
          </cell>
          <cell r="AQ597">
            <v>66810700</v>
          </cell>
        </row>
        <row r="598">
          <cell r="AP598">
            <v>1</v>
          </cell>
          <cell r="AQ598">
            <v>66801900</v>
          </cell>
        </row>
        <row r="599">
          <cell r="AP599" t="str">
            <v>-</v>
          </cell>
          <cell r="AQ599">
            <v>66810800</v>
          </cell>
        </row>
        <row r="600">
          <cell r="AP600" t="str">
            <v>-</v>
          </cell>
          <cell r="AQ600">
            <v>66810900</v>
          </cell>
        </row>
        <row r="601">
          <cell r="AP601" t="str">
            <v>-</v>
          </cell>
          <cell r="AQ601">
            <v>66811000</v>
          </cell>
        </row>
        <row r="602">
          <cell r="AP602" t="str">
            <v>-</v>
          </cell>
          <cell r="AQ602">
            <v>66811100</v>
          </cell>
        </row>
        <row r="603">
          <cell r="AP603" t="str">
            <v>-</v>
          </cell>
          <cell r="AQ603">
            <v>66811200</v>
          </cell>
        </row>
        <row r="604">
          <cell r="AP604" t="str">
            <v>-</v>
          </cell>
          <cell r="AQ604">
            <v>66811300</v>
          </cell>
        </row>
        <row r="605">
          <cell r="AP605" t="str">
            <v>-</v>
          </cell>
          <cell r="AQ605">
            <v>66811400</v>
          </cell>
        </row>
        <row r="606">
          <cell r="AP606" t="str">
            <v>-</v>
          </cell>
          <cell r="AQ606">
            <v>66811500</v>
          </cell>
        </row>
        <row r="607">
          <cell r="AP607" t="str">
            <v>-</v>
          </cell>
          <cell r="AQ607">
            <v>66811600</v>
          </cell>
        </row>
        <row r="608">
          <cell r="AP608" t="str">
            <v>-</v>
          </cell>
          <cell r="AQ608">
            <v>66811700</v>
          </cell>
        </row>
        <row r="609">
          <cell r="AP609" t="str">
            <v>-</v>
          </cell>
          <cell r="AQ609">
            <v>66811800</v>
          </cell>
        </row>
        <row r="610">
          <cell r="AP610" t="str">
            <v>-</v>
          </cell>
          <cell r="AQ610">
            <v>66820100</v>
          </cell>
        </row>
        <row r="611">
          <cell r="AP611" t="str">
            <v>-</v>
          </cell>
          <cell r="AQ611">
            <v>66820200</v>
          </cell>
        </row>
        <row r="612">
          <cell r="AP612" t="str">
            <v>-</v>
          </cell>
          <cell r="AQ612">
            <v>66820300</v>
          </cell>
        </row>
        <row r="613">
          <cell r="AP613" t="str">
            <v>-</v>
          </cell>
          <cell r="AQ613">
            <v>66820400</v>
          </cell>
        </row>
        <row r="614">
          <cell r="AP614" t="str">
            <v>-</v>
          </cell>
          <cell r="AQ614">
            <v>66820500</v>
          </cell>
        </row>
        <row r="615">
          <cell r="AP615" t="str">
            <v>-</v>
          </cell>
          <cell r="AQ615">
            <v>66820600</v>
          </cell>
        </row>
        <row r="616">
          <cell r="AP616" t="str">
            <v>-</v>
          </cell>
          <cell r="AQ616">
            <v>66820700</v>
          </cell>
        </row>
        <row r="617">
          <cell r="AP617" t="str">
            <v>-</v>
          </cell>
          <cell r="AQ617">
            <v>66820800</v>
          </cell>
        </row>
        <row r="618">
          <cell r="AP618" t="str">
            <v>-</v>
          </cell>
          <cell r="AQ618">
            <v>66820900</v>
          </cell>
        </row>
        <row r="619">
          <cell r="AP619" t="str">
            <v>-</v>
          </cell>
          <cell r="AQ619">
            <v>66821000</v>
          </cell>
        </row>
        <row r="620">
          <cell r="AP620" t="str">
            <v>-</v>
          </cell>
          <cell r="AQ620">
            <v>66900100</v>
          </cell>
        </row>
        <row r="621">
          <cell r="AP621" t="str">
            <v>-</v>
          </cell>
          <cell r="AQ621">
            <v>66900200</v>
          </cell>
        </row>
        <row r="622">
          <cell r="AP622" t="str">
            <v>-</v>
          </cell>
          <cell r="AQ622">
            <v>66900300</v>
          </cell>
        </row>
        <row r="623">
          <cell r="AP623" t="str">
            <v>-</v>
          </cell>
          <cell r="AQ623">
            <v>66900400</v>
          </cell>
        </row>
        <row r="624">
          <cell r="AP624" t="str">
            <v>-</v>
          </cell>
          <cell r="AQ624">
            <v>66900500</v>
          </cell>
        </row>
        <row r="625">
          <cell r="AP625" t="str">
            <v>-</v>
          </cell>
          <cell r="AQ625">
            <v>66900600</v>
          </cell>
        </row>
        <row r="626">
          <cell r="AP626" t="str">
            <v>-</v>
          </cell>
          <cell r="AQ626">
            <v>66900700</v>
          </cell>
        </row>
        <row r="627">
          <cell r="AP627" t="str">
            <v>-</v>
          </cell>
          <cell r="AQ627">
            <v>66900800</v>
          </cell>
        </row>
        <row r="628">
          <cell r="AP628" t="str">
            <v>-</v>
          </cell>
          <cell r="AQ628">
            <v>66900900</v>
          </cell>
        </row>
        <row r="629">
          <cell r="AP629" t="str">
            <v>-</v>
          </cell>
          <cell r="AQ629">
            <v>66901000</v>
          </cell>
        </row>
        <row r="630">
          <cell r="AP630" t="str">
            <v>-</v>
          </cell>
          <cell r="AQ630">
            <v>66901100</v>
          </cell>
        </row>
        <row r="631">
          <cell r="AP631" t="str">
            <v>-</v>
          </cell>
          <cell r="AQ631">
            <v>66901200</v>
          </cell>
        </row>
        <row r="632">
          <cell r="AP632">
            <v>1</v>
          </cell>
          <cell r="AQ632">
            <v>67100100</v>
          </cell>
        </row>
        <row r="633">
          <cell r="AP633">
            <v>1</v>
          </cell>
          <cell r="AQ633">
            <v>63110700</v>
          </cell>
        </row>
        <row r="634">
          <cell r="AP634">
            <v>1</v>
          </cell>
          <cell r="AQ634">
            <v>63110800</v>
          </cell>
        </row>
        <row r="635">
          <cell r="AP635" t="str">
            <v>-</v>
          </cell>
          <cell r="AQ635">
            <v>63936500</v>
          </cell>
        </row>
        <row r="636">
          <cell r="AP636" t="str">
            <v>-</v>
          </cell>
          <cell r="AQ636">
            <v>63936600</v>
          </cell>
        </row>
        <row r="637">
          <cell r="AP637" t="str">
            <v>-</v>
          </cell>
          <cell r="AQ637">
            <v>66811900</v>
          </cell>
        </row>
        <row r="638">
          <cell r="AP638" t="str">
            <v>-</v>
          </cell>
          <cell r="AQ638">
            <v>66812000</v>
          </cell>
        </row>
        <row r="639">
          <cell r="AP639" t="str">
            <v>-</v>
          </cell>
          <cell r="AQ639">
            <v>66812100</v>
          </cell>
        </row>
        <row r="640">
          <cell r="AP640" t="str">
            <v>-</v>
          </cell>
          <cell r="AQ640">
            <v>66812200</v>
          </cell>
        </row>
        <row r="641">
          <cell r="AP641" t="str">
            <v>-</v>
          </cell>
          <cell r="AQ641">
            <v>66812300</v>
          </cell>
        </row>
        <row r="642">
          <cell r="AP642" t="str">
            <v>-</v>
          </cell>
          <cell r="AQ642">
            <v>66812400</v>
          </cell>
        </row>
        <row r="643">
          <cell r="AP643" t="str">
            <v>-</v>
          </cell>
          <cell r="AQ643">
            <v>66812500</v>
          </cell>
        </row>
        <row r="644">
          <cell r="AP644" t="str">
            <v>-</v>
          </cell>
          <cell r="AQ644">
            <v>63811100</v>
          </cell>
        </row>
        <row r="645">
          <cell r="AP645" t="str">
            <v>-</v>
          </cell>
          <cell r="AQ645">
            <v>63811200</v>
          </cell>
        </row>
        <row r="646">
          <cell r="AP646">
            <v>5</v>
          </cell>
          <cell r="AQ646">
            <v>63295100</v>
          </cell>
        </row>
        <row r="647">
          <cell r="AP647" t="str">
            <v>-</v>
          </cell>
          <cell r="AQ647">
            <v>63581400</v>
          </cell>
        </row>
        <row r="648">
          <cell r="AP648">
            <v>1</v>
          </cell>
          <cell r="AQ648">
            <v>63913400</v>
          </cell>
        </row>
        <row r="649">
          <cell r="AP649" t="str">
            <v>-</v>
          </cell>
          <cell r="AQ649">
            <v>66701100</v>
          </cell>
        </row>
        <row r="650">
          <cell r="AP650">
            <v>1</v>
          </cell>
          <cell r="AQ650">
            <v>63820200</v>
          </cell>
        </row>
        <row r="651">
          <cell r="AP651" t="str">
            <v>-</v>
          </cell>
          <cell r="AQ651">
            <v>61694200</v>
          </cell>
        </row>
        <row r="652">
          <cell r="AP652" t="str">
            <v>-</v>
          </cell>
          <cell r="AQ652">
            <v>64282400</v>
          </cell>
        </row>
        <row r="653">
          <cell r="AP653" t="str">
            <v>-</v>
          </cell>
          <cell r="AQ653">
            <v>61694100</v>
          </cell>
        </row>
        <row r="654">
          <cell r="AP654" t="str">
            <v>-</v>
          </cell>
          <cell r="AQ654">
            <v>61694000</v>
          </cell>
        </row>
        <row r="655">
          <cell r="AP655" t="str">
            <v>-</v>
          </cell>
          <cell r="AQ655">
            <v>64282100</v>
          </cell>
        </row>
        <row r="656">
          <cell r="AP656" t="str">
            <v>-</v>
          </cell>
          <cell r="AQ656">
            <v>65910100</v>
          </cell>
        </row>
        <row r="657">
          <cell r="AP657" t="str">
            <v>-</v>
          </cell>
          <cell r="AQ657">
            <v>65910200</v>
          </cell>
        </row>
        <row r="658">
          <cell r="AP658">
            <v>5</v>
          </cell>
          <cell r="AQ658">
            <v>63407600</v>
          </cell>
        </row>
        <row r="659">
          <cell r="AP659" t="str">
            <v>-</v>
          </cell>
          <cell r="AQ659">
            <v>65704800</v>
          </cell>
        </row>
        <row r="660">
          <cell r="AP660">
            <v>1</v>
          </cell>
          <cell r="AQ660">
            <v>63518900</v>
          </cell>
        </row>
        <row r="661">
          <cell r="AP661" t="str">
            <v>-</v>
          </cell>
          <cell r="AQ661">
            <v>6351900</v>
          </cell>
        </row>
        <row r="662">
          <cell r="AP662">
            <v>1</v>
          </cell>
          <cell r="AQ662">
            <v>63519100</v>
          </cell>
        </row>
        <row r="663">
          <cell r="AP663">
            <v>1</v>
          </cell>
          <cell r="AQ663">
            <v>63519200</v>
          </cell>
        </row>
        <row r="664">
          <cell r="AP664">
            <v>1</v>
          </cell>
          <cell r="AQ664">
            <v>63952800</v>
          </cell>
        </row>
        <row r="665">
          <cell r="AP665">
            <v>4</v>
          </cell>
          <cell r="AQ665">
            <v>63953500</v>
          </cell>
        </row>
        <row r="666">
          <cell r="AP666" t="str">
            <v>-</v>
          </cell>
          <cell r="AQ666">
            <v>63953600</v>
          </cell>
        </row>
        <row r="667">
          <cell r="AP667" t="str">
            <v>-</v>
          </cell>
          <cell r="AQ667">
            <v>65104300</v>
          </cell>
        </row>
        <row r="668">
          <cell r="AP668">
            <v>4</v>
          </cell>
          <cell r="AQ668">
            <v>65104400</v>
          </cell>
        </row>
        <row r="669">
          <cell r="AP669">
            <v>4</v>
          </cell>
          <cell r="AQ669">
            <v>63551200</v>
          </cell>
        </row>
        <row r="670">
          <cell r="AP670" t="str">
            <v>-</v>
          </cell>
          <cell r="AQ670">
            <v>63991200</v>
          </cell>
        </row>
        <row r="671">
          <cell r="AP671" t="str">
            <v>-</v>
          </cell>
          <cell r="AQ671">
            <v>64255000</v>
          </cell>
        </row>
        <row r="672">
          <cell r="AP672" t="str">
            <v>-</v>
          </cell>
          <cell r="AQ672">
            <v>64255100</v>
          </cell>
        </row>
        <row r="673">
          <cell r="AP673" t="str">
            <v>-</v>
          </cell>
          <cell r="AQ673">
            <v>64255200</v>
          </cell>
        </row>
        <row r="674">
          <cell r="AP674" t="str">
            <v>-</v>
          </cell>
          <cell r="AQ674">
            <v>63552100</v>
          </cell>
        </row>
        <row r="675">
          <cell r="AP675">
            <v>5</v>
          </cell>
          <cell r="AQ675">
            <v>63552000</v>
          </cell>
        </row>
        <row r="676">
          <cell r="AP676">
            <v>4</v>
          </cell>
          <cell r="AQ676">
            <v>65133000</v>
          </cell>
        </row>
        <row r="677">
          <cell r="AP677">
            <v>2</v>
          </cell>
          <cell r="AQ677">
            <v>67110100</v>
          </cell>
        </row>
        <row r="678">
          <cell r="AP678">
            <v>2</v>
          </cell>
          <cell r="AQ678">
            <v>67110200</v>
          </cell>
        </row>
        <row r="679">
          <cell r="AP679" t="str">
            <v>-</v>
          </cell>
          <cell r="AQ679">
            <v>63572100</v>
          </cell>
        </row>
        <row r="680">
          <cell r="AP680" t="str">
            <v>-</v>
          </cell>
          <cell r="AQ680">
            <v>63572200</v>
          </cell>
        </row>
        <row r="681">
          <cell r="AP681" t="str">
            <v>-</v>
          </cell>
          <cell r="AQ681">
            <v>63572300</v>
          </cell>
        </row>
        <row r="682">
          <cell r="AP682" t="str">
            <v>-</v>
          </cell>
          <cell r="AQ682">
            <v>63572400</v>
          </cell>
        </row>
        <row r="683">
          <cell r="AP683" t="str">
            <v>-</v>
          </cell>
          <cell r="AQ683">
            <v>63572500</v>
          </cell>
        </row>
        <row r="684">
          <cell r="AP684" t="str">
            <v>-</v>
          </cell>
          <cell r="AQ684">
            <v>63572600</v>
          </cell>
        </row>
        <row r="685">
          <cell r="AP685" t="str">
            <v>-</v>
          </cell>
          <cell r="AQ685">
            <v>63572700</v>
          </cell>
        </row>
        <row r="686">
          <cell r="AP686" t="str">
            <v>-</v>
          </cell>
          <cell r="AQ686">
            <v>63572800</v>
          </cell>
        </row>
        <row r="687">
          <cell r="AP687" t="str">
            <v>-</v>
          </cell>
          <cell r="AQ687">
            <v>63572900</v>
          </cell>
        </row>
        <row r="688">
          <cell r="AP688" t="str">
            <v>-</v>
          </cell>
          <cell r="AQ688">
            <v>63573000</v>
          </cell>
        </row>
        <row r="689">
          <cell r="AP689" t="str">
            <v>-</v>
          </cell>
          <cell r="AQ689">
            <v>63573200</v>
          </cell>
        </row>
        <row r="690">
          <cell r="AP690" t="str">
            <v>-</v>
          </cell>
          <cell r="AQ690">
            <v>63573300</v>
          </cell>
        </row>
        <row r="691">
          <cell r="AP691" t="str">
            <v>-</v>
          </cell>
          <cell r="AQ691">
            <v>63573400</v>
          </cell>
        </row>
        <row r="692">
          <cell r="AP692" t="str">
            <v>-</v>
          </cell>
          <cell r="AQ692">
            <v>63573500</v>
          </cell>
        </row>
        <row r="693">
          <cell r="AP693" t="str">
            <v>-</v>
          </cell>
          <cell r="AQ693">
            <v>63573700</v>
          </cell>
        </row>
        <row r="694">
          <cell r="AP694" t="str">
            <v>-</v>
          </cell>
          <cell r="AQ694">
            <v>63573800</v>
          </cell>
        </row>
        <row r="695">
          <cell r="AP695" t="str">
            <v>-</v>
          </cell>
          <cell r="AQ695">
            <v>63573900</v>
          </cell>
        </row>
        <row r="696">
          <cell r="AP696" t="str">
            <v>-</v>
          </cell>
          <cell r="AQ696">
            <v>63574000</v>
          </cell>
        </row>
        <row r="697">
          <cell r="AP697">
            <v>1</v>
          </cell>
          <cell r="AQ697">
            <v>66701200</v>
          </cell>
        </row>
        <row r="698">
          <cell r="AP698" t="str">
            <v>-</v>
          </cell>
          <cell r="AQ698">
            <v>66701300</v>
          </cell>
        </row>
        <row r="699">
          <cell r="AP699">
            <v>1</v>
          </cell>
          <cell r="AQ699">
            <v>63110900</v>
          </cell>
        </row>
        <row r="700">
          <cell r="AP700">
            <v>1</v>
          </cell>
          <cell r="AQ700">
            <v>63318600</v>
          </cell>
        </row>
        <row r="701">
          <cell r="AP701" t="str">
            <v>-</v>
          </cell>
          <cell r="AQ701">
            <v>63318300</v>
          </cell>
        </row>
        <row r="702">
          <cell r="AP702" t="str">
            <v>-</v>
          </cell>
          <cell r="AQ702">
            <v>63318100</v>
          </cell>
        </row>
        <row r="703">
          <cell r="AP703" t="str">
            <v>-</v>
          </cell>
          <cell r="AQ703">
            <v>66901300</v>
          </cell>
        </row>
        <row r="704">
          <cell r="AP704" t="str">
            <v>-</v>
          </cell>
          <cell r="AQ704">
            <v>66901400</v>
          </cell>
        </row>
        <row r="705">
          <cell r="AP705" t="str">
            <v>-</v>
          </cell>
          <cell r="AQ705">
            <v>66901500</v>
          </cell>
        </row>
        <row r="706">
          <cell r="AP706" t="str">
            <v>-</v>
          </cell>
          <cell r="AQ706">
            <v>66901600</v>
          </cell>
        </row>
        <row r="707">
          <cell r="AP707" t="str">
            <v>-</v>
          </cell>
          <cell r="AQ707">
            <v>61672300</v>
          </cell>
        </row>
        <row r="708">
          <cell r="AP708" t="str">
            <v>-</v>
          </cell>
          <cell r="AQ708">
            <v>66802000</v>
          </cell>
        </row>
        <row r="709">
          <cell r="AP709">
            <v>1</v>
          </cell>
          <cell r="AQ709">
            <v>66802100</v>
          </cell>
        </row>
        <row r="710">
          <cell r="AP710" t="str">
            <v>-</v>
          </cell>
          <cell r="AQ710">
            <v>66802100</v>
          </cell>
        </row>
        <row r="711">
          <cell r="AP711">
            <v>4</v>
          </cell>
          <cell r="AQ711">
            <v>65133200</v>
          </cell>
        </row>
        <row r="712">
          <cell r="AP712" t="str">
            <v>-</v>
          </cell>
          <cell r="AQ712">
            <v>63582900</v>
          </cell>
        </row>
        <row r="713">
          <cell r="AP713">
            <v>1</v>
          </cell>
          <cell r="AQ713">
            <v>66802200</v>
          </cell>
        </row>
        <row r="714">
          <cell r="AP714" t="str">
            <v>-</v>
          </cell>
          <cell r="AQ714">
            <v>66802200</v>
          </cell>
        </row>
        <row r="715">
          <cell r="AP715">
            <v>2</v>
          </cell>
          <cell r="AQ715">
            <v>66802300</v>
          </cell>
        </row>
        <row r="716">
          <cell r="AP716" t="str">
            <v>-</v>
          </cell>
          <cell r="AQ716">
            <v>65120700</v>
          </cell>
        </row>
        <row r="717">
          <cell r="AP717" t="str">
            <v>-</v>
          </cell>
          <cell r="AQ717">
            <v>65130700</v>
          </cell>
        </row>
        <row r="718">
          <cell r="AP718" t="str">
            <v>-</v>
          </cell>
          <cell r="AQ718">
            <v>63914500</v>
          </cell>
        </row>
        <row r="719">
          <cell r="AP719" t="str">
            <v>-</v>
          </cell>
          <cell r="AQ719">
            <v>63930700</v>
          </cell>
        </row>
        <row r="720">
          <cell r="AP720" t="str">
            <v>-</v>
          </cell>
          <cell r="AQ720">
            <v>66901700</v>
          </cell>
        </row>
        <row r="721">
          <cell r="AP721" t="str">
            <v>-</v>
          </cell>
          <cell r="AQ721">
            <v>66901800</v>
          </cell>
        </row>
        <row r="722">
          <cell r="AP722" t="str">
            <v>-</v>
          </cell>
          <cell r="AQ722">
            <v>66901900</v>
          </cell>
        </row>
        <row r="723">
          <cell r="AP723" t="str">
            <v>-</v>
          </cell>
          <cell r="AQ723">
            <v>65705100</v>
          </cell>
        </row>
        <row r="724">
          <cell r="AP724">
            <v>1</v>
          </cell>
          <cell r="AQ724">
            <v>64226700</v>
          </cell>
        </row>
        <row r="725">
          <cell r="AP725" t="str">
            <v>-</v>
          </cell>
          <cell r="AQ725">
            <v>63586100</v>
          </cell>
        </row>
        <row r="726">
          <cell r="AP726" t="str">
            <v>-</v>
          </cell>
          <cell r="AQ726">
            <v>63589300</v>
          </cell>
        </row>
        <row r="727">
          <cell r="AP727" t="str">
            <v>-</v>
          </cell>
          <cell r="AQ727">
            <v>63582800</v>
          </cell>
        </row>
        <row r="728">
          <cell r="AP728" t="str">
            <v>-</v>
          </cell>
          <cell r="AQ728">
            <v>63589500</v>
          </cell>
        </row>
        <row r="729">
          <cell r="AP729" t="str">
            <v>-</v>
          </cell>
          <cell r="AQ729">
            <v>63583100</v>
          </cell>
        </row>
        <row r="730">
          <cell r="AP730" t="str">
            <v>-</v>
          </cell>
          <cell r="AQ730">
            <v>63582400</v>
          </cell>
        </row>
        <row r="731">
          <cell r="AP731">
            <v>5</v>
          </cell>
          <cell r="AQ731">
            <v>63582300</v>
          </cell>
        </row>
        <row r="732">
          <cell r="AP732" t="str">
            <v>-</v>
          </cell>
          <cell r="AQ732">
            <v>63519000</v>
          </cell>
        </row>
        <row r="733">
          <cell r="AP733">
            <v>1</v>
          </cell>
          <cell r="AQ733">
            <v>63589200</v>
          </cell>
        </row>
        <row r="734">
          <cell r="AP734" t="str">
            <v>-</v>
          </cell>
          <cell r="AQ734">
            <v>63587800</v>
          </cell>
        </row>
        <row r="735">
          <cell r="AP735" t="str">
            <v>-</v>
          </cell>
          <cell r="AQ735">
            <v>63582500</v>
          </cell>
        </row>
        <row r="736">
          <cell r="AP736" t="str">
            <v>-</v>
          </cell>
          <cell r="AQ736">
            <v>63583000</v>
          </cell>
        </row>
        <row r="737">
          <cell r="AP737">
            <v>1</v>
          </cell>
          <cell r="AQ737">
            <v>63582700</v>
          </cell>
        </row>
        <row r="738">
          <cell r="AP738" t="str">
            <v>-</v>
          </cell>
          <cell r="AQ738">
            <v>63587400</v>
          </cell>
        </row>
        <row r="739">
          <cell r="AP739">
            <v>1</v>
          </cell>
          <cell r="AQ739">
            <v>65105100</v>
          </cell>
        </row>
        <row r="740">
          <cell r="AP740" t="str">
            <v>-</v>
          </cell>
          <cell r="AQ740">
            <v>61694300</v>
          </cell>
        </row>
        <row r="741">
          <cell r="AP741">
            <v>1</v>
          </cell>
          <cell r="AQ741">
            <v>61694400</v>
          </cell>
        </row>
        <row r="742">
          <cell r="AP742">
            <v>1</v>
          </cell>
          <cell r="AQ742">
            <v>64282500</v>
          </cell>
        </row>
        <row r="743">
          <cell r="AP743">
            <v>1</v>
          </cell>
          <cell r="AQ743">
            <v>64282600</v>
          </cell>
        </row>
        <row r="744">
          <cell r="AP744">
            <v>4</v>
          </cell>
          <cell r="AQ744">
            <v>65102800</v>
          </cell>
        </row>
        <row r="745">
          <cell r="AP745" t="str">
            <v>-</v>
          </cell>
          <cell r="AQ745">
            <v>61659300</v>
          </cell>
        </row>
        <row r="746">
          <cell r="AP746">
            <v>8</v>
          </cell>
          <cell r="AQ746">
            <v>61694500</v>
          </cell>
        </row>
        <row r="747">
          <cell r="AP747">
            <v>5</v>
          </cell>
          <cell r="AQ747">
            <v>61694600</v>
          </cell>
        </row>
        <row r="748">
          <cell r="AP748">
            <v>1</v>
          </cell>
          <cell r="AQ748">
            <v>61694700</v>
          </cell>
        </row>
        <row r="749">
          <cell r="AP749">
            <v>1</v>
          </cell>
          <cell r="AQ749">
            <v>61694800</v>
          </cell>
        </row>
        <row r="750">
          <cell r="AP750">
            <v>1</v>
          </cell>
          <cell r="AQ750">
            <v>61694900</v>
          </cell>
        </row>
        <row r="751">
          <cell r="AP751" t="str">
            <v>-</v>
          </cell>
          <cell r="AQ751">
            <v>61695000</v>
          </cell>
        </row>
        <row r="752">
          <cell r="AP752" t="str">
            <v>-</v>
          </cell>
          <cell r="AQ752">
            <v>61695100</v>
          </cell>
        </row>
        <row r="753">
          <cell r="AP753" t="str">
            <v>-</v>
          </cell>
          <cell r="AQ753">
            <v>61695200</v>
          </cell>
        </row>
        <row r="754">
          <cell r="AP754">
            <v>5</v>
          </cell>
          <cell r="AQ754">
            <v>61695300</v>
          </cell>
        </row>
        <row r="755">
          <cell r="AP755">
            <v>5</v>
          </cell>
          <cell r="AQ755">
            <v>61695400</v>
          </cell>
        </row>
        <row r="756">
          <cell r="AP756">
            <v>5</v>
          </cell>
          <cell r="AQ756">
            <v>61695500</v>
          </cell>
        </row>
        <row r="757">
          <cell r="AP757" t="str">
            <v>-</v>
          </cell>
          <cell r="AQ757">
            <v>61695600</v>
          </cell>
        </row>
        <row r="758">
          <cell r="AP758" t="str">
            <v>-</v>
          </cell>
          <cell r="AQ758">
            <v>61695700</v>
          </cell>
        </row>
        <row r="759">
          <cell r="AP759" t="str">
            <v>-</v>
          </cell>
          <cell r="AQ759">
            <v>63589400</v>
          </cell>
        </row>
        <row r="760">
          <cell r="AP760">
            <v>2</v>
          </cell>
          <cell r="AQ760">
            <v>66802400</v>
          </cell>
        </row>
        <row r="761">
          <cell r="AP761" t="str">
            <v>-</v>
          </cell>
          <cell r="AQ761">
            <v>66810800</v>
          </cell>
        </row>
        <row r="762">
          <cell r="AP762">
            <v>6</v>
          </cell>
          <cell r="AQ762">
            <v>63582200</v>
          </cell>
        </row>
        <row r="763">
          <cell r="AP763" t="str">
            <v>-</v>
          </cell>
          <cell r="AQ763">
            <v>64280400</v>
          </cell>
        </row>
        <row r="764">
          <cell r="AP764" t="str">
            <v>-</v>
          </cell>
          <cell r="AQ764">
            <v>66901400</v>
          </cell>
        </row>
        <row r="765">
          <cell r="AP765" t="str">
            <v>-</v>
          </cell>
          <cell r="AQ765">
            <v>66901500</v>
          </cell>
        </row>
        <row r="766">
          <cell r="AP766" t="str">
            <v>-</v>
          </cell>
          <cell r="AQ766">
            <v>66901600</v>
          </cell>
        </row>
        <row r="767">
          <cell r="AP767">
            <v>1</v>
          </cell>
          <cell r="AQ767">
            <v>63583400</v>
          </cell>
        </row>
        <row r="768">
          <cell r="AP768">
            <v>1</v>
          </cell>
          <cell r="AQ768">
            <v>63589500</v>
          </cell>
        </row>
        <row r="769">
          <cell r="AP769">
            <v>2</v>
          </cell>
          <cell r="AQ769">
            <v>63914600</v>
          </cell>
        </row>
        <row r="770">
          <cell r="AP770" t="str">
            <v>-</v>
          </cell>
          <cell r="AQ770">
            <v>64402100</v>
          </cell>
        </row>
        <row r="771">
          <cell r="AP771" t="str">
            <v>-</v>
          </cell>
          <cell r="AQ771">
            <v>66802500</v>
          </cell>
        </row>
        <row r="772">
          <cell r="AP772" t="str">
            <v>-</v>
          </cell>
          <cell r="AQ772">
            <v>63586800</v>
          </cell>
        </row>
        <row r="773">
          <cell r="AP773">
            <v>5</v>
          </cell>
          <cell r="AQ773">
            <v>63586700</v>
          </cell>
        </row>
        <row r="774">
          <cell r="AP774">
            <v>2</v>
          </cell>
          <cell r="AQ774">
            <v>63587600</v>
          </cell>
        </row>
        <row r="775">
          <cell r="AP775" t="str">
            <v>-</v>
          </cell>
          <cell r="AQ775">
            <v>63586200</v>
          </cell>
        </row>
        <row r="776">
          <cell r="AP776" t="str">
            <v>-</v>
          </cell>
          <cell r="AQ776">
            <v>65060000</v>
          </cell>
        </row>
        <row r="777">
          <cell r="AP777">
            <v>2</v>
          </cell>
          <cell r="AQ777">
            <v>65060100</v>
          </cell>
        </row>
        <row r="778">
          <cell r="AP778">
            <v>1</v>
          </cell>
          <cell r="AQ778">
            <v>65060200</v>
          </cell>
        </row>
        <row r="779">
          <cell r="AP779" t="str">
            <v>-</v>
          </cell>
          <cell r="AQ779">
            <v>65060300</v>
          </cell>
        </row>
        <row r="780">
          <cell r="AP780" t="str">
            <v>-</v>
          </cell>
          <cell r="AQ780">
            <v>65060400</v>
          </cell>
        </row>
        <row r="781">
          <cell r="AP781">
            <v>1</v>
          </cell>
          <cell r="AQ781">
            <v>65062000</v>
          </cell>
        </row>
        <row r="782">
          <cell r="AP782">
            <v>1</v>
          </cell>
          <cell r="AQ782">
            <v>65062100</v>
          </cell>
        </row>
        <row r="783">
          <cell r="AP783">
            <v>2</v>
          </cell>
          <cell r="AQ783">
            <v>65062200</v>
          </cell>
        </row>
        <row r="784">
          <cell r="AP784">
            <v>1</v>
          </cell>
          <cell r="AQ784">
            <v>65062300</v>
          </cell>
        </row>
        <row r="785">
          <cell r="AP785">
            <v>2</v>
          </cell>
          <cell r="AQ785">
            <v>65062400</v>
          </cell>
        </row>
        <row r="786">
          <cell r="AP786" t="str">
            <v>-</v>
          </cell>
          <cell r="AQ786">
            <v>64402100</v>
          </cell>
        </row>
        <row r="787">
          <cell r="AP787">
            <v>1</v>
          </cell>
          <cell r="AQ787">
            <v>63588800</v>
          </cell>
        </row>
        <row r="788">
          <cell r="AP788">
            <v>1</v>
          </cell>
          <cell r="AQ788">
            <v>64402200</v>
          </cell>
        </row>
        <row r="789">
          <cell r="AP789">
            <v>2</v>
          </cell>
          <cell r="AQ789">
            <v>65430000</v>
          </cell>
        </row>
        <row r="790">
          <cell r="AP790">
            <v>6</v>
          </cell>
          <cell r="AQ790">
            <v>63587700</v>
          </cell>
        </row>
        <row r="791">
          <cell r="AP791">
            <v>6</v>
          </cell>
          <cell r="AQ791">
            <v>63588200</v>
          </cell>
        </row>
        <row r="792">
          <cell r="AP792">
            <v>7</v>
          </cell>
          <cell r="AQ792">
            <v>63583200</v>
          </cell>
        </row>
        <row r="793">
          <cell r="AP793">
            <v>4</v>
          </cell>
          <cell r="AQ793">
            <v>63519300</v>
          </cell>
        </row>
        <row r="794">
          <cell r="AP794">
            <v>2</v>
          </cell>
          <cell r="AQ794">
            <v>65430100</v>
          </cell>
        </row>
        <row r="795">
          <cell r="AP795">
            <v>2</v>
          </cell>
          <cell r="AQ795">
            <v>65430200</v>
          </cell>
        </row>
        <row r="796">
          <cell r="AP796" t="str">
            <v>-</v>
          </cell>
          <cell r="AQ796">
            <v>65706200</v>
          </cell>
        </row>
        <row r="797">
          <cell r="AP797" t="str">
            <v>-</v>
          </cell>
          <cell r="AQ797">
            <v>65706200</v>
          </cell>
        </row>
        <row r="798">
          <cell r="AP798" t="str">
            <v>-</v>
          </cell>
          <cell r="AQ798">
            <v>65706000</v>
          </cell>
        </row>
        <row r="799">
          <cell r="AP799">
            <v>1</v>
          </cell>
          <cell r="AQ799">
            <v>63563700</v>
          </cell>
        </row>
        <row r="800">
          <cell r="AP800" t="str">
            <v>-</v>
          </cell>
          <cell r="AQ800">
            <v>64256000</v>
          </cell>
        </row>
        <row r="801">
          <cell r="AP801" t="str">
            <v>-</v>
          </cell>
          <cell r="AQ801">
            <v>64256100</v>
          </cell>
        </row>
        <row r="802">
          <cell r="AP802" t="str">
            <v>-</v>
          </cell>
          <cell r="AQ802">
            <v>64256200</v>
          </cell>
        </row>
        <row r="803">
          <cell r="AP803" t="str">
            <v>-</v>
          </cell>
          <cell r="AQ803">
            <v>64226800</v>
          </cell>
        </row>
        <row r="804">
          <cell r="AP804">
            <v>4</v>
          </cell>
          <cell r="AQ804">
            <v>65125200</v>
          </cell>
        </row>
        <row r="805">
          <cell r="AP805">
            <v>4</v>
          </cell>
          <cell r="AQ805">
            <v>65126500</v>
          </cell>
        </row>
        <row r="806">
          <cell r="AP806" t="str">
            <v>-</v>
          </cell>
          <cell r="AQ806">
            <v>65120100</v>
          </cell>
        </row>
        <row r="807">
          <cell r="AP807">
            <v>4</v>
          </cell>
          <cell r="AQ807">
            <v>65120600</v>
          </cell>
        </row>
        <row r="808">
          <cell r="AP808">
            <v>4</v>
          </cell>
          <cell r="AQ808">
            <v>65125900</v>
          </cell>
        </row>
        <row r="809">
          <cell r="AP809">
            <v>1</v>
          </cell>
          <cell r="AQ809">
            <v>63293500</v>
          </cell>
        </row>
        <row r="810">
          <cell r="AP810">
            <v>4</v>
          </cell>
          <cell r="AQ810">
            <v>65141100</v>
          </cell>
        </row>
        <row r="811">
          <cell r="AP811">
            <v>4</v>
          </cell>
          <cell r="AQ811">
            <v>65141200</v>
          </cell>
        </row>
        <row r="812">
          <cell r="AP812">
            <v>4</v>
          </cell>
          <cell r="AQ812">
            <v>65140600</v>
          </cell>
        </row>
        <row r="813">
          <cell r="AP813">
            <v>3</v>
          </cell>
          <cell r="AQ813">
            <v>66830000</v>
          </cell>
        </row>
        <row r="814">
          <cell r="AP814">
            <v>3</v>
          </cell>
          <cell r="AQ814">
            <v>66830100</v>
          </cell>
        </row>
        <row r="815">
          <cell r="AP815">
            <v>2</v>
          </cell>
          <cell r="AQ815">
            <v>67120100</v>
          </cell>
        </row>
        <row r="816">
          <cell r="AP816">
            <v>2</v>
          </cell>
          <cell r="AQ816">
            <v>67120200</v>
          </cell>
        </row>
        <row r="817">
          <cell r="AP817">
            <v>3</v>
          </cell>
          <cell r="AQ817">
            <v>65126100</v>
          </cell>
        </row>
        <row r="818">
          <cell r="AP818">
            <v>3</v>
          </cell>
          <cell r="AQ818">
            <v>66812300</v>
          </cell>
        </row>
        <row r="819">
          <cell r="AP819">
            <v>3</v>
          </cell>
          <cell r="AQ819">
            <v>66812600</v>
          </cell>
        </row>
        <row r="820">
          <cell r="AP820">
            <v>4</v>
          </cell>
          <cell r="AQ820">
            <v>65126600</v>
          </cell>
        </row>
        <row r="821">
          <cell r="AP821" t="str">
            <v>-</v>
          </cell>
          <cell r="AQ821">
            <v>66902000</v>
          </cell>
        </row>
        <row r="822">
          <cell r="AP822" t="str">
            <v>-</v>
          </cell>
          <cell r="AQ822">
            <v>66902100</v>
          </cell>
        </row>
        <row r="823">
          <cell r="AP823" t="str">
            <v>-</v>
          </cell>
          <cell r="AQ823">
            <v>66902200</v>
          </cell>
        </row>
        <row r="824">
          <cell r="AP824">
            <v>1</v>
          </cell>
          <cell r="AQ824">
            <v>67110300</v>
          </cell>
        </row>
        <row r="825">
          <cell r="AP825">
            <v>1</v>
          </cell>
          <cell r="AQ825">
            <v>67110500</v>
          </cell>
        </row>
        <row r="826">
          <cell r="AP826">
            <v>1</v>
          </cell>
          <cell r="AQ826">
            <v>67110400</v>
          </cell>
        </row>
        <row r="827">
          <cell r="AP827">
            <v>1</v>
          </cell>
          <cell r="AQ827">
            <v>67110600</v>
          </cell>
        </row>
        <row r="828">
          <cell r="AQ828">
            <v>0</v>
          </cell>
        </row>
        <row r="829">
          <cell r="AQ829">
            <v>0</v>
          </cell>
        </row>
        <row r="830">
          <cell r="AQ830">
            <v>0</v>
          </cell>
        </row>
        <row r="831">
          <cell r="AQ831">
            <v>0</v>
          </cell>
        </row>
        <row r="832">
          <cell r="AQ832">
            <v>0</v>
          </cell>
        </row>
        <row r="833">
          <cell r="AQ833">
            <v>0</v>
          </cell>
        </row>
        <row r="834">
          <cell r="AQ834">
            <v>0</v>
          </cell>
        </row>
        <row r="835">
          <cell r="AQ835">
            <v>0</v>
          </cell>
        </row>
        <row r="836">
          <cell r="AQ836">
            <v>0</v>
          </cell>
        </row>
        <row r="837">
          <cell r="AQ837">
            <v>0</v>
          </cell>
        </row>
        <row r="838">
          <cell r="AQ838">
            <v>0</v>
          </cell>
        </row>
        <row r="839">
          <cell r="AQ839">
            <v>0</v>
          </cell>
        </row>
        <row r="840">
          <cell r="AQ840">
            <v>0</v>
          </cell>
        </row>
        <row r="841">
          <cell r="AQ841">
            <v>0</v>
          </cell>
        </row>
        <row r="842">
          <cell r="AQ842">
            <v>0</v>
          </cell>
        </row>
      </sheetData>
      <sheetData sheetId="3"/>
      <sheetData sheetId="4"/>
      <sheetData sheetId="5"/>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inigen of niet"/>
      <sheetName val="gedane producties"/>
      <sheetName val="allergenen 2nr"/>
      <sheetName val="allergenen 6nr"/>
      <sheetName val="wanneer reinigen"/>
    </sheetNames>
    <sheetDataSet>
      <sheetData sheetId="0"/>
      <sheetData sheetId="1"/>
      <sheetData sheetId="2"/>
      <sheetData sheetId="3">
        <row r="1">
          <cell r="A1" t="str">
            <v xml:space="preserve">CSB nr
</v>
          </cell>
          <cell r="B1" t="str">
            <v>omschrijving</v>
          </cell>
          <cell r="C1" t="str">
            <v>Aardnoten</v>
          </cell>
          <cell r="D1" t="str">
            <v>Eieren</v>
          </cell>
          <cell r="E1" t="str">
            <v>Gluten</v>
          </cell>
          <cell r="F1" t="str">
            <v>Lupine</v>
          </cell>
          <cell r="G1" t="str">
            <v>Melk</v>
          </cell>
          <cell r="H1" t="str">
            <v>Mosterd</v>
          </cell>
          <cell r="I1" t="str">
            <v>Noten (schaalvruchten)</v>
          </cell>
          <cell r="J1" t="str">
            <v>Schaaldieren</v>
          </cell>
          <cell r="K1" t="str">
            <v>Selderij</v>
          </cell>
          <cell r="L1" t="str">
            <v>Sesamzaad</v>
          </cell>
          <cell r="M1" t="str">
            <v>Soja</v>
          </cell>
          <cell r="N1" t="str">
            <v>Vis</v>
          </cell>
          <cell r="O1" t="str">
            <v>Weekdieren</v>
          </cell>
        </row>
        <row r="2">
          <cell r="A2">
            <v>60920100</v>
          </cell>
          <cell r="B2" t="str">
            <v>Kippensoep 900g DMB</v>
          </cell>
          <cell r="C2" t="str">
            <v>-</v>
          </cell>
          <cell r="D2" t="str">
            <v>X</v>
          </cell>
          <cell r="E2" t="str">
            <v>+</v>
          </cell>
          <cell r="F2" t="str">
            <v>X</v>
          </cell>
          <cell r="G2" t="str">
            <v>+</v>
          </cell>
          <cell r="H2" t="str">
            <v>X</v>
          </cell>
          <cell r="I2" t="str">
            <v>-</v>
          </cell>
          <cell r="J2" t="str">
            <v>-</v>
          </cell>
          <cell r="K2" t="str">
            <v>+</v>
          </cell>
          <cell r="L2" t="str">
            <v>-</v>
          </cell>
          <cell r="M2" t="str">
            <v>X</v>
          </cell>
          <cell r="N2" t="str">
            <v>-</v>
          </cell>
          <cell r="O2" t="str">
            <v>-</v>
          </cell>
        </row>
        <row r="3">
          <cell r="A3">
            <v>60920200</v>
          </cell>
          <cell r="B3" t="str">
            <v>Preisoep 900g DMB</v>
          </cell>
          <cell r="C3" t="str">
            <v>-</v>
          </cell>
          <cell r="D3" t="str">
            <v>-</v>
          </cell>
          <cell r="E3" t="str">
            <v>+</v>
          </cell>
          <cell r="F3" t="str">
            <v>-</v>
          </cell>
          <cell r="G3" t="str">
            <v>-</v>
          </cell>
          <cell r="H3" t="str">
            <v>-</v>
          </cell>
          <cell r="I3" t="str">
            <v>-</v>
          </cell>
          <cell r="J3" t="str">
            <v>-</v>
          </cell>
          <cell r="K3" t="str">
            <v>+</v>
          </cell>
          <cell r="L3" t="str">
            <v>-</v>
          </cell>
          <cell r="M3" t="str">
            <v>-</v>
          </cell>
          <cell r="N3" t="str">
            <v>-</v>
          </cell>
          <cell r="O3" t="str">
            <v>-</v>
          </cell>
        </row>
        <row r="4">
          <cell r="A4">
            <v>60920300</v>
          </cell>
          <cell r="B4" t="str">
            <v>Asperge velouté 900g DMB</v>
          </cell>
          <cell r="C4" t="str">
            <v>-</v>
          </cell>
          <cell r="D4" t="str">
            <v>-</v>
          </cell>
          <cell r="E4" t="str">
            <v>+</v>
          </cell>
          <cell r="F4" t="str">
            <v>-</v>
          </cell>
          <cell r="G4" t="str">
            <v>+</v>
          </cell>
          <cell r="H4" t="str">
            <v>X</v>
          </cell>
          <cell r="I4" t="str">
            <v>-</v>
          </cell>
          <cell r="J4" t="str">
            <v>-</v>
          </cell>
          <cell r="K4" t="str">
            <v>X</v>
          </cell>
          <cell r="L4" t="str">
            <v>-</v>
          </cell>
          <cell r="M4" t="str">
            <v>-</v>
          </cell>
          <cell r="N4" t="str">
            <v>-</v>
          </cell>
          <cell r="O4" t="str">
            <v>-</v>
          </cell>
        </row>
        <row r="5">
          <cell r="A5">
            <v>60920400</v>
          </cell>
          <cell r="B5" t="str">
            <v>Tomatensoep met balletjes 1000g DMB</v>
          </cell>
          <cell r="C5" t="str">
            <v>-</v>
          </cell>
          <cell r="D5" t="str">
            <v>X</v>
          </cell>
          <cell r="E5" t="str">
            <v>+</v>
          </cell>
          <cell r="F5" t="str">
            <v>-</v>
          </cell>
          <cell r="G5" t="str">
            <v>X</v>
          </cell>
          <cell r="H5" t="str">
            <v>X</v>
          </cell>
          <cell r="I5" t="str">
            <v>-</v>
          </cell>
          <cell r="J5" t="str">
            <v>X</v>
          </cell>
          <cell r="K5" t="str">
            <v>+</v>
          </cell>
          <cell r="L5" t="str">
            <v>-</v>
          </cell>
          <cell r="M5" t="str">
            <v>X</v>
          </cell>
          <cell r="N5" t="str">
            <v>X</v>
          </cell>
          <cell r="O5" t="str">
            <v>X</v>
          </cell>
        </row>
        <row r="6">
          <cell r="A6">
            <v>60920500</v>
          </cell>
          <cell r="B6" t="str">
            <v>Erwtensoep met gerookte spekjes 900g DMB</v>
          </cell>
          <cell r="C6" t="str">
            <v>-</v>
          </cell>
          <cell r="D6" t="str">
            <v>-</v>
          </cell>
          <cell r="E6" t="str">
            <v>X</v>
          </cell>
          <cell r="F6" t="str">
            <v>-</v>
          </cell>
          <cell r="G6" t="str">
            <v>-</v>
          </cell>
          <cell r="H6" t="str">
            <v>-</v>
          </cell>
          <cell r="I6" t="str">
            <v>-</v>
          </cell>
          <cell r="J6" t="str">
            <v>-</v>
          </cell>
          <cell r="K6" t="str">
            <v>+</v>
          </cell>
          <cell r="L6" t="str">
            <v>-</v>
          </cell>
          <cell r="M6" t="str">
            <v>X</v>
          </cell>
          <cell r="N6" t="str">
            <v>-</v>
          </cell>
          <cell r="O6" t="str">
            <v>-</v>
          </cell>
        </row>
        <row r="7">
          <cell r="A7">
            <v>60920600</v>
          </cell>
          <cell r="B7" t="str">
            <v>Kervel soep 900g DMB</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row>
        <row r="8">
          <cell r="A8">
            <v>60920700</v>
          </cell>
          <cell r="B8" t="str">
            <v>Groentensoep 900g DMB</v>
          </cell>
          <cell r="C8" t="str">
            <v>-</v>
          </cell>
          <cell r="D8" t="str">
            <v>X</v>
          </cell>
          <cell r="E8" t="str">
            <v>+</v>
          </cell>
          <cell r="F8" t="str">
            <v>X</v>
          </cell>
          <cell r="G8" t="str">
            <v>-</v>
          </cell>
          <cell r="H8" t="str">
            <v>X</v>
          </cell>
          <cell r="I8" t="str">
            <v>-</v>
          </cell>
          <cell r="J8" t="str">
            <v>-</v>
          </cell>
          <cell r="K8" t="str">
            <v>+</v>
          </cell>
          <cell r="L8" t="str">
            <v>-</v>
          </cell>
          <cell r="M8" t="str">
            <v>X</v>
          </cell>
          <cell r="N8" t="str">
            <v>-</v>
          </cell>
          <cell r="O8" t="str">
            <v>-</v>
          </cell>
        </row>
        <row r="9">
          <cell r="A9">
            <v>60920800</v>
          </cell>
          <cell r="B9" t="str">
            <v>Tomaten veloute 900g DMB</v>
          </cell>
          <cell r="C9" t="str">
            <v>-</v>
          </cell>
          <cell r="D9" t="str">
            <v>-</v>
          </cell>
          <cell r="E9" t="str">
            <v>+</v>
          </cell>
          <cell r="F9" t="str">
            <v>-</v>
          </cell>
          <cell r="G9" t="str">
            <v>+</v>
          </cell>
          <cell r="H9" t="str">
            <v>-</v>
          </cell>
          <cell r="I9" t="str">
            <v>-</v>
          </cell>
          <cell r="J9" t="str">
            <v>-</v>
          </cell>
          <cell r="K9" t="str">
            <v>-</v>
          </cell>
          <cell r="L9" t="str">
            <v>-</v>
          </cell>
          <cell r="M9" t="str">
            <v>-</v>
          </cell>
          <cell r="N9" t="str">
            <v>-</v>
          </cell>
          <cell r="O9" t="str">
            <v>-</v>
          </cell>
        </row>
        <row r="10">
          <cell r="A10">
            <v>60920900</v>
          </cell>
          <cell r="B10" t="str">
            <v>Pompoensoep 900g DMB</v>
          </cell>
          <cell r="C10" t="str">
            <v>-</v>
          </cell>
          <cell r="D10" t="str">
            <v>-</v>
          </cell>
          <cell r="E10" t="str">
            <v>X</v>
          </cell>
          <cell r="F10" t="str">
            <v>-</v>
          </cell>
          <cell r="G10" t="str">
            <v>+</v>
          </cell>
          <cell r="H10" t="str">
            <v>X</v>
          </cell>
          <cell r="I10" t="str">
            <v>-</v>
          </cell>
          <cell r="J10" t="str">
            <v>-</v>
          </cell>
          <cell r="K10" t="str">
            <v>X</v>
          </cell>
          <cell r="L10" t="str">
            <v>-</v>
          </cell>
          <cell r="M10" t="str">
            <v>-</v>
          </cell>
          <cell r="N10" t="str">
            <v>-</v>
          </cell>
          <cell r="O10" t="str">
            <v>-</v>
          </cell>
        </row>
        <row r="11">
          <cell r="A11">
            <v>60921000</v>
          </cell>
          <cell r="B11" t="str">
            <v>Broccolisoep 900g DMB</v>
          </cell>
          <cell r="C11" t="str">
            <v>-</v>
          </cell>
          <cell r="D11" t="str">
            <v>-</v>
          </cell>
          <cell r="E11" t="str">
            <v>+</v>
          </cell>
          <cell r="F11" t="str">
            <v>-</v>
          </cell>
          <cell r="G11" t="str">
            <v>+</v>
          </cell>
          <cell r="H11" t="str">
            <v>-</v>
          </cell>
          <cell r="I11" t="str">
            <v>-</v>
          </cell>
          <cell r="J11" t="str">
            <v>-</v>
          </cell>
          <cell r="K11" t="str">
            <v>+</v>
          </cell>
          <cell r="L11" t="str">
            <v>-</v>
          </cell>
          <cell r="M11" t="str">
            <v>-</v>
          </cell>
          <cell r="N11" t="str">
            <v>-</v>
          </cell>
          <cell r="O11" t="str">
            <v>-</v>
          </cell>
        </row>
        <row r="12">
          <cell r="A12">
            <v>60921100</v>
          </cell>
          <cell r="B12" t="str">
            <v>Champignonsoep 900g DMB</v>
          </cell>
          <cell r="C12" t="str">
            <v>-</v>
          </cell>
          <cell r="D12" t="str">
            <v>-</v>
          </cell>
          <cell r="E12" t="str">
            <v>+</v>
          </cell>
          <cell r="F12" t="str">
            <v>X</v>
          </cell>
          <cell r="G12" t="str">
            <v>+</v>
          </cell>
          <cell r="H12" t="str">
            <v>X</v>
          </cell>
          <cell r="I12" t="str">
            <v>-</v>
          </cell>
          <cell r="J12" t="str">
            <v>-</v>
          </cell>
          <cell r="K12" t="str">
            <v>+</v>
          </cell>
          <cell r="L12" t="str">
            <v>-</v>
          </cell>
          <cell r="M12" t="str">
            <v>X</v>
          </cell>
          <cell r="N12" t="str">
            <v>-</v>
          </cell>
          <cell r="O12" t="str">
            <v>-</v>
          </cell>
        </row>
        <row r="13">
          <cell r="A13">
            <v>60921200</v>
          </cell>
          <cell r="B13" t="str">
            <v>Wortelsoep geconcentreerd 900g DMB</v>
          </cell>
          <cell r="C13" t="str">
            <v>-</v>
          </cell>
          <cell r="D13" t="str">
            <v>-</v>
          </cell>
          <cell r="E13" t="str">
            <v>X</v>
          </cell>
          <cell r="F13" t="str">
            <v>-</v>
          </cell>
          <cell r="G13" t="str">
            <v>+</v>
          </cell>
          <cell r="H13" t="str">
            <v>X</v>
          </cell>
          <cell r="I13" t="str">
            <v>-</v>
          </cell>
          <cell r="J13" t="str">
            <v>-</v>
          </cell>
          <cell r="K13" t="str">
            <v>+</v>
          </cell>
          <cell r="L13" t="str">
            <v>-</v>
          </cell>
          <cell r="M13" t="str">
            <v>-</v>
          </cell>
          <cell r="N13" t="str">
            <v>-</v>
          </cell>
          <cell r="O13" t="str">
            <v>-</v>
          </cell>
        </row>
        <row r="14">
          <cell r="A14">
            <v>60921300</v>
          </cell>
          <cell r="B14" t="str">
            <v>Bloemkoolsoep 900g DMB</v>
          </cell>
          <cell r="C14" t="str">
            <v>-</v>
          </cell>
          <cell r="D14" t="str">
            <v>-</v>
          </cell>
          <cell r="E14" t="str">
            <v>+</v>
          </cell>
          <cell r="F14" t="str">
            <v>-</v>
          </cell>
          <cell r="G14" t="str">
            <v>+</v>
          </cell>
          <cell r="H14" t="str">
            <v>-</v>
          </cell>
          <cell r="I14" t="str">
            <v>-</v>
          </cell>
          <cell r="J14" t="str">
            <v>-</v>
          </cell>
          <cell r="K14" t="str">
            <v>+</v>
          </cell>
          <cell r="L14" t="str">
            <v>-</v>
          </cell>
          <cell r="M14" t="str">
            <v>-</v>
          </cell>
          <cell r="N14" t="str">
            <v>-</v>
          </cell>
          <cell r="O14" t="str">
            <v>-</v>
          </cell>
        </row>
        <row r="15">
          <cell r="A15">
            <v>61630900</v>
          </cell>
          <cell r="B15" t="str">
            <v>Runderstoofpotje puree 450g EISM</v>
          </cell>
          <cell r="C15" t="str">
            <v>-</v>
          </cell>
          <cell r="D15" t="str">
            <v>+</v>
          </cell>
          <cell r="E15" t="str">
            <v>+</v>
          </cell>
          <cell r="F15" t="str">
            <v>-</v>
          </cell>
          <cell r="G15" t="str">
            <v>+</v>
          </cell>
          <cell r="H15" t="str">
            <v>+</v>
          </cell>
          <cell r="I15" t="str">
            <v>X</v>
          </cell>
          <cell r="J15" t="str">
            <v>-</v>
          </cell>
          <cell r="K15" t="str">
            <v>+</v>
          </cell>
          <cell r="L15" t="str">
            <v>-</v>
          </cell>
          <cell r="M15" t="str">
            <v>-</v>
          </cell>
          <cell r="N15" t="str">
            <v>-</v>
          </cell>
          <cell r="O15" t="str">
            <v>-</v>
          </cell>
        </row>
        <row r="16">
          <cell r="A16">
            <v>61631200</v>
          </cell>
          <cell r="B16" t="str">
            <v>Gehaktbal oma spinazie kookaardappelen 460g EISM</v>
          </cell>
          <cell r="C16" t="str">
            <v>-</v>
          </cell>
          <cell r="D16" t="str">
            <v>-</v>
          </cell>
          <cell r="E16" t="str">
            <v>+</v>
          </cell>
          <cell r="F16" t="str">
            <v>-</v>
          </cell>
          <cell r="G16" t="str">
            <v>+</v>
          </cell>
          <cell r="H16" t="str">
            <v>-</v>
          </cell>
          <cell r="I16" t="str">
            <v>-</v>
          </cell>
          <cell r="J16" t="str">
            <v>-</v>
          </cell>
          <cell r="K16" t="str">
            <v>+</v>
          </cell>
          <cell r="L16" t="str">
            <v>-</v>
          </cell>
          <cell r="M16" t="str">
            <v>-</v>
          </cell>
          <cell r="N16" t="str">
            <v>-</v>
          </cell>
          <cell r="O16" t="str">
            <v>-</v>
          </cell>
        </row>
        <row r="17">
          <cell r="A17">
            <v>61631300</v>
          </cell>
          <cell r="B17" t="str">
            <v>Kalkoenfilet broccoli wortel gratin 480g EISM</v>
          </cell>
          <cell r="C17" t="str">
            <v>-</v>
          </cell>
          <cell r="D17" t="str">
            <v>+</v>
          </cell>
          <cell r="E17" t="str">
            <v>+</v>
          </cell>
          <cell r="F17" t="str">
            <v>-</v>
          </cell>
          <cell r="G17" t="str">
            <v>+</v>
          </cell>
          <cell r="H17" t="str">
            <v>+</v>
          </cell>
          <cell r="I17" t="str">
            <v>-</v>
          </cell>
          <cell r="J17" t="str">
            <v>-</v>
          </cell>
          <cell r="K17" t="str">
            <v>+</v>
          </cell>
          <cell r="L17" t="str">
            <v>-</v>
          </cell>
          <cell r="M17" t="str">
            <v>-</v>
          </cell>
          <cell r="N17" t="str">
            <v>-</v>
          </cell>
          <cell r="O17" t="str">
            <v>-</v>
          </cell>
        </row>
        <row r="18">
          <cell r="A18">
            <v>61642400</v>
          </cell>
          <cell r="B18" t="str">
            <v>Kip Witloofsaus met puree 500g Colr</v>
          </cell>
          <cell r="C18" t="str">
            <v>-</v>
          </cell>
          <cell r="D18" t="str">
            <v>+</v>
          </cell>
          <cell r="E18" t="str">
            <v>+</v>
          </cell>
          <cell r="F18" t="str">
            <v>-</v>
          </cell>
          <cell r="G18" t="str">
            <v>+</v>
          </cell>
          <cell r="H18" t="str">
            <v>X</v>
          </cell>
          <cell r="I18" t="str">
            <v>-</v>
          </cell>
          <cell r="J18" t="str">
            <v>-</v>
          </cell>
          <cell r="K18" t="str">
            <v>X</v>
          </cell>
          <cell r="L18" t="str">
            <v>-</v>
          </cell>
          <cell r="M18" t="str">
            <v>-</v>
          </cell>
          <cell r="N18" t="str">
            <v>-</v>
          </cell>
          <cell r="O18" t="str">
            <v>-</v>
          </cell>
        </row>
        <row r="19">
          <cell r="A19">
            <v>61642500</v>
          </cell>
          <cell r="B19" t="str">
            <v>Balletjes in tomatensaus met boontjes en  puree 500g  Colr</v>
          </cell>
          <cell r="C19" t="str">
            <v>-</v>
          </cell>
          <cell r="D19" t="str">
            <v>+</v>
          </cell>
          <cell r="E19" t="str">
            <v>+</v>
          </cell>
          <cell r="F19" t="str">
            <v>X</v>
          </cell>
          <cell r="G19" t="str">
            <v>+</v>
          </cell>
          <cell r="H19" t="str">
            <v>X</v>
          </cell>
          <cell r="I19" t="str">
            <v>X</v>
          </cell>
          <cell r="J19" t="str">
            <v>X</v>
          </cell>
          <cell r="K19" t="str">
            <v>X</v>
          </cell>
          <cell r="L19" t="str">
            <v>-</v>
          </cell>
          <cell r="M19" t="str">
            <v>X</v>
          </cell>
          <cell r="N19" t="str">
            <v>X</v>
          </cell>
          <cell r="O19" t="str">
            <v>X</v>
          </cell>
        </row>
        <row r="20">
          <cell r="A20">
            <v>61642700</v>
          </cell>
          <cell r="B20" t="str">
            <v>Tagliatelle carbonara groentenmix 500g COLR</v>
          </cell>
          <cell r="C20" t="str">
            <v>-</v>
          </cell>
          <cell r="D20" t="str">
            <v>+</v>
          </cell>
          <cell r="E20" t="str">
            <v>+</v>
          </cell>
          <cell r="F20" t="str">
            <v>X</v>
          </cell>
          <cell r="G20" t="str">
            <v>+</v>
          </cell>
          <cell r="H20" t="str">
            <v>X</v>
          </cell>
          <cell r="I20" t="str">
            <v>-</v>
          </cell>
          <cell r="J20" t="str">
            <v>-</v>
          </cell>
          <cell r="K20" t="str">
            <v>-</v>
          </cell>
          <cell r="L20" t="str">
            <v>-</v>
          </cell>
          <cell r="M20" t="str">
            <v>X</v>
          </cell>
          <cell r="N20" t="str">
            <v>-</v>
          </cell>
          <cell r="O20" t="str">
            <v>-</v>
          </cell>
        </row>
        <row r="21">
          <cell r="A21">
            <v>61642800</v>
          </cell>
          <cell r="B21" t="str">
            <v>Kip Curry basmati groene groentenmix 500g COLR</v>
          </cell>
          <cell r="C21" t="str">
            <v>-</v>
          </cell>
          <cell r="D21" t="str">
            <v>X</v>
          </cell>
          <cell r="E21" t="str">
            <v>+</v>
          </cell>
          <cell r="F21" t="str">
            <v>X</v>
          </cell>
          <cell r="G21" t="str">
            <v>+</v>
          </cell>
          <cell r="H21" t="str">
            <v>X</v>
          </cell>
          <cell r="I21" t="str">
            <v>-</v>
          </cell>
          <cell r="J21" t="str">
            <v>-</v>
          </cell>
          <cell r="K21" t="str">
            <v>-</v>
          </cell>
          <cell r="L21" t="str">
            <v>-</v>
          </cell>
          <cell r="M21" t="str">
            <v>X</v>
          </cell>
          <cell r="N21" t="str">
            <v>-</v>
          </cell>
          <cell r="O21" t="str">
            <v>-</v>
          </cell>
        </row>
        <row r="22">
          <cell r="A22">
            <v>61658500</v>
          </cell>
          <cell r="B22" t="str">
            <v xml:space="preserve">Rundstong Madeira 750g Aldi </v>
          </cell>
          <cell r="C22" t="str">
            <v>-</v>
          </cell>
          <cell r="D22" t="str">
            <v>-</v>
          </cell>
          <cell r="E22" t="str">
            <v>+</v>
          </cell>
          <cell r="F22" t="str">
            <v>X</v>
          </cell>
          <cell r="G22" t="str">
            <v>-</v>
          </cell>
          <cell r="H22" t="str">
            <v>X</v>
          </cell>
          <cell r="I22" t="str">
            <v>-</v>
          </cell>
          <cell r="J22" t="str">
            <v>-</v>
          </cell>
          <cell r="K22" t="str">
            <v>+</v>
          </cell>
          <cell r="L22" t="str">
            <v>-</v>
          </cell>
          <cell r="M22" t="str">
            <v>X</v>
          </cell>
          <cell r="N22" t="str">
            <v>-</v>
          </cell>
          <cell r="O22" t="str">
            <v>-</v>
          </cell>
        </row>
        <row r="23">
          <cell r="A23">
            <v>61658700</v>
          </cell>
          <cell r="B23" t="str">
            <v xml:space="preserve">Kip witloofroomsaus aardappelpuree 500g ALDI </v>
          </cell>
          <cell r="C23" t="str">
            <v>-</v>
          </cell>
          <cell r="D23" t="str">
            <v>+</v>
          </cell>
          <cell r="E23" t="str">
            <v>+</v>
          </cell>
          <cell r="F23" t="str">
            <v>X</v>
          </cell>
          <cell r="G23" t="str">
            <v>+</v>
          </cell>
          <cell r="H23" t="str">
            <v>X</v>
          </cell>
          <cell r="I23" t="str">
            <v>-</v>
          </cell>
          <cell r="J23" t="str">
            <v>-</v>
          </cell>
          <cell r="K23" t="str">
            <v>X</v>
          </cell>
          <cell r="L23" t="str">
            <v>-</v>
          </cell>
          <cell r="M23" t="str">
            <v>X</v>
          </cell>
          <cell r="N23" t="str">
            <v>-</v>
          </cell>
          <cell r="O23" t="str">
            <v>-</v>
          </cell>
        </row>
        <row r="24">
          <cell r="A24">
            <v>61658800</v>
          </cell>
          <cell r="B24" t="str">
            <v>Varkenssneedjes mosterd knolpuree erwt wortel 500g ALDI</v>
          </cell>
          <cell r="C24" t="str">
            <v>X</v>
          </cell>
          <cell r="D24" t="str">
            <v>X</v>
          </cell>
          <cell r="E24" t="str">
            <v>+</v>
          </cell>
          <cell r="F24" t="str">
            <v>X</v>
          </cell>
          <cell r="G24" t="str">
            <v>+</v>
          </cell>
          <cell r="H24" t="str">
            <v>+</v>
          </cell>
          <cell r="I24" t="str">
            <v>X</v>
          </cell>
          <cell r="J24" t="str">
            <v>X</v>
          </cell>
          <cell r="K24" t="str">
            <v>+</v>
          </cell>
          <cell r="L24" t="str">
            <v>X</v>
          </cell>
          <cell r="M24" t="str">
            <v>X</v>
          </cell>
          <cell r="N24" t="str">
            <v>X</v>
          </cell>
          <cell r="O24" t="str">
            <v>-</v>
          </cell>
        </row>
        <row r="25">
          <cell r="A25">
            <v>61658900</v>
          </cell>
          <cell r="B25" t="str">
            <v>Blinde vink uiensaus spinazie puree 500g ALDI</v>
          </cell>
          <cell r="C25" t="str">
            <v>X</v>
          </cell>
          <cell r="D25" t="str">
            <v>+</v>
          </cell>
          <cell r="E25" t="str">
            <v>+</v>
          </cell>
          <cell r="F25" t="str">
            <v>X</v>
          </cell>
          <cell r="G25" t="str">
            <v>+</v>
          </cell>
          <cell r="H25" t="str">
            <v>X</v>
          </cell>
          <cell r="I25" t="str">
            <v>X</v>
          </cell>
          <cell r="J25" t="str">
            <v>X</v>
          </cell>
          <cell r="K25" t="str">
            <v>X</v>
          </cell>
          <cell r="L25" t="str">
            <v>X</v>
          </cell>
          <cell r="M25" t="str">
            <v>X</v>
          </cell>
          <cell r="N25" t="str">
            <v>X</v>
          </cell>
          <cell r="O25" t="str">
            <v>-</v>
          </cell>
        </row>
        <row r="26">
          <cell r="A26">
            <v>61659000</v>
          </cell>
          <cell r="B26" t="str">
            <v>Balletjes tomatensaus bonen puree 500g ALDI</v>
          </cell>
          <cell r="C26" t="str">
            <v>-</v>
          </cell>
          <cell r="D26" t="str">
            <v>+</v>
          </cell>
          <cell r="E26" t="str">
            <v>+</v>
          </cell>
          <cell r="F26" t="str">
            <v>X</v>
          </cell>
          <cell r="G26" t="str">
            <v>+</v>
          </cell>
          <cell r="H26" t="str">
            <v>X</v>
          </cell>
          <cell r="I26" t="str">
            <v>X</v>
          </cell>
          <cell r="J26" t="str">
            <v>X</v>
          </cell>
          <cell r="K26" t="str">
            <v>+</v>
          </cell>
          <cell r="L26" t="str">
            <v>-</v>
          </cell>
          <cell r="M26" t="str">
            <v>X</v>
          </cell>
          <cell r="N26" t="str">
            <v>X</v>
          </cell>
          <cell r="O26" t="str">
            <v>X</v>
          </cell>
        </row>
        <row r="27">
          <cell r="A27">
            <v>61659100</v>
          </cell>
          <cell r="B27" t="str">
            <v>Kabeljauw spinaziesaus puree 500g ALDI</v>
          </cell>
          <cell r="C27" t="str">
            <v>-</v>
          </cell>
          <cell r="D27" t="str">
            <v>+</v>
          </cell>
          <cell r="E27" t="str">
            <v>+</v>
          </cell>
          <cell r="F27" t="str">
            <v>X</v>
          </cell>
          <cell r="G27" t="str">
            <v>+</v>
          </cell>
          <cell r="H27" t="str">
            <v>X</v>
          </cell>
          <cell r="I27" t="str">
            <v>-</v>
          </cell>
          <cell r="J27" t="str">
            <v>-</v>
          </cell>
          <cell r="K27" t="str">
            <v>+</v>
          </cell>
          <cell r="L27" t="str">
            <v>-</v>
          </cell>
          <cell r="M27" t="str">
            <v>X</v>
          </cell>
          <cell r="N27" t="str">
            <v>+</v>
          </cell>
          <cell r="O27" t="str">
            <v>-</v>
          </cell>
        </row>
        <row r="28">
          <cell r="A28">
            <v>61659300</v>
          </cell>
          <cell r="B28" t="str">
            <v xml:space="preserve">Rundstong BR Madeira 750g Aldi   </v>
          </cell>
          <cell r="C28" t="str">
            <v>-</v>
          </cell>
          <cell r="D28" t="str">
            <v>-</v>
          </cell>
          <cell r="E28" t="str">
            <v>+</v>
          </cell>
          <cell r="F28" t="str">
            <v>X</v>
          </cell>
          <cell r="G28" t="str">
            <v>-</v>
          </cell>
          <cell r="H28" t="str">
            <v>X</v>
          </cell>
          <cell r="I28" t="str">
            <v>-</v>
          </cell>
          <cell r="J28" t="str">
            <v>-</v>
          </cell>
          <cell r="K28" t="str">
            <v>+</v>
          </cell>
          <cell r="L28" t="str">
            <v>-</v>
          </cell>
          <cell r="M28" t="str">
            <v>X</v>
          </cell>
          <cell r="N28" t="str">
            <v>-</v>
          </cell>
          <cell r="O28" t="str">
            <v>-</v>
          </cell>
        </row>
        <row r="29">
          <cell r="A29">
            <v>61660100</v>
          </cell>
          <cell r="B29" t="str">
            <v>Videe vulling van de chef met puree ALVO CD 500g</v>
          </cell>
          <cell r="C29" t="str">
            <v>-</v>
          </cell>
          <cell r="D29" t="str">
            <v>+</v>
          </cell>
          <cell r="E29" t="str">
            <v>+</v>
          </cell>
          <cell r="F29" t="str">
            <v>X</v>
          </cell>
          <cell r="G29" t="str">
            <v>+</v>
          </cell>
          <cell r="H29" t="str">
            <v>X</v>
          </cell>
          <cell r="I29" t="str">
            <v>-</v>
          </cell>
          <cell r="J29" t="str">
            <v>X</v>
          </cell>
          <cell r="K29" t="str">
            <v>+</v>
          </cell>
          <cell r="L29" t="str">
            <v>-</v>
          </cell>
          <cell r="M29" t="str">
            <v>X</v>
          </cell>
          <cell r="N29" t="str">
            <v>X</v>
          </cell>
          <cell r="O29" t="str">
            <v>X</v>
          </cell>
        </row>
        <row r="30">
          <cell r="A30">
            <v>61660300</v>
          </cell>
          <cell r="B30" t="str">
            <v>Hamrolletje puree 500g ALVO</v>
          </cell>
          <cell r="C30" t="str">
            <v>-</v>
          </cell>
          <cell r="D30" t="str">
            <v>+</v>
          </cell>
          <cell r="E30" t="str">
            <v>+</v>
          </cell>
          <cell r="F30" t="str">
            <v>X</v>
          </cell>
          <cell r="G30" t="str">
            <v>+</v>
          </cell>
          <cell r="H30" t="str">
            <v>X</v>
          </cell>
          <cell r="I30" t="str">
            <v>-</v>
          </cell>
          <cell r="J30" t="str">
            <v>-</v>
          </cell>
          <cell r="K30" t="str">
            <v>-</v>
          </cell>
          <cell r="L30" t="str">
            <v>-</v>
          </cell>
          <cell r="M30" t="str">
            <v>X</v>
          </cell>
          <cell r="N30" t="str">
            <v>-</v>
          </cell>
          <cell r="O30" t="str">
            <v>-</v>
          </cell>
        </row>
        <row r="31">
          <cell r="A31">
            <v>61660400</v>
          </cell>
          <cell r="B31" t="str">
            <v>Boomstammetje erwt wortel puree 500g ALVO</v>
          </cell>
          <cell r="C31" t="str">
            <v>-</v>
          </cell>
          <cell r="D31" t="str">
            <v>+</v>
          </cell>
          <cell r="E31" t="str">
            <v>+</v>
          </cell>
          <cell r="F31" t="str">
            <v>X</v>
          </cell>
          <cell r="G31" t="str">
            <v>+</v>
          </cell>
          <cell r="H31" t="str">
            <v>X</v>
          </cell>
          <cell r="I31" t="str">
            <v>-</v>
          </cell>
          <cell r="J31" t="str">
            <v>-</v>
          </cell>
          <cell r="K31" t="str">
            <v>X</v>
          </cell>
          <cell r="L31" t="str">
            <v>-</v>
          </cell>
          <cell r="M31" t="str">
            <v>X</v>
          </cell>
          <cell r="N31" t="str">
            <v>-</v>
          </cell>
          <cell r="O31" t="str">
            <v>-</v>
          </cell>
        </row>
        <row r="32">
          <cell r="A32">
            <v>61660600</v>
          </cell>
          <cell r="B32" t="str">
            <v>Rundstong madeirasaus puree 500g ALVO</v>
          </cell>
          <cell r="C32" t="str">
            <v>-</v>
          </cell>
          <cell r="D32" t="str">
            <v>+</v>
          </cell>
          <cell r="E32" t="str">
            <v>+</v>
          </cell>
          <cell r="F32" t="str">
            <v>X</v>
          </cell>
          <cell r="G32" t="str">
            <v>+</v>
          </cell>
          <cell r="H32" t="str">
            <v>X</v>
          </cell>
          <cell r="I32" t="str">
            <v>-</v>
          </cell>
          <cell r="J32" t="str">
            <v>-</v>
          </cell>
          <cell r="K32" t="str">
            <v>+</v>
          </cell>
          <cell r="L32" t="str">
            <v>-</v>
          </cell>
          <cell r="M32" t="str">
            <v>X</v>
          </cell>
          <cell r="N32" t="str">
            <v>-</v>
          </cell>
          <cell r="O32" t="str">
            <v>-</v>
          </cell>
        </row>
        <row r="33">
          <cell r="A33">
            <v>61660900</v>
          </cell>
          <cell r="B33" t="str">
            <v>Kabeljauw visroomsaus broccoli puree 500g Alvo</v>
          </cell>
          <cell r="C33" t="str">
            <v>-</v>
          </cell>
          <cell r="D33" t="str">
            <v>+</v>
          </cell>
          <cell r="E33" t="str">
            <v>+</v>
          </cell>
          <cell r="F33" t="str">
            <v>-</v>
          </cell>
          <cell r="G33" t="str">
            <v>+</v>
          </cell>
          <cell r="H33" t="str">
            <v>X</v>
          </cell>
          <cell r="I33" t="str">
            <v>-</v>
          </cell>
          <cell r="J33" t="str">
            <v>+</v>
          </cell>
          <cell r="K33" t="str">
            <v>+</v>
          </cell>
          <cell r="L33" t="str">
            <v>-</v>
          </cell>
          <cell r="M33" t="str">
            <v>-</v>
          </cell>
          <cell r="N33" t="str">
            <v>+</v>
          </cell>
          <cell r="O33" t="str">
            <v>X</v>
          </cell>
        </row>
        <row r="34">
          <cell r="A34">
            <v>61661000</v>
          </cell>
          <cell r="B34" t="str">
            <v>Kipfilet witloofsaus puree 500g Alvo</v>
          </cell>
          <cell r="C34" t="str">
            <v>-</v>
          </cell>
          <cell r="D34" t="str">
            <v>+</v>
          </cell>
          <cell r="E34" t="str">
            <v>+</v>
          </cell>
          <cell r="F34" t="str">
            <v>-</v>
          </cell>
          <cell r="G34" t="str">
            <v>+</v>
          </cell>
          <cell r="H34" t="str">
            <v>X</v>
          </cell>
          <cell r="I34" t="str">
            <v>-</v>
          </cell>
          <cell r="J34" t="str">
            <v>-</v>
          </cell>
          <cell r="K34" t="str">
            <v>X</v>
          </cell>
          <cell r="L34" t="str">
            <v>-</v>
          </cell>
          <cell r="M34" t="str">
            <v>-</v>
          </cell>
          <cell r="N34" t="str">
            <v>-</v>
          </cell>
          <cell r="O34" t="str">
            <v>-</v>
          </cell>
        </row>
        <row r="35">
          <cell r="A35">
            <v>61672000</v>
          </cell>
          <cell r="B35" t="str">
            <v>Bami goreng kip saté 475g APETITO</v>
          </cell>
          <cell r="C35" t="str">
            <v>+</v>
          </cell>
          <cell r="D35" t="str">
            <v>+</v>
          </cell>
          <cell r="E35" t="str">
            <v>+</v>
          </cell>
          <cell r="F35" t="str">
            <v>X</v>
          </cell>
          <cell r="G35" t="str">
            <v>-</v>
          </cell>
          <cell r="H35" t="str">
            <v>X</v>
          </cell>
          <cell r="I35" t="str">
            <v>-</v>
          </cell>
          <cell r="J35" t="str">
            <v>-</v>
          </cell>
          <cell r="K35" t="str">
            <v>+</v>
          </cell>
          <cell r="L35" t="str">
            <v>-</v>
          </cell>
          <cell r="M35" t="str">
            <v>+</v>
          </cell>
          <cell r="N35" t="str">
            <v>-</v>
          </cell>
          <cell r="O35" t="str">
            <v>-</v>
          </cell>
        </row>
        <row r="36">
          <cell r="A36">
            <v>61672100</v>
          </cell>
          <cell r="B36" t="str">
            <v>Nasi goreng kip saté 475g APETITO</v>
          </cell>
          <cell r="C36" t="str">
            <v>+</v>
          </cell>
          <cell r="D36" t="str">
            <v>+</v>
          </cell>
          <cell r="E36" t="str">
            <v>+</v>
          </cell>
          <cell r="F36" t="str">
            <v>-</v>
          </cell>
          <cell r="G36" t="str">
            <v>-</v>
          </cell>
          <cell r="H36" t="str">
            <v>-</v>
          </cell>
          <cell r="I36" t="str">
            <v>-</v>
          </cell>
          <cell r="J36" t="str">
            <v>-</v>
          </cell>
          <cell r="K36" t="str">
            <v>+</v>
          </cell>
          <cell r="L36" t="str">
            <v>-</v>
          </cell>
          <cell r="M36" t="str">
            <v>+</v>
          </cell>
          <cell r="N36" t="str">
            <v>-</v>
          </cell>
          <cell r="O36" t="str">
            <v>-</v>
          </cell>
        </row>
        <row r="37">
          <cell r="A37">
            <v>61672200</v>
          </cell>
          <cell r="B37" t="str">
            <v>Bami goreng kip saté Na-Arm 475g APETITO</v>
          </cell>
          <cell r="C37" t="str">
            <v>+</v>
          </cell>
          <cell r="D37" t="str">
            <v>+</v>
          </cell>
          <cell r="E37" t="str">
            <v>+</v>
          </cell>
          <cell r="F37" t="str">
            <v>X</v>
          </cell>
          <cell r="G37" t="str">
            <v>-</v>
          </cell>
          <cell r="H37" t="str">
            <v>X</v>
          </cell>
          <cell r="I37" t="str">
            <v>-</v>
          </cell>
          <cell r="J37" t="str">
            <v>-</v>
          </cell>
          <cell r="K37" t="str">
            <v>-</v>
          </cell>
          <cell r="L37" t="str">
            <v>-</v>
          </cell>
          <cell r="M37" t="str">
            <v>X</v>
          </cell>
          <cell r="N37" t="str">
            <v>-</v>
          </cell>
          <cell r="O37" t="str">
            <v>-</v>
          </cell>
        </row>
        <row r="38">
          <cell r="A38">
            <v>61672300</v>
          </cell>
          <cell r="B38" t="str">
            <v xml:space="preserve">Lasagne bolognaise 570g APETITO </v>
          </cell>
          <cell r="C38" t="str">
            <v>-</v>
          </cell>
          <cell r="D38" t="str">
            <v>+</v>
          </cell>
          <cell r="E38" t="str">
            <v>+</v>
          </cell>
          <cell r="F38" t="str">
            <v>-</v>
          </cell>
          <cell r="G38" t="str">
            <v>+</v>
          </cell>
          <cell r="H38" t="str">
            <v>-</v>
          </cell>
          <cell r="I38" t="str">
            <v>-</v>
          </cell>
          <cell r="J38" t="str">
            <v>X</v>
          </cell>
          <cell r="K38" t="str">
            <v>+</v>
          </cell>
          <cell r="L38" t="str">
            <v>-</v>
          </cell>
          <cell r="M38" t="str">
            <v>X</v>
          </cell>
          <cell r="N38" t="str">
            <v>X</v>
          </cell>
          <cell r="O38" t="str">
            <v>-</v>
          </cell>
        </row>
        <row r="39">
          <cell r="A39">
            <v>61684800</v>
          </cell>
          <cell r="B39" t="str">
            <v>Kabeljauw preiroom puree MSC - 500g - LIDL</v>
          </cell>
          <cell r="C39" t="str">
            <v>-</v>
          </cell>
          <cell r="D39" t="str">
            <v>+</v>
          </cell>
          <cell r="E39" t="str">
            <v>+</v>
          </cell>
          <cell r="F39" t="str">
            <v>X</v>
          </cell>
          <cell r="G39" t="str">
            <v>+</v>
          </cell>
          <cell r="H39" t="str">
            <v>X</v>
          </cell>
          <cell r="I39" t="str">
            <v>-</v>
          </cell>
          <cell r="J39" t="str">
            <v>X</v>
          </cell>
          <cell r="K39" t="str">
            <v>-</v>
          </cell>
          <cell r="L39" t="str">
            <v>-</v>
          </cell>
          <cell r="M39" t="str">
            <v>X</v>
          </cell>
          <cell r="N39" t="str">
            <v>+</v>
          </cell>
          <cell r="O39" t="str">
            <v>X</v>
          </cell>
        </row>
        <row r="40">
          <cell r="A40">
            <v>61684900</v>
          </cell>
          <cell r="B40" t="str">
            <v>Kip witloofroomsaus puree - 500g - LIDL</v>
          </cell>
          <cell r="C40" t="str">
            <v>-</v>
          </cell>
          <cell r="D40" t="str">
            <v>+</v>
          </cell>
          <cell r="E40" t="str">
            <v>+</v>
          </cell>
          <cell r="F40" t="str">
            <v>X</v>
          </cell>
          <cell r="G40" t="str">
            <v>+</v>
          </cell>
          <cell r="H40" t="str">
            <v>X</v>
          </cell>
          <cell r="I40" t="str">
            <v>-</v>
          </cell>
          <cell r="J40" t="str">
            <v>-</v>
          </cell>
          <cell r="K40" t="str">
            <v>X</v>
          </cell>
          <cell r="L40" t="str">
            <v>-</v>
          </cell>
          <cell r="M40" t="str">
            <v>X</v>
          </cell>
          <cell r="N40" t="str">
            <v>-</v>
          </cell>
          <cell r="O40" t="str">
            <v>-</v>
          </cell>
        </row>
        <row r="41">
          <cell r="A41">
            <v>61685100</v>
          </cell>
          <cell r="B41" t="str">
            <v>Kip archiduc, erwt-wortel, gebakken aard - 500g - LIDL</v>
          </cell>
          <cell r="C41" t="str">
            <v>-</v>
          </cell>
          <cell r="D41" t="str">
            <v>X</v>
          </cell>
          <cell r="E41" t="str">
            <v>+</v>
          </cell>
          <cell r="F41" t="str">
            <v>X</v>
          </cell>
          <cell r="G41" t="str">
            <v>+</v>
          </cell>
          <cell r="H41" t="str">
            <v>X</v>
          </cell>
          <cell r="I41" t="str">
            <v>-</v>
          </cell>
          <cell r="J41" t="str">
            <v>-</v>
          </cell>
          <cell r="K41" t="str">
            <v>-</v>
          </cell>
          <cell r="L41" t="str">
            <v>-</v>
          </cell>
          <cell r="M41" t="str">
            <v>X</v>
          </cell>
          <cell r="N41" t="str">
            <v>-</v>
          </cell>
          <cell r="O41" t="str">
            <v>-</v>
          </cell>
        </row>
        <row r="42">
          <cell r="A42">
            <v>61685300</v>
          </cell>
          <cell r="B42" t="str">
            <v>Balletjes tomatensaus boontjes puree 500g LIDL</v>
          </cell>
          <cell r="C42" t="str">
            <v>-</v>
          </cell>
          <cell r="D42" t="str">
            <v>+</v>
          </cell>
          <cell r="E42" t="str">
            <v>+</v>
          </cell>
          <cell r="F42" t="str">
            <v>X</v>
          </cell>
          <cell r="G42" t="str">
            <v>+</v>
          </cell>
          <cell r="H42" t="str">
            <v>X</v>
          </cell>
          <cell r="I42" t="str">
            <v>X</v>
          </cell>
          <cell r="J42" t="str">
            <v>X</v>
          </cell>
          <cell r="K42" t="str">
            <v>+</v>
          </cell>
          <cell r="L42" t="str">
            <v>-</v>
          </cell>
          <cell r="M42" t="str">
            <v>X</v>
          </cell>
          <cell r="N42" t="str">
            <v>X</v>
          </cell>
          <cell r="O42" t="str">
            <v>X</v>
          </cell>
        </row>
        <row r="43">
          <cell r="A43">
            <v>61686000</v>
          </cell>
          <cell r="B43" t="str">
            <v>Aardappelgratin XXL 800g LIDL</v>
          </cell>
          <cell r="C43" t="str">
            <v>-</v>
          </cell>
          <cell r="D43" t="str">
            <v>-</v>
          </cell>
          <cell r="E43" t="str">
            <v>+</v>
          </cell>
          <cell r="F43" t="str">
            <v>X</v>
          </cell>
          <cell r="G43" t="str">
            <v>+</v>
          </cell>
          <cell r="H43" t="str">
            <v>X</v>
          </cell>
          <cell r="I43" t="str">
            <v>-</v>
          </cell>
          <cell r="J43" t="str">
            <v>-</v>
          </cell>
          <cell r="K43" t="str">
            <v>-</v>
          </cell>
          <cell r="L43" t="str">
            <v>-</v>
          </cell>
          <cell r="M43" t="str">
            <v>X</v>
          </cell>
          <cell r="N43" t="str">
            <v>-</v>
          </cell>
          <cell r="O43" t="str">
            <v>-</v>
          </cell>
        </row>
        <row r="44">
          <cell r="A44">
            <v>61686100</v>
          </cell>
          <cell r="B44" t="str">
            <v>Gratin boschampignons truffel 700g LIDL</v>
          </cell>
          <cell r="C44" t="str">
            <v>-</v>
          </cell>
          <cell r="D44" t="str">
            <v>-</v>
          </cell>
          <cell r="E44" t="str">
            <v>+</v>
          </cell>
          <cell r="F44" t="str">
            <v>X</v>
          </cell>
          <cell r="G44" t="str">
            <v>+</v>
          </cell>
          <cell r="H44" t="str">
            <v>X</v>
          </cell>
          <cell r="I44" t="str">
            <v>-</v>
          </cell>
          <cell r="J44" t="str">
            <v>-</v>
          </cell>
          <cell r="K44" t="str">
            <v>+</v>
          </cell>
          <cell r="L44" t="str">
            <v>-</v>
          </cell>
          <cell r="M44" t="str">
            <v>X</v>
          </cell>
          <cell r="N44" t="str">
            <v>-</v>
          </cell>
          <cell r="O44" t="str">
            <v>-</v>
          </cell>
        </row>
        <row r="45">
          <cell r="A45">
            <v>61686200</v>
          </cell>
          <cell r="B45" t="str">
            <v>Gratin savooi- spitskool raclette 700g LIDL</v>
          </cell>
          <cell r="C45" t="str">
            <v>-</v>
          </cell>
          <cell r="D45" t="str">
            <v>-</v>
          </cell>
          <cell r="E45" t="str">
            <v>+</v>
          </cell>
          <cell r="F45" t="str">
            <v>X</v>
          </cell>
          <cell r="G45" t="str">
            <v>+</v>
          </cell>
          <cell r="H45" t="str">
            <v>X</v>
          </cell>
          <cell r="I45" t="str">
            <v>-</v>
          </cell>
          <cell r="J45" t="str">
            <v>-</v>
          </cell>
          <cell r="K45" t="str">
            <v>+</v>
          </cell>
          <cell r="L45" t="str">
            <v>-</v>
          </cell>
          <cell r="M45" t="str">
            <v>X</v>
          </cell>
          <cell r="N45" t="str">
            <v>-</v>
          </cell>
          <cell r="O45" t="str">
            <v>-</v>
          </cell>
        </row>
        <row r="46">
          <cell r="A46">
            <v>61690400</v>
          </cell>
          <cell r="B46" t="str">
            <v>Gratin Dauphinois 800g BOF</v>
          </cell>
          <cell r="C46" t="str">
            <v>-</v>
          </cell>
          <cell r="D46" t="str">
            <v>-</v>
          </cell>
          <cell r="E46" t="str">
            <v>+</v>
          </cell>
          <cell r="F46" t="str">
            <v>X</v>
          </cell>
          <cell r="G46" t="str">
            <v>+</v>
          </cell>
          <cell r="H46" t="str">
            <v>X</v>
          </cell>
          <cell r="I46" t="str">
            <v>-</v>
          </cell>
          <cell r="J46" t="str">
            <v>-</v>
          </cell>
          <cell r="K46" t="str">
            <v>-</v>
          </cell>
          <cell r="L46" t="str">
            <v>-</v>
          </cell>
          <cell r="M46" t="str">
            <v>X</v>
          </cell>
          <cell r="N46" t="str">
            <v>-</v>
          </cell>
          <cell r="O46" t="str">
            <v>-</v>
          </cell>
        </row>
        <row r="47">
          <cell r="A47">
            <v>61690500</v>
          </cell>
          <cell r="B47" t="str">
            <v>Rundstong madeira puree 450g BOF</v>
          </cell>
          <cell r="C47" t="str">
            <v>-</v>
          </cell>
          <cell r="D47" t="str">
            <v>+</v>
          </cell>
          <cell r="E47" t="str">
            <v>+</v>
          </cell>
          <cell r="F47" t="str">
            <v>X</v>
          </cell>
          <cell r="G47" t="str">
            <v>+</v>
          </cell>
          <cell r="H47" t="str">
            <v>X</v>
          </cell>
          <cell r="I47" t="str">
            <v>-</v>
          </cell>
          <cell r="J47" t="str">
            <v>-</v>
          </cell>
          <cell r="K47" t="str">
            <v>+</v>
          </cell>
          <cell r="L47" t="str">
            <v>-</v>
          </cell>
          <cell r="M47" t="str">
            <v>X</v>
          </cell>
          <cell r="N47" t="str">
            <v>-</v>
          </cell>
          <cell r="O47" t="str">
            <v>-</v>
          </cell>
        </row>
        <row r="48">
          <cell r="A48">
            <v>61690600</v>
          </cell>
          <cell r="B48" t="str">
            <v>Witloof ham kaas puree 550g BOF</v>
          </cell>
          <cell r="C48" t="str">
            <v>-</v>
          </cell>
          <cell r="D48" t="str">
            <v>+</v>
          </cell>
          <cell r="E48" t="str">
            <v>+</v>
          </cell>
          <cell r="F48" t="str">
            <v>X</v>
          </cell>
          <cell r="G48" t="str">
            <v>+</v>
          </cell>
          <cell r="H48" t="str">
            <v>X</v>
          </cell>
          <cell r="I48" t="str">
            <v>-</v>
          </cell>
          <cell r="J48" t="str">
            <v>-</v>
          </cell>
          <cell r="K48" t="str">
            <v>-</v>
          </cell>
          <cell r="L48" t="str">
            <v>-</v>
          </cell>
          <cell r="M48" t="str">
            <v>X</v>
          </cell>
          <cell r="N48" t="str">
            <v>-</v>
          </cell>
          <cell r="O48" t="str">
            <v>-</v>
          </cell>
        </row>
        <row r="49">
          <cell r="A49">
            <v>61690700</v>
          </cell>
          <cell r="B49" t="str">
            <v>Vispannetje Oostends 500g BOF</v>
          </cell>
          <cell r="C49" t="str">
            <v>-</v>
          </cell>
          <cell r="D49" t="str">
            <v>-</v>
          </cell>
          <cell r="E49" t="str">
            <v>+</v>
          </cell>
          <cell r="F49" t="str">
            <v>X</v>
          </cell>
          <cell r="G49" t="str">
            <v>+</v>
          </cell>
          <cell r="H49" t="str">
            <v>X</v>
          </cell>
          <cell r="I49" t="str">
            <v>-</v>
          </cell>
          <cell r="J49" t="str">
            <v>X</v>
          </cell>
          <cell r="K49" t="str">
            <v>+</v>
          </cell>
          <cell r="L49" t="str">
            <v>-</v>
          </cell>
          <cell r="M49" t="str">
            <v>X</v>
          </cell>
          <cell r="N49" t="str">
            <v>+</v>
          </cell>
          <cell r="O49" t="str">
            <v>X</v>
          </cell>
        </row>
        <row r="50">
          <cell r="A50">
            <v>61690800</v>
          </cell>
          <cell r="B50" t="str">
            <v>Spaghetti bolognaise 500g BOF</v>
          </cell>
          <cell r="C50" t="str">
            <v>-</v>
          </cell>
          <cell r="D50" t="str">
            <v>X</v>
          </cell>
          <cell r="E50" t="str">
            <v>+</v>
          </cell>
          <cell r="F50" t="str">
            <v>X</v>
          </cell>
          <cell r="G50" t="str">
            <v>-</v>
          </cell>
          <cell r="H50" t="str">
            <v>X</v>
          </cell>
          <cell r="I50" t="str">
            <v>-</v>
          </cell>
          <cell r="J50" t="str">
            <v>-</v>
          </cell>
          <cell r="K50" t="str">
            <v>+</v>
          </cell>
          <cell r="L50" t="str">
            <v>-</v>
          </cell>
          <cell r="M50" t="str">
            <v>X</v>
          </cell>
          <cell r="N50" t="str">
            <v>-</v>
          </cell>
          <cell r="O50" t="str">
            <v>-</v>
          </cell>
        </row>
        <row r="51">
          <cell r="A51">
            <v>61691100</v>
          </cell>
          <cell r="B51" t="str">
            <v>Boerenkoomstamppot boomstammetje 450g BOF</v>
          </cell>
          <cell r="C51" t="str">
            <v>-</v>
          </cell>
          <cell r="D51" t="str">
            <v>+</v>
          </cell>
          <cell r="E51" t="str">
            <v>+</v>
          </cell>
          <cell r="F51" t="str">
            <v>X</v>
          </cell>
          <cell r="G51" t="str">
            <v>+</v>
          </cell>
          <cell r="H51" t="str">
            <v>X</v>
          </cell>
          <cell r="I51" t="str">
            <v>-</v>
          </cell>
          <cell r="J51" t="str">
            <v>-</v>
          </cell>
          <cell r="K51" t="str">
            <v>X</v>
          </cell>
          <cell r="L51" t="str">
            <v>-</v>
          </cell>
          <cell r="M51" t="str">
            <v>X</v>
          </cell>
          <cell r="N51" t="str">
            <v>-</v>
          </cell>
          <cell r="O51" t="str">
            <v>-</v>
          </cell>
        </row>
        <row r="52">
          <cell r="A52">
            <v>61691200</v>
          </cell>
          <cell r="B52" t="str">
            <v>Kippenragout met bieslook- en peterseliepuree 525g Bof</v>
          </cell>
          <cell r="C52" t="str">
            <v>-</v>
          </cell>
          <cell r="D52" t="str">
            <v>+</v>
          </cell>
          <cell r="E52" t="str">
            <v>+</v>
          </cell>
          <cell r="F52" t="str">
            <v>X</v>
          </cell>
          <cell r="G52" t="str">
            <v>+</v>
          </cell>
          <cell r="H52" t="str">
            <v>X</v>
          </cell>
          <cell r="I52" t="str">
            <v>-</v>
          </cell>
          <cell r="J52" t="str">
            <v>X</v>
          </cell>
          <cell r="K52" t="str">
            <v>X</v>
          </cell>
          <cell r="L52" t="str">
            <v>-</v>
          </cell>
          <cell r="M52" t="str">
            <v>X</v>
          </cell>
          <cell r="N52" t="str">
            <v>X</v>
          </cell>
          <cell r="O52" t="str">
            <v>X</v>
          </cell>
        </row>
        <row r="53">
          <cell r="A53">
            <v>61691400</v>
          </cell>
          <cell r="B53" t="str">
            <v>Hamburger ajuinsaus viergroenten stampot 500g BOF</v>
          </cell>
          <cell r="C53" t="str">
            <v>-</v>
          </cell>
          <cell r="D53" t="str">
            <v>X</v>
          </cell>
          <cell r="E53" t="str">
            <v>+</v>
          </cell>
          <cell r="F53" t="str">
            <v>X</v>
          </cell>
          <cell r="G53" t="str">
            <v>+</v>
          </cell>
          <cell r="H53" t="str">
            <v>X</v>
          </cell>
          <cell r="I53" t="str">
            <v>-</v>
          </cell>
          <cell r="J53" t="str">
            <v>-</v>
          </cell>
          <cell r="K53" t="str">
            <v>X</v>
          </cell>
          <cell r="L53" t="str">
            <v>-</v>
          </cell>
          <cell r="M53" t="str">
            <v>X</v>
          </cell>
          <cell r="N53" t="str">
            <v>-</v>
          </cell>
          <cell r="O53" t="str">
            <v>-</v>
          </cell>
        </row>
        <row r="54">
          <cell r="A54">
            <v>61691500</v>
          </cell>
          <cell r="B54" t="str">
            <v>Ham witloofrolletjes kaassaus 800g BOF</v>
          </cell>
          <cell r="C54" t="str">
            <v>-</v>
          </cell>
          <cell r="D54" t="str">
            <v>-</v>
          </cell>
          <cell r="E54" t="str">
            <v>+</v>
          </cell>
          <cell r="F54" t="str">
            <v>X</v>
          </cell>
          <cell r="G54" t="str">
            <v>+</v>
          </cell>
          <cell r="H54" t="str">
            <v>X</v>
          </cell>
          <cell r="I54" t="str">
            <v>-</v>
          </cell>
          <cell r="J54" t="str">
            <v>-</v>
          </cell>
          <cell r="K54" t="str">
            <v>-</v>
          </cell>
          <cell r="L54" t="str">
            <v>-</v>
          </cell>
          <cell r="M54" t="str">
            <v>X</v>
          </cell>
          <cell r="N54" t="str">
            <v>-</v>
          </cell>
          <cell r="O54" t="str">
            <v>-</v>
          </cell>
        </row>
        <row r="55">
          <cell r="A55">
            <v>61691600</v>
          </cell>
          <cell r="B55" t="str">
            <v xml:space="preserve">Varkenshaasje peperroom wortelen puree 500g BOF </v>
          </cell>
          <cell r="C55" t="str">
            <v>-</v>
          </cell>
          <cell r="D55" t="str">
            <v>+</v>
          </cell>
          <cell r="E55" t="str">
            <v>+</v>
          </cell>
          <cell r="F55" t="str">
            <v>X</v>
          </cell>
          <cell r="G55" t="str">
            <v>+</v>
          </cell>
          <cell r="H55" t="str">
            <v>X</v>
          </cell>
          <cell r="I55" t="str">
            <v>-</v>
          </cell>
          <cell r="J55" t="str">
            <v>-</v>
          </cell>
          <cell r="K55" t="str">
            <v>-</v>
          </cell>
          <cell r="L55" t="str">
            <v>-</v>
          </cell>
          <cell r="M55" t="str">
            <v>X</v>
          </cell>
          <cell r="N55" t="str">
            <v>-</v>
          </cell>
          <cell r="O55" t="str">
            <v>-</v>
          </cell>
        </row>
        <row r="56">
          <cell r="A56">
            <v>61691800</v>
          </cell>
          <cell r="B56" t="str">
            <v>Kalkoenfilet met groenten 480g BOF</v>
          </cell>
          <cell r="C56" t="str">
            <v>-</v>
          </cell>
          <cell r="D56" t="str">
            <v>X</v>
          </cell>
          <cell r="E56" t="str">
            <v>+</v>
          </cell>
          <cell r="F56" t="str">
            <v>X</v>
          </cell>
          <cell r="G56" t="str">
            <v>+</v>
          </cell>
          <cell r="H56" t="str">
            <v>X</v>
          </cell>
          <cell r="I56" t="str">
            <v>-</v>
          </cell>
          <cell r="J56" t="str">
            <v>-</v>
          </cell>
          <cell r="K56" t="str">
            <v>-</v>
          </cell>
          <cell r="L56" t="str">
            <v>-</v>
          </cell>
          <cell r="M56" t="str">
            <v>X</v>
          </cell>
          <cell r="N56" t="str">
            <v>-</v>
          </cell>
          <cell r="O56" t="str">
            <v>-</v>
          </cell>
        </row>
        <row r="57">
          <cell r="A57">
            <v>61691900</v>
          </cell>
          <cell r="B57" t="str">
            <v>Runderstoofpotje met wortelstamppot 500g BOF</v>
          </cell>
          <cell r="C57" t="str">
            <v>-</v>
          </cell>
          <cell r="D57" t="str">
            <v>X</v>
          </cell>
          <cell r="E57" t="str">
            <v>X</v>
          </cell>
          <cell r="F57" t="str">
            <v>-</v>
          </cell>
          <cell r="G57" t="str">
            <v>+</v>
          </cell>
          <cell r="H57" t="str">
            <v>X</v>
          </cell>
          <cell r="I57" t="str">
            <v>-</v>
          </cell>
          <cell r="J57" t="str">
            <v>-</v>
          </cell>
          <cell r="K57" t="str">
            <v>-</v>
          </cell>
          <cell r="L57" t="str">
            <v>-</v>
          </cell>
          <cell r="M57" t="str">
            <v>X</v>
          </cell>
          <cell r="N57" t="str">
            <v>-</v>
          </cell>
          <cell r="O57" t="str">
            <v>-</v>
          </cell>
        </row>
        <row r="58">
          <cell r="A58">
            <v>61692500</v>
          </cell>
          <cell r="B58" t="str">
            <v>Kabeljauw haasje mosterd 2x225g BOF</v>
          </cell>
          <cell r="C58" t="str">
            <v>-</v>
          </cell>
          <cell r="D58" t="str">
            <v>-</v>
          </cell>
          <cell r="E58" t="str">
            <v>+</v>
          </cell>
          <cell r="F58" t="str">
            <v>X</v>
          </cell>
          <cell r="G58" t="str">
            <v>+</v>
          </cell>
          <cell r="H58" t="str">
            <v>+</v>
          </cell>
          <cell r="I58" t="str">
            <v>-</v>
          </cell>
          <cell r="J58" t="str">
            <v>X</v>
          </cell>
          <cell r="K58" t="str">
            <v>+</v>
          </cell>
          <cell r="L58" t="str">
            <v>-</v>
          </cell>
          <cell r="M58" t="str">
            <v>X</v>
          </cell>
          <cell r="N58" t="str">
            <v>+</v>
          </cell>
          <cell r="O58" t="str">
            <v>X</v>
          </cell>
        </row>
        <row r="59">
          <cell r="A59">
            <v>61692600</v>
          </cell>
          <cell r="B59" t="str">
            <v>Kabeljauw haasjes lentesaus 2x225g BOF</v>
          </cell>
          <cell r="C59" t="str">
            <v>-</v>
          </cell>
          <cell r="D59" t="str">
            <v>-</v>
          </cell>
          <cell r="E59" t="str">
            <v>+</v>
          </cell>
          <cell r="F59" t="str">
            <v>X</v>
          </cell>
          <cell r="G59" t="str">
            <v>+</v>
          </cell>
          <cell r="H59" t="str">
            <v>X</v>
          </cell>
          <cell r="I59" t="str">
            <v>-</v>
          </cell>
          <cell r="J59" t="str">
            <v>X</v>
          </cell>
          <cell r="K59" t="str">
            <v>+</v>
          </cell>
          <cell r="L59" t="str">
            <v>-</v>
          </cell>
          <cell r="M59" t="str">
            <v>X</v>
          </cell>
          <cell r="N59" t="str">
            <v>+</v>
          </cell>
          <cell r="O59" t="str">
            <v>X</v>
          </cell>
        </row>
        <row r="60">
          <cell r="A60">
            <v>61692700</v>
          </cell>
          <cell r="B60" t="str">
            <v>Reuze garnalen lookroomsaus 2x200g BOF</v>
          </cell>
          <cell r="C60" t="str">
            <v>-</v>
          </cell>
          <cell r="D60" t="str">
            <v>-</v>
          </cell>
          <cell r="E60" t="str">
            <v>-</v>
          </cell>
          <cell r="F60" t="str">
            <v>-</v>
          </cell>
          <cell r="G60" t="str">
            <v>+</v>
          </cell>
          <cell r="H60" t="str">
            <v>-</v>
          </cell>
          <cell r="I60" t="str">
            <v>-</v>
          </cell>
          <cell r="J60" t="str">
            <v>+</v>
          </cell>
          <cell r="K60" t="str">
            <v>-</v>
          </cell>
          <cell r="L60" t="str">
            <v>-</v>
          </cell>
          <cell r="M60" t="str">
            <v>-</v>
          </cell>
          <cell r="N60" t="str">
            <v>+</v>
          </cell>
          <cell r="O60" t="str">
            <v>X</v>
          </cell>
        </row>
        <row r="61">
          <cell r="A61">
            <v>61692800</v>
          </cell>
          <cell r="B61" t="str">
            <v>Reuze garnalen pittige tomatensaus 2x200g BOF</v>
          </cell>
          <cell r="C61" t="str">
            <v>-</v>
          </cell>
          <cell r="D61" t="str">
            <v>-</v>
          </cell>
          <cell r="E61" t="str">
            <v>-</v>
          </cell>
          <cell r="F61" t="str">
            <v>-</v>
          </cell>
          <cell r="G61" t="str">
            <v>+</v>
          </cell>
          <cell r="H61" t="str">
            <v>-</v>
          </cell>
          <cell r="I61" t="str">
            <v>-</v>
          </cell>
          <cell r="J61" t="str">
            <v>+</v>
          </cell>
          <cell r="K61" t="str">
            <v>-</v>
          </cell>
          <cell r="L61" t="str">
            <v>-</v>
          </cell>
          <cell r="M61" t="str">
            <v>-</v>
          </cell>
          <cell r="N61" t="str">
            <v>+</v>
          </cell>
          <cell r="O61" t="str">
            <v>X</v>
          </cell>
        </row>
        <row r="62">
          <cell r="A62">
            <v>61693200</v>
          </cell>
          <cell r="B62" t="str">
            <v>Zalm bearnaise bonen sjalottenpuree fjine kruiden 450g BOF</v>
          </cell>
          <cell r="C62" t="str">
            <v>-</v>
          </cell>
          <cell r="D62" t="str">
            <v>-</v>
          </cell>
          <cell r="E62" t="str">
            <v>+</v>
          </cell>
          <cell r="F62" t="str">
            <v>X</v>
          </cell>
          <cell r="G62" t="str">
            <v>+</v>
          </cell>
          <cell r="H62" t="str">
            <v>X</v>
          </cell>
          <cell r="I62" t="str">
            <v>-</v>
          </cell>
          <cell r="J62" t="str">
            <v>X</v>
          </cell>
          <cell r="K62" t="str">
            <v>-</v>
          </cell>
          <cell r="L62" t="str">
            <v>-</v>
          </cell>
          <cell r="M62" t="str">
            <v>X</v>
          </cell>
          <cell r="N62" t="str">
            <v>+</v>
          </cell>
          <cell r="O62" t="str">
            <v>X</v>
          </cell>
        </row>
        <row r="63">
          <cell r="A63">
            <v>61693400</v>
          </cell>
          <cell r="B63" t="str">
            <v>Reuze garnalen curry 2x200g BOF</v>
          </cell>
          <cell r="C63" t="str">
            <v>-</v>
          </cell>
          <cell r="D63" t="str">
            <v>-</v>
          </cell>
          <cell r="E63" t="str">
            <v>+</v>
          </cell>
          <cell r="F63" t="str">
            <v>X</v>
          </cell>
          <cell r="G63" t="str">
            <v>+</v>
          </cell>
          <cell r="H63" t="str">
            <v>+</v>
          </cell>
          <cell r="I63" t="str">
            <v>-</v>
          </cell>
          <cell r="J63" t="str">
            <v>+</v>
          </cell>
          <cell r="K63" t="str">
            <v>+</v>
          </cell>
          <cell r="L63" t="str">
            <v>-</v>
          </cell>
          <cell r="M63" t="str">
            <v>X</v>
          </cell>
          <cell r="N63" t="str">
            <v>+</v>
          </cell>
          <cell r="O63" t="str">
            <v>X</v>
          </cell>
        </row>
        <row r="64">
          <cell r="A64">
            <v>61693500</v>
          </cell>
          <cell r="B64" t="str">
            <v>Scampi Thaise rode curry linguini 450g BOF</v>
          </cell>
          <cell r="C64" t="str">
            <v>-</v>
          </cell>
          <cell r="D64" t="str">
            <v>X</v>
          </cell>
          <cell r="E64" t="str">
            <v>+</v>
          </cell>
          <cell r="F64" t="str">
            <v>X</v>
          </cell>
          <cell r="G64" t="str">
            <v>-</v>
          </cell>
          <cell r="H64" t="str">
            <v>X</v>
          </cell>
          <cell r="I64" t="str">
            <v>-</v>
          </cell>
          <cell r="J64" t="str">
            <v>+</v>
          </cell>
          <cell r="K64" t="str">
            <v>-</v>
          </cell>
          <cell r="L64" t="str">
            <v>-</v>
          </cell>
          <cell r="M64" t="str">
            <v>+</v>
          </cell>
          <cell r="N64" t="str">
            <v>-</v>
          </cell>
          <cell r="O64" t="str">
            <v>-</v>
          </cell>
        </row>
        <row r="65">
          <cell r="A65">
            <v>61693600</v>
          </cell>
          <cell r="B65" t="str">
            <v>Rundsstoofpotje andijviestamppot 500g BOF</v>
          </cell>
          <cell r="C65" t="str">
            <v>-</v>
          </cell>
          <cell r="D65" t="str">
            <v>X</v>
          </cell>
          <cell r="E65" t="str">
            <v>+</v>
          </cell>
          <cell r="F65" t="str">
            <v>X</v>
          </cell>
          <cell r="G65" t="str">
            <v>+</v>
          </cell>
          <cell r="H65" t="str">
            <v>X</v>
          </cell>
          <cell r="I65" t="str">
            <v>-</v>
          </cell>
          <cell r="J65" t="str">
            <v>-</v>
          </cell>
          <cell r="K65" t="str">
            <v>-</v>
          </cell>
          <cell r="L65" t="str">
            <v>-</v>
          </cell>
          <cell r="M65" t="str">
            <v>X</v>
          </cell>
          <cell r="N65" t="str">
            <v>-</v>
          </cell>
          <cell r="O65" t="str">
            <v>-</v>
          </cell>
        </row>
        <row r="66">
          <cell r="A66">
            <v>61693700</v>
          </cell>
          <cell r="B66" t="str">
            <v>Witloof ham kaas puree 500g BOF</v>
          </cell>
          <cell r="C66" t="str">
            <v>-</v>
          </cell>
          <cell r="D66" t="str">
            <v>+</v>
          </cell>
          <cell r="E66" t="str">
            <v>+</v>
          </cell>
          <cell r="F66" t="str">
            <v>X</v>
          </cell>
          <cell r="G66" t="str">
            <v>+</v>
          </cell>
          <cell r="H66" t="str">
            <v>X</v>
          </cell>
          <cell r="I66" t="str">
            <v>-</v>
          </cell>
          <cell r="J66" t="str">
            <v>-</v>
          </cell>
          <cell r="K66" t="str">
            <v>-</v>
          </cell>
          <cell r="L66" t="str">
            <v>-</v>
          </cell>
          <cell r="M66" t="str">
            <v>X</v>
          </cell>
          <cell r="N66" t="str">
            <v>-</v>
          </cell>
          <cell r="O66" t="str">
            <v>-</v>
          </cell>
        </row>
        <row r="67">
          <cell r="A67">
            <v>61693800</v>
          </cell>
          <cell r="B67" t="str">
            <v>Zalm ASC bearnaise bonen sjalottenpuree fjine kr 450g BOF</v>
          </cell>
          <cell r="C67" t="str">
            <v>-</v>
          </cell>
          <cell r="D67" t="str">
            <v>-</v>
          </cell>
          <cell r="E67" t="str">
            <v>+</v>
          </cell>
          <cell r="F67" t="str">
            <v>X</v>
          </cell>
          <cell r="G67" t="str">
            <v>+</v>
          </cell>
          <cell r="H67" t="str">
            <v>X</v>
          </cell>
          <cell r="I67" t="str">
            <v>-</v>
          </cell>
          <cell r="J67" t="str">
            <v>X</v>
          </cell>
          <cell r="K67" t="str">
            <v>-</v>
          </cell>
          <cell r="L67" t="str">
            <v>-</v>
          </cell>
          <cell r="M67" t="str">
            <v>X</v>
          </cell>
          <cell r="N67" t="str">
            <v>+</v>
          </cell>
          <cell r="O67" t="str">
            <v>X</v>
          </cell>
        </row>
        <row r="68">
          <cell r="A68">
            <v>61694000</v>
          </cell>
          <cell r="B68" t="str">
            <v>Runderstoofpotje wortelstamppot 500g BOF</v>
          </cell>
          <cell r="C68" t="str">
            <v>-</v>
          </cell>
          <cell r="D68" t="str">
            <v>X</v>
          </cell>
          <cell r="E68" t="str">
            <v>X</v>
          </cell>
          <cell r="F68" t="str">
            <v>-</v>
          </cell>
          <cell r="G68" t="str">
            <v>+</v>
          </cell>
          <cell r="H68" t="str">
            <v>X</v>
          </cell>
          <cell r="I68" t="str">
            <v>-</v>
          </cell>
          <cell r="J68" t="str">
            <v>-</v>
          </cell>
          <cell r="K68" t="str">
            <v>-</v>
          </cell>
          <cell r="L68" t="str">
            <v>-</v>
          </cell>
          <cell r="M68" t="str">
            <v>X</v>
          </cell>
          <cell r="N68" t="str">
            <v>-</v>
          </cell>
          <cell r="O68" t="str">
            <v>-</v>
          </cell>
        </row>
        <row r="69">
          <cell r="A69">
            <v>61694100</v>
          </cell>
          <cell r="B69" t="str">
            <v>Kip bearnaise rijstmix extra erwten BOF BE 420g</v>
          </cell>
          <cell r="C69" t="str">
            <v>-</v>
          </cell>
          <cell r="D69" t="str">
            <v>+</v>
          </cell>
          <cell r="E69" t="str">
            <v>+</v>
          </cell>
          <cell r="F69" t="str">
            <v>X</v>
          </cell>
          <cell r="G69" t="str">
            <v>+</v>
          </cell>
          <cell r="H69" t="str">
            <v>X</v>
          </cell>
          <cell r="I69" t="str">
            <v>-</v>
          </cell>
          <cell r="J69" t="str">
            <v>-</v>
          </cell>
          <cell r="K69" t="str">
            <v>-</v>
          </cell>
          <cell r="L69" t="str">
            <v>-</v>
          </cell>
          <cell r="M69" t="str">
            <v>X</v>
          </cell>
          <cell r="N69" t="str">
            <v>-</v>
          </cell>
          <cell r="O69" t="str">
            <v>-</v>
          </cell>
        </row>
        <row r="70">
          <cell r="A70">
            <v>61694200</v>
          </cell>
          <cell r="B70" t="str">
            <v>Krokante vis roomspinazie puree bieslook peters 450g  BOF BE</v>
          </cell>
          <cell r="C70" t="str">
            <v>-</v>
          </cell>
          <cell r="D70" t="str">
            <v>+</v>
          </cell>
          <cell r="E70" t="str">
            <v>+</v>
          </cell>
          <cell r="F70" t="str">
            <v>-</v>
          </cell>
          <cell r="G70" t="str">
            <v>+</v>
          </cell>
          <cell r="H70" t="str">
            <v>-</v>
          </cell>
          <cell r="I70" t="str">
            <v>-</v>
          </cell>
          <cell r="J70" t="str">
            <v>-</v>
          </cell>
          <cell r="K70" t="str">
            <v>-</v>
          </cell>
          <cell r="L70" t="str">
            <v>-</v>
          </cell>
          <cell r="M70" t="str">
            <v>-</v>
          </cell>
          <cell r="N70" t="str">
            <v>+</v>
          </cell>
          <cell r="O70" t="str">
            <v>-</v>
          </cell>
        </row>
        <row r="71">
          <cell r="A71">
            <v>61694300</v>
          </cell>
          <cell r="B71" t="str">
            <v>Kiphaasje archiduc wortel erwt geb aardap 460g BOF BE</v>
          </cell>
          <cell r="C71" t="str">
            <v>-</v>
          </cell>
          <cell r="D71" t="str">
            <v>X</v>
          </cell>
          <cell r="E71" t="str">
            <v>+</v>
          </cell>
          <cell r="F71" t="str">
            <v>X</v>
          </cell>
          <cell r="G71" t="str">
            <v>+</v>
          </cell>
          <cell r="H71" t="str">
            <v>X</v>
          </cell>
          <cell r="I71" t="str">
            <v>-</v>
          </cell>
          <cell r="J71" t="str">
            <v>-</v>
          </cell>
          <cell r="K71" t="str">
            <v>-</v>
          </cell>
          <cell r="L71" t="str">
            <v>-</v>
          </cell>
          <cell r="M71" t="str">
            <v>X</v>
          </cell>
          <cell r="N71" t="str">
            <v>-</v>
          </cell>
          <cell r="O71" t="str">
            <v>-</v>
          </cell>
        </row>
        <row r="72">
          <cell r="A72">
            <v>61694500</v>
          </cell>
          <cell r="B72" t="str">
            <v xml:space="preserve">Kalkoenhaasje fine champagne 450g BOF </v>
          </cell>
          <cell r="C72" t="str">
            <v>-</v>
          </cell>
          <cell r="D72" t="str">
            <v>X</v>
          </cell>
          <cell r="E72" t="str">
            <v>+</v>
          </cell>
          <cell r="F72" t="str">
            <v>X</v>
          </cell>
          <cell r="G72" t="str">
            <v>+</v>
          </cell>
          <cell r="H72" t="str">
            <v>X</v>
          </cell>
          <cell r="I72" t="str">
            <v>-</v>
          </cell>
          <cell r="J72" t="str">
            <v>-</v>
          </cell>
          <cell r="K72" t="str">
            <v>-</v>
          </cell>
          <cell r="L72" t="str">
            <v>-</v>
          </cell>
          <cell r="M72" t="str">
            <v>X</v>
          </cell>
          <cell r="N72" t="str">
            <v>-</v>
          </cell>
          <cell r="O72" t="str">
            <v>-</v>
          </cell>
        </row>
        <row r="73">
          <cell r="A73">
            <v>61694600</v>
          </cell>
          <cell r="B73" t="str">
            <v>Varkensgebraad mosterdsaus boontjes 450g BOF</v>
          </cell>
          <cell r="C73" t="str">
            <v>-</v>
          </cell>
          <cell r="D73" t="str">
            <v>-</v>
          </cell>
          <cell r="E73" t="str">
            <v>+</v>
          </cell>
          <cell r="F73" t="str">
            <v>X</v>
          </cell>
          <cell r="G73" t="str">
            <v>+</v>
          </cell>
          <cell r="H73" t="str">
            <v>+</v>
          </cell>
          <cell r="I73" t="str">
            <v>-</v>
          </cell>
          <cell r="J73" t="str">
            <v>-</v>
          </cell>
          <cell r="K73" t="str">
            <v>-</v>
          </cell>
          <cell r="L73" t="str">
            <v>-</v>
          </cell>
          <cell r="M73" t="str">
            <v>X</v>
          </cell>
          <cell r="N73" t="str">
            <v>-</v>
          </cell>
          <cell r="O73" t="str">
            <v>-</v>
          </cell>
        </row>
        <row r="74">
          <cell r="A74">
            <v>61694700</v>
          </cell>
          <cell r="B74" t="str">
            <v>Kip kerriesaus rijst 450g BOF</v>
          </cell>
          <cell r="C74" t="str">
            <v>-</v>
          </cell>
          <cell r="D74" t="str">
            <v>X</v>
          </cell>
          <cell r="E74" t="str">
            <v>+</v>
          </cell>
          <cell r="F74" t="str">
            <v>X</v>
          </cell>
          <cell r="G74" t="str">
            <v>+</v>
          </cell>
          <cell r="H74" t="str">
            <v>X</v>
          </cell>
          <cell r="I74" t="str">
            <v>-</v>
          </cell>
          <cell r="J74" t="str">
            <v>-</v>
          </cell>
          <cell r="K74" t="str">
            <v>+</v>
          </cell>
          <cell r="L74" t="str">
            <v>-</v>
          </cell>
          <cell r="M74" t="str">
            <v>X</v>
          </cell>
          <cell r="N74" t="str">
            <v>-</v>
          </cell>
          <cell r="O74" t="str">
            <v>-</v>
          </cell>
        </row>
        <row r="75">
          <cell r="A75">
            <v>61694800</v>
          </cell>
          <cell r="B75" t="str">
            <v>Balletjes tomatensaus puree 450g BOF</v>
          </cell>
          <cell r="C75" t="str">
            <v>-</v>
          </cell>
          <cell r="D75" t="str">
            <v>+</v>
          </cell>
          <cell r="E75" t="str">
            <v>+</v>
          </cell>
          <cell r="F75" t="str">
            <v>X</v>
          </cell>
          <cell r="G75" t="str">
            <v>+</v>
          </cell>
          <cell r="H75" t="str">
            <v>X</v>
          </cell>
          <cell r="I75" t="str">
            <v>X</v>
          </cell>
          <cell r="J75" t="str">
            <v>X</v>
          </cell>
          <cell r="K75" t="str">
            <v>X</v>
          </cell>
          <cell r="L75" t="str">
            <v>-</v>
          </cell>
          <cell r="M75" t="str">
            <v>X</v>
          </cell>
          <cell r="N75" t="str">
            <v>X</v>
          </cell>
          <cell r="O75" t="str">
            <v>X</v>
          </cell>
        </row>
        <row r="76">
          <cell r="A76">
            <v>61694900</v>
          </cell>
          <cell r="B76" t="str">
            <v>Gehaktbal Luiksesaus aardappelkubus 450g BOF BE</v>
          </cell>
          <cell r="C76" t="str">
            <v>-</v>
          </cell>
          <cell r="D76" t="str">
            <v>X</v>
          </cell>
          <cell r="E76" t="str">
            <v>+</v>
          </cell>
          <cell r="F76" t="str">
            <v>-</v>
          </cell>
          <cell r="G76" t="str">
            <v>X</v>
          </cell>
          <cell r="H76" t="str">
            <v>X</v>
          </cell>
          <cell r="I76" t="str">
            <v>X</v>
          </cell>
          <cell r="J76" t="str">
            <v>X</v>
          </cell>
          <cell r="K76" t="str">
            <v>X</v>
          </cell>
          <cell r="L76" t="str">
            <v>-</v>
          </cell>
          <cell r="M76" t="str">
            <v>X</v>
          </cell>
          <cell r="N76" t="str">
            <v>X</v>
          </cell>
          <cell r="O76" t="str">
            <v>X</v>
          </cell>
        </row>
        <row r="77">
          <cell r="A77">
            <v>61695000</v>
          </cell>
          <cell r="B77" t="str">
            <v>Kabeljauw MSC fijne groenten puree 450g BOF</v>
          </cell>
          <cell r="C77" t="str">
            <v>-</v>
          </cell>
          <cell r="D77" t="str">
            <v>+</v>
          </cell>
          <cell r="E77" t="str">
            <v>-</v>
          </cell>
          <cell r="F77" t="str">
            <v>-</v>
          </cell>
          <cell r="G77" t="str">
            <v>+</v>
          </cell>
          <cell r="H77" t="str">
            <v>-</v>
          </cell>
          <cell r="I77" t="str">
            <v>-</v>
          </cell>
          <cell r="J77" t="str">
            <v>X</v>
          </cell>
          <cell r="K77" t="str">
            <v>-</v>
          </cell>
          <cell r="L77" t="str">
            <v>-</v>
          </cell>
          <cell r="M77" t="str">
            <v>-</v>
          </cell>
          <cell r="N77" t="str">
            <v>+</v>
          </cell>
          <cell r="O77" t="str">
            <v>X</v>
          </cell>
        </row>
        <row r="78">
          <cell r="A78">
            <v>61695100</v>
          </cell>
          <cell r="B78" t="str">
            <v>Kabeljauw MSC preiroom puree 450g BOF</v>
          </cell>
          <cell r="C78" t="str">
            <v>-</v>
          </cell>
          <cell r="D78" t="str">
            <v>+</v>
          </cell>
          <cell r="E78" t="str">
            <v>+</v>
          </cell>
          <cell r="F78" t="str">
            <v>X</v>
          </cell>
          <cell r="G78" t="str">
            <v>+</v>
          </cell>
          <cell r="H78" t="str">
            <v>X</v>
          </cell>
          <cell r="I78" t="str">
            <v>-</v>
          </cell>
          <cell r="J78" t="str">
            <v>X</v>
          </cell>
          <cell r="K78" t="str">
            <v>-</v>
          </cell>
          <cell r="L78" t="str">
            <v>-</v>
          </cell>
          <cell r="M78" t="str">
            <v>X</v>
          </cell>
          <cell r="N78" t="str">
            <v>+</v>
          </cell>
          <cell r="O78" t="str">
            <v>X</v>
          </cell>
        </row>
        <row r="79">
          <cell r="A79">
            <v>61695200</v>
          </cell>
          <cell r="B79" t="str">
            <v>Vispannetje Oostends ASC MSC 420g BOF</v>
          </cell>
          <cell r="C79" t="str">
            <v>-</v>
          </cell>
          <cell r="D79" t="str">
            <v>-</v>
          </cell>
          <cell r="E79" t="str">
            <v>+</v>
          </cell>
          <cell r="F79" t="str">
            <v>X</v>
          </cell>
          <cell r="G79" t="str">
            <v>+</v>
          </cell>
          <cell r="H79" t="str">
            <v>X</v>
          </cell>
          <cell r="I79" t="str">
            <v>-</v>
          </cell>
          <cell r="J79" t="str">
            <v>X</v>
          </cell>
          <cell r="K79" t="str">
            <v>+</v>
          </cell>
          <cell r="L79" t="str">
            <v>-</v>
          </cell>
          <cell r="M79" t="str">
            <v>X</v>
          </cell>
          <cell r="N79" t="str">
            <v>+</v>
          </cell>
          <cell r="O79" t="str">
            <v>X</v>
          </cell>
        </row>
        <row r="80">
          <cell r="A80">
            <v>61695300</v>
          </cell>
          <cell r="B80" t="str">
            <v>Hertenstoofpot appel veenbessen pompoenpuree 450g BOF</v>
          </cell>
          <cell r="C80" t="str">
            <v>-</v>
          </cell>
          <cell r="D80" t="str">
            <v>-</v>
          </cell>
          <cell r="E80" t="str">
            <v>+</v>
          </cell>
          <cell r="F80" t="str">
            <v>X</v>
          </cell>
          <cell r="G80" t="str">
            <v>+</v>
          </cell>
          <cell r="H80" t="str">
            <v>X</v>
          </cell>
          <cell r="I80" t="str">
            <v>-</v>
          </cell>
          <cell r="J80" t="str">
            <v>-</v>
          </cell>
          <cell r="K80" t="str">
            <v>-</v>
          </cell>
          <cell r="L80" t="str">
            <v>-</v>
          </cell>
          <cell r="M80" t="str">
            <v>X</v>
          </cell>
          <cell r="N80" t="str">
            <v>-</v>
          </cell>
          <cell r="O80" t="str">
            <v>-</v>
          </cell>
        </row>
        <row r="81">
          <cell r="A81">
            <v>61695400</v>
          </cell>
          <cell r="B81" t="str">
            <v>Jachtschotel rode kool puree 450g BOF</v>
          </cell>
          <cell r="C81" t="str">
            <v>-</v>
          </cell>
          <cell r="D81" t="str">
            <v>+</v>
          </cell>
          <cell r="E81" t="str">
            <v>+</v>
          </cell>
          <cell r="F81" t="str">
            <v>X</v>
          </cell>
          <cell r="G81" t="str">
            <v>+</v>
          </cell>
          <cell r="H81" t="str">
            <v>+</v>
          </cell>
          <cell r="I81" t="str">
            <v>-</v>
          </cell>
          <cell r="J81" t="str">
            <v>-</v>
          </cell>
          <cell r="K81" t="str">
            <v>-</v>
          </cell>
          <cell r="L81" t="str">
            <v>-</v>
          </cell>
          <cell r="M81" t="str">
            <v>X</v>
          </cell>
          <cell r="N81" t="str">
            <v>-</v>
          </cell>
          <cell r="O81" t="str">
            <v>-</v>
          </cell>
        </row>
        <row r="82">
          <cell r="A82">
            <v>61695500</v>
          </cell>
          <cell r="B82" t="str">
            <v xml:space="preserve">Varkenshaasje peperroom wortelen puree 450g BOF </v>
          </cell>
          <cell r="C82" t="str">
            <v>-</v>
          </cell>
          <cell r="D82" t="str">
            <v>+</v>
          </cell>
          <cell r="E82" t="str">
            <v>+</v>
          </cell>
          <cell r="F82" t="str">
            <v>X</v>
          </cell>
          <cell r="G82" t="str">
            <v>+</v>
          </cell>
          <cell r="H82" t="str">
            <v>X</v>
          </cell>
          <cell r="I82" t="str">
            <v>-</v>
          </cell>
          <cell r="J82" t="str">
            <v>-</v>
          </cell>
          <cell r="K82" t="str">
            <v>-</v>
          </cell>
          <cell r="L82" t="str">
            <v>-</v>
          </cell>
          <cell r="M82" t="str">
            <v>X</v>
          </cell>
          <cell r="N82" t="str">
            <v>-</v>
          </cell>
          <cell r="O82" t="str">
            <v>-</v>
          </cell>
        </row>
        <row r="83">
          <cell r="A83">
            <v>61695600</v>
          </cell>
          <cell r="B83" t="str">
            <v xml:space="preserve">Blinde vink rode kool aardappelkubus 450g BOF </v>
          </cell>
          <cell r="C83" t="str">
            <v>-</v>
          </cell>
          <cell r="D83" t="str">
            <v>X</v>
          </cell>
          <cell r="E83" t="str">
            <v>+</v>
          </cell>
          <cell r="F83" t="str">
            <v>X</v>
          </cell>
          <cell r="G83" t="str">
            <v>X</v>
          </cell>
          <cell r="H83" t="str">
            <v>X</v>
          </cell>
          <cell r="I83" t="str">
            <v>X</v>
          </cell>
          <cell r="J83" t="str">
            <v>X</v>
          </cell>
          <cell r="K83" t="str">
            <v>X</v>
          </cell>
          <cell r="L83" t="str">
            <v>-</v>
          </cell>
          <cell r="M83" t="str">
            <v>X</v>
          </cell>
          <cell r="N83" t="str">
            <v>X</v>
          </cell>
          <cell r="O83" t="str">
            <v>-</v>
          </cell>
        </row>
        <row r="84">
          <cell r="A84">
            <v>61695700</v>
          </cell>
          <cell r="B84" t="str">
            <v>Chipolata kalfsjus bloemkool bechamel puree 450g BOF</v>
          </cell>
          <cell r="C84" t="str">
            <v>X</v>
          </cell>
          <cell r="D84" t="str">
            <v>+</v>
          </cell>
          <cell r="E84" t="str">
            <v>+</v>
          </cell>
          <cell r="F84" t="str">
            <v>X</v>
          </cell>
          <cell r="G84" t="str">
            <v>+</v>
          </cell>
          <cell r="H84" t="str">
            <v>X</v>
          </cell>
          <cell r="I84" t="str">
            <v>X</v>
          </cell>
          <cell r="J84" t="str">
            <v>X</v>
          </cell>
          <cell r="K84" t="str">
            <v>X</v>
          </cell>
          <cell r="L84" t="str">
            <v>X</v>
          </cell>
          <cell r="M84" t="str">
            <v>X</v>
          </cell>
          <cell r="N84" t="str">
            <v>X</v>
          </cell>
          <cell r="O84" t="str">
            <v>X</v>
          </cell>
        </row>
        <row r="85">
          <cell r="A85">
            <v>61699500</v>
          </cell>
          <cell r="B85" t="str">
            <v>Kip gratin broccoli bloemkool rosti 420g BOF DE</v>
          </cell>
          <cell r="C85" t="str">
            <v>-</v>
          </cell>
          <cell r="D85" t="str">
            <v>X</v>
          </cell>
          <cell r="E85" t="str">
            <v>X</v>
          </cell>
          <cell r="F85" t="str">
            <v>-</v>
          </cell>
          <cell r="G85" t="str">
            <v>+</v>
          </cell>
          <cell r="H85" t="str">
            <v>-</v>
          </cell>
          <cell r="I85" t="str">
            <v>-</v>
          </cell>
          <cell r="J85" t="str">
            <v>-</v>
          </cell>
          <cell r="K85" t="str">
            <v>-</v>
          </cell>
          <cell r="L85" t="str">
            <v>-</v>
          </cell>
          <cell r="M85" t="str">
            <v>-</v>
          </cell>
          <cell r="N85" t="str">
            <v>-</v>
          </cell>
          <cell r="O85" t="str">
            <v>-</v>
          </cell>
        </row>
        <row r="86">
          <cell r="A86">
            <v>61699600</v>
          </cell>
          <cell r="B86" t="str">
            <v>Kip Madagascar rijst 420g BOF DE</v>
          </cell>
          <cell r="C86" t="str">
            <v>-</v>
          </cell>
          <cell r="D86" t="str">
            <v>X</v>
          </cell>
          <cell r="E86" t="str">
            <v>-</v>
          </cell>
          <cell r="F86" t="str">
            <v>-</v>
          </cell>
          <cell r="G86" t="str">
            <v>+</v>
          </cell>
          <cell r="H86" t="str">
            <v>+</v>
          </cell>
          <cell r="I86" t="str">
            <v>-</v>
          </cell>
          <cell r="J86" t="str">
            <v>-</v>
          </cell>
          <cell r="K86" t="str">
            <v>+</v>
          </cell>
          <cell r="L86" t="str">
            <v>-</v>
          </cell>
          <cell r="M86" t="str">
            <v>-</v>
          </cell>
          <cell r="N86" t="str">
            <v>-</v>
          </cell>
          <cell r="O86" t="str">
            <v>-</v>
          </cell>
        </row>
        <row r="87">
          <cell r="A87">
            <v>61699800</v>
          </cell>
          <cell r="B87" t="str">
            <v>Kip Madagascar rijst 420g BOF DE</v>
          </cell>
          <cell r="C87" t="str">
            <v>-</v>
          </cell>
          <cell r="D87" t="str">
            <v>X</v>
          </cell>
          <cell r="E87" t="str">
            <v>-</v>
          </cell>
          <cell r="F87" t="str">
            <v>-</v>
          </cell>
          <cell r="G87" t="str">
            <v>+</v>
          </cell>
          <cell r="H87" t="str">
            <v>+</v>
          </cell>
          <cell r="I87" t="str">
            <v>-</v>
          </cell>
          <cell r="J87" t="str">
            <v>-</v>
          </cell>
          <cell r="K87" t="str">
            <v>+</v>
          </cell>
          <cell r="L87" t="str">
            <v>-</v>
          </cell>
          <cell r="M87" t="str">
            <v>-</v>
          </cell>
          <cell r="N87" t="str">
            <v>-</v>
          </cell>
          <cell r="O87" t="str">
            <v>-</v>
          </cell>
        </row>
        <row r="88">
          <cell r="A88">
            <v>61699900</v>
          </cell>
          <cell r="B88" t="str">
            <v>Kipfilet geroosterd prov groentensaus geb kriel 450g BOF DE</v>
          </cell>
          <cell r="C88" t="str">
            <v>-</v>
          </cell>
          <cell r="D88" t="str">
            <v>-</v>
          </cell>
          <cell r="E88" t="str">
            <v>-</v>
          </cell>
          <cell r="F88" t="str">
            <v>-</v>
          </cell>
          <cell r="G88" t="str">
            <v>-</v>
          </cell>
          <cell r="H88" t="str">
            <v>-</v>
          </cell>
          <cell r="I88" t="str">
            <v>-</v>
          </cell>
          <cell r="J88" t="str">
            <v>-</v>
          </cell>
          <cell r="K88" t="str">
            <v>-</v>
          </cell>
          <cell r="L88" t="str">
            <v>-</v>
          </cell>
          <cell r="M88" t="str">
            <v>-</v>
          </cell>
          <cell r="N88" t="str">
            <v>-</v>
          </cell>
          <cell r="O88" t="str">
            <v>-</v>
          </cell>
        </row>
        <row r="89">
          <cell r="A89">
            <v>63110000</v>
          </cell>
          <cell r="B89" t="str">
            <v>Macaroni ham kaas 450g ALDI</v>
          </cell>
          <cell r="C89" t="str">
            <v>-</v>
          </cell>
          <cell r="D89" t="str">
            <v>X</v>
          </cell>
          <cell r="E89" t="str">
            <v>+</v>
          </cell>
          <cell r="F89" t="str">
            <v>X</v>
          </cell>
          <cell r="G89" t="str">
            <v>+</v>
          </cell>
          <cell r="H89" t="str">
            <v>X</v>
          </cell>
          <cell r="I89" t="str">
            <v>-</v>
          </cell>
          <cell r="J89" t="str">
            <v>-</v>
          </cell>
          <cell r="K89" t="str">
            <v>+</v>
          </cell>
          <cell r="L89" t="str">
            <v>-</v>
          </cell>
          <cell r="M89" t="str">
            <v>X</v>
          </cell>
          <cell r="N89" t="str">
            <v>-</v>
          </cell>
          <cell r="O89" t="str">
            <v>-</v>
          </cell>
        </row>
        <row r="90">
          <cell r="A90">
            <v>63110100</v>
          </cell>
          <cell r="B90" t="str">
            <v>Hachis parmentier 450g ALDI</v>
          </cell>
          <cell r="C90" t="str">
            <v>-</v>
          </cell>
          <cell r="D90" t="str">
            <v>+</v>
          </cell>
          <cell r="E90" t="str">
            <v>+</v>
          </cell>
          <cell r="F90" t="str">
            <v>X</v>
          </cell>
          <cell r="G90" t="str">
            <v>+</v>
          </cell>
          <cell r="H90" t="str">
            <v>X</v>
          </cell>
          <cell r="I90" t="str">
            <v>-</v>
          </cell>
          <cell r="J90" t="str">
            <v>-</v>
          </cell>
          <cell r="K90" t="str">
            <v>+</v>
          </cell>
          <cell r="L90" t="str">
            <v>-</v>
          </cell>
          <cell r="M90" t="str">
            <v>X</v>
          </cell>
          <cell r="N90" t="str">
            <v>-</v>
          </cell>
          <cell r="O90" t="str">
            <v>-</v>
          </cell>
        </row>
        <row r="91">
          <cell r="A91">
            <v>63110200</v>
          </cell>
          <cell r="B91" t="str">
            <v>Vispan (kabeljauw) MSC met preisaus300g ALDI</v>
          </cell>
          <cell r="C91" t="str">
            <v>-</v>
          </cell>
          <cell r="D91" t="str">
            <v>-</v>
          </cell>
          <cell r="E91" t="str">
            <v>+</v>
          </cell>
          <cell r="F91" t="str">
            <v>X</v>
          </cell>
          <cell r="G91" t="str">
            <v>+</v>
          </cell>
          <cell r="H91" t="str">
            <v>X</v>
          </cell>
          <cell r="I91" t="str">
            <v>-</v>
          </cell>
          <cell r="J91" t="str">
            <v>X</v>
          </cell>
          <cell r="K91" t="str">
            <v>+</v>
          </cell>
          <cell r="L91" t="str">
            <v>-</v>
          </cell>
          <cell r="M91" t="str">
            <v>X</v>
          </cell>
          <cell r="N91" t="str">
            <v>+</v>
          </cell>
          <cell r="O91" t="str">
            <v>X</v>
          </cell>
        </row>
        <row r="92">
          <cell r="A92">
            <v>63110300</v>
          </cell>
          <cell r="B92" t="str">
            <v>Vispan MSC ASC witte wijnsaus 300g ALDI</v>
          </cell>
          <cell r="C92" t="str">
            <v>-</v>
          </cell>
          <cell r="D92" t="str">
            <v>-</v>
          </cell>
          <cell r="E92" t="str">
            <v>+</v>
          </cell>
          <cell r="F92" t="str">
            <v>X</v>
          </cell>
          <cell r="G92" t="str">
            <v>+</v>
          </cell>
          <cell r="H92" t="str">
            <v>X</v>
          </cell>
          <cell r="I92" t="str">
            <v>-</v>
          </cell>
          <cell r="J92" t="str">
            <v>+</v>
          </cell>
          <cell r="K92" t="str">
            <v>+</v>
          </cell>
          <cell r="L92" t="str">
            <v>-</v>
          </cell>
          <cell r="M92" t="str">
            <v>X</v>
          </cell>
          <cell r="N92" t="str">
            <v>+</v>
          </cell>
          <cell r="O92" t="str">
            <v>+</v>
          </cell>
        </row>
        <row r="93">
          <cell r="A93">
            <v>63110400</v>
          </cell>
          <cell r="B93" t="str">
            <v>Vispan kreeftensaus 300g ALDI</v>
          </cell>
          <cell r="C93" t="str">
            <v>-</v>
          </cell>
          <cell r="D93" t="str">
            <v>X</v>
          </cell>
          <cell r="E93" t="str">
            <v>+</v>
          </cell>
          <cell r="F93" t="str">
            <v>X</v>
          </cell>
          <cell r="G93" t="str">
            <v>+</v>
          </cell>
          <cell r="H93" t="str">
            <v>X</v>
          </cell>
          <cell r="I93" t="str">
            <v>-</v>
          </cell>
          <cell r="J93" t="str">
            <v>+</v>
          </cell>
          <cell r="K93" t="str">
            <v>+</v>
          </cell>
          <cell r="L93" t="str">
            <v>-</v>
          </cell>
          <cell r="M93" t="str">
            <v>X</v>
          </cell>
          <cell r="N93" t="str">
            <v>+</v>
          </cell>
          <cell r="O93" t="str">
            <v>+</v>
          </cell>
        </row>
        <row r="94">
          <cell r="A94">
            <v>63110500</v>
          </cell>
          <cell r="B94" t="str">
            <v>Vispan MSC Ostendaise 300g ALDI</v>
          </cell>
          <cell r="C94" t="str">
            <v>-</v>
          </cell>
          <cell r="D94" t="str">
            <v>-</v>
          </cell>
          <cell r="E94" t="str">
            <v>+</v>
          </cell>
          <cell r="F94" t="str">
            <v>X</v>
          </cell>
          <cell r="G94" t="str">
            <v>+</v>
          </cell>
          <cell r="H94" t="str">
            <v>X</v>
          </cell>
          <cell r="I94" t="str">
            <v>-</v>
          </cell>
          <cell r="J94" t="str">
            <v>+</v>
          </cell>
          <cell r="K94" t="str">
            <v>+</v>
          </cell>
          <cell r="L94" t="str">
            <v>-</v>
          </cell>
          <cell r="M94" t="str">
            <v>X</v>
          </cell>
          <cell r="N94" t="str">
            <v>+</v>
          </cell>
          <cell r="O94" t="str">
            <v>+</v>
          </cell>
        </row>
        <row r="95">
          <cell r="A95">
            <v>63110600</v>
          </cell>
          <cell r="B95" t="str">
            <v>Vispan kreeftensaus MSC ASC 300g ALDI</v>
          </cell>
          <cell r="C95" t="str">
            <v>-</v>
          </cell>
          <cell r="D95" t="str">
            <v>-</v>
          </cell>
          <cell r="E95" t="str">
            <v>+</v>
          </cell>
          <cell r="F95" t="str">
            <v>X</v>
          </cell>
          <cell r="G95" t="str">
            <v>+</v>
          </cell>
          <cell r="H95" t="str">
            <v>X</v>
          </cell>
          <cell r="I95" t="str">
            <v>-</v>
          </cell>
          <cell r="J95" t="str">
            <v>+</v>
          </cell>
          <cell r="K95" t="str">
            <v>+</v>
          </cell>
          <cell r="L95" t="str">
            <v>-</v>
          </cell>
          <cell r="M95" t="str">
            <v>X</v>
          </cell>
          <cell r="N95" t="str">
            <v>+</v>
          </cell>
          <cell r="O95" t="str">
            <v>+</v>
          </cell>
        </row>
        <row r="96">
          <cell r="A96">
            <v>63110700</v>
          </cell>
          <cell r="B96" t="str">
            <v>Scampi looksaus 250g ALDI BE</v>
          </cell>
          <cell r="C96" t="str">
            <v>-</v>
          </cell>
          <cell r="D96" t="str">
            <v>-</v>
          </cell>
          <cell r="E96" t="str">
            <v>-</v>
          </cell>
          <cell r="F96" t="str">
            <v>-</v>
          </cell>
          <cell r="G96" t="str">
            <v>+</v>
          </cell>
          <cell r="H96" t="str">
            <v>-</v>
          </cell>
          <cell r="I96" t="str">
            <v>-</v>
          </cell>
          <cell r="J96" t="str">
            <v>+</v>
          </cell>
          <cell r="K96" t="str">
            <v>+</v>
          </cell>
          <cell r="L96" t="str">
            <v>-</v>
          </cell>
          <cell r="M96" t="str">
            <v>-</v>
          </cell>
          <cell r="N96" t="str">
            <v>-</v>
          </cell>
          <cell r="O96" t="str">
            <v>-</v>
          </cell>
        </row>
        <row r="97">
          <cell r="A97">
            <v>63110800</v>
          </cell>
          <cell r="B97" t="str">
            <v>Scampi diabolique 250g ALDI BE</v>
          </cell>
          <cell r="C97" t="str">
            <v>-</v>
          </cell>
          <cell r="D97" t="str">
            <v>-</v>
          </cell>
          <cell r="E97" t="str">
            <v>+</v>
          </cell>
          <cell r="F97" t="str">
            <v>-</v>
          </cell>
          <cell r="G97" t="str">
            <v>+</v>
          </cell>
          <cell r="H97" t="str">
            <v>-</v>
          </cell>
          <cell r="I97" t="str">
            <v>-</v>
          </cell>
          <cell r="J97" t="str">
            <v>+</v>
          </cell>
          <cell r="K97" t="str">
            <v>+</v>
          </cell>
          <cell r="L97" t="str">
            <v>-</v>
          </cell>
          <cell r="M97" t="str">
            <v>-</v>
          </cell>
          <cell r="N97" t="str">
            <v>+</v>
          </cell>
          <cell r="O97" t="str">
            <v>+</v>
          </cell>
        </row>
        <row r="98">
          <cell r="A98">
            <v>63110900</v>
          </cell>
          <cell r="B98" t="str">
            <v>Vispannetje mosterdsaus zalm koolvis mossel 300g ALDI BE</v>
          </cell>
          <cell r="C98" t="str">
            <v>-</v>
          </cell>
          <cell r="D98" t="str">
            <v>-</v>
          </cell>
          <cell r="E98" t="str">
            <v>+</v>
          </cell>
          <cell r="F98" t="str">
            <v>X</v>
          </cell>
          <cell r="G98" t="str">
            <v>+</v>
          </cell>
          <cell r="H98" t="str">
            <v>+</v>
          </cell>
          <cell r="I98" t="str">
            <v>-</v>
          </cell>
          <cell r="J98" t="str">
            <v>X</v>
          </cell>
          <cell r="K98" t="str">
            <v>+</v>
          </cell>
          <cell r="L98" t="str">
            <v>-</v>
          </cell>
          <cell r="M98" t="str">
            <v>X</v>
          </cell>
          <cell r="N98" t="str">
            <v>+</v>
          </cell>
          <cell r="O98" t="str">
            <v>+</v>
          </cell>
        </row>
        <row r="99">
          <cell r="A99">
            <v>63131400</v>
          </cell>
          <cell r="B99" t="str">
            <v>Witloof ham kaas 400g EISM</v>
          </cell>
          <cell r="C99" t="str">
            <v>-</v>
          </cell>
          <cell r="D99" t="str">
            <v>-</v>
          </cell>
          <cell r="E99" t="str">
            <v>+</v>
          </cell>
          <cell r="F99" t="str">
            <v>X</v>
          </cell>
          <cell r="G99" t="str">
            <v>+</v>
          </cell>
          <cell r="H99" t="str">
            <v>X</v>
          </cell>
          <cell r="I99" t="str">
            <v>-</v>
          </cell>
          <cell r="J99" t="str">
            <v>-</v>
          </cell>
          <cell r="K99" t="str">
            <v>-</v>
          </cell>
          <cell r="L99" t="str">
            <v>-</v>
          </cell>
          <cell r="M99" t="str">
            <v>X</v>
          </cell>
          <cell r="N99" t="str">
            <v>-</v>
          </cell>
          <cell r="O99" t="str">
            <v>-</v>
          </cell>
        </row>
        <row r="100">
          <cell r="A100">
            <v>63131800</v>
          </cell>
          <cell r="B100" t="str">
            <v>Lasagne tonijn 430g EISM FR</v>
          </cell>
          <cell r="C100" t="str">
            <v>-</v>
          </cell>
          <cell r="D100" t="str">
            <v>+</v>
          </cell>
          <cell r="E100" t="str">
            <v>+</v>
          </cell>
          <cell r="F100" t="str">
            <v>-</v>
          </cell>
          <cell r="G100" t="str">
            <v>+</v>
          </cell>
          <cell r="H100" t="str">
            <v>-</v>
          </cell>
          <cell r="I100" t="str">
            <v>-</v>
          </cell>
          <cell r="J100" t="str">
            <v>-</v>
          </cell>
          <cell r="K100" t="str">
            <v>+</v>
          </cell>
          <cell r="L100" t="str">
            <v>-</v>
          </cell>
          <cell r="M100" t="str">
            <v>-</v>
          </cell>
          <cell r="N100" t="str">
            <v>+</v>
          </cell>
          <cell r="O100" t="str">
            <v>X</v>
          </cell>
        </row>
        <row r="101">
          <cell r="A101">
            <v>63131900</v>
          </cell>
          <cell r="B101" t="str">
            <v>Lasagne geitenkaas, spinazie 400g EISM FR</v>
          </cell>
          <cell r="C101" t="str">
            <v>-</v>
          </cell>
          <cell r="D101" t="str">
            <v>+</v>
          </cell>
          <cell r="E101" t="str">
            <v>+</v>
          </cell>
          <cell r="F101" t="str">
            <v>X</v>
          </cell>
          <cell r="G101" t="str">
            <v>+</v>
          </cell>
          <cell r="H101" t="str">
            <v>X</v>
          </cell>
          <cell r="I101" t="str">
            <v>-</v>
          </cell>
          <cell r="J101" t="str">
            <v>-</v>
          </cell>
          <cell r="K101" t="str">
            <v>-</v>
          </cell>
          <cell r="L101" t="str">
            <v>-</v>
          </cell>
          <cell r="M101" t="str">
            <v>X</v>
          </cell>
          <cell r="N101" t="str">
            <v>-</v>
          </cell>
          <cell r="O101" t="str">
            <v>X</v>
          </cell>
        </row>
        <row r="102">
          <cell r="A102">
            <v>63140000</v>
          </cell>
          <cell r="B102" t="str">
            <v>Rundstong Madeirasaus 400g COLR</v>
          </cell>
          <cell r="C102" t="str">
            <v>-</v>
          </cell>
          <cell r="D102" t="str">
            <v>-</v>
          </cell>
          <cell r="E102" t="str">
            <v>+</v>
          </cell>
          <cell r="F102" t="str">
            <v>-</v>
          </cell>
          <cell r="G102" t="str">
            <v>-</v>
          </cell>
          <cell r="H102" t="str">
            <v>-</v>
          </cell>
          <cell r="I102" t="str">
            <v>-</v>
          </cell>
          <cell r="J102" t="str">
            <v>-</v>
          </cell>
          <cell r="K102" t="str">
            <v>+</v>
          </cell>
          <cell r="L102" t="str">
            <v>-</v>
          </cell>
          <cell r="M102" t="str">
            <v>-</v>
          </cell>
          <cell r="N102" t="str">
            <v>-</v>
          </cell>
          <cell r="O102" t="str">
            <v>-</v>
          </cell>
        </row>
        <row r="103">
          <cell r="A103">
            <v>63140100</v>
          </cell>
          <cell r="B103" t="str">
            <v>Macaroni ham kaas 500g Colruyt</v>
          </cell>
          <cell r="C103" t="str">
            <v>-</v>
          </cell>
          <cell r="D103" t="str">
            <v>X</v>
          </cell>
          <cell r="E103" t="str">
            <v>+</v>
          </cell>
          <cell r="F103" t="str">
            <v>X</v>
          </cell>
          <cell r="G103" t="str">
            <v>+</v>
          </cell>
          <cell r="H103" t="str">
            <v>X</v>
          </cell>
          <cell r="I103" t="str">
            <v>-</v>
          </cell>
          <cell r="J103" t="str">
            <v>-</v>
          </cell>
          <cell r="K103" t="str">
            <v>+</v>
          </cell>
          <cell r="L103" t="str">
            <v>-</v>
          </cell>
          <cell r="M103" t="str">
            <v>X</v>
          </cell>
          <cell r="N103" t="str">
            <v>-</v>
          </cell>
          <cell r="O103" t="str">
            <v>-</v>
          </cell>
        </row>
        <row r="104">
          <cell r="A104">
            <v>63140400</v>
          </cell>
          <cell r="B104" t="str">
            <v>Paling in 't groen 400g Colr</v>
          </cell>
          <cell r="C104" t="str">
            <v>-</v>
          </cell>
          <cell r="D104" t="str">
            <v>-</v>
          </cell>
          <cell r="E104" t="str">
            <v>-</v>
          </cell>
          <cell r="F104" t="str">
            <v>-</v>
          </cell>
          <cell r="G104" t="str">
            <v>+</v>
          </cell>
          <cell r="H104" t="str">
            <v>-</v>
          </cell>
          <cell r="I104" t="str">
            <v>-</v>
          </cell>
          <cell r="J104" t="str">
            <v>X</v>
          </cell>
          <cell r="K104" t="str">
            <v>-</v>
          </cell>
          <cell r="L104" t="str">
            <v>-</v>
          </cell>
          <cell r="M104" t="str">
            <v>-</v>
          </cell>
          <cell r="N104" t="str">
            <v>+</v>
          </cell>
          <cell r="O104" t="str">
            <v>X</v>
          </cell>
        </row>
        <row r="105">
          <cell r="A105">
            <v>63141200</v>
          </cell>
          <cell r="B105" t="str">
            <v>Vispannetje fijne groenten 300g COLR</v>
          </cell>
          <cell r="C105" t="str">
            <v>-</v>
          </cell>
          <cell r="D105" t="str">
            <v>-</v>
          </cell>
          <cell r="E105" t="str">
            <v>+</v>
          </cell>
          <cell r="F105" t="str">
            <v>X</v>
          </cell>
          <cell r="G105" t="str">
            <v>+</v>
          </cell>
          <cell r="H105" t="str">
            <v>X</v>
          </cell>
          <cell r="I105" t="str">
            <v>-</v>
          </cell>
          <cell r="J105" t="str">
            <v>+</v>
          </cell>
          <cell r="K105" t="str">
            <v>+</v>
          </cell>
          <cell r="L105" t="str">
            <v>-</v>
          </cell>
          <cell r="M105" t="str">
            <v>X</v>
          </cell>
          <cell r="N105" t="str">
            <v>+</v>
          </cell>
          <cell r="O105" t="str">
            <v>+</v>
          </cell>
        </row>
        <row r="106">
          <cell r="A106">
            <v>63141300</v>
          </cell>
          <cell r="B106" t="str">
            <v>Vispannetje zachte curry 300g COLR</v>
          </cell>
          <cell r="C106" t="str">
            <v>-</v>
          </cell>
          <cell r="D106" t="str">
            <v>-</v>
          </cell>
          <cell r="E106" t="str">
            <v>+</v>
          </cell>
          <cell r="F106" t="str">
            <v>X</v>
          </cell>
          <cell r="G106" t="str">
            <v>+</v>
          </cell>
          <cell r="H106" t="str">
            <v>X</v>
          </cell>
          <cell r="I106" t="str">
            <v>-</v>
          </cell>
          <cell r="J106" t="str">
            <v>-</v>
          </cell>
          <cell r="K106" t="str">
            <v>X</v>
          </cell>
          <cell r="L106" t="str">
            <v>-</v>
          </cell>
          <cell r="M106" t="str">
            <v>X</v>
          </cell>
          <cell r="N106" t="str">
            <v>+</v>
          </cell>
          <cell r="O106" t="str">
            <v>-</v>
          </cell>
        </row>
        <row r="107">
          <cell r="A107">
            <v>63141400</v>
          </cell>
          <cell r="B107" t="str">
            <v>Vispannetje kreeftensaus 300g COLR</v>
          </cell>
          <cell r="C107" t="str">
            <v>-</v>
          </cell>
          <cell r="D107" t="str">
            <v>-</v>
          </cell>
          <cell r="E107" t="str">
            <v>+</v>
          </cell>
          <cell r="F107" t="str">
            <v>X</v>
          </cell>
          <cell r="G107" t="str">
            <v>+</v>
          </cell>
          <cell r="H107" t="str">
            <v>X</v>
          </cell>
          <cell r="I107" t="str">
            <v>-</v>
          </cell>
          <cell r="J107" t="str">
            <v>+</v>
          </cell>
          <cell r="K107" t="str">
            <v>+</v>
          </cell>
          <cell r="L107" t="str">
            <v>-</v>
          </cell>
          <cell r="M107" t="str">
            <v>X</v>
          </cell>
          <cell r="N107" t="str">
            <v>+</v>
          </cell>
          <cell r="O107" t="str">
            <v>X</v>
          </cell>
        </row>
        <row r="108">
          <cell r="A108">
            <v>63141500</v>
          </cell>
          <cell r="B108" t="str">
            <v>Lasagne bolognaise classic 450g COLR</v>
          </cell>
          <cell r="C108" t="str">
            <v>-</v>
          </cell>
          <cell r="D108" t="str">
            <v>+</v>
          </cell>
          <cell r="E108" t="str">
            <v>+</v>
          </cell>
          <cell r="F108" t="str">
            <v>X</v>
          </cell>
          <cell r="G108" t="str">
            <v>+</v>
          </cell>
          <cell r="H108" t="str">
            <v>X</v>
          </cell>
          <cell r="I108" t="str">
            <v>-</v>
          </cell>
          <cell r="J108" t="str">
            <v>-</v>
          </cell>
          <cell r="K108" t="str">
            <v>+</v>
          </cell>
          <cell r="L108" t="str">
            <v>-</v>
          </cell>
          <cell r="M108" t="str">
            <v>X</v>
          </cell>
          <cell r="N108" t="str">
            <v>-</v>
          </cell>
          <cell r="O108" t="str">
            <v>X</v>
          </cell>
        </row>
        <row r="109">
          <cell r="A109">
            <v>63141600</v>
          </cell>
          <cell r="B109" t="str">
            <v>Vispannetje fijne groenten 300g COLR</v>
          </cell>
          <cell r="C109" t="str">
            <v>-</v>
          </cell>
          <cell r="D109" t="str">
            <v>-</v>
          </cell>
          <cell r="E109" t="str">
            <v>+</v>
          </cell>
          <cell r="F109" t="str">
            <v>X</v>
          </cell>
          <cell r="G109" t="str">
            <v>+</v>
          </cell>
          <cell r="H109" t="str">
            <v>X</v>
          </cell>
          <cell r="I109" t="str">
            <v>-</v>
          </cell>
          <cell r="J109" t="str">
            <v>X</v>
          </cell>
          <cell r="K109" t="str">
            <v>+</v>
          </cell>
          <cell r="L109" t="str">
            <v>-</v>
          </cell>
          <cell r="M109" t="str">
            <v>X</v>
          </cell>
          <cell r="N109" t="str">
            <v>+</v>
          </cell>
          <cell r="O109" t="str">
            <v>+</v>
          </cell>
        </row>
        <row r="110">
          <cell r="A110">
            <v>63150000</v>
          </cell>
          <cell r="B110" t="str">
            <v>Aardappelgratin 450g  LIDL</v>
          </cell>
          <cell r="C110" t="str">
            <v>-</v>
          </cell>
          <cell r="D110" t="str">
            <v>-</v>
          </cell>
          <cell r="E110" t="str">
            <v>+</v>
          </cell>
          <cell r="F110" t="str">
            <v>X</v>
          </cell>
          <cell r="G110" t="str">
            <v>+</v>
          </cell>
          <cell r="H110" t="str">
            <v>X</v>
          </cell>
          <cell r="I110" t="str">
            <v>-</v>
          </cell>
          <cell r="J110" t="str">
            <v>-</v>
          </cell>
          <cell r="K110" t="str">
            <v>-</v>
          </cell>
          <cell r="L110" t="str">
            <v>-</v>
          </cell>
          <cell r="M110" t="str">
            <v>X</v>
          </cell>
          <cell r="N110" t="str">
            <v>-</v>
          </cell>
          <cell r="O110" t="str">
            <v>-</v>
          </cell>
        </row>
        <row r="111">
          <cell r="A111">
            <v>63152200</v>
          </cell>
          <cell r="B111" t="str">
            <v>Scampi lookboter ASC 275 gram Lidl</v>
          </cell>
          <cell r="C111" t="str">
            <v>-</v>
          </cell>
          <cell r="D111" t="str">
            <v>-</v>
          </cell>
          <cell r="E111" t="str">
            <v>-</v>
          </cell>
          <cell r="F111" t="str">
            <v>-</v>
          </cell>
          <cell r="G111" t="str">
            <v>+</v>
          </cell>
          <cell r="H111" t="str">
            <v>-</v>
          </cell>
          <cell r="I111" t="str">
            <v>-</v>
          </cell>
          <cell r="J111" t="str">
            <v>+</v>
          </cell>
          <cell r="K111" t="str">
            <v>-</v>
          </cell>
          <cell r="L111" t="str">
            <v>-</v>
          </cell>
          <cell r="M111" t="str">
            <v>-</v>
          </cell>
          <cell r="N111" t="str">
            <v>-</v>
          </cell>
          <cell r="O111" t="str">
            <v>-</v>
          </cell>
        </row>
        <row r="112">
          <cell r="A112">
            <v>63152300</v>
          </cell>
          <cell r="B112" t="str">
            <v>Scampi diabolique 250 gr Lidl</v>
          </cell>
          <cell r="C112" t="str">
            <v>-</v>
          </cell>
          <cell r="D112" t="str">
            <v>-</v>
          </cell>
          <cell r="E112" t="str">
            <v>+</v>
          </cell>
          <cell r="F112" t="str">
            <v>-</v>
          </cell>
          <cell r="G112" t="str">
            <v>+</v>
          </cell>
          <cell r="H112" t="str">
            <v>-</v>
          </cell>
          <cell r="I112" t="str">
            <v>-</v>
          </cell>
          <cell r="J112" t="str">
            <v>+</v>
          </cell>
          <cell r="K112" t="str">
            <v>+</v>
          </cell>
          <cell r="L112" t="str">
            <v>-</v>
          </cell>
          <cell r="M112" t="str">
            <v>X</v>
          </cell>
          <cell r="N112" t="str">
            <v>+</v>
          </cell>
          <cell r="O112" t="str">
            <v>+</v>
          </cell>
        </row>
        <row r="113">
          <cell r="A113">
            <v>63152800</v>
          </cell>
          <cell r="B113" t="str">
            <v>Scampipan curry 250g Lidl</v>
          </cell>
          <cell r="C113" t="str">
            <v>-</v>
          </cell>
          <cell r="D113" t="str">
            <v>-</v>
          </cell>
          <cell r="E113" t="str">
            <v>+</v>
          </cell>
          <cell r="F113" t="str">
            <v>X</v>
          </cell>
          <cell r="G113" t="str">
            <v>+</v>
          </cell>
          <cell r="H113" t="str">
            <v>X</v>
          </cell>
          <cell r="I113" t="str">
            <v>-</v>
          </cell>
          <cell r="J113" t="str">
            <v>+</v>
          </cell>
          <cell r="K113" t="str">
            <v>+</v>
          </cell>
          <cell r="L113" t="str">
            <v>-</v>
          </cell>
          <cell r="M113" t="str">
            <v>X</v>
          </cell>
          <cell r="N113" t="str">
            <v>+</v>
          </cell>
          <cell r="O113" t="str">
            <v>X</v>
          </cell>
        </row>
        <row r="114">
          <cell r="A114">
            <v>63153000</v>
          </cell>
          <cell r="B114" t="str">
            <v xml:space="preserve">Macaroni ham kaas 450g Lidl  </v>
          </cell>
          <cell r="C114" t="str">
            <v>-</v>
          </cell>
          <cell r="D114" t="str">
            <v>X</v>
          </cell>
          <cell r="E114" t="str">
            <v>+</v>
          </cell>
          <cell r="F114" t="str">
            <v>X</v>
          </cell>
          <cell r="G114" t="str">
            <v>+</v>
          </cell>
          <cell r="H114" t="str">
            <v>X</v>
          </cell>
          <cell r="I114" t="str">
            <v>-</v>
          </cell>
          <cell r="J114" t="str">
            <v>-</v>
          </cell>
          <cell r="K114" t="str">
            <v>-</v>
          </cell>
          <cell r="L114" t="str">
            <v>-</v>
          </cell>
          <cell r="M114" t="str">
            <v>X</v>
          </cell>
          <cell r="N114" t="str">
            <v>-</v>
          </cell>
          <cell r="O114" t="str">
            <v>-</v>
          </cell>
        </row>
        <row r="115">
          <cell r="A115">
            <v>63154100</v>
          </cell>
          <cell r="B115" t="str">
            <v>Scampi diabolique 250 gr Lidl HR RS</v>
          </cell>
          <cell r="C115" t="str">
            <v>-</v>
          </cell>
          <cell r="D115" t="str">
            <v>-</v>
          </cell>
          <cell r="E115" t="str">
            <v>+</v>
          </cell>
          <cell r="F115" t="str">
            <v>-</v>
          </cell>
          <cell r="G115" t="str">
            <v>+</v>
          </cell>
          <cell r="H115" t="str">
            <v>-</v>
          </cell>
          <cell r="I115" t="str">
            <v>-</v>
          </cell>
          <cell r="J115" t="str">
            <v>+</v>
          </cell>
          <cell r="K115" t="str">
            <v>+</v>
          </cell>
          <cell r="L115" t="str">
            <v>-</v>
          </cell>
          <cell r="M115" t="str">
            <v>X</v>
          </cell>
          <cell r="N115" t="str">
            <v>+</v>
          </cell>
          <cell r="O115" t="str">
            <v>+</v>
          </cell>
        </row>
        <row r="116">
          <cell r="A116">
            <v>63154200</v>
          </cell>
          <cell r="B116" t="str">
            <v>Scampi diabolique 250 gr Lidl FE IE NI</v>
          </cell>
          <cell r="C116" t="str">
            <v>-</v>
          </cell>
          <cell r="D116" t="str">
            <v>-</v>
          </cell>
          <cell r="E116" t="str">
            <v>+</v>
          </cell>
          <cell r="F116" t="str">
            <v>-</v>
          </cell>
          <cell r="G116" t="str">
            <v>+</v>
          </cell>
          <cell r="H116" t="str">
            <v>-</v>
          </cell>
          <cell r="I116" t="str">
            <v>-</v>
          </cell>
          <cell r="J116" t="str">
            <v>+</v>
          </cell>
          <cell r="K116" t="str">
            <v>+</v>
          </cell>
          <cell r="L116" t="str">
            <v>-</v>
          </cell>
          <cell r="M116" t="str">
            <v>X</v>
          </cell>
          <cell r="N116" t="str">
            <v>+</v>
          </cell>
          <cell r="O116" t="str">
            <v>+</v>
          </cell>
        </row>
        <row r="117">
          <cell r="A117">
            <v>63154300</v>
          </cell>
          <cell r="B117" t="str">
            <v>Scampi ASC curry 250g Lidl AT-BG-HR</v>
          </cell>
          <cell r="C117" t="str">
            <v>-</v>
          </cell>
          <cell r="D117" t="str">
            <v>-</v>
          </cell>
          <cell r="E117" t="str">
            <v>+</v>
          </cell>
          <cell r="F117" t="str">
            <v>X</v>
          </cell>
          <cell r="G117" t="str">
            <v>+</v>
          </cell>
          <cell r="H117" t="str">
            <v>X</v>
          </cell>
          <cell r="I117" t="str">
            <v>-</v>
          </cell>
          <cell r="J117" t="str">
            <v>+</v>
          </cell>
          <cell r="K117" t="str">
            <v>+</v>
          </cell>
          <cell r="L117" t="str">
            <v>-</v>
          </cell>
          <cell r="M117" t="str">
            <v>X</v>
          </cell>
          <cell r="N117" t="str">
            <v>+</v>
          </cell>
          <cell r="O117" t="str">
            <v>X</v>
          </cell>
        </row>
        <row r="118">
          <cell r="A118">
            <v>63154400</v>
          </cell>
          <cell r="B118" t="str">
            <v>Scampi ASC pastis 250 g Lidl AT-BG-HR</v>
          </cell>
          <cell r="C118" t="str">
            <v>-</v>
          </cell>
          <cell r="D118" t="str">
            <v>-</v>
          </cell>
          <cell r="E118" t="str">
            <v>+</v>
          </cell>
          <cell r="F118" t="str">
            <v>X</v>
          </cell>
          <cell r="G118" t="str">
            <v>+</v>
          </cell>
          <cell r="H118" t="str">
            <v>X</v>
          </cell>
          <cell r="I118" t="str">
            <v>-</v>
          </cell>
          <cell r="J118" t="str">
            <v>+</v>
          </cell>
          <cell r="K118" t="str">
            <v>+</v>
          </cell>
          <cell r="L118" t="str">
            <v>-</v>
          </cell>
          <cell r="M118" t="str">
            <v>X</v>
          </cell>
          <cell r="N118" t="str">
            <v>+</v>
          </cell>
          <cell r="O118" t="str">
            <v>X</v>
          </cell>
        </row>
        <row r="119">
          <cell r="A119">
            <v>63154500</v>
          </cell>
          <cell r="B119" t="str">
            <v>Scampi diabolique 250 gr Lidl RS-IE-NI-FI</v>
          </cell>
          <cell r="C119" t="str">
            <v>-</v>
          </cell>
          <cell r="D119" t="str">
            <v>-</v>
          </cell>
          <cell r="E119" t="str">
            <v>+</v>
          </cell>
          <cell r="F119" t="str">
            <v>-</v>
          </cell>
          <cell r="G119" t="str">
            <v>+</v>
          </cell>
          <cell r="H119" t="str">
            <v>-</v>
          </cell>
          <cell r="I119" t="str">
            <v>-</v>
          </cell>
          <cell r="J119" t="str">
            <v>+</v>
          </cell>
          <cell r="K119" t="str">
            <v>+</v>
          </cell>
          <cell r="L119" t="str">
            <v>-</v>
          </cell>
          <cell r="M119" t="str">
            <v>X</v>
          </cell>
          <cell r="N119" t="str">
            <v>+</v>
          </cell>
          <cell r="O119" t="str">
            <v>+</v>
          </cell>
        </row>
        <row r="120">
          <cell r="A120">
            <v>63154600</v>
          </cell>
          <cell r="B120" t="str">
            <v>Scampi diabolique 250 gr Lidl DK-NL</v>
          </cell>
          <cell r="C120" t="str">
            <v>-</v>
          </cell>
          <cell r="D120" t="str">
            <v>-</v>
          </cell>
          <cell r="E120" t="str">
            <v>+</v>
          </cell>
          <cell r="F120" t="str">
            <v>-</v>
          </cell>
          <cell r="G120" t="str">
            <v>+</v>
          </cell>
          <cell r="H120" t="str">
            <v>-</v>
          </cell>
          <cell r="I120" t="str">
            <v>-</v>
          </cell>
          <cell r="J120" t="str">
            <v>+</v>
          </cell>
          <cell r="K120" t="str">
            <v>+</v>
          </cell>
          <cell r="L120" t="str">
            <v>-</v>
          </cell>
          <cell r="M120" t="str">
            <v>X</v>
          </cell>
          <cell r="N120" t="str">
            <v>+</v>
          </cell>
          <cell r="O120" t="str">
            <v>+</v>
          </cell>
        </row>
        <row r="121">
          <cell r="A121">
            <v>63154700</v>
          </cell>
          <cell r="B121" t="str">
            <v>Scampi diabolique 250 gr Lidl FI-LT-LV</v>
          </cell>
          <cell r="C121" t="str">
            <v>-</v>
          </cell>
          <cell r="D121" t="str">
            <v>-</v>
          </cell>
          <cell r="E121" t="str">
            <v>+</v>
          </cell>
          <cell r="F121" t="str">
            <v>-</v>
          </cell>
          <cell r="G121" t="str">
            <v>+</v>
          </cell>
          <cell r="H121" t="str">
            <v>-</v>
          </cell>
          <cell r="I121" t="str">
            <v>-</v>
          </cell>
          <cell r="J121" t="str">
            <v>+</v>
          </cell>
          <cell r="K121" t="str">
            <v>+</v>
          </cell>
          <cell r="L121" t="str">
            <v>-</v>
          </cell>
          <cell r="M121" t="str">
            <v>X</v>
          </cell>
          <cell r="N121" t="str">
            <v>+</v>
          </cell>
          <cell r="O121" t="str">
            <v>+</v>
          </cell>
        </row>
        <row r="122">
          <cell r="A122">
            <v>63154800</v>
          </cell>
          <cell r="B122" t="str">
            <v>Scampipan curry 250g Lidl BG-GR</v>
          </cell>
          <cell r="C122" t="str">
            <v>-</v>
          </cell>
          <cell r="D122" t="str">
            <v>-</v>
          </cell>
          <cell r="E122" t="str">
            <v>+</v>
          </cell>
          <cell r="F122" t="str">
            <v>X</v>
          </cell>
          <cell r="G122" t="str">
            <v>+</v>
          </cell>
          <cell r="H122" t="str">
            <v>X</v>
          </cell>
          <cell r="I122" t="str">
            <v>-</v>
          </cell>
          <cell r="J122" t="str">
            <v>+</v>
          </cell>
          <cell r="K122" t="str">
            <v>+</v>
          </cell>
          <cell r="L122" t="str">
            <v>-</v>
          </cell>
          <cell r="M122" t="str">
            <v>X</v>
          </cell>
          <cell r="N122" t="str">
            <v>+</v>
          </cell>
          <cell r="O122" t="str">
            <v>X</v>
          </cell>
        </row>
        <row r="123">
          <cell r="A123">
            <v>63154900</v>
          </cell>
          <cell r="B123" t="str">
            <v>Scampipan pastis 250 g Lidl BG-GR</v>
          </cell>
          <cell r="C123" t="str">
            <v>-</v>
          </cell>
          <cell r="D123" t="str">
            <v>-</v>
          </cell>
          <cell r="E123" t="str">
            <v>+</v>
          </cell>
          <cell r="F123" t="str">
            <v>X</v>
          </cell>
          <cell r="G123" t="str">
            <v>+</v>
          </cell>
          <cell r="H123" t="str">
            <v>X</v>
          </cell>
          <cell r="I123" t="str">
            <v>-</v>
          </cell>
          <cell r="J123" t="str">
            <v>+</v>
          </cell>
          <cell r="K123" t="str">
            <v>+</v>
          </cell>
          <cell r="L123" t="str">
            <v>-</v>
          </cell>
          <cell r="M123" t="str">
            <v>X</v>
          </cell>
          <cell r="N123" t="str">
            <v>+</v>
          </cell>
          <cell r="O123" t="str">
            <v>X</v>
          </cell>
        </row>
        <row r="124">
          <cell r="A124">
            <v>63160700</v>
          </cell>
          <cell r="B124" t="str">
            <v>Macaroni ham kaas 450g ALVO</v>
          </cell>
          <cell r="C124" t="str">
            <v>-</v>
          </cell>
          <cell r="D124" t="str">
            <v>X</v>
          </cell>
          <cell r="E124" t="str">
            <v>+</v>
          </cell>
          <cell r="F124" t="str">
            <v>X</v>
          </cell>
          <cell r="G124" t="str">
            <v>+</v>
          </cell>
          <cell r="H124" t="str">
            <v>X</v>
          </cell>
          <cell r="I124" t="str">
            <v>-</v>
          </cell>
          <cell r="J124" t="str">
            <v>-</v>
          </cell>
          <cell r="K124" t="str">
            <v>-</v>
          </cell>
          <cell r="L124" t="str">
            <v>-</v>
          </cell>
          <cell r="M124" t="str">
            <v>X</v>
          </cell>
          <cell r="N124" t="str">
            <v>-</v>
          </cell>
          <cell r="O124" t="str">
            <v>-</v>
          </cell>
        </row>
        <row r="125">
          <cell r="A125">
            <v>63170900</v>
          </cell>
          <cell r="B125" t="str">
            <v>Scampi diabolique 250g CRF</v>
          </cell>
          <cell r="C125" t="str">
            <v>-</v>
          </cell>
          <cell r="D125" t="str">
            <v>-</v>
          </cell>
          <cell r="E125" t="str">
            <v>+</v>
          </cell>
          <cell r="F125" t="str">
            <v>X</v>
          </cell>
          <cell r="G125" t="str">
            <v>+</v>
          </cell>
          <cell r="H125" t="str">
            <v>X</v>
          </cell>
          <cell r="I125" t="str">
            <v>-</v>
          </cell>
          <cell r="J125" t="str">
            <v>+</v>
          </cell>
          <cell r="K125" t="str">
            <v>+</v>
          </cell>
          <cell r="L125" t="str">
            <v>-</v>
          </cell>
          <cell r="M125" t="str">
            <v>X</v>
          </cell>
          <cell r="N125" t="str">
            <v>+</v>
          </cell>
          <cell r="O125" t="str">
            <v>+</v>
          </cell>
        </row>
        <row r="126">
          <cell r="A126">
            <v>63171000</v>
          </cell>
          <cell r="B126" t="str">
            <v>Scampi looksaus 250g CRF</v>
          </cell>
          <cell r="C126" t="str">
            <v>-</v>
          </cell>
          <cell r="D126" t="str">
            <v>-</v>
          </cell>
          <cell r="E126" t="str">
            <v>-</v>
          </cell>
          <cell r="F126" t="str">
            <v>-</v>
          </cell>
          <cell r="G126" t="str">
            <v>+</v>
          </cell>
          <cell r="H126" t="str">
            <v>-</v>
          </cell>
          <cell r="I126" t="str">
            <v>-</v>
          </cell>
          <cell r="J126" t="str">
            <v>+</v>
          </cell>
          <cell r="K126" t="str">
            <v>+</v>
          </cell>
          <cell r="L126" t="str">
            <v>-</v>
          </cell>
          <cell r="M126" t="str">
            <v>-</v>
          </cell>
          <cell r="N126" t="str">
            <v>-</v>
          </cell>
          <cell r="O126" t="str">
            <v>-</v>
          </cell>
        </row>
        <row r="127">
          <cell r="A127">
            <v>63180100</v>
          </cell>
          <cell r="B127" t="str">
            <v xml:space="preserve">Kippenragout voor videes 500g BOF </v>
          </cell>
          <cell r="C127" t="str">
            <v>-</v>
          </cell>
          <cell r="D127" t="str">
            <v>X</v>
          </cell>
          <cell r="E127" t="str">
            <v>+</v>
          </cell>
          <cell r="F127" t="str">
            <v>X</v>
          </cell>
          <cell r="G127" t="str">
            <v>+</v>
          </cell>
          <cell r="H127" t="str">
            <v>X</v>
          </cell>
          <cell r="I127" t="str">
            <v>-</v>
          </cell>
          <cell r="J127" t="str">
            <v>X</v>
          </cell>
          <cell r="K127" t="str">
            <v>X</v>
          </cell>
          <cell r="L127" t="str">
            <v>-</v>
          </cell>
          <cell r="M127" t="str">
            <v>X</v>
          </cell>
          <cell r="N127" t="str">
            <v>X</v>
          </cell>
          <cell r="O127" t="str">
            <v>X</v>
          </cell>
        </row>
        <row r="128">
          <cell r="A128">
            <v>63180200</v>
          </cell>
          <cell r="B128" t="str">
            <v>Rundstoofvlees in biersaus 500g BOF</v>
          </cell>
          <cell r="C128" t="str">
            <v>-</v>
          </cell>
          <cell r="D128" t="str">
            <v>-</v>
          </cell>
          <cell r="E128" t="str">
            <v>+</v>
          </cell>
          <cell r="F128" t="str">
            <v>X</v>
          </cell>
          <cell r="G128" t="str">
            <v>-</v>
          </cell>
          <cell r="H128" t="str">
            <v>+</v>
          </cell>
          <cell r="I128" t="str">
            <v>-</v>
          </cell>
          <cell r="J128" t="str">
            <v>-</v>
          </cell>
          <cell r="K128" t="str">
            <v>+</v>
          </cell>
          <cell r="L128" t="str">
            <v>-</v>
          </cell>
          <cell r="M128" t="str">
            <v>X</v>
          </cell>
          <cell r="N128" t="str">
            <v>-</v>
          </cell>
          <cell r="O128" t="str">
            <v>-</v>
          </cell>
        </row>
        <row r="129">
          <cell r="A129">
            <v>63180600</v>
          </cell>
          <cell r="B129" t="str">
            <v>Lasagne witloof ham kaas 450g BOF</v>
          </cell>
          <cell r="C129" t="str">
            <v>-</v>
          </cell>
          <cell r="D129" t="str">
            <v>+</v>
          </cell>
          <cell r="E129" t="str">
            <v>+</v>
          </cell>
          <cell r="F129" t="str">
            <v>X</v>
          </cell>
          <cell r="G129" t="str">
            <v>+</v>
          </cell>
          <cell r="H129" t="str">
            <v>X</v>
          </cell>
          <cell r="I129" t="str">
            <v>-</v>
          </cell>
          <cell r="J129" t="str">
            <v>-</v>
          </cell>
          <cell r="K129" t="str">
            <v>X</v>
          </cell>
          <cell r="L129" t="str">
            <v>-</v>
          </cell>
          <cell r="M129" t="str">
            <v>X</v>
          </cell>
          <cell r="N129" t="str">
            <v>-</v>
          </cell>
          <cell r="O129" t="str">
            <v>X</v>
          </cell>
        </row>
        <row r="130">
          <cell r="A130">
            <v>63181400</v>
          </cell>
          <cell r="B130" t="str">
            <v>Macaroni ham kaas 450g BOF</v>
          </cell>
          <cell r="C130" t="str">
            <v>-</v>
          </cell>
          <cell r="D130" t="str">
            <v>X</v>
          </cell>
          <cell r="E130" t="str">
            <v>+</v>
          </cell>
          <cell r="F130" t="str">
            <v>X</v>
          </cell>
          <cell r="G130" t="str">
            <v>+</v>
          </cell>
          <cell r="H130" t="str">
            <v>X</v>
          </cell>
          <cell r="I130" t="str">
            <v>-</v>
          </cell>
          <cell r="J130" t="str">
            <v>-</v>
          </cell>
          <cell r="K130" t="str">
            <v>-</v>
          </cell>
          <cell r="L130" t="str">
            <v>-</v>
          </cell>
          <cell r="M130" t="str">
            <v>X</v>
          </cell>
          <cell r="N130" t="str">
            <v>-</v>
          </cell>
          <cell r="O130" t="str">
            <v>-</v>
          </cell>
        </row>
        <row r="131">
          <cell r="A131">
            <v>63183600</v>
          </cell>
          <cell r="B131" t="str">
            <v>Rundstong madeirasaus 400g BOF</v>
          </cell>
          <cell r="C131" t="str">
            <v>-</v>
          </cell>
          <cell r="D131" t="str">
            <v>X</v>
          </cell>
          <cell r="E131" t="str">
            <v>+</v>
          </cell>
          <cell r="F131" t="str">
            <v>X</v>
          </cell>
          <cell r="G131" t="str">
            <v>+</v>
          </cell>
          <cell r="H131" t="str">
            <v>X</v>
          </cell>
          <cell r="I131" t="str">
            <v>-</v>
          </cell>
          <cell r="J131" t="str">
            <v>-</v>
          </cell>
          <cell r="K131" t="str">
            <v>+</v>
          </cell>
          <cell r="L131" t="str">
            <v>-</v>
          </cell>
          <cell r="M131" t="str">
            <v>X</v>
          </cell>
          <cell r="N131" t="str">
            <v>-</v>
          </cell>
          <cell r="O131" t="str">
            <v>-</v>
          </cell>
        </row>
        <row r="132">
          <cell r="A132">
            <v>63183700</v>
          </cell>
          <cell r="B132" t="str">
            <v>Spaghetti bolognaise 400g BOF DE</v>
          </cell>
          <cell r="C132" t="str">
            <v>-</v>
          </cell>
          <cell r="D132" t="str">
            <v>X</v>
          </cell>
          <cell r="E132" t="str">
            <v>+</v>
          </cell>
          <cell r="F132" t="str">
            <v>X</v>
          </cell>
          <cell r="G132" t="str">
            <v>-</v>
          </cell>
          <cell r="H132" t="str">
            <v>X</v>
          </cell>
          <cell r="I132" t="str">
            <v>-</v>
          </cell>
          <cell r="J132" t="str">
            <v>-</v>
          </cell>
          <cell r="K132" t="str">
            <v>+</v>
          </cell>
          <cell r="L132" t="str">
            <v>-</v>
          </cell>
          <cell r="M132" t="str">
            <v>X</v>
          </cell>
          <cell r="N132" t="str">
            <v>-</v>
          </cell>
          <cell r="O132" t="str">
            <v>-</v>
          </cell>
        </row>
        <row r="133">
          <cell r="A133">
            <v>63230100</v>
          </cell>
          <cell r="B133" t="str">
            <v xml:space="preserve">Kippenbout appelmoes puree 530g Eism </v>
          </cell>
          <cell r="C133" t="str">
            <v>-</v>
          </cell>
          <cell r="D133" t="str">
            <v>+</v>
          </cell>
          <cell r="E133" t="str">
            <v>+</v>
          </cell>
          <cell r="F133" t="str">
            <v>-</v>
          </cell>
          <cell r="G133" t="str">
            <v>+</v>
          </cell>
          <cell r="H133" t="str">
            <v>-</v>
          </cell>
          <cell r="I133" t="str">
            <v>-</v>
          </cell>
          <cell r="J133" t="str">
            <v>-</v>
          </cell>
          <cell r="K133" t="str">
            <v>+</v>
          </cell>
          <cell r="L133" t="str">
            <v>-</v>
          </cell>
          <cell r="M133" t="str">
            <v>-</v>
          </cell>
          <cell r="N133" t="str">
            <v>-</v>
          </cell>
          <cell r="O133" t="str">
            <v>-</v>
          </cell>
        </row>
        <row r="134">
          <cell r="A134">
            <v>63250000</v>
          </cell>
          <cell r="B134" t="str">
            <v xml:space="preserve">Witloof ham kaas 700g THIRIET </v>
          </cell>
          <cell r="C134" t="str">
            <v>-</v>
          </cell>
          <cell r="D134" t="str">
            <v>-</v>
          </cell>
          <cell r="E134" t="str">
            <v>+</v>
          </cell>
          <cell r="F134" t="str">
            <v>X</v>
          </cell>
          <cell r="G134" t="str">
            <v>+</v>
          </cell>
          <cell r="H134" t="str">
            <v>X</v>
          </cell>
          <cell r="I134" t="str">
            <v>-</v>
          </cell>
          <cell r="J134" t="str">
            <v>-</v>
          </cell>
          <cell r="K134" t="str">
            <v>-</v>
          </cell>
          <cell r="L134" t="str">
            <v>-</v>
          </cell>
          <cell r="M134" t="str">
            <v>X</v>
          </cell>
          <cell r="N134" t="str">
            <v>-</v>
          </cell>
          <cell r="O134" t="str">
            <v>-</v>
          </cell>
        </row>
        <row r="135">
          <cell r="A135">
            <v>63291300</v>
          </cell>
          <cell r="B135" t="str">
            <v>Kippenbout appelmoes puree 510g BOF</v>
          </cell>
          <cell r="C135" t="str">
            <v>-</v>
          </cell>
          <cell r="D135" t="str">
            <v>+</v>
          </cell>
          <cell r="E135" t="str">
            <v>+</v>
          </cell>
          <cell r="F135" t="str">
            <v>X</v>
          </cell>
          <cell r="G135" t="str">
            <v>+</v>
          </cell>
          <cell r="H135" t="str">
            <v>X</v>
          </cell>
          <cell r="I135" t="str">
            <v>-</v>
          </cell>
          <cell r="J135" t="str">
            <v>-</v>
          </cell>
          <cell r="K135" t="str">
            <v>-</v>
          </cell>
          <cell r="L135" t="str">
            <v>-</v>
          </cell>
          <cell r="M135" t="str">
            <v>X</v>
          </cell>
          <cell r="N135" t="str">
            <v>-</v>
          </cell>
          <cell r="O135" t="str">
            <v>-</v>
          </cell>
        </row>
        <row r="136">
          <cell r="A136">
            <v>63292100</v>
          </cell>
          <cell r="B136" t="str">
            <v>Jachtschotel rode kool puree 550g BOF</v>
          </cell>
          <cell r="C136" t="str">
            <v>-</v>
          </cell>
          <cell r="D136" t="str">
            <v>+</v>
          </cell>
          <cell r="E136" t="str">
            <v>+</v>
          </cell>
          <cell r="F136" t="str">
            <v>X</v>
          </cell>
          <cell r="G136" t="str">
            <v>+</v>
          </cell>
          <cell r="H136" t="str">
            <v>+</v>
          </cell>
          <cell r="I136" t="str">
            <v>-</v>
          </cell>
          <cell r="J136" t="str">
            <v>-</v>
          </cell>
          <cell r="K136" t="str">
            <v>-</v>
          </cell>
          <cell r="L136" t="str">
            <v>-</v>
          </cell>
          <cell r="M136" t="str">
            <v>X</v>
          </cell>
          <cell r="N136" t="str">
            <v>-</v>
          </cell>
          <cell r="O136" t="str">
            <v>-</v>
          </cell>
        </row>
        <row r="137">
          <cell r="A137">
            <v>63293000</v>
          </cell>
          <cell r="B137" t="str">
            <v>Lasagne Zalm Prei 800g BOF FR</v>
          </cell>
          <cell r="C137" t="str">
            <v>-</v>
          </cell>
          <cell r="D137" t="str">
            <v>+</v>
          </cell>
          <cell r="E137" t="str">
            <v>+</v>
          </cell>
          <cell r="F137" t="str">
            <v>X</v>
          </cell>
          <cell r="G137" t="str">
            <v>+</v>
          </cell>
          <cell r="H137" t="str">
            <v>X</v>
          </cell>
          <cell r="I137" t="str">
            <v>-</v>
          </cell>
          <cell r="J137" t="str">
            <v>X</v>
          </cell>
          <cell r="K137" t="str">
            <v>+</v>
          </cell>
          <cell r="L137" t="str">
            <v>-</v>
          </cell>
          <cell r="M137" t="str">
            <v>X</v>
          </cell>
          <cell r="N137" t="str">
            <v>+</v>
          </cell>
          <cell r="O137" t="str">
            <v>X</v>
          </cell>
        </row>
        <row r="138">
          <cell r="A138">
            <v>63293100</v>
          </cell>
          <cell r="B138" t="str">
            <v>Tartiflette 800g BOF FR</v>
          </cell>
          <cell r="C138" t="str">
            <v>-</v>
          </cell>
          <cell r="D138" t="str">
            <v>-</v>
          </cell>
          <cell r="E138" t="str">
            <v>-</v>
          </cell>
          <cell r="F138" t="str">
            <v>-</v>
          </cell>
          <cell r="G138" t="str">
            <v>+</v>
          </cell>
          <cell r="H138" t="str">
            <v>-</v>
          </cell>
          <cell r="I138" t="str">
            <v>-</v>
          </cell>
          <cell r="J138" t="str">
            <v>-</v>
          </cell>
          <cell r="K138" t="str">
            <v>-</v>
          </cell>
          <cell r="L138" t="str">
            <v>-</v>
          </cell>
          <cell r="M138" t="str">
            <v>-</v>
          </cell>
          <cell r="N138" t="str">
            <v>X</v>
          </cell>
          <cell r="O138" t="str">
            <v>-</v>
          </cell>
        </row>
        <row r="139">
          <cell r="A139">
            <v>63293200</v>
          </cell>
          <cell r="B139" t="str">
            <v>Choucroute de la mer ASC MSC BOF Fr 700g</v>
          </cell>
          <cell r="C139" t="str">
            <v>-</v>
          </cell>
          <cell r="D139" t="str">
            <v>-</v>
          </cell>
          <cell r="E139" t="str">
            <v>-</v>
          </cell>
          <cell r="F139" t="str">
            <v>-</v>
          </cell>
          <cell r="G139" t="str">
            <v>+</v>
          </cell>
          <cell r="H139" t="str">
            <v>-</v>
          </cell>
          <cell r="I139" t="str">
            <v>-</v>
          </cell>
          <cell r="J139" t="str">
            <v>X</v>
          </cell>
          <cell r="K139" t="str">
            <v>+</v>
          </cell>
          <cell r="L139" t="str">
            <v>-</v>
          </cell>
          <cell r="M139" t="str">
            <v>-</v>
          </cell>
          <cell r="N139" t="str">
            <v>+</v>
          </cell>
          <cell r="O139" t="str">
            <v>+</v>
          </cell>
        </row>
        <row r="140">
          <cell r="A140">
            <v>63293300</v>
          </cell>
          <cell r="B140" t="str">
            <v>Varkenstoofvlees carbonnade met purée 750g BOF FR</v>
          </cell>
          <cell r="C140" t="str">
            <v>-</v>
          </cell>
          <cell r="D140" t="str">
            <v>+</v>
          </cell>
          <cell r="E140" t="str">
            <v>+</v>
          </cell>
          <cell r="F140" t="str">
            <v>X</v>
          </cell>
          <cell r="G140" t="str">
            <v>+</v>
          </cell>
          <cell r="H140" t="str">
            <v>+</v>
          </cell>
          <cell r="I140" t="str">
            <v>-</v>
          </cell>
          <cell r="J140" t="str">
            <v>-</v>
          </cell>
          <cell r="K140" t="str">
            <v>-</v>
          </cell>
          <cell r="L140" t="str">
            <v>-</v>
          </cell>
          <cell r="M140" t="str">
            <v>X</v>
          </cell>
          <cell r="N140" t="str">
            <v>-</v>
          </cell>
          <cell r="O140" t="str">
            <v>-</v>
          </cell>
        </row>
        <row r="141">
          <cell r="A141">
            <v>63293400</v>
          </cell>
          <cell r="B141" t="str">
            <v>Rundsvlees geplukt provencalse daube met puree 750g BOF INT</v>
          </cell>
          <cell r="C141" t="str">
            <v>-</v>
          </cell>
          <cell r="D141" t="str">
            <v>+</v>
          </cell>
          <cell r="E141" t="str">
            <v>+</v>
          </cell>
          <cell r="F141" t="str">
            <v>-</v>
          </cell>
          <cell r="G141" t="str">
            <v>+</v>
          </cell>
          <cell r="H141" t="str">
            <v>-</v>
          </cell>
          <cell r="I141" t="str">
            <v>-</v>
          </cell>
          <cell r="J141" t="str">
            <v>-</v>
          </cell>
          <cell r="K141" t="str">
            <v>-</v>
          </cell>
          <cell r="L141" t="str">
            <v>-</v>
          </cell>
          <cell r="M141" t="str">
            <v>-</v>
          </cell>
          <cell r="N141" t="str">
            <v>-</v>
          </cell>
          <cell r="O141" t="str">
            <v>-</v>
          </cell>
        </row>
        <row r="142">
          <cell r="A142">
            <v>63295000</v>
          </cell>
          <cell r="B142" t="str">
            <v>kipfilet rode wijnsaus groene bonen rosti 450g BOF DE</v>
          </cell>
          <cell r="C142" t="str">
            <v>-</v>
          </cell>
          <cell r="D142" t="str">
            <v>X</v>
          </cell>
          <cell r="E142" t="str">
            <v>+</v>
          </cell>
          <cell r="F142" t="str">
            <v>X</v>
          </cell>
          <cell r="G142" t="str">
            <v>X</v>
          </cell>
          <cell r="H142" t="str">
            <v>X</v>
          </cell>
          <cell r="I142" t="str">
            <v>-</v>
          </cell>
          <cell r="J142" t="str">
            <v>-</v>
          </cell>
          <cell r="K142" t="str">
            <v>-</v>
          </cell>
          <cell r="L142" t="str">
            <v>-</v>
          </cell>
          <cell r="M142" t="str">
            <v>X</v>
          </cell>
          <cell r="N142" t="str">
            <v>-</v>
          </cell>
          <cell r="O142" t="str">
            <v>-</v>
          </cell>
        </row>
        <row r="143">
          <cell r="A143">
            <v>63295100</v>
          </cell>
          <cell r="B143" t="str">
            <v>VA stoofvlees champignonsce gratin wortel honing 450g BOF DE</v>
          </cell>
          <cell r="C143" t="str">
            <v>-</v>
          </cell>
          <cell r="D143" t="str">
            <v>X</v>
          </cell>
          <cell r="E143" t="str">
            <v>+</v>
          </cell>
          <cell r="F143" t="str">
            <v>X</v>
          </cell>
          <cell r="G143" t="str">
            <v>+</v>
          </cell>
          <cell r="H143" t="str">
            <v>X</v>
          </cell>
          <cell r="I143" t="str">
            <v>-</v>
          </cell>
          <cell r="J143" t="str">
            <v>-</v>
          </cell>
          <cell r="K143" t="str">
            <v>-</v>
          </cell>
          <cell r="L143" t="str">
            <v>-</v>
          </cell>
          <cell r="M143" t="str">
            <v>X</v>
          </cell>
          <cell r="N143" t="str">
            <v>-</v>
          </cell>
          <cell r="O143" t="str">
            <v>-</v>
          </cell>
        </row>
        <row r="144">
          <cell r="A144">
            <v>63310200</v>
          </cell>
          <cell r="B144" t="str">
            <v>Lasagne bolognaise MAISON 500g DMH</v>
          </cell>
          <cell r="C144" t="str">
            <v>-</v>
          </cell>
          <cell r="D144" t="str">
            <v>+</v>
          </cell>
          <cell r="E144" t="str">
            <v>+</v>
          </cell>
          <cell r="F144" t="str">
            <v>-</v>
          </cell>
          <cell r="G144" t="str">
            <v>+</v>
          </cell>
          <cell r="H144" t="str">
            <v>-</v>
          </cell>
          <cell r="I144" t="str">
            <v>-</v>
          </cell>
          <cell r="J144" t="str">
            <v>-</v>
          </cell>
          <cell r="K144" t="str">
            <v>+</v>
          </cell>
          <cell r="L144" t="str">
            <v>-</v>
          </cell>
          <cell r="M144" t="str">
            <v>-</v>
          </cell>
          <cell r="N144" t="str">
            <v>-</v>
          </cell>
          <cell r="O144" t="str">
            <v>-</v>
          </cell>
        </row>
        <row r="145">
          <cell r="A145">
            <v>63310400</v>
          </cell>
          <cell r="B145" t="str">
            <v>Lasagne gegrilde groenten 500g DMH</v>
          </cell>
          <cell r="C145" t="str">
            <v>-</v>
          </cell>
          <cell r="D145" t="str">
            <v>+</v>
          </cell>
          <cell r="E145" t="str">
            <v>+</v>
          </cell>
          <cell r="F145" t="str">
            <v>X</v>
          </cell>
          <cell r="G145" t="str">
            <v>+</v>
          </cell>
          <cell r="H145" t="str">
            <v>X</v>
          </cell>
          <cell r="I145" t="str">
            <v>-</v>
          </cell>
          <cell r="J145" t="str">
            <v>-</v>
          </cell>
          <cell r="K145" t="str">
            <v>-</v>
          </cell>
          <cell r="L145" t="str">
            <v>-</v>
          </cell>
          <cell r="M145" t="str">
            <v>X</v>
          </cell>
          <cell r="N145" t="str">
            <v>-</v>
          </cell>
          <cell r="O145" t="str">
            <v>-</v>
          </cell>
        </row>
        <row r="146">
          <cell r="A146">
            <v>63310500</v>
          </cell>
          <cell r="B146" t="str">
            <v>Lasagne bolo Halal 500g DMH</v>
          </cell>
          <cell r="C146" t="str">
            <v>-</v>
          </cell>
          <cell r="D146" t="str">
            <v>+</v>
          </cell>
          <cell r="E146" t="str">
            <v>+</v>
          </cell>
          <cell r="F146" t="str">
            <v>-</v>
          </cell>
          <cell r="G146" t="str">
            <v>+</v>
          </cell>
          <cell r="H146" t="str">
            <v>-</v>
          </cell>
          <cell r="I146" t="str">
            <v>-</v>
          </cell>
          <cell r="J146" t="str">
            <v>-</v>
          </cell>
          <cell r="K146" t="str">
            <v>+</v>
          </cell>
          <cell r="L146" t="str">
            <v>-</v>
          </cell>
          <cell r="M146" t="str">
            <v>X</v>
          </cell>
          <cell r="N146" t="str">
            <v>-</v>
          </cell>
          <cell r="O146" t="str">
            <v>-</v>
          </cell>
        </row>
        <row r="147">
          <cell r="A147">
            <v>63310600</v>
          </cell>
          <cell r="B147" t="str">
            <v>Spaghetti carbonara 550g DMH</v>
          </cell>
          <cell r="C147" t="str">
            <v>-</v>
          </cell>
          <cell r="D147" t="str">
            <v>X</v>
          </cell>
          <cell r="E147" t="str">
            <v>+</v>
          </cell>
          <cell r="F147" t="str">
            <v>X</v>
          </cell>
          <cell r="G147" t="str">
            <v>+</v>
          </cell>
          <cell r="H147" t="str">
            <v>X</v>
          </cell>
          <cell r="I147" t="str">
            <v>-</v>
          </cell>
          <cell r="J147" t="str">
            <v>-</v>
          </cell>
          <cell r="K147" t="str">
            <v>-</v>
          </cell>
          <cell r="L147" t="str">
            <v>-</v>
          </cell>
          <cell r="M147" t="str">
            <v>X</v>
          </cell>
          <cell r="N147" t="str">
            <v>-</v>
          </cell>
          <cell r="O147" t="str">
            <v>-</v>
          </cell>
        </row>
        <row r="148">
          <cell r="A148">
            <v>63310700</v>
          </cell>
          <cell r="B148" t="str">
            <v>Spaghetti bolognese 550g DMH</v>
          </cell>
          <cell r="C148" t="str">
            <v>-</v>
          </cell>
          <cell r="D148" t="str">
            <v>X</v>
          </cell>
          <cell r="E148" t="str">
            <v>+</v>
          </cell>
          <cell r="F148" t="str">
            <v>X</v>
          </cell>
          <cell r="G148" t="str">
            <v>-</v>
          </cell>
          <cell r="H148" t="str">
            <v>X</v>
          </cell>
          <cell r="I148" t="str">
            <v>-</v>
          </cell>
          <cell r="J148" t="str">
            <v>-</v>
          </cell>
          <cell r="K148" t="str">
            <v>+</v>
          </cell>
          <cell r="L148" t="str">
            <v>-</v>
          </cell>
          <cell r="M148" t="str">
            <v>X</v>
          </cell>
          <cell r="N148" t="str">
            <v>-</v>
          </cell>
          <cell r="O148" t="str">
            <v>-</v>
          </cell>
        </row>
        <row r="149">
          <cell r="A149">
            <v>63310800</v>
          </cell>
          <cell r="B149" t="str">
            <v>Spaghetti bolognaise maison 550g DMH</v>
          </cell>
          <cell r="C149" t="str">
            <v>-</v>
          </cell>
          <cell r="D149" t="str">
            <v>X</v>
          </cell>
          <cell r="E149" t="str">
            <v>+</v>
          </cell>
          <cell r="F149" t="str">
            <v>X</v>
          </cell>
          <cell r="G149" t="str">
            <v>-</v>
          </cell>
          <cell r="H149" t="str">
            <v>X</v>
          </cell>
          <cell r="I149" t="str">
            <v>-</v>
          </cell>
          <cell r="J149" t="str">
            <v>-</v>
          </cell>
          <cell r="K149" t="str">
            <v>-</v>
          </cell>
          <cell r="L149" t="str">
            <v>-</v>
          </cell>
          <cell r="M149" t="str">
            <v>X</v>
          </cell>
          <cell r="N149" t="str">
            <v>-</v>
          </cell>
          <cell r="O149" t="str">
            <v>-</v>
          </cell>
        </row>
        <row r="150">
          <cell r="A150">
            <v>63311100</v>
          </cell>
          <cell r="B150" t="str">
            <v>Tagliatelle ham kaassaus 500G DMH</v>
          </cell>
          <cell r="C150" t="str">
            <v>-</v>
          </cell>
          <cell r="D150" t="str">
            <v>+</v>
          </cell>
          <cell r="E150" t="str">
            <v>+</v>
          </cell>
          <cell r="F150" t="str">
            <v>X</v>
          </cell>
          <cell r="G150" t="str">
            <v>+</v>
          </cell>
          <cell r="H150" t="str">
            <v>X</v>
          </cell>
          <cell r="I150" t="str">
            <v>-</v>
          </cell>
          <cell r="J150" t="str">
            <v>-</v>
          </cell>
          <cell r="K150" t="str">
            <v>-</v>
          </cell>
          <cell r="L150" t="str">
            <v>-</v>
          </cell>
          <cell r="M150" t="str">
            <v>X</v>
          </cell>
          <cell r="N150" t="str">
            <v>-</v>
          </cell>
          <cell r="O150" t="str">
            <v>-</v>
          </cell>
        </row>
        <row r="151">
          <cell r="A151">
            <v>63311200</v>
          </cell>
          <cell r="B151" t="str">
            <v>Linguine kip fijne kruiden 500g DMH</v>
          </cell>
          <cell r="C151" t="str">
            <v>-</v>
          </cell>
          <cell r="D151" t="str">
            <v>+</v>
          </cell>
          <cell r="E151" t="str">
            <v>+</v>
          </cell>
          <cell r="F151" t="str">
            <v>X</v>
          </cell>
          <cell r="G151" t="str">
            <v>+</v>
          </cell>
          <cell r="H151" t="str">
            <v>X</v>
          </cell>
          <cell r="I151" t="str">
            <v>-</v>
          </cell>
          <cell r="J151" t="str">
            <v>-</v>
          </cell>
          <cell r="K151" t="str">
            <v>-</v>
          </cell>
          <cell r="L151" t="str">
            <v>-</v>
          </cell>
          <cell r="M151" t="str">
            <v>X</v>
          </cell>
          <cell r="N151" t="str">
            <v>-</v>
          </cell>
          <cell r="O151" t="str">
            <v>-</v>
          </cell>
        </row>
        <row r="152">
          <cell r="A152">
            <v>63311500</v>
          </cell>
          <cell r="B152" t="str">
            <v>Tagliatelle met kip en boschampignons 500g DMH</v>
          </cell>
          <cell r="C152" t="str">
            <v>-</v>
          </cell>
          <cell r="D152" t="str">
            <v>+</v>
          </cell>
          <cell r="E152" t="str">
            <v>+</v>
          </cell>
          <cell r="F152" t="str">
            <v>X</v>
          </cell>
          <cell r="G152" t="str">
            <v>+</v>
          </cell>
          <cell r="H152" t="str">
            <v>X</v>
          </cell>
          <cell r="I152" t="str">
            <v>-</v>
          </cell>
          <cell r="J152" t="str">
            <v>-</v>
          </cell>
          <cell r="K152" t="str">
            <v>-</v>
          </cell>
          <cell r="L152" t="str">
            <v>-</v>
          </cell>
          <cell r="M152" t="str">
            <v>X</v>
          </cell>
          <cell r="N152" t="str">
            <v>-</v>
          </cell>
          <cell r="O152" t="str">
            <v>-</v>
          </cell>
        </row>
        <row r="153">
          <cell r="A153">
            <v>63311600</v>
          </cell>
          <cell r="B153" t="str">
            <v>Tagliatelle met gerookte zalm groene asperges 500g DMH</v>
          </cell>
          <cell r="C153" t="str">
            <v>-</v>
          </cell>
          <cell r="D153" t="str">
            <v>+</v>
          </cell>
          <cell r="E153" t="str">
            <v>+</v>
          </cell>
          <cell r="F153" t="str">
            <v>X</v>
          </cell>
          <cell r="G153" t="str">
            <v>+</v>
          </cell>
          <cell r="H153" t="str">
            <v>+</v>
          </cell>
          <cell r="I153" t="str">
            <v>-</v>
          </cell>
          <cell r="J153" t="str">
            <v>X</v>
          </cell>
          <cell r="K153" t="str">
            <v>-</v>
          </cell>
          <cell r="L153" t="str">
            <v>-</v>
          </cell>
          <cell r="M153" t="str">
            <v>X</v>
          </cell>
          <cell r="N153" t="str">
            <v>+</v>
          </cell>
          <cell r="O153" t="str">
            <v>X</v>
          </cell>
        </row>
        <row r="154">
          <cell r="A154">
            <v>63311700</v>
          </cell>
          <cell r="B154" t="str">
            <v>Tagliatelle met scampi's in looksaus 500g DMH</v>
          </cell>
          <cell r="C154" t="str">
            <v>-</v>
          </cell>
          <cell r="D154" t="str">
            <v>+</v>
          </cell>
          <cell r="E154" t="str">
            <v>+</v>
          </cell>
          <cell r="F154" t="str">
            <v>X</v>
          </cell>
          <cell r="G154" t="str">
            <v>+</v>
          </cell>
          <cell r="H154" t="str">
            <v>X</v>
          </cell>
          <cell r="I154" t="str">
            <v>-</v>
          </cell>
          <cell r="J154" t="str">
            <v>+</v>
          </cell>
          <cell r="K154" t="str">
            <v>-</v>
          </cell>
          <cell r="L154" t="str">
            <v>-</v>
          </cell>
          <cell r="M154" t="str">
            <v>X</v>
          </cell>
          <cell r="N154" t="str">
            <v>+</v>
          </cell>
          <cell r="O154" t="str">
            <v>X</v>
          </cell>
        </row>
        <row r="155">
          <cell r="A155">
            <v>63311800</v>
          </cell>
          <cell r="B155" t="str">
            <v>Linguine scampi diabolique 500g DMH</v>
          </cell>
          <cell r="C155" t="str">
            <v>-</v>
          </cell>
          <cell r="D155" t="str">
            <v>X</v>
          </cell>
          <cell r="E155" t="str">
            <v>+</v>
          </cell>
          <cell r="F155" t="str">
            <v>X</v>
          </cell>
          <cell r="G155" t="str">
            <v>+</v>
          </cell>
          <cell r="H155" t="str">
            <v>X</v>
          </cell>
          <cell r="I155" t="str">
            <v>-</v>
          </cell>
          <cell r="J155" t="str">
            <v>+</v>
          </cell>
          <cell r="K155" t="str">
            <v>-</v>
          </cell>
          <cell r="L155" t="str">
            <v>-</v>
          </cell>
          <cell r="M155" t="str">
            <v>X</v>
          </cell>
          <cell r="N155" t="str">
            <v>+</v>
          </cell>
          <cell r="O155" t="str">
            <v>X</v>
          </cell>
        </row>
        <row r="156">
          <cell r="A156">
            <v>63312200</v>
          </cell>
          <cell r="B156" t="str">
            <v>Macaroni ham kaas 500g DMH</v>
          </cell>
          <cell r="C156" t="str">
            <v>-</v>
          </cell>
          <cell r="D156" t="str">
            <v>X</v>
          </cell>
          <cell r="E156" t="str">
            <v>+</v>
          </cell>
          <cell r="F156" t="str">
            <v>X</v>
          </cell>
          <cell r="G156" t="str">
            <v>+</v>
          </cell>
          <cell r="H156" t="str">
            <v>X</v>
          </cell>
          <cell r="I156" t="str">
            <v>-</v>
          </cell>
          <cell r="J156" t="str">
            <v>-</v>
          </cell>
          <cell r="K156" t="str">
            <v>-</v>
          </cell>
          <cell r="L156" t="str">
            <v>-</v>
          </cell>
          <cell r="M156" t="str">
            <v>X</v>
          </cell>
          <cell r="N156" t="str">
            <v>-</v>
          </cell>
          <cell r="O156" t="str">
            <v>-</v>
          </cell>
        </row>
        <row r="157">
          <cell r="A157">
            <v>63312400</v>
          </cell>
          <cell r="B157" t="str">
            <v>Penne met 4 kazen 500g DMH</v>
          </cell>
          <cell r="C157" t="str">
            <v>-</v>
          </cell>
          <cell r="D157" t="str">
            <v>X</v>
          </cell>
          <cell r="E157" t="str">
            <v>+</v>
          </cell>
          <cell r="F157" t="str">
            <v>X</v>
          </cell>
          <cell r="G157" t="str">
            <v>+</v>
          </cell>
          <cell r="H157" t="str">
            <v>X</v>
          </cell>
          <cell r="I157" t="str">
            <v>-</v>
          </cell>
          <cell r="J157" t="str">
            <v>-</v>
          </cell>
          <cell r="K157" t="str">
            <v>-</v>
          </cell>
          <cell r="L157" t="str">
            <v>-</v>
          </cell>
          <cell r="M157" t="str">
            <v>X</v>
          </cell>
          <cell r="N157" t="str">
            <v>-</v>
          </cell>
          <cell r="O157" t="str">
            <v>-</v>
          </cell>
        </row>
        <row r="158">
          <cell r="A158">
            <v>63312600</v>
          </cell>
          <cell r="B158" t="str">
            <v>Penne kip pesto spinazie broccoli kerstomaat 450g DMH</v>
          </cell>
          <cell r="C158" t="str">
            <v>-</v>
          </cell>
          <cell r="D158" t="str">
            <v>X</v>
          </cell>
          <cell r="E158" t="str">
            <v>+</v>
          </cell>
          <cell r="F158" t="str">
            <v>X</v>
          </cell>
          <cell r="G158" t="str">
            <v>-</v>
          </cell>
          <cell r="H158" t="str">
            <v>X</v>
          </cell>
          <cell r="I158" t="str">
            <v>+</v>
          </cell>
          <cell r="J158" t="str">
            <v>-</v>
          </cell>
          <cell r="K158" t="str">
            <v>-</v>
          </cell>
          <cell r="L158" t="str">
            <v>-</v>
          </cell>
          <cell r="M158" t="str">
            <v>X</v>
          </cell>
          <cell r="N158" t="str">
            <v>-</v>
          </cell>
          <cell r="O158" t="str">
            <v>-</v>
          </cell>
        </row>
        <row r="159">
          <cell r="A159">
            <v>63313000</v>
          </cell>
          <cell r="B159" t="str">
            <v>Oostends vispannetje 400g DMH</v>
          </cell>
          <cell r="C159" t="str">
            <v>-</v>
          </cell>
          <cell r="D159" t="str">
            <v>-</v>
          </cell>
          <cell r="E159" t="str">
            <v>+</v>
          </cell>
          <cell r="F159" t="str">
            <v>X</v>
          </cell>
          <cell r="G159" t="str">
            <v>+</v>
          </cell>
          <cell r="H159" t="str">
            <v>X</v>
          </cell>
          <cell r="I159" t="str">
            <v>-</v>
          </cell>
          <cell r="J159" t="str">
            <v>X</v>
          </cell>
          <cell r="K159" t="str">
            <v>+</v>
          </cell>
          <cell r="L159" t="str">
            <v>-</v>
          </cell>
          <cell r="M159" t="str">
            <v>X</v>
          </cell>
          <cell r="N159" t="str">
            <v>+</v>
          </cell>
          <cell r="O159" t="str">
            <v>X</v>
          </cell>
        </row>
        <row r="160">
          <cell r="A160">
            <v>63313100</v>
          </cell>
          <cell r="B160" t="str">
            <v>Oostends vispannetje met aardappelpuree 500g DMH</v>
          </cell>
          <cell r="C160" t="str">
            <v>-</v>
          </cell>
          <cell r="D160" t="str">
            <v>+</v>
          </cell>
          <cell r="E160" t="str">
            <v>+</v>
          </cell>
          <cell r="F160" t="str">
            <v>X</v>
          </cell>
          <cell r="G160" t="str">
            <v>+</v>
          </cell>
          <cell r="H160" t="str">
            <v>X</v>
          </cell>
          <cell r="I160" t="str">
            <v>-</v>
          </cell>
          <cell r="J160" t="str">
            <v>X</v>
          </cell>
          <cell r="K160" t="str">
            <v>+</v>
          </cell>
          <cell r="L160" t="str">
            <v>-</v>
          </cell>
          <cell r="M160" t="str">
            <v>X</v>
          </cell>
          <cell r="N160" t="str">
            <v>+</v>
          </cell>
          <cell r="O160" t="str">
            <v>X</v>
          </cell>
        </row>
        <row r="161">
          <cell r="A161">
            <v>63313200</v>
          </cell>
          <cell r="B161" t="str">
            <v>Vispannetjes met kreeftensaus 400g DMH</v>
          </cell>
          <cell r="C161" t="str">
            <v>-</v>
          </cell>
          <cell r="D161" t="str">
            <v>-</v>
          </cell>
          <cell r="E161" t="str">
            <v>+</v>
          </cell>
          <cell r="F161" t="str">
            <v>X</v>
          </cell>
          <cell r="G161" t="str">
            <v>+</v>
          </cell>
          <cell r="H161" t="str">
            <v>X</v>
          </cell>
          <cell r="I161" t="str">
            <v>-</v>
          </cell>
          <cell r="J161" t="str">
            <v>+</v>
          </cell>
          <cell r="K161" t="str">
            <v>+</v>
          </cell>
          <cell r="L161" t="str">
            <v>-</v>
          </cell>
          <cell r="M161" t="str">
            <v>X</v>
          </cell>
          <cell r="N161" t="str">
            <v>+</v>
          </cell>
          <cell r="O161" t="str">
            <v>X</v>
          </cell>
        </row>
        <row r="162">
          <cell r="A162">
            <v>63313300</v>
          </cell>
          <cell r="B162" t="str">
            <v>Schartongrolletjes dugléré 400g DMH</v>
          </cell>
          <cell r="C162" t="str">
            <v>-</v>
          </cell>
          <cell r="D162" t="str">
            <v>-</v>
          </cell>
          <cell r="E162" t="str">
            <v>+</v>
          </cell>
          <cell r="F162" t="str">
            <v>X</v>
          </cell>
          <cell r="G162" t="str">
            <v>+</v>
          </cell>
          <cell r="H162" t="str">
            <v>X</v>
          </cell>
          <cell r="I162" t="str">
            <v>-</v>
          </cell>
          <cell r="J162" t="str">
            <v>X</v>
          </cell>
          <cell r="K162" t="str">
            <v>-</v>
          </cell>
          <cell r="L162" t="str">
            <v>-</v>
          </cell>
          <cell r="M162" t="str">
            <v>X</v>
          </cell>
          <cell r="N162" t="str">
            <v>+</v>
          </cell>
          <cell r="O162" t="str">
            <v>X</v>
          </cell>
        </row>
        <row r="163">
          <cell r="A163">
            <v>63313700</v>
          </cell>
          <cell r="B163" t="str">
            <v>Witloof ham kaas 'au gratin' 440g DMH</v>
          </cell>
          <cell r="C163" t="str">
            <v>-</v>
          </cell>
          <cell r="D163" t="str">
            <v>-</v>
          </cell>
          <cell r="E163" t="str">
            <v>+</v>
          </cell>
          <cell r="F163" t="str">
            <v>X</v>
          </cell>
          <cell r="G163" t="str">
            <v>+</v>
          </cell>
          <cell r="H163" t="str">
            <v>X</v>
          </cell>
          <cell r="I163" t="str">
            <v>-</v>
          </cell>
          <cell r="J163" t="str">
            <v>-</v>
          </cell>
          <cell r="K163" t="str">
            <v>-</v>
          </cell>
          <cell r="L163" t="str">
            <v>-</v>
          </cell>
          <cell r="M163" t="str">
            <v>X</v>
          </cell>
          <cell r="N163" t="str">
            <v>-</v>
          </cell>
          <cell r="O163" t="str">
            <v>-</v>
          </cell>
        </row>
        <row r="164">
          <cell r="A164">
            <v>63313800</v>
          </cell>
          <cell r="B164" t="str">
            <v>Witloof ham kaas puree 500g DMH</v>
          </cell>
          <cell r="C164" t="str">
            <v>-</v>
          </cell>
          <cell r="D164" t="str">
            <v>+</v>
          </cell>
          <cell r="E164" t="str">
            <v>+</v>
          </cell>
          <cell r="F164" t="str">
            <v>X</v>
          </cell>
          <cell r="G164" t="str">
            <v>+</v>
          </cell>
          <cell r="H164" t="str">
            <v>X</v>
          </cell>
          <cell r="I164" t="str">
            <v>-</v>
          </cell>
          <cell r="J164" t="str">
            <v>-</v>
          </cell>
          <cell r="K164" t="str">
            <v>-</v>
          </cell>
          <cell r="L164" t="str">
            <v>-</v>
          </cell>
          <cell r="M164" t="str">
            <v>X</v>
          </cell>
          <cell r="N164" t="str">
            <v>-</v>
          </cell>
          <cell r="O164" t="str">
            <v>-</v>
          </cell>
        </row>
        <row r="165">
          <cell r="A165">
            <v>63314400</v>
          </cell>
          <cell r="B165" t="str">
            <v>Rundstong madeirasaus met champignons 400g DMH</v>
          </cell>
          <cell r="C165" t="str">
            <v>-</v>
          </cell>
          <cell r="D165" t="str">
            <v>-</v>
          </cell>
          <cell r="E165" t="str">
            <v>+</v>
          </cell>
          <cell r="F165" t="str">
            <v>X</v>
          </cell>
          <cell r="G165" t="str">
            <v>-</v>
          </cell>
          <cell r="H165" t="str">
            <v>X</v>
          </cell>
          <cell r="I165" t="str">
            <v>-</v>
          </cell>
          <cell r="J165" t="str">
            <v>-</v>
          </cell>
          <cell r="K165" t="str">
            <v>-</v>
          </cell>
          <cell r="L165" t="str">
            <v>-</v>
          </cell>
          <cell r="M165" t="str">
            <v>X</v>
          </cell>
          <cell r="N165" t="str">
            <v>-</v>
          </cell>
          <cell r="O165" t="str">
            <v>-</v>
          </cell>
        </row>
        <row r="166">
          <cell r="A166">
            <v>63314500</v>
          </cell>
          <cell r="B166" t="str">
            <v>Moussaka 550g DMH</v>
          </cell>
          <cell r="C166" t="str">
            <v>-</v>
          </cell>
          <cell r="D166" t="str">
            <v>-</v>
          </cell>
          <cell r="E166" t="str">
            <v>+</v>
          </cell>
          <cell r="F166" t="str">
            <v>X</v>
          </cell>
          <cell r="G166" t="str">
            <v>+</v>
          </cell>
          <cell r="H166" t="str">
            <v>X</v>
          </cell>
          <cell r="I166" t="str">
            <v>-</v>
          </cell>
          <cell r="J166" t="str">
            <v>-</v>
          </cell>
          <cell r="K166" t="str">
            <v>-</v>
          </cell>
          <cell r="L166" t="str">
            <v>-</v>
          </cell>
          <cell r="M166" t="str">
            <v>X</v>
          </cell>
          <cell r="N166" t="str">
            <v>-</v>
          </cell>
          <cell r="O166" t="str">
            <v>-</v>
          </cell>
        </row>
        <row r="167">
          <cell r="A167">
            <v>63314600</v>
          </cell>
          <cell r="B167" t="str">
            <v>Varkenswangetjes biersaus 350g DMH</v>
          </cell>
          <cell r="C167" t="str">
            <v>-</v>
          </cell>
          <cell r="D167" t="str">
            <v>-</v>
          </cell>
          <cell r="E167" t="str">
            <v>+</v>
          </cell>
          <cell r="F167" t="str">
            <v>X</v>
          </cell>
          <cell r="G167" t="str">
            <v>-</v>
          </cell>
          <cell r="H167" t="str">
            <v>X</v>
          </cell>
          <cell r="I167" t="str">
            <v>-</v>
          </cell>
          <cell r="J167" t="str">
            <v>-</v>
          </cell>
          <cell r="K167" t="str">
            <v>-</v>
          </cell>
          <cell r="L167" t="str">
            <v>-</v>
          </cell>
          <cell r="M167" t="str">
            <v>X</v>
          </cell>
          <cell r="N167" t="str">
            <v>-</v>
          </cell>
          <cell r="O167" t="str">
            <v>-</v>
          </cell>
        </row>
        <row r="168">
          <cell r="A168">
            <v>63314700</v>
          </cell>
          <cell r="B168" t="str">
            <v>Gehaktschotel wortel bloemkool puree 550g DMH</v>
          </cell>
          <cell r="C168" t="str">
            <v>-</v>
          </cell>
          <cell r="D168" t="str">
            <v>+</v>
          </cell>
          <cell r="E168" t="str">
            <v>-</v>
          </cell>
          <cell r="F168" t="str">
            <v>-</v>
          </cell>
          <cell r="G168" t="str">
            <v>+</v>
          </cell>
          <cell r="H168" t="str">
            <v>-</v>
          </cell>
          <cell r="I168" t="str">
            <v>-</v>
          </cell>
          <cell r="J168" t="str">
            <v>-</v>
          </cell>
          <cell r="K168" t="str">
            <v>+</v>
          </cell>
          <cell r="L168" t="str">
            <v>-</v>
          </cell>
          <cell r="M168" t="str">
            <v>-</v>
          </cell>
          <cell r="N168" t="str">
            <v>-</v>
          </cell>
          <cell r="O168" t="str">
            <v>-</v>
          </cell>
        </row>
        <row r="169">
          <cell r="A169">
            <v>63317400</v>
          </cell>
          <cell r="B169" t="str">
            <v>Kip korma 500g DMH</v>
          </cell>
          <cell r="C169" t="str">
            <v>-</v>
          </cell>
          <cell r="D169" t="str">
            <v>X</v>
          </cell>
          <cell r="E169" t="str">
            <v>X</v>
          </cell>
          <cell r="F169" t="str">
            <v>X</v>
          </cell>
          <cell r="G169" t="str">
            <v>+</v>
          </cell>
          <cell r="H169" t="str">
            <v>X</v>
          </cell>
          <cell r="I169" t="str">
            <v>+</v>
          </cell>
          <cell r="J169" t="str">
            <v>-</v>
          </cell>
          <cell r="K169" t="str">
            <v>-</v>
          </cell>
          <cell r="L169" t="str">
            <v>X</v>
          </cell>
          <cell r="M169" t="str">
            <v>X</v>
          </cell>
          <cell r="N169" t="str">
            <v>-</v>
          </cell>
          <cell r="O169" t="str">
            <v>-</v>
          </cell>
        </row>
        <row r="170">
          <cell r="A170">
            <v>63317900</v>
          </cell>
          <cell r="B170" t="str">
            <v>Risotto kip boschampignons 510g DMH</v>
          </cell>
          <cell r="C170" t="str">
            <v>-</v>
          </cell>
          <cell r="D170" t="str">
            <v>-</v>
          </cell>
          <cell r="E170" t="str">
            <v>+</v>
          </cell>
          <cell r="F170" t="str">
            <v>-</v>
          </cell>
          <cell r="G170" t="str">
            <v>+</v>
          </cell>
          <cell r="H170" t="str">
            <v>-</v>
          </cell>
          <cell r="I170" t="str">
            <v>-</v>
          </cell>
          <cell r="J170" t="str">
            <v>-</v>
          </cell>
          <cell r="K170" t="str">
            <v>+</v>
          </cell>
          <cell r="L170" t="str">
            <v>-</v>
          </cell>
          <cell r="M170" t="str">
            <v>-</v>
          </cell>
          <cell r="N170" t="str">
            <v>-</v>
          </cell>
          <cell r="O170" t="str">
            <v>-</v>
          </cell>
        </row>
        <row r="171">
          <cell r="A171">
            <v>63318100</v>
          </cell>
          <cell r="B171" t="str">
            <v>Bouillabaisse kabeljauw zalm scampi mossel 500g DMH</v>
          </cell>
          <cell r="C171" t="str">
            <v>-</v>
          </cell>
          <cell r="D171" t="str">
            <v>-</v>
          </cell>
          <cell r="E171" t="str">
            <v>+</v>
          </cell>
          <cell r="F171" t="str">
            <v>-</v>
          </cell>
          <cell r="G171" t="str">
            <v>+</v>
          </cell>
          <cell r="H171" t="str">
            <v>-</v>
          </cell>
          <cell r="I171" t="str">
            <v>-</v>
          </cell>
          <cell r="J171" t="str">
            <v>+</v>
          </cell>
          <cell r="K171" t="str">
            <v>+</v>
          </cell>
          <cell r="L171" t="str">
            <v>-</v>
          </cell>
          <cell r="M171" t="str">
            <v>X</v>
          </cell>
          <cell r="N171" t="str">
            <v>+</v>
          </cell>
          <cell r="O171" t="str">
            <v>+</v>
          </cell>
        </row>
        <row r="172">
          <cell r="A172">
            <v>63318200</v>
          </cell>
          <cell r="B172" t="str">
            <v>Penne arrabiata 450g DMH</v>
          </cell>
          <cell r="C172" t="str">
            <v>-</v>
          </cell>
          <cell r="D172" t="str">
            <v>X</v>
          </cell>
          <cell r="E172" t="str">
            <v>+</v>
          </cell>
          <cell r="F172" t="str">
            <v>X</v>
          </cell>
          <cell r="G172" t="str">
            <v>+</v>
          </cell>
          <cell r="H172" t="str">
            <v>X</v>
          </cell>
          <cell r="I172" t="str">
            <v>-</v>
          </cell>
          <cell r="J172" t="str">
            <v>-</v>
          </cell>
          <cell r="K172" t="str">
            <v>-</v>
          </cell>
          <cell r="L172" t="str">
            <v>-</v>
          </cell>
          <cell r="M172" t="str">
            <v>X</v>
          </cell>
          <cell r="N172" t="str">
            <v>-</v>
          </cell>
          <cell r="O172" t="str">
            <v>-</v>
          </cell>
        </row>
        <row r="173">
          <cell r="A173">
            <v>63318300</v>
          </cell>
          <cell r="B173" t="str">
            <v>Canneloni rundvlees tomatensaus spinazie 500g DMH</v>
          </cell>
          <cell r="C173" t="str">
            <v>-</v>
          </cell>
          <cell r="D173" t="str">
            <v>+</v>
          </cell>
          <cell r="E173" t="str">
            <v>+</v>
          </cell>
          <cell r="F173" t="str">
            <v>X</v>
          </cell>
          <cell r="G173" t="str">
            <v>+</v>
          </cell>
          <cell r="H173" t="str">
            <v>X</v>
          </cell>
          <cell r="I173" t="str">
            <v>-</v>
          </cell>
          <cell r="J173" t="str">
            <v>-</v>
          </cell>
          <cell r="K173" t="str">
            <v>+</v>
          </cell>
          <cell r="L173" t="str">
            <v>-</v>
          </cell>
          <cell r="M173" t="str">
            <v>X</v>
          </cell>
          <cell r="N173" t="str">
            <v>-</v>
          </cell>
          <cell r="O173" t="str">
            <v>-</v>
          </cell>
        </row>
        <row r="174">
          <cell r="A174">
            <v>63318500</v>
          </cell>
          <cell r="B174" t="str">
            <v>Lasagne geitenkaas 500g DMH</v>
          </cell>
          <cell r="C174" t="str">
            <v>-</v>
          </cell>
          <cell r="D174" t="str">
            <v>+</v>
          </cell>
          <cell r="E174" t="str">
            <v>+</v>
          </cell>
          <cell r="F174" t="str">
            <v>X</v>
          </cell>
          <cell r="G174" t="str">
            <v>+</v>
          </cell>
          <cell r="H174" t="str">
            <v>X</v>
          </cell>
          <cell r="I174" t="str">
            <v>-</v>
          </cell>
          <cell r="J174" t="str">
            <v>-</v>
          </cell>
          <cell r="K174" t="str">
            <v>-</v>
          </cell>
          <cell r="L174" t="str">
            <v>-</v>
          </cell>
          <cell r="M174" t="str">
            <v>X</v>
          </cell>
          <cell r="N174" t="str">
            <v>-</v>
          </cell>
          <cell r="O174" t="str">
            <v>-</v>
          </cell>
        </row>
        <row r="175">
          <cell r="A175">
            <v>63318600</v>
          </cell>
          <cell r="B175" t="str">
            <v>Thai beef sweet chili noedels 500g DMH</v>
          </cell>
          <cell r="C175" t="str">
            <v>-</v>
          </cell>
          <cell r="D175" t="str">
            <v>X</v>
          </cell>
          <cell r="E175" t="str">
            <v>+</v>
          </cell>
          <cell r="F175" t="str">
            <v>X</v>
          </cell>
          <cell r="G175" t="str">
            <v>-</v>
          </cell>
          <cell r="H175" t="str">
            <v>X</v>
          </cell>
          <cell r="I175" t="str">
            <v>-</v>
          </cell>
          <cell r="J175" t="str">
            <v>-</v>
          </cell>
          <cell r="K175" t="str">
            <v>-</v>
          </cell>
          <cell r="L175" t="str">
            <v>+</v>
          </cell>
          <cell r="M175" t="str">
            <v>+</v>
          </cell>
          <cell r="N175" t="str">
            <v>-</v>
          </cell>
          <cell r="O175" t="str">
            <v>-</v>
          </cell>
        </row>
        <row r="176">
          <cell r="A176">
            <v>63318700</v>
          </cell>
          <cell r="B176" t="str">
            <v>Ravioli bospaddestoelen truffel broccoli 500g DMH</v>
          </cell>
          <cell r="C176" t="str">
            <v>-</v>
          </cell>
          <cell r="D176" t="str">
            <v>+</v>
          </cell>
          <cell r="E176" t="str">
            <v>+</v>
          </cell>
          <cell r="F176" t="str">
            <v>X</v>
          </cell>
          <cell r="G176" t="str">
            <v>+</v>
          </cell>
          <cell r="H176" t="str">
            <v>X</v>
          </cell>
          <cell r="I176" t="str">
            <v>-</v>
          </cell>
          <cell r="J176" t="str">
            <v>-</v>
          </cell>
          <cell r="K176" t="str">
            <v>+</v>
          </cell>
          <cell r="L176" t="str">
            <v>-</v>
          </cell>
          <cell r="M176" t="str">
            <v>X</v>
          </cell>
          <cell r="N176" t="str">
            <v>-</v>
          </cell>
          <cell r="O176" t="str">
            <v>-</v>
          </cell>
        </row>
        <row r="177">
          <cell r="A177">
            <v>63318800</v>
          </cell>
          <cell r="B177" t="str">
            <v>Tagliatelle zalmmoot roomsaus 500g DMH</v>
          </cell>
          <cell r="C177" t="str">
            <v>-</v>
          </cell>
          <cell r="D177" t="str">
            <v>+</v>
          </cell>
          <cell r="E177" t="str">
            <v>+</v>
          </cell>
          <cell r="F177" t="str">
            <v>X</v>
          </cell>
          <cell r="G177" t="str">
            <v>+</v>
          </cell>
          <cell r="H177" t="str">
            <v>X</v>
          </cell>
          <cell r="I177" t="str">
            <v>-</v>
          </cell>
          <cell r="J177" t="str">
            <v>X</v>
          </cell>
          <cell r="K177" t="str">
            <v>+</v>
          </cell>
          <cell r="L177" t="str">
            <v>-</v>
          </cell>
          <cell r="M177" t="str">
            <v>X</v>
          </cell>
          <cell r="N177" t="str">
            <v>+</v>
          </cell>
          <cell r="O177" t="str">
            <v>X</v>
          </cell>
        </row>
        <row r="178">
          <cell r="A178">
            <v>63318900</v>
          </cell>
          <cell r="B178" t="str">
            <v>Chili sin carne aardappelkubus gratin 500g DMH</v>
          </cell>
          <cell r="C178" t="str">
            <v>-</v>
          </cell>
          <cell r="D178" t="str">
            <v>X</v>
          </cell>
          <cell r="E178" t="str">
            <v>+</v>
          </cell>
          <cell r="F178" t="str">
            <v>-</v>
          </cell>
          <cell r="G178" t="str">
            <v>+</v>
          </cell>
          <cell r="H178" t="str">
            <v>X</v>
          </cell>
          <cell r="I178" t="str">
            <v>-</v>
          </cell>
          <cell r="J178" t="str">
            <v>X</v>
          </cell>
          <cell r="K178" t="str">
            <v>X</v>
          </cell>
          <cell r="L178" t="str">
            <v>-</v>
          </cell>
          <cell r="M178" t="str">
            <v>+</v>
          </cell>
          <cell r="N178" t="str">
            <v>X</v>
          </cell>
          <cell r="O178" t="str">
            <v>-</v>
          </cell>
        </row>
        <row r="179">
          <cell r="A179">
            <v>63319000</v>
          </cell>
          <cell r="B179" t="str">
            <v>Noodles kip pittige sojasaus groentenmix 500g DMH</v>
          </cell>
          <cell r="C179" t="str">
            <v>-</v>
          </cell>
          <cell r="D179" t="str">
            <v>X</v>
          </cell>
          <cell r="E179" t="str">
            <v>+</v>
          </cell>
          <cell r="F179" t="str">
            <v>X</v>
          </cell>
          <cell r="G179" t="str">
            <v>-</v>
          </cell>
          <cell r="H179" t="str">
            <v>X</v>
          </cell>
          <cell r="I179" t="str">
            <v>-</v>
          </cell>
          <cell r="J179" t="str">
            <v>-</v>
          </cell>
          <cell r="K179" t="str">
            <v>-</v>
          </cell>
          <cell r="L179" t="str">
            <v>+</v>
          </cell>
          <cell r="M179" t="str">
            <v>+</v>
          </cell>
          <cell r="N179" t="str">
            <v>-</v>
          </cell>
          <cell r="O179" t="str">
            <v>-</v>
          </cell>
        </row>
        <row r="180">
          <cell r="A180">
            <v>63319200</v>
          </cell>
          <cell r="B180" t="str">
            <v>Lasagne met zalm en spinazie 500g DMH</v>
          </cell>
          <cell r="C180" t="str">
            <v>-</v>
          </cell>
          <cell r="D180" t="str">
            <v>+</v>
          </cell>
          <cell r="E180" t="str">
            <v>+</v>
          </cell>
          <cell r="F180" t="str">
            <v>X</v>
          </cell>
          <cell r="G180" t="str">
            <v>+</v>
          </cell>
          <cell r="H180" t="str">
            <v>X</v>
          </cell>
          <cell r="I180" t="str">
            <v>-</v>
          </cell>
          <cell r="J180" t="str">
            <v>X</v>
          </cell>
          <cell r="K180" t="str">
            <v>+</v>
          </cell>
          <cell r="L180" t="str">
            <v>-</v>
          </cell>
          <cell r="M180" t="str">
            <v>X</v>
          </cell>
          <cell r="N180" t="str">
            <v>+</v>
          </cell>
          <cell r="O180" t="str">
            <v>X</v>
          </cell>
        </row>
        <row r="181">
          <cell r="A181">
            <v>63319500</v>
          </cell>
          <cell r="B181" t="str">
            <v>Macaroni Holy Grail american style 500g DMH</v>
          </cell>
          <cell r="C181" t="str">
            <v>-</v>
          </cell>
          <cell r="D181" t="str">
            <v>X</v>
          </cell>
          <cell r="E181" t="str">
            <v>+</v>
          </cell>
          <cell r="F181" t="str">
            <v>X</v>
          </cell>
          <cell r="G181" t="str">
            <v>+</v>
          </cell>
          <cell r="H181" t="str">
            <v>X</v>
          </cell>
          <cell r="I181" t="str">
            <v>-</v>
          </cell>
          <cell r="J181" t="str">
            <v>-</v>
          </cell>
          <cell r="K181" t="str">
            <v>+</v>
          </cell>
          <cell r="L181" t="str">
            <v>-</v>
          </cell>
          <cell r="M181" t="str">
            <v>X</v>
          </cell>
          <cell r="N181" t="str">
            <v>-</v>
          </cell>
          <cell r="O181" t="str">
            <v>-</v>
          </cell>
        </row>
        <row r="182">
          <cell r="A182">
            <v>63319600</v>
          </cell>
          <cell r="B182" t="str">
            <v>Kabeljauw mosterd groene groenten 500g DMH</v>
          </cell>
          <cell r="C182" t="str">
            <v>-</v>
          </cell>
          <cell r="D182" t="str">
            <v>-</v>
          </cell>
          <cell r="E182" t="str">
            <v>+</v>
          </cell>
          <cell r="F182" t="str">
            <v>X</v>
          </cell>
          <cell r="G182" t="str">
            <v>+</v>
          </cell>
          <cell r="H182" t="str">
            <v>+</v>
          </cell>
          <cell r="I182" t="str">
            <v>-</v>
          </cell>
          <cell r="J182" t="str">
            <v>X</v>
          </cell>
          <cell r="K182" t="str">
            <v>+</v>
          </cell>
          <cell r="L182" t="str">
            <v>-</v>
          </cell>
          <cell r="M182" t="str">
            <v>X</v>
          </cell>
          <cell r="N182" t="str">
            <v>+</v>
          </cell>
          <cell r="O182" t="str">
            <v>X</v>
          </cell>
        </row>
        <row r="183">
          <cell r="A183">
            <v>63319700</v>
          </cell>
          <cell r="B183" t="str">
            <v>Lasagne vegetarisch linzen quorn 500g DMH</v>
          </cell>
          <cell r="C183" t="str">
            <v>-</v>
          </cell>
          <cell r="D183" t="str">
            <v>+</v>
          </cell>
          <cell r="E183" t="str">
            <v>+</v>
          </cell>
          <cell r="F183" t="str">
            <v>X</v>
          </cell>
          <cell r="G183" t="str">
            <v>+</v>
          </cell>
          <cell r="H183" t="str">
            <v>X</v>
          </cell>
          <cell r="I183" t="str">
            <v>-</v>
          </cell>
          <cell r="J183" t="str">
            <v>-</v>
          </cell>
          <cell r="K183" t="str">
            <v>-</v>
          </cell>
          <cell r="L183" t="str">
            <v>-</v>
          </cell>
          <cell r="M183" t="str">
            <v>X</v>
          </cell>
          <cell r="N183" t="str">
            <v>-</v>
          </cell>
          <cell r="O183" t="str">
            <v>-</v>
          </cell>
        </row>
        <row r="184">
          <cell r="A184">
            <v>63319800</v>
          </cell>
          <cell r="B184" t="str">
            <v>Spaghetti vegetarische bolognaise 550g DMH</v>
          </cell>
          <cell r="C184" t="str">
            <v>-</v>
          </cell>
          <cell r="D184" t="str">
            <v>X</v>
          </cell>
          <cell r="E184" t="str">
            <v>+</v>
          </cell>
          <cell r="F184" t="str">
            <v>X</v>
          </cell>
          <cell r="G184" t="str">
            <v>X</v>
          </cell>
          <cell r="H184" t="str">
            <v>X</v>
          </cell>
          <cell r="I184" t="str">
            <v>-</v>
          </cell>
          <cell r="J184" t="str">
            <v>X</v>
          </cell>
          <cell r="K184" t="str">
            <v>+</v>
          </cell>
          <cell r="L184" t="str">
            <v>-</v>
          </cell>
          <cell r="M184" t="str">
            <v>+</v>
          </cell>
          <cell r="N184" t="str">
            <v>X</v>
          </cell>
          <cell r="O184" t="str">
            <v>-</v>
          </cell>
        </row>
        <row r="185">
          <cell r="A185">
            <v>63319900</v>
          </cell>
          <cell r="B185" t="str">
            <v>Dhal curry rode linzen gele rijstmix 500g DMH</v>
          </cell>
          <cell r="C185" t="str">
            <v>-</v>
          </cell>
          <cell r="D185" t="str">
            <v>-</v>
          </cell>
          <cell r="E185" t="str">
            <v>X</v>
          </cell>
          <cell r="F185" t="str">
            <v>X</v>
          </cell>
          <cell r="G185" t="str">
            <v>-</v>
          </cell>
          <cell r="H185" t="str">
            <v>X</v>
          </cell>
          <cell r="I185" t="str">
            <v>+</v>
          </cell>
          <cell r="J185" t="str">
            <v>-</v>
          </cell>
          <cell r="K185" t="str">
            <v>-</v>
          </cell>
          <cell r="L185" t="str">
            <v>X</v>
          </cell>
          <cell r="M185" t="str">
            <v>X</v>
          </cell>
          <cell r="N185" t="str">
            <v>-</v>
          </cell>
          <cell r="O185" t="str">
            <v>-</v>
          </cell>
        </row>
        <row r="186">
          <cell r="A186">
            <v>63320000</v>
          </cell>
          <cell r="B186" t="str">
            <v>Cous Cous tomaten peterselie rozijnen 175g DMH</v>
          </cell>
          <cell r="C186" t="str">
            <v>-</v>
          </cell>
          <cell r="D186" t="str">
            <v>-</v>
          </cell>
          <cell r="E186" t="str">
            <v>+</v>
          </cell>
          <cell r="F186" t="str">
            <v>X</v>
          </cell>
          <cell r="G186" t="str">
            <v>-</v>
          </cell>
          <cell r="H186" t="str">
            <v>X</v>
          </cell>
          <cell r="I186" t="str">
            <v>-</v>
          </cell>
          <cell r="J186" t="str">
            <v>-</v>
          </cell>
          <cell r="K186" t="str">
            <v>-</v>
          </cell>
          <cell r="L186" t="str">
            <v>-</v>
          </cell>
          <cell r="M186" t="str">
            <v>X</v>
          </cell>
          <cell r="N186" t="str">
            <v>-</v>
          </cell>
          <cell r="O186" t="str">
            <v>-</v>
          </cell>
        </row>
        <row r="187">
          <cell r="A187">
            <v>63320100</v>
          </cell>
          <cell r="B187" t="str">
            <v>Kalfsragout tomatensaus paprika, pompoen 390g DMH</v>
          </cell>
          <cell r="C187" t="str">
            <v>-</v>
          </cell>
          <cell r="D187" t="str">
            <v>-</v>
          </cell>
          <cell r="E187" t="str">
            <v>-</v>
          </cell>
          <cell r="F187" t="str">
            <v>-</v>
          </cell>
          <cell r="G187" t="str">
            <v>-</v>
          </cell>
          <cell r="H187" t="str">
            <v>-</v>
          </cell>
          <cell r="I187" t="str">
            <v>-</v>
          </cell>
          <cell r="J187" t="str">
            <v>-</v>
          </cell>
          <cell r="K187" t="str">
            <v>-</v>
          </cell>
          <cell r="L187" t="str">
            <v>-</v>
          </cell>
          <cell r="M187" t="str">
            <v>-</v>
          </cell>
          <cell r="N187" t="str">
            <v>-</v>
          </cell>
          <cell r="O187" t="str">
            <v>-</v>
          </cell>
        </row>
        <row r="188">
          <cell r="A188">
            <v>63320500</v>
          </cell>
          <cell r="B188" t="str">
            <v>Zalm fijne groenten witte wijnsaus noilly prat 350g DMH</v>
          </cell>
          <cell r="C188" t="str">
            <v>-</v>
          </cell>
          <cell r="D188" t="str">
            <v>-</v>
          </cell>
          <cell r="E188" t="str">
            <v>+</v>
          </cell>
          <cell r="F188" t="str">
            <v>X</v>
          </cell>
          <cell r="G188" t="str">
            <v>+</v>
          </cell>
          <cell r="H188" t="str">
            <v>X</v>
          </cell>
          <cell r="I188" t="str">
            <v>-</v>
          </cell>
          <cell r="J188" t="str">
            <v>X</v>
          </cell>
          <cell r="K188" t="str">
            <v>+</v>
          </cell>
          <cell r="L188" t="str">
            <v>-</v>
          </cell>
          <cell r="M188" t="str">
            <v>X</v>
          </cell>
          <cell r="N188" t="str">
            <v>+</v>
          </cell>
          <cell r="O188" t="str">
            <v>X</v>
          </cell>
        </row>
        <row r="189">
          <cell r="A189">
            <v>63320800</v>
          </cell>
          <cell r="B189" t="str">
            <v>Kippenbout tajine groentenmix 495g DMH</v>
          </cell>
          <cell r="C189" t="str">
            <v>-</v>
          </cell>
          <cell r="D189" t="str">
            <v>-</v>
          </cell>
          <cell r="E189" t="str">
            <v>X</v>
          </cell>
          <cell r="F189" t="str">
            <v>-</v>
          </cell>
          <cell r="G189" t="str">
            <v>X</v>
          </cell>
          <cell r="H189" t="str">
            <v>X</v>
          </cell>
          <cell r="I189" t="str">
            <v>-</v>
          </cell>
          <cell r="J189" t="str">
            <v>-</v>
          </cell>
          <cell r="K189" t="str">
            <v>X</v>
          </cell>
          <cell r="L189" t="str">
            <v>-</v>
          </cell>
          <cell r="M189" t="str">
            <v>X</v>
          </cell>
          <cell r="N189" t="str">
            <v>-</v>
          </cell>
          <cell r="O189" t="str">
            <v>-</v>
          </cell>
        </row>
        <row r="190">
          <cell r="A190">
            <v>63321000</v>
          </cell>
          <cell r="B190" t="str">
            <v>Thai rode curry met reuzen garnalen 390g DMH</v>
          </cell>
          <cell r="C190" t="str">
            <v>-</v>
          </cell>
          <cell r="D190" t="str">
            <v>-</v>
          </cell>
          <cell r="E190" t="str">
            <v>-</v>
          </cell>
          <cell r="F190" t="str">
            <v>-</v>
          </cell>
          <cell r="G190" t="str">
            <v>-</v>
          </cell>
          <cell r="H190" t="str">
            <v>-</v>
          </cell>
          <cell r="I190" t="str">
            <v>-</v>
          </cell>
          <cell r="J190" t="str">
            <v>+</v>
          </cell>
          <cell r="K190" t="str">
            <v>-</v>
          </cell>
          <cell r="L190" t="str">
            <v>-</v>
          </cell>
          <cell r="M190" t="str">
            <v>+</v>
          </cell>
          <cell r="N190" t="str">
            <v>-</v>
          </cell>
          <cell r="O190" t="str">
            <v>-</v>
          </cell>
        </row>
        <row r="191">
          <cell r="A191">
            <v>63321100</v>
          </cell>
          <cell r="B191" t="str">
            <v>Linguini pasta natuur 200g DMH</v>
          </cell>
          <cell r="C191" t="str">
            <v>-</v>
          </cell>
          <cell r="D191" t="str">
            <v>X</v>
          </cell>
          <cell r="E191" t="str">
            <v>+</v>
          </cell>
          <cell r="F191" t="str">
            <v>X</v>
          </cell>
          <cell r="G191" t="str">
            <v>-</v>
          </cell>
          <cell r="H191" t="str">
            <v>X</v>
          </cell>
          <cell r="I191" t="str">
            <v>-</v>
          </cell>
          <cell r="J191" t="str">
            <v>-</v>
          </cell>
          <cell r="K191" t="str">
            <v>-</v>
          </cell>
          <cell r="L191" t="str">
            <v>-</v>
          </cell>
          <cell r="M191" t="str">
            <v>X</v>
          </cell>
          <cell r="N191" t="str">
            <v>-</v>
          </cell>
          <cell r="O191" t="str">
            <v>-</v>
          </cell>
        </row>
        <row r="192">
          <cell r="A192">
            <v>63321500</v>
          </cell>
          <cell r="B192" t="str">
            <v>Rijst basmati koriander paprika vlokken 160g DMH</v>
          </cell>
          <cell r="C192" t="str">
            <v>-</v>
          </cell>
          <cell r="D192" t="str">
            <v>-</v>
          </cell>
          <cell r="E192" t="str">
            <v>-</v>
          </cell>
          <cell r="F192" t="str">
            <v>-</v>
          </cell>
          <cell r="G192" t="str">
            <v>-</v>
          </cell>
          <cell r="H192" t="str">
            <v>-</v>
          </cell>
          <cell r="I192" t="str">
            <v>-</v>
          </cell>
          <cell r="J192" t="str">
            <v>-</v>
          </cell>
          <cell r="K192" t="str">
            <v>-</v>
          </cell>
          <cell r="L192" t="str">
            <v>-</v>
          </cell>
          <cell r="M192" t="str">
            <v>-</v>
          </cell>
          <cell r="N192" t="str">
            <v>-</v>
          </cell>
          <cell r="O192" t="str">
            <v>-</v>
          </cell>
        </row>
        <row r="193">
          <cell r="A193">
            <v>63321600</v>
          </cell>
          <cell r="B193" t="str">
            <v>Aardappelpuree met boter 200g DMH</v>
          </cell>
          <cell r="C193" t="str">
            <v>-</v>
          </cell>
          <cell r="D193" t="str">
            <v>+</v>
          </cell>
          <cell r="E193" t="str">
            <v>-</v>
          </cell>
          <cell r="F193" t="str">
            <v>-</v>
          </cell>
          <cell r="G193" t="str">
            <v>+</v>
          </cell>
          <cell r="H193" t="str">
            <v>-</v>
          </cell>
          <cell r="I193" t="str">
            <v>-</v>
          </cell>
          <cell r="J193" t="str">
            <v>-</v>
          </cell>
          <cell r="K193" t="str">
            <v>-</v>
          </cell>
          <cell r="L193" t="str">
            <v>-</v>
          </cell>
          <cell r="M193" t="str">
            <v>-</v>
          </cell>
          <cell r="N193" t="str">
            <v>-</v>
          </cell>
          <cell r="O193" t="str">
            <v>-</v>
          </cell>
        </row>
        <row r="194">
          <cell r="A194">
            <v>63405200</v>
          </cell>
          <cell r="B194" t="str">
            <v xml:space="preserve">Lasagne met zalm en spinazie 500g BOF </v>
          </cell>
          <cell r="C194" t="str">
            <v>-</v>
          </cell>
          <cell r="D194" t="str">
            <v>+</v>
          </cell>
          <cell r="E194" t="str">
            <v>+</v>
          </cell>
          <cell r="F194" t="str">
            <v>-</v>
          </cell>
          <cell r="G194" t="str">
            <v>+</v>
          </cell>
          <cell r="H194" t="str">
            <v>-</v>
          </cell>
          <cell r="I194" t="str">
            <v>-</v>
          </cell>
          <cell r="J194" t="str">
            <v>+</v>
          </cell>
          <cell r="K194" t="str">
            <v>-</v>
          </cell>
          <cell r="L194" t="str">
            <v>-</v>
          </cell>
          <cell r="M194" t="str">
            <v>-</v>
          </cell>
          <cell r="N194" t="str">
            <v>+</v>
          </cell>
          <cell r="O194" t="str">
            <v>X</v>
          </cell>
        </row>
        <row r="195">
          <cell r="A195">
            <v>63405600</v>
          </cell>
          <cell r="B195" t="str">
            <v xml:space="preserve">Kip archiduc erwten en wortelen gebakken aardap 460g Bof </v>
          </cell>
          <cell r="C195" t="str">
            <v>-</v>
          </cell>
          <cell r="D195" t="str">
            <v>X</v>
          </cell>
          <cell r="E195" t="str">
            <v>+</v>
          </cell>
          <cell r="F195" t="str">
            <v>X</v>
          </cell>
          <cell r="G195" t="str">
            <v>+</v>
          </cell>
          <cell r="H195" t="str">
            <v>X</v>
          </cell>
          <cell r="I195" t="str">
            <v>-</v>
          </cell>
          <cell r="J195" t="str">
            <v>-</v>
          </cell>
          <cell r="K195" t="str">
            <v>-</v>
          </cell>
          <cell r="L195" t="str">
            <v>-</v>
          </cell>
          <cell r="M195" t="str">
            <v>X</v>
          </cell>
          <cell r="N195" t="str">
            <v>-</v>
          </cell>
          <cell r="O195" t="str">
            <v>-</v>
          </cell>
        </row>
        <row r="196">
          <cell r="A196">
            <v>63406200</v>
          </cell>
          <cell r="B196" t="str">
            <v xml:space="preserve">Blinde vink rode kool aardappelkubus 460g BOF </v>
          </cell>
          <cell r="C196" t="str">
            <v>-</v>
          </cell>
          <cell r="D196" t="str">
            <v>X</v>
          </cell>
          <cell r="E196" t="str">
            <v>+</v>
          </cell>
          <cell r="F196" t="str">
            <v>X</v>
          </cell>
          <cell r="G196" t="str">
            <v>X</v>
          </cell>
          <cell r="H196" t="str">
            <v>X</v>
          </cell>
          <cell r="I196" t="str">
            <v>X</v>
          </cell>
          <cell r="J196" t="str">
            <v>X</v>
          </cell>
          <cell r="K196" t="str">
            <v>X</v>
          </cell>
          <cell r="L196" t="str">
            <v>-</v>
          </cell>
          <cell r="M196" t="str">
            <v>X</v>
          </cell>
          <cell r="N196" t="str">
            <v>X</v>
          </cell>
          <cell r="O196" t="str">
            <v>X</v>
          </cell>
        </row>
        <row r="197">
          <cell r="A197">
            <v>63406400</v>
          </cell>
          <cell r="B197" t="str">
            <v xml:space="preserve">Chipolata bloemkool bechamel puree 500g CL BOF </v>
          </cell>
          <cell r="C197" t="str">
            <v>X</v>
          </cell>
          <cell r="D197" t="str">
            <v>+</v>
          </cell>
          <cell r="E197" t="str">
            <v>+</v>
          </cell>
          <cell r="F197" t="str">
            <v>X</v>
          </cell>
          <cell r="G197" t="str">
            <v>+</v>
          </cell>
          <cell r="H197" t="str">
            <v>X</v>
          </cell>
          <cell r="I197" t="str">
            <v>-</v>
          </cell>
          <cell r="J197" t="str">
            <v>X</v>
          </cell>
          <cell r="K197" t="str">
            <v>X</v>
          </cell>
          <cell r="L197" t="str">
            <v>X</v>
          </cell>
          <cell r="M197" t="str">
            <v>X</v>
          </cell>
          <cell r="N197" t="str">
            <v>X</v>
          </cell>
          <cell r="O197" t="str">
            <v>X</v>
          </cell>
        </row>
        <row r="198">
          <cell r="A198">
            <v>63406700</v>
          </cell>
          <cell r="B198" t="str">
            <v>Kabeljauw MSC preiroom puree 500g BOF</v>
          </cell>
          <cell r="C198" t="str">
            <v>-</v>
          </cell>
          <cell r="D198" t="str">
            <v>+</v>
          </cell>
          <cell r="E198" t="str">
            <v>+</v>
          </cell>
          <cell r="F198" t="str">
            <v>X</v>
          </cell>
          <cell r="G198" t="str">
            <v>+</v>
          </cell>
          <cell r="H198" t="str">
            <v>X</v>
          </cell>
          <cell r="I198" t="str">
            <v>-</v>
          </cell>
          <cell r="J198" t="str">
            <v>X</v>
          </cell>
          <cell r="K198" t="str">
            <v>-</v>
          </cell>
          <cell r="L198" t="str">
            <v>-</v>
          </cell>
          <cell r="M198" t="str">
            <v>X</v>
          </cell>
          <cell r="N198" t="str">
            <v>+</v>
          </cell>
          <cell r="O198" t="str">
            <v>X</v>
          </cell>
        </row>
        <row r="199">
          <cell r="A199">
            <v>63407000</v>
          </cell>
          <cell r="B199" t="str">
            <v xml:space="preserve">Kalkoenhaasje fine champagne 450g BOF </v>
          </cell>
          <cell r="C199" t="str">
            <v>-</v>
          </cell>
          <cell r="D199" t="str">
            <v>X</v>
          </cell>
          <cell r="E199" t="str">
            <v>+</v>
          </cell>
          <cell r="F199" t="str">
            <v>X</v>
          </cell>
          <cell r="G199" t="str">
            <v>+</v>
          </cell>
          <cell r="H199" t="str">
            <v>X</v>
          </cell>
          <cell r="I199" t="str">
            <v>-</v>
          </cell>
          <cell r="J199" t="str">
            <v>-</v>
          </cell>
          <cell r="K199" t="str">
            <v>-</v>
          </cell>
          <cell r="L199" t="str">
            <v>-</v>
          </cell>
          <cell r="M199" t="str">
            <v>X</v>
          </cell>
          <cell r="N199" t="str">
            <v>-</v>
          </cell>
          <cell r="O199" t="str">
            <v>-</v>
          </cell>
        </row>
        <row r="200">
          <cell r="A200">
            <v>63407500</v>
          </cell>
          <cell r="B200" t="str">
            <v>Kip kerriesaus rijst 450g BOF</v>
          </cell>
          <cell r="C200" t="str">
            <v>-</v>
          </cell>
          <cell r="D200" t="str">
            <v>X</v>
          </cell>
          <cell r="E200" t="str">
            <v>+</v>
          </cell>
          <cell r="F200" t="str">
            <v>X</v>
          </cell>
          <cell r="G200" t="str">
            <v>+</v>
          </cell>
          <cell r="H200" t="str">
            <v>X</v>
          </cell>
          <cell r="I200" t="str">
            <v>-</v>
          </cell>
          <cell r="J200" t="str">
            <v>-</v>
          </cell>
          <cell r="K200" t="str">
            <v>+</v>
          </cell>
          <cell r="L200" t="str">
            <v>-</v>
          </cell>
          <cell r="M200" t="str">
            <v>X</v>
          </cell>
          <cell r="N200" t="str">
            <v>-</v>
          </cell>
          <cell r="O200" t="str">
            <v>-</v>
          </cell>
        </row>
        <row r="201">
          <cell r="A201">
            <v>63407600</v>
          </cell>
          <cell r="B201" t="str">
            <v>Hertenstoofpot appel veenbessen pompoenpuree 450g BOF</v>
          </cell>
          <cell r="C201" t="str">
            <v>-</v>
          </cell>
          <cell r="D201" t="str">
            <v>-</v>
          </cell>
          <cell r="E201" t="str">
            <v>+</v>
          </cell>
          <cell r="F201" t="str">
            <v>X</v>
          </cell>
          <cell r="G201" t="str">
            <v>+</v>
          </cell>
          <cell r="H201" t="str">
            <v>X</v>
          </cell>
          <cell r="I201" t="str">
            <v>-</v>
          </cell>
          <cell r="J201" t="str">
            <v>-</v>
          </cell>
          <cell r="K201" t="str">
            <v>-</v>
          </cell>
          <cell r="L201" t="str">
            <v>-</v>
          </cell>
          <cell r="M201" t="str">
            <v>X</v>
          </cell>
          <cell r="N201" t="str">
            <v>-</v>
          </cell>
          <cell r="O201" t="str">
            <v>-</v>
          </cell>
        </row>
        <row r="202">
          <cell r="A202">
            <v>63407700</v>
          </cell>
          <cell r="B202" t="str">
            <v>Gentse waterzooi krieltjes 450g BOF</v>
          </cell>
          <cell r="C202" t="str">
            <v>-</v>
          </cell>
          <cell r="D202" t="str">
            <v>X</v>
          </cell>
          <cell r="E202" t="str">
            <v>+</v>
          </cell>
          <cell r="F202" t="str">
            <v>-</v>
          </cell>
          <cell r="G202" t="str">
            <v>+</v>
          </cell>
          <cell r="H202" t="str">
            <v>-</v>
          </cell>
          <cell r="I202" t="str">
            <v>-</v>
          </cell>
          <cell r="J202" t="str">
            <v>-</v>
          </cell>
          <cell r="K202" t="str">
            <v>+</v>
          </cell>
          <cell r="L202" t="str">
            <v>-</v>
          </cell>
          <cell r="M202" t="str">
            <v>-</v>
          </cell>
          <cell r="N202" t="str">
            <v>-</v>
          </cell>
          <cell r="O202" t="str">
            <v>-</v>
          </cell>
        </row>
        <row r="203">
          <cell r="A203">
            <v>63407800</v>
          </cell>
          <cell r="B203" t="str">
            <v>Kip filet rode wijn wortel rustica geb aard 450g BOF</v>
          </cell>
          <cell r="C203" t="str">
            <v>-</v>
          </cell>
          <cell r="D203" t="str">
            <v>X</v>
          </cell>
          <cell r="E203" t="str">
            <v>+</v>
          </cell>
          <cell r="F203" t="str">
            <v>X</v>
          </cell>
          <cell r="G203" t="str">
            <v>+</v>
          </cell>
          <cell r="H203" t="str">
            <v>X</v>
          </cell>
          <cell r="I203" t="str">
            <v>-</v>
          </cell>
          <cell r="J203" t="str">
            <v>-</v>
          </cell>
          <cell r="K203" t="str">
            <v>-</v>
          </cell>
          <cell r="L203" t="str">
            <v>-</v>
          </cell>
          <cell r="M203" t="str">
            <v>X</v>
          </cell>
          <cell r="N203" t="str">
            <v>-</v>
          </cell>
          <cell r="O203" t="str">
            <v>-</v>
          </cell>
        </row>
        <row r="204">
          <cell r="A204">
            <v>63407900</v>
          </cell>
          <cell r="B204" t="str">
            <v>Balletjes tomatensaus puree 450g BOF</v>
          </cell>
          <cell r="C204" t="str">
            <v>-</v>
          </cell>
          <cell r="D204" t="str">
            <v>+</v>
          </cell>
          <cell r="E204" t="str">
            <v>+</v>
          </cell>
          <cell r="F204" t="str">
            <v>X</v>
          </cell>
          <cell r="G204" t="str">
            <v>+</v>
          </cell>
          <cell r="H204" t="str">
            <v>X</v>
          </cell>
          <cell r="I204" t="str">
            <v>X</v>
          </cell>
          <cell r="J204" t="str">
            <v>X</v>
          </cell>
          <cell r="K204" t="str">
            <v>X</v>
          </cell>
          <cell r="L204" t="str">
            <v>-</v>
          </cell>
          <cell r="M204" t="str">
            <v>X</v>
          </cell>
          <cell r="N204" t="str">
            <v>X</v>
          </cell>
          <cell r="O204" t="str">
            <v>X</v>
          </cell>
        </row>
        <row r="205">
          <cell r="A205">
            <v>63408100</v>
          </cell>
          <cell r="B205" t="str">
            <v>Jachtschotel rode kool puree 450g BOF</v>
          </cell>
          <cell r="C205" t="str">
            <v>-</v>
          </cell>
          <cell r="D205" t="str">
            <v>+</v>
          </cell>
          <cell r="E205" t="str">
            <v>+</v>
          </cell>
          <cell r="F205" t="str">
            <v>X</v>
          </cell>
          <cell r="G205" t="str">
            <v>+</v>
          </cell>
          <cell r="H205" t="str">
            <v>+</v>
          </cell>
          <cell r="I205" t="str">
            <v>-</v>
          </cell>
          <cell r="J205" t="str">
            <v>-</v>
          </cell>
          <cell r="K205" t="str">
            <v>-</v>
          </cell>
          <cell r="L205" t="str">
            <v>-</v>
          </cell>
          <cell r="M205" t="str">
            <v>X</v>
          </cell>
          <cell r="N205" t="str">
            <v>-</v>
          </cell>
          <cell r="O205" t="str">
            <v>-</v>
          </cell>
        </row>
        <row r="206">
          <cell r="A206">
            <v>63408400</v>
          </cell>
          <cell r="B206" t="str">
            <v>Vispannetje Oostends 420g BOF</v>
          </cell>
          <cell r="C206" t="str">
            <v>-</v>
          </cell>
          <cell r="D206" t="str">
            <v>-</v>
          </cell>
          <cell r="E206" t="str">
            <v>+</v>
          </cell>
          <cell r="F206" t="str">
            <v>X</v>
          </cell>
          <cell r="G206" t="str">
            <v>+</v>
          </cell>
          <cell r="H206" t="str">
            <v>X</v>
          </cell>
          <cell r="I206" t="str">
            <v>-</v>
          </cell>
          <cell r="J206" t="str">
            <v>X</v>
          </cell>
          <cell r="K206" t="str">
            <v>+</v>
          </cell>
          <cell r="L206" t="str">
            <v>-</v>
          </cell>
          <cell r="M206" t="str">
            <v>X</v>
          </cell>
          <cell r="N206" t="str">
            <v>+</v>
          </cell>
          <cell r="O206" t="str">
            <v>X</v>
          </cell>
        </row>
        <row r="207">
          <cell r="A207">
            <v>63408500</v>
          </cell>
          <cell r="B207" t="str">
            <v xml:space="preserve">Varkenshaasje peperroom wortelen puree 450g BOF </v>
          </cell>
          <cell r="C207" t="str">
            <v>-</v>
          </cell>
          <cell r="D207" t="str">
            <v>+</v>
          </cell>
          <cell r="E207" t="str">
            <v>+</v>
          </cell>
          <cell r="F207" t="str">
            <v>X</v>
          </cell>
          <cell r="G207" t="str">
            <v>+</v>
          </cell>
          <cell r="H207" t="str">
            <v>X</v>
          </cell>
          <cell r="I207" t="str">
            <v>-</v>
          </cell>
          <cell r="J207" t="str">
            <v>-</v>
          </cell>
          <cell r="K207" t="str">
            <v>-</v>
          </cell>
          <cell r="L207" t="str">
            <v>-</v>
          </cell>
          <cell r="M207" t="str">
            <v>X</v>
          </cell>
          <cell r="N207" t="str">
            <v>-</v>
          </cell>
          <cell r="O207" t="str">
            <v>-</v>
          </cell>
        </row>
        <row r="208">
          <cell r="A208">
            <v>63408800</v>
          </cell>
          <cell r="B208" t="str">
            <v>Chipolata kalfsjus bloemkool bechamel puree 450g BOF</v>
          </cell>
          <cell r="C208" t="str">
            <v>X</v>
          </cell>
          <cell r="D208" t="str">
            <v>+</v>
          </cell>
          <cell r="E208" t="str">
            <v>+</v>
          </cell>
          <cell r="F208" t="str">
            <v>X</v>
          </cell>
          <cell r="G208" t="str">
            <v>+</v>
          </cell>
          <cell r="H208" t="str">
            <v>X</v>
          </cell>
          <cell r="I208" t="str">
            <v>X</v>
          </cell>
          <cell r="J208" t="str">
            <v>X</v>
          </cell>
          <cell r="K208" t="str">
            <v>X</v>
          </cell>
          <cell r="L208" t="str">
            <v>X</v>
          </cell>
          <cell r="M208" t="str">
            <v>X</v>
          </cell>
          <cell r="N208" t="str">
            <v>X</v>
          </cell>
          <cell r="O208" t="str">
            <v>X</v>
          </cell>
        </row>
        <row r="209">
          <cell r="A209">
            <v>63408900</v>
          </cell>
          <cell r="B209" t="str">
            <v>Vispannetje Oostends ASC MSC 420g BOF</v>
          </cell>
          <cell r="C209" t="str">
            <v>-</v>
          </cell>
          <cell r="D209" t="str">
            <v>-</v>
          </cell>
          <cell r="E209" t="str">
            <v>+</v>
          </cell>
          <cell r="F209" t="str">
            <v>X</v>
          </cell>
          <cell r="G209" t="str">
            <v>+</v>
          </cell>
          <cell r="H209" t="str">
            <v>X</v>
          </cell>
          <cell r="I209" t="str">
            <v>-</v>
          </cell>
          <cell r="J209" t="str">
            <v>X</v>
          </cell>
          <cell r="K209" t="str">
            <v>+</v>
          </cell>
          <cell r="L209" t="str">
            <v>-</v>
          </cell>
          <cell r="M209" t="str">
            <v>X</v>
          </cell>
          <cell r="N209" t="str">
            <v>+</v>
          </cell>
          <cell r="O209" t="str">
            <v>X</v>
          </cell>
        </row>
        <row r="210">
          <cell r="A210">
            <v>63500300</v>
          </cell>
          <cell r="B210" t="str">
            <v>Kalfsblanket oude wijze, aardappelen 480g DMC</v>
          </cell>
          <cell r="C210" t="str">
            <v>-</v>
          </cell>
          <cell r="D210" t="str">
            <v>X</v>
          </cell>
          <cell r="E210" t="str">
            <v>+</v>
          </cell>
          <cell r="F210" t="str">
            <v>X</v>
          </cell>
          <cell r="G210" t="str">
            <v>+</v>
          </cell>
          <cell r="H210" t="str">
            <v>X</v>
          </cell>
          <cell r="I210" t="str">
            <v>-</v>
          </cell>
          <cell r="J210" t="str">
            <v>-</v>
          </cell>
          <cell r="K210" t="str">
            <v>+</v>
          </cell>
          <cell r="L210" t="str">
            <v>-</v>
          </cell>
          <cell r="M210" t="str">
            <v>X</v>
          </cell>
          <cell r="N210" t="str">
            <v>-</v>
          </cell>
          <cell r="O210" t="str">
            <v>-</v>
          </cell>
        </row>
        <row r="211">
          <cell r="A211">
            <v>63500400</v>
          </cell>
          <cell r="B211" t="str">
            <v>Vlaamse karbonaden appelmoes aardappelen 515g DMC</v>
          </cell>
          <cell r="C211" t="str">
            <v>-</v>
          </cell>
          <cell r="D211" t="str">
            <v>X</v>
          </cell>
          <cell r="E211" t="str">
            <v>+</v>
          </cell>
          <cell r="F211" t="str">
            <v>-</v>
          </cell>
          <cell r="G211" t="str">
            <v>X</v>
          </cell>
          <cell r="H211" t="str">
            <v>+</v>
          </cell>
          <cell r="I211" t="str">
            <v>-</v>
          </cell>
          <cell r="J211" t="str">
            <v>-</v>
          </cell>
          <cell r="K211" t="str">
            <v>+</v>
          </cell>
          <cell r="L211" t="str">
            <v>-</v>
          </cell>
          <cell r="M211" t="str">
            <v>X</v>
          </cell>
          <cell r="N211" t="str">
            <v>-</v>
          </cell>
          <cell r="O211" t="str">
            <v>-</v>
          </cell>
        </row>
        <row r="212">
          <cell r="A212">
            <v>63500500</v>
          </cell>
          <cell r="B212" t="str">
            <v>Rundstong madeirasaus puree 530g DMC</v>
          </cell>
          <cell r="C212" t="str">
            <v>-</v>
          </cell>
          <cell r="D212" t="str">
            <v>+</v>
          </cell>
          <cell r="E212" t="str">
            <v>+</v>
          </cell>
          <cell r="F212" t="str">
            <v>-</v>
          </cell>
          <cell r="G212" t="str">
            <v>+</v>
          </cell>
          <cell r="H212" t="str">
            <v>-</v>
          </cell>
          <cell r="I212" t="str">
            <v>-</v>
          </cell>
          <cell r="J212" t="str">
            <v>-</v>
          </cell>
          <cell r="K212" t="str">
            <v>+</v>
          </cell>
          <cell r="L212" t="str">
            <v>-</v>
          </cell>
          <cell r="M212" t="str">
            <v>-</v>
          </cell>
          <cell r="N212" t="str">
            <v>-</v>
          </cell>
          <cell r="O212" t="str">
            <v>-</v>
          </cell>
        </row>
        <row r="213">
          <cell r="A213">
            <v>63500800</v>
          </cell>
          <cell r="B213" t="str">
            <v>Kipbrochet ratatouille gebak aard 480g DMC</v>
          </cell>
          <cell r="C213" t="str">
            <v>-</v>
          </cell>
          <cell r="D213" t="str">
            <v>-</v>
          </cell>
          <cell r="E213" t="str">
            <v>-</v>
          </cell>
          <cell r="F213" t="str">
            <v>-</v>
          </cell>
          <cell r="G213" t="str">
            <v>-</v>
          </cell>
          <cell r="H213" t="str">
            <v>-</v>
          </cell>
          <cell r="I213" t="str">
            <v>-</v>
          </cell>
          <cell r="J213" t="str">
            <v>-</v>
          </cell>
          <cell r="K213" t="str">
            <v>+</v>
          </cell>
          <cell r="L213" t="str">
            <v>-</v>
          </cell>
          <cell r="M213" t="str">
            <v>-</v>
          </cell>
          <cell r="N213" t="str">
            <v>-</v>
          </cell>
          <cell r="O213" t="str">
            <v>-</v>
          </cell>
        </row>
        <row r="214">
          <cell r="A214">
            <v>63501000</v>
          </cell>
          <cell r="B214" t="str">
            <v>Varkensgeb kruidige saus schorseneren kriel 505g DMC</v>
          </cell>
          <cell r="C214" t="str">
            <v>X</v>
          </cell>
          <cell r="D214" t="str">
            <v>X</v>
          </cell>
          <cell r="E214" t="str">
            <v>+</v>
          </cell>
          <cell r="F214" t="str">
            <v>X</v>
          </cell>
          <cell r="G214" t="str">
            <v>+</v>
          </cell>
          <cell r="H214" t="str">
            <v>X</v>
          </cell>
          <cell r="I214" t="str">
            <v>X</v>
          </cell>
          <cell r="J214" t="str">
            <v>X</v>
          </cell>
          <cell r="K214" t="str">
            <v>+</v>
          </cell>
          <cell r="L214" t="str">
            <v>X</v>
          </cell>
          <cell r="M214" t="str">
            <v>X</v>
          </cell>
          <cell r="N214" t="str">
            <v>X</v>
          </cell>
          <cell r="O214" t="str">
            <v>-</v>
          </cell>
        </row>
        <row r="215">
          <cell r="A215">
            <v>63501200</v>
          </cell>
          <cell r="B215" t="str">
            <v>Hamburger BBQ saus appelmoes gebakken aard 500g DMC</v>
          </cell>
          <cell r="C215" t="str">
            <v>-</v>
          </cell>
          <cell r="D215" t="str">
            <v>X</v>
          </cell>
          <cell r="E215" t="str">
            <v>+</v>
          </cell>
          <cell r="F215" t="str">
            <v>-</v>
          </cell>
          <cell r="G215" t="str">
            <v>X</v>
          </cell>
          <cell r="H215" t="str">
            <v>X</v>
          </cell>
          <cell r="I215" t="str">
            <v>-</v>
          </cell>
          <cell r="J215" t="str">
            <v>X</v>
          </cell>
          <cell r="K215" t="str">
            <v>+</v>
          </cell>
          <cell r="L215" t="str">
            <v>-</v>
          </cell>
          <cell r="M215" t="str">
            <v>X</v>
          </cell>
          <cell r="N215" t="str">
            <v>+</v>
          </cell>
          <cell r="O215" t="str">
            <v>X</v>
          </cell>
        </row>
        <row r="216">
          <cell r="A216">
            <v>63501300</v>
          </cell>
          <cell r="B216" t="str">
            <v>Vleesbrood, krieken, aardappelen  495g DMC</v>
          </cell>
          <cell r="C216" t="str">
            <v>-</v>
          </cell>
          <cell r="D216" t="str">
            <v>+</v>
          </cell>
          <cell r="E216" t="str">
            <v>+</v>
          </cell>
          <cell r="F216" t="str">
            <v>-</v>
          </cell>
          <cell r="G216" t="str">
            <v>+</v>
          </cell>
          <cell r="H216" t="str">
            <v>X</v>
          </cell>
          <cell r="I216" t="str">
            <v>-</v>
          </cell>
          <cell r="J216" t="str">
            <v>-</v>
          </cell>
          <cell r="K216" t="str">
            <v>+</v>
          </cell>
          <cell r="L216" t="str">
            <v>-</v>
          </cell>
          <cell r="M216" t="str">
            <v>X</v>
          </cell>
          <cell r="N216" t="str">
            <v>-</v>
          </cell>
          <cell r="O216" t="str">
            <v>-</v>
          </cell>
        </row>
        <row r="217">
          <cell r="A217">
            <v>63501400</v>
          </cell>
          <cell r="B217" t="str">
            <v>Blinde vink erwten wortelen puree 520g DMC</v>
          </cell>
          <cell r="C217" t="str">
            <v>-</v>
          </cell>
          <cell r="D217" t="str">
            <v>+</v>
          </cell>
          <cell r="E217" t="str">
            <v>X</v>
          </cell>
          <cell r="F217" t="str">
            <v>-</v>
          </cell>
          <cell r="G217" t="str">
            <v>+</v>
          </cell>
          <cell r="H217" t="str">
            <v>X</v>
          </cell>
          <cell r="I217" t="str">
            <v>X</v>
          </cell>
          <cell r="J217" t="str">
            <v>X</v>
          </cell>
          <cell r="K217" t="str">
            <v>+</v>
          </cell>
          <cell r="L217" t="str">
            <v>-</v>
          </cell>
          <cell r="M217" t="str">
            <v>X</v>
          </cell>
          <cell r="N217" t="str">
            <v>X</v>
          </cell>
          <cell r="O217" t="str">
            <v>X</v>
          </cell>
        </row>
        <row r="218">
          <cell r="A218">
            <v>63501500</v>
          </cell>
          <cell r="B218" t="str">
            <v>Kaasburger spinazie puree 490g DMC</v>
          </cell>
          <cell r="C218" t="str">
            <v>-</v>
          </cell>
          <cell r="D218" t="str">
            <v>+</v>
          </cell>
          <cell r="E218" t="str">
            <v>-</v>
          </cell>
          <cell r="F218" t="str">
            <v>-</v>
          </cell>
          <cell r="G218" t="str">
            <v>+</v>
          </cell>
          <cell r="H218" t="str">
            <v>+</v>
          </cell>
          <cell r="I218" t="str">
            <v>-</v>
          </cell>
          <cell r="J218" t="str">
            <v>-</v>
          </cell>
          <cell r="K218" t="str">
            <v>+</v>
          </cell>
          <cell r="L218" t="str">
            <v>-</v>
          </cell>
          <cell r="M218" t="str">
            <v>-</v>
          </cell>
          <cell r="N218" t="str">
            <v>-</v>
          </cell>
          <cell r="O218" t="str">
            <v>-</v>
          </cell>
        </row>
        <row r="219">
          <cell r="A219">
            <v>63501600</v>
          </cell>
          <cell r="B219" t="str">
            <v>Braadworst rode kool gebakken aardappelschjjf 500g DMC</v>
          </cell>
          <cell r="C219" t="str">
            <v>-</v>
          </cell>
          <cell r="D219" t="str">
            <v>+</v>
          </cell>
          <cell r="E219" t="str">
            <v>+</v>
          </cell>
          <cell r="F219" t="str">
            <v>-</v>
          </cell>
          <cell r="G219" t="str">
            <v>X</v>
          </cell>
          <cell r="H219" t="str">
            <v>+</v>
          </cell>
          <cell r="I219" t="str">
            <v>-</v>
          </cell>
          <cell r="J219" t="str">
            <v>-</v>
          </cell>
          <cell r="K219" t="str">
            <v>+</v>
          </cell>
          <cell r="L219" t="str">
            <v>-</v>
          </cell>
          <cell r="M219" t="str">
            <v>-</v>
          </cell>
          <cell r="N219" t="str">
            <v>-</v>
          </cell>
          <cell r="O219" t="str">
            <v>-</v>
          </cell>
        </row>
        <row r="220">
          <cell r="A220">
            <v>63501700</v>
          </cell>
          <cell r="B220" t="str">
            <v>Braadworst wortelstamppot 550g DMC</v>
          </cell>
          <cell r="C220" t="str">
            <v>-</v>
          </cell>
          <cell r="D220" t="str">
            <v>+</v>
          </cell>
          <cell r="E220" t="str">
            <v>+</v>
          </cell>
          <cell r="F220" t="str">
            <v>X</v>
          </cell>
          <cell r="G220" t="str">
            <v>+</v>
          </cell>
          <cell r="H220" t="str">
            <v>+</v>
          </cell>
          <cell r="I220" t="str">
            <v>-</v>
          </cell>
          <cell r="J220" t="str">
            <v>-</v>
          </cell>
          <cell r="K220" t="str">
            <v>+</v>
          </cell>
          <cell r="L220" t="str">
            <v>-</v>
          </cell>
          <cell r="M220" t="str">
            <v>X</v>
          </cell>
          <cell r="N220" t="str">
            <v>-</v>
          </cell>
          <cell r="O220" t="str">
            <v>-</v>
          </cell>
        </row>
        <row r="221">
          <cell r="A221">
            <v>63502100</v>
          </cell>
          <cell r="B221" t="str">
            <v>Kip dragon groene groenten aard potje 500g DMC</v>
          </cell>
          <cell r="C221" t="str">
            <v>-</v>
          </cell>
          <cell r="D221" t="str">
            <v>X</v>
          </cell>
          <cell r="E221" t="str">
            <v>-</v>
          </cell>
          <cell r="F221" t="str">
            <v>-</v>
          </cell>
          <cell r="G221" t="str">
            <v>+</v>
          </cell>
          <cell r="H221" t="str">
            <v>-</v>
          </cell>
          <cell r="I221" t="str">
            <v>-</v>
          </cell>
          <cell r="J221" t="str">
            <v>-</v>
          </cell>
          <cell r="K221" t="str">
            <v>-</v>
          </cell>
          <cell r="L221" t="str">
            <v>-</v>
          </cell>
          <cell r="M221" t="str">
            <v>-</v>
          </cell>
          <cell r="N221" t="str">
            <v>-</v>
          </cell>
          <cell r="O221" t="str">
            <v>-</v>
          </cell>
        </row>
        <row r="222">
          <cell r="A222">
            <v>63502200</v>
          </cell>
          <cell r="B222" t="str">
            <v>Gehaktbal tomatensaus broccoli rosti 460g DMC</v>
          </cell>
          <cell r="C222" t="str">
            <v>-</v>
          </cell>
          <cell r="D222" t="str">
            <v>X</v>
          </cell>
          <cell r="E222" t="str">
            <v>X</v>
          </cell>
          <cell r="F222" t="str">
            <v>-</v>
          </cell>
          <cell r="G222" t="str">
            <v>X</v>
          </cell>
          <cell r="H222" t="str">
            <v>X</v>
          </cell>
          <cell r="I222" t="str">
            <v>X</v>
          </cell>
          <cell r="J222" t="str">
            <v>X</v>
          </cell>
          <cell r="K222" t="str">
            <v>X</v>
          </cell>
          <cell r="L222" t="str">
            <v>-</v>
          </cell>
          <cell r="M222" t="str">
            <v>X</v>
          </cell>
          <cell r="N222" t="str">
            <v>X</v>
          </cell>
          <cell r="O222" t="str">
            <v>X</v>
          </cell>
        </row>
        <row r="223">
          <cell r="A223">
            <v>63502300</v>
          </cell>
          <cell r="B223" t="str">
            <v>Kippenbout archiduc mini kroketten 460g DMC</v>
          </cell>
          <cell r="C223" t="str">
            <v>-</v>
          </cell>
          <cell r="D223" t="str">
            <v>-</v>
          </cell>
          <cell r="E223" t="str">
            <v>+</v>
          </cell>
          <cell r="F223" t="str">
            <v>-</v>
          </cell>
          <cell r="G223" t="str">
            <v>+</v>
          </cell>
          <cell r="H223" t="str">
            <v>X</v>
          </cell>
          <cell r="I223" t="str">
            <v>-</v>
          </cell>
          <cell r="J223" t="str">
            <v>-</v>
          </cell>
          <cell r="K223" t="str">
            <v>X</v>
          </cell>
          <cell r="L223" t="str">
            <v>-</v>
          </cell>
          <cell r="M223" t="str">
            <v>-</v>
          </cell>
          <cell r="N223" t="str">
            <v>-</v>
          </cell>
          <cell r="O223" t="str">
            <v>-</v>
          </cell>
        </row>
        <row r="224">
          <cell r="A224">
            <v>63502600</v>
          </cell>
          <cell r="B224" t="str">
            <v>Vol au vent puree bieslook/peterselie 525g DMC</v>
          </cell>
          <cell r="C224" t="str">
            <v>-</v>
          </cell>
          <cell r="D224" t="str">
            <v>+</v>
          </cell>
          <cell r="E224" t="str">
            <v>+</v>
          </cell>
          <cell r="F224" t="str">
            <v>-</v>
          </cell>
          <cell r="G224" t="str">
            <v>+</v>
          </cell>
          <cell r="H224" t="str">
            <v>X</v>
          </cell>
          <cell r="I224" t="str">
            <v>-</v>
          </cell>
          <cell r="J224" t="str">
            <v>X</v>
          </cell>
          <cell r="K224" t="str">
            <v>+</v>
          </cell>
          <cell r="L224" t="str">
            <v>-</v>
          </cell>
          <cell r="M224" t="str">
            <v>X</v>
          </cell>
          <cell r="N224" t="str">
            <v>X</v>
          </cell>
          <cell r="O224" t="str">
            <v>X</v>
          </cell>
        </row>
        <row r="225">
          <cell r="A225">
            <v>63502700</v>
          </cell>
          <cell r="B225" t="str">
            <v>Varkensreepjes zoetzuur rijst groenten 510g DMC</v>
          </cell>
          <cell r="C225" t="str">
            <v>-</v>
          </cell>
          <cell r="D225" t="str">
            <v>X</v>
          </cell>
          <cell r="E225" t="str">
            <v>+</v>
          </cell>
          <cell r="F225" t="str">
            <v>-</v>
          </cell>
          <cell r="G225" t="str">
            <v>X</v>
          </cell>
          <cell r="H225" t="str">
            <v>X</v>
          </cell>
          <cell r="I225" t="str">
            <v>-</v>
          </cell>
          <cell r="J225" t="str">
            <v>-</v>
          </cell>
          <cell r="K225" t="str">
            <v>+</v>
          </cell>
          <cell r="L225" t="str">
            <v>+</v>
          </cell>
          <cell r="M225" t="str">
            <v>+</v>
          </cell>
          <cell r="N225" t="str">
            <v>+</v>
          </cell>
          <cell r="O225" t="str">
            <v>-</v>
          </cell>
        </row>
        <row r="226">
          <cell r="A226">
            <v>63502800</v>
          </cell>
          <cell r="B226" t="str">
            <v>Cordon bleu appel abrikoos puree 450g DMC</v>
          </cell>
          <cell r="C226" t="str">
            <v>-</v>
          </cell>
          <cell r="D226" t="str">
            <v>+</v>
          </cell>
          <cell r="E226" t="str">
            <v>+</v>
          </cell>
          <cell r="F226" t="str">
            <v>-</v>
          </cell>
          <cell r="G226" t="str">
            <v>+</v>
          </cell>
          <cell r="H226" t="str">
            <v>-</v>
          </cell>
          <cell r="I226" t="str">
            <v>-</v>
          </cell>
          <cell r="J226" t="str">
            <v>-</v>
          </cell>
          <cell r="K226" t="str">
            <v>+</v>
          </cell>
          <cell r="L226" t="str">
            <v>-</v>
          </cell>
          <cell r="M226" t="str">
            <v>-</v>
          </cell>
          <cell r="N226" t="str">
            <v>-</v>
          </cell>
          <cell r="O226" t="str">
            <v>-</v>
          </cell>
        </row>
        <row r="227">
          <cell r="A227">
            <v>63502900</v>
          </cell>
          <cell r="B227" t="str">
            <v>Kippenbout groentenkrans puree 545g DMC</v>
          </cell>
          <cell r="C227" t="str">
            <v>-</v>
          </cell>
          <cell r="D227" t="str">
            <v>+</v>
          </cell>
          <cell r="E227" t="str">
            <v>+</v>
          </cell>
          <cell r="F227" t="str">
            <v>-</v>
          </cell>
          <cell r="G227" t="str">
            <v>+</v>
          </cell>
          <cell r="H227" t="str">
            <v>X</v>
          </cell>
          <cell r="I227" t="str">
            <v>-</v>
          </cell>
          <cell r="J227" t="str">
            <v>-</v>
          </cell>
          <cell r="K227" t="str">
            <v>+</v>
          </cell>
          <cell r="L227" t="str">
            <v>-</v>
          </cell>
          <cell r="M227" t="str">
            <v>-</v>
          </cell>
          <cell r="N227" t="str">
            <v>-</v>
          </cell>
          <cell r="O227" t="str">
            <v>-</v>
          </cell>
        </row>
        <row r="228">
          <cell r="A228">
            <v>63503100</v>
          </cell>
          <cell r="B228" t="str">
            <v>Kalkoenfilet sinaasappelsaus appelmoes aard kub 520g DMC</v>
          </cell>
          <cell r="C228" t="str">
            <v>-</v>
          </cell>
          <cell r="D228" t="str">
            <v>X</v>
          </cell>
          <cell r="E228" t="str">
            <v>-</v>
          </cell>
          <cell r="F228" t="str">
            <v>-</v>
          </cell>
          <cell r="G228" t="str">
            <v>X</v>
          </cell>
          <cell r="H228" t="str">
            <v>-</v>
          </cell>
          <cell r="I228" t="str">
            <v>-</v>
          </cell>
          <cell r="J228" t="str">
            <v>-</v>
          </cell>
          <cell r="K228" t="str">
            <v>-</v>
          </cell>
          <cell r="L228" t="str">
            <v>-</v>
          </cell>
          <cell r="M228" t="str">
            <v>-</v>
          </cell>
          <cell r="N228" t="str">
            <v>-</v>
          </cell>
          <cell r="O228" t="str">
            <v>-</v>
          </cell>
        </row>
        <row r="229">
          <cell r="A229">
            <v>63503400</v>
          </cell>
          <cell r="B229" t="str">
            <v>Fish stick tomatensaus puree 490g DMC</v>
          </cell>
          <cell r="C229" t="str">
            <v>-</v>
          </cell>
          <cell r="D229" t="str">
            <v>+</v>
          </cell>
          <cell r="E229" t="str">
            <v>+</v>
          </cell>
          <cell r="F229" t="str">
            <v>-</v>
          </cell>
          <cell r="G229" t="str">
            <v>+</v>
          </cell>
          <cell r="H229" t="str">
            <v>-</v>
          </cell>
          <cell r="I229" t="str">
            <v>-</v>
          </cell>
          <cell r="J229" t="str">
            <v>-</v>
          </cell>
          <cell r="K229" t="str">
            <v>-</v>
          </cell>
          <cell r="L229" t="str">
            <v>-</v>
          </cell>
          <cell r="M229" t="str">
            <v>-</v>
          </cell>
          <cell r="N229" t="str">
            <v>+</v>
          </cell>
          <cell r="O229" t="str">
            <v>-</v>
          </cell>
        </row>
        <row r="230">
          <cell r="A230">
            <v>63503700</v>
          </cell>
          <cell r="B230" t="str">
            <v>Spaghetti bolognese 550 DMC</v>
          </cell>
          <cell r="C230" t="str">
            <v>-</v>
          </cell>
          <cell r="D230" t="str">
            <v>X</v>
          </cell>
          <cell r="E230" t="str">
            <v>+</v>
          </cell>
          <cell r="F230" t="str">
            <v>X</v>
          </cell>
          <cell r="G230" t="str">
            <v>+</v>
          </cell>
          <cell r="H230" t="str">
            <v>X</v>
          </cell>
          <cell r="I230" t="str">
            <v>-</v>
          </cell>
          <cell r="J230" t="str">
            <v>-</v>
          </cell>
          <cell r="K230" t="str">
            <v>+</v>
          </cell>
          <cell r="L230" t="str">
            <v>-</v>
          </cell>
          <cell r="M230" t="str">
            <v>X</v>
          </cell>
          <cell r="N230" t="str">
            <v>-</v>
          </cell>
          <cell r="O230" t="str">
            <v>-</v>
          </cell>
        </row>
        <row r="231">
          <cell r="A231">
            <v>63503800</v>
          </cell>
          <cell r="B231" t="str">
            <v>Macaroni ham-kaassaus 520g DMC</v>
          </cell>
          <cell r="C231" t="str">
            <v>-</v>
          </cell>
          <cell r="D231" t="str">
            <v>X</v>
          </cell>
          <cell r="E231" t="str">
            <v>+</v>
          </cell>
          <cell r="F231" t="str">
            <v>X</v>
          </cell>
          <cell r="G231" t="str">
            <v>+</v>
          </cell>
          <cell r="H231" t="str">
            <v>X</v>
          </cell>
          <cell r="I231" t="str">
            <v>-</v>
          </cell>
          <cell r="J231" t="str">
            <v>-</v>
          </cell>
          <cell r="K231" t="str">
            <v>-</v>
          </cell>
          <cell r="L231" t="str">
            <v>-</v>
          </cell>
          <cell r="M231" t="str">
            <v>X</v>
          </cell>
          <cell r="N231" t="str">
            <v>-</v>
          </cell>
          <cell r="O231" t="str">
            <v>-</v>
          </cell>
        </row>
        <row r="232">
          <cell r="A232">
            <v>63503900</v>
          </cell>
          <cell r="B232" t="str">
            <v>Witloof ham kaas puree 540 g DMC</v>
          </cell>
          <cell r="C232" t="str">
            <v>-</v>
          </cell>
          <cell r="D232" t="str">
            <v>+</v>
          </cell>
          <cell r="E232" t="str">
            <v>+</v>
          </cell>
          <cell r="F232" t="str">
            <v>X</v>
          </cell>
          <cell r="G232" t="str">
            <v>+</v>
          </cell>
          <cell r="H232" t="str">
            <v>X</v>
          </cell>
          <cell r="I232" t="str">
            <v>-</v>
          </cell>
          <cell r="J232" t="str">
            <v>-</v>
          </cell>
          <cell r="K232" t="str">
            <v>-</v>
          </cell>
          <cell r="L232" t="str">
            <v>-</v>
          </cell>
          <cell r="M232" t="str">
            <v>X</v>
          </cell>
          <cell r="N232" t="str">
            <v>-</v>
          </cell>
          <cell r="O232" t="str">
            <v>-</v>
          </cell>
        </row>
        <row r="233">
          <cell r="A233">
            <v>63504100</v>
          </cell>
          <cell r="B233" t="str">
            <v>Tagliatelle ham-champignons-kaassaus 500g DMC</v>
          </cell>
          <cell r="C233" t="str">
            <v>-</v>
          </cell>
          <cell r="D233" t="str">
            <v>+</v>
          </cell>
          <cell r="E233" t="str">
            <v>+</v>
          </cell>
          <cell r="F233" t="str">
            <v>X</v>
          </cell>
          <cell r="G233" t="str">
            <v>+</v>
          </cell>
          <cell r="H233" t="str">
            <v>X</v>
          </cell>
          <cell r="I233" t="str">
            <v>-</v>
          </cell>
          <cell r="J233" t="str">
            <v>-</v>
          </cell>
          <cell r="K233" t="str">
            <v>+</v>
          </cell>
          <cell r="L233" t="str">
            <v>-</v>
          </cell>
          <cell r="M233" t="str">
            <v>X</v>
          </cell>
          <cell r="N233" t="str">
            <v>-</v>
          </cell>
          <cell r="O233" t="str">
            <v>-</v>
          </cell>
        </row>
        <row r="234">
          <cell r="A234">
            <v>63504300</v>
          </cell>
          <cell r="B234" t="str">
            <v>Vispannetje boontjes puree 545g DMC</v>
          </cell>
          <cell r="C234" t="str">
            <v>-</v>
          </cell>
          <cell r="D234" t="str">
            <v>+</v>
          </cell>
          <cell r="E234" t="str">
            <v>-</v>
          </cell>
          <cell r="F234" t="str">
            <v>-</v>
          </cell>
          <cell r="G234" t="str">
            <v>+</v>
          </cell>
          <cell r="H234" t="str">
            <v>-</v>
          </cell>
          <cell r="I234" t="str">
            <v>-</v>
          </cell>
          <cell r="J234" t="str">
            <v>X</v>
          </cell>
          <cell r="K234" t="str">
            <v>+</v>
          </cell>
          <cell r="L234" t="str">
            <v>-</v>
          </cell>
          <cell r="M234" t="str">
            <v>-</v>
          </cell>
          <cell r="N234" t="str">
            <v>+</v>
          </cell>
          <cell r="O234" t="str">
            <v>X</v>
          </cell>
        </row>
        <row r="235">
          <cell r="A235">
            <v>63504400</v>
          </cell>
          <cell r="B235" t="str">
            <v>Lamsslavink bloemkool kriel 470g DMC</v>
          </cell>
          <cell r="C235" t="str">
            <v>-</v>
          </cell>
          <cell r="D235" t="str">
            <v>+</v>
          </cell>
          <cell r="E235" t="str">
            <v>+</v>
          </cell>
          <cell r="F235" t="str">
            <v>-</v>
          </cell>
          <cell r="G235" t="str">
            <v>+</v>
          </cell>
          <cell r="H235" t="str">
            <v>X</v>
          </cell>
          <cell r="I235" t="str">
            <v>-</v>
          </cell>
          <cell r="J235" t="str">
            <v>-</v>
          </cell>
          <cell r="K235" t="str">
            <v>+</v>
          </cell>
          <cell r="L235" t="str">
            <v>-</v>
          </cell>
          <cell r="M235" t="str">
            <v>X</v>
          </cell>
          <cell r="N235" t="str">
            <v>-</v>
          </cell>
          <cell r="O235" t="str">
            <v>-</v>
          </cell>
        </row>
        <row r="236">
          <cell r="A236">
            <v>63504500</v>
          </cell>
          <cell r="B236" t="str">
            <v>Lasagne bolognese 570g DMC</v>
          </cell>
          <cell r="C236" t="str">
            <v>-</v>
          </cell>
          <cell r="D236" t="str">
            <v>+</v>
          </cell>
          <cell r="E236" t="str">
            <v>+</v>
          </cell>
          <cell r="F236" t="str">
            <v>-</v>
          </cell>
          <cell r="G236" t="str">
            <v>+</v>
          </cell>
          <cell r="H236" t="str">
            <v>-</v>
          </cell>
          <cell r="I236" t="str">
            <v>-</v>
          </cell>
          <cell r="J236" t="str">
            <v>X</v>
          </cell>
          <cell r="K236" t="str">
            <v>+</v>
          </cell>
          <cell r="L236" t="str">
            <v>-</v>
          </cell>
          <cell r="M236" t="str">
            <v>X</v>
          </cell>
          <cell r="N236" t="str">
            <v>X</v>
          </cell>
          <cell r="O236" t="str">
            <v>-</v>
          </cell>
        </row>
        <row r="237">
          <cell r="A237">
            <v>63504700</v>
          </cell>
          <cell r="B237" t="str">
            <v>Kipfilet currysaus rijst 500g DMC</v>
          </cell>
          <cell r="C237" t="str">
            <v>-</v>
          </cell>
          <cell r="D237" t="str">
            <v>X</v>
          </cell>
          <cell r="E237" t="str">
            <v>-</v>
          </cell>
          <cell r="F237" t="str">
            <v>-</v>
          </cell>
          <cell r="G237" t="str">
            <v>+</v>
          </cell>
          <cell r="H237" t="str">
            <v>+</v>
          </cell>
          <cell r="I237" t="str">
            <v>-</v>
          </cell>
          <cell r="J237" t="str">
            <v>-</v>
          </cell>
          <cell r="K237" t="str">
            <v>+</v>
          </cell>
          <cell r="L237" t="str">
            <v>-</v>
          </cell>
          <cell r="M237" t="str">
            <v>-</v>
          </cell>
          <cell r="N237" t="str">
            <v>-</v>
          </cell>
          <cell r="O237" t="str">
            <v>-</v>
          </cell>
        </row>
        <row r="238">
          <cell r="A238">
            <v>63506200</v>
          </cell>
          <cell r="B238" t="str">
            <v>Kalfsworst rode kool/appeltjes aardappelen 420g DMC Dieet</v>
          </cell>
          <cell r="C238" t="str">
            <v>X</v>
          </cell>
          <cell r="D238" t="str">
            <v>X</v>
          </cell>
          <cell r="E238" t="str">
            <v>+</v>
          </cell>
          <cell r="F238" t="str">
            <v>X</v>
          </cell>
          <cell r="G238" t="str">
            <v>X</v>
          </cell>
          <cell r="H238" t="str">
            <v>X</v>
          </cell>
          <cell r="I238" t="str">
            <v>X</v>
          </cell>
          <cell r="J238" t="str">
            <v>X</v>
          </cell>
          <cell r="K238" t="str">
            <v>+</v>
          </cell>
          <cell r="L238" t="str">
            <v>X</v>
          </cell>
          <cell r="M238" t="str">
            <v>X</v>
          </cell>
          <cell r="N238" t="str">
            <v>X</v>
          </cell>
          <cell r="O238" t="str">
            <v>-</v>
          </cell>
        </row>
        <row r="239">
          <cell r="A239">
            <v>63506700</v>
          </cell>
          <cell r="B239" t="str">
            <v>Kalfsblanket tomatensaus princessen puree 480g DMC DIEET</v>
          </cell>
          <cell r="C239" t="str">
            <v>-</v>
          </cell>
          <cell r="D239" t="str">
            <v>-</v>
          </cell>
          <cell r="E239" t="str">
            <v>-</v>
          </cell>
          <cell r="F239" t="str">
            <v>-</v>
          </cell>
          <cell r="G239" t="str">
            <v>+</v>
          </cell>
          <cell r="H239" t="str">
            <v>-</v>
          </cell>
          <cell r="I239" t="str">
            <v>-</v>
          </cell>
          <cell r="J239" t="str">
            <v>-</v>
          </cell>
          <cell r="K239" t="str">
            <v>+</v>
          </cell>
          <cell r="L239" t="str">
            <v>-</v>
          </cell>
          <cell r="M239" t="str">
            <v>-</v>
          </cell>
          <cell r="N239" t="str">
            <v>-</v>
          </cell>
          <cell r="O239" t="str">
            <v>-</v>
          </cell>
        </row>
        <row r="240">
          <cell r="A240">
            <v>63506800</v>
          </cell>
          <cell r="B240" t="str">
            <v>Kipblanket broccoli wortelen puree 510g DMC Dieet</v>
          </cell>
          <cell r="C240" t="str">
            <v>-</v>
          </cell>
          <cell r="D240" t="str">
            <v>-</v>
          </cell>
          <cell r="E240" t="str">
            <v>+</v>
          </cell>
          <cell r="F240" t="str">
            <v>-</v>
          </cell>
          <cell r="G240" t="str">
            <v>+</v>
          </cell>
          <cell r="H240" t="str">
            <v>-</v>
          </cell>
          <cell r="I240" t="str">
            <v>-</v>
          </cell>
          <cell r="J240" t="str">
            <v>-</v>
          </cell>
          <cell r="K240" t="str">
            <v>+</v>
          </cell>
          <cell r="L240" t="str">
            <v>-</v>
          </cell>
          <cell r="M240" t="str">
            <v>-</v>
          </cell>
          <cell r="N240" t="str">
            <v>-</v>
          </cell>
          <cell r="O240" t="str">
            <v>-</v>
          </cell>
        </row>
        <row r="241">
          <cell r="A241">
            <v>63507200</v>
          </cell>
          <cell r="B241" t="str">
            <v>Kippenwit mosterdsaus princessen aardappelen 460g DMC Dieet</v>
          </cell>
          <cell r="C241" t="str">
            <v>-</v>
          </cell>
          <cell r="D241" t="str">
            <v>-</v>
          </cell>
          <cell r="E241" t="str">
            <v>X</v>
          </cell>
          <cell r="F241" t="str">
            <v>-</v>
          </cell>
          <cell r="G241" t="str">
            <v>+</v>
          </cell>
          <cell r="H241" t="str">
            <v>+</v>
          </cell>
          <cell r="I241" t="str">
            <v>-</v>
          </cell>
          <cell r="J241" t="str">
            <v>-</v>
          </cell>
          <cell r="K241" t="str">
            <v>+</v>
          </cell>
          <cell r="L241" t="str">
            <v>-</v>
          </cell>
          <cell r="M241" t="str">
            <v>-</v>
          </cell>
          <cell r="N241" t="str">
            <v>-</v>
          </cell>
          <cell r="O241" t="str">
            <v>-</v>
          </cell>
        </row>
        <row r="242">
          <cell r="A242">
            <v>63507400</v>
          </cell>
          <cell r="B242" t="str">
            <v>Vispannetje zalm broccoli puree 550g DMC Dieet</v>
          </cell>
          <cell r="C242" t="str">
            <v>-</v>
          </cell>
          <cell r="D242" t="str">
            <v>-</v>
          </cell>
          <cell r="E242" t="str">
            <v>+</v>
          </cell>
          <cell r="F242" t="str">
            <v>-</v>
          </cell>
          <cell r="G242" t="str">
            <v>+</v>
          </cell>
          <cell r="H242" t="str">
            <v>-</v>
          </cell>
          <cell r="I242" t="str">
            <v>-</v>
          </cell>
          <cell r="J242" t="str">
            <v>-</v>
          </cell>
          <cell r="K242" t="str">
            <v>+</v>
          </cell>
          <cell r="L242" t="str">
            <v>-</v>
          </cell>
          <cell r="M242" t="str">
            <v>-</v>
          </cell>
          <cell r="N242" t="str">
            <v>+</v>
          </cell>
          <cell r="O242" t="str">
            <v>-</v>
          </cell>
        </row>
        <row r="243">
          <cell r="A243">
            <v>63507600</v>
          </cell>
          <cell r="B243" t="str">
            <v>Visfillet dillesaus groenten aardappelen 510g DMC Dieet</v>
          </cell>
          <cell r="C243" t="str">
            <v>-</v>
          </cell>
          <cell r="D243" t="str">
            <v>-</v>
          </cell>
          <cell r="E243" t="str">
            <v>+</v>
          </cell>
          <cell r="F243" t="str">
            <v>-</v>
          </cell>
          <cell r="G243" t="str">
            <v>+</v>
          </cell>
          <cell r="H243" t="str">
            <v>-</v>
          </cell>
          <cell r="I243" t="str">
            <v>-</v>
          </cell>
          <cell r="J243" t="str">
            <v>-</v>
          </cell>
          <cell r="K243" t="str">
            <v>+</v>
          </cell>
          <cell r="L243" t="str">
            <v>-</v>
          </cell>
          <cell r="M243" t="str">
            <v>-</v>
          </cell>
          <cell r="N243" t="str">
            <v>+</v>
          </cell>
          <cell r="O243" t="str">
            <v>-</v>
          </cell>
        </row>
        <row r="244">
          <cell r="A244">
            <v>63508200</v>
          </cell>
          <cell r="B244" t="str">
            <v>Kalkoenfilet tomatensaus prinsessen puree 460g DMC Dieet</v>
          </cell>
          <cell r="C244" t="str">
            <v>-</v>
          </cell>
          <cell r="D244" t="str">
            <v>-</v>
          </cell>
          <cell r="E244" t="str">
            <v>-</v>
          </cell>
          <cell r="F244" t="str">
            <v>-</v>
          </cell>
          <cell r="G244" t="str">
            <v>+</v>
          </cell>
          <cell r="H244" t="str">
            <v>-</v>
          </cell>
          <cell r="I244" t="str">
            <v>-</v>
          </cell>
          <cell r="J244" t="str">
            <v>-</v>
          </cell>
          <cell r="K244" t="str">
            <v>+</v>
          </cell>
          <cell r="L244" t="str">
            <v>-</v>
          </cell>
          <cell r="M244" t="str">
            <v>-</v>
          </cell>
          <cell r="N244" t="str">
            <v>-</v>
          </cell>
          <cell r="O244" t="str">
            <v>-</v>
          </cell>
        </row>
        <row r="245">
          <cell r="A245">
            <v>63508400</v>
          </cell>
          <cell r="B245" t="str">
            <v>Kalkoen blanket oude wijze broc aardappelen 460g DMC Dieet</v>
          </cell>
          <cell r="C245" t="str">
            <v>-</v>
          </cell>
          <cell r="D245" t="str">
            <v>X</v>
          </cell>
          <cell r="E245" t="str">
            <v>+</v>
          </cell>
          <cell r="F245" t="str">
            <v>-</v>
          </cell>
          <cell r="G245" t="str">
            <v>+</v>
          </cell>
          <cell r="H245" t="str">
            <v>X</v>
          </cell>
          <cell r="I245" t="str">
            <v>-</v>
          </cell>
          <cell r="J245" t="str">
            <v>-</v>
          </cell>
          <cell r="K245" t="str">
            <v>+</v>
          </cell>
          <cell r="L245" t="str">
            <v>-</v>
          </cell>
          <cell r="M245" t="str">
            <v>X</v>
          </cell>
          <cell r="N245" t="str">
            <v>-</v>
          </cell>
          <cell r="O245" t="str">
            <v>-</v>
          </cell>
        </row>
        <row r="246">
          <cell r="A246">
            <v>63508800</v>
          </cell>
          <cell r="B246" t="str">
            <v>Vol au vent - puree 500g DMC DIEET</v>
          </cell>
          <cell r="C246" t="str">
            <v>-</v>
          </cell>
          <cell r="D246" t="str">
            <v>-</v>
          </cell>
          <cell r="E246" t="str">
            <v>+</v>
          </cell>
          <cell r="F246" t="str">
            <v>-</v>
          </cell>
          <cell r="G246" t="str">
            <v>+</v>
          </cell>
          <cell r="H246" t="str">
            <v>-</v>
          </cell>
          <cell r="I246" t="str">
            <v>-</v>
          </cell>
          <cell r="J246" t="str">
            <v>-</v>
          </cell>
          <cell r="K246" t="str">
            <v>+</v>
          </cell>
          <cell r="L246" t="str">
            <v>-</v>
          </cell>
          <cell r="M246" t="str">
            <v>-</v>
          </cell>
          <cell r="N246" t="str">
            <v>-</v>
          </cell>
          <cell r="O246" t="str">
            <v>-</v>
          </cell>
        </row>
        <row r="247">
          <cell r="A247">
            <v>63509000</v>
          </cell>
          <cell r="B247" t="str">
            <v>Rund vlees fijne kruiden groenten aard 470g DMC Dieet</v>
          </cell>
          <cell r="C247" t="str">
            <v>-</v>
          </cell>
          <cell r="D247" t="str">
            <v>-</v>
          </cell>
          <cell r="E247" t="str">
            <v>+</v>
          </cell>
          <cell r="F247" t="str">
            <v>-</v>
          </cell>
          <cell r="G247" t="str">
            <v>+</v>
          </cell>
          <cell r="H247" t="str">
            <v>+</v>
          </cell>
          <cell r="I247" t="str">
            <v>-</v>
          </cell>
          <cell r="J247" t="str">
            <v>-</v>
          </cell>
          <cell r="K247" t="str">
            <v>+</v>
          </cell>
          <cell r="L247" t="str">
            <v>-</v>
          </cell>
          <cell r="M247" t="str">
            <v>-</v>
          </cell>
          <cell r="N247" t="str">
            <v>-</v>
          </cell>
          <cell r="O247" t="str">
            <v>-</v>
          </cell>
        </row>
        <row r="248">
          <cell r="A248">
            <v>63509300</v>
          </cell>
          <cell r="B248" t="str">
            <v>Hamburger witloof aardappelen 500g DMC DIEET</v>
          </cell>
          <cell r="C248" t="str">
            <v>-</v>
          </cell>
          <cell r="D248" t="str">
            <v>+</v>
          </cell>
          <cell r="E248" t="str">
            <v>+</v>
          </cell>
          <cell r="F248" t="str">
            <v>X</v>
          </cell>
          <cell r="G248" t="str">
            <v>+</v>
          </cell>
          <cell r="H248" t="str">
            <v>X</v>
          </cell>
          <cell r="I248" t="str">
            <v>-</v>
          </cell>
          <cell r="J248" t="str">
            <v>-</v>
          </cell>
          <cell r="K248" t="str">
            <v>+</v>
          </cell>
          <cell r="L248" t="str">
            <v>-</v>
          </cell>
          <cell r="M248" t="str">
            <v>X</v>
          </cell>
          <cell r="N248" t="str">
            <v>-</v>
          </cell>
          <cell r="O248" t="str">
            <v>-</v>
          </cell>
        </row>
        <row r="249">
          <cell r="A249">
            <v>63509400</v>
          </cell>
          <cell r="B249" t="str">
            <v>Blinde vink puree met prei 540g DMC DIEET</v>
          </cell>
          <cell r="C249" t="str">
            <v>X</v>
          </cell>
          <cell r="D249" t="str">
            <v>X</v>
          </cell>
          <cell r="E249" t="str">
            <v>+</v>
          </cell>
          <cell r="F249" t="str">
            <v>X</v>
          </cell>
          <cell r="G249" t="str">
            <v>+</v>
          </cell>
          <cell r="H249" t="str">
            <v>X</v>
          </cell>
          <cell r="I249" t="str">
            <v>X</v>
          </cell>
          <cell r="J249" t="str">
            <v>X</v>
          </cell>
          <cell r="K249" t="str">
            <v>+</v>
          </cell>
          <cell r="L249" t="str">
            <v>X</v>
          </cell>
          <cell r="M249" t="str">
            <v>X</v>
          </cell>
          <cell r="N249" t="str">
            <v>X</v>
          </cell>
          <cell r="O249" t="str">
            <v>-</v>
          </cell>
        </row>
        <row r="250">
          <cell r="A250">
            <v>63509500</v>
          </cell>
          <cell r="B250" t="str">
            <v>Gehaktballetjes tomaat princessen aardappelen 450g DMC Dieet</v>
          </cell>
          <cell r="C250" t="str">
            <v>-</v>
          </cell>
          <cell r="D250" t="str">
            <v>X</v>
          </cell>
          <cell r="E250" t="str">
            <v>+</v>
          </cell>
          <cell r="F250" t="str">
            <v>-</v>
          </cell>
          <cell r="G250" t="str">
            <v>X</v>
          </cell>
          <cell r="H250" t="str">
            <v>X</v>
          </cell>
          <cell r="I250" t="str">
            <v>X</v>
          </cell>
          <cell r="J250" t="str">
            <v>X</v>
          </cell>
          <cell r="K250" t="str">
            <v>+</v>
          </cell>
          <cell r="L250" t="str">
            <v>-</v>
          </cell>
          <cell r="M250" t="str">
            <v>X</v>
          </cell>
          <cell r="N250" t="str">
            <v>X</v>
          </cell>
          <cell r="O250" t="str">
            <v>-</v>
          </cell>
        </row>
        <row r="251">
          <cell r="A251">
            <v>63511200</v>
          </cell>
          <cell r="B251" t="str">
            <v>Varkenshaasmedaillon champroomsce gr mix geb aard 500g DMC</v>
          </cell>
          <cell r="C251" t="str">
            <v>-</v>
          </cell>
          <cell r="D251" t="str">
            <v>X</v>
          </cell>
          <cell r="E251" t="str">
            <v>+</v>
          </cell>
          <cell r="F251" t="str">
            <v>-</v>
          </cell>
          <cell r="G251" t="str">
            <v>+</v>
          </cell>
          <cell r="H251" t="str">
            <v>X</v>
          </cell>
          <cell r="I251" t="str">
            <v>-</v>
          </cell>
          <cell r="J251" t="str">
            <v>-</v>
          </cell>
          <cell r="K251" t="str">
            <v>X</v>
          </cell>
          <cell r="L251" t="str">
            <v>-</v>
          </cell>
          <cell r="M251" t="str">
            <v>X</v>
          </cell>
          <cell r="N251" t="str">
            <v>-</v>
          </cell>
          <cell r="O251" t="str">
            <v>-</v>
          </cell>
        </row>
        <row r="252">
          <cell r="A252">
            <v>63511900</v>
          </cell>
          <cell r="B252" t="str">
            <v>Varkensgebr. spruiten mosterd knolselderpuree 500g DMC</v>
          </cell>
          <cell r="C252" t="str">
            <v>X</v>
          </cell>
          <cell r="D252" t="str">
            <v>+</v>
          </cell>
          <cell r="E252" t="str">
            <v>+</v>
          </cell>
          <cell r="F252" t="str">
            <v>X</v>
          </cell>
          <cell r="G252" t="str">
            <v>+</v>
          </cell>
          <cell r="H252" t="str">
            <v>+</v>
          </cell>
          <cell r="I252" t="str">
            <v>X</v>
          </cell>
          <cell r="J252" t="str">
            <v>X</v>
          </cell>
          <cell r="K252" t="str">
            <v>+</v>
          </cell>
          <cell r="L252" t="str">
            <v>X</v>
          </cell>
          <cell r="M252" t="str">
            <v>X</v>
          </cell>
          <cell r="N252" t="str">
            <v>X</v>
          </cell>
          <cell r="O252" t="str">
            <v>-</v>
          </cell>
        </row>
        <row r="253">
          <cell r="A253">
            <v>63512100</v>
          </cell>
          <cell r="B253" t="str">
            <v>Hutsepot rookworst 500g DMC</v>
          </cell>
          <cell r="C253" t="str">
            <v>-</v>
          </cell>
          <cell r="D253" t="str">
            <v>X</v>
          </cell>
          <cell r="E253" t="str">
            <v>-</v>
          </cell>
          <cell r="F253" t="str">
            <v>-</v>
          </cell>
          <cell r="G253" t="str">
            <v>X</v>
          </cell>
          <cell r="H253" t="str">
            <v>X</v>
          </cell>
          <cell r="I253" t="str">
            <v>-</v>
          </cell>
          <cell r="J253" t="str">
            <v>-</v>
          </cell>
          <cell r="K253" t="str">
            <v>+</v>
          </cell>
          <cell r="L253" t="str">
            <v>-</v>
          </cell>
          <cell r="M253" t="str">
            <v>X</v>
          </cell>
          <cell r="N253" t="str">
            <v>-</v>
          </cell>
          <cell r="O253" t="str">
            <v>-</v>
          </cell>
        </row>
        <row r="254">
          <cell r="A254">
            <v>63512200</v>
          </cell>
          <cell r="B254" t="str">
            <v xml:space="preserve">Koolvis hollandaisesaus preiroom kriel 555g DMC </v>
          </cell>
          <cell r="C254" t="str">
            <v>-</v>
          </cell>
          <cell r="D254" t="str">
            <v>-</v>
          </cell>
          <cell r="E254" t="str">
            <v>-</v>
          </cell>
          <cell r="F254" t="str">
            <v>-</v>
          </cell>
          <cell r="G254" t="str">
            <v>+</v>
          </cell>
          <cell r="H254" t="str">
            <v>-</v>
          </cell>
          <cell r="I254" t="str">
            <v>-</v>
          </cell>
          <cell r="J254" t="str">
            <v>-</v>
          </cell>
          <cell r="K254" t="str">
            <v>+</v>
          </cell>
          <cell r="L254" t="str">
            <v>-</v>
          </cell>
          <cell r="M254" t="str">
            <v>-</v>
          </cell>
          <cell r="N254" t="str">
            <v>+</v>
          </cell>
          <cell r="O254" t="str">
            <v>-</v>
          </cell>
        </row>
        <row r="255">
          <cell r="A255">
            <v>63512300</v>
          </cell>
          <cell r="B255" t="str">
            <v>Kabeljauw garn.bieslook saus puree venkel en tomaat 550g DMC</v>
          </cell>
          <cell r="C255" t="str">
            <v>-</v>
          </cell>
          <cell r="D255" t="str">
            <v>-</v>
          </cell>
          <cell r="E255" t="str">
            <v>+</v>
          </cell>
          <cell r="F255" t="str">
            <v>-</v>
          </cell>
          <cell r="G255" t="str">
            <v>+</v>
          </cell>
          <cell r="H255" t="str">
            <v>X</v>
          </cell>
          <cell r="I255" t="str">
            <v>-</v>
          </cell>
          <cell r="J255" t="str">
            <v>+</v>
          </cell>
          <cell r="K255" t="str">
            <v>+</v>
          </cell>
          <cell r="L255" t="str">
            <v>-</v>
          </cell>
          <cell r="M255" t="str">
            <v>-</v>
          </cell>
          <cell r="N255" t="str">
            <v>+</v>
          </cell>
          <cell r="O255" t="str">
            <v>X</v>
          </cell>
        </row>
        <row r="256">
          <cell r="A256">
            <v>63513000</v>
          </cell>
          <cell r="B256" t="str">
            <v xml:space="preserve">Kabeljauwfilet kreeftensaus spinazie koolrabi 500g DMC </v>
          </cell>
          <cell r="C256" t="str">
            <v>-</v>
          </cell>
          <cell r="D256" t="str">
            <v>-</v>
          </cell>
          <cell r="E256" t="str">
            <v>+</v>
          </cell>
          <cell r="F256" t="str">
            <v>X</v>
          </cell>
          <cell r="G256" t="str">
            <v>+</v>
          </cell>
          <cell r="H256" t="str">
            <v>X</v>
          </cell>
          <cell r="I256" t="str">
            <v>-</v>
          </cell>
          <cell r="J256" t="str">
            <v>+</v>
          </cell>
          <cell r="K256" t="str">
            <v>+</v>
          </cell>
          <cell r="L256" t="str">
            <v>-</v>
          </cell>
          <cell r="M256" t="str">
            <v>X</v>
          </cell>
          <cell r="N256" t="str">
            <v>+</v>
          </cell>
          <cell r="O256" t="str">
            <v>X</v>
          </cell>
        </row>
        <row r="257">
          <cell r="A257">
            <v>63513200</v>
          </cell>
          <cell r="B257" t="str">
            <v>Kalkoen bordelaise parijse wortelen aard peters 540g DMC</v>
          </cell>
          <cell r="C257" t="str">
            <v>-</v>
          </cell>
          <cell r="D257" t="str">
            <v>X</v>
          </cell>
          <cell r="E257" t="str">
            <v>+</v>
          </cell>
          <cell r="F257" t="str">
            <v>X</v>
          </cell>
          <cell r="G257" t="str">
            <v>-</v>
          </cell>
          <cell r="H257" t="str">
            <v>X</v>
          </cell>
          <cell r="I257" t="str">
            <v>-</v>
          </cell>
          <cell r="J257" t="str">
            <v>-</v>
          </cell>
          <cell r="K257" t="str">
            <v>-</v>
          </cell>
          <cell r="L257" t="str">
            <v>-</v>
          </cell>
          <cell r="M257" t="str">
            <v>X</v>
          </cell>
          <cell r="N257" t="str">
            <v>-</v>
          </cell>
          <cell r="O257" t="str">
            <v>-</v>
          </cell>
        </row>
        <row r="258">
          <cell r="A258">
            <v>63513400</v>
          </cell>
          <cell r="B258" t="str">
            <v>Balletjes Luikse saus sperziebonen bieslookpuree 520g DMC</v>
          </cell>
          <cell r="C258" t="str">
            <v>-</v>
          </cell>
          <cell r="D258" t="str">
            <v>+</v>
          </cell>
          <cell r="E258" t="str">
            <v>X</v>
          </cell>
          <cell r="F258" t="str">
            <v>-</v>
          </cell>
          <cell r="G258" t="str">
            <v>+</v>
          </cell>
          <cell r="H258" t="str">
            <v>X</v>
          </cell>
          <cell r="I258" t="str">
            <v>X</v>
          </cell>
          <cell r="J258" t="str">
            <v>X</v>
          </cell>
          <cell r="K258" t="str">
            <v>+</v>
          </cell>
          <cell r="L258" t="str">
            <v>-</v>
          </cell>
          <cell r="M258" t="str">
            <v>X</v>
          </cell>
          <cell r="N258" t="str">
            <v>X</v>
          </cell>
          <cell r="O258" t="str">
            <v>X</v>
          </cell>
        </row>
        <row r="259">
          <cell r="A259">
            <v>63513600</v>
          </cell>
          <cell r="B259" t="str">
            <v>Gentse waterzooi 500g DMC</v>
          </cell>
          <cell r="C259" t="str">
            <v>-</v>
          </cell>
          <cell r="D259" t="str">
            <v>X</v>
          </cell>
          <cell r="E259" t="str">
            <v>+</v>
          </cell>
          <cell r="F259" t="str">
            <v>X</v>
          </cell>
          <cell r="G259" t="str">
            <v>+</v>
          </cell>
          <cell r="H259" t="str">
            <v>X</v>
          </cell>
          <cell r="I259" t="str">
            <v>-</v>
          </cell>
          <cell r="J259" t="str">
            <v>-</v>
          </cell>
          <cell r="K259" t="str">
            <v>+</v>
          </cell>
          <cell r="L259" t="str">
            <v>-</v>
          </cell>
          <cell r="M259" t="str">
            <v>X</v>
          </cell>
          <cell r="N259" t="str">
            <v>-</v>
          </cell>
          <cell r="O259" t="str">
            <v>-</v>
          </cell>
        </row>
        <row r="260">
          <cell r="A260">
            <v>63514800</v>
          </cell>
          <cell r="B260" t="str">
            <v>Varkensgebraad italiaanse saus gebakken aardappel 510g DMC</v>
          </cell>
          <cell r="C260" t="str">
            <v>-</v>
          </cell>
          <cell r="D260" t="str">
            <v>X</v>
          </cell>
          <cell r="E260" t="str">
            <v>X</v>
          </cell>
          <cell r="F260" t="str">
            <v>-</v>
          </cell>
          <cell r="G260" t="str">
            <v>+</v>
          </cell>
          <cell r="H260" t="str">
            <v>X</v>
          </cell>
          <cell r="I260" t="str">
            <v>X</v>
          </cell>
          <cell r="J260" t="str">
            <v>X</v>
          </cell>
          <cell r="K260" t="str">
            <v>X</v>
          </cell>
          <cell r="L260" t="str">
            <v>-</v>
          </cell>
          <cell r="M260" t="str">
            <v>X</v>
          </cell>
          <cell r="N260" t="str">
            <v>X</v>
          </cell>
          <cell r="O260" t="str">
            <v>X</v>
          </cell>
        </row>
        <row r="261">
          <cell r="A261">
            <v>63515100</v>
          </cell>
          <cell r="B261" t="str">
            <v>Varkensmedaillon blackwell bloemkool frieten 510g DMC</v>
          </cell>
          <cell r="C261" t="str">
            <v>-</v>
          </cell>
          <cell r="D261" t="str">
            <v>X</v>
          </cell>
          <cell r="E261" t="str">
            <v>+</v>
          </cell>
          <cell r="F261" t="str">
            <v>X</v>
          </cell>
          <cell r="G261" t="str">
            <v>+</v>
          </cell>
          <cell r="H261" t="str">
            <v>+</v>
          </cell>
          <cell r="I261" t="str">
            <v>X</v>
          </cell>
          <cell r="J261" t="str">
            <v>X</v>
          </cell>
          <cell r="K261" t="str">
            <v>+</v>
          </cell>
          <cell r="L261" t="str">
            <v>-</v>
          </cell>
          <cell r="M261" t="str">
            <v>X</v>
          </cell>
          <cell r="N261" t="str">
            <v>X</v>
          </cell>
          <cell r="O261" t="str">
            <v>X</v>
          </cell>
        </row>
        <row r="262">
          <cell r="A262">
            <v>63515200</v>
          </cell>
          <cell r="B262" t="str">
            <v>Rundsvlees stroganoff snijbonen kriel 500g DMC</v>
          </cell>
          <cell r="C262" t="str">
            <v>-</v>
          </cell>
          <cell r="D262" t="str">
            <v>X</v>
          </cell>
          <cell r="E262" t="str">
            <v>X</v>
          </cell>
          <cell r="F262" t="str">
            <v>-</v>
          </cell>
          <cell r="G262" t="str">
            <v>+</v>
          </cell>
          <cell r="H262" t="str">
            <v>X</v>
          </cell>
          <cell r="I262" t="str">
            <v>-</v>
          </cell>
          <cell r="J262" t="str">
            <v>-</v>
          </cell>
          <cell r="K262" t="str">
            <v>-</v>
          </cell>
          <cell r="L262" t="str">
            <v>-</v>
          </cell>
          <cell r="M262" t="str">
            <v>X</v>
          </cell>
          <cell r="N262" t="str">
            <v>-</v>
          </cell>
          <cell r="O262" t="str">
            <v>-</v>
          </cell>
        </row>
        <row r="263">
          <cell r="A263">
            <v>63515300</v>
          </cell>
          <cell r="B263" t="str">
            <v>Tagliatelle met kip en bospaddestoelen 515g DMC</v>
          </cell>
          <cell r="C263" t="str">
            <v>-</v>
          </cell>
          <cell r="D263" t="str">
            <v>+</v>
          </cell>
          <cell r="E263" t="str">
            <v>+</v>
          </cell>
          <cell r="F263" t="str">
            <v>X</v>
          </cell>
          <cell r="G263" t="str">
            <v>+</v>
          </cell>
          <cell r="H263" t="str">
            <v>X</v>
          </cell>
          <cell r="I263" t="str">
            <v>-</v>
          </cell>
          <cell r="J263" t="str">
            <v>-</v>
          </cell>
          <cell r="K263" t="str">
            <v>+</v>
          </cell>
          <cell r="L263" t="str">
            <v>-</v>
          </cell>
          <cell r="M263" t="str">
            <v>X</v>
          </cell>
          <cell r="N263" t="str">
            <v>-</v>
          </cell>
          <cell r="O263" t="str">
            <v>-</v>
          </cell>
        </row>
        <row r="264">
          <cell r="A264">
            <v>63515500</v>
          </cell>
          <cell r="B264" t="str">
            <v>Penne vier kazen saus met spinazie en tomaatjes 500g DMC</v>
          </cell>
          <cell r="C264" t="str">
            <v>-</v>
          </cell>
          <cell r="D264" t="str">
            <v>X</v>
          </cell>
          <cell r="E264" t="str">
            <v>+</v>
          </cell>
          <cell r="F264" t="str">
            <v>X</v>
          </cell>
          <cell r="G264" t="str">
            <v>+</v>
          </cell>
          <cell r="H264" t="str">
            <v>X</v>
          </cell>
          <cell r="I264" t="str">
            <v>-</v>
          </cell>
          <cell r="J264" t="str">
            <v>-</v>
          </cell>
          <cell r="K264" t="str">
            <v>+</v>
          </cell>
          <cell r="L264" t="str">
            <v>-</v>
          </cell>
          <cell r="M264" t="str">
            <v>X</v>
          </cell>
          <cell r="N264" t="str">
            <v>-</v>
          </cell>
          <cell r="O264" t="str">
            <v>-</v>
          </cell>
        </row>
        <row r="265">
          <cell r="A265">
            <v>63515600</v>
          </cell>
          <cell r="B265" t="str">
            <v>Spaghetti Carbonara 550g DMC</v>
          </cell>
          <cell r="C265" t="str">
            <v>-</v>
          </cell>
          <cell r="D265" t="str">
            <v>X</v>
          </cell>
          <cell r="E265" t="str">
            <v>+</v>
          </cell>
          <cell r="F265" t="str">
            <v>X</v>
          </cell>
          <cell r="G265" t="str">
            <v>+</v>
          </cell>
          <cell r="H265" t="str">
            <v>X</v>
          </cell>
          <cell r="I265" t="str">
            <v>-</v>
          </cell>
          <cell r="J265" t="str">
            <v>-</v>
          </cell>
          <cell r="K265" t="str">
            <v>-</v>
          </cell>
          <cell r="L265" t="str">
            <v>-</v>
          </cell>
          <cell r="M265" t="str">
            <v>X</v>
          </cell>
          <cell r="N265" t="str">
            <v>-</v>
          </cell>
          <cell r="O265" t="str">
            <v>-</v>
          </cell>
        </row>
        <row r="266">
          <cell r="A266">
            <v>63515900</v>
          </cell>
          <cell r="B266" t="str">
            <v>Gehaktschotel worteltjes 525g DMC</v>
          </cell>
          <cell r="C266" t="str">
            <v>-</v>
          </cell>
          <cell r="D266" t="str">
            <v>+</v>
          </cell>
          <cell r="E266" t="str">
            <v>-</v>
          </cell>
          <cell r="F266" t="str">
            <v>-</v>
          </cell>
          <cell r="G266" t="str">
            <v>+</v>
          </cell>
          <cell r="H266" t="str">
            <v>-</v>
          </cell>
          <cell r="I266" t="str">
            <v>-</v>
          </cell>
          <cell r="J266" t="str">
            <v>-</v>
          </cell>
          <cell r="K266" t="str">
            <v>+</v>
          </cell>
          <cell r="L266" t="str">
            <v>-</v>
          </cell>
          <cell r="M266" t="str">
            <v>-</v>
          </cell>
          <cell r="N266" t="str">
            <v>-</v>
          </cell>
          <cell r="O266" t="str">
            <v>-</v>
          </cell>
        </row>
        <row r="267">
          <cell r="A267">
            <v>63516200</v>
          </cell>
          <cell r="B267" t="str">
            <v>Heek pompoensaus suikererwt/spinazie geb kriel 500g DMC</v>
          </cell>
          <cell r="C267" t="str">
            <v>-</v>
          </cell>
          <cell r="D267" t="str">
            <v>-</v>
          </cell>
          <cell r="E267" t="str">
            <v>+</v>
          </cell>
          <cell r="F267" t="str">
            <v>X</v>
          </cell>
          <cell r="G267" t="str">
            <v>+</v>
          </cell>
          <cell r="H267" t="str">
            <v>X</v>
          </cell>
          <cell r="I267" t="str">
            <v>-</v>
          </cell>
          <cell r="J267" t="str">
            <v>-</v>
          </cell>
          <cell r="K267" t="str">
            <v>+</v>
          </cell>
          <cell r="L267" t="str">
            <v>-</v>
          </cell>
          <cell r="M267" t="str">
            <v>X</v>
          </cell>
          <cell r="N267" t="str">
            <v>+</v>
          </cell>
          <cell r="O267" t="str">
            <v>-</v>
          </cell>
        </row>
        <row r="268">
          <cell r="A268">
            <v>63516300</v>
          </cell>
          <cell r="B268" t="str">
            <v>Heek tomaat kruidenkaassaus broc bloemkool puree 500g DMC</v>
          </cell>
          <cell r="C268" t="str">
            <v>-</v>
          </cell>
          <cell r="D268" t="str">
            <v>+</v>
          </cell>
          <cell r="E268" t="str">
            <v>+</v>
          </cell>
          <cell r="F268" t="str">
            <v>X</v>
          </cell>
          <cell r="G268" t="str">
            <v>+</v>
          </cell>
          <cell r="H268" t="str">
            <v>X</v>
          </cell>
          <cell r="I268" t="str">
            <v>-</v>
          </cell>
          <cell r="J268" t="str">
            <v>-</v>
          </cell>
          <cell r="K268" t="str">
            <v>+</v>
          </cell>
          <cell r="L268" t="str">
            <v>-</v>
          </cell>
          <cell r="M268" t="str">
            <v>X</v>
          </cell>
          <cell r="N268" t="str">
            <v>+</v>
          </cell>
          <cell r="O268" t="str">
            <v>-</v>
          </cell>
        </row>
        <row r="269">
          <cell r="A269">
            <v>63516400</v>
          </cell>
          <cell r="B269" t="str">
            <v>Zalmfilet dillesaus parijse wortel kriel 520g DMC</v>
          </cell>
          <cell r="C269" t="str">
            <v>-</v>
          </cell>
          <cell r="D269" t="str">
            <v>-</v>
          </cell>
          <cell r="E269" t="str">
            <v>+</v>
          </cell>
          <cell r="F269" t="str">
            <v>X</v>
          </cell>
          <cell r="G269" t="str">
            <v>+</v>
          </cell>
          <cell r="H269" t="str">
            <v>+</v>
          </cell>
          <cell r="I269" t="str">
            <v>-</v>
          </cell>
          <cell r="J269" t="str">
            <v>X</v>
          </cell>
          <cell r="K269" t="str">
            <v>+</v>
          </cell>
          <cell r="L269" t="str">
            <v>-</v>
          </cell>
          <cell r="M269" t="str">
            <v>X</v>
          </cell>
          <cell r="N269" t="str">
            <v>+</v>
          </cell>
          <cell r="O269" t="str">
            <v>X</v>
          </cell>
        </row>
        <row r="270">
          <cell r="A270">
            <v>63516600</v>
          </cell>
          <cell r="B270" t="str">
            <v>Varkensreepjes peperroomsaus erwten aard kubus 500g DMC</v>
          </cell>
          <cell r="C270" t="str">
            <v>-</v>
          </cell>
          <cell r="D270" t="str">
            <v>X</v>
          </cell>
          <cell r="E270" t="str">
            <v>+</v>
          </cell>
          <cell r="F270" t="str">
            <v>-</v>
          </cell>
          <cell r="G270" t="str">
            <v>+</v>
          </cell>
          <cell r="H270" t="str">
            <v>X</v>
          </cell>
          <cell r="I270" t="str">
            <v>-</v>
          </cell>
          <cell r="J270" t="str">
            <v>-</v>
          </cell>
          <cell r="K270" t="str">
            <v>X</v>
          </cell>
          <cell r="L270" t="str">
            <v>-</v>
          </cell>
          <cell r="M270" t="str">
            <v>X</v>
          </cell>
          <cell r="N270" t="str">
            <v>-</v>
          </cell>
          <cell r="O270" t="str">
            <v>-</v>
          </cell>
        </row>
        <row r="271">
          <cell r="A271">
            <v>63516700</v>
          </cell>
          <cell r="B271" t="str">
            <v>Runderlapje bearnaise bloemkool rosti 480g DMC</v>
          </cell>
          <cell r="C271" t="str">
            <v>-</v>
          </cell>
          <cell r="D271" t="str">
            <v>X</v>
          </cell>
          <cell r="E271" t="str">
            <v>+</v>
          </cell>
          <cell r="F271" t="str">
            <v>X</v>
          </cell>
          <cell r="G271" t="str">
            <v>+</v>
          </cell>
          <cell r="H271" t="str">
            <v>X</v>
          </cell>
          <cell r="I271" t="str">
            <v>-</v>
          </cell>
          <cell r="J271" t="str">
            <v>-</v>
          </cell>
          <cell r="K271" t="str">
            <v>+</v>
          </cell>
          <cell r="L271" t="str">
            <v>-</v>
          </cell>
          <cell r="M271" t="str">
            <v>X</v>
          </cell>
          <cell r="N271" t="str">
            <v>-</v>
          </cell>
          <cell r="O271" t="str">
            <v>-</v>
          </cell>
        </row>
        <row r="272">
          <cell r="A272">
            <v>63516800</v>
          </cell>
          <cell r="B272" t="str">
            <v>Runderstoofschotel rode kool puree 500g DMC</v>
          </cell>
          <cell r="C272" t="str">
            <v>-</v>
          </cell>
          <cell r="D272" t="str">
            <v>+</v>
          </cell>
          <cell r="E272" t="str">
            <v>X</v>
          </cell>
          <cell r="F272" t="str">
            <v>-</v>
          </cell>
          <cell r="G272" t="str">
            <v>+</v>
          </cell>
          <cell r="H272" t="str">
            <v>X</v>
          </cell>
          <cell r="I272" t="str">
            <v>-</v>
          </cell>
          <cell r="J272" t="str">
            <v>-</v>
          </cell>
          <cell r="K272" t="str">
            <v>+</v>
          </cell>
          <cell r="L272" t="str">
            <v>-</v>
          </cell>
          <cell r="M272" t="str">
            <v>X</v>
          </cell>
          <cell r="N272" t="str">
            <v>-</v>
          </cell>
          <cell r="O272" t="str">
            <v>-</v>
          </cell>
        </row>
        <row r="273">
          <cell r="A273">
            <v>63516900</v>
          </cell>
          <cell r="B273" t="str">
            <v>Witte pens appelmoes puree 510g DMC</v>
          </cell>
          <cell r="C273" t="str">
            <v>-</v>
          </cell>
          <cell r="D273" t="str">
            <v>+</v>
          </cell>
          <cell r="E273" t="str">
            <v>+</v>
          </cell>
          <cell r="F273" t="str">
            <v>-</v>
          </cell>
          <cell r="G273" t="str">
            <v>+</v>
          </cell>
          <cell r="H273" t="str">
            <v>+</v>
          </cell>
          <cell r="I273" t="str">
            <v>-</v>
          </cell>
          <cell r="J273" t="str">
            <v>-</v>
          </cell>
          <cell r="K273" t="str">
            <v>+</v>
          </cell>
          <cell r="L273" t="str">
            <v>-</v>
          </cell>
          <cell r="M273" t="str">
            <v>+</v>
          </cell>
          <cell r="N273" t="str">
            <v>-</v>
          </cell>
          <cell r="O273" t="str">
            <v>-</v>
          </cell>
        </row>
        <row r="274">
          <cell r="A274">
            <v>63517000</v>
          </cell>
          <cell r="B274" t="str">
            <v>Vleesbroodje uiensaus witte bonen tomatensaus puree 540g DMC</v>
          </cell>
          <cell r="C274" t="str">
            <v>-</v>
          </cell>
          <cell r="D274" t="str">
            <v>+</v>
          </cell>
          <cell r="E274" t="str">
            <v>+</v>
          </cell>
          <cell r="F274" t="str">
            <v>-</v>
          </cell>
          <cell r="G274" t="str">
            <v>+</v>
          </cell>
          <cell r="H274" t="str">
            <v>X</v>
          </cell>
          <cell r="I274" t="str">
            <v>-</v>
          </cell>
          <cell r="J274" t="str">
            <v>-</v>
          </cell>
          <cell r="K274" t="str">
            <v>+</v>
          </cell>
          <cell r="L274" t="str">
            <v>-</v>
          </cell>
          <cell r="M274" t="str">
            <v>+</v>
          </cell>
          <cell r="N274" t="str">
            <v>-</v>
          </cell>
          <cell r="O274" t="str">
            <v>-</v>
          </cell>
        </row>
        <row r="275">
          <cell r="A275">
            <v>63517100</v>
          </cell>
          <cell r="B275" t="str">
            <v>Kalkoenroulade witloofsaus mini kroketten 410g DMC</v>
          </cell>
          <cell r="C275" t="str">
            <v>-</v>
          </cell>
          <cell r="D275" t="str">
            <v>X</v>
          </cell>
          <cell r="E275" t="str">
            <v>+</v>
          </cell>
          <cell r="F275" t="str">
            <v>X</v>
          </cell>
          <cell r="G275" t="str">
            <v>+</v>
          </cell>
          <cell r="H275" t="str">
            <v>X</v>
          </cell>
          <cell r="I275" t="str">
            <v>-</v>
          </cell>
          <cell r="J275" t="str">
            <v>-</v>
          </cell>
          <cell r="K275" t="str">
            <v>X</v>
          </cell>
          <cell r="L275" t="str">
            <v>-</v>
          </cell>
          <cell r="M275" t="str">
            <v>X</v>
          </cell>
          <cell r="N275" t="str">
            <v>-</v>
          </cell>
          <cell r="O275" t="str">
            <v>-</v>
          </cell>
        </row>
        <row r="276">
          <cell r="A276">
            <v>63517500</v>
          </cell>
          <cell r="B276" t="str">
            <v>Gebakken vis wedges en groene groenten 500g DMC</v>
          </cell>
          <cell r="C276" t="str">
            <v>-</v>
          </cell>
          <cell r="D276" t="str">
            <v>-</v>
          </cell>
          <cell r="E276" t="str">
            <v>+</v>
          </cell>
          <cell r="F276" t="str">
            <v>-</v>
          </cell>
          <cell r="G276" t="str">
            <v>+</v>
          </cell>
          <cell r="H276" t="str">
            <v>-</v>
          </cell>
          <cell r="I276" t="str">
            <v>-</v>
          </cell>
          <cell r="J276" t="str">
            <v>-</v>
          </cell>
          <cell r="K276" t="str">
            <v>+</v>
          </cell>
          <cell r="L276" t="str">
            <v>-</v>
          </cell>
          <cell r="M276" t="str">
            <v>-</v>
          </cell>
          <cell r="N276" t="str">
            <v>+</v>
          </cell>
          <cell r="O276" t="str">
            <v>-</v>
          </cell>
        </row>
        <row r="277">
          <cell r="A277">
            <v>63517600</v>
          </cell>
          <cell r="B277" t="str">
            <v>Varkensstoofvlees bloemkool kriel 550g DMC</v>
          </cell>
          <cell r="C277" t="str">
            <v>-</v>
          </cell>
          <cell r="D277" t="str">
            <v>-</v>
          </cell>
          <cell r="E277" t="str">
            <v>-</v>
          </cell>
          <cell r="F277" t="str">
            <v>-</v>
          </cell>
          <cell r="G277" t="str">
            <v>+</v>
          </cell>
          <cell r="H277" t="str">
            <v>-</v>
          </cell>
          <cell r="I277" t="str">
            <v>-</v>
          </cell>
          <cell r="J277" t="str">
            <v>-</v>
          </cell>
          <cell r="K277" t="str">
            <v>-</v>
          </cell>
          <cell r="L277" t="str">
            <v>-</v>
          </cell>
          <cell r="M277" t="str">
            <v>-</v>
          </cell>
          <cell r="N277" t="str">
            <v>-</v>
          </cell>
          <cell r="O277" t="str">
            <v>-</v>
          </cell>
        </row>
        <row r="278">
          <cell r="A278">
            <v>63517700</v>
          </cell>
          <cell r="B278" t="str">
            <v>Runderrollade vleesjus jonge wortel gekookte aard 480g DMC</v>
          </cell>
          <cell r="C278" t="str">
            <v>X</v>
          </cell>
          <cell r="D278" t="str">
            <v>X</v>
          </cell>
          <cell r="E278" t="str">
            <v>+</v>
          </cell>
          <cell r="F278" t="str">
            <v>X</v>
          </cell>
          <cell r="G278" t="str">
            <v>X</v>
          </cell>
          <cell r="H278" t="str">
            <v>X</v>
          </cell>
          <cell r="I278" t="str">
            <v>X</v>
          </cell>
          <cell r="J278" t="str">
            <v>X</v>
          </cell>
          <cell r="K278" t="str">
            <v>X</v>
          </cell>
          <cell r="L278" t="str">
            <v>X</v>
          </cell>
          <cell r="M278" t="str">
            <v>X</v>
          </cell>
          <cell r="N278" t="str">
            <v>X</v>
          </cell>
          <cell r="O278" t="str">
            <v>-</v>
          </cell>
        </row>
        <row r="279">
          <cell r="A279">
            <v>63517800</v>
          </cell>
          <cell r="B279" t="str">
            <v>Kip peperroomsaus groentenmix krielaardappelen 500g DMC</v>
          </cell>
          <cell r="C279" t="str">
            <v>-</v>
          </cell>
          <cell r="D279" t="str">
            <v>X</v>
          </cell>
          <cell r="E279" t="str">
            <v>-</v>
          </cell>
          <cell r="F279" t="str">
            <v>-</v>
          </cell>
          <cell r="G279" t="str">
            <v>+</v>
          </cell>
          <cell r="H279" t="str">
            <v>-</v>
          </cell>
          <cell r="I279" t="str">
            <v>-</v>
          </cell>
          <cell r="J279" t="str">
            <v>-</v>
          </cell>
          <cell r="K279" t="str">
            <v>-</v>
          </cell>
          <cell r="L279" t="str">
            <v>-</v>
          </cell>
          <cell r="M279" t="str">
            <v>-</v>
          </cell>
          <cell r="N279" t="str">
            <v>-</v>
          </cell>
          <cell r="O279" t="str">
            <v>-</v>
          </cell>
        </row>
        <row r="280">
          <cell r="A280">
            <v>63517900</v>
          </cell>
          <cell r="B280" t="str">
            <v>Kip zwarte peper sojasaus noedels 500g DMC</v>
          </cell>
          <cell r="C280" t="str">
            <v>-</v>
          </cell>
          <cell r="D280" t="str">
            <v>+</v>
          </cell>
          <cell r="E280" t="str">
            <v>+</v>
          </cell>
          <cell r="F280" t="str">
            <v>X</v>
          </cell>
          <cell r="G280" t="str">
            <v>-</v>
          </cell>
          <cell r="H280" t="str">
            <v>X</v>
          </cell>
          <cell r="I280" t="str">
            <v>-</v>
          </cell>
          <cell r="J280" t="str">
            <v>-</v>
          </cell>
          <cell r="K280" t="str">
            <v>+</v>
          </cell>
          <cell r="L280" t="str">
            <v>-</v>
          </cell>
          <cell r="M280" t="str">
            <v>+</v>
          </cell>
          <cell r="N280" t="str">
            <v>+</v>
          </cell>
          <cell r="O280" t="str">
            <v>-</v>
          </cell>
        </row>
        <row r="281">
          <cell r="A281">
            <v>63518000</v>
          </cell>
          <cell r="B281" t="str">
            <v>Stoofvlees varkenswang gestoofde appel wedges 525g DMC</v>
          </cell>
          <cell r="C281" t="str">
            <v>-</v>
          </cell>
          <cell r="D281" t="str">
            <v>-</v>
          </cell>
          <cell r="E281" t="str">
            <v>+</v>
          </cell>
          <cell r="F281" t="str">
            <v>X</v>
          </cell>
          <cell r="G281" t="str">
            <v>+</v>
          </cell>
          <cell r="H281" t="str">
            <v>X</v>
          </cell>
          <cell r="I281" t="str">
            <v>-</v>
          </cell>
          <cell r="J281" t="str">
            <v>-</v>
          </cell>
          <cell r="K281" t="str">
            <v>-</v>
          </cell>
          <cell r="L281" t="str">
            <v>-</v>
          </cell>
          <cell r="M281" t="str">
            <v>X</v>
          </cell>
          <cell r="N281" t="str">
            <v>-</v>
          </cell>
          <cell r="O281" t="str">
            <v>-</v>
          </cell>
        </row>
        <row r="282">
          <cell r="A282">
            <v>63518100</v>
          </cell>
          <cell r="B282" t="str">
            <v>Visgratin Pollak snijbonen puree 550g DMC</v>
          </cell>
          <cell r="C282" t="str">
            <v>-</v>
          </cell>
          <cell r="D282" t="str">
            <v>+</v>
          </cell>
          <cell r="E282" t="str">
            <v>-</v>
          </cell>
          <cell r="F282" t="str">
            <v>-</v>
          </cell>
          <cell r="G282" t="str">
            <v>+</v>
          </cell>
          <cell r="H282" t="str">
            <v>-</v>
          </cell>
          <cell r="I282" t="str">
            <v>-</v>
          </cell>
          <cell r="J282" t="str">
            <v>X</v>
          </cell>
          <cell r="K282" t="str">
            <v>-</v>
          </cell>
          <cell r="L282" t="str">
            <v>-</v>
          </cell>
          <cell r="M282" t="str">
            <v>-</v>
          </cell>
          <cell r="N282" t="str">
            <v>+</v>
          </cell>
          <cell r="O282" t="str">
            <v>X</v>
          </cell>
        </row>
        <row r="283">
          <cell r="A283">
            <v>63518200</v>
          </cell>
          <cell r="B283" t="str">
            <v>Mexicaanse ovenschotel 500g DMC</v>
          </cell>
          <cell r="C283" t="str">
            <v>-</v>
          </cell>
          <cell r="D283" t="str">
            <v>-</v>
          </cell>
          <cell r="E283" t="str">
            <v>-</v>
          </cell>
          <cell r="F283" t="str">
            <v>-</v>
          </cell>
          <cell r="G283" t="str">
            <v>+</v>
          </cell>
          <cell r="H283" t="str">
            <v>-</v>
          </cell>
          <cell r="I283" t="str">
            <v>-</v>
          </cell>
          <cell r="J283" t="str">
            <v>-</v>
          </cell>
          <cell r="K283" t="str">
            <v>-</v>
          </cell>
          <cell r="L283" t="str">
            <v>-</v>
          </cell>
          <cell r="M283" t="str">
            <v>-</v>
          </cell>
          <cell r="N283" t="str">
            <v>-</v>
          </cell>
          <cell r="O283" t="str">
            <v>-</v>
          </cell>
        </row>
        <row r="284">
          <cell r="A284">
            <v>63518300</v>
          </cell>
          <cell r="B284" t="str">
            <v>Kip thaise rode curry rijstmix sambal bonen 520g DMC</v>
          </cell>
          <cell r="C284" t="str">
            <v>-</v>
          </cell>
          <cell r="D284" t="str">
            <v>-</v>
          </cell>
          <cell r="E284" t="str">
            <v>-</v>
          </cell>
          <cell r="F284" t="str">
            <v>-</v>
          </cell>
          <cell r="G284" t="str">
            <v>-</v>
          </cell>
          <cell r="H284" t="str">
            <v>-</v>
          </cell>
          <cell r="I284" t="str">
            <v>-</v>
          </cell>
          <cell r="J284" t="str">
            <v>-</v>
          </cell>
          <cell r="K284" t="str">
            <v>+</v>
          </cell>
          <cell r="L284" t="str">
            <v>+</v>
          </cell>
          <cell r="M284" t="str">
            <v>+</v>
          </cell>
          <cell r="N284" t="str">
            <v>-</v>
          </cell>
          <cell r="O284" t="str">
            <v>-</v>
          </cell>
        </row>
        <row r="285">
          <cell r="A285">
            <v>63518400</v>
          </cell>
          <cell r="B285" t="str">
            <v>Linguine scampi gele curry kerstomaatjes 525g DMC</v>
          </cell>
          <cell r="C285" t="str">
            <v>-</v>
          </cell>
          <cell r="D285" t="str">
            <v>X</v>
          </cell>
          <cell r="E285" t="str">
            <v>+</v>
          </cell>
          <cell r="F285" t="str">
            <v>X</v>
          </cell>
          <cell r="G285" t="str">
            <v>+</v>
          </cell>
          <cell r="H285" t="str">
            <v>X</v>
          </cell>
          <cell r="I285" t="str">
            <v>-</v>
          </cell>
          <cell r="J285" t="str">
            <v>+</v>
          </cell>
          <cell r="K285" t="str">
            <v>-</v>
          </cell>
          <cell r="L285" t="str">
            <v>-</v>
          </cell>
          <cell r="M285" t="str">
            <v>X</v>
          </cell>
          <cell r="N285" t="str">
            <v>+</v>
          </cell>
          <cell r="O285" t="str">
            <v>X</v>
          </cell>
        </row>
        <row r="286">
          <cell r="A286">
            <v>63518500</v>
          </cell>
          <cell r="B286" t="str">
            <v>Rundgoulash aardappelnootjes wortel courgette 500g DMC</v>
          </cell>
          <cell r="C286" t="str">
            <v>-</v>
          </cell>
          <cell r="D286" t="str">
            <v>X</v>
          </cell>
          <cell r="E286" t="str">
            <v>+</v>
          </cell>
          <cell r="F286" t="str">
            <v>-</v>
          </cell>
          <cell r="G286" t="str">
            <v>X</v>
          </cell>
          <cell r="H286" t="str">
            <v>X</v>
          </cell>
          <cell r="I286" t="str">
            <v>-</v>
          </cell>
          <cell r="J286" t="str">
            <v>-</v>
          </cell>
          <cell r="K286" t="str">
            <v>X</v>
          </cell>
          <cell r="L286" t="str">
            <v>-</v>
          </cell>
          <cell r="M286" t="str">
            <v>X</v>
          </cell>
          <cell r="N286" t="str">
            <v>-</v>
          </cell>
          <cell r="O286" t="str">
            <v>-</v>
          </cell>
        </row>
        <row r="287">
          <cell r="A287">
            <v>63518700</v>
          </cell>
          <cell r="B287" t="str">
            <v>Linguini puttanesca kabeljauw 500g DMC</v>
          </cell>
          <cell r="C287" t="str">
            <v>-</v>
          </cell>
          <cell r="D287" t="str">
            <v>X</v>
          </cell>
          <cell r="E287" t="str">
            <v>+</v>
          </cell>
          <cell r="F287" t="str">
            <v>X</v>
          </cell>
          <cell r="G287" t="str">
            <v>-</v>
          </cell>
          <cell r="H287" t="str">
            <v>X</v>
          </cell>
          <cell r="I287" t="str">
            <v>-</v>
          </cell>
          <cell r="J287" t="str">
            <v>-</v>
          </cell>
          <cell r="K287" t="str">
            <v>-</v>
          </cell>
          <cell r="L287" t="str">
            <v>-</v>
          </cell>
          <cell r="M287" t="str">
            <v>X</v>
          </cell>
          <cell r="N287" t="str">
            <v>+</v>
          </cell>
          <cell r="O287" t="str">
            <v>-</v>
          </cell>
        </row>
        <row r="288">
          <cell r="A288">
            <v>63518800</v>
          </cell>
          <cell r="B288" t="str">
            <v>Vissticks, spinaziestamppot, tartaartomaatsaus 490g DMC</v>
          </cell>
          <cell r="C288" t="str">
            <v>-</v>
          </cell>
          <cell r="D288" t="str">
            <v>-</v>
          </cell>
          <cell r="E288" t="str">
            <v>+</v>
          </cell>
          <cell r="F288" t="str">
            <v>X</v>
          </cell>
          <cell r="G288" t="str">
            <v>+</v>
          </cell>
          <cell r="H288" t="str">
            <v>+</v>
          </cell>
          <cell r="I288" t="str">
            <v>-</v>
          </cell>
          <cell r="J288" t="str">
            <v>-</v>
          </cell>
          <cell r="K288" t="str">
            <v>+</v>
          </cell>
          <cell r="L288" t="str">
            <v>-</v>
          </cell>
          <cell r="M288" t="str">
            <v>X</v>
          </cell>
          <cell r="N288" t="str">
            <v>+</v>
          </cell>
          <cell r="O288" t="str">
            <v>-</v>
          </cell>
        </row>
        <row r="289">
          <cell r="A289">
            <v>63518900</v>
          </cell>
          <cell r="B289" t="str">
            <v>American Mac &amp; Cheese 550g DMC</v>
          </cell>
          <cell r="C289" t="str">
            <v>-</v>
          </cell>
          <cell r="D289" t="str">
            <v>+</v>
          </cell>
          <cell r="E289" t="str">
            <v>+</v>
          </cell>
          <cell r="F289" t="str">
            <v>X</v>
          </cell>
          <cell r="G289" t="str">
            <v>+</v>
          </cell>
          <cell r="H289" t="str">
            <v>X</v>
          </cell>
          <cell r="I289" t="str">
            <v>-</v>
          </cell>
          <cell r="J289" t="str">
            <v>-</v>
          </cell>
          <cell r="K289" t="str">
            <v>+</v>
          </cell>
          <cell r="L289" t="str">
            <v>-</v>
          </cell>
          <cell r="M289" t="str">
            <v>X</v>
          </cell>
          <cell r="N289" t="str">
            <v>-</v>
          </cell>
          <cell r="O289" t="str">
            <v>-</v>
          </cell>
        </row>
        <row r="290">
          <cell r="A290">
            <v>63519000</v>
          </cell>
          <cell r="B290" t="str">
            <v>Kipfilet peperroomsaus geb aard geglaceerde wortel 500g DMC</v>
          </cell>
          <cell r="C290" t="str">
            <v>-</v>
          </cell>
          <cell r="D290" t="str">
            <v>X</v>
          </cell>
          <cell r="E290" t="str">
            <v>-</v>
          </cell>
          <cell r="F290" t="str">
            <v>-</v>
          </cell>
          <cell r="G290" t="str">
            <v>+</v>
          </cell>
          <cell r="H290" t="str">
            <v>-</v>
          </cell>
          <cell r="I290" t="str">
            <v>-</v>
          </cell>
          <cell r="J290" t="str">
            <v>-</v>
          </cell>
          <cell r="K290" t="str">
            <v>-</v>
          </cell>
          <cell r="L290" t="str">
            <v>-</v>
          </cell>
          <cell r="M290" t="str">
            <v>-</v>
          </cell>
          <cell r="N290" t="str">
            <v>-</v>
          </cell>
          <cell r="O290" t="str">
            <v>-</v>
          </cell>
        </row>
        <row r="291">
          <cell r="A291">
            <v>63519100</v>
          </cell>
          <cell r="B291" t="str">
            <v>Geroosterde kip romige kokos &amp; limoensaus pasta 500g DMC</v>
          </cell>
          <cell r="C291" t="str">
            <v>-</v>
          </cell>
          <cell r="D291" t="str">
            <v>+</v>
          </cell>
          <cell r="E291" t="str">
            <v>+</v>
          </cell>
          <cell r="F291" t="str">
            <v>X</v>
          </cell>
          <cell r="G291" t="str">
            <v>+</v>
          </cell>
          <cell r="H291" t="str">
            <v>X</v>
          </cell>
          <cell r="I291" t="str">
            <v>-</v>
          </cell>
          <cell r="J291" t="str">
            <v>-</v>
          </cell>
          <cell r="K291" t="str">
            <v>-</v>
          </cell>
          <cell r="L291" t="str">
            <v>-</v>
          </cell>
          <cell r="M291" t="str">
            <v>+</v>
          </cell>
          <cell r="N291" t="str">
            <v>+</v>
          </cell>
          <cell r="O291" t="str">
            <v>-</v>
          </cell>
        </row>
        <row r="292">
          <cell r="A292">
            <v>63519200</v>
          </cell>
          <cell r="B292" t="str">
            <v>Risotto kip boschampignon groentenmix 500g DMC</v>
          </cell>
          <cell r="C292" t="str">
            <v>-</v>
          </cell>
          <cell r="D292" t="str">
            <v>-</v>
          </cell>
          <cell r="E292" t="str">
            <v>X</v>
          </cell>
          <cell r="F292" t="str">
            <v>-</v>
          </cell>
          <cell r="G292" t="str">
            <v>+</v>
          </cell>
          <cell r="H292" t="str">
            <v>X</v>
          </cell>
          <cell r="I292" t="str">
            <v>-</v>
          </cell>
          <cell r="J292" t="str">
            <v>-</v>
          </cell>
          <cell r="K292" t="str">
            <v>X</v>
          </cell>
          <cell r="L292" t="str">
            <v>-</v>
          </cell>
          <cell r="M292" t="str">
            <v>-</v>
          </cell>
          <cell r="N292" t="str">
            <v>-</v>
          </cell>
          <cell r="O292" t="str">
            <v>-</v>
          </cell>
        </row>
        <row r="293">
          <cell r="A293">
            <v>63540100</v>
          </cell>
          <cell r="B293" t="str">
            <v>Rundstong Madeira 500g DMC Piet</v>
          </cell>
          <cell r="C293" t="str">
            <v>-</v>
          </cell>
          <cell r="D293" t="str">
            <v>+</v>
          </cell>
          <cell r="E293" t="str">
            <v>+</v>
          </cell>
          <cell r="F293" t="str">
            <v>X</v>
          </cell>
          <cell r="G293" t="str">
            <v>+</v>
          </cell>
          <cell r="H293" t="str">
            <v>X</v>
          </cell>
          <cell r="I293" t="str">
            <v>-</v>
          </cell>
          <cell r="J293" t="str">
            <v>-</v>
          </cell>
          <cell r="K293" t="str">
            <v>-</v>
          </cell>
          <cell r="L293" t="str">
            <v>-</v>
          </cell>
          <cell r="M293" t="str">
            <v>X</v>
          </cell>
          <cell r="N293" t="str">
            <v>-</v>
          </cell>
          <cell r="O293" t="str">
            <v>-</v>
          </cell>
        </row>
        <row r="294">
          <cell r="A294">
            <v>63540200</v>
          </cell>
          <cell r="B294" t="str">
            <v>Wortelstamppot boerenbraadwost 500g DMC Piet</v>
          </cell>
          <cell r="C294" t="str">
            <v>-</v>
          </cell>
          <cell r="D294" t="str">
            <v>+</v>
          </cell>
          <cell r="E294" t="str">
            <v>+</v>
          </cell>
          <cell r="F294" t="str">
            <v>X</v>
          </cell>
          <cell r="G294" t="str">
            <v>+</v>
          </cell>
          <cell r="H294" t="str">
            <v>+</v>
          </cell>
          <cell r="I294" t="str">
            <v>-</v>
          </cell>
          <cell r="J294" t="str">
            <v>-</v>
          </cell>
          <cell r="K294" t="str">
            <v>+</v>
          </cell>
          <cell r="L294" t="str">
            <v>-</v>
          </cell>
          <cell r="M294" t="str">
            <v>X</v>
          </cell>
          <cell r="N294" t="str">
            <v>-</v>
          </cell>
          <cell r="O294" t="str">
            <v>-</v>
          </cell>
        </row>
        <row r="295">
          <cell r="A295">
            <v>63540300</v>
          </cell>
          <cell r="B295" t="str">
            <v>Kipfilet archiduc gebakken krielen 500g DMC Piet</v>
          </cell>
          <cell r="C295" t="str">
            <v>-</v>
          </cell>
          <cell r="D295" t="str">
            <v>X</v>
          </cell>
          <cell r="E295" t="str">
            <v>+</v>
          </cell>
          <cell r="F295" t="str">
            <v>X</v>
          </cell>
          <cell r="G295" t="str">
            <v>+</v>
          </cell>
          <cell r="H295" t="str">
            <v>X</v>
          </cell>
          <cell r="I295" t="str">
            <v>-</v>
          </cell>
          <cell r="J295" t="str">
            <v>-</v>
          </cell>
          <cell r="K295" t="str">
            <v>-</v>
          </cell>
          <cell r="L295" t="str">
            <v>-</v>
          </cell>
          <cell r="M295" t="str">
            <v>X</v>
          </cell>
          <cell r="N295" t="str">
            <v>-</v>
          </cell>
          <cell r="O295" t="str">
            <v>-</v>
          </cell>
        </row>
        <row r="296">
          <cell r="A296">
            <v>63540400</v>
          </cell>
          <cell r="B296" t="str">
            <v>Varkenswangen gestoofde appel puree 500g DMC Piet</v>
          </cell>
          <cell r="C296" t="str">
            <v>-</v>
          </cell>
          <cell r="D296" t="str">
            <v>+</v>
          </cell>
          <cell r="E296" t="str">
            <v>+</v>
          </cell>
          <cell r="F296" t="str">
            <v>X</v>
          </cell>
          <cell r="G296" t="str">
            <v>+</v>
          </cell>
          <cell r="H296" t="str">
            <v>X</v>
          </cell>
          <cell r="I296" t="str">
            <v>-</v>
          </cell>
          <cell r="J296" t="str">
            <v>-</v>
          </cell>
          <cell r="K296" t="str">
            <v>-</v>
          </cell>
          <cell r="L296" t="str">
            <v>-</v>
          </cell>
          <cell r="M296" t="str">
            <v>X</v>
          </cell>
          <cell r="N296" t="str">
            <v>-</v>
          </cell>
          <cell r="O296" t="str">
            <v>-</v>
          </cell>
        </row>
        <row r="297">
          <cell r="A297">
            <v>63540500</v>
          </cell>
          <cell r="B297" t="str">
            <v>Lamsnavarin aspgerges gratin dauphinois 500g DMC Piet</v>
          </cell>
          <cell r="C297" t="str">
            <v>-</v>
          </cell>
          <cell r="D297" t="str">
            <v>X</v>
          </cell>
          <cell r="E297" t="str">
            <v>+</v>
          </cell>
          <cell r="F297" t="str">
            <v>X</v>
          </cell>
          <cell r="G297" t="str">
            <v>+</v>
          </cell>
          <cell r="H297" t="str">
            <v>X</v>
          </cell>
          <cell r="I297" t="str">
            <v>-</v>
          </cell>
          <cell r="J297" t="str">
            <v>-</v>
          </cell>
          <cell r="K297" t="str">
            <v>X</v>
          </cell>
          <cell r="L297" t="str">
            <v>-</v>
          </cell>
          <cell r="M297" t="str">
            <v>X</v>
          </cell>
          <cell r="N297" t="str">
            <v>-</v>
          </cell>
          <cell r="O297" t="str">
            <v>-</v>
          </cell>
        </row>
        <row r="298">
          <cell r="A298">
            <v>63540600</v>
          </cell>
          <cell r="B298" t="str">
            <v>Linguini Carbonara 500g DMC Piet</v>
          </cell>
          <cell r="C298" t="str">
            <v>-</v>
          </cell>
          <cell r="D298" t="str">
            <v>+</v>
          </cell>
          <cell r="E298" t="str">
            <v>+</v>
          </cell>
          <cell r="F298" t="str">
            <v>X</v>
          </cell>
          <cell r="G298" t="str">
            <v>+</v>
          </cell>
          <cell r="H298" t="str">
            <v>X</v>
          </cell>
          <cell r="I298" t="str">
            <v>-</v>
          </cell>
          <cell r="J298" t="str">
            <v>-</v>
          </cell>
          <cell r="K298" t="str">
            <v>-</v>
          </cell>
          <cell r="L298" t="str">
            <v>-</v>
          </cell>
          <cell r="M298" t="str">
            <v>X</v>
          </cell>
          <cell r="N298" t="str">
            <v>-</v>
          </cell>
          <cell r="O298" t="str">
            <v>-</v>
          </cell>
        </row>
        <row r="299">
          <cell r="A299">
            <v>63540700</v>
          </cell>
          <cell r="B299" t="str">
            <v>Kalfsblanket oude wijze 500g DMC Piet</v>
          </cell>
          <cell r="C299" t="str">
            <v>-</v>
          </cell>
          <cell r="D299" t="str">
            <v>X</v>
          </cell>
          <cell r="E299" t="str">
            <v>+</v>
          </cell>
          <cell r="F299" t="str">
            <v>X</v>
          </cell>
          <cell r="G299" t="str">
            <v>+</v>
          </cell>
          <cell r="H299" t="str">
            <v>X</v>
          </cell>
          <cell r="I299" t="str">
            <v>-</v>
          </cell>
          <cell r="J299" t="str">
            <v>-</v>
          </cell>
          <cell r="K299" t="str">
            <v>X</v>
          </cell>
          <cell r="L299" t="str">
            <v>-</v>
          </cell>
          <cell r="M299" t="str">
            <v>+</v>
          </cell>
          <cell r="N299" t="str">
            <v>-</v>
          </cell>
          <cell r="O299" t="str">
            <v>-</v>
          </cell>
        </row>
        <row r="300">
          <cell r="A300">
            <v>63540800</v>
          </cell>
          <cell r="B300" t="str">
            <v>Waterzooi van vis 500g DMC Piet</v>
          </cell>
          <cell r="C300" t="str">
            <v>-</v>
          </cell>
          <cell r="D300" t="str">
            <v>-</v>
          </cell>
          <cell r="E300" t="str">
            <v>-</v>
          </cell>
          <cell r="F300" t="str">
            <v>-</v>
          </cell>
          <cell r="G300" t="str">
            <v>+</v>
          </cell>
          <cell r="H300" t="str">
            <v>-</v>
          </cell>
          <cell r="I300" t="str">
            <v>-</v>
          </cell>
          <cell r="J300" t="str">
            <v>+</v>
          </cell>
          <cell r="K300" t="str">
            <v>X</v>
          </cell>
          <cell r="L300" t="str">
            <v>-</v>
          </cell>
          <cell r="M300" t="str">
            <v>-</v>
          </cell>
          <cell r="N300" t="str">
            <v>+</v>
          </cell>
          <cell r="O300" t="str">
            <v>+</v>
          </cell>
        </row>
        <row r="301">
          <cell r="A301">
            <v>63540900</v>
          </cell>
          <cell r="B301" t="str">
            <v>Spaghetti bolognaise 500g DMC Piet</v>
          </cell>
          <cell r="C301" t="str">
            <v>-</v>
          </cell>
          <cell r="D301" t="str">
            <v>X</v>
          </cell>
          <cell r="E301" t="str">
            <v>+</v>
          </cell>
          <cell r="F301" t="str">
            <v>X</v>
          </cell>
          <cell r="G301" t="str">
            <v>+</v>
          </cell>
          <cell r="H301" t="str">
            <v>X</v>
          </cell>
          <cell r="I301" t="str">
            <v>-</v>
          </cell>
          <cell r="J301" t="str">
            <v>-</v>
          </cell>
          <cell r="K301" t="str">
            <v>+</v>
          </cell>
          <cell r="L301" t="str">
            <v>-</v>
          </cell>
          <cell r="M301" t="str">
            <v>X</v>
          </cell>
          <cell r="N301" t="str">
            <v>-</v>
          </cell>
          <cell r="O301" t="str">
            <v>-</v>
          </cell>
        </row>
        <row r="302">
          <cell r="A302">
            <v>63541000</v>
          </cell>
          <cell r="B302" t="str">
            <v>Kippenbout rode wijnsaus krielaardappel met schil 500g DMC P</v>
          </cell>
          <cell r="C302" t="str">
            <v>-</v>
          </cell>
          <cell r="D302" t="str">
            <v>X</v>
          </cell>
          <cell r="E302" t="str">
            <v>+</v>
          </cell>
          <cell r="F302" t="str">
            <v>X</v>
          </cell>
          <cell r="G302" t="str">
            <v>+</v>
          </cell>
          <cell r="H302" t="str">
            <v>X</v>
          </cell>
          <cell r="I302" t="str">
            <v>-</v>
          </cell>
          <cell r="J302" t="str">
            <v>-</v>
          </cell>
          <cell r="K302" t="str">
            <v>+</v>
          </cell>
          <cell r="L302" t="str">
            <v>-</v>
          </cell>
          <cell r="M302" t="str">
            <v>X</v>
          </cell>
          <cell r="N302" t="str">
            <v>-</v>
          </cell>
          <cell r="O302" t="str">
            <v>-</v>
          </cell>
        </row>
        <row r="303">
          <cell r="A303">
            <v>63541100</v>
          </cell>
          <cell r="B303" t="str">
            <v>Kabeljauw Dugléré spinazie peperoni écrassée 500g DMC Piet</v>
          </cell>
          <cell r="C303" t="str">
            <v>-</v>
          </cell>
          <cell r="D303" t="str">
            <v>-</v>
          </cell>
          <cell r="E303" t="str">
            <v>+</v>
          </cell>
          <cell r="F303" t="str">
            <v>X</v>
          </cell>
          <cell r="G303" t="str">
            <v>+</v>
          </cell>
          <cell r="H303" t="str">
            <v>X</v>
          </cell>
          <cell r="I303" t="str">
            <v>-</v>
          </cell>
          <cell r="J303" t="str">
            <v>+</v>
          </cell>
          <cell r="K303" t="str">
            <v>-</v>
          </cell>
          <cell r="L303" t="str">
            <v>-</v>
          </cell>
          <cell r="M303" t="str">
            <v>X</v>
          </cell>
          <cell r="N303" t="str">
            <v>+</v>
          </cell>
          <cell r="O303" t="str">
            <v>X</v>
          </cell>
        </row>
        <row r="304">
          <cell r="A304">
            <v>63550900</v>
          </cell>
          <cell r="B304" t="str">
            <v>Hert bordelaise spruiten knolselderpuree 500g DMC EDJ</v>
          </cell>
          <cell r="C304" t="str">
            <v>-</v>
          </cell>
          <cell r="D304" t="str">
            <v>-</v>
          </cell>
          <cell r="E304" t="str">
            <v>+</v>
          </cell>
          <cell r="F304" t="str">
            <v>X</v>
          </cell>
          <cell r="G304" t="str">
            <v>+</v>
          </cell>
          <cell r="H304" t="str">
            <v>X</v>
          </cell>
          <cell r="I304" t="str">
            <v>-</v>
          </cell>
          <cell r="J304" t="str">
            <v>-</v>
          </cell>
          <cell r="K304" t="str">
            <v>+</v>
          </cell>
          <cell r="L304" t="str">
            <v>-</v>
          </cell>
          <cell r="M304" t="str">
            <v>X</v>
          </cell>
          <cell r="N304" t="str">
            <v>-</v>
          </cell>
          <cell r="O304" t="str">
            <v>-</v>
          </cell>
        </row>
        <row r="305">
          <cell r="A305">
            <v>63551000</v>
          </cell>
          <cell r="B305" t="str">
            <v>Kalkoen truffelsaus aardappelpotje spek broccol 500g DMC EDJ</v>
          </cell>
          <cell r="C305" t="str">
            <v>-</v>
          </cell>
          <cell r="D305" t="str">
            <v>+</v>
          </cell>
          <cell r="E305" t="str">
            <v>+</v>
          </cell>
          <cell r="F305" t="str">
            <v>X</v>
          </cell>
          <cell r="G305" t="str">
            <v>+</v>
          </cell>
          <cell r="H305" t="str">
            <v>X</v>
          </cell>
          <cell r="I305" t="str">
            <v>-</v>
          </cell>
          <cell r="J305" t="str">
            <v>-</v>
          </cell>
          <cell r="K305" t="str">
            <v>+</v>
          </cell>
          <cell r="L305" t="str">
            <v>-</v>
          </cell>
          <cell r="M305" t="str">
            <v>X</v>
          </cell>
          <cell r="N305" t="str">
            <v>-</v>
          </cell>
          <cell r="O305" t="str">
            <v>-</v>
          </cell>
        </row>
        <row r="306">
          <cell r="A306">
            <v>63551100</v>
          </cell>
          <cell r="B306" t="str">
            <v>Vispannetje geplette aardappel selderij, wortel 525g DMC EDJ</v>
          </cell>
          <cell r="C306" t="str">
            <v>-</v>
          </cell>
          <cell r="D306" t="str">
            <v>-</v>
          </cell>
          <cell r="E306" t="str">
            <v>+</v>
          </cell>
          <cell r="F306" t="str">
            <v>-</v>
          </cell>
          <cell r="G306" t="str">
            <v>+</v>
          </cell>
          <cell r="H306" t="str">
            <v>X</v>
          </cell>
          <cell r="I306" t="str">
            <v>-</v>
          </cell>
          <cell r="J306" t="str">
            <v>+</v>
          </cell>
          <cell r="K306" t="str">
            <v>+</v>
          </cell>
          <cell r="L306" t="str">
            <v>-</v>
          </cell>
          <cell r="M306" t="str">
            <v>-</v>
          </cell>
          <cell r="N306" t="str">
            <v>+</v>
          </cell>
          <cell r="O306" t="str">
            <v>X</v>
          </cell>
        </row>
        <row r="307">
          <cell r="A307">
            <v>63551200</v>
          </cell>
          <cell r="B307" t="str">
            <v>Hert grand veneur knolselderpuree groene bonen spek 500g DMC</v>
          </cell>
          <cell r="C307" t="str">
            <v>-</v>
          </cell>
          <cell r="D307" t="str">
            <v>-</v>
          </cell>
          <cell r="E307" t="str">
            <v>+</v>
          </cell>
          <cell r="F307" t="str">
            <v>X</v>
          </cell>
          <cell r="G307" t="str">
            <v>+</v>
          </cell>
          <cell r="H307" t="str">
            <v>X</v>
          </cell>
          <cell r="I307" t="str">
            <v>-</v>
          </cell>
          <cell r="J307" t="str">
            <v>-</v>
          </cell>
          <cell r="K307" t="str">
            <v>+</v>
          </cell>
          <cell r="L307" t="str">
            <v>-</v>
          </cell>
          <cell r="M307" t="str">
            <v>X</v>
          </cell>
          <cell r="N307" t="str">
            <v>-</v>
          </cell>
          <cell r="O307" t="str">
            <v>-</v>
          </cell>
        </row>
        <row r="308">
          <cell r="A308">
            <v>63551300</v>
          </cell>
          <cell r="B308" t="str">
            <v xml:space="preserve">Kabeljauwfilet noilly prat groentemix puree knol 500g DMC </v>
          </cell>
          <cell r="C308" t="str">
            <v>-</v>
          </cell>
          <cell r="D308" t="str">
            <v>-</v>
          </cell>
          <cell r="E308" t="str">
            <v>+</v>
          </cell>
          <cell r="F308" t="str">
            <v>X</v>
          </cell>
          <cell r="G308" t="str">
            <v>+</v>
          </cell>
          <cell r="H308" t="str">
            <v>X</v>
          </cell>
          <cell r="I308" t="str">
            <v>-</v>
          </cell>
          <cell r="J308" t="str">
            <v>X</v>
          </cell>
          <cell r="K308" t="str">
            <v>+</v>
          </cell>
          <cell r="L308" t="str">
            <v>-</v>
          </cell>
          <cell r="M308" t="str">
            <v>X</v>
          </cell>
          <cell r="N308" t="str">
            <v>+</v>
          </cell>
          <cell r="O308" t="str">
            <v>X</v>
          </cell>
        </row>
        <row r="309">
          <cell r="A309">
            <v>63551400</v>
          </cell>
          <cell r="B309" t="str">
            <v>Kalkoen sinaasappel rozemarijn geb kriel wortelmix 500g DMC</v>
          </cell>
          <cell r="C309" t="str">
            <v>-</v>
          </cell>
          <cell r="D309" t="str">
            <v>X</v>
          </cell>
          <cell r="E309" t="str">
            <v>-</v>
          </cell>
          <cell r="F309" t="str">
            <v>-</v>
          </cell>
          <cell r="G309" t="str">
            <v>+</v>
          </cell>
          <cell r="H309" t="str">
            <v>-</v>
          </cell>
          <cell r="I309" t="str">
            <v>-</v>
          </cell>
          <cell r="J309" t="str">
            <v>-</v>
          </cell>
          <cell r="K309" t="str">
            <v>-</v>
          </cell>
          <cell r="L309" t="str">
            <v>-</v>
          </cell>
          <cell r="M309" t="str">
            <v>-</v>
          </cell>
          <cell r="N309" t="str">
            <v>-</v>
          </cell>
          <cell r="O309" t="str">
            <v>-</v>
          </cell>
        </row>
        <row r="310">
          <cell r="A310">
            <v>63551500</v>
          </cell>
          <cell r="B310" t="str">
            <v>Hertenstoofpot appel veenbes puree pompoen 500g EDJ DMC</v>
          </cell>
          <cell r="C310" t="str">
            <v>-</v>
          </cell>
          <cell r="D310" t="str">
            <v>-</v>
          </cell>
          <cell r="E310" t="str">
            <v>+</v>
          </cell>
          <cell r="F310" t="str">
            <v>X</v>
          </cell>
          <cell r="G310" t="str">
            <v>+</v>
          </cell>
          <cell r="H310" t="str">
            <v>X</v>
          </cell>
          <cell r="I310" t="str">
            <v>-</v>
          </cell>
          <cell r="J310" t="str">
            <v>-</v>
          </cell>
          <cell r="K310" t="str">
            <v>-</v>
          </cell>
          <cell r="L310" t="str">
            <v>-</v>
          </cell>
          <cell r="M310" t="str">
            <v>X</v>
          </cell>
          <cell r="N310" t="str">
            <v>-</v>
          </cell>
          <cell r="O310" t="str">
            <v>-</v>
          </cell>
        </row>
        <row r="311">
          <cell r="A311">
            <v>63551600</v>
          </cell>
          <cell r="B311" t="str">
            <v>Kabeljauw boter-citroensaus geb kriel 500g DMC</v>
          </cell>
          <cell r="C311" t="str">
            <v>-</v>
          </cell>
          <cell r="D311" t="str">
            <v>X</v>
          </cell>
          <cell r="E311" t="str">
            <v>+</v>
          </cell>
          <cell r="F311" t="str">
            <v>X</v>
          </cell>
          <cell r="G311" t="str">
            <v>+</v>
          </cell>
          <cell r="H311" t="str">
            <v>X</v>
          </cell>
          <cell r="I311" t="str">
            <v>-</v>
          </cell>
          <cell r="J311" t="str">
            <v>-</v>
          </cell>
          <cell r="K311" t="str">
            <v>-</v>
          </cell>
          <cell r="L311" t="str">
            <v>-</v>
          </cell>
          <cell r="M311" t="str">
            <v>X</v>
          </cell>
          <cell r="N311" t="str">
            <v>+</v>
          </cell>
          <cell r="O311" t="str">
            <v>-</v>
          </cell>
        </row>
        <row r="312">
          <cell r="A312">
            <v>63551700</v>
          </cell>
          <cell r="B312" t="str">
            <v xml:space="preserve">Kalkoenfilet fine Champ, wortel, rösti 500g EDJ DMC </v>
          </cell>
          <cell r="C312" t="str">
            <v>-</v>
          </cell>
          <cell r="D312" t="str">
            <v>X</v>
          </cell>
          <cell r="E312" t="str">
            <v>+</v>
          </cell>
          <cell r="F312" t="str">
            <v>X</v>
          </cell>
          <cell r="G312" t="str">
            <v>+</v>
          </cell>
          <cell r="H312" t="str">
            <v>X</v>
          </cell>
          <cell r="I312" t="str">
            <v>-</v>
          </cell>
          <cell r="J312" t="str">
            <v>-</v>
          </cell>
          <cell r="K312" t="str">
            <v>-</v>
          </cell>
          <cell r="L312" t="str">
            <v>-</v>
          </cell>
          <cell r="M312" t="str">
            <v>X</v>
          </cell>
          <cell r="N312" t="str">
            <v>-</v>
          </cell>
          <cell r="O312" t="str">
            <v>-</v>
          </cell>
        </row>
        <row r="313">
          <cell r="A313">
            <v>63551800</v>
          </cell>
          <cell r="B313" t="str">
            <v>Hert grand veneur stoofpeer knolselderpuree 500g DMC</v>
          </cell>
          <cell r="C313" t="str">
            <v>-</v>
          </cell>
          <cell r="D313" t="str">
            <v>-</v>
          </cell>
          <cell r="E313" t="str">
            <v>+</v>
          </cell>
          <cell r="F313" t="str">
            <v>X</v>
          </cell>
          <cell r="G313" t="str">
            <v>+</v>
          </cell>
          <cell r="H313" t="str">
            <v>X</v>
          </cell>
          <cell r="I313" t="str">
            <v>-</v>
          </cell>
          <cell r="J313" t="str">
            <v>-</v>
          </cell>
          <cell r="K313" t="str">
            <v>+</v>
          </cell>
          <cell r="L313" t="str">
            <v>-</v>
          </cell>
          <cell r="M313" t="str">
            <v>X</v>
          </cell>
          <cell r="N313" t="str">
            <v>-</v>
          </cell>
          <cell r="O313" t="str">
            <v>-</v>
          </cell>
        </row>
        <row r="314">
          <cell r="A314">
            <v>63551900</v>
          </cell>
          <cell r="B314" t="str">
            <v>Zalm kreeftensaus spinazie gebakken aard. 500g DMC</v>
          </cell>
          <cell r="C314" t="str">
            <v>-</v>
          </cell>
          <cell r="D314" t="str">
            <v>-</v>
          </cell>
          <cell r="E314" t="str">
            <v>+</v>
          </cell>
          <cell r="F314" t="str">
            <v>X</v>
          </cell>
          <cell r="G314" t="str">
            <v>+</v>
          </cell>
          <cell r="H314" t="str">
            <v>X</v>
          </cell>
          <cell r="I314" t="str">
            <v>-</v>
          </cell>
          <cell r="J314" t="str">
            <v>+</v>
          </cell>
          <cell r="K314" t="str">
            <v>+</v>
          </cell>
          <cell r="L314" t="str">
            <v>-</v>
          </cell>
          <cell r="M314" t="str">
            <v>X</v>
          </cell>
          <cell r="N314" t="str">
            <v>+</v>
          </cell>
          <cell r="O314" t="str">
            <v>X</v>
          </cell>
        </row>
        <row r="315">
          <cell r="A315">
            <v>63552000</v>
          </cell>
          <cell r="B315" t="str">
            <v>Kalkoenfilet truffelsaus wortel rosti 500g DMC</v>
          </cell>
          <cell r="C315" t="str">
            <v>-</v>
          </cell>
          <cell r="D315" t="str">
            <v>X</v>
          </cell>
          <cell r="E315" t="str">
            <v>+</v>
          </cell>
          <cell r="F315" t="str">
            <v>X</v>
          </cell>
          <cell r="G315" t="str">
            <v>+</v>
          </cell>
          <cell r="H315" t="str">
            <v>X</v>
          </cell>
          <cell r="I315" t="str">
            <v>-</v>
          </cell>
          <cell r="J315" t="str">
            <v>-</v>
          </cell>
          <cell r="K315" t="str">
            <v>-</v>
          </cell>
          <cell r="L315" t="str">
            <v>-</v>
          </cell>
          <cell r="M315" t="str">
            <v>X</v>
          </cell>
          <cell r="N315" t="str">
            <v>-</v>
          </cell>
          <cell r="O315" t="str">
            <v>-</v>
          </cell>
        </row>
        <row r="316">
          <cell r="A316">
            <v>63552100</v>
          </cell>
          <cell r="B316" t="str">
            <v>Kabaljauw kreeftensaus spinazie puree 540g DMC</v>
          </cell>
          <cell r="C316" t="str">
            <v>-</v>
          </cell>
          <cell r="D316" t="str">
            <v>+</v>
          </cell>
          <cell r="E316" t="str">
            <v>+</v>
          </cell>
          <cell r="F316" t="str">
            <v>X</v>
          </cell>
          <cell r="G316" t="str">
            <v>+</v>
          </cell>
          <cell r="H316" t="str">
            <v>X</v>
          </cell>
          <cell r="I316" t="str">
            <v>-</v>
          </cell>
          <cell r="J316" t="str">
            <v>+</v>
          </cell>
          <cell r="K316" t="str">
            <v>+</v>
          </cell>
          <cell r="L316" t="str">
            <v>-</v>
          </cell>
          <cell r="M316" t="str">
            <v>X</v>
          </cell>
          <cell r="N316" t="str">
            <v>+</v>
          </cell>
          <cell r="O316" t="str">
            <v>X</v>
          </cell>
        </row>
        <row r="317">
          <cell r="A317">
            <v>63560100</v>
          </cell>
          <cell r="B317" t="str">
            <v>Omelet hollandaisesaus broccoli puree 500g DMC</v>
          </cell>
          <cell r="C317" t="str">
            <v>-</v>
          </cell>
          <cell r="D317" t="str">
            <v>+</v>
          </cell>
          <cell r="E317" t="str">
            <v>-</v>
          </cell>
          <cell r="F317" t="str">
            <v>-</v>
          </cell>
          <cell r="G317" t="str">
            <v>+</v>
          </cell>
          <cell r="H317" t="str">
            <v>-</v>
          </cell>
          <cell r="I317" t="str">
            <v>-</v>
          </cell>
          <cell r="J317" t="str">
            <v>-</v>
          </cell>
          <cell r="K317" t="str">
            <v>+</v>
          </cell>
          <cell r="L317" t="str">
            <v>-</v>
          </cell>
          <cell r="M317" t="str">
            <v>-</v>
          </cell>
          <cell r="N317" t="str">
            <v>-</v>
          </cell>
          <cell r="O317" t="str">
            <v>-</v>
          </cell>
        </row>
        <row r="318">
          <cell r="A318">
            <v>63560200</v>
          </cell>
          <cell r="B318" t="str">
            <v>Groenteburger prei gekookte aardappel 500g DMC</v>
          </cell>
          <cell r="C318" t="str">
            <v>-</v>
          </cell>
          <cell r="D318" t="str">
            <v>X</v>
          </cell>
          <cell r="E318" t="str">
            <v>+</v>
          </cell>
          <cell r="F318" t="str">
            <v>X</v>
          </cell>
          <cell r="G318" t="str">
            <v>+</v>
          </cell>
          <cell r="H318" t="str">
            <v>X</v>
          </cell>
          <cell r="I318" t="str">
            <v>-</v>
          </cell>
          <cell r="J318" t="str">
            <v>X</v>
          </cell>
          <cell r="K318" t="str">
            <v>+</v>
          </cell>
          <cell r="L318" t="str">
            <v>X</v>
          </cell>
          <cell r="M318" t="str">
            <v>+</v>
          </cell>
          <cell r="N318" t="str">
            <v>X</v>
          </cell>
          <cell r="O318" t="str">
            <v>-</v>
          </cell>
        </row>
        <row r="319">
          <cell r="A319">
            <v>63560300</v>
          </cell>
          <cell r="B319" t="str">
            <v>Lasagne met linzen tomaat en quorn 620g DMC</v>
          </cell>
          <cell r="C319" t="str">
            <v>-</v>
          </cell>
          <cell r="D319" t="str">
            <v>+</v>
          </cell>
          <cell r="E319" t="str">
            <v>+</v>
          </cell>
          <cell r="F319" t="str">
            <v>X</v>
          </cell>
          <cell r="G319" t="str">
            <v>+</v>
          </cell>
          <cell r="H319" t="str">
            <v>X</v>
          </cell>
          <cell r="I319" t="str">
            <v>-</v>
          </cell>
          <cell r="J319" t="str">
            <v>X</v>
          </cell>
          <cell r="K319" t="str">
            <v>X</v>
          </cell>
          <cell r="L319" t="str">
            <v>-</v>
          </cell>
          <cell r="M319" t="str">
            <v>X</v>
          </cell>
          <cell r="N319" t="str">
            <v>X</v>
          </cell>
          <cell r="O319" t="str">
            <v>-</v>
          </cell>
        </row>
        <row r="320">
          <cell r="A320">
            <v>63560400</v>
          </cell>
          <cell r="B320" t="str">
            <v>Bulgur met broccoli bloemkool geitenkaas 560g DMC</v>
          </cell>
          <cell r="C320" t="str">
            <v>-</v>
          </cell>
          <cell r="D320" t="str">
            <v>-</v>
          </cell>
          <cell r="E320" t="str">
            <v>+</v>
          </cell>
          <cell r="F320" t="str">
            <v>-</v>
          </cell>
          <cell r="G320" t="str">
            <v>+</v>
          </cell>
          <cell r="H320" t="str">
            <v>-</v>
          </cell>
          <cell r="I320" t="str">
            <v>-</v>
          </cell>
          <cell r="J320" t="str">
            <v>-</v>
          </cell>
          <cell r="K320" t="str">
            <v>-</v>
          </cell>
          <cell r="L320" t="str">
            <v>-</v>
          </cell>
          <cell r="M320" t="str">
            <v>X</v>
          </cell>
          <cell r="N320" t="str">
            <v>-</v>
          </cell>
          <cell r="O320" t="str">
            <v>-</v>
          </cell>
        </row>
        <row r="321">
          <cell r="A321">
            <v>63560600</v>
          </cell>
          <cell r="B321" t="str">
            <v>Groentenburger groene groenten wortelsaus bulgur 545g DMC</v>
          </cell>
          <cell r="C321" t="str">
            <v>-</v>
          </cell>
          <cell r="D321" t="str">
            <v>X</v>
          </cell>
          <cell r="E321" t="str">
            <v>+</v>
          </cell>
          <cell r="F321" t="str">
            <v>X</v>
          </cell>
          <cell r="G321" t="str">
            <v>+</v>
          </cell>
          <cell r="H321" t="str">
            <v>X</v>
          </cell>
          <cell r="I321" t="str">
            <v>-</v>
          </cell>
          <cell r="J321" t="str">
            <v>X</v>
          </cell>
          <cell r="K321" t="str">
            <v>X</v>
          </cell>
          <cell r="L321" t="str">
            <v>X</v>
          </cell>
          <cell r="M321" t="str">
            <v>X</v>
          </cell>
          <cell r="N321" t="str">
            <v>X</v>
          </cell>
          <cell r="O321" t="str">
            <v>-</v>
          </cell>
        </row>
        <row r="322">
          <cell r="A322">
            <v>63562600</v>
          </cell>
          <cell r="B322" t="str">
            <v>Veg balletjes Italiaanse saus volkoren pasta 500g DMC</v>
          </cell>
          <cell r="C322" t="str">
            <v>-</v>
          </cell>
          <cell r="D322" t="str">
            <v>X</v>
          </cell>
          <cell r="E322" t="str">
            <v>+</v>
          </cell>
          <cell r="F322" t="str">
            <v>X</v>
          </cell>
          <cell r="G322" t="str">
            <v>+</v>
          </cell>
          <cell r="H322" t="str">
            <v>X</v>
          </cell>
          <cell r="I322" t="str">
            <v>-</v>
          </cell>
          <cell r="J322" t="str">
            <v>X</v>
          </cell>
          <cell r="K322" t="str">
            <v>X</v>
          </cell>
          <cell r="L322" t="str">
            <v>-</v>
          </cell>
          <cell r="M322" t="str">
            <v>X</v>
          </cell>
          <cell r="N322" t="str">
            <v>X</v>
          </cell>
          <cell r="O322" t="str">
            <v>-</v>
          </cell>
        </row>
        <row r="323">
          <cell r="A323">
            <v>63562800</v>
          </cell>
          <cell r="B323" t="str">
            <v>Vegetarische spaghetti bolognaise 550g DMC</v>
          </cell>
          <cell r="C323" t="str">
            <v>-</v>
          </cell>
          <cell r="D323" t="str">
            <v>X</v>
          </cell>
          <cell r="E323" t="str">
            <v>+</v>
          </cell>
          <cell r="F323" t="str">
            <v>X</v>
          </cell>
          <cell r="G323" t="str">
            <v>X</v>
          </cell>
          <cell r="H323" t="str">
            <v>X</v>
          </cell>
          <cell r="I323" t="str">
            <v>-</v>
          </cell>
          <cell r="J323" t="str">
            <v>X</v>
          </cell>
          <cell r="K323" t="str">
            <v>+</v>
          </cell>
          <cell r="L323" t="str">
            <v>-</v>
          </cell>
          <cell r="M323" t="str">
            <v>+</v>
          </cell>
          <cell r="N323" t="str">
            <v>X</v>
          </cell>
          <cell r="O323" t="str">
            <v>-</v>
          </cell>
        </row>
        <row r="324">
          <cell r="A324">
            <v>63562900</v>
          </cell>
          <cell r="B324" t="str">
            <v>Risotto geitenkaas rode biet, doperwten en selderij 500g DMC</v>
          </cell>
          <cell r="C324" t="str">
            <v>-</v>
          </cell>
          <cell r="D324" t="str">
            <v>-</v>
          </cell>
          <cell r="E324" t="str">
            <v>+</v>
          </cell>
          <cell r="F324" t="str">
            <v>X</v>
          </cell>
          <cell r="G324" t="str">
            <v>+</v>
          </cell>
          <cell r="H324" t="str">
            <v>X</v>
          </cell>
          <cell r="I324" t="str">
            <v>-</v>
          </cell>
          <cell r="J324" t="str">
            <v>-</v>
          </cell>
          <cell r="K324" t="str">
            <v>+</v>
          </cell>
          <cell r="L324" t="str">
            <v>X</v>
          </cell>
          <cell r="M324" t="str">
            <v>X</v>
          </cell>
          <cell r="N324" t="str">
            <v>-</v>
          </cell>
          <cell r="O324" t="str">
            <v>-</v>
          </cell>
        </row>
        <row r="325">
          <cell r="A325">
            <v>63563000</v>
          </cell>
          <cell r="B325" t="str">
            <v>Veg citroen tajine zuiderse groenten couscous 500g DMC</v>
          </cell>
          <cell r="C325" t="str">
            <v>-</v>
          </cell>
          <cell r="D325" t="str">
            <v>-</v>
          </cell>
          <cell r="E325" t="str">
            <v>+</v>
          </cell>
          <cell r="F325" t="str">
            <v>X</v>
          </cell>
          <cell r="G325" t="str">
            <v>X</v>
          </cell>
          <cell r="H325" t="str">
            <v>X</v>
          </cell>
          <cell r="I325" t="str">
            <v>-</v>
          </cell>
          <cell r="J325" t="str">
            <v>-</v>
          </cell>
          <cell r="K325" t="str">
            <v>+</v>
          </cell>
          <cell r="L325" t="str">
            <v>-</v>
          </cell>
          <cell r="M325" t="str">
            <v>X</v>
          </cell>
          <cell r="N325" t="str">
            <v>-</v>
          </cell>
          <cell r="O325" t="str">
            <v>-</v>
          </cell>
        </row>
        <row r="326">
          <cell r="A326">
            <v>63563200</v>
          </cell>
          <cell r="B326" t="str">
            <v>Veg vol au veggie boschampignons puree 500g DMC</v>
          </cell>
          <cell r="C326" t="str">
            <v>-</v>
          </cell>
          <cell r="D326" t="str">
            <v>+</v>
          </cell>
          <cell r="E326" t="str">
            <v>+</v>
          </cell>
          <cell r="F326" t="str">
            <v>X</v>
          </cell>
          <cell r="G326" t="str">
            <v>+</v>
          </cell>
          <cell r="H326" t="str">
            <v>X</v>
          </cell>
          <cell r="I326" t="str">
            <v>-</v>
          </cell>
          <cell r="J326" t="str">
            <v>-</v>
          </cell>
          <cell r="K326" t="str">
            <v>-</v>
          </cell>
          <cell r="L326" t="str">
            <v>-</v>
          </cell>
          <cell r="M326" t="str">
            <v>+</v>
          </cell>
          <cell r="N326" t="str">
            <v>-</v>
          </cell>
          <cell r="O326" t="str">
            <v>-</v>
          </cell>
        </row>
        <row r="327">
          <cell r="A327">
            <v>63563300</v>
          </cell>
          <cell r="B327" t="str">
            <v>Veg tagliatelle carbonara rode biet spekjes 500g DMC</v>
          </cell>
          <cell r="C327" t="str">
            <v>-</v>
          </cell>
          <cell r="D327" t="str">
            <v>+</v>
          </cell>
          <cell r="E327" t="str">
            <v>+</v>
          </cell>
          <cell r="F327" t="str">
            <v>X</v>
          </cell>
          <cell r="G327" t="str">
            <v>+</v>
          </cell>
          <cell r="H327" t="str">
            <v>X</v>
          </cell>
          <cell r="I327" t="str">
            <v>-</v>
          </cell>
          <cell r="J327" t="str">
            <v>-</v>
          </cell>
          <cell r="K327" t="str">
            <v>-</v>
          </cell>
          <cell r="L327" t="str">
            <v>-</v>
          </cell>
          <cell r="M327" t="str">
            <v>X</v>
          </cell>
          <cell r="N327" t="str">
            <v>-</v>
          </cell>
          <cell r="O327" t="str">
            <v>-</v>
          </cell>
        </row>
        <row r="328">
          <cell r="A328">
            <v>63563400</v>
          </cell>
          <cell r="B328" t="str">
            <v>Veg thaise groene curry stamppot zoete aard wortel 500g DMC</v>
          </cell>
          <cell r="C328" t="str">
            <v>-</v>
          </cell>
          <cell r="D328" t="str">
            <v>-</v>
          </cell>
          <cell r="E328" t="str">
            <v>-</v>
          </cell>
          <cell r="F328" t="str">
            <v>-</v>
          </cell>
          <cell r="G328" t="str">
            <v>-</v>
          </cell>
          <cell r="H328" t="str">
            <v>-</v>
          </cell>
          <cell r="I328" t="str">
            <v>-</v>
          </cell>
          <cell r="J328" t="str">
            <v>-</v>
          </cell>
          <cell r="K328" t="str">
            <v>+</v>
          </cell>
          <cell r="L328" t="str">
            <v>-</v>
          </cell>
          <cell r="M328" t="str">
            <v>+</v>
          </cell>
          <cell r="N328" t="str">
            <v>-</v>
          </cell>
          <cell r="O328" t="str">
            <v>-</v>
          </cell>
        </row>
        <row r="329">
          <cell r="A329">
            <v>63563500</v>
          </cell>
          <cell r="B329" t="str">
            <v>Omelet kaassaus worteltjes gebakken aardappel 500g DMC</v>
          </cell>
          <cell r="C329" t="str">
            <v>-</v>
          </cell>
          <cell r="D329" t="str">
            <v>+</v>
          </cell>
          <cell r="E329" t="str">
            <v>-</v>
          </cell>
          <cell r="F329" t="str">
            <v>-</v>
          </cell>
          <cell r="G329" t="str">
            <v>+</v>
          </cell>
          <cell r="H329" t="str">
            <v>-</v>
          </cell>
          <cell r="I329" t="str">
            <v>-</v>
          </cell>
          <cell r="J329" t="str">
            <v>-</v>
          </cell>
          <cell r="K329" t="str">
            <v>-</v>
          </cell>
          <cell r="L329" t="str">
            <v>-</v>
          </cell>
          <cell r="M329" t="str">
            <v>-</v>
          </cell>
          <cell r="N329" t="str">
            <v>-</v>
          </cell>
          <cell r="O329" t="str">
            <v>-</v>
          </cell>
        </row>
        <row r="330">
          <cell r="A330">
            <v>63563600</v>
          </cell>
          <cell r="B330" t="str">
            <v>Ravioli bospaddestoelen truffel broccoli 500g DMC</v>
          </cell>
          <cell r="C330" t="str">
            <v>-</v>
          </cell>
          <cell r="D330" t="str">
            <v>+</v>
          </cell>
          <cell r="E330" t="str">
            <v>+</v>
          </cell>
          <cell r="F330" t="str">
            <v>X</v>
          </cell>
          <cell r="G330" t="str">
            <v>+</v>
          </cell>
          <cell r="H330" t="str">
            <v>X</v>
          </cell>
          <cell r="I330" t="str">
            <v>-</v>
          </cell>
          <cell r="J330" t="str">
            <v>-</v>
          </cell>
          <cell r="K330" t="str">
            <v>+</v>
          </cell>
          <cell r="L330" t="str">
            <v>-</v>
          </cell>
          <cell r="M330" t="str">
            <v>X</v>
          </cell>
          <cell r="N330" t="str">
            <v>-</v>
          </cell>
          <cell r="O330" t="str">
            <v>-</v>
          </cell>
        </row>
        <row r="331">
          <cell r="A331">
            <v>63570100</v>
          </cell>
          <cell r="B331" t="str">
            <v>Varkensvlees sperziebonen aardappelpuree 500g DMC (mix)</v>
          </cell>
          <cell r="C331" t="str">
            <v>-</v>
          </cell>
          <cell r="D331" t="str">
            <v>+</v>
          </cell>
          <cell r="E331" t="str">
            <v>+</v>
          </cell>
          <cell r="F331" t="str">
            <v>X</v>
          </cell>
          <cell r="G331" t="str">
            <v>+</v>
          </cell>
          <cell r="H331" t="str">
            <v>X</v>
          </cell>
          <cell r="I331" t="str">
            <v>-</v>
          </cell>
          <cell r="J331" t="str">
            <v>-</v>
          </cell>
          <cell r="K331" t="str">
            <v>+</v>
          </cell>
          <cell r="L331" t="str">
            <v>-</v>
          </cell>
          <cell r="M331" t="str">
            <v>X</v>
          </cell>
          <cell r="N331" t="str">
            <v>-</v>
          </cell>
          <cell r="O331" t="str">
            <v>-</v>
          </cell>
        </row>
        <row r="332">
          <cell r="A332">
            <v>63570200</v>
          </cell>
          <cell r="B332" t="str">
            <v>Kip met worteltjes en aardappelpuree 500g DMC (mix)</v>
          </cell>
          <cell r="C332" t="str">
            <v>-</v>
          </cell>
          <cell r="D332" t="str">
            <v>+</v>
          </cell>
          <cell r="E332" t="str">
            <v>+</v>
          </cell>
          <cell r="F332" t="str">
            <v>X</v>
          </cell>
          <cell r="G332" t="str">
            <v>+</v>
          </cell>
          <cell r="H332" t="str">
            <v>X</v>
          </cell>
          <cell r="I332" t="str">
            <v>-</v>
          </cell>
          <cell r="J332" t="str">
            <v>-</v>
          </cell>
          <cell r="K332" t="str">
            <v>+</v>
          </cell>
          <cell r="L332" t="str">
            <v>-</v>
          </cell>
          <cell r="M332" t="str">
            <v>X</v>
          </cell>
          <cell r="N332" t="str">
            <v>-</v>
          </cell>
          <cell r="O332" t="str">
            <v>-</v>
          </cell>
        </row>
        <row r="333">
          <cell r="A333">
            <v>63570300</v>
          </cell>
          <cell r="B333" t="str">
            <v>Gehakt met prei en aardappelpuree 500g DMC (mix)</v>
          </cell>
          <cell r="C333" t="str">
            <v>-</v>
          </cell>
          <cell r="D333" t="str">
            <v>+</v>
          </cell>
          <cell r="E333" t="str">
            <v>+</v>
          </cell>
          <cell r="F333" t="str">
            <v>X</v>
          </cell>
          <cell r="G333" t="str">
            <v>+</v>
          </cell>
          <cell r="H333" t="str">
            <v>X</v>
          </cell>
          <cell r="I333" t="str">
            <v>-</v>
          </cell>
          <cell r="J333" t="str">
            <v>-</v>
          </cell>
          <cell r="K333" t="str">
            <v>+</v>
          </cell>
          <cell r="L333" t="str">
            <v>-</v>
          </cell>
          <cell r="M333" t="str">
            <v>X</v>
          </cell>
          <cell r="N333" t="str">
            <v>-</v>
          </cell>
          <cell r="O333" t="str">
            <v>-</v>
          </cell>
        </row>
        <row r="334">
          <cell r="A334">
            <v>63570500</v>
          </cell>
          <cell r="B334" t="str">
            <v>Kip in crèmesaus broccoli aardappelpuree 500g DMC (mix)</v>
          </cell>
          <cell r="C334" t="str">
            <v>-</v>
          </cell>
          <cell r="D334" t="str">
            <v>+</v>
          </cell>
          <cell r="E334" t="str">
            <v>+</v>
          </cell>
          <cell r="F334" t="str">
            <v>X</v>
          </cell>
          <cell r="G334" t="str">
            <v>+</v>
          </cell>
          <cell r="H334" t="str">
            <v>X</v>
          </cell>
          <cell r="I334" t="str">
            <v>-</v>
          </cell>
          <cell r="J334" t="str">
            <v>-</v>
          </cell>
          <cell r="K334" t="str">
            <v>X</v>
          </cell>
          <cell r="L334" t="str">
            <v>-</v>
          </cell>
          <cell r="M334" t="str">
            <v>X</v>
          </cell>
          <cell r="N334" t="str">
            <v>-</v>
          </cell>
          <cell r="O334" t="str">
            <v>-</v>
          </cell>
        </row>
        <row r="335">
          <cell r="A335">
            <v>63570600</v>
          </cell>
          <cell r="B335" t="str">
            <v>Zalm in vissaus wortelen aardappelpuree 500g DMC (mix)</v>
          </cell>
          <cell r="C335" t="str">
            <v>-</v>
          </cell>
          <cell r="D335" t="str">
            <v>+</v>
          </cell>
          <cell r="E335" t="str">
            <v>+</v>
          </cell>
          <cell r="F335" t="str">
            <v>-</v>
          </cell>
          <cell r="G335" t="str">
            <v>+</v>
          </cell>
          <cell r="H335" t="str">
            <v>+</v>
          </cell>
          <cell r="I335" t="str">
            <v>-</v>
          </cell>
          <cell r="J335" t="str">
            <v>X</v>
          </cell>
          <cell r="K335" t="str">
            <v>+</v>
          </cell>
          <cell r="L335" t="str">
            <v>-</v>
          </cell>
          <cell r="M335" t="str">
            <v>X</v>
          </cell>
          <cell r="N335" t="str">
            <v>+</v>
          </cell>
          <cell r="O335" t="str">
            <v>X</v>
          </cell>
        </row>
        <row r="336">
          <cell r="A336">
            <v>63570800</v>
          </cell>
          <cell r="B336" t="str">
            <v>Wortelpuree met rundsvlees 500g DMC (mix)</v>
          </cell>
          <cell r="C336" t="str">
            <v>-</v>
          </cell>
          <cell r="D336" t="str">
            <v>-</v>
          </cell>
          <cell r="E336" t="str">
            <v>+</v>
          </cell>
          <cell r="F336" t="str">
            <v>X</v>
          </cell>
          <cell r="G336" t="str">
            <v>+</v>
          </cell>
          <cell r="H336" t="str">
            <v>+</v>
          </cell>
          <cell r="I336" t="str">
            <v>X</v>
          </cell>
          <cell r="J336" t="str">
            <v>-</v>
          </cell>
          <cell r="K336" t="str">
            <v>+</v>
          </cell>
          <cell r="L336" t="str">
            <v>-</v>
          </cell>
          <cell r="M336" t="str">
            <v>X</v>
          </cell>
          <cell r="N336" t="str">
            <v>-</v>
          </cell>
          <cell r="O336" t="str">
            <v>-</v>
          </cell>
        </row>
        <row r="337">
          <cell r="A337">
            <v>63571500</v>
          </cell>
          <cell r="B337" t="str">
            <v>Rundergehakt witlof aardappelpuree 500g DMC MIX</v>
          </cell>
          <cell r="C337" t="str">
            <v>-</v>
          </cell>
          <cell r="D337" t="str">
            <v>+</v>
          </cell>
          <cell r="E337" t="str">
            <v>+</v>
          </cell>
          <cell r="F337" t="str">
            <v>X</v>
          </cell>
          <cell r="G337" t="str">
            <v>+</v>
          </cell>
          <cell r="H337" t="str">
            <v>+</v>
          </cell>
          <cell r="I337" t="str">
            <v>X</v>
          </cell>
          <cell r="J337" t="str">
            <v>-</v>
          </cell>
          <cell r="K337" t="str">
            <v>+</v>
          </cell>
          <cell r="L337" t="str">
            <v>-</v>
          </cell>
          <cell r="M337" t="str">
            <v>X</v>
          </cell>
          <cell r="N337" t="str">
            <v>-</v>
          </cell>
          <cell r="O337" t="str">
            <v>-</v>
          </cell>
        </row>
        <row r="338">
          <cell r="A338">
            <v>63571700</v>
          </cell>
          <cell r="B338" t="str">
            <v>Andijviestamppot met gehaktbal 500g DMC MIX</v>
          </cell>
          <cell r="C338" t="str">
            <v>-</v>
          </cell>
          <cell r="D338" t="str">
            <v>X</v>
          </cell>
          <cell r="E338" t="str">
            <v>+</v>
          </cell>
          <cell r="F338" t="str">
            <v>X</v>
          </cell>
          <cell r="G338" t="str">
            <v>+</v>
          </cell>
          <cell r="H338" t="str">
            <v>X</v>
          </cell>
          <cell r="I338" t="str">
            <v>-</v>
          </cell>
          <cell r="J338" t="str">
            <v>-</v>
          </cell>
          <cell r="K338" t="str">
            <v>+</v>
          </cell>
          <cell r="L338" t="str">
            <v>-</v>
          </cell>
          <cell r="M338" t="str">
            <v>X</v>
          </cell>
          <cell r="N338" t="str">
            <v>-</v>
          </cell>
          <cell r="O338" t="str">
            <v>-</v>
          </cell>
        </row>
        <row r="339">
          <cell r="A339">
            <v>63571800</v>
          </cell>
          <cell r="B339" t="str">
            <v>Varkenslapje jus spinazie puree 500g DMC MIX</v>
          </cell>
          <cell r="C339" t="str">
            <v>-</v>
          </cell>
          <cell r="D339" t="str">
            <v>+</v>
          </cell>
          <cell r="E339" t="str">
            <v>+</v>
          </cell>
          <cell r="F339" t="str">
            <v>X</v>
          </cell>
          <cell r="G339" t="str">
            <v>+</v>
          </cell>
          <cell r="H339" t="str">
            <v>X</v>
          </cell>
          <cell r="I339" t="str">
            <v>-</v>
          </cell>
          <cell r="J339" t="str">
            <v>-</v>
          </cell>
          <cell r="K339" t="str">
            <v>+</v>
          </cell>
          <cell r="L339" t="str">
            <v>-</v>
          </cell>
          <cell r="M339" t="str">
            <v>X</v>
          </cell>
          <cell r="N339" t="str">
            <v>-</v>
          </cell>
          <cell r="O339" t="str">
            <v>-</v>
          </cell>
        </row>
        <row r="340">
          <cell r="A340">
            <v>63571900</v>
          </cell>
          <cell r="B340" t="str">
            <v>Kabeljauw in saus broccoli en kruidenpuree 500g DMC (mix)</v>
          </cell>
          <cell r="C340" t="str">
            <v>-</v>
          </cell>
          <cell r="D340" t="str">
            <v>+</v>
          </cell>
          <cell r="E340" t="str">
            <v>+</v>
          </cell>
          <cell r="F340" t="str">
            <v>-</v>
          </cell>
          <cell r="G340" t="str">
            <v>+</v>
          </cell>
          <cell r="H340" t="str">
            <v>-</v>
          </cell>
          <cell r="I340" t="str">
            <v>-</v>
          </cell>
          <cell r="J340" t="str">
            <v>X</v>
          </cell>
          <cell r="K340" t="str">
            <v>+</v>
          </cell>
          <cell r="L340" t="str">
            <v>-</v>
          </cell>
          <cell r="M340" t="str">
            <v>X</v>
          </cell>
          <cell r="N340" t="str">
            <v>+</v>
          </cell>
          <cell r="O340" t="str">
            <v>X</v>
          </cell>
        </row>
        <row r="341">
          <cell r="A341">
            <v>63572000</v>
          </cell>
          <cell r="B341" t="str">
            <v>Vis hollandaise rode biet puree 500g DMC MIX</v>
          </cell>
          <cell r="C341" t="str">
            <v>-</v>
          </cell>
          <cell r="D341" t="str">
            <v>+</v>
          </cell>
          <cell r="E341" t="str">
            <v>+</v>
          </cell>
          <cell r="F341" t="str">
            <v>X</v>
          </cell>
          <cell r="G341" t="str">
            <v>+</v>
          </cell>
          <cell r="H341" t="str">
            <v>X</v>
          </cell>
          <cell r="I341" t="str">
            <v>-</v>
          </cell>
          <cell r="J341" t="str">
            <v>X</v>
          </cell>
          <cell r="K341" t="str">
            <v>+</v>
          </cell>
          <cell r="L341" t="str">
            <v>-</v>
          </cell>
          <cell r="M341" t="str">
            <v>X</v>
          </cell>
          <cell r="N341" t="str">
            <v>+</v>
          </cell>
          <cell r="O341" t="str">
            <v>X</v>
          </cell>
        </row>
        <row r="342">
          <cell r="A342">
            <v>63572100</v>
          </cell>
          <cell r="B342" t="str">
            <v>Varkensvlees sperziebonen aardappelpuree 500g DLC MIX</v>
          </cell>
          <cell r="C342" t="str">
            <v>-</v>
          </cell>
          <cell r="D342" t="str">
            <v>+</v>
          </cell>
          <cell r="E342" t="str">
            <v>+</v>
          </cell>
          <cell r="F342" t="str">
            <v>X</v>
          </cell>
          <cell r="G342" t="str">
            <v>+</v>
          </cell>
          <cell r="H342" t="str">
            <v>X</v>
          </cell>
          <cell r="I342" t="str">
            <v>-</v>
          </cell>
          <cell r="J342" t="str">
            <v>-</v>
          </cell>
          <cell r="K342" t="str">
            <v>+</v>
          </cell>
          <cell r="L342" t="str">
            <v>-</v>
          </cell>
          <cell r="M342" t="str">
            <v>X</v>
          </cell>
          <cell r="N342" t="str">
            <v>-</v>
          </cell>
          <cell r="O342" t="str">
            <v>-</v>
          </cell>
        </row>
        <row r="343">
          <cell r="A343">
            <v>63572200</v>
          </cell>
          <cell r="B343" t="str">
            <v>Kip met worteltjes en aardappelpuree 500g DLC MIX</v>
          </cell>
          <cell r="C343" t="str">
            <v>-</v>
          </cell>
          <cell r="D343" t="str">
            <v>+</v>
          </cell>
          <cell r="E343" t="str">
            <v>+</v>
          </cell>
          <cell r="F343" t="str">
            <v>X</v>
          </cell>
          <cell r="G343" t="str">
            <v>+</v>
          </cell>
          <cell r="H343" t="str">
            <v>X</v>
          </cell>
          <cell r="I343" t="str">
            <v>-</v>
          </cell>
          <cell r="J343" t="str">
            <v>-</v>
          </cell>
          <cell r="K343" t="str">
            <v>+</v>
          </cell>
          <cell r="L343" t="str">
            <v>-</v>
          </cell>
          <cell r="M343" t="str">
            <v>X</v>
          </cell>
          <cell r="N343" t="str">
            <v>-</v>
          </cell>
          <cell r="O343" t="str">
            <v>-</v>
          </cell>
        </row>
        <row r="344">
          <cell r="A344">
            <v>63572300</v>
          </cell>
          <cell r="B344" t="str">
            <v>Gehakt met prei en aardappelpuree 500g DLC MIX</v>
          </cell>
          <cell r="C344" t="str">
            <v>-</v>
          </cell>
          <cell r="D344" t="str">
            <v>+</v>
          </cell>
          <cell r="E344" t="str">
            <v>+</v>
          </cell>
          <cell r="F344" t="str">
            <v>X</v>
          </cell>
          <cell r="G344" t="str">
            <v>+</v>
          </cell>
          <cell r="H344" t="str">
            <v>X</v>
          </cell>
          <cell r="I344" t="str">
            <v>-</v>
          </cell>
          <cell r="J344" t="str">
            <v>-</v>
          </cell>
          <cell r="K344" t="str">
            <v>+</v>
          </cell>
          <cell r="L344" t="str">
            <v>-</v>
          </cell>
          <cell r="M344" t="str">
            <v>X</v>
          </cell>
          <cell r="N344" t="str">
            <v>-</v>
          </cell>
          <cell r="O344" t="str">
            <v>-</v>
          </cell>
        </row>
        <row r="345">
          <cell r="A345">
            <v>63572400</v>
          </cell>
          <cell r="B345" t="str">
            <v>Rundvlees witte kool aardappelpuree 500g DLC MIX</v>
          </cell>
          <cell r="C345" t="str">
            <v>-</v>
          </cell>
          <cell r="D345" t="str">
            <v>+</v>
          </cell>
          <cell r="E345" t="str">
            <v>+</v>
          </cell>
          <cell r="F345" t="str">
            <v>X</v>
          </cell>
          <cell r="G345" t="str">
            <v>+</v>
          </cell>
          <cell r="H345" t="str">
            <v>+</v>
          </cell>
          <cell r="I345" t="str">
            <v>X</v>
          </cell>
          <cell r="J345" t="str">
            <v>-</v>
          </cell>
          <cell r="K345" t="str">
            <v>+</v>
          </cell>
          <cell r="L345" t="str">
            <v>-</v>
          </cell>
          <cell r="M345" t="str">
            <v>X</v>
          </cell>
          <cell r="N345" t="str">
            <v>-</v>
          </cell>
          <cell r="O345" t="str">
            <v>-</v>
          </cell>
        </row>
        <row r="346">
          <cell r="A346">
            <v>63572500</v>
          </cell>
          <cell r="B346" t="str">
            <v>Kip in crèmesaus broccoli aardappelpuree 500g DLC MIX</v>
          </cell>
          <cell r="C346" t="str">
            <v>-</v>
          </cell>
          <cell r="D346" t="str">
            <v>+</v>
          </cell>
          <cell r="E346" t="str">
            <v>+</v>
          </cell>
          <cell r="F346" t="str">
            <v>X</v>
          </cell>
          <cell r="G346" t="str">
            <v>+</v>
          </cell>
          <cell r="H346" t="str">
            <v>X</v>
          </cell>
          <cell r="I346" t="str">
            <v>-</v>
          </cell>
          <cell r="J346" t="str">
            <v>-</v>
          </cell>
          <cell r="K346" t="str">
            <v>X</v>
          </cell>
          <cell r="L346" t="str">
            <v>-</v>
          </cell>
          <cell r="M346" t="str">
            <v>X</v>
          </cell>
          <cell r="N346" t="str">
            <v>-</v>
          </cell>
          <cell r="O346" t="str">
            <v>-</v>
          </cell>
        </row>
        <row r="347">
          <cell r="A347">
            <v>63572600</v>
          </cell>
          <cell r="B347" t="str">
            <v>Zalm in vissaus wortelen aardappelpuree 500g DLC MIX</v>
          </cell>
          <cell r="C347" t="str">
            <v>-</v>
          </cell>
          <cell r="D347" t="str">
            <v>+</v>
          </cell>
          <cell r="E347" t="str">
            <v>+</v>
          </cell>
          <cell r="F347" t="str">
            <v>-</v>
          </cell>
          <cell r="G347" t="str">
            <v>+</v>
          </cell>
          <cell r="H347" t="str">
            <v>+</v>
          </cell>
          <cell r="I347" t="str">
            <v>-</v>
          </cell>
          <cell r="J347" t="str">
            <v>X</v>
          </cell>
          <cell r="K347" t="str">
            <v>+</v>
          </cell>
          <cell r="L347" t="str">
            <v>-</v>
          </cell>
          <cell r="M347" t="str">
            <v>X</v>
          </cell>
          <cell r="N347" t="str">
            <v>+</v>
          </cell>
          <cell r="O347" t="str">
            <v>X</v>
          </cell>
        </row>
        <row r="348">
          <cell r="A348">
            <v>63572700</v>
          </cell>
          <cell r="B348" t="str">
            <v>Varkensvlees met erwten en aardappelpuree 500g DLC MIX</v>
          </cell>
          <cell r="C348" t="str">
            <v>-</v>
          </cell>
          <cell r="D348" t="str">
            <v>+</v>
          </cell>
          <cell r="E348" t="str">
            <v>+</v>
          </cell>
          <cell r="F348" t="str">
            <v>X</v>
          </cell>
          <cell r="G348" t="str">
            <v>+</v>
          </cell>
          <cell r="H348" t="str">
            <v>X</v>
          </cell>
          <cell r="I348" t="str">
            <v>-</v>
          </cell>
          <cell r="J348" t="str">
            <v>-</v>
          </cell>
          <cell r="K348" t="str">
            <v>+</v>
          </cell>
          <cell r="L348" t="str">
            <v>-</v>
          </cell>
          <cell r="M348" t="str">
            <v>X</v>
          </cell>
          <cell r="N348" t="str">
            <v>-</v>
          </cell>
          <cell r="O348" t="str">
            <v>-</v>
          </cell>
        </row>
        <row r="349">
          <cell r="A349">
            <v>63572800</v>
          </cell>
          <cell r="B349" t="str">
            <v>Wortelpuree met rundvlees 500g DLC MIX</v>
          </cell>
          <cell r="C349" t="str">
            <v>-</v>
          </cell>
          <cell r="D349" t="str">
            <v>-</v>
          </cell>
          <cell r="E349" t="str">
            <v>+</v>
          </cell>
          <cell r="F349" t="str">
            <v>X</v>
          </cell>
          <cell r="G349" t="str">
            <v>+</v>
          </cell>
          <cell r="H349" t="str">
            <v>+</v>
          </cell>
          <cell r="I349" t="str">
            <v>X</v>
          </cell>
          <cell r="J349" t="str">
            <v>-</v>
          </cell>
          <cell r="K349" t="str">
            <v>+</v>
          </cell>
          <cell r="L349" t="str">
            <v>-</v>
          </cell>
          <cell r="M349" t="str">
            <v>X</v>
          </cell>
          <cell r="N349" t="str">
            <v>-</v>
          </cell>
          <cell r="O349" t="str">
            <v>-</v>
          </cell>
        </row>
        <row r="350">
          <cell r="A350">
            <v>63572900</v>
          </cell>
          <cell r="B350" t="str">
            <v>Boerenkool met rundergehakt 500g DLC MIX</v>
          </cell>
          <cell r="C350" t="str">
            <v>-</v>
          </cell>
          <cell r="D350" t="str">
            <v>-</v>
          </cell>
          <cell r="E350" t="str">
            <v>+</v>
          </cell>
          <cell r="F350" t="str">
            <v>X</v>
          </cell>
          <cell r="G350" t="str">
            <v>+</v>
          </cell>
          <cell r="H350" t="str">
            <v>X</v>
          </cell>
          <cell r="I350" t="str">
            <v>-</v>
          </cell>
          <cell r="J350" t="str">
            <v>-</v>
          </cell>
          <cell r="K350" t="str">
            <v>+</v>
          </cell>
          <cell r="L350" t="str">
            <v>-</v>
          </cell>
          <cell r="M350" t="str">
            <v>X</v>
          </cell>
          <cell r="N350" t="str">
            <v>-</v>
          </cell>
          <cell r="O350" t="str">
            <v>-</v>
          </cell>
        </row>
        <row r="351">
          <cell r="A351">
            <v>63573000</v>
          </cell>
          <cell r="B351" t="str">
            <v>Rundvlees met rode bietjes aardappelpuree 500g DLC MIX</v>
          </cell>
          <cell r="C351" t="str">
            <v>-</v>
          </cell>
          <cell r="D351" t="str">
            <v>+</v>
          </cell>
          <cell r="E351" t="str">
            <v>+</v>
          </cell>
          <cell r="F351" t="str">
            <v>X</v>
          </cell>
          <cell r="G351" t="str">
            <v>+</v>
          </cell>
          <cell r="H351" t="str">
            <v>+</v>
          </cell>
          <cell r="I351" t="str">
            <v>X</v>
          </cell>
          <cell r="J351" t="str">
            <v>-</v>
          </cell>
          <cell r="K351" t="str">
            <v>+</v>
          </cell>
          <cell r="L351" t="str">
            <v>-</v>
          </cell>
          <cell r="M351" t="str">
            <v>X</v>
          </cell>
          <cell r="N351" t="str">
            <v>-</v>
          </cell>
          <cell r="O351" t="str">
            <v>-</v>
          </cell>
        </row>
        <row r="352">
          <cell r="A352">
            <v>63573200</v>
          </cell>
          <cell r="B352" t="str">
            <v>Gehakt met bloemkool en knolselderijpuree 500g DLC MIX</v>
          </cell>
          <cell r="C352" t="str">
            <v>-</v>
          </cell>
          <cell r="D352" t="str">
            <v>+</v>
          </cell>
          <cell r="E352" t="str">
            <v>+</v>
          </cell>
          <cell r="F352" t="str">
            <v>X</v>
          </cell>
          <cell r="G352" t="str">
            <v>+</v>
          </cell>
          <cell r="H352" t="str">
            <v>X</v>
          </cell>
          <cell r="I352" t="str">
            <v>-</v>
          </cell>
          <cell r="J352" t="str">
            <v>-</v>
          </cell>
          <cell r="K352" t="str">
            <v>+</v>
          </cell>
          <cell r="L352" t="str">
            <v>-</v>
          </cell>
          <cell r="M352" t="str">
            <v>X</v>
          </cell>
          <cell r="N352" t="str">
            <v>-</v>
          </cell>
          <cell r="O352" t="str">
            <v>-</v>
          </cell>
        </row>
        <row r="353">
          <cell r="A353">
            <v>63573300</v>
          </cell>
          <cell r="B353" t="str">
            <v>Kip met sperzieboontjes en aardappelpuree 500g DLC MIX</v>
          </cell>
          <cell r="C353" t="str">
            <v>-</v>
          </cell>
          <cell r="D353" t="str">
            <v>+</v>
          </cell>
          <cell r="E353" t="str">
            <v>+</v>
          </cell>
          <cell r="F353" t="str">
            <v>X</v>
          </cell>
          <cell r="G353" t="str">
            <v>+</v>
          </cell>
          <cell r="H353" t="str">
            <v>X</v>
          </cell>
          <cell r="I353" t="str">
            <v>-</v>
          </cell>
          <cell r="J353" t="str">
            <v>-</v>
          </cell>
          <cell r="K353" t="str">
            <v>+</v>
          </cell>
          <cell r="L353" t="str">
            <v>-</v>
          </cell>
          <cell r="M353" t="str">
            <v>X</v>
          </cell>
          <cell r="N353" t="str">
            <v>-</v>
          </cell>
          <cell r="O353" t="str">
            <v>-</v>
          </cell>
        </row>
        <row r="354">
          <cell r="A354">
            <v>63573400</v>
          </cell>
          <cell r="B354" t="str">
            <v>Runderhachée met rode kool aardappelpuree 500g DLC MIX</v>
          </cell>
          <cell r="C354" t="str">
            <v>-</v>
          </cell>
          <cell r="D354" t="str">
            <v>+</v>
          </cell>
          <cell r="E354" t="str">
            <v>+</v>
          </cell>
          <cell r="F354" t="str">
            <v>-</v>
          </cell>
          <cell r="G354" t="str">
            <v>+</v>
          </cell>
          <cell r="H354" t="str">
            <v>-</v>
          </cell>
          <cell r="I354" t="str">
            <v>-</v>
          </cell>
          <cell r="J354" t="str">
            <v>-</v>
          </cell>
          <cell r="K354" t="str">
            <v>+</v>
          </cell>
          <cell r="L354" t="str">
            <v>-</v>
          </cell>
          <cell r="M354" t="str">
            <v>-</v>
          </cell>
          <cell r="N354" t="str">
            <v>-</v>
          </cell>
          <cell r="O354" t="str">
            <v>-</v>
          </cell>
        </row>
        <row r="355">
          <cell r="A355">
            <v>63573500</v>
          </cell>
          <cell r="B355" t="str">
            <v>Rundvlees witlof aardappelpuree 500g DLC MIX</v>
          </cell>
          <cell r="C355" t="str">
            <v>-</v>
          </cell>
          <cell r="D355" t="str">
            <v>+</v>
          </cell>
          <cell r="E355" t="str">
            <v>+</v>
          </cell>
          <cell r="F355" t="str">
            <v>X</v>
          </cell>
          <cell r="G355" t="str">
            <v>+</v>
          </cell>
          <cell r="H355" t="str">
            <v>+</v>
          </cell>
          <cell r="I355" t="str">
            <v>X</v>
          </cell>
          <cell r="J355" t="str">
            <v>-</v>
          </cell>
          <cell r="K355" t="str">
            <v>+</v>
          </cell>
          <cell r="L355" t="str">
            <v>-</v>
          </cell>
          <cell r="M355" t="str">
            <v>X</v>
          </cell>
          <cell r="N355" t="str">
            <v>-</v>
          </cell>
          <cell r="O355" t="str">
            <v>-</v>
          </cell>
        </row>
        <row r="356">
          <cell r="A356">
            <v>63573700</v>
          </cell>
          <cell r="B356" t="str">
            <v>Andijviestamppot met gehaktbal 500g DLC MIX</v>
          </cell>
          <cell r="C356" t="str">
            <v>-</v>
          </cell>
          <cell r="D356" t="str">
            <v>X</v>
          </cell>
          <cell r="E356" t="str">
            <v>+</v>
          </cell>
          <cell r="F356" t="str">
            <v>X</v>
          </cell>
          <cell r="G356" t="str">
            <v>+</v>
          </cell>
          <cell r="H356" t="str">
            <v>X</v>
          </cell>
          <cell r="I356" t="str">
            <v>-</v>
          </cell>
          <cell r="J356" t="str">
            <v>-</v>
          </cell>
          <cell r="K356" t="str">
            <v>+</v>
          </cell>
          <cell r="L356" t="str">
            <v>-</v>
          </cell>
          <cell r="M356" t="str">
            <v>X</v>
          </cell>
          <cell r="N356" t="str">
            <v>-</v>
          </cell>
          <cell r="O356" t="str">
            <v>-</v>
          </cell>
        </row>
        <row r="357">
          <cell r="A357">
            <v>63573800</v>
          </cell>
          <cell r="B357" t="str">
            <v>Varkenslapje jus spinazie puree 500g DLC MIX</v>
          </cell>
          <cell r="C357" t="str">
            <v>-</v>
          </cell>
          <cell r="D357" t="str">
            <v>+</v>
          </cell>
          <cell r="E357" t="str">
            <v>+</v>
          </cell>
          <cell r="F357" t="str">
            <v>X</v>
          </cell>
          <cell r="G357" t="str">
            <v>+</v>
          </cell>
          <cell r="H357" t="str">
            <v>X</v>
          </cell>
          <cell r="I357" t="str">
            <v>-</v>
          </cell>
          <cell r="J357" t="str">
            <v>-</v>
          </cell>
          <cell r="K357" t="str">
            <v>+</v>
          </cell>
          <cell r="L357" t="str">
            <v>-</v>
          </cell>
          <cell r="M357" t="str">
            <v>X</v>
          </cell>
          <cell r="N357" t="str">
            <v>-</v>
          </cell>
          <cell r="O357" t="str">
            <v>-</v>
          </cell>
        </row>
        <row r="358">
          <cell r="A358">
            <v>63573900</v>
          </cell>
          <cell r="B358" t="str">
            <v>Kabeljauw in saus broccoli en kruidenpuree 500g DLC MIX</v>
          </cell>
          <cell r="C358" t="str">
            <v>-</v>
          </cell>
          <cell r="D358" t="str">
            <v>+</v>
          </cell>
          <cell r="E358" t="str">
            <v>+</v>
          </cell>
          <cell r="F358" t="str">
            <v>-</v>
          </cell>
          <cell r="G358" t="str">
            <v>+</v>
          </cell>
          <cell r="H358" t="str">
            <v>-</v>
          </cell>
          <cell r="I358" t="str">
            <v>-</v>
          </cell>
          <cell r="J358" t="str">
            <v>X</v>
          </cell>
          <cell r="K358" t="str">
            <v>+</v>
          </cell>
          <cell r="L358" t="str">
            <v>-</v>
          </cell>
          <cell r="M358" t="str">
            <v>X</v>
          </cell>
          <cell r="N358" t="str">
            <v>+</v>
          </cell>
          <cell r="O358" t="str">
            <v>X</v>
          </cell>
        </row>
        <row r="359">
          <cell r="A359">
            <v>63574000</v>
          </cell>
          <cell r="B359" t="str">
            <v>Vis hollandaise spinazie puree 500g DLC MIX</v>
          </cell>
          <cell r="C359" t="str">
            <v>-</v>
          </cell>
          <cell r="D359" t="str">
            <v>+</v>
          </cell>
          <cell r="E359" t="str">
            <v>+</v>
          </cell>
          <cell r="F359" t="str">
            <v>X</v>
          </cell>
          <cell r="G359" t="str">
            <v>+</v>
          </cell>
          <cell r="H359" t="str">
            <v>X</v>
          </cell>
          <cell r="I359" t="str">
            <v>-</v>
          </cell>
          <cell r="J359" t="str">
            <v>X</v>
          </cell>
          <cell r="K359" t="str">
            <v>+</v>
          </cell>
          <cell r="L359" t="str">
            <v>-</v>
          </cell>
          <cell r="M359" t="str">
            <v>X</v>
          </cell>
          <cell r="N359" t="str">
            <v>+</v>
          </cell>
          <cell r="O359" t="str">
            <v>X</v>
          </cell>
        </row>
        <row r="360">
          <cell r="A360">
            <v>63580100</v>
          </cell>
          <cell r="B360" t="str">
            <v>Varkensvlees broccoli aardappelpuree 500g Dieet DMC</v>
          </cell>
          <cell r="C360" t="str">
            <v>-</v>
          </cell>
          <cell r="D360" t="str">
            <v>-</v>
          </cell>
          <cell r="E360" t="str">
            <v>+</v>
          </cell>
          <cell r="F360" t="str">
            <v>-</v>
          </cell>
          <cell r="G360" t="str">
            <v>+</v>
          </cell>
          <cell r="H360" t="str">
            <v>-</v>
          </cell>
          <cell r="I360" t="str">
            <v>-</v>
          </cell>
          <cell r="J360" t="str">
            <v>-</v>
          </cell>
          <cell r="K360" t="str">
            <v>+</v>
          </cell>
          <cell r="L360" t="str">
            <v>-</v>
          </cell>
          <cell r="M360" t="str">
            <v>-</v>
          </cell>
          <cell r="N360" t="str">
            <v>-</v>
          </cell>
          <cell r="O360" t="str">
            <v>-</v>
          </cell>
        </row>
        <row r="361">
          <cell r="A361">
            <v>63580200</v>
          </cell>
          <cell r="B361" t="str">
            <v>Rundvlees spruitjes gekookte aardappel 500g Dieet DMC</v>
          </cell>
          <cell r="C361" t="str">
            <v>-</v>
          </cell>
          <cell r="D361" t="str">
            <v>-</v>
          </cell>
          <cell r="E361" t="str">
            <v>+</v>
          </cell>
          <cell r="F361" t="str">
            <v>X</v>
          </cell>
          <cell r="G361" t="str">
            <v>-</v>
          </cell>
          <cell r="H361" t="str">
            <v>X</v>
          </cell>
          <cell r="I361" t="str">
            <v>-</v>
          </cell>
          <cell r="J361" t="str">
            <v>-</v>
          </cell>
          <cell r="K361" t="str">
            <v>+</v>
          </cell>
          <cell r="L361" t="str">
            <v>-</v>
          </cell>
          <cell r="M361" t="str">
            <v>X</v>
          </cell>
          <cell r="N361" t="str">
            <v>-</v>
          </cell>
          <cell r="O361" t="str">
            <v>-</v>
          </cell>
        </row>
        <row r="362">
          <cell r="A362">
            <v>63580300</v>
          </cell>
          <cell r="B362" t="str">
            <v>Rundstoofschotel rode kool puree 500g Dieet DMC</v>
          </cell>
          <cell r="C362" t="str">
            <v>-</v>
          </cell>
          <cell r="D362" t="str">
            <v>-</v>
          </cell>
          <cell r="E362" t="str">
            <v>+</v>
          </cell>
          <cell r="F362" t="str">
            <v>-</v>
          </cell>
          <cell r="G362" t="str">
            <v>+</v>
          </cell>
          <cell r="H362" t="str">
            <v>-</v>
          </cell>
          <cell r="I362" t="str">
            <v>-</v>
          </cell>
          <cell r="J362" t="str">
            <v>-</v>
          </cell>
          <cell r="K362" t="str">
            <v>+</v>
          </cell>
          <cell r="L362" t="str">
            <v>-</v>
          </cell>
          <cell r="M362" t="str">
            <v>-</v>
          </cell>
          <cell r="N362" t="str">
            <v>-</v>
          </cell>
          <cell r="O362" t="str">
            <v>-</v>
          </cell>
        </row>
        <row r="363">
          <cell r="A363">
            <v>63580400</v>
          </cell>
          <cell r="B363" t="str">
            <v xml:space="preserve">Rundsstoverij wortelstampot 500g DMC Dieet </v>
          </cell>
          <cell r="C363" t="str">
            <v>-</v>
          </cell>
          <cell r="D363" t="str">
            <v>X</v>
          </cell>
          <cell r="E363" t="str">
            <v>+</v>
          </cell>
          <cell r="F363" t="str">
            <v>-</v>
          </cell>
          <cell r="G363" t="str">
            <v>+</v>
          </cell>
          <cell r="H363" t="str">
            <v>X</v>
          </cell>
          <cell r="I363" t="str">
            <v>-</v>
          </cell>
          <cell r="J363" t="str">
            <v>-</v>
          </cell>
          <cell r="K363" t="str">
            <v>+</v>
          </cell>
          <cell r="L363" t="str">
            <v>-</v>
          </cell>
          <cell r="M363" t="str">
            <v>X</v>
          </cell>
          <cell r="N363" t="str">
            <v>-</v>
          </cell>
          <cell r="O363" t="str">
            <v>-</v>
          </cell>
        </row>
        <row r="364">
          <cell r="A364">
            <v>63580500</v>
          </cell>
          <cell r="B364" t="str">
            <v>Boerenkool kalfsgehaktbal 500g DMC Dieet</v>
          </cell>
          <cell r="C364" t="str">
            <v>X</v>
          </cell>
          <cell r="D364" t="str">
            <v>X</v>
          </cell>
          <cell r="E364" t="str">
            <v>+</v>
          </cell>
          <cell r="F364" t="str">
            <v>X</v>
          </cell>
          <cell r="G364" t="str">
            <v>+</v>
          </cell>
          <cell r="H364" t="str">
            <v>X</v>
          </cell>
          <cell r="I364" t="str">
            <v>X</v>
          </cell>
          <cell r="J364" t="str">
            <v>X</v>
          </cell>
          <cell r="K364" t="str">
            <v>+</v>
          </cell>
          <cell r="L364" t="str">
            <v>X</v>
          </cell>
          <cell r="M364" t="str">
            <v>X</v>
          </cell>
          <cell r="N364" t="str">
            <v>X</v>
          </cell>
          <cell r="O364" t="str">
            <v>X</v>
          </cell>
        </row>
        <row r="365">
          <cell r="A365">
            <v>63580600</v>
          </cell>
          <cell r="B365" t="str">
            <v xml:space="preserve">Kalfgehaktballen uiensaus prei gek. aard. 500g DMC Dieet </v>
          </cell>
          <cell r="C365" t="str">
            <v>X</v>
          </cell>
          <cell r="D365" t="str">
            <v>X</v>
          </cell>
          <cell r="E365" t="str">
            <v>+</v>
          </cell>
          <cell r="F365" t="str">
            <v>X</v>
          </cell>
          <cell r="G365" t="str">
            <v>+</v>
          </cell>
          <cell r="H365" t="str">
            <v>X</v>
          </cell>
          <cell r="I365" t="str">
            <v>X</v>
          </cell>
          <cell r="J365" t="str">
            <v>X</v>
          </cell>
          <cell r="K365" t="str">
            <v>+</v>
          </cell>
          <cell r="L365" t="str">
            <v>X</v>
          </cell>
          <cell r="M365" t="str">
            <v>X</v>
          </cell>
          <cell r="N365" t="str">
            <v>X</v>
          </cell>
          <cell r="O365" t="str">
            <v>X</v>
          </cell>
        </row>
        <row r="366">
          <cell r="A366">
            <v>63580800</v>
          </cell>
          <cell r="B366" t="str">
            <v>Kipfilet gebakken spinazie puree 500g DMC DIEET</v>
          </cell>
          <cell r="C366" t="str">
            <v>-</v>
          </cell>
          <cell r="D366" t="str">
            <v>X</v>
          </cell>
          <cell r="E366" t="str">
            <v>+</v>
          </cell>
          <cell r="F366" t="str">
            <v>X</v>
          </cell>
          <cell r="G366" t="str">
            <v>+</v>
          </cell>
          <cell r="H366" t="str">
            <v>X</v>
          </cell>
          <cell r="I366" t="str">
            <v>-</v>
          </cell>
          <cell r="J366" t="str">
            <v>-</v>
          </cell>
          <cell r="K366" t="str">
            <v>+</v>
          </cell>
          <cell r="L366" t="str">
            <v>-</v>
          </cell>
          <cell r="M366" t="str">
            <v>X</v>
          </cell>
          <cell r="N366" t="str">
            <v>-</v>
          </cell>
          <cell r="O366" t="str">
            <v>-</v>
          </cell>
        </row>
        <row r="367">
          <cell r="A367">
            <v>63581000</v>
          </cell>
          <cell r="B367" t="str">
            <v>Aardappelgratin met ru gehakt bladspinazie 550g DMC DIEET</v>
          </cell>
          <cell r="C367" t="str">
            <v>-</v>
          </cell>
          <cell r="D367" t="str">
            <v>-</v>
          </cell>
          <cell r="E367" t="str">
            <v>+</v>
          </cell>
          <cell r="F367" t="str">
            <v>-</v>
          </cell>
          <cell r="G367" t="str">
            <v>+</v>
          </cell>
          <cell r="H367" t="str">
            <v>-</v>
          </cell>
          <cell r="I367" t="str">
            <v>-</v>
          </cell>
          <cell r="J367" t="str">
            <v>-</v>
          </cell>
          <cell r="K367" t="str">
            <v>+</v>
          </cell>
          <cell r="L367" t="str">
            <v>-</v>
          </cell>
          <cell r="M367" t="str">
            <v>-</v>
          </cell>
          <cell r="N367" t="str">
            <v>-</v>
          </cell>
          <cell r="O367" t="str">
            <v>-</v>
          </cell>
        </row>
        <row r="368">
          <cell r="A368">
            <v>63581200</v>
          </cell>
          <cell r="B368" t="str">
            <v>varkensvlees appelmoes kriel 500g DMC DIEET</v>
          </cell>
          <cell r="C368" t="str">
            <v>-</v>
          </cell>
          <cell r="D368" t="str">
            <v>-</v>
          </cell>
          <cell r="E368" t="str">
            <v>+</v>
          </cell>
          <cell r="F368" t="str">
            <v>X</v>
          </cell>
          <cell r="G368" t="str">
            <v>-</v>
          </cell>
          <cell r="H368" t="str">
            <v>X</v>
          </cell>
          <cell r="I368" t="str">
            <v>-</v>
          </cell>
          <cell r="J368" t="str">
            <v>-</v>
          </cell>
          <cell r="K368" t="str">
            <v>+</v>
          </cell>
          <cell r="L368" t="str">
            <v>-</v>
          </cell>
          <cell r="M368" t="str">
            <v>X</v>
          </cell>
          <cell r="N368" t="str">
            <v>-</v>
          </cell>
          <cell r="O368" t="str">
            <v>-</v>
          </cell>
        </row>
        <row r="369">
          <cell r="A369">
            <v>63581300</v>
          </cell>
          <cell r="B369" t="str">
            <v>Rundstong tomatensaus madeira bonen puree 530g DMC Dieet</v>
          </cell>
          <cell r="C369" t="str">
            <v>-</v>
          </cell>
          <cell r="D369" t="str">
            <v>-</v>
          </cell>
          <cell r="E369" t="str">
            <v>+</v>
          </cell>
          <cell r="F369" t="str">
            <v>X</v>
          </cell>
          <cell r="G369" t="str">
            <v>+</v>
          </cell>
          <cell r="H369" t="str">
            <v>X</v>
          </cell>
          <cell r="I369" t="str">
            <v>-</v>
          </cell>
          <cell r="J369" t="str">
            <v>-</v>
          </cell>
          <cell r="K369" t="str">
            <v>+</v>
          </cell>
          <cell r="L369" t="str">
            <v>-</v>
          </cell>
          <cell r="M369" t="str">
            <v>X</v>
          </cell>
          <cell r="N369" t="str">
            <v>-</v>
          </cell>
          <cell r="O369" t="str">
            <v>-</v>
          </cell>
        </row>
        <row r="370">
          <cell r="A370">
            <v>63581400</v>
          </cell>
          <cell r="B370" t="str">
            <v>Zalmfilet dillesaus erwt spinazie puree 500g DMC Dieet</v>
          </cell>
          <cell r="C370" t="str">
            <v>-</v>
          </cell>
          <cell r="D370" t="str">
            <v>-</v>
          </cell>
          <cell r="E370" t="str">
            <v>+</v>
          </cell>
          <cell r="F370" t="str">
            <v>X</v>
          </cell>
          <cell r="G370" t="str">
            <v>+</v>
          </cell>
          <cell r="H370" t="str">
            <v>X</v>
          </cell>
          <cell r="I370" t="str">
            <v>-</v>
          </cell>
          <cell r="J370" t="str">
            <v>-</v>
          </cell>
          <cell r="K370" t="str">
            <v>+</v>
          </cell>
          <cell r="L370" t="str">
            <v>-</v>
          </cell>
          <cell r="M370" t="str">
            <v>X</v>
          </cell>
          <cell r="N370" t="str">
            <v>+</v>
          </cell>
          <cell r="O370" t="str">
            <v>-</v>
          </cell>
        </row>
        <row r="371">
          <cell r="A371">
            <v>63582200</v>
          </cell>
          <cell r="B371" t="str">
            <v>Stoofvlees aardap spruit amandel stvleessaus 500g Na Arm DLC</v>
          </cell>
          <cell r="C371" t="str">
            <v>-</v>
          </cell>
          <cell r="D371" t="str">
            <v>-</v>
          </cell>
          <cell r="E371" t="str">
            <v>+</v>
          </cell>
          <cell r="F371" t="str">
            <v>X</v>
          </cell>
          <cell r="G371" t="str">
            <v>X</v>
          </cell>
          <cell r="H371" t="str">
            <v>X</v>
          </cell>
          <cell r="I371" t="str">
            <v>+</v>
          </cell>
          <cell r="J371" t="str">
            <v>-</v>
          </cell>
          <cell r="K371" t="str">
            <v>+</v>
          </cell>
          <cell r="L371" t="str">
            <v>-</v>
          </cell>
          <cell r="M371" t="str">
            <v>X</v>
          </cell>
          <cell r="N371" t="str">
            <v>-</v>
          </cell>
          <cell r="O371" t="str">
            <v>-</v>
          </cell>
        </row>
        <row r="372">
          <cell r="A372">
            <v>63582300</v>
          </cell>
          <cell r="B372" t="str">
            <v>Runds jachtschotel rode kool puree 500g DLC NA-ARM</v>
          </cell>
          <cell r="C372" t="str">
            <v>-</v>
          </cell>
          <cell r="D372" t="str">
            <v>+</v>
          </cell>
          <cell r="E372" t="str">
            <v>+</v>
          </cell>
          <cell r="F372" t="str">
            <v>X</v>
          </cell>
          <cell r="G372" t="str">
            <v>+</v>
          </cell>
          <cell r="H372" t="str">
            <v>X</v>
          </cell>
          <cell r="I372" t="str">
            <v>-</v>
          </cell>
          <cell r="J372" t="str">
            <v>-</v>
          </cell>
          <cell r="K372" t="str">
            <v>+</v>
          </cell>
          <cell r="L372" t="str">
            <v>-</v>
          </cell>
          <cell r="M372" t="str">
            <v>X</v>
          </cell>
          <cell r="N372" t="str">
            <v>-</v>
          </cell>
          <cell r="O372" t="str">
            <v>-</v>
          </cell>
        </row>
        <row r="373">
          <cell r="A373">
            <v>63582400</v>
          </cell>
          <cell r="B373" t="str">
            <v>Hutsepot rundstoverij DLC NA-ARM</v>
          </cell>
          <cell r="C373" t="str">
            <v>-</v>
          </cell>
          <cell r="D373" t="str">
            <v>-</v>
          </cell>
          <cell r="E373" t="str">
            <v>+</v>
          </cell>
          <cell r="F373" t="str">
            <v>X</v>
          </cell>
          <cell r="G373" t="str">
            <v>+</v>
          </cell>
          <cell r="H373" t="str">
            <v>X</v>
          </cell>
          <cell r="I373" t="str">
            <v>+</v>
          </cell>
          <cell r="J373" t="str">
            <v>-</v>
          </cell>
          <cell r="K373" t="str">
            <v>+</v>
          </cell>
          <cell r="L373" t="str">
            <v>-</v>
          </cell>
          <cell r="M373" t="str">
            <v>X</v>
          </cell>
          <cell r="N373" t="str">
            <v>-</v>
          </cell>
          <cell r="O373" t="str">
            <v>-</v>
          </cell>
        </row>
        <row r="374">
          <cell r="A374">
            <v>63582500</v>
          </cell>
          <cell r="B374" t="str">
            <v>Kalfsgehaktbal tomaat zoet stoemp boerenkool 500g DLC NA-ARM</v>
          </cell>
          <cell r="C374" t="str">
            <v>X</v>
          </cell>
          <cell r="D374" t="str">
            <v>X</v>
          </cell>
          <cell r="E374" t="str">
            <v>+</v>
          </cell>
          <cell r="F374" t="str">
            <v>X</v>
          </cell>
          <cell r="G374" t="str">
            <v>+</v>
          </cell>
          <cell r="H374" t="str">
            <v>X</v>
          </cell>
          <cell r="I374" t="str">
            <v>X</v>
          </cell>
          <cell r="J374" t="str">
            <v>X</v>
          </cell>
          <cell r="K374" t="str">
            <v>+</v>
          </cell>
          <cell r="L374" t="str">
            <v>X</v>
          </cell>
          <cell r="M374" t="str">
            <v>X</v>
          </cell>
          <cell r="N374" t="str">
            <v>X</v>
          </cell>
          <cell r="O374" t="str">
            <v>X</v>
          </cell>
        </row>
        <row r="375">
          <cell r="A375">
            <v>63582700</v>
          </cell>
          <cell r="B375" t="str">
            <v xml:space="preserve">Kip currysaus tagliatelle kerstom, bonen, wortel 500g DLC </v>
          </cell>
          <cell r="C375" t="str">
            <v>-</v>
          </cell>
          <cell r="D375" t="str">
            <v>+</v>
          </cell>
          <cell r="E375" t="str">
            <v>+</v>
          </cell>
          <cell r="F375" t="str">
            <v>X</v>
          </cell>
          <cell r="G375" t="str">
            <v>+</v>
          </cell>
          <cell r="H375" t="str">
            <v>+</v>
          </cell>
          <cell r="I375" t="str">
            <v>-</v>
          </cell>
          <cell r="J375" t="str">
            <v>-</v>
          </cell>
          <cell r="K375" t="str">
            <v>+</v>
          </cell>
          <cell r="L375" t="str">
            <v>-</v>
          </cell>
          <cell r="M375" t="str">
            <v>X</v>
          </cell>
          <cell r="N375" t="str">
            <v>-</v>
          </cell>
          <cell r="O375" t="str">
            <v>-</v>
          </cell>
        </row>
        <row r="376">
          <cell r="A376">
            <v>63582800</v>
          </cell>
          <cell r="B376" t="str">
            <v xml:space="preserve">Kipfilet gebakken spinazie puree 500g DLC </v>
          </cell>
          <cell r="C376" t="str">
            <v>-</v>
          </cell>
          <cell r="D376" t="str">
            <v>+</v>
          </cell>
          <cell r="E376" t="str">
            <v>+</v>
          </cell>
          <cell r="F376" t="str">
            <v>X</v>
          </cell>
          <cell r="G376" t="str">
            <v>+</v>
          </cell>
          <cell r="H376" t="str">
            <v>X</v>
          </cell>
          <cell r="I376" t="str">
            <v>-</v>
          </cell>
          <cell r="J376" t="str">
            <v>-</v>
          </cell>
          <cell r="K376" t="str">
            <v>+</v>
          </cell>
          <cell r="L376" t="str">
            <v>-</v>
          </cell>
          <cell r="M376" t="str">
            <v>X</v>
          </cell>
          <cell r="N376" t="str">
            <v>-</v>
          </cell>
          <cell r="O376" t="str">
            <v>-</v>
          </cell>
        </row>
        <row r="377">
          <cell r="A377">
            <v>63582900</v>
          </cell>
          <cell r="B377" t="str">
            <v>Macaroni kalkoenham kaas 500g DLC NA-Arm</v>
          </cell>
          <cell r="C377" t="str">
            <v>-</v>
          </cell>
          <cell r="D377" t="str">
            <v>X</v>
          </cell>
          <cell r="E377" t="str">
            <v>+</v>
          </cell>
          <cell r="F377" t="str">
            <v>X</v>
          </cell>
          <cell r="G377" t="str">
            <v>+</v>
          </cell>
          <cell r="H377" t="str">
            <v>X</v>
          </cell>
          <cell r="I377" t="str">
            <v>-</v>
          </cell>
          <cell r="J377" t="str">
            <v>-</v>
          </cell>
          <cell r="K377" t="str">
            <v>-</v>
          </cell>
          <cell r="L377" t="str">
            <v>-</v>
          </cell>
          <cell r="M377" t="str">
            <v>X</v>
          </cell>
          <cell r="N377" t="str">
            <v>-</v>
          </cell>
          <cell r="O377" t="str">
            <v>-</v>
          </cell>
        </row>
        <row r="378">
          <cell r="A378">
            <v>63583000</v>
          </cell>
          <cell r="B378" t="str">
            <v>Aardappelpuree met ru gehakt wortel 550g  DLC NA-ARM</v>
          </cell>
          <cell r="C378" t="str">
            <v>-</v>
          </cell>
          <cell r="D378" t="str">
            <v>+</v>
          </cell>
          <cell r="E378" t="str">
            <v>+</v>
          </cell>
          <cell r="F378" t="str">
            <v>-</v>
          </cell>
          <cell r="G378" t="str">
            <v>+</v>
          </cell>
          <cell r="H378" t="str">
            <v>-</v>
          </cell>
          <cell r="I378" t="str">
            <v>-</v>
          </cell>
          <cell r="J378" t="str">
            <v>-</v>
          </cell>
          <cell r="K378" t="str">
            <v>+</v>
          </cell>
          <cell r="L378" t="str">
            <v>-</v>
          </cell>
          <cell r="M378" t="str">
            <v>-</v>
          </cell>
          <cell r="N378" t="str">
            <v>-</v>
          </cell>
          <cell r="O378" t="str">
            <v>-</v>
          </cell>
        </row>
        <row r="379">
          <cell r="A379">
            <v>63583100</v>
          </cell>
          <cell r="B379" t="str">
            <v>Kip uiensaus appelmoes gebak aardappelen 500g DLC NA-ARM</v>
          </cell>
          <cell r="C379" t="str">
            <v>-</v>
          </cell>
          <cell r="D379" t="str">
            <v>-</v>
          </cell>
          <cell r="E379" t="str">
            <v>+</v>
          </cell>
          <cell r="F379" t="str">
            <v>X</v>
          </cell>
          <cell r="G379" t="str">
            <v>-</v>
          </cell>
          <cell r="H379" t="str">
            <v>X</v>
          </cell>
          <cell r="I379" t="str">
            <v>-</v>
          </cell>
          <cell r="J379" t="str">
            <v>-</v>
          </cell>
          <cell r="K379" t="str">
            <v>+</v>
          </cell>
          <cell r="L379" t="str">
            <v>-</v>
          </cell>
          <cell r="M379" t="str">
            <v>X</v>
          </cell>
          <cell r="N379" t="str">
            <v>-</v>
          </cell>
          <cell r="O379" t="str">
            <v>-</v>
          </cell>
        </row>
        <row r="380">
          <cell r="A380">
            <v>63583400</v>
          </cell>
          <cell r="B380" t="str">
            <v>Zalm dille mosterd saus puree tuink 500g DLC NA Arm</v>
          </cell>
          <cell r="C380" t="str">
            <v>-</v>
          </cell>
          <cell r="D380" t="str">
            <v>+</v>
          </cell>
          <cell r="E380" t="str">
            <v>X</v>
          </cell>
          <cell r="F380" t="str">
            <v>-</v>
          </cell>
          <cell r="G380" t="str">
            <v>+</v>
          </cell>
          <cell r="H380" t="str">
            <v>+</v>
          </cell>
          <cell r="I380" t="str">
            <v>-</v>
          </cell>
          <cell r="J380" t="str">
            <v>-</v>
          </cell>
          <cell r="K380" t="str">
            <v>+</v>
          </cell>
          <cell r="L380" t="str">
            <v>-</v>
          </cell>
          <cell r="M380" t="str">
            <v>+</v>
          </cell>
          <cell r="N380" t="str">
            <v>+</v>
          </cell>
          <cell r="O380" t="str">
            <v>-</v>
          </cell>
        </row>
        <row r="381">
          <cell r="A381">
            <v>63586100</v>
          </cell>
          <cell r="B381" t="str">
            <v xml:space="preserve">Rundsvlees uiensaus bloemkool bechamel aardappel  500g DLC </v>
          </cell>
          <cell r="C381" t="str">
            <v>-</v>
          </cell>
          <cell r="D381" t="str">
            <v>-</v>
          </cell>
          <cell r="E381" t="str">
            <v>+</v>
          </cell>
          <cell r="F381" t="str">
            <v>X</v>
          </cell>
          <cell r="G381" t="str">
            <v>+</v>
          </cell>
          <cell r="H381" t="str">
            <v>X</v>
          </cell>
          <cell r="I381" t="str">
            <v>-</v>
          </cell>
          <cell r="J381" t="str">
            <v>-</v>
          </cell>
          <cell r="K381" t="str">
            <v>+</v>
          </cell>
          <cell r="L381" t="str">
            <v>-</v>
          </cell>
          <cell r="M381" t="str">
            <v>X</v>
          </cell>
          <cell r="N381" t="str">
            <v>-</v>
          </cell>
          <cell r="O381" t="str">
            <v>-</v>
          </cell>
        </row>
        <row r="382">
          <cell r="A382">
            <v>63586200</v>
          </cell>
          <cell r="B382" t="str">
            <v>Gebakken kalfsworst mosterd spinazie stoemp 500g DLC NA- Arm</v>
          </cell>
          <cell r="C382" t="str">
            <v>X</v>
          </cell>
          <cell r="D382" t="str">
            <v>X</v>
          </cell>
          <cell r="E382" t="str">
            <v>+</v>
          </cell>
          <cell r="F382" t="str">
            <v>X</v>
          </cell>
          <cell r="G382" t="str">
            <v>+</v>
          </cell>
          <cell r="H382" t="str">
            <v>+</v>
          </cell>
          <cell r="I382" t="str">
            <v>X</v>
          </cell>
          <cell r="J382" t="str">
            <v>X</v>
          </cell>
          <cell r="K382" t="str">
            <v>+</v>
          </cell>
          <cell r="L382" t="str">
            <v>X</v>
          </cell>
          <cell r="M382" t="str">
            <v>X</v>
          </cell>
          <cell r="N382" t="str">
            <v>X</v>
          </cell>
          <cell r="O382" t="str">
            <v>-</v>
          </cell>
        </row>
        <row r="383">
          <cell r="A383">
            <v>63586700</v>
          </cell>
          <cell r="B383" t="str">
            <v>Kalfsblanket op grootmoeders wijze 500g DLC NA Arm</v>
          </cell>
          <cell r="C383" t="str">
            <v>-</v>
          </cell>
          <cell r="D383" t="str">
            <v>-</v>
          </cell>
          <cell r="E383" t="str">
            <v>+</v>
          </cell>
          <cell r="F383" t="str">
            <v>X</v>
          </cell>
          <cell r="G383" t="str">
            <v>+</v>
          </cell>
          <cell r="H383" t="str">
            <v>X</v>
          </cell>
          <cell r="I383" t="str">
            <v>-</v>
          </cell>
          <cell r="J383" t="str">
            <v>-</v>
          </cell>
          <cell r="K383" t="str">
            <v>+</v>
          </cell>
          <cell r="L383" t="str">
            <v>-</v>
          </cell>
          <cell r="M383" t="str">
            <v>+</v>
          </cell>
          <cell r="N383" t="str">
            <v>-</v>
          </cell>
          <cell r="O383" t="str">
            <v>-</v>
          </cell>
        </row>
        <row r="384">
          <cell r="A384">
            <v>63586800</v>
          </cell>
          <cell r="B384" t="str">
            <v>Kip alfredo mediterraanse rijst 500g DLC Na-Arm</v>
          </cell>
          <cell r="C384" t="str">
            <v>-</v>
          </cell>
          <cell r="D384" t="str">
            <v>-</v>
          </cell>
          <cell r="E384" t="str">
            <v>+</v>
          </cell>
          <cell r="F384" t="str">
            <v>X</v>
          </cell>
          <cell r="G384" t="str">
            <v>+</v>
          </cell>
          <cell r="H384" t="str">
            <v>X</v>
          </cell>
          <cell r="I384" t="str">
            <v>-</v>
          </cell>
          <cell r="J384" t="str">
            <v>-</v>
          </cell>
          <cell r="K384" t="str">
            <v>+</v>
          </cell>
          <cell r="L384" t="str">
            <v>-</v>
          </cell>
          <cell r="M384" t="str">
            <v>X</v>
          </cell>
          <cell r="N384" t="str">
            <v>-</v>
          </cell>
          <cell r="O384" t="str">
            <v>-</v>
          </cell>
        </row>
        <row r="385">
          <cell r="A385">
            <v>63587400</v>
          </cell>
          <cell r="B385" t="str">
            <v>Vispannetje duglere broccoli puree 500g DLC Na-Arm</v>
          </cell>
          <cell r="C385" t="str">
            <v>-</v>
          </cell>
          <cell r="D385" t="str">
            <v>+</v>
          </cell>
          <cell r="E385" t="str">
            <v>-</v>
          </cell>
          <cell r="F385" t="str">
            <v>-</v>
          </cell>
          <cell r="G385" t="str">
            <v>+</v>
          </cell>
          <cell r="H385" t="str">
            <v>-</v>
          </cell>
          <cell r="I385" t="str">
            <v>-</v>
          </cell>
          <cell r="J385" t="str">
            <v>X</v>
          </cell>
          <cell r="K385" t="str">
            <v>-</v>
          </cell>
          <cell r="L385" t="str">
            <v>-</v>
          </cell>
          <cell r="M385" t="str">
            <v>-</v>
          </cell>
          <cell r="N385" t="str">
            <v>+</v>
          </cell>
          <cell r="O385" t="str">
            <v>+</v>
          </cell>
        </row>
        <row r="386">
          <cell r="A386">
            <v>63587600</v>
          </cell>
          <cell r="B386" t="str">
            <v>Heek groene boontjes kreeftensaus geb aard 500g DLC NA Arm</v>
          </cell>
          <cell r="C386" t="str">
            <v>-</v>
          </cell>
          <cell r="D386" t="str">
            <v>-</v>
          </cell>
          <cell r="E386" t="str">
            <v>+</v>
          </cell>
          <cell r="F386" t="str">
            <v>X</v>
          </cell>
          <cell r="G386" t="str">
            <v>+</v>
          </cell>
          <cell r="H386" t="str">
            <v>X</v>
          </cell>
          <cell r="I386" t="str">
            <v>-</v>
          </cell>
          <cell r="J386" t="str">
            <v>+</v>
          </cell>
          <cell r="K386" t="str">
            <v>+</v>
          </cell>
          <cell r="L386" t="str">
            <v>-</v>
          </cell>
          <cell r="M386" t="str">
            <v>X</v>
          </cell>
          <cell r="N386" t="str">
            <v>+</v>
          </cell>
          <cell r="O386" t="str">
            <v>X</v>
          </cell>
        </row>
        <row r="387">
          <cell r="A387">
            <v>63587700</v>
          </cell>
          <cell r="B387" t="str">
            <v>Kip jagersaus wintergroenten waterkersstoemp 500g DLC Na arm</v>
          </cell>
          <cell r="C387" t="str">
            <v>-</v>
          </cell>
          <cell r="D387" t="str">
            <v>+</v>
          </cell>
          <cell r="E387" t="str">
            <v>-</v>
          </cell>
          <cell r="F387" t="str">
            <v>-</v>
          </cell>
          <cell r="G387" t="str">
            <v>+</v>
          </cell>
          <cell r="H387" t="str">
            <v>-</v>
          </cell>
          <cell r="I387" t="str">
            <v>-</v>
          </cell>
          <cell r="J387" t="str">
            <v>-</v>
          </cell>
          <cell r="K387" t="str">
            <v>+</v>
          </cell>
          <cell r="L387" t="str">
            <v>-</v>
          </cell>
          <cell r="M387" t="str">
            <v>-</v>
          </cell>
          <cell r="N387" t="str">
            <v>-</v>
          </cell>
          <cell r="O387" t="str">
            <v>-</v>
          </cell>
        </row>
        <row r="388">
          <cell r="A388">
            <v>63587800</v>
          </cell>
          <cell r="B388" t="str">
            <v xml:space="preserve">Kabeljauw puttanesca linguini aubergine courgette 500g DLC </v>
          </cell>
          <cell r="C388" t="str">
            <v>-</v>
          </cell>
          <cell r="D388" t="str">
            <v>X</v>
          </cell>
          <cell r="E388" t="str">
            <v>+</v>
          </cell>
          <cell r="F388" t="str">
            <v>X</v>
          </cell>
          <cell r="G388" t="str">
            <v>-</v>
          </cell>
          <cell r="H388" t="str">
            <v>X</v>
          </cell>
          <cell r="I388" t="str">
            <v>-</v>
          </cell>
          <cell r="J388" t="str">
            <v>-</v>
          </cell>
          <cell r="K388" t="str">
            <v>-</v>
          </cell>
          <cell r="L388" t="str">
            <v>-</v>
          </cell>
          <cell r="M388" t="str">
            <v>X</v>
          </cell>
          <cell r="N388" t="str">
            <v>+</v>
          </cell>
          <cell r="O388" t="str">
            <v>-</v>
          </cell>
        </row>
        <row r="389">
          <cell r="A389">
            <v>63588800</v>
          </cell>
          <cell r="B389" t="str">
            <v>Vol au vent aardapelpotje spitskool 500g DLC NA Arm</v>
          </cell>
          <cell r="C389" t="str">
            <v>-</v>
          </cell>
          <cell r="D389" t="str">
            <v>X</v>
          </cell>
          <cell r="E389" t="str">
            <v>+</v>
          </cell>
          <cell r="F389" t="str">
            <v>X</v>
          </cell>
          <cell r="G389" t="str">
            <v>+</v>
          </cell>
          <cell r="H389" t="str">
            <v>X</v>
          </cell>
          <cell r="I389" t="str">
            <v>-</v>
          </cell>
          <cell r="J389" t="str">
            <v>X</v>
          </cell>
          <cell r="K389" t="str">
            <v>+</v>
          </cell>
          <cell r="L389" t="str">
            <v>-</v>
          </cell>
          <cell r="M389" t="str">
            <v>X</v>
          </cell>
          <cell r="N389" t="str">
            <v>X</v>
          </cell>
          <cell r="O389" t="str">
            <v>X</v>
          </cell>
        </row>
        <row r="390">
          <cell r="A390">
            <v>63589200</v>
          </cell>
          <cell r="B390" t="str">
            <v>Spaghetti bolognaise 500g DLC NA-ARM</v>
          </cell>
          <cell r="C390" t="str">
            <v>-</v>
          </cell>
          <cell r="D390" t="str">
            <v>X</v>
          </cell>
          <cell r="E390" t="str">
            <v>+</v>
          </cell>
          <cell r="F390" t="str">
            <v>X</v>
          </cell>
          <cell r="G390" t="str">
            <v>-</v>
          </cell>
          <cell r="H390" t="str">
            <v>X</v>
          </cell>
          <cell r="I390" t="str">
            <v>-</v>
          </cell>
          <cell r="J390" t="str">
            <v>-</v>
          </cell>
          <cell r="K390" t="str">
            <v>+</v>
          </cell>
          <cell r="L390" t="str">
            <v>-</v>
          </cell>
          <cell r="M390" t="str">
            <v>X</v>
          </cell>
          <cell r="N390" t="str">
            <v>-</v>
          </cell>
          <cell r="O390" t="str">
            <v>-</v>
          </cell>
        </row>
        <row r="391">
          <cell r="A391">
            <v>63589300</v>
          </cell>
          <cell r="B391" t="str">
            <v>Hamburger witloof brabançonne groen kool aardappel 500g DLC</v>
          </cell>
          <cell r="C391" t="str">
            <v>-</v>
          </cell>
          <cell r="D391" t="str">
            <v>+</v>
          </cell>
          <cell r="E391" t="str">
            <v>+</v>
          </cell>
          <cell r="F391" t="str">
            <v>X</v>
          </cell>
          <cell r="G391" t="str">
            <v>+</v>
          </cell>
          <cell r="H391" t="str">
            <v>X</v>
          </cell>
          <cell r="I391" t="str">
            <v>-</v>
          </cell>
          <cell r="J391" t="str">
            <v>-</v>
          </cell>
          <cell r="K391" t="str">
            <v>X</v>
          </cell>
          <cell r="L391" t="str">
            <v>-</v>
          </cell>
          <cell r="M391" t="str">
            <v>X</v>
          </cell>
          <cell r="N391" t="str">
            <v>-</v>
          </cell>
          <cell r="O391" t="str">
            <v>-</v>
          </cell>
        </row>
        <row r="392">
          <cell r="A392">
            <v>63589400</v>
          </cell>
          <cell r="B392" t="str">
            <v>Gebakken blinde vink zuid wijze aardapkub 500g DLC NA Arm</v>
          </cell>
          <cell r="C392" t="str">
            <v>X</v>
          </cell>
          <cell r="D392" t="str">
            <v>X</v>
          </cell>
          <cell r="E392" t="str">
            <v>X</v>
          </cell>
          <cell r="F392" t="str">
            <v>X</v>
          </cell>
          <cell r="G392" t="str">
            <v>X</v>
          </cell>
          <cell r="H392" t="str">
            <v>X</v>
          </cell>
          <cell r="I392" t="str">
            <v>X</v>
          </cell>
          <cell r="J392" t="str">
            <v>X</v>
          </cell>
          <cell r="K392" t="str">
            <v>+</v>
          </cell>
          <cell r="L392" t="str">
            <v>X</v>
          </cell>
          <cell r="M392" t="str">
            <v>X</v>
          </cell>
          <cell r="N392" t="str">
            <v>X</v>
          </cell>
          <cell r="O392" t="str">
            <v>-</v>
          </cell>
        </row>
        <row r="393">
          <cell r="A393">
            <v>63589500</v>
          </cell>
          <cell r="B393" t="str">
            <v>Kalfsgehaktbal archiduc gest prei krieltjes 500g DLC Na-arm</v>
          </cell>
          <cell r="C393" t="str">
            <v>X</v>
          </cell>
          <cell r="D393" t="str">
            <v>X</v>
          </cell>
          <cell r="E393" t="str">
            <v>+</v>
          </cell>
          <cell r="F393" t="str">
            <v>X</v>
          </cell>
          <cell r="G393" t="str">
            <v>+</v>
          </cell>
          <cell r="H393" t="str">
            <v>X</v>
          </cell>
          <cell r="I393" t="str">
            <v>X</v>
          </cell>
          <cell r="J393" t="str">
            <v>X</v>
          </cell>
          <cell r="K393" t="str">
            <v>+</v>
          </cell>
          <cell r="L393" t="str">
            <v>X</v>
          </cell>
          <cell r="M393" t="str">
            <v>X</v>
          </cell>
          <cell r="N393" t="str">
            <v>X</v>
          </cell>
          <cell r="O393" t="str">
            <v>X</v>
          </cell>
        </row>
        <row r="394">
          <cell r="A394">
            <v>63596300</v>
          </cell>
          <cell r="B394" t="str">
            <v>Bloemkoolsoep 300g DMC</v>
          </cell>
          <cell r="C394" t="str">
            <v>-</v>
          </cell>
          <cell r="D394" t="str">
            <v>X</v>
          </cell>
          <cell r="E394" t="str">
            <v>-</v>
          </cell>
          <cell r="F394" t="str">
            <v>-</v>
          </cell>
          <cell r="G394" t="str">
            <v>+</v>
          </cell>
          <cell r="H394" t="str">
            <v>-</v>
          </cell>
          <cell r="I394" t="str">
            <v>-</v>
          </cell>
          <cell r="J394" t="str">
            <v>-</v>
          </cell>
          <cell r="K394" t="str">
            <v>+</v>
          </cell>
          <cell r="L394" t="str">
            <v>-</v>
          </cell>
          <cell r="M394" t="str">
            <v>-</v>
          </cell>
          <cell r="N394" t="str">
            <v>-</v>
          </cell>
          <cell r="O394" t="str">
            <v>-</v>
          </cell>
        </row>
        <row r="395">
          <cell r="A395">
            <v>63596400</v>
          </cell>
          <cell r="B395" t="str">
            <v>Kervelsoep 300g DMC</v>
          </cell>
          <cell r="C395" t="str">
            <v>-</v>
          </cell>
          <cell r="D395" t="str">
            <v>X</v>
          </cell>
          <cell r="E395" t="str">
            <v>-</v>
          </cell>
          <cell r="F395" t="str">
            <v>-</v>
          </cell>
          <cell r="G395" t="str">
            <v>+</v>
          </cell>
          <cell r="H395" t="str">
            <v>-</v>
          </cell>
          <cell r="I395" t="str">
            <v>-</v>
          </cell>
          <cell r="J395" t="str">
            <v>-</v>
          </cell>
          <cell r="K395" t="str">
            <v>+</v>
          </cell>
          <cell r="L395" t="str">
            <v>-</v>
          </cell>
          <cell r="M395" t="str">
            <v>-</v>
          </cell>
          <cell r="N395" t="str">
            <v>-</v>
          </cell>
          <cell r="O395" t="str">
            <v>-</v>
          </cell>
        </row>
        <row r="396">
          <cell r="A396">
            <v>63596500</v>
          </cell>
          <cell r="B396" t="str">
            <v>Tomatenvelouté met balletjes 300g DMC</v>
          </cell>
          <cell r="C396" t="str">
            <v>-</v>
          </cell>
          <cell r="D396" t="str">
            <v>X</v>
          </cell>
          <cell r="E396" t="str">
            <v>+</v>
          </cell>
          <cell r="F396" t="str">
            <v>X</v>
          </cell>
          <cell r="G396" t="str">
            <v>+</v>
          </cell>
          <cell r="H396" t="str">
            <v>X</v>
          </cell>
          <cell r="I396" t="str">
            <v>-</v>
          </cell>
          <cell r="J396" t="str">
            <v>X</v>
          </cell>
          <cell r="K396" t="str">
            <v>+</v>
          </cell>
          <cell r="L396" t="str">
            <v>-</v>
          </cell>
          <cell r="M396" t="str">
            <v>X</v>
          </cell>
          <cell r="N396" t="str">
            <v>X</v>
          </cell>
          <cell r="O396" t="str">
            <v>X</v>
          </cell>
        </row>
        <row r="397">
          <cell r="A397">
            <v>63596600</v>
          </cell>
          <cell r="B397" t="str">
            <v>Champignonroomsoep 300g DMC</v>
          </cell>
          <cell r="C397" t="str">
            <v>-</v>
          </cell>
          <cell r="D397" t="str">
            <v>X</v>
          </cell>
          <cell r="E397" t="str">
            <v>+</v>
          </cell>
          <cell r="F397" t="str">
            <v>X</v>
          </cell>
          <cell r="G397" t="str">
            <v>+</v>
          </cell>
          <cell r="H397" t="str">
            <v>X</v>
          </cell>
          <cell r="I397" t="str">
            <v>-</v>
          </cell>
          <cell r="J397" t="str">
            <v>-</v>
          </cell>
          <cell r="K397" t="str">
            <v>+</v>
          </cell>
          <cell r="L397" t="str">
            <v>-</v>
          </cell>
          <cell r="M397" t="str">
            <v>X</v>
          </cell>
          <cell r="N397" t="str">
            <v>-</v>
          </cell>
          <cell r="O397" t="str">
            <v>-</v>
          </cell>
        </row>
        <row r="398">
          <cell r="A398">
            <v>63596700</v>
          </cell>
          <cell r="B398" t="str">
            <v>Groentensoep met balletjes 300g DMC</v>
          </cell>
          <cell r="C398" t="str">
            <v>-</v>
          </cell>
          <cell r="D398" t="str">
            <v>X</v>
          </cell>
          <cell r="E398" t="str">
            <v>X</v>
          </cell>
          <cell r="F398" t="str">
            <v>-</v>
          </cell>
          <cell r="G398" t="str">
            <v>X</v>
          </cell>
          <cell r="H398" t="str">
            <v>X</v>
          </cell>
          <cell r="I398" t="str">
            <v>-</v>
          </cell>
          <cell r="J398" t="str">
            <v>X</v>
          </cell>
          <cell r="K398" t="str">
            <v>+</v>
          </cell>
          <cell r="L398" t="str">
            <v>-</v>
          </cell>
          <cell r="M398" t="str">
            <v>X</v>
          </cell>
          <cell r="N398" t="str">
            <v>X</v>
          </cell>
          <cell r="O398" t="str">
            <v>X</v>
          </cell>
        </row>
        <row r="399">
          <cell r="A399">
            <v>63596800</v>
          </cell>
          <cell r="B399" t="str">
            <v>Kippensoep met stukjes kip 300g DMC</v>
          </cell>
          <cell r="C399" t="str">
            <v>-</v>
          </cell>
          <cell r="D399" t="str">
            <v>X</v>
          </cell>
          <cell r="E399" t="str">
            <v>+</v>
          </cell>
          <cell r="F399" t="str">
            <v>X</v>
          </cell>
          <cell r="G399" t="str">
            <v>+</v>
          </cell>
          <cell r="H399" t="str">
            <v>X</v>
          </cell>
          <cell r="I399" t="str">
            <v>-</v>
          </cell>
          <cell r="J399" t="str">
            <v>-</v>
          </cell>
          <cell r="K399" t="str">
            <v>+</v>
          </cell>
          <cell r="L399" t="str">
            <v>-</v>
          </cell>
          <cell r="M399" t="str">
            <v>X</v>
          </cell>
          <cell r="N399" t="str">
            <v>-</v>
          </cell>
          <cell r="O399" t="str">
            <v>-</v>
          </cell>
        </row>
        <row r="400">
          <cell r="A400">
            <v>63596900</v>
          </cell>
          <cell r="B400" t="str">
            <v>Aspergesoep 300g DMC</v>
          </cell>
          <cell r="C400" t="str">
            <v>-</v>
          </cell>
          <cell r="D400" t="str">
            <v>-</v>
          </cell>
          <cell r="E400" t="str">
            <v>+</v>
          </cell>
          <cell r="F400" t="str">
            <v>X</v>
          </cell>
          <cell r="G400" t="str">
            <v>+</v>
          </cell>
          <cell r="H400" t="str">
            <v>X</v>
          </cell>
          <cell r="I400" t="str">
            <v>-</v>
          </cell>
          <cell r="J400" t="str">
            <v>-</v>
          </cell>
          <cell r="K400" t="str">
            <v>+</v>
          </cell>
          <cell r="L400" t="str">
            <v>-</v>
          </cell>
          <cell r="M400" t="str">
            <v>X</v>
          </cell>
          <cell r="N400" t="str">
            <v>-</v>
          </cell>
          <cell r="O400" t="str">
            <v>-</v>
          </cell>
        </row>
        <row r="401">
          <cell r="A401">
            <v>63597000</v>
          </cell>
          <cell r="B401" t="str">
            <v>Pompoensoep 300g DMC</v>
          </cell>
          <cell r="C401" t="str">
            <v>-</v>
          </cell>
          <cell r="D401" t="str">
            <v>-</v>
          </cell>
          <cell r="E401" t="str">
            <v>X</v>
          </cell>
          <cell r="F401" t="str">
            <v>-</v>
          </cell>
          <cell r="G401" t="str">
            <v>+</v>
          </cell>
          <cell r="H401" t="str">
            <v>X</v>
          </cell>
          <cell r="I401" t="str">
            <v>-</v>
          </cell>
          <cell r="J401" t="str">
            <v>-</v>
          </cell>
          <cell r="K401" t="str">
            <v>+</v>
          </cell>
          <cell r="L401" t="str">
            <v>-</v>
          </cell>
          <cell r="M401" t="str">
            <v>-</v>
          </cell>
          <cell r="N401" t="str">
            <v>-</v>
          </cell>
          <cell r="O401" t="str">
            <v>-</v>
          </cell>
        </row>
        <row r="402">
          <cell r="A402">
            <v>63597100</v>
          </cell>
          <cell r="B402" t="str">
            <v>Erwtensoep 300g DMC</v>
          </cell>
          <cell r="C402" t="str">
            <v>-</v>
          </cell>
          <cell r="D402" t="str">
            <v>X</v>
          </cell>
          <cell r="E402" t="str">
            <v>X</v>
          </cell>
          <cell r="F402" t="str">
            <v>-</v>
          </cell>
          <cell r="G402" t="str">
            <v>-</v>
          </cell>
          <cell r="H402" t="str">
            <v>-</v>
          </cell>
          <cell r="I402" t="str">
            <v>-</v>
          </cell>
          <cell r="J402" t="str">
            <v>-</v>
          </cell>
          <cell r="K402" t="str">
            <v>+</v>
          </cell>
          <cell r="L402" t="str">
            <v>-</v>
          </cell>
          <cell r="M402" t="str">
            <v>X</v>
          </cell>
          <cell r="N402" t="str">
            <v>-</v>
          </cell>
          <cell r="O402" t="str">
            <v>-</v>
          </cell>
        </row>
        <row r="403">
          <cell r="A403">
            <v>63597200</v>
          </cell>
          <cell r="B403" t="str">
            <v>Ajuinsoep franse wijze 300g DMC</v>
          </cell>
          <cell r="C403" t="str">
            <v>-</v>
          </cell>
          <cell r="D403" t="str">
            <v>X</v>
          </cell>
          <cell r="E403" t="str">
            <v>-</v>
          </cell>
          <cell r="F403" t="str">
            <v>-</v>
          </cell>
          <cell r="G403" t="str">
            <v>-</v>
          </cell>
          <cell r="H403" t="str">
            <v>-</v>
          </cell>
          <cell r="I403" t="str">
            <v>-</v>
          </cell>
          <cell r="J403" t="str">
            <v>-</v>
          </cell>
          <cell r="K403" t="str">
            <v>+</v>
          </cell>
          <cell r="L403" t="str">
            <v>-</v>
          </cell>
          <cell r="M403" t="str">
            <v>-</v>
          </cell>
          <cell r="N403" t="str">
            <v>-</v>
          </cell>
          <cell r="O403" t="str">
            <v>-</v>
          </cell>
        </row>
        <row r="404">
          <cell r="A404">
            <v>63599800</v>
          </cell>
          <cell r="B404" t="str">
            <v>Vlaamse stoverij 400g DMC - croque gel</v>
          </cell>
          <cell r="C404" t="str">
            <v>-</v>
          </cell>
          <cell r="D404" t="str">
            <v>-</v>
          </cell>
          <cell r="E404" t="str">
            <v>+</v>
          </cell>
          <cell r="F404" t="str">
            <v>-</v>
          </cell>
          <cell r="G404" t="str">
            <v>-</v>
          </cell>
          <cell r="H404" t="str">
            <v>+</v>
          </cell>
          <cell r="I404" t="str">
            <v>-</v>
          </cell>
          <cell r="J404" t="str">
            <v>-</v>
          </cell>
          <cell r="K404" t="str">
            <v>+</v>
          </cell>
          <cell r="L404" t="str">
            <v>-</v>
          </cell>
          <cell r="M404" t="str">
            <v>-</v>
          </cell>
          <cell r="N404" t="str">
            <v>-</v>
          </cell>
          <cell r="O404" t="str">
            <v>-</v>
          </cell>
        </row>
        <row r="405">
          <cell r="A405">
            <v>63804300</v>
          </cell>
          <cell r="B405" t="str">
            <v>Ham witloofgratin nieuwe puree 450g Iglo</v>
          </cell>
          <cell r="C405" t="str">
            <v>-</v>
          </cell>
          <cell r="D405" t="str">
            <v>+</v>
          </cell>
          <cell r="E405" t="str">
            <v>+</v>
          </cell>
          <cell r="F405" t="str">
            <v>-</v>
          </cell>
          <cell r="G405" t="str">
            <v>+</v>
          </cell>
          <cell r="H405" t="str">
            <v>-</v>
          </cell>
          <cell r="I405" t="str">
            <v>-</v>
          </cell>
          <cell r="J405" t="str">
            <v>-</v>
          </cell>
          <cell r="K405" t="str">
            <v>-</v>
          </cell>
          <cell r="L405" t="str">
            <v>-</v>
          </cell>
          <cell r="M405" t="str">
            <v>-</v>
          </cell>
          <cell r="N405" t="str">
            <v>-</v>
          </cell>
          <cell r="O405" t="str">
            <v>-</v>
          </cell>
        </row>
        <row r="406">
          <cell r="A406">
            <v>63805600</v>
          </cell>
          <cell r="B406" t="str">
            <v xml:space="preserve">Braadworst wortelstamppot 450g Iglo </v>
          </cell>
          <cell r="C406" t="str">
            <v>-</v>
          </cell>
          <cell r="D406" t="str">
            <v>X</v>
          </cell>
          <cell r="E406" t="str">
            <v>+</v>
          </cell>
          <cell r="F406" t="str">
            <v>-</v>
          </cell>
          <cell r="G406" t="str">
            <v>+</v>
          </cell>
          <cell r="H406" t="str">
            <v>X</v>
          </cell>
          <cell r="I406" t="str">
            <v>-</v>
          </cell>
          <cell r="J406" t="str">
            <v>-</v>
          </cell>
          <cell r="K406" t="str">
            <v>X</v>
          </cell>
          <cell r="L406" t="str">
            <v>-</v>
          </cell>
          <cell r="M406" t="str">
            <v>-</v>
          </cell>
          <cell r="N406" t="str">
            <v>-</v>
          </cell>
          <cell r="O406" t="str">
            <v>-</v>
          </cell>
        </row>
        <row r="407">
          <cell r="A407">
            <v>63808200</v>
          </cell>
          <cell r="B407" t="str">
            <v xml:space="preserve">Macaroni ham kaas 450g Iglo </v>
          </cell>
          <cell r="C407" t="str">
            <v>-</v>
          </cell>
          <cell r="D407" t="str">
            <v>X</v>
          </cell>
          <cell r="E407" t="str">
            <v>+</v>
          </cell>
          <cell r="F407" t="str">
            <v>X</v>
          </cell>
          <cell r="G407" t="str">
            <v>+</v>
          </cell>
          <cell r="H407" t="str">
            <v>X</v>
          </cell>
          <cell r="I407" t="str">
            <v>-</v>
          </cell>
          <cell r="J407" t="str">
            <v>-</v>
          </cell>
          <cell r="K407" t="str">
            <v>+</v>
          </cell>
          <cell r="L407" t="str">
            <v>-</v>
          </cell>
          <cell r="M407" t="str">
            <v>X</v>
          </cell>
          <cell r="N407" t="str">
            <v>-</v>
          </cell>
          <cell r="O407" t="str">
            <v>-</v>
          </cell>
        </row>
        <row r="408">
          <cell r="A408">
            <v>63808400</v>
          </cell>
          <cell r="B408" t="str">
            <v xml:space="preserve">Penne 4 kazen 450g - Iglo </v>
          </cell>
          <cell r="C408" t="str">
            <v>-</v>
          </cell>
          <cell r="D408" t="str">
            <v>X</v>
          </cell>
          <cell r="E408" t="str">
            <v>+</v>
          </cell>
          <cell r="F408" t="str">
            <v>X</v>
          </cell>
          <cell r="G408" t="str">
            <v>+</v>
          </cell>
          <cell r="H408" t="str">
            <v>X</v>
          </cell>
          <cell r="I408" t="str">
            <v>-</v>
          </cell>
          <cell r="J408" t="str">
            <v>-</v>
          </cell>
          <cell r="K408" t="str">
            <v>+</v>
          </cell>
          <cell r="L408" t="str">
            <v>-</v>
          </cell>
          <cell r="M408" t="str">
            <v>X</v>
          </cell>
          <cell r="N408" t="str">
            <v>-</v>
          </cell>
          <cell r="O408" t="str">
            <v>-</v>
          </cell>
        </row>
        <row r="409">
          <cell r="A409">
            <v>63808500</v>
          </cell>
          <cell r="B409" t="str">
            <v>Aardappelgratin met spinazie 450g IGLO</v>
          </cell>
          <cell r="C409" t="str">
            <v>-</v>
          </cell>
          <cell r="D409" t="str">
            <v>+</v>
          </cell>
          <cell r="E409" t="str">
            <v>+</v>
          </cell>
          <cell r="F409" t="str">
            <v>-</v>
          </cell>
          <cell r="G409" t="str">
            <v>+</v>
          </cell>
          <cell r="H409" t="str">
            <v>-</v>
          </cell>
          <cell r="I409" t="str">
            <v>-</v>
          </cell>
          <cell r="J409" t="str">
            <v>-</v>
          </cell>
          <cell r="K409" t="str">
            <v>+</v>
          </cell>
          <cell r="L409" t="str">
            <v>-</v>
          </cell>
          <cell r="M409" t="str">
            <v>-</v>
          </cell>
          <cell r="N409" t="str">
            <v>-</v>
          </cell>
          <cell r="O409" t="str">
            <v>-</v>
          </cell>
        </row>
        <row r="410">
          <cell r="A410">
            <v>63808600</v>
          </cell>
          <cell r="B410" t="str">
            <v>Balletjes tomatensaus puree - 450g IGLO</v>
          </cell>
          <cell r="C410" t="str">
            <v>-</v>
          </cell>
          <cell r="D410" t="str">
            <v>+</v>
          </cell>
          <cell r="E410" t="str">
            <v>+</v>
          </cell>
          <cell r="F410" t="str">
            <v>X</v>
          </cell>
          <cell r="G410" t="str">
            <v>+</v>
          </cell>
          <cell r="H410" t="str">
            <v>X</v>
          </cell>
          <cell r="I410" t="str">
            <v>-</v>
          </cell>
          <cell r="J410" t="str">
            <v>-</v>
          </cell>
          <cell r="K410" t="str">
            <v>+</v>
          </cell>
          <cell r="L410" t="str">
            <v>-</v>
          </cell>
          <cell r="M410" t="str">
            <v>X</v>
          </cell>
          <cell r="N410" t="str">
            <v>-</v>
          </cell>
          <cell r="O410" t="str">
            <v>-</v>
          </cell>
        </row>
        <row r="411">
          <cell r="A411">
            <v>63809000</v>
          </cell>
          <cell r="B411" t="str">
            <v>Lasagne Bolognaise 450g Iglo New</v>
          </cell>
          <cell r="C411" t="str">
            <v>-</v>
          </cell>
          <cell r="D411" t="str">
            <v>+</v>
          </cell>
          <cell r="E411" t="str">
            <v>+</v>
          </cell>
          <cell r="F411" t="str">
            <v>-</v>
          </cell>
          <cell r="G411" t="str">
            <v>+</v>
          </cell>
          <cell r="H411" t="str">
            <v>X</v>
          </cell>
          <cell r="I411" t="str">
            <v>-</v>
          </cell>
          <cell r="J411" t="str">
            <v>-</v>
          </cell>
          <cell r="K411" t="str">
            <v>+</v>
          </cell>
          <cell r="L411" t="str">
            <v>-</v>
          </cell>
          <cell r="M411" t="str">
            <v>-</v>
          </cell>
          <cell r="N411" t="str">
            <v>-</v>
          </cell>
          <cell r="O411" t="str">
            <v>X</v>
          </cell>
        </row>
        <row r="412">
          <cell r="A412">
            <v>63809200</v>
          </cell>
          <cell r="B412" t="str">
            <v xml:space="preserve">Spaghetti bolognaise 450g IGLO </v>
          </cell>
          <cell r="C412" t="str">
            <v>-</v>
          </cell>
          <cell r="D412" t="str">
            <v>X</v>
          </cell>
          <cell r="E412" t="str">
            <v>+</v>
          </cell>
          <cell r="F412" t="str">
            <v>X</v>
          </cell>
          <cell r="G412" t="str">
            <v>-</v>
          </cell>
          <cell r="H412" t="str">
            <v>X</v>
          </cell>
          <cell r="I412" t="str">
            <v>-</v>
          </cell>
          <cell r="J412" t="str">
            <v>-</v>
          </cell>
          <cell r="K412" t="str">
            <v>+</v>
          </cell>
          <cell r="L412" t="str">
            <v>-</v>
          </cell>
          <cell r="M412" t="str">
            <v>X</v>
          </cell>
          <cell r="N412" t="str">
            <v>-</v>
          </cell>
          <cell r="O412" t="str">
            <v>-</v>
          </cell>
        </row>
        <row r="413">
          <cell r="A413">
            <v>63809300</v>
          </cell>
          <cell r="B413" t="str">
            <v>Zalm ASC groenten mosterd boterpuree 450g IGLO</v>
          </cell>
          <cell r="C413" t="str">
            <v>-</v>
          </cell>
          <cell r="D413" t="str">
            <v>+</v>
          </cell>
          <cell r="E413" t="str">
            <v>+</v>
          </cell>
          <cell r="F413" t="str">
            <v>-</v>
          </cell>
          <cell r="G413" t="str">
            <v>+</v>
          </cell>
          <cell r="H413" t="str">
            <v>+</v>
          </cell>
          <cell r="I413" t="str">
            <v>-</v>
          </cell>
          <cell r="J413" t="str">
            <v>-</v>
          </cell>
          <cell r="K413" t="str">
            <v>+</v>
          </cell>
          <cell r="L413" t="str">
            <v>-</v>
          </cell>
          <cell r="M413" t="str">
            <v>-</v>
          </cell>
          <cell r="N413" t="str">
            <v>+</v>
          </cell>
          <cell r="O413" t="str">
            <v>-</v>
          </cell>
        </row>
        <row r="414">
          <cell r="A414">
            <v>63809400</v>
          </cell>
          <cell r="B414" t="str">
            <v>Kabeljauw MSC groenten vissaus puree 450g IGLO</v>
          </cell>
          <cell r="C414" t="str">
            <v>-</v>
          </cell>
          <cell r="D414" t="str">
            <v>+</v>
          </cell>
          <cell r="E414" t="str">
            <v>+</v>
          </cell>
          <cell r="F414" t="str">
            <v>-</v>
          </cell>
          <cell r="G414" t="str">
            <v>+</v>
          </cell>
          <cell r="H414" t="str">
            <v>-</v>
          </cell>
          <cell r="I414" t="str">
            <v>-</v>
          </cell>
          <cell r="J414" t="str">
            <v>-</v>
          </cell>
          <cell r="K414" t="str">
            <v>+</v>
          </cell>
          <cell r="L414" t="str">
            <v>-</v>
          </cell>
          <cell r="M414" t="str">
            <v>-</v>
          </cell>
          <cell r="N414" t="str">
            <v>+</v>
          </cell>
          <cell r="O414" t="str">
            <v>-</v>
          </cell>
        </row>
        <row r="415">
          <cell r="A415">
            <v>63809600</v>
          </cell>
          <cell r="B415" t="str">
            <v>Rundstong madeirasaus verse puree 450 IGLO</v>
          </cell>
          <cell r="C415" t="str">
            <v>-</v>
          </cell>
          <cell r="D415" t="str">
            <v>+</v>
          </cell>
          <cell r="E415" t="str">
            <v>+</v>
          </cell>
          <cell r="F415" t="str">
            <v>-</v>
          </cell>
          <cell r="G415" t="str">
            <v>+</v>
          </cell>
          <cell r="H415" t="str">
            <v>-</v>
          </cell>
          <cell r="I415" t="str">
            <v>-</v>
          </cell>
          <cell r="J415" t="str">
            <v>-</v>
          </cell>
          <cell r="K415" t="str">
            <v>+</v>
          </cell>
          <cell r="L415" t="str">
            <v>-</v>
          </cell>
          <cell r="M415" t="str">
            <v>-</v>
          </cell>
          <cell r="N415" t="str">
            <v>-</v>
          </cell>
          <cell r="O415" t="str">
            <v>-</v>
          </cell>
        </row>
        <row r="416">
          <cell r="A416">
            <v>63809800</v>
          </cell>
          <cell r="B416" t="str">
            <v>Lasagne Bolognaise vegetarisch 450g IGLO</v>
          </cell>
          <cell r="C416" t="str">
            <v>-</v>
          </cell>
          <cell r="D416" t="str">
            <v>X</v>
          </cell>
          <cell r="E416" t="str">
            <v>+</v>
          </cell>
          <cell r="F416" t="str">
            <v>-</v>
          </cell>
          <cell r="G416" t="str">
            <v>+</v>
          </cell>
          <cell r="H416" t="str">
            <v>-</v>
          </cell>
          <cell r="I416" t="str">
            <v>-</v>
          </cell>
          <cell r="J416" t="str">
            <v>-</v>
          </cell>
          <cell r="K416" t="str">
            <v>+</v>
          </cell>
          <cell r="L416" t="str">
            <v>-</v>
          </cell>
          <cell r="M416" t="str">
            <v>-</v>
          </cell>
          <cell r="N416" t="str">
            <v>-</v>
          </cell>
          <cell r="O416" t="str">
            <v>-</v>
          </cell>
        </row>
        <row r="417">
          <cell r="A417">
            <v>63810000</v>
          </cell>
          <cell r="B417" t="str">
            <v>Vol au vent puree 425g Iglo</v>
          </cell>
          <cell r="C417" t="str">
            <v>-</v>
          </cell>
          <cell r="D417" t="str">
            <v>+</v>
          </cell>
          <cell r="E417" t="str">
            <v>+</v>
          </cell>
          <cell r="F417" t="str">
            <v>-</v>
          </cell>
          <cell r="G417" t="str">
            <v>+</v>
          </cell>
          <cell r="H417" t="str">
            <v>X</v>
          </cell>
          <cell r="I417" t="str">
            <v>-</v>
          </cell>
          <cell r="J417" t="str">
            <v>X</v>
          </cell>
          <cell r="K417" t="str">
            <v>+</v>
          </cell>
          <cell r="L417" t="str">
            <v>-</v>
          </cell>
          <cell r="M417" t="str">
            <v>X</v>
          </cell>
          <cell r="N417" t="str">
            <v>X</v>
          </cell>
          <cell r="O417" t="str">
            <v>X</v>
          </cell>
        </row>
        <row r="418">
          <cell r="A418">
            <v>63810100</v>
          </cell>
          <cell r="B418" t="str">
            <v xml:space="preserve">Kipfilet witloofsaus puree 425g IGLO </v>
          </cell>
          <cell r="C418" t="str">
            <v>-</v>
          </cell>
          <cell r="D418" t="str">
            <v>+</v>
          </cell>
          <cell r="E418" t="str">
            <v>+</v>
          </cell>
          <cell r="F418" t="str">
            <v>X</v>
          </cell>
          <cell r="G418" t="str">
            <v>+</v>
          </cell>
          <cell r="H418" t="str">
            <v>X</v>
          </cell>
          <cell r="I418" t="str">
            <v>-</v>
          </cell>
          <cell r="J418" t="str">
            <v>-</v>
          </cell>
          <cell r="K418" t="str">
            <v>X</v>
          </cell>
          <cell r="L418" t="str">
            <v>-</v>
          </cell>
          <cell r="M418" t="str">
            <v>X</v>
          </cell>
          <cell r="N418" t="str">
            <v>-</v>
          </cell>
          <cell r="O418" t="str">
            <v>-</v>
          </cell>
        </row>
        <row r="419">
          <cell r="A419">
            <v>63810200</v>
          </cell>
          <cell r="B419" t="str">
            <v>Kip filet archiducsaus puree 425g IGLO</v>
          </cell>
          <cell r="C419" t="str">
            <v>-</v>
          </cell>
          <cell r="D419" t="str">
            <v>+</v>
          </cell>
          <cell r="E419" t="str">
            <v>+</v>
          </cell>
          <cell r="F419" t="str">
            <v>X</v>
          </cell>
          <cell r="G419" t="str">
            <v>+</v>
          </cell>
          <cell r="H419" t="str">
            <v>X</v>
          </cell>
          <cell r="I419" t="str">
            <v>-</v>
          </cell>
          <cell r="J419" t="str">
            <v>-</v>
          </cell>
          <cell r="K419" t="str">
            <v>X</v>
          </cell>
          <cell r="L419" t="str">
            <v>-</v>
          </cell>
          <cell r="M419" t="str">
            <v>X</v>
          </cell>
          <cell r="N419" t="str">
            <v>-</v>
          </cell>
          <cell r="O419" t="str">
            <v>-</v>
          </cell>
        </row>
        <row r="420">
          <cell r="A420">
            <v>63810300</v>
          </cell>
          <cell r="B420" t="str">
            <v>Kipfilet peperroomsaus boontjes puree 425g IGLO</v>
          </cell>
          <cell r="C420" t="str">
            <v>-</v>
          </cell>
          <cell r="D420" t="str">
            <v>+</v>
          </cell>
          <cell r="E420" t="str">
            <v>X</v>
          </cell>
          <cell r="F420" t="str">
            <v>-</v>
          </cell>
          <cell r="G420" t="str">
            <v>+</v>
          </cell>
          <cell r="H420" t="str">
            <v>X</v>
          </cell>
          <cell r="I420" t="str">
            <v>-</v>
          </cell>
          <cell r="J420" t="str">
            <v>-</v>
          </cell>
          <cell r="K420" t="str">
            <v>X</v>
          </cell>
          <cell r="L420" t="str">
            <v>-</v>
          </cell>
          <cell r="M420" t="str">
            <v>-</v>
          </cell>
          <cell r="N420" t="str">
            <v>-</v>
          </cell>
          <cell r="O420" t="str">
            <v>-</v>
          </cell>
        </row>
        <row r="421">
          <cell r="A421">
            <v>63810400</v>
          </cell>
          <cell r="B421" t="str">
            <v>Vispannetje MSC ASC puree 450g Iglo</v>
          </cell>
          <cell r="C421" t="str">
            <v>-</v>
          </cell>
          <cell r="D421" t="str">
            <v>+</v>
          </cell>
          <cell r="E421" t="str">
            <v>+</v>
          </cell>
          <cell r="F421" t="str">
            <v>-</v>
          </cell>
          <cell r="G421" t="str">
            <v>+</v>
          </cell>
          <cell r="H421" t="str">
            <v>-</v>
          </cell>
          <cell r="I421" t="str">
            <v>-</v>
          </cell>
          <cell r="J421" t="str">
            <v>+</v>
          </cell>
          <cell r="K421" t="str">
            <v>+</v>
          </cell>
          <cell r="L421" t="str">
            <v>-</v>
          </cell>
          <cell r="M421" t="str">
            <v>X</v>
          </cell>
          <cell r="N421" t="str">
            <v>+</v>
          </cell>
          <cell r="O421" t="str">
            <v>X</v>
          </cell>
        </row>
        <row r="422">
          <cell r="A422">
            <v>63810500</v>
          </cell>
          <cell r="B422" t="str">
            <v>Tagliatelle di mare MSC 450g Iglo</v>
          </cell>
          <cell r="C422" t="str">
            <v>-</v>
          </cell>
          <cell r="D422" t="str">
            <v>+</v>
          </cell>
          <cell r="E422" t="str">
            <v>+</v>
          </cell>
          <cell r="F422" t="str">
            <v>X</v>
          </cell>
          <cell r="G422" t="str">
            <v>+</v>
          </cell>
          <cell r="H422" t="str">
            <v>X</v>
          </cell>
          <cell r="I422" t="str">
            <v>-</v>
          </cell>
          <cell r="J422" t="str">
            <v>+</v>
          </cell>
          <cell r="K422" t="str">
            <v>-</v>
          </cell>
          <cell r="L422" t="str">
            <v>-</v>
          </cell>
          <cell r="M422" t="str">
            <v>X</v>
          </cell>
          <cell r="N422" t="str">
            <v>+</v>
          </cell>
          <cell r="O422" t="str">
            <v>X</v>
          </cell>
        </row>
        <row r="423">
          <cell r="A423">
            <v>63810600</v>
          </cell>
          <cell r="B423" t="str">
            <v>Lasagne Bolognaise vegetarisch 400g IGLO BE</v>
          </cell>
          <cell r="C423" t="str">
            <v>-</v>
          </cell>
          <cell r="D423" t="str">
            <v>X</v>
          </cell>
          <cell r="E423" t="str">
            <v>+</v>
          </cell>
          <cell r="F423" t="str">
            <v>-</v>
          </cell>
          <cell r="G423" t="str">
            <v>+</v>
          </cell>
          <cell r="H423" t="str">
            <v>-</v>
          </cell>
          <cell r="I423" t="str">
            <v>-</v>
          </cell>
          <cell r="J423" t="str">
            <v>-</v>
          </cell>
          <cell r="K423" t="str">
            <v>+</v>
          </cell>
          <cell r="L423" t="str">
            <v>-</v>
          </cell>
          <cell r="M423" t="str">
            <v>-</v>
          </cell>
          <cell r="N423" t="str">
            <v>-</v>
          </cell>
          <cell r="O423" t="str">
            <v>-</v>
          </cell>
        </row>
        <row r="424">
          <cell r="A424">
            <v>63810700</v>
          </cell>
          <cell r="B424" t="str">
            <v>Penne arrabiata zuiderse groenten 450g IGLO</v>
          </cell>
          <cell r="C424" t="str">
            <v>-</v>
          </cell>
          <cell r="D424" t="str">
            <v>X</v>
          </cell>
          <cell r="E424" t="str">
            <v>+</v>
          </cell>
          <cell r="F424" t="str">
            <v>X</v>
          </cell>
          <cell r="G424" t="str">
            <v>-</v>
          </cell>
          <cell r="H424" t="str">
            <v>X</v>
          </cell>
          <cell r="I424" t="str">
            <v>-</v>
          </cell>
          <cell r="J424" t="str">
            <v>-</v>
          </cell>
          <cell r="K424" t="str">
            <v>+</v>
          </cell>
          <cell r="L424" t="str">
            <v>-</v>
          </cell>
          <cell r="M424" t="str">
            <v>X</v>
          </cell>
          <cell r="N424" t="str">
            <v>-</v>
          </cell>
          <cell r="O424" t="str">
            <v>-</v>
          </cell>
        </row>
        <row r="425">
          <cell r="A425">
            <v>63810800</v>
          </cell>
          <cell r="B425" t="str">
            <v>Visgratin MSC spinazie 450g IGLO</v>
          </cell>
          <cell r="C425" t="str">
            <v>-</v>
          </cell>
          <cell r="D425" t="str">
            <v>+</v>
          </cell>
          <cell r="E425" t="str">
            <v>-</v>
          </cell>
          <cell r="F425" t="str">
            <v>-</v>
          </cell>
          <cell r="G425" t="str">
            <v>+</v>
          </cell>
          <cell r="H425" t="str">
            <v>-</v>
          </cell>
          <cell r="I425" t="str">
            <v>-</v>
          </cell>
          <cell r="J425" t="str">
            <v>-</v>
          </cell>
          <cell r="K425" t="str">
            <v>+</v>
          </cell>
          <cell r="L425" t="str">
            <v>-</v>
          </cell>
          <cell r="M425" t="str">
            <v>-</v>
          </cell>
          <cell r="N425" t="str">
            <v>+</v>
          </cell>
          <cell r="O425" t="str">
            <v>-</v>
          </cell>
        </row>
        <row r="426">
          <cell r="A426">
            <v>63811000</v>
          </cell>
          <cell r="B426" t="str">
            <v>Blinde vink jus spinaziestamppot 450g IGLO</v>
          </cell>
          <cell r="C426" t="str">
            <v>-</v>
          </cell>
          <cell r="D426" t="str">
            <v>X</v>
          </cell>
          <cell r="E426" t="str">
            <v>+</v>
          </cell>
          <cell r="F426" t="str">
            <v>-</v>
          </cell>
          <cell r="G426" t="str">
            <v>+</v>
          </cell>
          <cell r="H426" t="str">
            <v>X</v>
          </cell>
          <cell r="I426" t="str">
            <v>-</v>
          </cell>
          <cell r="J426" t="str">
            <v>-</v>
          </cell>
          <cell r="K426" t="str">
            <v>X</v>
          </cell>
          <cell r="L426" t="str">
            <v>-</v>
          </cell>
          <cell r="M426" t="str">
            <v>X</v>
          </cell>
          <cell r="N426" t="str">
            <v>-</v>
          </cell>
          <cell r="O426" t="str">
            <v>-</v>
          </cell>
        </row>
        <row r="427">
          <cell r="A427">
            <v>63811100</v>
          </cell>
          <cell r="B427" t="str">
            <v>Kip spirelli kruidensaus bonen broccoli 400g IGLO BE EW</v>
          </cell>
          <cell r="C427" t="str">
            <v>-</v>
          </cell>
          <cell r="D427" t="str">
            <v>+</v>
          </cell>
          <cell r="E427" t="str">
            <v>+</v>
          </cell>
          <cell r="F427" t="str">
            <v>X</v>
          </cell>
          <cell r="G427" t="str">
            <v>+</v>
          </cell>
          <cell r="H427" t="str">
            <v>X</v>
          </cell>
          <cell r="I427" t="str">
            <v>-</v>
          </cell>
          <cell r="J427" t="str">
            <v>-</v>
          </cell>
          <cell r="K427" t="str">
            <v>-</v>
          </cell>
          <cell r="L427" t="str">
            <v>-</v>
          </cell>
          <cell r="M427" t="str">
            <v>+</v>
          </cell>
          <cell r="N427" t="str">
            <v>-</v>
          </cell>
          <cell r="O427" t="str">
            <v>-</v>
          </cell>
        </row>
        <row r="428">
          <cell r="A428">
            <v>63811200</v>
          </cell>
          <cell r="B428" t="str">
            <v>Kip risotto champignon erwt ui 400g IGLO BE EW</v>
          </cell>
          <cell r="C428" t="str">
            <v>-</v>
          </cell>
          <cell r="D428" t="str">
            <v>-</v>
          </cell>
          <cell r="E428" t="str">
            <v>-</v>
          </cell>
          <cell r="F428" t="str">
            <v>-</v>
          </cell>
          <cell r="G428" t="str">
            <v>+</v>
          </cell>
          <cell r="H428" t="str">
            <v>-</v>
          </cell>
          <cell r="I428" t="str">
            <v>-</v>
          </cell>
          <cell r="J428" t="str">
            <v>-</v>
          </cell>
          <cell r="K428" t="str">
            <v>-</v>
          </cell>
          <cell r="L428" t="str">
            <v>-</v>
          </cell>
          <cell r="M428" t="str">
            <v>-</v>
          </cell>
          <cell r="N428" t="str">
            <v>-</v>
          </cell>
          <cell r="O428" t="str">
            <v>-</v>
          </cell>
        </row>
        <row r="429">
          <cell r="A429">
            <v>63820000</v>
          </cell>
          <cell r="B429" t="str">
            <v>Kip haasjes satésaus bami goreng 400g IGLO NL</v>
          </cell>
          <cell r="C429" t="str">
            <v>+</v>
          </cell>
          <cell r="D429" t="str">
            <v>+</v>
          </cell>
          <cell r="E429" t="str">
            <v>+</v>
          </cell>
          <cell r="F429" t="str">
            <v>X</v>
          </cell>
          <cell r="G429" t="str">
            <v>-</v>
          </cell>
          <cell r="H429" t="str">
            <v>X</v>
          </cell>
          <cell r="I429" t="str">
            <v>-</v>
          </cell>
          <cell r="J429" t="str">
            <v>-</v>
          </cell>
          <cell r="K429" t="str">
            <v>X</v>
          </cell>
          <cell r="L429" t="str">
            <v>-</v>
          </cell>
          <cell r="M429" t="str">
            <v>+</v>
          </cell>
          <cell r="N429" t="str">
            <v>-</v>
          </cell>
          <cell r="O429" t="str">
            <v>-</v>
          </cell>
        </row>
        <row r="430">
          <cell r="A430">
            <v>63820100</v>
          </cell>
          <cell r="B430" t="str">
            <v>Kip haasjes satésaus nasi goreng 400g IGLO NL</v>
          </cell>
          <cell r="C430" t="str">
            <v>+</v>
          </cell>
          <cell r="D430" t="str">
            <v>+</v>
          </cell>
          <cell r="E430" t="str">
            <v>+</v>
          </cell>
          <cell r="F430" t="str">
            <v>-</v>
          </cell>
          <cell r="G430" t="str">
            <v>-</v>
          </cell>
          <cell r="H430" t="str">
            <v>-</v>
          </cell>
          <cell r="I430" t="str">
            <v>-</v>
          </cell>
          <cell r="J430" t="str">
            <v>-</v>
          </cell>
          <cell r="K430" t="str">
            <v>-</v>
          </cell>
          <cell r="L430" t="str">
            <v>-</v>
          </cell>
          <cell r="M430" t="str">
            <v>+</v>
          </cell>
          <cell r="N430" t="str">
            <v>-</v>
          </cell>
          <cell r="O430" t="str">
            <v>-</v>
          </cell>
        </row>
        <row r="431">
          <cell r="A431">
            <v>63840600</v>
          </cell>
          <cell r="B431" t="str">
            <v>Lasagne Bolognaise vegetarisch 450g IGLO DE</v>
          </cell>
          <cell r="C431" t="str">
            <v>-</v>
          </cell>
          <cell r="D431" t="str">
            <v>X</v>
          </cell>
          <cell r="E431" t="str">
            <v>+</v>
          </cell>
          <cell r="F431" t="str">
            <v>-</v>
          </cell>
          <cell r="G431" t="str">
            <v>+</v>
          </cell>
          <cell r="H431" t="str">
            <v>-</v>
          </cell>
          <cell r="I431" t="str">
            <v>-</v>
          </cell>
          <cell r="J431" t="str">
            <v>-</v>
          </cell>
          <cell r="K431" t="str">
            <v>+</v>
          </cell>
          <cell r="L431" t="str">
            <v>-</v>
          </cell>
          <cell r="M431" t="str">
            <v>-</v>
          </cell>
          <cell r="N431" t="str">
            <v>-</v>
          </cell>
          <cell r="O431" t="str">
            <v>-</v>
          </cell>
        </row>
        <row r="432">
          <cell r="A432">
            <v>63860100</v>
          </cell>
          <cell r="B432" t="str">
            <v>Lasagne Bolognaise vegetarisch 450g Findus No</v>
          </cell>
          <cell r="C432" t="str">
            <v>-</v>
          </cell>
          <cell r="D432" t="str">
            <v>X</v>
          </cell>
          <cell r="E432" t="str">
            <v>+</v>
          </cell>
          <cell r="F432" t="str">
            <v>-</v>
          </cell>
          <cell r="G432" t="str">
            <v>+</v>
          </cell>
          <cell r="H432" t="str">
            <v>-</v>
          </cell>
          <cell r="I432" t="str">
            <v>-</v>
          </cell>
          <cell r="J432" t="str">
            <v>-</v>
          </cell>
          <cell r="K432" t="str">
            <v>+</v>
          </cell>
          <cell r="L432" t="str">
            <v>-</v>
          </cell>
          <cell r="M432" t="str">
            <v>-</v>
          </cell>
          <cell r="N432" t="str">
            <v>-</v>
          </cell>
          <cell r="O432" t="str">
            <v>-</v>
          </cell>
        </row>
        <row r="433">
          <cell r="A433">
            <v>63860200</v>
          </cell>
          <cell r="B433" t="str">
            <v>Chili sin carne vegan 400g IGLO PT</v>
          </cell>
          <cell r="C433" t="str">
            <v>-</v>
          </cell>
          <cell r="D433" t="str">
            <v>-</v>
          </cell>
          <cell r="E433" t="str">
            <v>+</v>
          </cell>
          <cell r="F433" t="str">
            <v>-</v>
          </cell>
          <cell r="G433" t="str">
            <v>X</v>
          </cell>
          <cell r="H433" t="str">
            <v>-</v>
          </cell>
          <cell r="I433" t="str">
            <v>-</v>
          </cell>
          <cell r="J433" t="str">
            <v>-</v>
          </cell>
          <cell r="K433" t="str">
            <v>-</v>
          </cell>
          <cell r="L433" t="str">
            <v>-</v>
          </cell>
          <cell r="M433" t="str">
            <v>+</v>
          </cell>
          <cell r="N433" t="str">
            <v>-</v>
          </cell>
          <cell r="O433" t="str">
            <v>-</v>
          </cell>
        </row>
        <row r="434">
          <cell r="A434">
            <v>63860500</v>
          </cell>
          <cell r="B434" t="str">
            <v xml:space="preserve">Linguine bolognaise 400g Findus Se </v>
          </cell>
          <cell r="C434" t="str">
            <v>-</v>
          </cell>
          <cell r="D434" t="str">
            <v>X</v>
          </cell>
          <cell r="E434" t="str">
            <v>+</v>
          </cell>
          <cell r="F434" t="str">
            <v>X</v>
          </cell>
          <cell r="G434" t="str">
            <v>-</v>
          </cell>
          <cell r="H434" t="str">
            <v>X</v>
          </cell>
          <cell r="I434" t="str">
            <v>-</v>
          </cell>
          <cell r="J434" t="str">
            <v>-</v>
          </cell>
          <cell r="K434" t="str">
            <v>+</v>
          </cell>
          <cell r="L434" t="str">
            <v>-</v>
          </cell>
          <cell r="M434" t="str">
            <v>X</v>
          </cell>
          <cell r="N434" t="str">
            <v>-</v>
          </cell>
          <cell r="O434" t="str">
            <v>-</v>
          </cell>
        </row>
        <row r="435">
          <cell r="A435">
            <v>63860600</v>
          </cell>
          <cell r="B435" t="str">
            <v>Chili sin carne vegan rice 400g FINDUS SE</v>
          </cell>
          <cell r="C435" t="str">
            <v>-</v>
          </cell>
          <cell r="D435" t="str">
            <v>-</v>
          </cell>
          <cell r="E435" t="str">
            <v>+</v>
          </cell>
          <cell r="F435" t="str">
            <v>-</v>
          </cell>
          <cell r="G435" t="str">
            <v>-</v>
          </cell>
          <cell r="H435" t="str">
            <v>-</v>
          </cell>
          <cell r="I435" t="str">
            <v>-</v>
          </cell>
          <cell r="J435" t="str">
            <v>-</v>
          </cell>
          <cell r="K435" t="str">
            <v>-</v>
          </cell>
          <cell r="L435" t="str">
            <v>-</v>
          </cell>
          <cell r="M435" t="str">
            <v>-</v>
          </cell>
          <cell r="N435" t="str">
            <v>-</v>
          </cell>
          <cell r="O435" t="str">
            <v>-</v>
          </cell>
        </row>
        <row r="436">
          <cell r="A436">
            <v>63860700</v>
          </cell>
          <cell r="B436" t="str">
            <v>Lasagne Bolognaise vegetarisch 450g IGLO ES</v>
          </cell>
          <cell r="C436" t="str">
            <v>-</v>
          </cell>
          <cell r="D436" t="str">
            <v>X</v>
          </cell>
          <cell r="E436" t="str">
            <v>+</v>
          </cell>
          <cell r="F436" t="str">
            <v>-</v>
          </cell>
          <cell r="G436" t="str">
            <v>+</v>
          </cell>
          <cell r="H436" t="str">
            <v>-</v>
          </cell>
          <cell r="I436" t="str">
            <v>-</v>
          </cell>
          <cell r="J436" t="str">
            <v>-</v>
          </cell>
          <cell r="K436" t="str">
            <v>+</v>
          </cell>
          <cell r="L436" t="str">
            <v>-</v>
          </cell>
          <cell r="M436" t="str">
            <v>-</v>
          </cell>
          <cell r="N436" t="str">
            <v>-</v>
          </cell>
          <cell r="O436" t="str">
            <v>-</v>
          </cell>
        </row>
        <row r="437">
          <cell r="A437">
            <v>63860800</v>
          </cell>
          <cell r="B437" t="str">
            <v>Lasagne Bolognaise vegetarisch 400g IGLO DE</v>
          </cell>
          <cell r="C437" t="str">
            <v>-</v>
          </cell>
          <cell r="D437" t="str">
            <v>X</v>
          </cell>
          <cell r="E437" t="str">
            <v>+</v>
          </cell>
          <cell r="F437" t="str">
            <v>-</v>
          </cell>
          <cell r="G437" t="str">
            <v>+</v>
          </cell>
          <cell r="H437" t="str">
            <v>-</v>
          </cell>
          <cell r="I437" t="str">
            <v>-</v>
          </cell>
          <cell r="J437" t="str">
            <v>-</v>
          </cell>
          <cell r="K437" t="str">
            <v>+</v>
          </cell>
          <cell r="L437" t="str">
            <v>-</v>
          </cell>
          <cell r="M437" t="str">
            <v>-</v>
          </cell>
          <cell r="N437" t="str">
            <v>-</v>
          </cell>
          <cell r="O437" t="str">
            <v>-</v>
          </cell>
        </row>
        <row r="438">
          <cell r="A438">
            <v>63860900</v>
          </cell>
          <cell r="B438" t="str">
            <v>Lasagne Bolognaise vegetarisch 400g IGLO PT</v>
          </cell>
          <cell r="C438" t="str">
            <v>-</v>
          </cell>
          <cell r="D438" t="str">
            <v>X</v>
          </cell>
          <cell r="E438" t="str">
            <v>+</v>
          </cell>
          <cell r="F438" t="str">
            <v>-</v>
          </cell>
          <cell r="G438" t="str">
            <v>+</v>
          </cell>
          <cell r="H438" t="str">
            <v>-</v>
          </cell>
          <cell r="I438" t="str">
            <v>-</v>
          </cell>
          <cell r="J438" t="str">
            <v>-</v>
          </cell>
          <cell r="K438" t="str">
            <v>+</v>
          </cell>
          <cell r="L438" t="str">
            <v>-</v>
          </cell>
          <cell r="M438" t="str">
            <v>-</v>
          </cell>
          <cell r="N438" t="str">
            <v>-</v>
          </cell>
          <cell r="O438" t="str">
            <v>-</v>
          </cell>
        </row>
        <row r="439">
          <cell r="A439">
            <v>63861000</v>
          </cell>
          <cell r="B439" t="str">
            <v>Lasagne Bolognaise vegetarisch 400g FINDUS ES</v>
          </cell>
          <cell r="C439" t="str">
            <v>-</v>
          </cell>
          <cell r="D439" t="str">
            <v>X</v>
          </cell>
          <cell r="E439" t="str">
            <v>+</v>
          </cell>
          <cell r="F439" t="str">
            <v>-</v>
          </cell>
          <cell r="G439" t="str">
            <v>+</v>
          </cell>
          <cell r="H439" t="str">
            <v>-</v>
          </cell>
          <cell r="I439" t="str">
            <v>-</v>
          </cell>
          <cell r="J439" t="str">
            <v>-</v>
          </cell>
          <cell r="K439" t="str">
            <v>+</v>
          </cell>
          <cell r="L439" t="str">
            <v>-</v>
          </cell>
          <cell r="M439" t="str">
            <v>-</v>
          </cell>
          <cell r="N439" t="str">
            <v>-</v>
          </cell>
          <cell r="O439" t="str">
            <v>-</v>
          </cell>
        </row>
        <row r="440">
          <cell r="A440">
            <v>63861100</v>
          </cell>
          <cell r="B440" t="str">
            <v>Lasagne Bolognaise vegetarisch 800g FINDUS SE</v>
          </cell>
          <cell r="C440" t="str">
            <v>-</v>
          </cell>
          <cell r="D440" t="str">
            <v>-</v>
          </cell>
          <cell r="E440" t="str">
            <v>+</v>
          </cell>
          <cell r="F440" t="str">
            <v>-</v>
          </cell>
          <cell r="G440" t="str">
            <v>+</v>
          </cell>
          <cell r="H440" t="str">
            <v>-</v>
          </cell>
          <cell r="I440" t="str">
            <v>-</v>
          </cell>
          <cell r="J440" t="str">
            <v>-</v>
          </cell>
          <cell r="K440" t="str">
            <v>-</v>
          </cell>
          <cell r="L440" t="str">
            <v>-</v>
          </cell>
          <cell r="M440" t="str">
            <v>-</v>
          </cell>
          <cell r="N440" t="str">
            <v>-</v>
          </cell>
          <cell r="O440" t="str">
            <v>-</v>
          </cell>
        </row>
        <row r="441">
          <cell r="A441">
            <v>63900100</v>
          </cell>
          <cell r="B441" t="str">
            <v>Hachee rode kool en gekookte aardappelen 510g DVK</v>
          </cell>
          <cell r="C441" t="str">
            <v>-</v>
          </cell>
          <cell r="D441" t="str">
            <v>X</v>
          </cell>
          <cell r="E441" t="str">
            <v>+</v>
          </cell>
          <cell r="F441" t="str">
            <v>-</v>
          </cell>
          <cell r="G441" t="str">
            <v>X</v>
          </cell>
          <cell r="H441" t="str">
            <v>X</v>
          </cell>
          <cell r="I441" t="str">
            <v>-</v>
          </cell>
          <cell r="J441" t="str">
            <v>-</v>
          </cell>
          <cell r="K441" t="str">
            <v>-</v>
          </cell>
          <cell r="L441" t="str">
            <v>-</v>
          </cell>
          <cell r="M441" t="str">
            <v>X</v>
          </cell>
          <cell r="N441" t="str">
            <v>-</v>
          </cell>
          <cell r="O441" t="str">
            <v>-</v>
          </cell>
        </row>
        <row r="442">
          <cell r="A442">
            <v>63900101</v>
          </cell>
          <cell r="B442" t="str">
            <v>Hachee rode kool en gekookte aardappelen 350g VA KL</v>
          </cell>
          <cell r="C442" t="str">
            <v>-</v>
          </cell>
          <cell r="D442" t="str">
            <v>X</v>
          </cell>
          <cell r="E442" t="str">
            <v>+</v>
          </cell>
          <cell r="F442" t="str">
            <v>-</v>
          </cell>
          <cell r="G442" t="str">
            <v>X</v>
          </cell>
          <cell r="H442" t="str">
            <v>X</v>
          </cell>
          <cell r="I442" t="str">
            <v>-</v>
          </cell>
          <cell r="J442" t="str">
            <v>-</v>
          </cell>
          <cell r="K442" t="str">
            <v>-</v>
          </cell>
          <cell r="L442" t="str">
            <v>-</v>
          </cell>
          <cell r="M442" t="str">
            <v>X</v>
          </cell>
          <cell r="N442" t="str">
            <v>-</v>
          </cell>
          <cell r="O442" t="str">
            <v>-</v>
          </cell>
        </row>
        <row r="443">
          <cell r="A443">
            <v>63900200</v>
          </cell>
          <cell r="B443" t="str">
            <v>Stoofpotje andijvie a la creme puree 500g VAT</v>
          </cell>
          <cell r="C443" t="str">
            <v>-</v>
          </cell>
          <cell r="D443" t="str">
            <v>+</v>
          </cell>
          <cell r="E443" t="str">
            <v>+</v>
          </cell>
          <cell r="F443" t="str">
            <v>-</v>
          </cell>
          <cell r="G443" t="str">
            <v>+</v>
          </cell>
          <cell r="H443" t="str">
            <v>X</v>
          </cell>
          <cell r="I443" t="str">
            <v>-</v>
          </cell>
          <cell r="J443" t="str">
            <v>-</v>
          </cell>
          <cell r="K443" t="str">
            <v>+</v>
          </cell>
          <cell r="L443" t="str">
            <v>-</v>
          </cell>
          <cell r="M443" t="str">
            <v>X</v>
          </cell>
          <cell r="N443" t="str">
            <v>-</v>
          </cell>
          <cell r="O443" t="str">
            <v>-</v>
          </cell>
        </row>
        <row r="444">
          <cell r="A444">
            <v>63900300</v>
          </cell>
          <cell r="B444" t="str">
            <v>Hachee rode kool en gekookte aardappelen 510g VAT</v>
          </cell>
          <cell r="C444" t="str">
            <v>-</v>
          </cell>
          <cell r="D444" t="str">
            <v>X</v>
          </cell>
          <cell r="E444" t="str">
            <v>+</v>
          </cell>
          <cell r="F444" t="str">
            <v>-</v>
          </cell>
          <cell r="G444" t="str">
            <v>X</v>
          </cell>
          <cell r="H444" t="str">
            <v>X</v>
          </cell>
          <cell r="I444" t="str">
            <v>-</v>
          </cell>
          <cell r="J444" t="str">
            <v>-</v>
          </cell>
          <cell r="K444" t="str">
            <v>-</v>
          </cell>
          <cell r="L444" t="str">
            <v>-</v>
          </cell>
          <cell r="M444" t="str">
            <v>X</v>
          </cell>
          <cell r="N444" t="str">
            <v>-</v>
          </cell>
          <cell r="O444" t="str">
            <v>-</v>
          </cell>
        </row>
        <row r="445">
          <cell r="A445">
            <v>63900400</v>
          </cell>
          <cell r="B445" t="str">
            <v>Varkensschnitzel gebr bonen gekruide aardappelkubus 475g VAT</v>
          </cell>
          <cell r="C445" t="str">
            <v>X</v>
          </cell>
          <cell r="D445" t="str">
            <v>X</v>
          </cell>
          <cell r="E445" t="str">
            <v>+</v>
          </cell>
          <cell r="F445" t="str">
            <v>X</v>
          </cell>
          <cell r="G445" t="str">
            <v>+</v>
          </cell>
          <cell r="H445" t="str">
            <v>+</v>
          </cell>
          <cell r="I445" t="str">
            <v>X</v>
          </cell>
          <cell r="J445" t="str">
            <v>X</v>
          </cell>
          <cell r="K445" t="str">
            <v>+</v>
          </cell>
          <cell r="L445" t="str">
            <v>X</v>
          </cell>
          <cell r="M445" t="str">
            <v>X</v>
          </cell>
          <cell r="N445" t="str">
            <v>X</v>
          </cell>
          <cell r="O445" t="str">
            <v>-</v>
          </cell>
        </row>
        <row r="446">
          <cell r="A446">
            <v>63900500</v>
          </cell>
          <cell r="B446" t="str">
            <v>Varkenshaasmedaillon champ roomsce botergr geb aard 500g VAT</v>
          </cell>
          <cell r="C446" t="str">
            <v>-</v>
          </cell>
          <cell r="D446" t="str">
            <v>X</v>
          </cell>
          <cell r="E446" t="str">
            <v>+</v>
          </cell>
          <cell r="F446" t="str">
            <v>X</v>
          </cell>
          <cell r="G446" t="str">
            <v>+</v>
          </cell>
          <cell r="H446" t="str">
            <v>X</v>
          </cell>
          <cell r="I446" t="str">
            <v>-</v>
          </cell>
          <cell r="J446" t="str">
            <v>-</v>
          </cell>
          <cell r="K446" t="str">
            <v>-</v>
          </cell>
          <cell r="L446" t="str">
            <v>-</v>
          </cell>
          <cell r="M446" t="str">
            <v>X</v>
          </cell>
          <cell r="N446" t="str">
            <v>-</v>
          </cell>
          <cell r="O446" t="str">
            <v>-</v>
          </cell>
        </row>
        <row r="447">
          <cell r="A447">
            <v>63900501</v>
          </cell>
          <cell r="B447" t="str">
            <v>Varkenshaasmedaillon champroomsce gr mix geb aard 350g VAT</v>
          </cell>
          <cell r="C447" t="str">
            <v>-</v>
          </cell>
          <cell r="D447" t="str">
            <v>X</v>
          </cell>
          <cell r="E447" t="str">
            <v>+</v>
          </cell>
          <cell r="F447" t="str">
            <v>X</v>
          </cell>
          <cell r="G447" t="str">
            <v>+</v>
          </cell>
          <cell r="H447" t="str">
            <v>X</v>
          </cell>
          <cell r="I447" t="str">
            <v>-</v>
          </cell>
          <cell r="J447" t="str">
            <v>-</v>
          </cell>
          <cell r="K447" t="str">
            <v>+</v>
          </cell>
          <cell r="L447" t="str">
            <v>-</v>
          </cell>
          <cell r="M447" t="str">
            <v>X</v>
          </cell>
          <cell r="N447" t="str">
            <v>-</v>
          </cell>
          <cell r="O447" t="str">
            <v>-</v>
          </cell>
        </row>
        <row r="448">
          <cell r="A448">
            <v>63900700</v>
          </cell>
          <cell r="B448" t="str">
            <v>Kippenbout gegrild groentenmix puree 530g DVK</v>
          </cell>
          <cell r="C448" t="str">
            <v>-</v>
          </cell>
          <cell r="D448" t="str">
            <v>+</v>
          </cell>
          <cell r="E448" t="str">
            <v>+</v>
          </cell>
          <cell r="F448" t="str">
            <v>-</v>
          </cell>
          <cell r="G448" t="str">
            <v>+</v>
          </cell>
          <cell r="H448" t="str">
            <v>X</v>
          </cell>
          <cell r="I448" t="str">
            <v>-</v>
          </cell>
          <cell r="J448" t="str">
            <v>-</v>
          </cell>
          <cell r="K448" t="str">
            <v>+</v>
          </cell>
          <cell r="L448" t="str">
            <v>-</v>
          </cell>
          <cell r="M448" t="str">
            <v>-</v>
          </cell>
          <cell r="N448" t="str">
            <v>-</v>
          </cell>
          <cell r="O448" t="str">
            <v>-</v>
          </cell>
        </row>
        <row r="449">
          <cell r="A449">
            <v>63900800</v>
          </cell>
          <cell r="B449" t="str">
            <v>Lasagne bolognaise 570g VAT</v>
          </cell>
          <cell r="C449" t="str">
            <v>-</v>
          </cell>
          <cell r="D449" t="str">
            <v>+</v>
          </cell>
          <cell r="E449" t="str">
            <v>+</v>
          </cell>
          <cell r="F449" t="str">
            <v>X</v>
          </cell>
          <cell r="G449" t="str">
            <v>+</v>
          </cell>
          <cell r="H449" t="str">
            <v>X</v>
          </cell>
          <cell r="I449" t="str">
            <v>-</v>
          </cell>
          <cell r="J449" t="str">
            <v>X</v>
          </cell>
          <cell r="K449" t="str">
            <v>+</v>
          </cell>
          <cell r="L449" t="str">
            <v>-</v>
          </cell>
          <cell r="M449" t="str">
            <v>X</v>
          </cell>
          <cell r="N449" t="str">
            <v>X</v>
          </cell>
          <cell r="O449" t="str">
            <v>-</v>
          </cell>
        </row>
        <row r="450">
          <cell r="A450">
            <v>63900900</v>
          </cell>
          <cell r="B450" t="str">
            <v>Kipstoofpotje appelcompote aardappelkubus gekr 500g VAT</v>
          </cell>
          <cell r="C450" t="str">
            <v>-</v>
          </cell>
          <cell r="D450" t="str">
            <v>X</v>
          </cell>
          <cell r="E450" t="str">
            <v>+</v>
          </cell>
          <cell r="F450" t="str">
            <v>X</v>
          </cell>
          <cell r="G450" t="str">
            <v>+</v>
          </cell>
          <cell r="H450" t="str">
            <v>X</v>
          </cell>
          <cell r="I450" t="str">
            <v>-</v>
          </cell>
          <cell r="J450" t="str">
            <v>-</v>
          </cell>
          <cell r="K450" t="str">
            <v>+</v>
          </cell>
          <cell r="L450" t="str">
            <v>-</v>
          </cell>
          <cell r="M450" t="str">
            <v>X</v>
          </cell>
          <cell r="N450" t="str">
            <v>-</v>
          </cell>
          <cell r="O450" t="str">
            <v>-</v>
          </cell>
        </row>
        <row r="451">
          <cell r="A451">
            <v>63901200</v>
          </cell>
          <cell r="B451" t="str">
            <v>Hamburger uiensaus rode kool gebakken aardap. 500g VAT</v>
          </cell>
          <cell r="C451" t="str">
            <v>-</v>
          </cell>
          <cell r="D451" t="str">
            <v>X</v>
          </cell>
          <cell r="E451" t="str">
            <v>+</v>
          </cell>
          <cell r="F451" t="str">
            <v>X</v>
          </cell>
          <cell r="G451" t="str">
            <v>X</v>
          </cell>
          <cell r="H451" t="str">
            <v>X</v>
          </cell>
          <cell r="I451" t="str">
            <v>-</v>
          </cell>
          <cell r="J451" t="str">
            <v>X</v>
          </cell>
          <cell r="K451" t="str">
            <v>+</v>
          </cell>
          <cell r="L451" t="str">
            <v>-</v>
          </cell>
          <cell r="M451" t="str">
            <v>X</v>
          </cell>
          <cell r="N451" t="str">
            <v>X</v>
          </cell>
          <cell r="O451" t="str">
            <v>X</v>
          </cell>
        </row>
        <row r="452">
          <cell r="A452">
            <v>63901300</v>
          </cell>
          <cell r="B452" t="str">
            <v>Zuurkoolstamppot spekjes schijfjes rookworst 600g DVK</v>
          </cell>
          <cell r="C452" t="str">
            <v>-</v>
          </cell>
          <cell r="D452" t="str">
            <v>-</v>
          </cell>
          <cell r="E452" t="str">
            <v>+</v>
          </cell>
          <cell r="F452" t="str">
            <v>X</v>
          </cell>
          <cell r="G452" t="str">
            <v>+</v>
          </cell>
          <cell r="H452" t="str">
            <v>X</v>
          </cell>
          <cell r="I452" t="str">
            <v>-</v>
          </cell>
          <cell r="J452" t="str">
            <v>-</v>
          </cell>
          <cell r="K452" t="str">
            <v>-</v>
          </cell>
          <cell r="L452" t="str">
            <v>-</v>
          </cell>
          <cell r="M452" t="str">
            <v>X</v>
          </cell>
          <cell r="N452" t="str">
            <v>-</v>
          </cell>
          <cell r="O452" t="str">
            <v>-</v>
          </cell>
        </row>
        <row r="453">
          <cell r="A453">
            <v>63901301</v>
          </cell>
          <cell r="B453" t="str">
            <v>Zuurkoolstamppot spekjes schijfjes rookworst 400g VAT KL</v>
          </cell>
          <cell r="C453" t="str">
            <v>-</v>
          </cell>
          <cell r="D453" t="str">
            <v>-</v>
          </cell>
          <cell r="E453" t="str">
            <v>+</v>
          </cell>
          <cell r="F453" t="str">
            <v>X</v>
          </cell>
          <cell r="G453" t="str">
            <v>+</v>
          </cell>
          <cell r="H453" t="str">
            <v>X</v>
          </cell>
          <cell r="I453" t="str">
            <v>-</v>
          </cell>
          <cell r="J453" t="str">
            <v>-</v>
          </cell>
          <cell r="K453" t="str">
            <v>-</v>
          </cell>
          <cell r="L453" t="str">
            <v>-</v>
          </cell>
          <cell r="M453" t="str">
            <v>X</v>
          </cell>
          <cell r="N453" t="str">
            <v>-</v>
          </cell>
          <cell r="O453" t="str">
            <v>-</v>
          </cell>
        </row>
        <row r="454">
          <cell r="A454">
            <v>63901400</v>
          </cell>
          <cell r="B454" t="str">
            <v>Boerenkoolstamppot spekjes schijfjes rookworst 600g DVK</v>
          </cell>
          <cell r="C454" t="str">
            <v>-</v>
          </cell>
          <cell r="D454" t="str">
            <v>-</v>
          </cell>
          <cell r="E454" t="str">
            <v>+</v>
          </cell>
          <cell r="F454" t="str">
            <v>X</v>
          </cell>
          <cell r="G454" t="str">
            <v>+</v>
          </cell>
          <cell r="H454" t="str">
            <v>X</v>
          </cell>
          <cell r="I454" t="str">
            <v>-</v>
          </cell>
          <cell r="J454" t="str">
            <v>-</v>
          </cell>
          <cell r="K454" t="str">
            <v>+</v>
          </cell>
          <cell r="L454" t="str">
            <v>-</v>
          </cell>
          <cell r="M454" t="str">
            <v>X</v>
          </cell>
          <cell r="N454" t="str">
            <v>-</v>
          </cell>
          <cell r="O454" t="str">
            <v>-</v>
          </cell>
        </row>
        <row r="455">
          <cell r="A455">
            <v>63901401</v>
          </cell>
          <cell r="B455" t="str">
            <v>Boerenkoolstamppot spekjes schijfjes rookworst 400g VAT KL</v>
          </cell>
          <cell r="C455" t="str">
            <v>-</v>
          </cell>
          <cell r="D455" t="str">
            <v>-</v>
          </cell>
          <cell r="E455" t="str">
            <v>+</v>
          </cell>
          <cell r="F455" t="str">
            <v>X</v>
          </cell>
          <cell r="G455" t="str">
            <v>+</v>
          </cell>
          <cell r="H455" t="str">
            <v>X</v>
          </cell>
          <cell r="I455" t="str">
            <v>-</v>
          </cell>
          <cell r="J455" t="str">
            <v>-</v>
          </cell>
          <cell r="K455" t="str">
            <v>+</v>
          </cell>
          <cell r="L455" t="str">
            <v>-</v>
          </cell>
          <cell r="M455" t="str">
            <v>X</v>
          </cell>
          <cell r="N455" t="str">
            <v>-</v>
          </cell>
          <cell r="O455" t="str">
            <v>-</v>
          </cell>
        </row>
        <row r="456">
          <cell r="A456">
            <v>63901500</v>
          </cell>
          <cell r="B456" t="str">
            <v>Hutspot met gesneden rundsvlees 540g VAT</v>
          </cell>
          <cell r="C456" t="str">
            <v>-</v>
          </cell>
          <cell r="D456" t="str">
            <v>X</v>
          </cell>
          <cell r="E456" t="str">
            <v>X</v>
          </cell>
          <cell r="F456" t="str">
            <v>-</v>
          </cell>
          <cell r="G456" t="str">
            <v>+</v>
          </cell>
          <cell r="H456" t="str">
            <v>X</v>
          </cell>
          <cell r="I456" t="str">
            <v>-</v>
          </cell>
          <cell r="J456" t="str">
            <v>-</v>
          </cell>
          <cell r="K456" t="str">
            <v>-</v>
          </cell>
          <cell r="L456" t="str">
            <v>-</v>
          </cell>
          <cell r="M456" t="str">
            <v>X</v>
          </cell>
          <cell r="N456" t="str">
            <v>-</v>
          </cell>
          <cell r="O456" t="str">
            <v>-</v>
          </cell>
        </row>
        <row r="457">
          <cell r="A457">
            <v>63901501</v>
          </cell>
          <cell r="B457" t="str">
            <v>Hutspot met gesneden rundsvlees 400g VAT KL</v>
          </cell>
          <cell r="C457" t="str">
            <v>-</v>
          </cell>
          <cell r="D457" t="str">
            <v>X</v>
          </cell>
          <cell r="E457" t="str">
            <v>X</v>
          </cell>
          <cell r="F457" t="str">
            <v>-</v>
          </cell>
          <cell r="G457" t="str">
            <v>+</v>
          </cell>
          <cell r="H457" t="str">
            <v>X</v>
          </cell>
          <cell r="I457" t="str">
            <v>-</v>
          </cell>
          <cell r="J457" t="str">
            <v>-</v>
          </cell>
          <cell r="K457" t="str">
            <v>-</v>
          </cell>
          <cell r="L457" t="str">
            <v>-</v>
          </cell>
          <cell r="M457" t="str">
            <v>X</v>
          </cell>
          <cell r="N457" t="str">
            <v>-</v>
          </cell>
          <cell r="O457" t="str">
            <v>-</v>
          </cell>
        </row>
        <row r="458">
          <cell r="A458">
            <v>63901600</v>
          </cell>
          <cell r="B458" t="str">
            <v>Spaghetti bolognaise 550g VAT</v>
          </cell>
          <cell r="C458" t="str">
            <v>-</v>
          </cell>
          <cell r="D458" t="str">
            <v>X</v>
          </cell>
          <cell r="E458" t="str">
            <v>+</v>
          </cell>
          <cell r="F458" t="str">
            <v>X</v>
          </cell>
          <cell r="G458" t="str">
            <v>+</v>
          </cell>
          <cell r="H458" t="str">
            <v>X</v>
          </cell>
          <cell r="I458" t="str">
            <v>-</v>
          </cell>
          <cell r="J458" t="str">
            <v>-</v>
          </cell>
          <cell r="K458" t="str">
            <v>+</v>
          </cell>
          <cell r="L458" t="str">
            <v>-</v>
          </cell>
          <cell r="M458" t="str">
            <v>X</v>
          </cell>
          <cell r="N458" t="str">
            <v>-</v>
          </cell>
          <cell r="O458" t="str">
            <v>-</v>
          </cell>
        </row>
        <row r="459">
          <cell r="A459">
            <v>63901700</v>
          </cell>
          <cell r="B459" t="str">
            <v>Macaroni in tomatensaus met ham en kaas 550g VAT</v>
          </cell>
          <cell r="C459" t="str">
            <v>-</v>
          </cell>
          <cell r="D459" t="str">
            <v>X</v>
          </cell>
          <cell r="E459" t="str">
            <v>+</v>
          </cell>
          <cell r="F459" t="str">
            <v>X</v>
          </cell>
          <cell r="G459" t="str">
            <v>+</v>
          </cell>
          <cell r="H459" t="str">
            <v>X</v>
          </cell>
          <cell r="I459" t="str">
            <v>-</v>
          </cell>
          <cell r="J459" t="str">
            <v>-</v>
          </cell>
          <cell r="K459" t="str">
            <v>-</v>
          </cell>
          <cell r="L459" t="str">
            <v>-</v>
          </cell>
          <cell r="M459" t="str">
            <v>X</v>
          </cell>
          <cell r="N459" t="str">
            <v>-</v>
          </cell>
          <cell r="O459" t="str">
            <v>-</v>
          </cell>
        </row>
        <row r="460">
          <cell r="A460">
            <v>63901800</v>
          </cell>
          <cell r="B460" t="str">
            <v>Babi pangang met rijstfantasie 500g VAT</v>
          </cell>
          <cell r="C460" t="str">
            <v>-</v>
          </cell>
          <cell r="D460" t="str">
            <v>X</v>
          </cell>
          <cell r="E460" t="str">
            <v>+</v>
          </cell>
          <cell r="F460" t="str">
            <v>-</v>
          </cell>
          <cell r="G460" t="str">
            <v>X</v>
          </cell>
          <cell r="H460" t="str">
            <v>X</v>
          </cell>
          <cell r="I460" t="str">
            <v>-</v>
          </cell>
          <cell r="J460" t="str">
            <v>-</v>
          </cell>
          <cell r="K460" t="str">
            <v>+</v>
          </cell>
          <cell r="L460" t="str">
            <v>+</v>
          </cell>
          <cell r="M460" t="str">
            <v>+</v>
          </cell>
          <cell r="N460" t="str">
            <v>-</v>
          </cell>
          <cell r="O460" t="str">
            <v>-</v>
          </cell>
        </row>
        <row r="461">
          <cell r="A461">
            <v>63901900</v>
          </cell>
          <cell r="B461" t="str">
            <v>Bami goreng special met kip in satesaus 550g VAT</v>
          </cell>
          <cell r="C461" t="str">
            <v>+</v>
          </cell>
          <cell r="D461" t="str">
            <v>+</v>
          </cell>
          <cell r="E461" t="str">
            <v>+</v>
          </cell>
          <cell r="F461" t="str">
            <v>X</v>
          </cell>
          <cell r="G461" t="str">
            <v>-</v>
          </cell>
          <cell r="H461" t="str">
            <v>X</v>
          </cell>
          <cell r="I461" t="str">
            <v>-</v>
          </cell>
          <cell r="J461" t="str">
            <v>-</v>
          </cell>
          <cell r="K461" t="str">
            <v>+</v>
          </cell>
          <cell r="L461" t="str">
            <v>-</v>
          </cell>
          <cell r="M461" t="str">
            <v>+</v>
          </cell>
          <cell r="N461" t="str">
            <v>-</v>
          </cell>
          <cell r="O461" t="str">
            <v>-</v>
          </cell>
        </row>
        <row r="462">
          <cell r="A462">
            <v>63901901</v>
          </cell>
          <cell r="B462" t="str">
            <v>Bami goreng special met kip in satesaus 360g VAT</v>
          </cell>
          <cell r="C462" t="str">
            <v>+</v>
          </cell>
          <cell r="D462" t="str">
            <v>+</v>
          </cell>
          <cell r="E462" t="str">
            <v>+</v>
          </cell>
          <cell r="F462" t="str">
            <v>X</v>
          </cell>
          <cell r="G462" t="str">
            <v>-</v>
          </cell>
          <cell r="H462" t="str">
            <v>X</v>
          </cell>
          <cell r="I462" t="str">
            <v>-</v>
          </cell>
          <cell r="J462" t="str">
            <v>-</v>
          </cell>
          <cell r="K462" t="str">
            <v>+</v>
          </cell>
          <cell r="L462" t="str">
            <v>-</v>
          </cell>
          <cell r="M462" t="str">
            <v>+</v>
          </cell>
          <cell r="N462" t="str">
            <v>-</v>
          </cell>
          <cell r="O462" t="str">
            <v>-</v>
          </cell>
        </row>
        <row r="463">
          <cell r="A463">
            <v>63902000</v>
          </cell>
          <cell r="B463" t="str">
            <v>Nasi goreng speciaal met kip in satésaus 550g VAT</v>
          </cell>
          <cell r="C463" t="str">
            <v>+</v>
          </cell>
          <cell r="D463" t="str">
            <v>+</v>
          </cell>
          <cell r="E463" t="str">
            <v>+</v>
          </cell>
          <cell r="F463" t="str">
            <v>-</v>
          </cell>
          <cell r="G463" t="str">
            <v>-</v>
          </cell>
          <cell r="H463" t="str">
            <v>-</v>
          </cell>
          <cell r="I463" t="str">
            <v>-</v>
          </cell>
          <cell r="J463" t="str">
            <v>-</v>
          </cell>
          <cell r="K463" t="str">
            <v>+</v>
          </cell>
          <cell r="L463" t="str">
            <v>-</v>
          </cell>
          <cell r="M463" t="str">
            <v>+</v>
          </cell>
          <cell r="N463" t="str">
            <v>-</v>
          </cell>
          <cell r="O463" t="str">
            <v>-</v>
          </cell>
        </row>
        <row r="464">
          <cell r="A464">
            <v>63902100</v>
          </cell>
          <cell r="B464" t="str">
            <v>Kip in kerriesaus met doperwten en rijst 500g VAT</v>
          </cell>
          <cell r="C464" t="str">
            <v>-</v>
          </cell>
          <cell r="D464" t="str">
            <v>-</v>
          </cell>
          <cell r="E464" t="str">
            <v>+</v>
          </cell>
          <cell r="F464" t="str">
            <v>X</v>
          </cell>
          <cell r="G464" t="str">
            <v>+</v>
          </cell>
          <cell r="H464" t="str">
            <v>+</v>
          </cell>
          <cell r="I464" t="str">
            <v>-</v>
          </cell>
          <cell r="J464" t="str">
            <v>-</v>
          </cell>
          <cell r="K464" t="str">
            <v>+</v>
          </cell>
          <cell r="L464" t="str">
            <v>-</v>
          </cell>
          <cell r="M464" t="str">
            <v>X</v>
          </cell>
          <cell r="N464" t="str">
            <v>-</v>
          </cell>
          <cell r="O464" t="str">
            <v>-</v>
          </cell>
        </row>
        <row r="465">
          <cell r="A465">
            <v>63902300</v>
          </cell>
          <cell r="B465" t="str">
            <v>Gehaktbal bloemkool broccoli gekookte aardappel  485g VAT</v>
          </cell>
          <cell r="C465" t="str">
            <v>-</v>
          </cell>
          <cell r="D465" t="str">
            <v>X</v>
          </cell>
          <cell r="E465" t="str">
            <v>+</v>
          </cell>
          <cell r="F465" t="str">
            <v>X</v>
          </cell>
          <cell r="G465" t="str">
            <v>X</v>
          </cell>
          <cell r="H465" t="str">
            <v>X</v>
          </cell>
          <cell r="I465" t="str">
            <v>-</v>
          </cell>
          <cell r="J465" t="str">
            <v>X</v>
          </cell>
          <cell r="K465" t="str">
            <v>X</v>
          </cell>
          <cell r="L465" t="str">
            <v>-</v>
          </cell>
          <cell r="M465" t="str">
            <v>X</v>
          </cell>
          <cell r="N465" t="str">
            <v>X</v>
          </cell>
          <cell r="O465" t="str">
            <v>X</v>
          </cell>
        </row>
        <row r="466">
          <cell r="A466">
            <v>63902301</v>
          </cell>
          <cell r="B466" t="str">
            <v>Gehaktbal bloemkool broccoli gekookte aard 365g VAT KL</v>
          </cell>
          <cell r="C466" t="str">
            <v>-</v>
          </cell>
          <cell r="D466" t="str">
            <v>-</v>
          </cell>
          <cell r="E466" t="str">
            <v>+</v>
          </cell>
          <cell r="F466" t="str">
            <v>X</v>
          </cell>
          <cell r="G466" t="str">
            <v>X</v>
          </cell>
          <cell r="H466" t="str">
            <v>X</v>
          </cell>
          <cell r="I466" t="str">
            <v>-</v>
          </cell>
          <cell r="J466" t="str">
            <v>-</v>
          </cell>
          <cell r="K466" t="str">
            <v>X</v>
          </cell>
          <cell r="L466" t="str">
            <v>-</v>
          </cell>
          <cell r="M466" t="str">
            <v>X</v>
          </cell>
          <cell r="N466" t="str">
            <v>-</v>
          </cell>
          <cell r="O466" t="str">
            <v>-</v>
          </cell>
        </row>
        <row r="467">
          <cell r="A467">
            <v>63902500</v>
          </cell>
          <cell r="B467" t="str">
            <v>Witloofschotel ham kaassaus puree 520g VAT</v>
          </cell>
          <cell r="C467" t="str">
            <v>-</v>
          </cell>
          <cell r="D467" t="str">
            <v>+</v>
          </cell>
          <cell r="E467" t="str">
            <v>+</v>
          </cell>
          <cell r="F467" t="str">
            <v>X</v>
          </cell>
          <cell r="G467" t="str">
            <v>+</v>
          </cell>
          <cell r="H467" t="str">
            <v>X</v>
          </cell>
          <cell r="I467" t="str">
            <v>-</v>
          </cell>
          <cell r="J467" t="str">
            <v>-</v>
          </cell>
          <cell r="K467" t="str">
            <v>+</v>
          </cell>
          <cell r="L467" t="str">
            <v>-</v>
          </cell>
          <cell r="M467" t="str">
            <v>X</v>
          </cell>
          <cell r="N467" t="str">
            <v>-</v>
          </cell>
          <cell r="O467" t="str">
            <v>-</v>
          </cell>
        </row>
        <row r="468">
          <cell r="A468">
            <v>63902700</v>
          </cell>
          <cell r="B468" t="str">
            <v>Gehaktbal witloof gekookte aardappel bieslook525g DVK</v>
          </cell>
          <cell r="C468" t="str">
            <v>-</v>
          </cell>
          <cell r="D468" t="str">
            <v>X</v>
          </cell>
          <cell r="E468" t="str">
            <v>+</v>
          </cell>
          <cell r="F468" t="str">
            <v>X</v>
          </cell>
          <cell r="G468" t="str">
            <v>+</v>
          </cell>
          <cell r="H468" t="str">
            <v>X</v>
          </cell>
          <cell r="I468" t="str">
            <v>-</v>
          </cell>
          <cell r="J468" t="str">
            <v>X</v>
          </cell>
          <cell r="K468" t="str">
            <v>X</v>
          </cell>
          <cell r="L468" t="str">
            <v>-</v>
          </cell>
          <cell r="M468" t="str">
            <v>X</v>
          </cell>
          <cell r="N468" t="str">
            <v>X</v>
          </cell>
          <cell r="O468" t="str">
            <v>X</v>
          </cell>
        </row>
        <row r="469">
          <cell r="A469">
            <v>63902701</v>
          </cell>
          <cell r="B469" t="str">
            <v>Gehaktbal witloof aardappel bieslook 365g VAT KL</v>
          </cell>
          <cell r="C469" t="str">
            <v>-</v>
          </cell>
          <cell r="D469" t="str">
            <v>-</v>
          </cell>
          <cell r="E469" t="str">
            <v>+</v>
          </cell>
          <cell r="F469" t="str">
            <v>X</v>
          </cell>
          <cell r="G469" t="str">
            <v>+</v>
          </cell>
          <cell r="H469" t="str">
            <v>X</v>
          </cell>
          <cell r="I469" t="str">
            <v>-</v>
          </cell>
          <cell r="J469" t="str">
            <v>-</v>
          </cell>
          <cell r="K469" t="str">
            <v>X</v>
          </cell>
          <cell r="L469" t="str">
            <v>-</v>
          </cell>
          <cell r="M469" t="str">
            <v>X</v>
          </cell>
          <cell r="N469" t="str">
            <v>-</v>
          </cell>
          <cell r="O469" t="str">
            <v>-</v>
          </cell>
        </row>
        <row r="470">
          <cell r="A470">
            <v>63902800</v>
          </cell>
          <cell r="B470" t="str">
            <v>Gehaktbal andijvie à la crème aardappelpuree 500g DVK</v>
          </cell>
          <cell r="C470" t="str">
            <v>-</v>
          </cell>
          <cell r="D470" t="str">
            <v>+</v>
          </cell>
          <cell r="E470" t="str">
            <v>+</v>
          </cell>
          <cell r="F470" t="str">
            <v>X</v>
          </cell>
          <cell r="G470" t="str">
            <v>+</v>
          </cell>
          <cell r="H470" t="str">
            <v>X</v>
          </cell>
          <cell r="I470" t="str">
            <v>-</v>
          </cell>
          <cell r="J470" t="str">
            <v>X</v>
          </cell>
          <cell r="K470" t="str">
            <v>X</v>
          </cell>
          <cell r="L470" t="str">
            <v>-</v>
          </cell>
          <cell r="M470" t="str">
            <v>X</v>
          </cell>
          <cell r="N470" t="str">
            <v>X</v>
          </cell>
          <cell r="O470" t="str">
            <v>X</v>
          </cell>
        </row>
        <row r="471">
          <cell r="A471">
            <v>63902801</v>
          </cell>
          <cell r="B471" t="str">
            <v>Gehaktbal andijvie à la crème aardappelpuree 365g VAT KL</v>
          </cell>
          <cell r="C471" t="str">
            <v>-</v>
          </cell>
          <cell r="D471" t="str">
            <v>+</v>
          </cell>
          <cell r="E471" t="str">
            <v>+</v>
          </cell>
          <cell r="F471" t="str">
            <v>X</v>
          </cell>
          <cell r="G471" t="str">
            <v>+</v>
          </cell>
          <cell r="H471" t="str">
            <v>X</v>
          </cell>
          <cell r="I471" t="str">
            <v>-</v>
          </cell>
          <cell r="J471" t="str">
            <v>-</v>
          </cell>
          <cell r="K471" t="str">
            <v>X</v>
          </cell>
          <cell r="L471" t="str">
            <v>-</v>
          </cell>
          <cell r="M471" t="str">
            <v>X</v>
          </cell>
          <cell r="N471" t="str">
            <v>-</v>
          </cell>
          <cell r="O471" t="str">
            <v>-</v>
          </cell>
        </row>
        <row r="472">
          <cell r="A472">
            <v>63902900</v>
          </cell>
          <cell r="B472" t="str">
            <v>Jachtschotel appel rode kool puree 550g VAT</v>
          </cell>
          <cell r="C472" t="str">
            <v>-</v>
          </cell>
          <cell r="D472" t="str">
            <v>+</v>
          </cell>
          <cell r="E472" t="str">
            <v>+</v>
          </cell>
          <cell r="F472" t="str">
            <v>-</v>
          </cell>
          <cell r="G472" t="str">
            <v>+</v>
          </cell>
          <cell r="H472" t="str">
            <v>+</v>
          </cell>
          <cell r="I472" t="str">
            <v>-</v>
          </cell>
          <cell r="J472" t="str">
            <v>-</v>
          </cell>
          <cell r="K472" t="str">
            <v>+</v>
          </cell>
          <cell r="L472" t="str">
            <v>-</v>
          </cell>
          <cell r="M472" t="str">
            <v>X</v>
          </cell>
          <cell r="N472" t="str">
            <v>-</v>
          </cell>
          <cell r="O472" t="str">
            <v>-</v>
          </cell>
        </row>
        <row r="473">
          <cell r="A473">
            <v>63902901</v>
          </cell>
          <cell r="B473" t="str">
            <v>Jachtschotel appel rode kool puree 365g VAT KL</v>
          </cell>
          <cell r="C473" t="str">
            <v>-</v>
          </cell>
          <cell r="D473" t="str">
            <v>+</v>
          </cell>
          <cell r="E473" t="str">
            <v>+</v>
          </cell>
          <cell r="F473" t="str">
            <v>-</v>
          </cell>
          <cell r="G473" t="str">
            <v>+</v>
          </cell>
          <cell r="H473" t="str">
            <v>+</v>
          </cell>
          <cell r="I473" t="str">
            <v>-</v>
          </cell>
          <cell r="J473" t="str">
            <v>-</v>
          </cell>
          <cell r="K473" t="str">
            <v>+</v>
          </cell>
          <cell r="L473" t="str">
            <v>-</v>
          </cell>
          <cell r="M473" t="str">
            <v>X</v>
          </cell>
          <cell r="N473" t="str">
            <v>-</v>
          </cell>
          <cell r="O473" t="str">
            <v>-</v>
          </cell>
        </row>
        <row r="474">
          <cell r="A474">
            <v>63903000</v>
          </cell>
          <cell r="B474" t="str">
            <v>Hongaarse goulash met doperwten en rijst 500g VAT</v>
          </cell>
          <cell r="C474" t="str">
            <v>-</v>
          </cell>
          <cell r="D474" t="str">
            <v>X</v>
          </cell>
          <cell r="E474" t="str">
            <v>X</v>
          </cell>
          <cell r="F474" t="str">
            <v>-</v>
          </cell>
          <cell r="G474" t="str">
            <v>X</v>
          </cell>
          <cell r="H474" t="str">
            <v>X</v>
          </cell>
          <cell r="I474" t="str">
            <v>-</v>
          </cell>
          <cell r="J474" t="str">
            <v>-</v>
          </cell>
          <cell r="K474" t="str">
            <v>-</v>
          </cell>
          <cell r="L474" t="str">
            <v>-</v>
          </cell>
          <cell r="M474" t="str">
            <v>X</v>
          </cell>
          <cell r="N474" t="str">
            <v>-</v>
          </cell>
          <cell r="O474" t="str">
            <v>-</v>
          </cell>
        </row>
        <row r="475">
          <cell r="A475">
            <v>63903100</v>
          </cell>
          <cell r="B475" t="str">
            <v>Kip cordon bleu bloemkool broc gekookt aardappel 490g DVK</v>
          </cell>
          <cell r="C475" t="str">
            <v>-</v>
          </cell>
          <cell r="D475" t="str">
            <v>X</v>
          </cell>
          <cell r="E475" t="str">
            <v>+</v>
          </cell>
          <cell r="F475" t="str">
            <v>X</v>
          </cell>
          <cell r="G475" t="str">
            <v>+</v>
          </cell>
          <cell r="H475" t="str">
            <v>X</v>
          </cell>
          <cell r="I475" t="str">
            <v>-</v>
          </cell>
          <cell r="J475" t="str">
            <v>-</v>
          </cell>
          <cell r="K475" t="str">
            <v>+</v>
          </cell>
          <cell r="L475" t="str">
            <v>-</v>
          </cell>
          <cell r="M475" t="str">
            <v>X</v>
          </cell>
          <cell r="N475" t="str">
            <v>-</v>
          </cell>
          <cell r="O475" t="str">
            <v>-</v>
          </cell>
        </row>
        <row r="476">
          <cell r="A476">
            <v>63903200</v>
          </cell>
          <cell r="B476" t="str">
            <v>Varkenshaas spinazie à la crème gekookte krieltjes 500g VAT</v>
          </cell>
          <cell r="C476" t="str">
            <v>-</v>
          </cell>
          <cell r="D476" t="str">
            <v>X</v>
          </cell>
          <cell r="E476" t="str">
            <v>+</v>
          </cell>
          <cell r="F476" t="str">
            <v>X</v>
          </cell>
          <cell r="G476" t="str">
            <v>+</v>
          </cell>
          <cell r="H476" t="str">
            <v>X</v>
          </cell>
          <cell r="I476" t="str">
            <v>-</v>
          </cell>
          <cell r="J476" t="str">
            <v>-</v>
          </cell>
          <cell r="K476" t="str">
            <v>-</v>
          </cell>
          <cell r="L476" t="str">
            <v>-</v>
          </cell>
          <cell r="M476" t="str">
            <v>X</v>
          </cell>
          <cell r="N476" t="str">
            <v>-</v>
          </cell>
          <cell r="O476" t="str">
            <v>-</v>
          </cell>
        </row>
        <row r="477">
          <cell r="A477">
            <v>63903400</v>
          </cell>
          <cell r="B477" t="str">
            <v>Visstick botersaus tutti frutti aardappelen 460g VAT</v>
          </cell>
          <cell r="C477" t="str">
            <v>-</v>
          </cell>
          <cell r="D477" t="str">
            <v>-</v>
          </cell>
          <cell r="E477" t="str">
            <v>+</v>
          </cell>
          <cell r="F477" t="str">
            <v>X</v>
          </cell>
          <cell r="G477" t="str">
            <v>+</v>
          </cell>
          <cell r="H477" t="str">
            <v>X</v>
          </cell>
          <cell r="I477" t="str">
            <v>-</v>
          </cell>
          <cell r="J477" t="str">
            <v>X</v>
          </cell>
          <cell r="K477" t="str">
            <v>-</v>
          </cell>
          <cell r="L477" t="str">
            <v>-</v>
          </cell>
          <cell r="M477" t="str">
            <v>X</v>
          </cell>
          <cell r="N477" t="str">
            <v>+</v>
          </cell>
          <cell r="O477" t="str">
            <v>X</v>
          </cell>
        </row>
        <row r="478">
          <cell r="A478">
            <v>63903600</v>
          </cell>
          <cell r="B478" t="str">
            <v>Kipfilet sperziebonen gekookte aardappelen 500g VAT</v>
          </cell>
          <cell r="C478" t="str">
            <v>-</v>
          </cell>
          <cell r="D478" t="str">
            <v>X</v>
          </cell>
          <cell r="E478" t="str">
            <v>+</v>
          </cell>
          <cell r="F478" t="str">
            <v>X</v>
          </cell>
          <cell r="G478" t="str">
            <v>+</v>
          </cell>
          <cell r="H478" t="str">
            <v>X</v>
          </cell>
          <cell r="I478" t="str">
            <v>-</v>
          </cell>
          <cell r="J478" t="str">
            <v>-</v>
          </cell>
          <cell r="K478" t="str">
            <v>+</v>
          </cell>
          <cell r="L478" t="str">
            <v>-</v>
          </cell>
          <cell r="M478" t="str">
            <v>X</v>
          </cell>
          <cell r="N478" t="str">
            <v>-</v>
          </cell>
          <cell r="O478" t="str">
            <v>-</v>
          </cell>
        </row>
        <row r="479">
          <cell r="A479">
            <v>63903601</v>
          </cell>
          <cell r="B479" t="str">
            <v>Kipfilet sperziebonen gek aardappelkubus 365g VAT KL</v>
          </cell>
          <cell r="C479" t="str">
            <v>-</v>
          </cell>
          <cell r="D479" t="str">
            <v>X</v>
          </cell>
          <cell r="E479" t="str">
            <v>+</v>
          </cell>
          <cell r="F479" t="str">
            <v>X</v>
          </cell>
          <cell r="G479" t="str">
            <v>+</v>
          </cell>
          <cell r="H479" t="str">
            <v>X</v>
          </cell>
          <cell r="I479" t="str">
            <v>-</v>
          </cell>
          <cell r="J479" t="str">
            <v>-</v>
          </cell>
          <cell r="K479" t="str">
            <v>+</v>
          </cell>
          <cell r="L479" t="str">
            <v>-</v>
          </cell>
          <cell r="M479" t="str">
            <v>X</v>
          </cell>
          <cell r="N479" t="str">
            <v>-</v>
          </cell>
          <cell r="O479" t="str">
            <v>-</v>
          </cell>
        </row>
        <row r="480">
          <cell r="A480">
            <v>63903700</v>
          </cell>
          <cell r="B480" t="str">
            <v>Kip oma's recept gebakken aardappelen 500g DVK</v>
          </cell>
          <cell r="C480" t="str">
            <v>-</v>
          </cell>
          <cell r="D480" t="str">
            <v>-</v>
          </cell>
          <cell r="E480" t="str">
            <v>+</v>
          </cell>
          <cell r="F480" t="str">
            <v>-</v>
          </cell>
          <cell r="G480" t="str">
            <v>-</v>
          </cell>
          <cell r="H480" t="str">
            <v>-</v>
          </cell>
          <cell r="I480" t="str">
            <v>-</v>
          </cell>
          <cell r="J480" t="str">
            <v>-</v>
          </cell>
          <cell r="K480" t="str">
            <v>+</v>
          </cell>
          <cell r="L480" t="str">
            <v>-</v>
          </cell>
          <cell r="M480" t="str">
            <v>-</v>
          </cell>
          <cell r="N480" t="str">
            <v>-</v>
          </cell>
          <cell r="O480" t="str">
            <v>-</v>
          </cell>
        </row>
        <row r="481">
          <cell r="A481">
            <v>63904000</v>
          </cell>
          <cell r="B481" t="str">
            <v>Blinde vink rode biet aard blokjes kaassaus 500g VAT</v>
          </cell>
          <cell r="C481" t="str">
            <v>-</v>
          </cell>
          <cell r="D481" t="str">
            <v>X</v>
          </cell>
          <cell r="E481" t="str">
            <v>+</v>
          </cell>
          <cell r="F481" t="str">
            <v>X</v>
          </cell>
          <cell r="G481" t="str">
            <v>+</v>
          </cell>
          <cell r="H481" t="str">
            <v>X</v>
          </cell>
          <cell r="I481" t="str">
            <v>-</v>
          </cell>
          <cell r="J481" t="str">
            <v>-</v>
          </cell>
          <cell r="K481" t="str">
            <v>X</v>
          </cell>
          <cell r="L481" t="str">
            <v>-</v>
          </cell>
          <cell r="M481" t="str">
            <v>X</v>
          </cell>
          <cell r="N481" t="str">
            <v>-</v>
          </cell>
          <cell r="O481" t="str">
            <v>-</v>
          </cell>
        </row>
        <row r="482">
          <cell r="A482">
            <v>63904100</v>
          </cell>
          <cell r="B482" t="str">
            <v>Vleeskroket appelcompot rozijnen pom mignonnet 480g VAT</v>
          </cell>
          <cell r="C482" t="str">
            <v>X</v>
          </cell>
          <cell r="D482" t="str">
            <v>-</v>
          </cell>
          <cell r="E482" t="str">
            <v>+</v>
          </cell>
          <cell r="F482" t="str">
            <v>-</v>
          </cell>
          <cell r="G482" t="str">
            <v>+</v>
          </cell>
          <cell r="H482" t="str">
            <v>-</v>
          </cell>
          <cell r="I482" t="str">
            <v>-</v>
          </cell>
          <cell r="J482" t="str">
            <v>-</v>
          </cell>
          <cell r="K482" t="str">
            <v>-</v>
          </cell>
          <cell r="L482" t="str">
            <v>-</v>
          </cell>
          <cell r="M482" t="str">
            <v>-</v>
          </cell>
          <cell r="N482" t="str">
            <v>-</v>
          </cell>
          <cell r="O482" t="str">
            <v>-</v>
          </cell>
        </row>
        <row r="483">
          <cell r="A483">
            <v>63904400</v>
          </cell>
          <cell r="B483" t="str">
            <v>Gehaktbal HOH satésaus boontjes gebakken aardappel 520g DVK</v>
          </cell>
          <cell r="C483" t="str">
            <v>+</v>
          </cell>
          <cell r="D483" t="str">
            <v>X</v>
          </cell>
          <cell r="E483" t="str">
            <v>+</v>
          </cell>
          <cell r="F483" t="str">
            <v>-</v>
          </cell>
          <cell r="G483" t="str">
            <v>X</v>
          </cell>
          <cell r="H483" t="str">
            <v>X</v>
          </cell>
          <cell r="I483" t="str">
            <v>-</v>
          </cell>
          <cell r="J483" t="str">
            <v>X</v>
          </cell>
          <cell r="K483" t="str">
            <v>X</v>
          </cell>
          <cell r="L483" t="str">
            <v>-</v>
          </cell>
          <cell r="M483" t="str">
            <v>+</v>
          </cell>
          <cell r="N483" t="str">
            <v>X</v>
          </cell>
          <cell r="O483" t="str">
            <v>X</v>
          </cell>
        </row>
        <row r="484">
          <cell r="A484">
            <v>63904600</v>
          </cell>
          <cell r="B484" t="str">
            <v>Boeuf bourguignon parijse wortelen aardappel 500g DVK</v>
          </cell>
          <cell r="C484" t="str">
            <v>-</v>
          </cell>
          <cell r="D484" t="str">
            <v>X</v>
          </cell>
          <cell r="E484" t="str">
            <v>X</v>
          </cell>
          <cell r="F484" t="str">
            <v>-</v>
          </cell>
          <cell r="G484" t="str">
            <v>X</v>
          </cell>
          <cell r="H484" t="str">
            <v>X</v>
          </cell>
          <cell r="I484" t="str">
            <v>-</v>
          </cell>
          <cell r="J484" t="str">
            <v>-</v>
          </cell>
          <cell r="K484" t="str">
            <v>-</v>
          </cell>
          <cell r="L484" t="str">
            <v>-</v>
          </cell>
          <cell r="M484" t="str">
            <v>X</v>
          </cell>
          <cell r="N484" t="str">
            <v>-</v>
          </cell>
          <cell r="O484" t="str">
            <v>-</v>
          </cell>
        </row>
        <row r="485">
          <cell r="A485">
            <v>63904700</v>
          </cell>
          <cell r="B485" t="str">
            <v>Procureurlapje bladspinazie puree 520g DVK</v>
          </cell>
          <cell r="C485" t="str">
            <v>-</v>
          </cell>
          <cell r="D485" t="str">
            <v>+</v>
          </cell>
          <cell r="E485" t="str">
            <v>+</v>
          </cell>
          <cell r="F485" t="str">
            <v>X</v>
          </cell>
          <cell r="G485" t="str">
            <v>+</v>
          </cell>
          <cell r="H485" t="str">
            <v>+</v>
          </cell>
          <cell r="I485" t="str">
            <v>-</v>
          </cell>
          <cell r="J485" t="str">
            <v>-</v>
          </cell>
          <cell r="K485" t="str">
            <v>-</v>
          </cell>
          <cell r="L485" t="str">
            <v>-</v>
          </cell>
          <cell r="M485" t="str">
            <v>X</v>
          </cell>
          <cell r="N485" t="str">
            <v>-</v>
          </cell>
          <cell r="O485" t="str">
            <v>-</v>
          </cell>
        </row>
        <row r="486">
          <cell r="A486">
            <v>63904800</v>
          </cell>
          <cell r="B486" t="str">
            <v>Mexicaanse kipschotel paprika ananas rijst 520g VAT</v>
          </cell>
          <cell r="C486" t="str">
            <v>-</v>
          </cell>
          <cell r="D486" t="str">
            <v>-</v>
          </cell>
          <cell r="E486" t="str">
            <v>-</v>
          </cell>
          <cell r="F486" t="str">
            <v>-</v>
          </cell>
          <cell r="G486" t="str">
            <v>-</v>
          </cell>
          <cell r="H486" t="str">
            <v>-</v>
          </cell>
          <cell r="I486" t="str">
            <v>-</v>
          </cell>
          <cell r="J486" t="str">
            <v>-</v>
          </cell>
          <cell r="K486" t="str">
            <v>+</v>
          </cell>
          <cell r="L486" t="str">
            <v>-</v>
          </cell>
          <cell r="M486" t="str">
            <v>-</v>
          </cell>
          <cell r="N486" t="str">
            <v>-</v>
          </cell>
          <cell r="O486" t="str">
            <v>-</v>
          </cell>
        </row>
        <row r="487">
          <cell r="A487">
            <v>63904900</v>
          </cell>
          <cell r="B487" t="str">
            <v>Viergroentenstamppot met gehaktbal HOH 550g DVK</v>
          </cell>
          <cell r="C487" t="str">
            <v>-</v>
          </cell>
          <cell r="D487" t="str">
            <v>X</v>
          </cell>
          <cell r="E487" t="str">
            <v>+</v>
          </cell>
          <cell r="F487" t="str">
            <v>X</v>
          </cell>
          <cell r="G487" t="str">
            <v>+</v>
          </cell>
          <cell r="H487" t="str">
            <v>X</v>
          </cell>
          <cell r="I487" t="str">
            <v>-</v>
          </cell>
          <cell r="J487" t="str">
            <v>X</v>
          </cell>
          <cell r="K487" t="str">
            <v>X</v>
          </cell>
          <cell r="L487" t="str">
            <v>-</v>
          </cell>
          <cell r="M487" t="str">
            <v>X</v>
          </cell>
          <cell r="N487" t="str">
            <v>X</v>
          </cell>
          <cell r="O487" t="str">
            <v>X</v>
          </cell>
        </row>
        <row r="488">
          <cell r="A488">
            <v>63905000</v>
          </cell>
          <cell r="B488" t="str">
            <v>Hamlapje tuinbonen puree bieslook 500g VAT</v>
          </cell>
          <cell r="C488" t="str">
            <v>-</v>
          </cell>
          <cell r="D488" t="str">
            <v>+</v>
          </cell>
          <cell r="E488" t="str">
            <v>+</v>
          </cell>
          <cell r="F488" t="str">
            <v>X</v>
          </cell>
          <cell r="G488" t="str">
            <v>+</v>
          </cell>
          <cell r="H488" t="str">
            <v>X</v>
          </cell>
          <cell r="I488" t="str">
            <v>-</v>
          </cell>
          <cell r="J488" t="str">
            <v>-</v>
          </cell>
          <cell r="K488" t="str">
            <v>X</v>
          </cell>
          <cell r="L488" t="str">
            <v>-</v>
          </cell>
          <cell r="M488" t="str">
            <v>X</v>
          </cell>
          <cell r="N488" t="str">
            <v>-</v>
          </cell>
          <cell r="O488" t="str">
            <v>-</v>
          </cell>
        </row>
        <row r="489">
          <cell r="A489">
            <v>63905100</v>
          </cell>
          <cell r="B489" t="str">
            <v>Lekkerbekje doperwt wortel geb aardappel  gekruid 500g DVK</v>
          </cell>
          <cell r="C489" t="str">
            <v>-</v>
          </cell>
          <cell r="D489" t="str">
            <v>-</v>
          </cell>
          <cell r="E489" t="str">
            <v>+</v>
          </cell>
          <cell r="F489" t="str">
            <v>-</v>
          </cell>
          <cell r="G489" t="str">
            <v>-</v>
          </cell>
          <cell r="H489" t="str">
            <v>-</v>
          </cell>
          <cell r="I489" t="str">
            <v>-</v>
          </cell>
          <cell r="J489" t="str">
            <v>-</v>
          </cell>
          <cell r="K489" t="str">
            <v>-</v>
          </cell>
          <cell r="L489" t="str">
            <v>-</v>
          </cell>
          <cell r="M489" t="str">
            <v>-</v>
          </cell>
          <cell r="N489" t="str">
            <v>+</v>
          </cell>
          <cell r="O489" t="str">
            <v>-</v>
          </cell>
        </row>
        <row r="490">
          <cell r="A490">
            <v>63905200</v>
          </cell>
          <cell r="B490" t="str">
            <v>Chili con carne rijst 500g VAT</v>
          </cell>
          <cell r="C490" t="str">
            <v>-</v>
          </cell>
          <cell r="D490" t="str">
            <v>-</v>
          </cell>
          <cell r="E490" t="str">
            <v>-</v>
          </cell>
          <cell r="F490" t="str">
            <v>-</v>
          </cell>
          <cell r="G490" t="str">
            <v>-</v>
          </cell>
          <cell r="H490" t="str">
            <v>-</v>
          </cell>
          <cell r="I490" t="str">
            <v>-</v>
          </cell>
          <cell r="J490" t="str">
            <v>-</v>
          </cell>
          <cell r="K490" t="str">
            <v>+</v>
          </cell>
          <cell r="L490" t="str">
            <v>-</v>
          </cell>
          <cell r="M490" t="str">
            <v>-</v>
          </cell>
          <cell r="N490" t="str">
            <v>-</v>
          </cell>
          <cell r="O490" t="str">
            <v>-</v>
          </cell>
        </row>
        <row r="491">
          <cell r="A491">
            <v>63905300</v>
          </cell>
          <cell r="B491" t="str">
            <v>Gehaktschotel prei a la creme puree 500g VAT</v>
          </cell>
          <cell r="C491" t="str">
            <v>-</v>
          </cell>
          <cell r="D491" t="str">
            <v>+</v>
          </cell>
          <cell r="E491" t="str">
            <v>-</v>
          </cell>
          <cell r="F491" t="str">
            <v>-</v>
          </cell>
          <cell r="G491" t="str">
            <v>+</v>
          </cell>
          <cell r="H491" t="str">
            <v>-</v>
          </cell>
          <cell r="I491" t="str">
            <v>-</v>
          </cell>
          <cell r="J491" t="str">
            <v>-</v>
          </cell>
          <cell r="K491" t="str">
            <v>+</v>
          </cell>
          <cell r="L491" t="str">
            <v>-</v>
          </cell>
          <cell r="M491" t="str">
            <v>-</v>
          </cell>
          <cell r="N491" t="str">
            <v>-</v>
          </cell>
          <cell r="O491" t="str">
            <v>-</v>
          </cell>
        </row>
        <row r="492">
          <cell r="A492">
            <v>63905500</v>
          </cell>
          <cell r="B492" t="str">
            <v>Kip rozemarijn, broccoli puree 550g VAT</v>
          </cell>
          <cell r="C492" t="str">
            <v>-</v>
          </cell>
          <cell r="D492" t="str">
            <v>+</v>
          </cell>
          <cell r="E492" t="str">
            <v>+</v>
          </cell>
          <cell r="F492" t="str">
            <v>X</v>
          </cell>
          <cell r="G492" t="str">
            <v>+</v>
          </cell>
          <cell r="H492" t="str">
            <v>X</v>
          </cell>
          <cell r="I492" t="str">
            <v>-</v>
          </cell>
          <cell r="J492" t="str">
            <v>-</v>
          </cell>
          <cell r="K492" t="str">
            <v>+</v>
          </cell>
          <cell r="L492" t="str">
            <v>-</v>
          </cell>
          <cell r="M492" t="str">
            <v>X</v>
          </cell>
          <cell r="N492" t="str">
            <v>-</v>
          </cell>
          <cell r="O492" t="str">
            <v>-</v>
          </cell>
        </row>
        <row r="493">
          <cell r="A493">
            <v>63905501</v>
          </cell>
          <cell r="B493" t="str">
            <v>Kip rozemarijn, broccoli puree 365g VAT KL</v>
          </cell>
          <cell r="C493" t="str">
            <v>-</v>
          </cell>
          <cell r="D493" t="str">
            <v>+</v>
          </cell>
          <cell r="E493" t="str">
            <v>+</v>
          </cell>
          <cell r="F493" t="str">
            <v>X</v>
          </cell>
          <cell r="G493" t="str">
            <v>+</v>
          </cell>
          <cell r="H493" t="str">
            <v>X</v>
          </cell>
          <cell r="I493" t="str">
            <v>-</v>
          </cell>
          <cell r="J493" t="str">
            <v>-</v>
          </cell>
          <cell r="K493" t="str">
            <v>+</v>
          </cell>
          <cell r="L493" t="str">
            <v>-</v>
          </cell>
          <cell r="M493" t="str">
            <v>X</v>
          </cell>
          <cell r="N493" t="str">
            <v>-</v>
          </cell>
          <cell r="O493" t="str">
            <v>-</v>
          </cell>
        </row>
        <row r="494">
          <cell r="A494">
            <v>63905600</v>
          </cell>
          <cell r="B494" t="str">
            <v>Kipburger Bloemkool kaassaus aardappelen 500g VAT</v>
          </cell>
          <cell r="C494" t="str">
            <v>-</v>
          </cell>
          <cell r="D494" t="str">
            <v>-</v>
          </cell>
          <cell r="E494" t="str">
            <v>+</v>
          </cell>
          <cell r="F494" t="str">
            <v>X</v>
          </cell>
          <cell r="G494" t="str">
            <v>+</v>
          </cell>
          <cell r="H494" t="str">
            <v>X</v>
          </cell>
          <cell r="I494" t="str">
            <v>-</v>
          </cell>
          <cell r="J494" t="str">
            <v>-</v>
          </cell>
          <cell r="K494" t="str">
            <v>X</v>
          </cell>
          <cell r="L494" t="str">
            <v>-</v>
          </cell>
          <cell r="M494" t="str">
            <v>X</v>
          </cell>
          <cell r="N494" t="str">
            <v>-</v>
          </cell>
          <cell r="O494" t="str">
            <v>-</v>
          </cell>
        </row>
        <row r="495">
          <cell r="A495">
            <v>63906100</v>
          </cell>
          <cell r="B495" t="str">
            <v>Tagliatelle zalm groene aspergepunten 500g DVK</v>
          </cell>
          <cell r="C495" t="str">
            <v>-</v>
          </cell>
          <cell r="D495" t="str">
            <v>+</v>
          </cell>
          <cell r="E495" t="str">
            <v>+</v>
          </cell>
          <cell r="F495" t="str">
            <v>X</v>
          </cell>
          <cell r="G495" t="str">
            <v>+</v>
          </cell>
          <cell r="H495" t="str">
            <v>+</v>
          </cell>
          <cell r="I495" t="str">
            <v>-</v>
          </cell>
          <cell r="J495" t="str">
            <v>X</v>
          </cell>
          <cell r="K495" t="str">
            <v>+</v>
          </cell>
          <cell r="L495" t="str">
            <v>-</v>
          </cell>
          <cell r="M495" t="str">
            <v>X</v>
          </cell>
          <cell r="N495" t="str">
            <v>+</v>
          </cell>
          <cell r="O495" t="str">
            <v>X</v>
          </cell>
        </row>
        <row r="496">
          <cell r="A496">
            <v>63906101</v>
          </cell>
          <cell r="B496" t="str">
            <v>Tagliatelle zalm groene aspergepunten 350g VAT KL</v>
          </cell>
          <cell r="C496" t="str">
            <v>-</v>
          </cell>
          <cell r="D496" t="str">
            <v>+</v>
          </cell>
          <cell r="E496" t="str">
            <v>+</v>
          </cell>
          <cell r="F496" t="str">
            <v>X</v>
          </cell>
          <cell r="G496" t="str">
            <v>+</v>
          </cell>
          <cell r="H496" t="str">
            <v>+</v>
          </cell>
          <cell r="I496" t="str">
            <v>-</v>
          </cell>
          <cell r="J496" t="str">
            <v>X</v>
          </cell>
          <cell r="K496" t="str">
            <v>+</v>
          </cell>
          <cell r="L496" t="str">
            <v>-</v>
          </cell>
          <cell r="M496" t="str">
            <v>X</v>
          </cell>
          <cell r="N496" t="str">
            <v>+</v>
          </cell>
          <cell r="O496" t="str">
            <v>X</v>
          </cell>
        </row>
        <row r="497">
          <cell r="A497">
            <v>63906400</v>
          </cell>
          <cell r="B497" t="str">
            <v>Indonesische rijsttafel sambal bonen nasi 500g VAT</v>
          </cell>
          <cell r="C497" t="str">
            <v>-</v>
          </cell>
          <cell r="D497" t="str">
            <v>X</v>
          </cell>
          <cell r="E497" t="str">
            <v>+</v>
          </cell>
          <cell r="F497" t="str">
            <v>-</v>
          </cell>
          <cell r="G497" t="str">
            <v>X</v>
          </cell>
          <cell r="H497" t="str">
            <v>X</v>
          </cell>
          <cell r="I497" t="str">
            <v>-</v>
          </cell>
          <cell r="J497" t="str">
            <v>-</v>
          </cell>
          <cell r="K497" t="str">
            <v>+</v>
          </cell>
          <cell r="L497" t="str">
            <v>+</v>
          </cell>
          <cell r="M497" t="str">
            <v>+</v>
          </cell>
          <cell r="N497" t="str">
            <v>-</v>
          </cell>
          <cell r="O497" t="str">
            <v>-</v>
          </cell>
        </row>
        <row r="498">
          <cell r="A498">
            <v>63906401</v>
          </cell>
          <cell r="B498" t="str">
            <v>Indonesische rijsttafel sambal bonen nasi 350g VAT KL</v>
          </cell>
          <cell r="C498" t="str">
            <v>-</v>
          </cell>
          <cell r="D498" t="str">
            <v>X</v>
          </cell>
          <cell r="E498" t="str">
            <v>+</v>
          </cell>
          <cell r="F498" t="str">
            <v>-</v>
          </cell>
          <cell r="G498" t="str">
            <v>X</v>
          </cell>
          <cell r="H498" t="str">
            <v>X</v>
          </cell>
          <cell r="I498" t="str">
            <v>-</v>
          </cell>
          <cell r="J498" t="str">
            <v>-</v>
          </cell>
          <cell r="K498" t="str">
            <v>+</v>
          </cell>
          <cell r="L498" t="str">
            <v>+</v>
          </cell>
          <cell r="M498" t="str">
            <v>+</v>
          </cell>
          <cell r="N498" t="str">
            <v>-</v>
          </cell>
          <cell r="O498" t="str">
            <v>-</v>
          </cell>
        </row>
        <row r="499">
          <cell r="A499">
            <v>63906600</v>
          </cell>
          <cell r="B499" t="str">
            <v>Gehaktschotel aubergine/courget en aardappelschijf 600g DVK</v>
          </cell>
          <cell r="C499" t="str">
            <v>-</v>
          </cell>
          <cell r="D499" t="str">
            <v>-</v>
          </cell>
          <cell r="E499" t="str">
            <v>+</v>
          </cell>
          <cell r="F499" t="str">
            <v>-</v>
          </cell>
          <cell r="G499" t="str">
            <v>+</v>
          </cell>
          <cell r="H499" t="str">
            <v>-</v>
          </cell>
          <cell r="I499" t="str">
            <v>-</v>
          </cell>
          <cell r="J499" t="str">
            <v>-</v>
          </cell>
          <cell r="K499" t="str">
            <v>+</v>
          </cell>
          <cell r="L499" t="str">
            <v>-</v>
          </cell>
          <cell r="M499" t="str">
            <v>-</v>
          </cell>
          <cell r="N499" t="str">
            <v>-</v>
          </cell>
          <cell r="O499" t="str">
            <v>-</v>
          </cell>
        </row>
        <row r="500">
          <cell r="A500">
            <v>63906700</v>
          </cell>
          <cell r="B500" t="str">
            <v>Hamburger uiensaus appelmoes geb aardappelschijf 500g VAT</v>
          </cell>
          <cell r="C500" t="str">
            <v>-</v>
          </cell>
          <cell r="D500" t="str">
            <v>X</v>
          </cell>
          <cell r="E500" t="str">
            <v>+</v>
          </cell>
          <cell r="F500" t="str">
            <v>X</v>
          </cell>
          <cell r="G500" t="str">
            <v>X</v>
          </cell>
          <cell r="H500" t="str">
            <v>X</v>
          </cell>
          <cell r="I500" t="str">
            <v>-</v>
          </cell>
          <cell r="J500" t="str">
            <v>X</v>
          </cell>
          <cell r="K500" t="str">
            <v>+</v>
          </cell>
          <cell r="L500" t="str">
            <v>-</v>
          </cell>
          <cell r="M500" t="str">
            <v>X</v>
          </cell>
          <cell r="N500" t="str">
            <v>X</v>
          </cell>
          <cell r="O500" t="str">
            <v>X</v>
          </cell>
        </row>
        <row r="501">
          <cell r="A501">
            <v>63907000</v>
          </cell>
          <cell r="B501" t="str">
            <v>Spinaziestamppot met braadworst 580g DVK</v>
          </cell>
          <cell r="C501" t="str">
            <v>-</v>
          </cell>
          <cell r="D501" t="str">
            <v>+</v>
          </cell>
          <cell r="E501" t="str">
            <v>+</v>
          </cell>
          <cell r="F501" t="str">
            <v>X</v>
          </cell>
          <cell r="G501" t="str">
            <v>+</v>
          </cell>
          <cell r="H501" t="str">
            <v>+</v>
          </cell>
          <cell r="I501" t="str">
            <v>-</v>
          </cell>
          <cell r="J501" t="str">
            <v>-</v>
          </cell>
          <cell r="K501" t="str">
            <v>+</v>
          </cell>
          <cell r="L501" t="str">
            <v>-</v>
          </cell>
          <cell r="M501" t="str">
            <v>X</v>
          </cell>
          <cell r="N501" t="str">
            <v>-</v>
          </cell>
          <cell r="O501" t="str">
            <v>-</v>
          </cell>
        </row>
        <row r="502">
          <cell r="A502">
            <v>63907400</v>
          </cell>
          <cell r="B502" t="str">
            <v>Tagliatelle met kip en bospaddestoelen 515g VAT</v>
          </cell>
          <cell r="C502" t="str">
            <v>-</v>
          </cell>
          <cell r="D502" t="str">
            <v>+</v>
          </cell>
          <cell r="E502" t="str">
            <v>+</v>
          </cell>
          <cell r="F502" t="str">
            <v>X</v>
          </cell>
          <cell r="G502" t="str">
            <v>+</v>
          </cell>
          <cell r="H502" t="str">
            <v>X</v>
          </cell>
          <cell r="I502" t="str">
            <v>-</v>
          </cell>
          <cell r="J502" t="str">
            <v>-</v>
          </cell>
          <cell r="K502" t="str">
            <v>+</v>
          </cell>
          <cell r="L502" t="str">
            <v>-</v>
          </cell>
          <cell r="M502" t="str">
            <v>X</v>
          </cell>
          <cell r="N502" t="str">
            <v>-</v>
          </cell>
          <cell r="O502" t="str">
            <v>-</v>
          </cell>
        </row>
        <row r="503">
          <cell r="A503">
            <v>63907500</v>
          </cell>
          <cell r="B503" t="str">
            <v>Penne pesto met kip en groene groenten 500g VAT</v>
          </cell>
          <cell r="C503" t="str">
            <v>-</v>
          </cell>
          <cell r="D503" t="str">
            <v>X</v>
          </cell>
          <cell r="E503" t="str">
            <v>+</v>
          </cell>
          <cell r="F503" t="str">
            <v>X</v>
          </cell>
          <cell r="G503" t="str">
            <v>+</v>
          </cell>
          <cell r="H503" t="str">
            <v>X</v>
          </cell>
          <cell r="I503" t="str">
            <v>-</v>
          </cell>
          <cell r="J503" t="str">
            <v>-</v>
          </cell>
          <cell r="K503" t="str">
            <v>-</v>
          </cell>
          <cell r="L503" t="str">
            <v>-</v>
          </cell>
          <cell r="M503" t="str">
            <v>X</v>
          </cell>
          <cell r="N503" t="str">
            <v>-</v>
          </cell>
          <cell r="O503" t="str">
            <v>-</v>
          </cell>
        </row>
        <row r="504">
          <cell r="A504">
            <v>63908600</v>
          </cell>
          <cell r="B504" t="str">
            <v>Kippennugets aardappel kubus gekruid kerriesaus 450g DVK</v>
          </cell>
          <cell r="C504" t="str">
            <v>-</v>
          </cell>
          <cell r="D504" t="str">
            <v>-</v>
          </cell>
          <cell r="E504" t="str">
            <v>+</v>
          </cell>
          <cell r="F504" t="str">
            <v>X</v>
          </cell>
          <cell r="G504" t="str">
            <v>+</v>
          </cell>
          <cell r="H504" t="str">
            <v>+</v>
          </cell>
          <cell r="I504" t="str">
            <v>-</v>
          </cell>
          <cell r="J504" t="str">
            <v>-</v>
          </cell>
          <cell r="K504" t="str">
            <v>+</v>
          </cell>
          <cell r="L504" t="str">
            <v>-</v>
          </cell>
          <cell r="M504" t="str">
            <v>+</v>
          </cell>
          <cell r="N504" t="str">
            <v>-</v>
          </cell>
          <cell r="O504" t="str">
            <v>-</v>
          </cell>
        </row>
        <row r="505">
          <cell r="A505">
            <v>63908601</v>
          </cell>
          <cell r="B505" t="str">
            <v>Kippennugets gebakken aard gekruid kerriesaus 350g VAT KL</v>
          </cell>
          <cell r="C505" t="str">
            <v>-</v>
          </cell>
          <cell r="D505" t="str">
            <v>-</v>
          </cell>
          <cell r="E505" t="str">
            <v>+</v>
          </cell>
          <cell r="F505" t="str">
            <v>X</v>
          </cell>
          <cell r="G505" t="str">
            <v>+</v>
          </cell>
          <cell r="H505" t="str">
            <v>+</v>
          </cell>
          <cell r="I505" t="str">
            <v>-</v>
          </cell>
          <cell r="J505" t="str">
            <v>-</v>
          </cell>
          <cell r="K505" t="str">
            <v>+</v>
          </cell>
          <cell r="L505" t="str">
            <v>-</v>
          </cell>
          <cell r="M505" t="str">
            <v>+</v>
          </cell>
          <cell r="N505" t="str">
            <v>-</v>
          </cell>
          <cell r="O505" t="str">
            <v>-</v>
          </cell>
        </row>
        <row r="506">
          <cell r="A506">
            <v>63908700</v>
          </cell>
          <cell r="B506" t="str">
            <v>Kebablamellen frieten looksaus 450g DVK</v>
          </cell>
          <cell r="C506" t="str">
            <v>-</v>
          </cell>
          <cell r="D506" t="str">
            <v>-</v>
          </cell>
          <cell r="E506" t="str">
            <v>X</v>
          </cell>
          <cell r="F506" t="str">
            <v>-</v>
          </cell>
          <cell r="G506" t="str">
            <v>+</v>
          </cell>
          <cell r="H506" t="str">
            <v>+</v>
          </cell>
          <cell r="I506" t="str">
            <v>-</v>
          </cell>
          <cell r="J506" t="str">
            <v>-</v>
          </cell>
          <cell r="K506" t="str">
            <v>X</v>
          </cell>
          <cell r="L506" t="str">
            <v>-</v>
          </cell>
          <cell r="M506" t="str">
            <v>+</v>
          </cell>
          <cell r="N506" t="str">
            <v>-</v>
          </cell>
          <cell r="O506" t="str">
            <v>-</v>
          </cell>
        </row>
        <row r="507">
          <cell r="A507">
            <v>63909300</v>
          </cell>
          <cell r="B507" t="str">
            <v>Andijviestamppot met speklapje 580g DVK</v>
          </cell>
          <cell r="C507" t="str">
            <v>-</v>
          </cell>
          <cell r="D507" t="str">
            <v>-</v>
          </cell>
          <cell r="E507" t="str">
            <v>+</v>
          </cell>
          <cell r="F507" t="str">
            <v>X</v>
          </cell>
          <cell r="G507" t="str">
            <v>+</v>
          </cell>
          <cell r="H507" t="str">
            <v>X</v>
          </cell>
          <cell r="I507" t="str">
            <v>-</v>
          </cell>
          <cell r="J507" t="str">
            <v>-</v>
          </cell>
          <cell r="K507" t="str">
            <v>+</v>
          </cell>
          <cell r="L507" t="str">
            <v>-</v>
          </cell>
          <cell r="M507" t="str">
            <v>X</v>
          </cell>
          <cell r="N507" t="str">
            <v>-</v>
          </cell>
          <cell r="O507" t="str">
            <v>-</v>
          </cell>
        </row>
        <row r="508">
          <cell r="A508">
            <v>63909500</v>
          </cell>
          <cell r="B508" t="str">
            <v>Hamburger curry baby wortel kriel 550g DVK</v>
          </cell>
          <cell r="C508" t="str">
            <v>-</v>
          </cell>
          <cell r="D508" t="str">
            <v>-</v>
          </cell>
          <cell r="E508" t="str">
            <v>+</v>
          </cell>
          <cell r="F508" t="str">
            <v>X</v>
          </cell>
          <cell r="G508" t="str">
            <v>+</v>
          </cell>
          <cell r="H508" t="str">
            <v>+</v>
          </cell>
          <cell r="I508" t="str">
            <v>-</v>
          </cell>
          <cell r="J508" t="str">
            <v>-</v>
          </cell>
          <cell r="K508" t="str">
            <v>+</v>
          </cell>
          <cell r="L508" t="str">
            <v>-</v>
          </cell>
          <cell r="M508" t="str">
            <v>+</v>
          </cell>
          <cell r="N508" t="str">
            <v>-</v>
          </cell>
          <cell r="O508" t="str">
            <v>-</v>
          </cell>
        </row>
        <row r="509">
          <cell r="A509">
            <v>63909800</v>
          </cell>
          <cell r="B509" t="str">
            <v>Erwtensoep split met rookworst 650g VAT</v>
          </cell>
          <cell r="C509" t="str">
            <v>-</v>
          </cell>
          <cell r="D509" t="str">
            <v>-</v>
          </cell>
          <cell r="E509" t="str">
            <v>X</v>
          </cell>
          <cell r="F509" t="str">
            <v>-</v>
          </cell>
          <cell r="G509" t="str">
            <v>-</v>
          </cell>
          <cell r="H509" t="str">
            <v>-</v>
          </cell>
          <cell r="I509" t="str">
            <v>-</v>
          </cell>
          <cell r="J509" t="str">
            <v>-</v>
          </cell>
          <cell r="K509" t="str">
            <v>+</v>
          </cell>
          <cell r="L509" t="str">
            <v>-</v>
          </cell>
          <cell r="M509" t="str">
            <v>X</v>
          </cell>
          <cell r="N509" t="str">
            <v>-</v>
          </cell>
          <cell r="O509" t="str">
            <v>-</v>
          </cell>
        </row>
        <row r="510">
          <cell r="A510">
            <v>63910100</v>
          </cell>
          <cell r="B510" t="str">
            <v>Rundergehaktbal bladspinazie à la creme aardappelen 510g DVK</v>
          </cell>
          <cell r="C510" t="str">
            <v>-</v>
          </cell>
          <cell r="D510" t="str">
            <v>X</v>
          </cell>
          <cell r="E510" t="str">
            <v>+</v>
          </cell>
          <cell r="F510" t="str">
            <v>X</v>
          </cell>
          <cell r="G510" t="str">
            <v>+</v>
          </cell>
          <cell r="H510" t="str">
            <v>X</v>
          </cell>
          <cell r="I510" t="str">
            <v>-</v>
          </cell>
          <cell r="J510" t="str">
            <v>X</v>
          </cell>
          <cell r="K510" t="str">
            <v>X</v>
          </cell>
          <cell r="L510" t="str">
            <v>-</v>
          </cell>
          <cell r="M510" t="str">
            <v>X</v>
          </cell>
          <cell r="N510" t="str">
            <v>X</v>
          </cell>
          <cell r="O510" t="str">
            <v>X</v>
          </cell>
        </row>
        <row r="511">
          <cell r="A511">
            <v>63910101</v>
          </cell>
          <cell r="B511" t="str">
            <v>Gehaktbal spinazie à la creme aardappelen 365g VAT KL</v>
          </cell>
          <cell r="C511" t="str">
            <v>-</v>
          </cell>
          <cell r="D511" t="str">
            <v>-</v>
          </cell>
          <cell r="E511" t="str">
            <v>+</v>
          </cell>
          <cell r="F511" t="str">
            <v>X</v>
          </cell>
          <cell r="G511" t="str">
            <v>+</v>
          </cell>
          <cell r="H511" t="str">
            <v>X</v>
          </cell>
          <cell r="I511" t="str">
            <v>-</v>
          </cell>
          <cell r="J511" t="str">
            <v>-</v>
          </cell>
          <cell r="K511" t="str">
            <v>X</v>
          </cell>
          <cell r="L511" t="str">
            <v>-</v>
          </cell>
          <cell r="M511" t="str">
            <v>X</v>
          </cell>
          <cell r="N511" t="str">
            <v>-</v>
          </cell>
          <cell r="O511" t="str">
            <v>-</v>
          </cell>
        </row>
        <row r="512">
          <cell r="A512">
            <v>63910200</v>
          </cell>
          <cell r="B512" t="str">
            <v>Runderlapje met schorseneren en gek aardappelen 500g DVK</v>
          </cell>
          <cell r="C512" t="str">
            <v>-</v>
          </cell>
          <cell r="D512" t="str">
            <v>-</v>
          </cell>
          <cell r="E512" t="str">
            <v>+</v>
          </cell>
          <cell r="F512" t="str">
            <v>X</v>
          </cell>
          <cell r="G512" t="str">
            <v>+</v>
          </cell>
          <cell r="H512" t="str">
            <v>X</v>
          </cell>
          <cell r="I512" t="str">
            <v>-</v>
          </cell>
          <cell r="J512" t="str">
            <v>-</v>
          </cell>
          <cell r="K512" t="str">
            <v>-</v>
          </cell>
          <cell r="L512" t="str">
            <v>-</v>
          </cell>
          <cell r="M512" t="str">
            <v>X</v>
          </cell>
          <cell r="N512" t="str">
            <v>-</v>
          </cell>
          <cell r="O512" t="str">
            <v>-</v>
          </cell>
        </row>
        <row r="513">
          <cell r="A513">
            <v>63910300</v>
          </cell>
          <cell r="B513" t="str">
            <v>Kipschnitzel stroganoff aard kubus erwt bonen 485g VAT</v>
          </cell>
          <cell r="C513" t="str">
            <v>-</v>
          </cell>
          <cell r="D513" t="str">
            <v>X</v>
          </cell>
          <cell r="E513" t="str">
            <v>+</v>
          </cell>
          <cell r="F513" t="str">
            <v>-</v>
          </cell>
          <cell r="G513" t="str">
            <v>+</v>
          </cell>
          <cell r="H513" t="str">
            <v>X</v>
          </cell>
          <cell r="I513" t="str">
            <v>-</v>
          </cell>
          <cell r="J513" t="str">
            <v>-</v>
          </cell>
          <cell r="K513" t="str">
            <v>X</v>
          </cell>
          <cell r="L513" t="str">
            <v>-</v>
          </cell>
          <cell r="M513" t="str">
            <v>X</v>
          </cell>
          <cell r="N513" t="str">
            <v>-</v>
          </cell>
          <cell r="O513" t="str">
            <v>-</v>
          </cell>
        </row>
        <row r="514">
          <cell r="A514">
            <v>63910500</v>
          </cell>
          <cell r="B514" t="str">
            <v>Speklapje jus rode bietjes aardappelen 500 gr VAT</v>
          </cell>
          <cell r="C514" t="str">
            <v>-</v>
          </cell>
          <cell r="D514" t="str">
            <v>-</v>
          </cell>
          <cell r="E514" t="str">
            <v>+</v>
          </cell>
          <cell r="F514" t="str">
            <v>X</v>
          </cell>
          <cell r="G514" t="str">
            <v>-</v>
          </cell>
          <cell r="H514" t="str">
            <v>X</v>
          </cell>
          <cell r="I514" t="str">
            <v>-</v>
          </cell>
          <cell r="J514" t="str">
            <v>-</v>
          </cell>
          <cell r="K514" t="str">
            <v>+</v>
          </cell>
          <cell r="L514" t="str">
            <v>-</v>
          </cell>
          <cell r="M514" t="str">
            <v>X</v>
          </cell>
          <cell r="N514" t="str">
            <v>-</v>
          </cell>
          <cell r="O514" t="str">
            <v>-</v>
          </cell>
        </row>
        <row r="515">
          <cell r="A515">
            <v>63910700</v>
          </cell>
          <cell r="B515" t="str">
            <v>Heek hollandaise broccoli puree 545g DVK</v>
          </cell>
          <cell r="C515" t="str">
            <v>-</v>
          </cell>
          <cell r="D515" t="str">
            <v>+</v>
          </cell>
          <cell r="E515" t="str">
            <v>-</v>
          </cell>
          <cell r="F515" t="str">
            <v>-</v>
          </cell>
          <cell r="G515" t="str">
            <v>+</v>
          </cell>
          <cell r="H515" t="str">
            <v>-</v>
          </cell>
          <cell r="I515" t="str">
            <v>-</v>
          </cell>
          <cell r="J515" t="str">
            <v>-</v>
          </cell>
          <cell r="K515" t="str">
            <v>+</v>
          </cell>
          <cell r="L515" t="str">
            <v>-</v>
          </cell>
          <cell r="M515" t="str">
            <v>-</v>
          </cell>
          <cell r="N515" t="str">
            <v>+</v>
          </cell>
          <cell r="O515" t="str">
            <v>-</v>
          </cell>
        </row>
        <row r="516">
          <cell r="A516">
            <v>63910701</v>
          </cell>
          <cell r="B516" t="str">
            <v>Vis hollandaisesaus broccoli puree 365g VAT KL</v>
          </cell>
          <cell r="C516" t="str">
            <v>-</v>
          </cell>
          <cell r="D516" t="str">
            <v>+</v>
          </cell>
          <cell r="E516" t="str">
            <v>-</v>
          </cell>
          <cell r="F516" t="str">
            <v>-</v>
          </cell>
          <cell r="G516" t="str">
            <v>+</v>
          </cell>
          <cell r="H516" t="str">
            <v>-</v>
          </cell>
          <cell r="I516" t="str">
            <v>-</v>
          </cell>
          <cell r="J516" t="str">
            <v>-</v>
          </cell>
          <cell r="K516" t="str">
            <v>+</v>
          </cell>
          <cell r="L516" t="str">
            <v>-</v>
          </cell>
          <cell r="M516" t="str">
            <v>-</v>
          </cell>
          <cell r="N516" t="str">
            <v>+</v>
          </cell>
          <cell r="O516" t="str">
            <v>-</v>
          </cell>
        </row>
        <row r="517">
          <cell r="A517">
            <v>63910800</v>
          </cell>
          <cell r="B517" t="str">
            <v>Spaghetti Carbonara 550g VAT</v>
          </cell>
          <cell r="C517" t="str">
            <v>-</v>
          </cell>
          <cell r="D517" t="str">
            <v>X</v>
          </cell>
          <cell r="E517" t="str">
            <v>+</v>
          </cell>
          <cell r="F517" t="str">
            <v>X</v>
          </cell>
          <cell r="G517" t="str">
            <v>+</v>
          </cell>
          <cell r="H517" t="str">
            <v>X</v>
          </cell>
          <cell r="I517" t="str">
            <v>-</v>
          </cell>
          <cell r="J517" t="str">
            <v>-</v>
          </cell>
          <cell r="K517" t="str">
            <v>-</v>
          </cell>
          <cell r="L517" t="str">
            <v>-</v>
          </cell>
          <cell r="M517" t="str">
            <v>X</v>
          </cell>
          <cell r="N517" t="str">
            <v>-</v>
          </cell>
          <cell r="O517" t="str">
            <v>-</v>
          </cell>
        </row>
        <row r="518">
          <cell r="A518">
            <v>63910900</v>
          </cell>
          <cell r="B518" t="str">
            <v>Kip zoetzuur met nasi goreng 500g DVK</v>
          </cell>
          <cell r="C518" t="str">
            <v>-</v>
          </cell>
          <cell r="D518" t="str">
            <v>+</v>
          </cell>
          <cell r="E518" t="str">
            <v>+</v>
          </cell>
          <cell r="F518" t="str">
            <v>-</v>
          </cell>
          <cell r="G518" t="str">
            <v>-</v>
          </cell>
          <cell r="H518" t="str">
            <v>-</v>
          </cell>
          <cell r="I518" t="str">
            <v>-</v>
          </cell>
          <cell r="J518" t="str">
            <v>-</v>
          </cell>
          <cell r="K518" t="str">
            <v>+</v>
          </cell>
          <cell r="L518" t="str">
            <v>+</v>
          </cell>
          <cell r="M518" t="str">
            <v>+</v>
          </cell>
          <cell r="N518" t="str">
            <v>+</v>
          </cell>
          <cell r="O518" t="str">
            <v>-</v>
          </cell>
        </row>
        <row r="519">
          <cell r="A519">
            <v>63911000</v>
          </cell>
          <cell r="B519" t="str">
            <v>Andijviestamppot gehaktbal 500g VAT</v>
          </cell>
          <cell r="C519" t="str">
            <v>-</v>
          </cell>
          <cell r="D519" t="str">
            <v>X</v>
          </cell>
          <cell r="E519" t="str">
            <v>+</v>
          </cell>
          <cell r="F519" t="str">
            <v>X</v>
          </cell>
          <cell r="G519" t="str">
            <v>+</v>
          </cell>
          <cell r="H519" t="str">
            <v>X</v>
          </cell>
          <cell r="I519" t="str">
            <v>-</v>
          </cell>
          <cell r="J519" t="str">
            <v>X</v>
          </cell>
          <cell r="K519" t="str">
            <v>+</v>
          </cell>
          <cell r="L519" t="str">
            <v>-</v>
          </cell>
          <cell r="M519" t="str">
            <v>X</v>
          </cell>
          <cell r="N519" t="str">
            <v>X</v>
          </cell>
          <cell r="O519" t="str">
            <v>X</v>
          </cell>
        </row>
        <row r="520">
          <cell r="A520">
            <v>63911100</v>
          </cell>
          <cell r="B520" t="str">
            <v>Hete bliksem met braadworst 600g DVK</v>
          </cell>
          <cell r="C520" t="str">
            <v>-</v>
          </cell>
          <cell r="D520" t="str">
            <v>+</v>
          </cell>
          <cell r="E520" t="str">
            <v>+</v>
          </cell>
          <cell r="F520" t="str">
            <v>-</v>
          </cell>
          <cell r="G520" t="str">
            <v>+</v>
          </cell>
          <cell r="H520" t="str">
            <v>+</v>
          </cell>
          <cell r="I520" t="str">
            <v>-</v>
          </cell>
          <cell r="J520" t="str">
            <v>-</v>
          </cell>
          <cell r="K520" t="str">
            <v>+</v>
          </cell>
          <cell r="L520" t="str">
            <v>-</v>
          </cell>
          <cell r="M520" t="str">
            <v>-</v>
          </cell>
          <cell r="N520" t="str">
            <v>-</v>
          </cell>
          <cell r="O520" t="str">
            <v>-</v>
          </cell>
        </row>
        <row r="521">
          <cell r="A521">
            <v>63911300</v>
          </cell>
          <cell r="B521" t="str">
            <v>Spareribs bbq erwt-wortel gebakken aardappel 530g VAT</v>
          </cell>
          <cell r="C521" t="str">
            <v>-</v>
          </cell>
          <cell r="D521" t="str">
            <v>-</v>
          </cell>
          <cell r="E521" t="str">
            <v>+</v>
          </cell>
          <cell r="F521" t="str">
            <v>-</v>
          </cell>
          <cell r="G521" t="str">
            <v>-</v>
          </cell>
          <cell r="H521" t="str">
            <v>+</v>
          </cell>
          <cell r="I521" t="str">
            <v>-</v>
          </cell>
          <cell r="J521" t="str">
            <v>-</v>
          </cell>
          <cell r="K521" t="str">
            <v>+</v>
          </cell>
          <cell r="L521" t="str">
            <v>-</v>
          </cell>
          <cell r="M521" t="str">
            <v>-</v>
          </cell>
          <cell r="N521" t="str">
            <v>+</v>
          </cell>
          <cell r="O521" t="str">
            <v>-</v>
          </cell>
        </row>
        <row r="522">
          <cell r="A522">
            <v>63911400</v>
          </cell>
          <cell r="B522" t="str">
            <v>Kippenbout tutti frutti gebakken aardappelen 550g VAT</v>
          </cell>
          <cell r="C522" t="str">
            <v>-</v>
          </cell>
          <cell r="D522" t="str">
            <v>-</v>
          </cell>
          <cell r="E522" t="str">
            <v>+</v>
          </cell>
          <cell r="F522" t="str">
            <v>-</v>
          </cell>
          <cell r="G522" t="str">
            <v>+</v>
          </cell>
          <cell r="H522" t="str">
            <v>X</v>
          </cell>
          <cell r="I522" t="str">
            <v>-</v>
          </cell>
          <cell r="J522" t="str">
            <v>-</v>
          </cell>
          <cell r="K522" t="str">
            <v>+</v>
          </cell>
          <cell r="L522" t="str">
            <v>-</v>
          </cell>
          <cell r="M522" t="str">
            <v>-</v>
          </cell>
          <cell r="N522" t="str">
            <v>-</v>
          </cell>
          <cell r="O522" t="str">
            <v>-</v>
          </cell>
        </row>
        <row r="523">
          <cell r="A523">
            <v>63911500</v>
          </cell>
          <cell r="B523" t="str">
            <v>Varkensgebraad savooikool kookaardappelen 525g VAT</v>
          </cell>
          <cell r="C523" t="str">
            <v>X</v>
          </cell>
          <cell r="D523" t="str">
            <v>X</v>
          </cell>
          <cell r="E523" t="str">
            <v>+</v>
          </cell>
          <cell r="F523" t="str">
            <v>X</v>
          </cell>
          <cell r="G523" t="str">
            <v>+</v>
          </cell>
          <cell r="H523" t="str">
            <v>X</v>
          </cell>
          <cell r="I523" t="str">
            <v>X</v>
          </cell>
          <cell r="J523" t="str">
            <v>X</v>
          </cell>
          <cell r="K523" t="str">
            <v>+</v>
          </cell>
          <cell r="L523" t="str">
            <v>X</v>
          </cell>
          <cell r="M523" t="str">
            <v>X</v>
          </cell>
          <cell r="N523" t="str">
            <v>X</v>
          </cell>
          <cell r="O523" t="str">
            <v>-</v>
          </cell>
        </row>
        <row r="524">
          <cell r="A524">
            <v>63911501</v>
          </cell>
          <cell r="B524" t="str">
            <v>Varkensgebraad savooikool kookaardappelen 350g VAT KL</v>
          </cell>
          <cell r="C524" t="str">
            <v>X</v>
          </cell>
          <cell r="D524" t="str">
            <v>X</v>
          </cell>
          <cell r="E524" t="str">
            <v>+</v>
          </cell>
          <cell r="F524" t="str">
            <v>X</v>
          </cell>
          <cell r="G524" t="str">
            <v>+</v>
          </cell>
          <cell r="H524" t="str">
            <v>X</v>
          </cell>
          <cell r="I524" t="str">
            <v>X</v>
          </cell>
          <cell r="J524" t="str">
            <v>X</v>
          </cell>
          <cell r="K524" t="str">
            <v>+</v>
          </cell>
          <cell r="L524" t="str">
            <v>X</v>
          </cell>
          <cell r="M524" t="str">
            <v>X</v>
          </cell>
          <cell r="N524" t="str">
            <v>X</v>
          </cell>
          <cell r="O524" t="str">
            <v>-</v>
          </cell>
        </row>
        <row r="525">
          <cell r="A525">
            <v>63911600</v>
          </cell>
          <cell r="B525" t="str">
            <v>Cordon bleu kip spinazie puree 525g VAT</v>
          </cell>
          <cell r="C525" t="str">
            <v>-</v>
          </cell>
          <cell r="D525" t="str">
            <v>+</v>
          </cell>
          <cell r="E525" t="str">
            <v>+</v>
          </cell>
          <cell r="F525" t="str">
            <v>X</v>
          </cell>
          <cell r="G525" t="str">
            <v>+</v>
          </cell>
          <cell r="H525" t="str">
            <v>X</v>
          </cell>
          <cell r="I525" t="str">
            <v>-</v>
          </cell>
          <cell r="J525" t="str">
            <v>-</v>
          </cell>
          <cell r="K525" t="str">
            <v>+</v>
          </cell>
          <cell r="L525" t="str">
            <v>-</v>
          </cell>
          <cell r="M525" t="str">
            <v>X</v>
          </cell>
          <cell r="N525" t="str">
            <v>-</v>
          </cell>
          <cell r="O525" t="str">
            <v>-</v>
          </cell>
        </row>
        <row r="526">
          <cell r="A526">
            <v>63911900</v>
          </cell>
          <cell r="B526" t="str">
            <v>Wild stoofpotje appel-veenbessencompote puree 500g VAT</v>
          </cell>
          <cell r="C526" t="str">
            <v>-</v>
          </cell>
          <cell r="D526" t="str">
            <v>+</v>
          </cell>
          <cell r="E526" t="str">
            <v>+</v>
          </cell>
          <cell r="F526" t="str">
            <v>X</v>
          </cell>
          <cell r="G526" t="str">
            <v>+</v>
          </cell>
          <cell r="H526" t="str">
            <v>X</v>
          </cell>
          <cell r="I526" t="str">
            <v>-</v>
          </cell>
          <cell r="J526" t="str">
            <v>-</v>
          </cell>
          <cell r="K526" t="str">
            <v>-</v>
          </cell>
          <cell r="L526" t="str">
            <v>-</v>
          </cell>
          <cell r="M526" t="str">
            <v>X</v>
          </cell>
          <cell r="N526" t="str">
            <v>-</v>
          </cell>
          <cell r="O526" t="str">
            <v>-</v>
          </cell>
        </row>
        <row r="527">
          <cell r="A527">
            <v>63912000</v>
          </cell>
          <cell r="B527" t="str">
            <v>Kippenragout met worteltjes, doperwten en rijst 500g VAT</v>
          </cell>
          <cell r="C527" t="str">
            <v>-</v>
          </cell>
          <cell r="D527" t="str">
            <v>X</v>
          </cell>
          <cell r="E527" t="str">
            <v>+</v>
          </cell>
          <cell r="F527" t="str">
            <v>X</v>
          </cell>
          <cell r="G527" t="str">
            <v>+</v>
          </cell>
          <cell r="H527" t="str">
            <v>X</v>
          </cell>
          <cell r="I527" t="str">
            <v>-</v>
          </cell>
          <cell r="J527" t="str">
            <v>-</v>
          </cell>
          <cell r="K527" t="str">
            <v>+</v>
          </cell>
          <cell r="L527" t="str">
            <v>-</v>
          </cell>
          <cell r="M527" t="str">
            <v>X</v>
          </cell>
          <cell r="N527" t="str">
            <v>-</v>
          </cell>
          <cell r="O527" t="str">
            <v>-</v>
          </cell>
        </row>
        <row r="528">
          <cell r="A528">
            <v>63912001</v>
          </cell>
          <cell r="B528" t="str">
            <v>Kippenragout met worteltjes, doperwten en rijst 350g VAT KL</v>
          </cell>
          <cell r="C528" t="str">
            <v>-</v>
          </cell>
          <cell r="D528" t="str">
            <v>X</v>
          </cell>
          <cell r="E528" t="str">
            <v>+</v>
          </cell>
          <cell r="F528" t="str">
            <v>X</v>
          </cell>
          <cell r="G528" t="str">
            <v>+</v>
          </cell>
          <cell r="H528" t="str">
            <v>X</v>
          </cell>
          <cell r="I528" t="str">
            <v>-</v>
          </cell>
          <cell r="J528" t="str">
            <v>-</v>
          </cell>
          <cell r="K528" t="str">
            <v>+</v>
          </cell>
          <cell r="L528" t="str">
            <v>-</v>
          </cell>
          <cell r="M528" t="str">
            <v>X</v>
          </cell>
          <cell r="N528" t="str">
            <v>-</v>
          </cell>
          <cell r="O528" t="str">
            <v>-</v>
          </cell>
        </row>
        <row r="529">
          <cell r="A529">
            <v>63912100</v>
          </cell>
          <cell r="B529" t="str">
            <v>Braadworst spruitjes puree 500g VAT</v>
          </cell>
          <cell r="C529" t="str">
            <v>-</v>
          </cell>
          <cell r="D529" t="str">
            <v>+</v>
          </cell>
          <cell r="E529" t="str">
            <v>+</v>
          </cell>
          <cell r="F529" t="str">
            <v>X</v>
          </cell>
          <cell r="G529" t="str">
            <v>+</v>
          </cell>
          <cell r="H529" t="str">
            <v>+</v>
          </cell>
          <cell r="I529" t="str">
            <v>-</v>
          </cell>
          <cell r="J529" t="str">
            <v>-</v>
          </cell>
          <cell r="K529" t="str">
            <v>+</v>
          </cell>
          <cell r="L529" t="str">
            <v>-</v>
          </cell>
          <cell r="M529" t="str">
            <v>X</v>
          </cell>
          <cell r="N529" t="str">
            <v>-</v>
          </cell>
          <cell r="O529" t="str">
            <v>-</v>
          </cell>
        </row>
        <row r="530">
          <cell r="A530">
            <v>63912101</v>
          </cell>
          <cell r="B530" t="str">
            <v>Braadworst spruitjes puree 365g VAT KL</v>
          </cell>
          <cell r="C530" t="str">
            <v>-</v>
          </cell>
          <cell r="D530" t="str">
            <v>+</v>
          </cell>
          <cell r="E530" t="str">
            <v>+</v>
          </cell>
          <cell r="F530" t="str">
            <v>X</v>
          </cell>
          <cell r="G530" t="str">
            <v>+</v>
          </cell>
          <cell r="H530" t="str">
            <v>X</v>
          </cell>
          <cell r="I530" t="str">
            <v>-</v>
          </cell>
          <cell r="J530" t="str">
            <v>-</v>
          </cell>
          <cell r="K530" t="str">
            <v>X</v>
          </cell>
          <cell r="L530" t="str">
            <v>-</v>
          </cell>
          <cell r="M530" t="str">
            <v>X</v>
          </cell>
          <cell r="N530" t="str">
            <v>-</v>
          </cell>
          <cell r="O530" t="str">
            <v>-</v>
          </cell>
        </row>
        <row r="531">
          <cell r="A531">
            <v>63912200</v>
          </cell>
          <cell r="B531" t="str">
            <v>Rabarbercompote kipfilet gebakken aard blokjes 500g VAT</v>
          </cell>
          <cell r="C531" t="str">
            <v>-</v>
          </cell>
          <cell r="D531" t="str">
            <v>X</v>
          </cell>
          <cell r="E531" t="str">
            <v>+</v>
          </cell>
          <cell r="F531" t="str">
            <v>X</v>
          </cell>
          <cell r="G531" t="str">
            <v>+</v>
          </cell>
          <cell r="H531" t="str">
            <v>X</v>
          </cell>
          <cell r="I531" t="str">
            <v>-</v>
          </cell>
          <cell r="J531" t="str">
            <v>-</v>
          </cell>
          <cell r="K531" t="str">
            <v>-</v>
          </cell>
          <cell r="L531" t="str">
            <v>-</v>
          </cell>
          <cell r="M531" t="str">
            <v>X</v>
          </cell>
          <cell r="N531" t="str">
            <v>-</v>
          </cell>
          <cell r="O531" t="str">
            <v>-</v>
          </cell>
        </row>
        <row r="532">
          <cell r="A532">
            <v>63912300</v>
          </cell>
          <cell r="B532" t="str">
            <v>Varkenshamlapje spruitjes gekookte aardappelen 500g VAT</v>
          </cell>
          <cell r="C532" t="str">
            <v>-</v>
          </cell>
          <cell r="D532" t="str">
            <v>X</v>
          </cell>
          <cell r="E532" t="str">
            <v>X</v>
          </cell>
          <cell r="F532" t="str">
            <v>-</v>
          </cell>
          <cell r="G532" t="str">
            <v>+</v>
          </cell>
          <cell r="H532" t="str">
            <v>X</v>
          </cell>
          <cell r="I532" t="str">
            <v>-</v>
          </cell>
          <cell r="J532" t="str">
            <v>-</v>
          </cell>
          <cell r="K532" t="str">
            <v>X</v>
          </cell>
          <cell r="L532" t="str">
            <v>-</v>
          </cell>
          <cell r="M532" t="str">
            <v>X</v>
          </cell>
          <cell r="N532" t="str">
            <v>-</v>
          </cell>
          <cell r="O532" t="str">
            <v>-</v>
          </cell>
        </row>
        <row r="533">
          <cell r="A533">
            <v>63912400</v>
          </cell>
          <cell r="B533" t="str">
            <v>Rode kool stamppot gehaktbal 600g VAT</v>
          </cell>
          <cell r="C533" t="str">
            <v>-</v>
          </cell>
          <cell r="D533" t="str">
            <v>X</v>
          </cell>
          <cell r="E533" t="str">
            <v>X</v>
          </cell>
          <cell r="F533" t="str">
            <v>-</v>
          </cell>
          <cell r="G533" t="str">
            <v>+</v>
          </cell>
          <cell r="H533" t="str">
            <v>X</v>
          </cell>
          <cell r="I533" t="str">
            <v>X</v>
          </cell>
          <cell r="J533" t="str">
            <v>X</v>
          </cell>
          <cell r="K533" t="str">
            <v>X</v>
          </cell>
          <cell r="L533" t="str">
            <v>-</v>
          </cell>
          <cell r="M533" t="str">
            <v>X</v>
          </cell>
          <cell r="N533" t="str">
            <v>X</v>
          </cell>
          <cell r="O533" t="str">
            <v>X</v>
          </cell>
        </row>
        <row r="534">
          <cell r="A534">
            <v>63912401</v>
          </cell>
          <cell r="B534" t="str">
            <v>Rode kool stamppot gehaktbal 400g VAT KL</v>
          </cell>
          <cell r="C534" t="str">
            <v>-</v>
          </cell>
          <cell r="D534" t="str">
            <v>X</v>
          </cell>
          <cell r="E534" t="str">
            <v>X</v>
          </cell>
          <cell r="F534" t="str">
            <v>-</v>
          </cell>
          <cell r="G534" t="str">
            <v>+</v>
          </cell>
          <cell r="H534" t="str">
            <v>X</v>
          </cell>
          <cell r="I534" t="str">
            <v>X</v>
          </cell>
          <cell r="J534" t="str">
            <v>X</v>
          </cell>
          <cell r="K534" t="str">
            <v>X</v>
          </cell>
          <cell r="L534" t="str">
            <v>-</v>
          </cell>
          <cell r="M534" t="str">
            <v>X</v>
          </cell>
          <cell r="N534" t="str">
            <v>X</v>
          </cell>
          <cell r="O534" t="str">
            <v>X</v>
          </cell>
        </row>
        <row r="535">
          <cell r="A535">
            <v>63912500</v>
          </cell>
          <cell r="B535" t="str">
            <v>Preistamppot met kipfilet 600g VAT</v>
          </cell>
          <cell r="C535" t="str">
            <v>-</v>
          </cell>
          <cell r="D535" t="str">
            <v>-</v>
          </cell>
          <cell r="E535" t="str">
            <v>+</v>
          </cell>
          <cell r="F535" t="str">
            <v>X</v>
          </cell>
          <cell r="G535" t="str">
            <v>+</v>
          </cell>
          <cell r="H535" t="str">
            <v>X</v>
          </cell>
          <cell r="I535" t="str">
            <v>-</v>
          </cell>
          <cell r="J535" t="str">
            <v>-</v>
          </cell>
          <cell r="K535" t="str">
            <v>X</v>
          </cell>
          <cell r="L535" t="str">
            <v>-</v>
          </cell>
          <cell r="M535" t="str">
            <v>X</v>
          </cell>
          <cell r="N535" t="str">
            <v>-</v>
          </cell>
          <cell r="O535" t="str">
            <v>-</v>
          </cell>
        </row>
        <row r="536">
          <cell r="A536">
            <v>63912600</v>
          </cell>
          <cell r="B536" t="str">
            <v>Slavink met spruitjes en aardappelpuree 500g VAT</v>
          </cell>
          <cell r="C536" t="str">
            <v>-</v>
          </cell>
          <cell r="D536" t="str">
            <v>+</v>
          </cell>
          <cell r="E536" t="str">
            <v>+</v>
          </cell>
          <cell r="F536" t="str">
            <v>X</v>
          </cell>
          <cell r="G536" t="str">
            <v>+</v>
          </cell>
          <cell r="H536" t="str">
            <v>X</v>
          </cell>
          <cell r="I536" t="str">
            <v>-</v>
          </cell>
          <cell r="J536" t="str">
            <v>-</v>
          </cell>
          <cell r="K536" t="str">
            <v>X</v>
          </cell>
          <cell r="L536" t="str">
            <v>-</v>
          </cell>
          <cell r="M536" t="str">
            <v>X</v>
          </cell>
          <cell r="N536" t="str">
            <v>-</v>
          </cell>
          <cell r="O536" t="str">
            <v>-</v>
          </cell>
        </row>
        <row r="537">
          <cell r="A537">
            <v>63912700</v>
          </cell>
          <cell r="B537" t="str">
            <v>Babi ketjap met bami 500g VAT</v>
          </cell>
          <cell r="C537" t="str">
            <v>-</v>
          </cell>
          <cell r="D537" t="str">
            <v>+</v>
          </cell>
          <cell r="E537" t="str">
            <v>+</v>
          </cell>
          <cell r="F537" t="str">
            <v>X</v>
          </cell>
          <cell r="G537" t="str">
            <v>X</v>
          </cell>
          <cell r="H537" t="str">
            <v>X</v>
          </cell>
          <cell r="I537" t="str">
            <v>-</v>
          </cell>
          <cell r="J537" t="str">
            <v>-</v>
          </cell>
          <cell r="K537" t="str">
            <v>+</v>
          </cell>
          <cell r="L537" t="str">
            <v>-</v>
          </cell>
          <cell r="M537" t="str">
            <v>+</v>
          </cell>
          <cell r="N537" t="str">
            <v>-</v>
          </cell>
          <cell r="O537" t="str">
            <v>-</v>
          </cell>
        </row>
        <row r="538">
          <cell r="A538">
            <v>63912800</v>
          </cell>
          <cell r="B538" t="str">
            <v>Va procureur rollade andijvie aardappelen 500g VAT</v>
          </cell>
          <cell r="C538" t="str">
            <v>X</v>
          </cell>
          <cell r="D538" t="str">
            <v>-</v>
          </cell>
          <cell r="E538" t="str">
            <v>+</v>
          </cell>
          <cell r="F538" t="str">
            <v>X</v>
          </cell>
          <cell r="G538" t="str">
            <v>+</v>
          </cell>
          <cell r="H538" t="str">
            <v>X</v>
          </cell>
          <cell r="I538" t="str">
            <v>X</v>
          </cell>
          <cell r="J538" t="str">
            <v>-</v>
          </cell>
          <cell r="K538" t="str">
            <v>X</v>
          </cell>
          <cell r="L538" t="str">
            <v>-</v>
          </cell>
          <cell r="M538" t="str">
            <v>X</v>
          </cell>
          <cell r="N538" t="str">
            <v>-</v>
          </cell>
          <cell r="O538" t="str">
            <v>-</v>
          </cell>
        </row>
        <row r="539">
          <cell r="A539">
            <v>63912900</v>
          </cell>
          <cell r="B539" t="str">
            <v>Runderlapje met stoofperen en puree 510g VAT</v>
          </cell>
          <cell r="C539" t="str">
            <v>-</v>
          </cell>
          <cell r="D539" t="str">
            <v>+</v>
          </cell>
          <cell r="E539" t="str">
            <v>+</v>
          </cell>
          <cell r="F539" t="str">
            <v>X</v>
          </cell>
          <cell r="G539" t="str">
            <v>+</v>
          </cell>
          <cell r="H539" t="str">
            <v>X</v>
          </cell>
          <cell r="I539" t="str">
            <v>-</v>
          </cell>
          <cell r="J539" t="str">
            <v>-</v>
          </cell>
          <cell r="K539" t="str">
            <v>-</v>
          </cell>
          <cell r="L539" t="str">
            <v>-</v>
          </cell>
          <cell r="M539" t="str">
            <v>X</v>
          </cell>
          <cell r="N539" t="str">
            <v>-</v>
          </cell>
          <cell r="O539" t="str">
            <v>-</v>
          </cell>
        </row>
        <row r="540">
          <cell r="A540">
            <v>63913000</v>
          </cell>
          <cell r="B540" t="str">
            <v>Runderlapje snijbonen puree 500g VAT</v>
          </cell>
          <cell r="C540" t="str">
            <v>-</v>
          </cell>
          <cell r="D540" t="str">
            <v>+</v>
          </cell>
          <cell r="E540" t="str">
            <v>-</v>
          </cell>
          <cell r="F540" t="str">
            <v>-</v>
          </cell>
          <cell r="G540" t="str">
            <v>+</v>
          </cell>
          <cell r="H540" t="str">
            <v>-</v>
          </cell>
          <cell r="I540" t="str">
            <v>-</v>
          </cell>
          <cell r="J540" t="str">
            <v>-</v>
          </cell>
          <cell r="K540" t="str">
            <v>-</v>
          </cell>
          <cell r="L540" t="str">
            <v>-</v>
          </cell>
          <cell r="M540" t="str">
            <v>-</v>
          </cell>
          <cell r="N540" t="str">
            <v>-</v>
          </cell>
          <cell r="O540" t="str">
            <v>-</v>
          </cell>
        </row>
        <row r="541">
          <cell r="A541">
            <v>63913001</v>
          </cell>
          <cell r="B541" t="str">
            <v>Runderlapje snijbonen puree 365g VAT KL</v>
          </cell>
          <cell r="C541" t="str">
            <v>-</v>
          </cell>
          <cell r="D541" t="str">
            <v>+</v>
          </cell>
          <cell r="E541" t="str">
            <v>-</v>
          </cell>
          <cell r="F541" t="str">
            <v>-</v>
          </cell>
          <cell r="G541" t="str">
            <v>+</v>
          </cell>
          <cell r="H541" t="str">
            <v>-</v>
          </cell>
          <cell r="I541" t="str">
            <v>-</v>
          </cell>
          <cell r="J541" t="str">
            <v>-</v>
          </cell>
          <cell r="K541" t="str">
            <v>-</v>
          </cell>
          <cell r="L541" t="str">
            <v>-</v>
          </cell>
          <cell r="M541" t="str">
            <v>-</v>
          </cell>
          <cell r="N541" t="str">
            <v>-</v>
          </cell>
          <cell r="O541" t="str">
            <v>-</v>
          </cell>
        </row>
        <row r="542">
          <cell r="A542">
            <v>63913100</v>
          </cell>
          <cell r="B542" t="str">
            <v>Runderlapje jus bloemkool bechamelsaus aardappelen 500g VAT</v>
          </cell>
          <cell r="C542" t="str">
            <v>-</v>
          </cell>
          <cell r="D542" t="str">
            <v>-</v>
          </cell>
          <cell r="E542" t="str">
            <v>+</v>
          </cell>
          <cell r="F542" t="str">
            <v>X</v>
          </cell>
          <cell r="G542" t="str">
            <v>+</v>
          </cell>
          <cell r="H542" t="str">
            <v>X</v>
          </cell>
          <cell r="I542" t="str">
            <v>-</v>
          </cell>
          <cell r="J542" t="str">
            <v>-</v>
          </cell>
          <cell r="K542" t="str">
            <v>-</v>
          </cell>
          <cell r="L542" t="str">
            <v>-</v>
          </cell>
          <cell r="M542" t="str">
            <v>X</v>
          </cell>
          <cell r="N542" t="str">
            <v>-</v>
          </cell>
          <cell r="O542" t="str">
            <v>-</v>
          </cell>
        </row>
        <row r="543">
          <cell r="A543">
            <v>63913200</v>
          </cell>
          <cell r="B543" t="str">
            <v>Draadjesvlees biersaus rode kool rosties 490g VAT</v>
          </cell>
          <cell r="C543" t="str">
            <v>-</v>
          </cell>
          <cell r="D543" t="str">
            <v>X</v>
          </cell>
          <cell r="E543" t="str">
            <v>+</v>
          </cell>
          <cell r="F543" t="str">
            <v>X</v>
          </cell>
          <cell r="G543" t="str">
            <v>X</v>
          </cell>
          <cell r="H543" t="str">
            <v>X</v>
          </cell>
          <cell r="I543" t="str">
            <v>X</v>
          </cell>
          <cell r="J543" t="str">
            <v>-</v>
          </cell>
          <cell r="K543" t="str">
            <v>-</v>
          </cell>
          <cell r="L543" t="str">
            <v>-</v>
          </cell>
          <cell r="M543" t="str">
            <v>X</v>
          </cell>
          <cell r="N543" t="str">
            <v>-</v>
          </cell>
          <cell r="O543" t="str">
            <v>-</v>
          </cell>
        </row>
        <row r="544">
          <cell r="A544">
            <v>63913300</v>
          </cell>
          <cell r="B544" t="str">
            <v>Varkensfiletlapje witte bonen in tomatensaus aard 500g VAT</v>
          </cell>
          <cell r="C544" t="str">
            <v>X</v>
          </cell>
          <cell r="D544" t="str">
            <v>-</v>
          </cell>
          <cell r="E544" t="str">
            <v>+</v>
          </cell>
          <cell r="F544" t="str">
            <v>-</v>
          </cell>
          <cell r="G544" t="str">
            <v>X</v>
          </cell>
          <cell r="H544" t="str">
            <v>X</v>
          </cell>
          <cell r="I544" t="str">
            <v>X</v>
          </cell>
          <cell r="J544" t="str">
            <v>-</v>
          </cell>
          <cell r="K544" t="str">
            <v>+</v>
          </cell>
          <cell r="L544" t="str">
            <v>-</v>
          </cell>
          <cell r="M544" t="str">
            <v>X</v>
          </cell>
          <cell r="N544" t="str">
            <v>-</v>
          </cell>
          <cell r="O544" t="str">
            <v>-</v>
          </cell>
        </row>
        <row r="545">
          <cell r="A545">
            <v>63913400</v>
          </cell>
          <cell r="B545" t="str">
            <v>Frieten met Cordon Bleu kip 500g VAT</v>
          </cell>
          <cell r="C545" t="str">
            <v>-</v>
          </cell>
          <cell r="D545" t="str">
            <v>-</v>
          </cell>
          <cell r="E545" t="str">
            <v>+</v>
          </cell>
          <cell r="F545" t="str">
            <v>-</v>
          </cell>
          <cell r="G545" t="str">
            <v>+</v>
          </cell>
          <cell r="H545" t="str">
            <v>-</v>
          </cell>
          <cell r="I545" t="str">
            <v>-</v>
          </cell>
          <cell r="J545" t="str">
            <v>-</v>
          </cell>
          <cell r="K545" t="str">
            <v>+</v>
          </cell>
          <cell r="L545" t="str">
            <v>-</v>
          </cell>
          <cell r="M545" t="str">
            <v>-</v>
          </cell>
          <cell r="N545" t="str">
            <v>-</v>
          </cell>
          <cell r="O545" t="str">
            <v>-</v>
          </cell>
        </row>
        <row r="546">
          <cell r="A546">
            <v>63913500</v>
          </cell>
          <cell r="B546" t="str">
            <v>Frieten met runderhachee 500g VAT</v>
          </cell>
          <cell r="C546" t="str">
            <v>-</v>
          </cell>
          <cell r="D546" t="str">
            <v>X</v>
          </cell>
          <cell r="E546" t="str">
            <v>+</v>
          </cell>
          <cell r="F546" t="str">
            <v>X</v>
          </cell>
          <cell r="G546" t="str">
            <v>X</v>
          </cell>
          <cell r="H546" t="str">
            <v>+</v>
          </cell>
          <cell r="I546" t="str">
            <v>X</v>
          </cell>
          <cell r="J546" t="str">
            <v>-</v>
          </cell>
          <cell r="K546" t="str">
            <v>+</v>
          </cell>
          <cell r="L546" t="str">
            <v>-</v>
          </cell>
          <cell r="M546" t="str">
            <v>X</v>
          </cell>
          <cell r="N546" t="str">
            <v>-</v>
          </cell>
          <cell r="O546" t="str">
            <v>-</v>
          </cell>
        </row>
        <row r="547">
          <cell r="A547">
            <v>63913600</v>
          </cell>
          <cell r="B547" t="str">
            <v>Frieten met oven frikandel 500g VAT</v>
          </cell>
          <cell r="C547" t="str">
            <v>-</v>
          </cell>
          <cell r="D547" t="str">
            <v>-</v>
          </cell>
          <cell r="E547" t="str">
            <v>+</v>
          </cell>
          <cell r="F547" t="str">
            <v>-</v>
          </cell>
          <cell r="G547" t="str">
            <v>-</v>
          </cell>
          <cell r="H547" t="str">
            <v>-</v>
          </cell>
          <cell r="I547" t="str">
            <v>-</v>
          </cell>
          <cell r="J547" t="str">
            <v>-</v>
          </cell>
          <cell r="K547" t="str">
            <v>-</v>
          </cell>
          <cell r="L547" t="str">
            <v>-</v>
          </cell>
          <cell r="M547" t="str">
            <v>-</v>
          </cell>
          <cell r="N547" t="str">
            <v>-</v>
          </cell>
          <cell r="O547" t="str">
            <v>-</v>
          </cell>
        </row>
        <row r="548">
          <cell r="A548">
            <v>63913700</v>
          </cell>
          <cell r="B548" t="str">
            <v>Kippenspies gebakken aardappelen exotische groenten 500g VAT</v>
          </cell>
          <cell r="C548" t="str">
            <v>-</v>
          </cell>
          <cell r="D548" t="str">
            <v>-</v>
          </cell>
          <cell r="E548" t="str">
            <v>-</v>
          </cell>
          <cell r="F548" t="str">
            <v>-</v>
          </cell>
          <cell r="G548" t="str">
            <v>-</v>
          </cell>
          <cell r="H548" t="str">
            <v>-</v>
          </cell>
          <cell r="I548" t="str">
            <v>-</v>
          </cell>
          <cell r="J548" t="str">
            <v>-</v>
          </cell>
          <cell r="K548" t="str">
            <v>+</v>
          </cell>
          <cell r="L548" t="str">
            <v>-</v>
          </cell>
          <cell r="M548" t="str">
            <v>-</v>
          </cell>
          <cell r="N548" t="str">
            <v>-</v>
          </cell>
          <cell r="O548" t="str">
            <v>-</v>
          </cell>
        </row>
        <row r="549">
          <cell r="A549">
            <v>63913800</v>
          </cell>
          <cell r="B549" t="str">
            <v>Kiphaasjes jus aardappelpuree witloof 500g VAT</v>
          </cell>
          <cell r="C549" t="str">
            <v>-</v>
          </cell>
          <cell r="D549" t="str">
            <v>+</v>
          </cell>
          <cell r="E549" t="str">
            <v>+</v>
          </cell>
          <cell r="F549" t="str">
            <v>X</v>
          </cell>
          <cell r="G549" t="str">
            <v>+</v>
          </cell>
          <cell r="H549" t="str">
            <v>X</v>
          </cell>
          <cell r="I549" t="str">
            <v>-</v>
          </cell>
          <cell r="J549" t="str">
            <v>-</v>
          </cell>
          <cell r="K549" t="str">
            <v>X</v>
          </cell>
          <cell r="L549" t="str">
            <v>-</v>
          </cell>
          <cell r="M549" t="str">
            <v>X</v>
          </cell>
          <cell r="N549" t="str">
            <v>-</v>
          </cell>
          <cell r="O549" t="str">
            <v>-</v>
          </cell>
        </row>
        <row r="550">
          <cell r="A550">
            <v>63913900</v>
          </cell>
          <cell r="B550" t="str">
            <v>vis MSC hollandaisesaus rode bieten aardappelpuree 500g VAT</v>
          </cell>
          <cell r="C550" t="str">
            <v>-</v>
          </cell>
          <cell r="D550" t="str">
            <v>+</v>
          </cell>
          <cell r="E550" t="str">
            <v>+</v>
          </cell>
          <cell r="F550" t="str">
            <v>X</v>
          </cell>
          <cell r="G550" t="str">
            <v>+</v>
          </cell>
          <cell r="H550" t="str">
            <v>X</v>
          </cell>
          <cell r="I550" t="str">
            <v>-</v>
          </cell>
          <cell r="J550" t="str">
            <v>-</v>
          </cell>
          <cell r="K550" t="str">
            <v>+</v>
          </cell>
          <cell r="L550" t="str">
            <v>-</v>
          </cell>
          <cell r="M550" t="str">
            <v>X</v>
          </cell>
          <cell r="N550" t="str">
            <v>+</v>
          </cell>
          <cell r="O550" t="str">
            <v>-</v>
          </cell>
        </row>
        <row r="551">
          <cell r="A551">
            <v>63914000</v>
          </cell>
          <cell r="B551" t="str">
            <v xml:space="preserve">Kibbeling MSC wortel erwt gekruide aardappelkubus 485g VAT </v>
          </cell>
          <cell r="C551" t="str">
            <v>-</v>
          </cell>
          <cell r="D551" t="str">
            <v>+</v>
          </cell>
          <cell r="E551" t="str">
            <v>+</v>
          </cell>
          <cell r="F551" t="str">
            <v>X</v>
          </cell>
          <cell r="G551" t="str">
            <v>+</v>
          </cell>
          <cell r="H551" t="str">
            <v>+</v>
          </cell>
          <cell r="I551" t="str">
            <v>-</v>
          </cell>
          <cell r="J551" t="str">
            <v>X</v>
          </cell>
          <cell r="K551" t="str">
            <v>+</v>
          </cell>
          <cell r="L551" t="str">
            <v>-</v>
          </cell>
          <cell r="M551" t="str">
            <v>X</v>
          </cell>
          <cell r="N551" t="str">
            <v>+</v>
          </cell>
          <cell r="O551" t="str">
            <v>X</v>
          </cell>
        </row>
        <row r="552">
          <cell r="A552">
            <v>63914100</v>
          </cell>
          <cell r="B552" t="str">
            <v>Zalmfilet ASC dillesaus wortel puree 540g VAT</v>
          </cell>
          <cell r="C552" t="str">
            <v>-</v>
          </cell>
          <cell r="D552" t="str">
            <v>+</v>
          </cell>
          <cell r="E552" t="str">
            <v>+</v>
          </cell>
          <cell r="F552" t="str">
            <v>-</v>
          </cell>
          <cell r="G552" t="str">
            <v>+</v>
          </cell>
          <cell r="H552" t="str">
            <v>+</v>
          </cell>
          <cell r="I552" t="str">
            <v>-</v>
          </cell>
          <cell r="J552" t="str">
            <v>X</v>
          </cell>
          <cell r="K552" t="str">
            <v>+</v>
          </cell>
          <cell r="L552" t="str">
            <v>-</v>
          </cell>
          <cell r="M552" t="str">
            <v>X</v>
          </cell>
          <cell r="N552" t="str">
            <v>+</v>
          </cell>
          <cell r="O552" t="str">
            <v>X</v>
          </cell>
        </row>
        <row r="553">
          <cell r="A553">
            <v>63914101</v>
          </cell>
          <cell r="B553" t="str">
            <v>Zalmfilet ASC dillesaus wortel puree 350g VAT KL</v>
          </cell>
          <cell r="C553" t="str">
            <v>-</v>
          </cell>
          <cell r="D553" t="str">
            <v>+</v>
          </cell>
          <cell r="E553" t="str">
            <v>+</v>
          </cell>
          <cell r="F553" t="str">
            <v>-</v>
          </cell>
          <cell r="G553" t="str">
            <v>+</v>
          </cell>
          <cell r="H553" t="str">
            <v>+</v>
          </cell>
          <cell r="I553" t="str">
            <v>-</v>
          </cell>
          <cell r="J553" t="str">
            <v>X</v>
          </cell>
          <cell r="K553" t="str">
            <v>+</v>
          </cell>
          <cell r="L553" t="str">
            <v>-</v>
          </cell>
          <cell r="M553" t="str">
            <v>X</v>
          </cell>
          <cell r="N553" t="str">
            <v>+</v>
          </cell>
          <cell r="O553" t="str">
            <v>X</v>
          </cell>
        </row>
        <row r="554">
          <cell r="A554">
            <v>63914200</v>
          </cell>
          <cell r="B554" t="str">
            <v>Gebakken vis MSC parijse wortel gekruide aardappelk 500g VAT</v>
          </cell>
          <cell r="C554" t="str">
            <v>-</v>
          </cell>
          <cell r="D554" t="str">
            <v>-</v>
          </cell>
          <cell r="E554" t="str">
            <v>+</v>
          </cell>
          <cell r="F554" t="str">
            <v>X</v>
          </cell>
          <cell r="G554" t="str">
            <v>+</v>
          </cell>
          <cell r="H554" t="str">
            <v>+</v>
          </cell>
          <cell r="I554" t="str">
            <v>-</v>
          </cell>
          <cell r="J554" t="str">
            <v>X</v>
          </cell>
          <cell r="K554" t="str">
            <v>-</v>
          </cell>
          <cell r="L554" t="str">
            <v>-</v>
          </cell>
          <cell r="M554" t="str">
            <v>X</v>
          </cell>
          <cell r="N554" t="str">
            <v>+</v>
          </cell>
          <cell r="O554" t="str">
            <v>X</v>
          </cell>
        </row>
        <row r="555">
          <cell r="A555">
            <v>63914300</v>
          </cell>
          <cell r="B555" t="str">
            <v>Kabeljauw MSC vissaus spinazie puree 550g VAT</v>
          </cell>
          <cell r="C555" t="str">
            <v>-</v>
          </cell>
          <cell r="D555" t="str">
            <v>+</v>
          </cell>
          <cell r="E555" t="str">
            <v>+</v>
          </cell>
          <cell r="F555" t="str">
            <v>X</v>
          </cell>
          <cell r="G555" t="str">
            <v>+</v>
          </cell>
          <cell r="H555" t="str">
            <v>X</v>
          </cell>
          <cell r="I555" t="str">
            <v>-</v>
          </cell>
          <cell r="J555" t="str">
            <v>X</v>
          </cell>
          <cell r="K555" t="str">
            <v>+</v>
          </cell>
          <cell r="L555" t="str">
            <v>-</v>
          </cell>
          <cell r="M555" t="str">
            <v>X</v>
          </cell>
          <cell r="N555" t="str">
            <v>+</v>
          </cell>
          <cell r="O555" t="str">
            <v>X</v>
          </cell>
        </row>
        <row r="556">
          <cell r="A556">
            <v>63914500</v>
          </cell>
          <cell r="B556" t="str">
            <v>Risotto erwt rode biet roomkaas lekkerbekje 510g VAT</v>
          </cell>
          <cell r="C556" t="str">
            <v>-</v>
          </cell>
          <cell r="D556" t="str">
            <v>-</v>
          </cell>
          <cell r="E556" t="str">
            <v>+</v>
          </cell>
          <cell r="F556" t="str">
            <v>X</v>
          </cell>
          <cell r="G556" t="str">
            <v>+</v>
          </cell>
          <cell r="H556" t="str">
            <v>X</v>
          </cell>
          <cell r="I556" t="str">
            <v>-</v>
          </cell>
          <cell r="J556" t="str">
            <v>-</v>
          </cell>
          <cell r="K556" t="str">
            <v>+</v>
          </cell>
          <cell r="L556" t="str">
            <v>-</v>
          </cell>
          <cell r="M556" t="str">
            <v>X</v>
          </cell>
          <cell r="N556" t="str">
            <v>+</v>
          </cell>
          <cell r="O556" t="str">
            <v>-</v>
          </cell>
        </row>
        <row r="557">
          <cell r="A557">
            <v>63914600</v>
          </cell>
          <cell r="B557" t="str">
            <v>Pulled chicken BBQ rijst bonen / paprika500g VAT</v>
          </cell>
          <cell r="C557" t="str">
            <v>-</v>
          </cell>
          <cell r="D557" t="str">
            <v>-</v>
          </cell>
          <cell r="E557" t="str">
            <v>+</v>
          </cell>
          <cell r="F557" t="str">
            <v>-</v>
          </cell>
          <cell r="G557" t="str">
            <v>-</v>
          </cell>
          <cell r="H557" t="str">
            <v>-</v>
          </cell>
          <cell r="I557" t="str">
            <v>-</v>
          </cell>
          <cell r="J557" t="str">
            <v>-</v>
          </cell>
          <cell r="K557" t="str">
            <v>-</v>
          </cell>
          <cell r="L557" t="str">
            <v>-</v>
          </cell>
          <cell r="M557" t="str">
            <v>-</v>
          </cell>
          <cell r="N557" t="str">
            <v>+</v>
          </cell>
          <cell r="O557" t="str">
            <v>-</v>
          </cell>
        </row>
        <row r="558">
          <cell r="A558">
            <v>63930100</v>
          </cell>
          <cell r="B558" t="str">
            <v xml:space="preserve">Hachee rode kool gekookte aardappelen 350g VAT KL Eiwitrijk </v>
          </cell>
          <cell r="C558" t="str">
            <v>-</v>
          </cell>
          <cell r="D558" t="str">
            <v>X</v>
          </cell>
          <cell r="E558" t="str">
            <v>+</v>
          </cell>
          <cell r="F558" t="str">
            <v>-</v>
          </cell>
          <cell r="G558" t="str">
            <v>X</v>
          </cell>
          <cell r="H558" t="str">
            <v>X</v>
          </cell>
          <cell r="I558" t="str">
            <v>-</v>
          </cell>
          <cell r="J558" t="str">
            <v>-</v>
          </cell>
          <cell r="K558" t="str">
            <v>-</v>
          </cell>
          <cell r="L558" t="str">
            <v>-</v>
          </cell>
          <cell r="M558" t="str">
            <v>X</v>
          </cell>
          <cell r="N558" t="str">
            <v>-</v>
          </cell>
          <cell r="O558" t="str">
            <v>-</v>
          </cell>
        </row>
        <row r="559">
          <cell r="A559">
            <v>63930200</v>
          </cell>
          <cell r="B559" t="str">
            <v>Gehaktbal spinazie à la creme aardappelen 365g VAT Eiwitrijk</v>
          </cell>
          <cell r="C559" t="str">
            <v>-</v>
          </cell>
          <cell r="D559" t="str">
            <v>X</v>
          </cell>
          <cell r="E559" t="str">
            <v>+</v>
          </cell>
          <cell r="F559" t="str">
            <v>X</v>
          </cell>
          <cell r="G559" t="str">
            <v>+</v>
          </cell>
          <cell r="H559" t="str">
            <v>X</v>
          </cell>
          <cell r="I559" t="str">
            <v>-</v>
          </cell>
          <cell r="J559" t="str">
            <v>X</v>
          </cell>
          <cell r="K559" t="str">
            <v>X</v>
          </cell>
          <cell r="L559" t="str">
            <v>-</v>
          </cell>
          <cell r="M559" t="str">
            <v>X</v>
          </cell>
          <cell r="N559" t="str">
            <v>X</v>
          </cell>
          <cell r="O559" t="str">
            <v>X</v>
          </cell>
        </row>
        <row r="560">
          <cell r="A560">
            <v>63930500</v>
          </cell>
          <cell r="B560" t="str">
            <v>Vark.haas champroomsce gr mix geb aard 365g VAT KL Eiwitrijk</v>
          </cell>
          <cell r="C560" t="str">
            <v>-</v>
          </cell>
          <cell r="D560" t="str">
            <v>-</v>
          </cell>
          <cell r="E560" t="str">
            <v>+</v>
          </cell>
          <cell r="F560" t="str">
            <v>X</v>
          </cell>
          <cell r="G560" t="str">
            <v>+</v>
          </cell>
          <cell r="H560" t="str">
            <v>X</v>
          </cell>
          <cell r="I560" t="str">
            <v>-</v>
          </cell>
          <cell r="J560" t="str">
            <v>-</v>
          </cell>
          <cell r="K560" t="str">
            <v>-</v>
          </cell>
          <cell r="L560" t="str">
            <v>-</v>
          </cell>
          <cell r="M560" t="str">
            <v>X</v>
          </cell>
          <cell r="N560" t="str">
            <v>-</v>
          </cell>
          <cell r="O560" t="str">
            <v>-</v>
          </cell>
        </row>
        <row r="561">
          <cell r="A561">
            <v>63930700</v>
          </cell>
          <cell r="B561" t="str">
            <v>Heek hollandaise broccoli puree 365g VAT EW</v>
          </cell>
          <cell r="C561" t="str">
            <v>-</v>
          </cell>
          <cell r="D561" t="str">
            <v>+</v>
          </cell>
          <cell r="E561" t="str">
            <v>-</v>
          </cell>
          <cell r="F561" t="str">
            <v>-</v>
          </cell>
          <cell r="G561" t="str">
            <v>+</v>
          </cell>
          <cell r="H561" t="str">
            <v>-</v>
          </cell>
          <cell r="I561" t="str">
            <v>-</v>
          </cell>
          <cell r="J561" t="str">
            <v>-</v>
          </cell>
          <cell r="K561" t="str">
            <v>+</v>
          </cell>
          <cell r="L561" t="str">
            <v>-</v>
          </cell>
          <cell r="M561" t="str">
            <v>-</v>
          </cell>
          <cell r="N561" t="str">
            <v>+</v>
          </cell>
          <cell r="O561" t="str">
            <v>-</v>
          </cell>
        </row>
        <row r="562">
          <cell r="A562">
            <v>63930800</v>
          </cell>
          <cell r="B562" t="str">
            <v>Lasagne bolognaise 375g VAT KL Eiwitrijk</v>
          </cell>
          <cell r="C562" t="str">
            <v>-</v>
          </cell>
          <cell r="D562" t="str">
            <v>+</v>
          </cell>
          <cell r="E562" t="str">
            <v>+</v>
          </cell>
          <cell r="F562" t="str">
            <v>X</v>
          </cell>
          <cell r="G562" t="str">
            <v>+</v>
          </cell>
          <cell r="H562" t="str">
            <v>X</v>
          </cell>
          <cell r="I562" t="str">
            <v>-</v>
          </cell>
          <cell r="J562" t="str">
            <v>-</v>
          </cell>
          <cell r="K562" t="str">
            <v>+</v>
          </cell>
          <cell r="L562" t="str">
            <v>-</v>
          </cell>
          <cell r="M562" t="str">
            <v>X</v>
          </cell>
          <cell r="N562" t="str">
            <v>-</v>
          </cell>
          <cell r="O562" t="str">
            <v>X</v>
          </cell>
        </row>
        <row r="563">
          <cell r="A563">
            <v>63930900</v>
          </cell>
          <cell r="B563" t="str">
            <v>Kip zoetzuur met nasi goreng 365g VAT KL EW</v>
          </cell>
          <cell r="C563" t="str">
            <v>-</v>
          </cell>
          <cell r="D563" t="str">
            <v>+</v>
          </cell>
          <cell r="E563" t="str">
            <v>+</v>
          </cell>
          <cell r="F563" t="str">
            <v>-</v>
          </cell>
          <cell r="G563" t="str">
            <v>-</v>
          </cell>
          <cell r="H563" t="str">
            <v>-</v>
          </cell>
          <cell r="I563" t="str">
            <v>-</v>
          </cell>
          <cell r="J563" t="str">
            <v>-</v>
          </cell>
          <cell r="K563" t="str">
            <v>+</v>
          </cell>
          <cell r="L563" t="str">
            <v>+</v>
          </cell>
          <cell r="M563" t="str">
            <v>+</v>
          </cell>
          <cell r="N563" t="str">
            <v>+</v>
          </cell>
          <cell r="O563" t="str">
            <v>-</v>
          </cell>
        </row>
        <row r="564">
          <cell r="A564">
            <v>63931300</v>
          </cell>
          <cell r="B564" t="str">
            <v>Zuurkoolstamppot spekjes schijfjes rookworst 400g VAT KL</v>
          </cell>
          <cell r="C564" t="str">
            <v>-</v>
          </cell>
          <cell r="D564" t="str">
            <v>-</v>
          </cell>
          <cell r="E564" t="str">
            <v>+</v>
          </cell>
          <cell r="F564" t="str">
            <v>X</v>
          </cell>
          <cell r="G564" t="str">
            <v>+</v>
          </cell>
          <cell r="H564" t="str">
            <v>X</v>
          </cell>
          <cell r="I564" t="str">
            <v>-</v>
          </cell>
          <cell r="J564" t="str">
            <v>-</v>
          </cell>
          <cell r="K564" t="str">
            <v>-</v>
          </cell>
          <cell r="L564" t="str">
            <v>-</v>
          </cell>
          <cell r="M564" t="str">
            <v>X</v>
          </cell>
          <cell r="N564" t="str">
            <v>-</v>
          </cell>
          <cell r="O564" t="str">
            <v>-</v>
          </cell>
        </row>
        <row r="565">
          <cell r="A565">
            <v>63931400</v>
          </cell>
          <cell r="B565" t="str">
            <v>Boerenkoolstamppot spekjes schijfjes rookworst 375g VAT KL</v>
          </cell>
          <cell r="C565" t="str">
            <v>-</v>
          </cell>
          <cell r="D565" t="str">
            <v>X</v>
          </cell>
          <cell r="E565" t="str">
            <v>+</v>
          </cell>
          <cell r="F565" t="str">
            <v>X</v>
          </cell>
          <cell r="G565" t="str">
            <v>+</v>
          </cell>
          <cell r="H565" t="str">
            <v>X</v>
          </cell>
          <cell r="I565" t="str">
            <v>-</v>
          </cell>
          <cell r="J565" t="str">
            <v>-</v>
          </cell>
          <cell r="K565" t="str">
            <v>+</v>
          </cell>
          <cell r="L565" t="str">
            <v>-</v>
          </cell>
          <cell r="M565" t="str">
            <v>X</v>
          </cell>
          <cell r="N565" t="str">
            <v>-</v>
          </cell>
          <cell r="O565" t="str">
            <v>-</v>
          </cell>
        </row>
        <row r="566">
          <cell r="A566">
            <v>63931500</v>
          </cell>
          <cell r="B566" t="str">
            <v>Hutspot met gesneden rundsvlees 400g VAT KL Eiwitrijk</v>
          </cell>
          <cell r="C566" t="str">
            <v>-</v>
          </cell>
          <cell r="D566" t="str">
            <v>X</v>
          </cell>
          <cell r="E566" t="str">
            <v>X</v>
          </cell>
          <cell r="F566" t="str">
            <v>-</v>
          </cell>
          <cell r="G566" t="str">
            <v>+</v>
          </cell>
          <cell r="H566" t="str">
            <v>X</v>
          </cell>
          <cell r="I566" t="str">
            <v>-</v>
          </cell>
          <cell r="J566" t="str">
            <v>-</v>
          </cell>
          <cell r="K566" t="str">
            <v>-</v>
          </cell>
          <cell r="L566" t="str">
            <v>-</v>
          </cell>
          <cell r="M566" t="str">
            <v>X</v>
          </cell>
          <cell r="N566" t="str">
            <v>-</v>
          </cell>
          <cell r="O566" t="str">
            <v>-</v>
          </cell>
        </row>
        <row r="567">
          <cell r="A567">
            <v>63931900</v>
          </cell>
          <cell r="B567" t="str">
            <v>Bami goreng special met kip in satesaus 360g VAT EW</v>
          </cell>
          <cell r="C567" t="str">
            <v>+</v>
          </cell>
          <cell r="D567" t="str">
            <v>+</v>
          </cell>
          <cell r="E567" t="str">
            <v>+</v>
          </cell>
          <cell r="F567" t="str">
            <v>X</v>
          </cell>
          <cell r="G567" t="str">
            <v>-</v>
          </cell>
          <cell r="H567" t="str">
            <v>X</v>
          </cell>
          <cell r="I567" t="str">
            <v>-</v>
          </cell>
          <cell r="J567" t="str">
            <v>-</v>
          </cell>
          <cell r="K567" t="str">
            <v>+</v>
          </cell>
          <cell r="L567" t="str">
            <v>-</v>
          </cell>
          <cell r="M567" t="str">
            <v>+</v>
          </cell>
          <cell r="N567" t="str">
            <v>-</v>
          </cell>
          <cell r="O567" t="str">
            <v>-</v>
          </cell>
        </row>
        <row r="568">
          <cell r="A568">
            <v>63932000</v>
          </cell>
          <cell r="B568" t="str">
            <v>Kippenragout wortel, doperwten rijst 350g VAT KL Eiwitrijk</v>
          </cell>
          <cell r="C568" t="str">
            <v>-</v>
          </cell>
          <cell r="D568" t="str">
            <v>X</v>
          </cell>
          <cell r="E568" t="str">
            <v>+</v>
          </cell>
          <cell r="F568" t="str">
            <v>X</v>
          </cell>
          <cell r="G568" t="str">
            <v>+</v>
          </cell>
          <cell r="H568" t="str">
            <v>X</v>
          </cell>
          <cell r="I568" t="str">
            <v>-</v>
          </cell>
          <cell r="J568" t="str">
            <v>-</v>
          </cell>
          <cell r="K568" t="str">
            <v>+</v>
          </cell>
          <cell r="L568" t="str">
            <v>-</v>
          </cell>
          <cell r="M568" t="str">
            <v>X</v>
          </cell>
          <cell r="N568" t="str">
            <v>-</v>
          </cell>
          <cell r="O568" t="str">
            <v>-</v>
          </cell>
        </row>
        <row r="569">
          <cell r="A569">
            <v>63932100</v>
          </cell>
          <cell r="B569" t="str">
            <v>Braadworst ajuinsaus spruiten kriel 390g VAT EW</v>
          </cell>
          <cell r="C569" t="str">
            <v>-</v>
          </cell>
          <cell r="D569" t="str">
            <v>+</v>
          </cell>
          <cell r="E569" t="str">
            <v>+</v>
          </cell>
          <cell r="F569" t="str">
            <v>X</v>
          </cell>
          <cell r="G569" t="str">
            <v>+</v>
          </cell>
          <cell r="H569" t="str">
            <v>+</v>
          </cell>
          <cell r="I569" t="str">
            <v>-</v>
          </cell>
          <cell r="J569" t="str">
            <v>-</v>
          </cell>
          <cell r="K569" t="str">
            <v>+</v>
          </cell>
          <cell r="L569" t="str">
            <v>-</v>
          </cell>
          <cell r="M569" t="str">
            <v>X</v>
          </cell>
          <cell r="N569" t="str">
            <v>-</v>
          </cell>
          <cell r="O569" t="str">
            <v>-</v>
          </cell>
        </row>
        <row r="570">
          <cell r="A570">
            <v>63932200</v>
          </cell>
          <cell r="B570" t="str">
            <v xml:space="preserve">Rabarbercompote kipfilet gebakken aard blokjes 365g VAT </v>
          </cell>
          <cell r="C570" t="str">
            <v>-</v>
          </cell>
          <cell r="D570" t="str">
            <v>X</v>
          </cell>
          <cell r="E570" t="str">
            <v>+</v>
          </cell>
          <cell r="F570" t="str">
            <v>X</v>
          </cell>
          <cell r="G570" t="str">
            <v>+</v>
          </cell>
          <cell r="H570" t="str">
            <v>X</v>
          </cell>
          <cell r="I570" t="str">
            <v>-</v>
          </cell>
          <cell r="J570" t="str">
            <v>-</v>
          </cell>
          <cell r="K570" t="str">
            <v>-</v>
          </cell>
          <cell r="L570" t="str">
            <v>-</v>
          </cell>
          <cell r="M570" t="str">
            <v>X</v>
          </cell>
          <cell r="N570" t="str">
            <v>-</v>
          </cell>
          <cell r="O570" t="str">
            <v>-</v>
          </cell>
        </row>
        <row r="571">
          <cell r="A571">
            <v>63932300</v>
          </cell>
          <cell r="B571" t="str">
            <v>Gehaktbal bloemk. broc. gekookte aard 365g VAT KL Eiwitrijk</v>
          </cell>
          <cell r="C571" t="str">
            <v>-</v>
          </cell>
          <cell r="D571" t="str">
            <v>X</v>
          </cell>
          <cell r="E571" t="str">
            <v>+</v>
          </cell>
          <cell r="F571" t="str">
            <v>X</v>
          </cell>
          <cell r="G571" t="str">
            <v>X</v>
          </cell>
          <cell r="H571" t="str">
            <v>X</v>
          </cell>
          <cell r="I571" t="str">
            <v>-</v>
          </cell>
          <cell r="J571" t="str">
            <v>X</v>
          </cell>
          <cell r="K571" t="str">
            <v>X</v>
          </cell>
          <cell r="L571" t="str">
            <v>-</v>
          </cell>
          <cell r="M571" t="str">
            <v>X</v>
          </cell>
          <cell r="N571" t="str">
            <v>X</v>
          </cell>
          <cell r="O571" t="str">
            <v>X</v>
          </cell>
        </row>
        <row r="572">
          <cell r="A572">
            <v>63932400</v>
          </cell>
          <cell r="B572" t="str">
            <v>Rode kool stamppot gehaktbal 365g VAT KL Eiwitrijk</v>
          </cell>
          <cell r="C572" t="str">
            <v>-</v>
          </cell>
          <cell r="D572" t="str">
            <v>X</v>
          </cell>
          <cell r="E572" t="str">
            <v>X</v>
          </cell>
          <cell r="F572" t="str">
            <v>-</v>
          </cell>
          <cell r="G572" t="str">
            <v>+</v>
          </cell>
          <cell r="H572" t="str">
            <v>X</v>
          </cell>
          <cell r="I572" t="str">
            <v>X</v>
          </cell>
          <cell r="J572" t="str">
            <v>X</v>
          </cell>
          <cell r="K572" t="str">
            <v>X</v>
          </cell>
          <cell r="L572" t="str">
            <v>-</v>
          </cell>
          <cell r="M572" t="str">
            <v>X</v>
          </cell>
          <cell r="N572" t="str">
            <v>X</v>
          </cell>
          <cell r="O572" t="str">
            <v>X</v>
          </cell>
        </row>
        <row r="573">
          <cell r="A573">
            <v>63932500</v>
          </cell>
          <cell r="B573" t="str">
            <v>Preistamppot met kipfilet 365g VAT</v>
          </cell>
          <cell r="C573" t="str">
            <v>-</v>
          </cell>
          <cell r="D573" t="str">
            <v>-</v>
          </cell>
          <cell r="E573" t="str">
            <v>+</v>
          </cell>
          <cell r="F573" t="str">
            <v>X</v>
          </cell>
          <cell r="G573" t="str">
            <v>+</v>
          </cell>
          <cell r="H573" t="str">
            <v>X</v>
          </cell>
          <cell r="I573" t="str">
            <v>-</v>
          </cell>
          <cell r="J573" t="str">
            <v>-</v>
          </cell>
          <cell r="K573" t="str">
            <v>X</v>
          </cell>
          <cell r="L573" t="str">
            <v>-</v>
          </cell>
          <cell r="M573" t="str">
            <v>X</v>
          </cell>
          <cell r="N573" t="str">
            <v>-</v>
          </cell>
          <cell r="O573" t="str">
            <v>-</v>
          </cell>
        </row>
        <row r="574">
          <cell r="A574">
            <v>63932600</v>
          </cell>
          <cell r="B574" t="str">
            <v>Varkenrollade andijvie aardappelen 365g VAT</v>
          </cell>
          <cell r="C574" t="str">
            <v>X</v>
          </cell>
          <cell r="D574" t="str">
            <v>-</v>
          </cell>
          <cell r="E574" t="str">
            <v>+</v>
          </cell>
          <cell r="F574" t="str">
            <v>X</v>
          </cell>
          <cell r="G574" t="str">
            <v>+</v>
          </cell>
          <cell r="H574" t="str">
            <v>X</v>
          </cell>
          <cell r="I574" t="str">
            <v>X</v>
          </cell>
          <cell r="J574" t="str">
            <v>-</v>
          </cell>
          <cell r="K574" t="str">
            <v>X</v>
          </cell>
          <cell r="L574" t="str">
            <v>-</v>
          </cell>
          <cell r="M574" t="str">
            <v>X</v>
          </cell>
          <cell r="N574" t="str">
            <v>-</v>
          </cell>
          <cell r="O574" t="str">
            <v>-</v>
          </cell>
        </row>
        <row r="575">
          <cell r="A575">
            <v>63932700</v>
          </cell>
          <cell r="B575" t="str">
            <v>Gehaktbal witloof aardappel bieslook 365g VAT KL</v>
          </cell>
          <cell r="C575" t="str">
            <v>-</v>
          </cell>
          <cell r="D575" t="str">
            <v>-</v>
          </cell>
          <cell r="E575" t="str">
            <v>+</v>
          </cell>
          <cell r="F575" t="str">
            <v>X</v>
          </cell>
          <cell r="G575" t="str">
            <v>+</v>
          </cell>
          <cell r="H575" t="str">
            <v>X</v>
          </cell>
          <cell r="I575" t="str">
            <v>-</v>
          </cell>
          <cell r="J575" t="str">
            <v>-</v>
          </cell>
          <cell r="K575" t="str">
            <v>X</v>
          </cell>
          <cell r="L575" t="str">
            <v>-</v>
          </cell>
          <cell r="M575" t="str">
            <v>X</v>
          </cell>
          <cell r="N575" t="str">
            <v>-</v>
          </cell>
          <cell r="O575" t="str">
            <v>-</v>
          </cell>
        </row>
        <row r="576">
          <cell r="A576">
            <v>63932800</v>
          </cell>
          <cell r="B576" t="str">
            <v>Gehaktbal andijvie à la crème aardappelpuree 365g VAT KL</v>
          </cell>
          <cell r="C576" t="str">
            <v>-</v>
          </cell>
          <cell r="D576" t="str">
            <v>-</v>
          </cell>
          <cell r="E576" t="str">
            <v>X</v>
          </cell>
          <cell r="F576" t="str">
            <v>-</v>
          </cell>
          <cell r="G576" t="str">
            <v>+</v>
          </cell>
          <cell r="H576" t="str">
            <v>X</v>
          </cell>
          <cell r="I576" t="str">
            <v>-</v>
          </cell>
          <cell r="J576" t="str">
            <v>-</v>
          </cell>
          <cell r="K576" t="str">
            <v>X</v>
          </cell>
          <cell r="L576" t="str">
            <v>-</v>
          </cell>
          <cell r="M576" t="str">
            <v>X</v>
          </cell>
          <cell r="N576" t="str">
            <v>-</v>
          </cell>
          <cell r="O576" t="str">
            <v>-</v>
          </cell>
        </row>
        <row r="577">
          <cell r="A577">
            <v>63932900</v>
          </cell>
          <cell r="B577" t="str">
            <v>Jachtschotel appel rode kool puree 365g VAT KL Eiwitrijk</v>
          </cell>
          <cell r="C577" t="str">
            <v>-</v>
          </cell>
          <cell r="D577" t="str">
            <v>+</v>
          </cell>
          <cell r="E577" t="str">
            <v>+</v>
          </cell>
          <cell r="F577" t="str">
            <v>-</v>
          </cell>
          <cell r="G577" t="str">
            <v>+</v>
          </cell>
          <cell r="H577" t="str">
            <v>+</v>
          </cell>
          <cell r="I577" t="str">
            <v>-</v>
          </cell>
          <cell r="J577" t="str">
            <v>-</v>
          </cell>
          <cell r="K577" t="str">
            <v>+</v>
          </cell>
          <cell r="L577" t="str">
            <v>-</v>
          </cell>
          <cell r="M577" t="str">
            <v>X</v>
          </cell>
          <cell r="N577" t="str">
            <v>-</v>
          </cell>
          <cell r="O577" t="str">
            <v>-</v>
          </cell>
        </row>
        <row r="578">
          <cell r="A578">
            <v>63933000</v>
          </cell>
          <cell r="B578" t="str">
            <v>Runderlapje snijbonen puree 365g VAT KL Eiwitrijk</v>
          </cell>
          <cell r="C578" t="str">
            <v>-</v>
          </cell>
          <cell r="D578" t="str">
            <v>+</v>
          </cell>
          <cell r="E578" t="str">
            <v>-</v>
          </cell>
          <cell r="F578" t="str">
            <v>-</v>
          </cell>
          <cell r="G578" t="str">
            <v>+</v>
          </cell>
          <cell r="H578" t="str">
            <v>-</v>
          </cell>
          <cell r="I578" t="str">
            <v>-</v>
          </cell>
          <cell r="J578" t="str">
            <v>-</v>
          </cell>
          <cell r="K578" t="str">
            <v>-</v>
          </cell>
          <cell r="L578" t="str">
            <v>-</v>
          </cell>
          <cell r="M578" t="str">
            <v>-</v>
          </cell>
          <cell r="N578" t="str">
            <v>-</v>
          </cell>
          <cell r="O578" t="str">
            <v>-</v>
          </cell>
        </row>
        <row r="579">
          <cell r="A579">
            <v>63933600</v>
          </cell>
          <cell r="B579" t="str">
            <v>Kipfilet sperzieboon gek aardap.kubus 365g VAT KL Eiwitrijk</v>
          </cell>
          <cell r="C579" t="str">
            <v>-</v>
          </cell>
          <cell r="D579" t="str">
            <v>X</v>
          </cell>
          <cell r="E579" t="str">
            <v>+</v>
          </cell>
          <cell r="F579" t="str">
            <v>X</v>
          </cell>
          <cell r="G579" t="str">
            <v>+</v>
          </cell>
          <cell r="H579" t="str">
            <v>X</v>
          </cell>
          <cell r="I579" t="str">
            <v>-</v>
          </cell>
          <cell r="J579" t="str">
            <v>-</v>
          </cell>
          <cell r="K579" t="str">
            <v>+</v>
          </cell>
          <cell r="L579" t="str">
            <v>-</v>
          </cell>
          <cell r="M579" t="str">
            <v>X</v>
          </cell>
          <cell r="N579" t="str">
            <v>-</v>
          </cell>
          <cell r="O579" t="str">
            <v>-</v>
          </cell>
        </row>
        <row r="580">
          <cell r="A580">
            <v>63933700</v>
          </cell>
          <cell r="B580" t="str">
            <v xml:space="preserve">Kip oma's recept gebakken aardappelen 365g VAT </v>
          </cell>
          <cell r="C580" t="str">
            <v>-</v>
          </cell>
          <cell r="D580" t="str">
            <v>-</v>
          </cell>
          <cell r="E580" t="str">
            <v>+</v>
          </cell>
          <cell r="F580" t="str">
            <v>-</v>
          </cell>
          <cell r="G580" t="str">
            <v>-</v>
          </cell>
          <cell r="H580" t="str">
            <v>-</v>
          </cell>
          <cell r="I580" t="str">
            <v>-</v>
          </cell>
          <cell r="J580" t="str">
            <v>-</v>
          </cell>
          <cell r="K580" t="str">
            <v>+</v>
          </cell>
          <cell r="L580" t="str">
            <v>-</v>
          </cell>
          <cell r="M580" t="str">
            <v>-</v>
          </cell>
          <cell r="N580" t="str">
            <v>-</v>
          </cell>
          <cell r="O580" t="str">
            <v>-</v>
          </cell>
        </row>
        <row r="581">
          <cell r="A581">
            <v>63934800</v>
          </cell>
          <cell r="B581" t="str">
            <v>Mexicaanse kipschotel paprika ananas rijst 365gr VAT eiwitri</v>
          </cell>
          <cell r="C581" t="str">
            <v>-</v>
          </cell>
          <cell r="D581" t="str">
            <v>-</v>
          </cell>
          <cell r="E581" t="str">
            <v>-</v>
          </cell>
          <cell r="F581" t="str">
            <v>-</v>
          </cell>
          <cell r="G581" t="str">
            <v>-</v>
          </cell>
          <cell r="H581" t="str">
            <v>-</v>
          </cell>
          <cell r="I581" t="str">
            <v>-</v>
          </cell>
          <cell r="J581" t="str">
            <v>-</v>
          </cell>
          <cell r="K581" t="str">
            <v>+</v>
          </cell>
          <cell r="L581" t="str">
            <v>-</v>
          </cell>
          <cell r="M581" t="str">
            <v>-</v>
          </cell>
          <cell r="N581" t="str">
            <v>-</v>
          </cell>
          <cell r="O581" t="str">
            <v>-</v>
          </cell>
        </row>
        <row r="582">
          <cell r="A582">
            <v>63935000</v>
          </cell>
          <cell r="B582" t="str">
            <v>Hamlapje tuinbonen puree bieslook 365g VAT</v>
          </cell>
          <cell r="C582" t="str">
            <v>-</v>
          </cell>
          <cell r="D582" t="str">
            <v>+</v>
          </cell>
          <cell r="E582" t="str">
            <v>+</v>
          </cell>
          <cell r="F582" t="str">
            <v>X</v>
          </cell>
          <cell r="G582" t="str">
            <v>+</v>
          </cell>
          <cell r="H582" t="str">
            <v>X</v>
          </cell>
          <cell r="I582" t="str">
            <v>-</v>
          </cell>
          <cell r="J582" t="str">
            <v>-</v>
          </cell>
          <cell r="K582" t="str">
            <v>X</v>
          </cell>
          <cell r="L582" t="str">
            <v>-</v>
          </cell>
          <cell r="M582" t="str">
            <v>X</v>
          </cell>
          <cell r="N582" t="str">
            <v>-</v>
          </cell>
          <cell r="O582" t="str">
            <v>-</v>
          </cell>
        </row>
        <row r="583">
          <cell r="A583">
            <v>63935500</v>
          </cell>
          <cell r="B583" t="str">
            <v>Kip rozemarijn, broccoli puree 365g VAT KL Eiwitrijk</v>
          </cell>
          <cell r="C583" t="str">
            <v>-</v>
          </cell>
          <cell r="D583" t="str">
            <v>+</v>
          </cell>
          <cell r="E583" t="str">
            <v>+</v>
          </cell>
          <cell r="F583" t="str">
            <v>X</v>
          </cell>
          <cell r="G583" t="str">
            <v>+</v>
          </cell>
          <cell r="H583" t="str">
            <v>X</v>
          </cell>
          <cell r="I583" t="str">
            <v>-</v>
          </cell>
          <cell r="J583" t="str">
            <v>-</v>
          </cell>
          <cell r="K583" t="str">
            <v>+</v>
          </cell>
          <cell r="L583" t="str">
            <v>-</v>
          </cell>
          <cell r="M583" t="str">
            <v>X</v>
          </cell>
          <cell r="N583" t="str">
            <v>-</v>
          </cell>
          <cell r="O583" t="str">
            <v>-</v>
          </cell>
        </row>
        <row r="584">
          <cell r="A584">
            <v>63936100</v>
          </cell>
          <cell r="B584" t="str">
            <v>Tagliatelle zalm groene aspergepunten 350g VAT KL</v>
          </cell>
          <cell r="C584" t="str">
            <v>-</v>
          </cell>
          <cell r="D584" t="str">
            <v>+</v>
          </cell>
          <cell r="E584" t="str">
            <v>+</v>
          </cell>
          <cell r="F584" t="str">
            <v>X</v>
          </cell>
          <cell r="G584" t="str">
            <v>+</v>
          </cell>
          <cell r="H584" t="str">
            <v>+</v>
          </cell>
          <cell r="I584" t="str">
            <v>-</v>
          </cell>
          <cell r="J584" t="str">
            <v>X</v>
          </cell>
          <cell r="K584" t="str">
            <v>+</v>
          </cell>
          <cell r="L584" t="str">
            <v>-</v>
          </cell>
          <cell r="M584" t="str">
            <v>X</v>
          </cell>
          <cell r="N584" t="str">
            <v>+</v>
          </cell>
          <cell r="O584" t="str">
            <v>X</v>
          </cell>
        </row>
        <row r="585">
          <cell r="A585">
            <v>63936400</v>
          </cell>
          <cell r="B585" t="str">
            <v>Ind. rijsttafel babi ketjap sambal bonen 365g VAT KL Eiwitri</v>
          </cell>
          <cell r="C585" t="str">
            <v>-</v>
          </cell>
          <cell r="D585" t="str">
            <v>X</v>
          </cell>
          <cell r="E585" t="str">
            <v>+</v>
          </cell>
          <cell r="F585" t="str">
            <v>-</v>
          </cell>
          <cell r="G585" t="str">
            <v>X</v>
          </cell>
          <cell r="H585" t="str">
            <v>X</v>
          </cell>
          <cell r="I585" t="str">
            <v>-</v>
          </cell>
          <cell r="J585" t="str">
            <v>-</v>
          </cell>
          <cell r="K585" t="str">
            <v>+</v>
          </cell>
          <cell r="L585" t="str">
            <v>+</v>
          </cell>
          <cell r="M585" t="str">
            <v>+</v>
          </cell>
          <cell r="N585" t="str">
            <v>-</v>
          </cell>
          <cell r="O585" t="str">
            <v>-</v>
          </cell>
        </row>
        <row r="586">
          <cell r="A586">
            <v>63936500</v>
          </cell>
          <cell r="B586" t="str">
            <v>Lasagne bolognaise 375g VAN SMAAK</v>
          </cell>
          <cell r="C586" t="str">
            <v>-</v>
          </cell>
          <cell r="D586" t="str">
            <v>+</v>
          </cell>
          <cell r="E586" t="str">
            <v>+</v>
          </cell>
          <cell r="F586" t="str">
            <v>X</v>
          </cell>
          <cell r="G586" t="str">
            <v>+</v>
          </cell>
          <cell r="H586" t="str">
            <v>X</v>
          </cell>
          <cell r="I586" t="str">
            <v>-</v>
          </cell>
          <cell r="J586" t="str">
            <v>-</v>
          </cell>
          <cell r="K586" t="str">
            <v>+</v>
          </cell>
          <cell r="L586" t="str">
            <v>-</v>
          </cell>
          <cell r="M586" t="str">
            <v>X</v>
          </cell>
          <cell r="N586" t="str">
            <v>-</v>
          </cell>
          <cell r="O586" t="str">
            <v>X</v>
          </cell>
        </row>
        <row r="587">
          <cell r="A587">
            <v>63936600</v>
          </cell>
          <cell r="B587" t="str">
            <v>Lasagne spinazie 375g VAN SMAAK</v>
          </cell>
          <cell r="C587" t="str">
            <v>-</v>
          </cell>
          <cell r="D587" t="str">
            <v>+</v>
          </cell>
          <cell r="E587" t="str">
            <v>+</v>
          </cell>
          <cell r="F587" t="str">
            <v>-</v>
          </cell>
          <cell r="G587" t="str">
            <v>+</v>
          </cell>
          <cell r="H587" t="str">
            <v>-</v>
          </cell>
          <cell r="I587" t="str">
            <v>-</v>
          </cell>
          <cell r="J587" t="str">
            <v>-</v>
          </cell>
          <cell r="K587" t="str">
            <v>-</v>
          </cell>
          <cell r="L587" t="str">
            <v>-</v>
          </cell>
          <cell r="M587" t="str">
            <v>-</v>
          </cell>
          <cell r="N587" t="str">
            <v>-</v>
          </cell>
          <cell r="O587" t="str">
            <v>X</v>
          </cell>
        </row>
        <row r="588">
          <cell r="A588">
            <v>63938600</v>
          </cell>
          <cell r="B588" t="str">
            <v>Kippennugets kerriesaus gebakken aard kubus gekr 350g VAT KL</v>
          </cell>
          <cell r="C588" t="str">
            <v>-</v>
          </cell>
          <cell r="D588" t="str">
            <v>-</v>
          </cell>
          <cell r="E588" t="str">
            <v>+</v>
          </cell>
          <cell r="F588" t="str">
            <v>X</v>
          </cell>
          <cell r="G588" t="str">
            <v>+</v>
          </cell>
          <cell r="H588" t="str">
            <v>+</v>
          </cell>
          <cell r="I588" t="str">
            <v>-</v>
          </cell>
          <cell r="J588" t="str">
            <v>-</v>
          </cell>
          <cell r="K588" t="str">
            <v>+</v>
          </cell>
          <cell r="L588" t="str">
            <v>-</v>
          </cell>
          <cell r="M588" t="str">
            <v>+</v>
          </cell>
          <cell r="N588" t="str">
            <v>-</v>
          </cell>
          <cell r="O588" t="str">
            <v>-</v>
          </cell>
        </row>
        <row r="589">
          <cell r="A589">
            <v>63940000</v>
          </cell>
          <cell r="B589" t="str">
            <v>Broodje Italië met bolognaisesaus en geraspte kaas 300g VAT</v>
          </cell>
          <cell r="C589" t="str">
            <v>-</v>
          </cell>
          <cell r="D589" t="str">
            <v>X</v>
          </cell>
          <cell r="E589" t="str">
            <v>+</v>
          </cell>
          <cell r="F589" t="str">
            <v>-</v>
          </cell>
          <cell r="G589" t="str">
            <v>+</v>
          </cell>
          <cell r="H589" t="str">
            <v>-</v>
          </cell>
          <cell r="I589" t="str">
            <v>-</v>
          </cell>
          <cell r="J589" t="str">
            <v>-</v>
          </cell>
          <cell r="K589" t="str">
            <v>+</v>
          </cell>
          <cell r="L589" t="str">
            <v>X</v>
          </cell>
          <cell r="M589" t="str">
            <v>-</v>
          </cell>
          <cell r="N589" t="str">
            <v>-</v>
          </cell>
          <cell r="O589" t="str">
            <v>-</v>
          </cell>
        </row>
        <row r="590">
          <cell r="A590">
            <v>63940100</v>
          </cell>
          <cell r="B590" t="str">
            <v>Broodje kip gyros met paprika 300g VAT</v>
          </cell>
          <cell r="C590" t="str">
            <v>-</v>
          </cell>
          <cell r="D590" t="str">
            <v>X</v>
          </cell>
          <cell r="E590" t="str">
            <v>+</v>
          </cell>
          <cell r="F590" t="str">
            <v>-</v>
          </cell>
          <cell r="G590" t="str">
            <v>X</v>
          </cell>
          <cell r="H590" t="str">
            <v>-</v>
          </cell>
          <cell r="I590" t="str">
            <v>-</v>
          </cell>
          <cell r="J590" t="str">
            <v>-</v>
          </cell>
          <cell r="K590" t="str">
            <v>-</v>
          </cell>
          <cell r="L590" t="str">
            <v>X</v>
          </cell>
          <cell r="M590" t="str">
            <v>+</v>
          </cell>
          <cell r="N590" t="str">
            <v>-</v>
          </cell>
          <cell r="O590" t="str">
            <v>-</v>
          </cell>
        </row>
        <row r="591">
          <cell r="A591">
            <v>63940300</v>
          </cell>
          <cell r="B591" t="str">
            <v>Broodje pulled pork 300g VAT</v>
          </cell>
          <cell r="C591" t="str">
            <v>-</v>
          </cell>
          <cell r="D591" t="str">
            <v>X</v>
          </cell>
          <cell r="E591" t="str">
            <v>+</v>
          </cell>
          <cell r="F591" t="str">
            <v>-</v>
          </cell>
          <cell r="G591" t="str">
            <v>+</v>
          </cell>
          <cell r="H591" t="str">
            <v>-</v>
          </cell>
          <cell r="I591" t="str">
            <v>-</v>
          </cell>
          <cell r="J591" t="str">
            <v>-</v>
          </cell>
          <cell r="K591" t="str">
            <v>-</v>
          </cell>
          <cell r="L591" t="str">
            <v>X</v>
          </cell>
          <cell r="M591" t="str">
            <v>-</v>
          </cell>
          <cell r="N591" t="str">
            <v>-</v>
          </cell>
          <cell r="O591" t="str">
            <v>-</v>
          </cell>
        </row>
        <row r="592">
          <cell r="A592">
            <v>63951400</v>
          </cell>
          <cell r="B592" t="str">
            <v>Vergeten groentenschotel Quorn pastinaakpuree 550g EDJ DVK</v>
          </cell>
          <cell r="C592" t="str">
            <v>-</v>
          </cell>
          <cell r="D592" t="str">
            <v>+</v>
          </cell>
          <cell r="E592" t="str">
            <v>+</v>
          </cell>
          <cell r="F592" t="str">
            <v>X</v>
          </cell>
          <cell r="G592" t="str">
            <v>+</v>
          </cell>
          <cell r="H592" t="str">
            <v>X</v>
          </cell>
          <cell r="I592" t="str">
            <v>-</v>
          </cell>
          <cell r="J592" t="str">
            <v>-</v>
          </cell>
          <cell r="K592" t="str">
            <v>-</v>
          </cell>
          <cell r="L592" t="str">
            <v>-</v>
          </cell>
          <cell r="M592" t="str">
            <v>X</v>
          </cell>
          <cell r="N592" t="str">
            <v>-</v>
          </cell>
          <cell r="O592" t="str">
            <v>-</v>
          </cell>
        </row>
        <row r="593">
          <cell r="A593">
            <v>63951500</v>
          </cell>
          <cell r="B593" t="str">
            <v>Hertenstoofpot appel veenbes puree pompoen 500g EDJ VAT</v>
          </cell>
          <cell r="C593" t="str">
            <v>-</v>
          </cell>
          <cell r="D593" t="str">
            <v>-</v>
          </cell>
          <cell r="E593" t="str">
            <v>+</v>
          </cell>
          <cell r="F593" t="str">
            <v>X</v>
          </cell>
          <cell r="G593" t="str">
            <v>+</v>
          </cell>
          <cell r="H593" t="str">
            <v>X</v>
          </cell>
          <cell r="I593" t="str">
            <v>-</v>
          </cell>
          <cell r="J593" t="str">
            <v>-</v>
          </cell>
          <cell r="K593" t="str">
            <v>-</v>
          </cell>
          <cell r="L593" t="str">
            <v>-</v>
          </cell>
          <cell r="M593" t="str">
            <v>X</v>
          </cell>
          <cell r="N593" t="str">
            <v>-</v>
          </cell>
          <cell r="O593" t="str">
            <v>-</v>
          </cell>
        </row>
        <row r="594">
          <cell r="A594">
            <v>63952600</v>
          </cell>
          <cell r="B594" t="str">
            <v>Kalkoen truffelsaus aardappelpotje spek broccol 500g VAT EDJ</v>
          </cell>
          <cell r="C594" t="str">
            <v>-</v>
          </cell>
          <cell r="D594" t="str">
            <v>+</v>
          </cell>
          <cell r="E594" t="str">
            <v>+</v>
          </cell>
          <cell r="F594" t="str">
            <v>X</v>
          </cell>
          <cell r="G594" t="str">
            <v>+</v>
          </cell>
          <cell r="H594" t="str">
            <v>X</v>
          </cell>
          <cell r="I594" t="str">
            <v>-</v>
          </cell>
          <cell r="J594" t="str">
            <v>-</v>
          </cell>
          <cell r="K594" t="str">
            <v>+</v>
          </cell>
          <cell r="L594" t="str">
            <v>-</v>
          </cell>
          <cell r="M594" t="str">
            <v>X</v>
          </cell>
          <cell r="N594" t="str">
            <v>-</v>
          </cell>
          <cell r="O594" t="str">
            <v>-</v>
          </cell>
        </row>
        <row r="595">
          <cell r="A595">
            <v>63952700</v>
          </cell>
          <cell r="B595" t="str">
            <v>Vispannetje geplette aardappel selder, wortel 525g VAT EDJ</v>
          </cell>
          <cell r="C595" t="str">
            <v>-</v>
          </cell>
          <cell r="D595" t="str">
            <v>-</v>
          </cell>
          <cell r="E595" t="str">
            <v>+</v>
          </cell>
          <cell r="F595" t="str">
            <v>-</v>
          </cell>
          <cell r="G595" t="str">
            <v>+</v>
          </cell>
          <cell r="H595" t="str">
            <v>X</v>
          </cell>
          <cell r="I595" t="str">
            <v>-</v>
          </cell>
          <cell r="J595" t="str">
            <v>+</v>
          </cell>
          <cell r="K595" t="str">
            <v>+</v>
          </cell>
          <cell r="L595" t="str">
            <v>-</v>
          </cell>
          <cell r="M595" t="str">
            <v>-</v>
          </cell>
          <cell r="N595" t="str">
            <v>+</v>
          </cell>
          <cell r="O595" t="str">
            <v>X</v>
          </cell>
        </row>
        <row r="596">
          <cell r="A596">
            <v>63952900</v>
          </cell>
          <cell r="B596" t="str">
            <v>Kabeljauwfilet noilly prat groentemix puree knol 500g VAT</v>
          </cell>
          <cell r="C596" t="str">
            <v>-</v>
          </cell>
          <cell r="D596" t="str">
            <v>-</v>
          </cell>
          <cell r="E596" t="str">
            <v>+</v>
          </cell>
          <cell r="F596" t="str">
            <v>X</v>
          </cell>
          <cell r="G596" t="str">
            <v>+</v>
          </cell>
          <cell r="H596" t="str">
            <v>X</v>
          </cell>
          <cell r="I596" t="str">
            <v>-</v>
          </cell>
          <cell r="J596" t="str">
            <v>X</v>
          </cell>
          <cell r="K596" t="str">
            <v>+</v>
          </cell>
          <cell r="L596" t="str">
            <v>-</v>
          </cell>
          <cell r="M596" t="str">
            <v>X</v>
          </cell>
          <cell r="N596" t="str">
            <v>+</v>
          </cell>
          <cell r="O596" t="str">
            <v>X</v>
          </cell>
        </row>
        <row r="597">
          <cell r="A597">
            <v>63953000</v>
          </cell>
          <cell r="B597" t="str">
            <v>Kalkoen sinaasappel rozemarijn geb kriel wortelmix 500g VAT</v>
          </cell>
          <cell r="C597" t="str">
            <v>-</v>
          </cell>
          <cell r="D597" t="str">
            <v>X</v>
          </cell>
          <cell r="E597" t="str">
            <v>-</v>
          </cell>
          <cell r="F597" t="str">
            <v>-</v>
          </cell>
          <cell r="G597" t="str">
            <v>+</v>
          </cell>
          <cell r="H597" t="str">
            <v>-</v>
          </cell>
          <cell r="I597" t="str">
            <v>-</v>
          </cell>
          <cell r="J597" t="str">
            <v>-</v>
          </cell>
          <cell r="K597" t="str">
            <v>-</v>
          </cell>
          <cell r="L597" t="str">
            <v>-</v>
          </cell>
          <cell r="M597" t="str">
            <v>-</v>
          </cell>
          <cell r="N597" t="str">
            <v>-</v>
          </cell>
          <cell r="O597" t="str">
            <v>-</v>
          </cell>
        </row>
        <row r="598">
          <cell r="A598">
            <v>63953100</v>
          </cell>
          <cell r="B598" t="str">
            <v>Veg risotto rijstmix gorgonzola boerenkool koolrabi 500g VAT</v>
          </cell>
          <cell r="C598" t="str">
            <v>-</v>
          </cell>
          <cell r="D598" t="str">
            <v>-</v>
          </cell>
          <cell r="E598" t="str">
            <v>+</v>
          </cell>
          <cell r="F598" t="str">
            <v>X</v>
          </cell>
          <cell r="G598" t="str">
            <v>+</v>
          </cell>
          <cell r="H598" t="str">
            <v>X</v>
          </cell>
          <cell r="I598" t="str">
            <v>-</v>
          </cell>
          <cell r="J598" t="str">
            <v>-</v>
          </cell>
          <cell r="K598" t="str">
            <v>+</v>
          </cell>
          <cell r="L598" t="str">
            <v>X</v>
          </cell>
          <cell r="M598" t="str">
            <v>X</v>
          </cell>
          <cell r="N598" t="str">
            <v>-</v>
          </cell>
          <cell r="O598" t="str">
            <v>-</v>
          </cell>
        </row>
        <row r="599">
          <cell r="A599">
            <v>63953200</v>
          </cell>
          <cell r="B599" t="str">
            <v>Kabeljauw boter-citroensaus geb kriel 500g VAT</v>
          </cell>
          <cell r="C599" t="str">
            <v>-</v>
          </cell>
          <cell r="D599" t="str">
            <v>X</v>
          </cell>
          <cell r="E599" t="str">
            <v>+</v>
          </cell>
          <cell r="F599" t="str">
            <v>X</v>
          </cell>
          <cell r="G599" t="str">
            <v>+</v>
          </cell>
          <cell r="H599" t="str">
            <v>X</v>
          </cell>
          <cell r="I599" t="str">
            <v>-</v>
          </cell>
          <cell r="J599" t="str">
            <v>-</v>
          </cell>
          <cell r="K599" t="str">
            <v>-</v>
          </cell>
          <cell r="L599" t="str">
            <v>-</v>
          </cell>
          <cell r="M599" t="str">
            <v>X</v>
          </cell>
          <cell r="N599" t="str">
            <v>+</v>
          </cell>
          <cell r="O599" t="str">
            <v>-</v>
          </cell>
        </row>
        <row r="600">
          <cell r="A600">
            <v>63953300</v>
          </cell>
          <cell r="B600" t="str">
            <v>Hert grand veneur stoofpeer knolselderpuree 500g VAT</v>
          </cell>
          <cell r="C600" t="str">
            <v>-</v>
          </cell>
          <cell r="D600" t="str">
            <v>-</v>
          </cell>
          <cell r="E600" t="str">
            <v>+</v>
          </cell>
          <cell r="F600" t="str">
            <v>X</v>
          </cell>
          <cell r="G600" t="str">
            <v>+</v>
          </cell>
          <cell r="H600" t="str">
            <v>X</v>
          </cell>
          <cell r="I600" t="str">
            <v>-</v>
          </cell>
          <cell r="J600" t="str">
            <v>-</v>
          </cell>
          <cell r="K600" t="str">
            <v>+</v>
          </cell>
          <cell r="L600" t="str">
            <v>-</v>
          </cell>
          <cell r="M600" t="str">
            <v>X</v>
          </cell>
          <cell r="N600" t="str">
            <v>-</v>
          </cell>
          <cell r="O600" t="str">
            <v>-</v>
          </cell>
        </row>
        <row r="601">
          <cell r="A601">
            <v>63953400</v>
          </cell>
          <cell r="B601" t="str">
            <v>Zalm kreeftensaus spinazie gebakken aard. 500g VAT</v>
          </cell>
          <cell r="C601" t="str">
            <v>-</v>
          </cell>
          <cell r="D601" t="str">
            <v>-</v>
          </cell>
          <cell r="E601" t="str">
            <v>+</v>
          </cell>
          <cell r="F601" t="str">
            <v>X</v>
          </cell>
          <cell r="G601" t="str">
            <v>+</v>
          </cell>
          <cell r="H601" t="str">
            <v>X</v>
          </cell>
          <cell r="I601" t="str">
            <v>-</v>
          </cell>
          <cell r="J601" t="str">
            <v>+</v>
          </cell>
          <cell r="K601" t="str">
            <v>+</v>
          </cell>
          <cell r="L601" t="str">
            <v>-</v>
          </cell>
          <cell r="M601" t="str">
            <v>X</v>
          </cell>
          <cell r="N601" t="str">
            <v>+</v>
          </cell>
          <cell r="O601" t="str">
            <v>X</v>
          </cell>
        </row>
        <row r="602">
          <cell r="A602">
            <v>63953500</v>
          </cell>
          <cell r="B602" t="str">
            <v>Hert grand veneur knolselderpuree groene bonen spek 500g DMC</v>
          </cell>
          <cell r="C602" t="str">
            <v>-</v>
          </cell>
          <cell r="D602" t="str">
            <v>-</v>
          </cell>
          <cell r="E602" t="str">
            <v>+</v>
          </cell>
          <cell r="F602" t="str">
            <v>X</v>
          </cell>
          <cell r="G602" t="str">
            <v>+</v>
          </cell>
          <cell r="H602" t="str">
            <v>X</v>
          </cell>
          <cell r="I602" t="str">
            <v>-</v>
          </cell>
          <cell r="J602" t="str">
            <v>-</v>
          </cell>
          <cell r="K602" t="str">
            <v>+</v>
          </cell>
          <cell r="L602" t="str">
            <v>-</v>
          </cell>
          <cell r="M602" t="str">
            <v>X</v>
          </cell>
          <cell r="N602" t="str">
            <v>-</v>
          </cell>
          <cell r="O602" t="str">
            <v>-</v>
          </cell>
        </row>
        <row r="603">
          <cell r="A603">
            <v>63953600</v>
          </cell>
          <cell r="B603" t="str">
            <v>Kabaljauw kreeftensaus spinazie puree 540g VAT</v>
          </cell>
          <cell r="C603" t="str">
            <v>-</v>
          </cell>
          <cell r="D603" t="str">
            <v>+</v>
          </cell>
          <cell r="E603" t="str">
            <v>+</v>
          </cell>
          <cell r="F603" t="str">
            <v>X</v>
          </cell>
          <cell r="G603" t="str">
            <v>+</v>
          </cell>
          <cell r="H603" t="str">
            <v>X</v>
          </cell>
          <cell r="I603" t="str">
            <v>-</v>
          </cell>
          <cell r="J603" t="str">
            <v>+</v>
          </cell>
          <cell r="K603" t="str">
            <v>+</v>
          </cell>
          <cell r="L603" t="str">
            <v>-</v>
          </cell>
          <cell r="M603" t="str">
            <v>X</v>
          </cell>
          <cell r="N603" t="str">
            <v>+</v>
          </cell>
          <cell r="O603" t="str">
            <v>X</v>
          </cell>
        </row>
        <row r="604">
          <cell r="A604">
            <v>63960300</v>
          </cell>
          <cell r="B604" t="str">
            <v>Nasi goreng met vegan kip in satesaus 500g VAT</v>
          </cell>
          <cell r="C604" t="str">
            <v>+</v>
          </cell>
          <cell r="D604" t="str">
            <v>+</v>
          </cell>
          <cell r="E604" t="str">
            <v>+</v>
          </cell>
          <cell r="F604" t="str">
            <v>-</v>
          </cell>
          <cell r="G604" t="str">
            <v>-</v>
          </cell>
          <cell r="H604" t="str">
            <v>-</v>
          </cell>
          <cell r="I604" t="str">
            <v>-</v>
          </cell>
          <cell r="J604" t="str">
            <v>-</v>
          </cell>
          <cell r="K604" t="str">
            <v>+</v>
          </cell>
          <cell r="L604" t="str">
            <v>-</v>
          </cell>
          <cell r="M604" t="str">
            <v>+</v>
          </cell>
          <cell r="N604" t="str">
            <v>-</v>
          </cell>
          <cell r="O604" t="str">
            <v>-</v>
          </cell>
        </row>
        <row r="605">
          <cell r="A605">
            <v>63960400</v>
          </cell>
          <cell r="B605" t="str">
            <v>Omelet hollandaisesaus broccoli puree 500g DVK</v>
          </cell>
          <cell r="C605" t="str">
            <v>-</v>
          </cell>
          <cell r="D605" t="str">
            <v>+</v>
          </cell>
          <cell r="E605" t="str">
            <v>-</v>
          </cell>
          <cell r="F605" t="str">
            <v>-</v>
          </cell>
          <cell r="G605" t="str">
            <v>+</v>
          </cell>
          <cell r="H605" t="str">
            <v>-</v>
          </cell>
          <cell r="I605" t="str">
            <v>-</v>
          </cell>
          <cell r="J605" t="str">
            <v>-</v>
          </cell>
          <cell r="K605" t="str">
            <v>+</v>
          </cell>
          <cell r="L605" t="str">
            <v>-</v>
          </cell>
          <cell r="M605" t="str">
            <v>-</v>
          </cell>
          <cell r="N605" t="str">
            <v>-</v>
          </cell>
          <cell r="O605" t="str">
            <v>-</v>
          </cell>
        </row>
        <row r="606">
          <cell r="A606">
            <v>63960700</v>
          </cell>
          <cell r="B606" t="str">
            <v>Macaroni vegetarisch 500g DVK</v>
          </cell>
          <cell r="C606" t="str">
            <v>-</v>
          </cell>
          <cell r="D606" t="str">
            <v>X</v>
          </cell>
          <cell r="E606" t="str">
            <v>+</v>
          </cell>
          <cell r="F606" t="str">
            <v>X</v>
          </cell>
          <cell r="G606" t="str">
            <v>+</v>
          </cell>
          <cell r="H606" t="str">
            <v>X</v>
          </cell>
          <cell r="I606" t="str">
            <v>-</v>
          </cell>
          <cell r="J606" t="str">
            <v>-</v>
          </cell>
          <cell r="K606" t="str">
            <v>+</v>
          </cell>
          <cell r="L606" t="str">
            <v>-</v>
          </cell>
          <cell r="M606" t="str">
            <v>X</v>
          </cell>
          <cell r="N606" t="str">
            <v>-</v>
          </cell>
          <cell r="O606" t="str">
            <v>-</v>
          </cell>
        </row>
        <row r="607">
          <cell r="A607">
            <v>63960800</v>
          </cell>
          <cell r="B607" t="str">
            <v>Groenteburger prei gekookte aardappel 500g VAT</v>
          </cell>
          <cell r="C607" t="str">
            <v>-</v>
          </cell>
          <cell r="D607" t="str">
            <v>X</v>
          </cell>
          <cell r="E607" t="str">
            <v>+</v>
          </cell>
          <cell r="F607" t="str">
            <v>X</v>
          </cell>
          <cell r="G607" t="str">
            <v>+</v>
          </cell>
          <cell r="H607" t="str">
            <v>X</v>
          </cell>
          <cell r="I607" t="str">
            <v>-</v>
          </cell>
          <cell r="J607" t="str">
            <v>X</v>
          </cell>
          <cell r="K607" t="str">
            <v>+</v>
          </cell>
          <cell r="L607" t="str">
            <v>X</v>
          </cell>
          <cell r="M607" t="str">
            <v>+</v>
          </cell>
          <cell r="N607" t="str">
            <v>X</v>
          </cell>
          <cell r="O607" t="str">
            <v>-</v>
          </cell>
        </row>
        <row r="608">
          <cell r="A608">
            <v>63960900</v>
          </cell>
          <cell r="B608" t="str">
            <v>Groentenburger bietjes gebakken aardappel 500g VAT</v>
          </cell>
          <cell r="C608" t="str">
            <v>-</v>
          </cell>
          <cell r="D608" t="str">
            <v>X</v>
          </cell>
          <cell r="E608" t="str">
            <v>+</v>
          </cell>
          <cell r="F608" t="str">
            <v>X</v>
          </cell>
          <cell r="G608" t="str">
            <v>X</v>
          </cell>
          <cell r="H608" t="str">
            <v>X</v>
          </cell>
          <cell r="I608" t="str">
            <v>-</v>
          </cell>
          <cell r="J608" t="str">
            <v>X</v>
          </cell>
          <cell r="K608" t="str">
            <v>+</v>
          </cell>
          <cell r="L608" t="str">
            <v>X</v>
          </cell>
          <cell r="M608" t="str">
            <v>+</v>
          </cell>
          <cell r="N608" t="str">
            <v>X</v>
          </cell>
          <cell r="O608" t="str">
            <v>-</v>
          </cell>
        </row>
        <row r="609">
          <cell r="A609">
            <v>63961100</v>
          </cell>
          <cell r="B609" t="str">
            <v>Omelet kaassaus worteltjes gebakken aardappel 500g DVK</v>
          </cell>
          <cell r="C609" t="str">
            <v>-</v>
          </cell>
          <cell r="D609" t="str">
            <v>+</v>
          </cell>
          <cell r="E609" t="str">
            <v>-</v>
          </cell>
          <cell r="F609" t="str">
            <v>-</v>
          </cell>
          <cell r="G609" t="str">
            <v>+</v>
          </cell>
          <cell r="H609" t="str">
            <v>-</v>
          </cell>
          <cell r="I609" t="str">
            <v>-</v>
          </cell>
          <cell r="J609" t="str">
            <v>-</v>
          </cell>
          <cell r="K609" t="str">
            <v>-</v>
          </cell>
          <cell r="L609" t="str">
            <v>-</v>
          </cell>
          <cell r="M609" t="str">
            <v>-</v>
          </cell>
          <cell r="N609" t="str">
            <v>-</v>
          </cell>
          <cell r="O609" t="str">
            <v>-</v>
          </cell>
        </row>
        <row r="610">
          <cell r="A610">
            <v>63961400</v>
          </cell>
          <cell r="B610" t="str">
            <v>Penne met champignonragout en broccoli 500g VAT</v>
          </cell>
          <cell r="C610" t="str">
            <v>-</v>
          </cell>
          <cell r="D610" t="str">
            <v>X</v>
          </cell>
          <cell r="E610" t="str">
            <v>+</v>
          </cell>
          <cell r="F610" t="str">
            <v>X</v>
          </cell>
          <cell r="G610" t="str">
            <v>+</v>
          </cell>
          <cell r="H610" t="str">
            <v>X</v>
          </cell>
          <cell r="I610" t="str">
            <v>-</v>
          </cell>
          <cell r="J610" t="str">
            <v>-</v>
          </cell>
          <cell r="K610" t="str">
            <v>+</v>
          </cell>
          <cell r="L610" t="str">
            <v>-</v>
          </cell>
          <cell r="M610" t="str">
            <v>X</v>
          </cell>
          <cell r="N610" t="str">
            <v>-</v>
          </cell>
          <cell r="O610" t="str">
            <v>-</v>
          </cell>
        </row>
        <row r="611">
          <cell r="A611">
            <v>63961500</v>
          </cell>
          <cell r="B611" t="str">
            <v>Lasagne vegetarisch met spinazie 500g DVK</v>
          </cell>
          <cell r="C611" t="str">
            <v>-</v>
          </cell>
          <cell r="D611" t="str">
            <v>+</v>
          </cell>
          <cell r="E611" t="str">
            <v>+</v>
          </cell>
          <cell r="F611" t="str">
            <v>-</v>
          </cell>
          <cell r="G611" t="str">
            <v>+</v>
          </cell>
          <cell r="H611" t="str">
            <v>-</v>
          </cell>
          <cell r="I611" t="str">
            <v>-</v>
          </cell>
          <cell r="J611" t="str">
            <v>X</v>
          </cell>
          <cell r="K611" t="str">
            <v>X</v>
          </cell>
          <cell r="L611" t="str">
            <v>-</v>
          </cell>
          <cell r="M611" t="str">
            <v>X</v>
          </cell>
          <cell r="N611" t="str">
            <v>X</v>
          </cell>
          <cell r="O611" t="str">
            <v>-</v>
          </cell>
        </row>
        <row r="612">
          <cell r="A612">
            <v>63961700</v>
          </cell>
          <cell r="B612" t="str">
            <v>Spinaziestamppot met omelet 500g DVK</v>
          </cell>
          <cell r="C612" t="str">
            <v>-</v>
          </cell>
          <cell r="D612" t="str">
            <v>+</v>
          </cell>
          <cell r="E612" t="str">
            <v>-</v>
          </cell>
          <cell r="F612" t="str">
            <v>-</v>
          </cell>
          <cell r="G612" t="str">
            <v>+</v>
          </cell>
          <cell r="H612" t="str">
            <v>-</v>
          </cell>
          <cell r="I612" t="str">
            <v>-</v>
          </cell>
          <cell r="J612" t="str">
            <v>-</v>
          </cell>
          <cell r="K612" t="str">
            <v>-</v>
          </cell>
          <cell r="L612" t="str">
            <v>-</v>
          </cell>
          <cell r="M612" t="str">
            <v>-</v>
          </cell>
          <cell r="N612" t="str">
            <v>-</v>
          </cell>
          <cell r="O612" t="str">
            <v>-</v>
          </cell>
        </row>
        <row r="613">
          <cell r="A613">
            <v>63961800</v>
          </cell>
          <cell r="B613" t="str">
            <v>Risotto met boschampignons 510g DVK</v>
          </cell>
          <cell r="C613" t="str">
            <v>-</v>
          </cell>
          <cell r="D613" t="str">
            <v>-</v>
          </cell>
          <cell r="E613" t="str">
            <v>+</v>
          </cell>
          <cell r="F613" t="str">
            <v>-</v>
          </cell>
          <cell r="G613" t="str">
            <v>+</v>
          </cell>
          <cell r="H613" t="str">
            <v>-</v>
          </cell>
          <cell r="I613" t="str">
            <v>-</v>
          </cell>
          <cell r="J613" t="str">
            <v>-</v>
          </cell>
          <cell r="K613" t="str">
            <v>+</v>
          </cell>
          <cell r="L613" t="str">
            <v>-</v>
          </cell>
          <cell r="M613" t="str">
            <v>-</v>
          </cell>
          <cell r="N613" t="str">
            <v>-</v>
          </cell>
          <cell r="O613" t="str">
            <v>-</v>
          </cell>
        </row>
        <row r="614">
          <cell r="A614">
            <v>63961900</v>
          </cell>
          <cell r="B614" t="str">
            <v>Andijviestamppot vegetarische balletjes 575g VAT</v>
          </cell>
          <cell r="C614" t="str">
            <v>-</v>
          </cell>
          <cell r="D614" t="str">
            <v>-</v>
          </cell>
          <cell r="E614" t="str">
            <v>+</v>
          </cell>
          <cell r="F614" t="str">
            <v>X</v>
          </cell>
          <cell r="G614" t="str">
            <v>+</v>
          </cell>
          <cell r="H614" t="str">
            <v>X</v>
          </cell>
          <cell r="I614" t="str">
            <v>-</v>
          </cell>
          <cell r="J614" t="str">
            <v>X</v>
          </cell>
          <cell r="K614" t="str">
            <v>+</v>
          </cell>
          <cell r="L614" t="str">
            <v>-</v>
          </cell>
          <cell r="M614" t="str">
            <v>+</v>
          </cell>
          <cell r="N614" t="str">
            <v>X</v>
          </cell>
          <cell r="O614" t="str">
            <v>-</v>
          </cell>
        </row>
        <row r="615">
          <cell r="A615">
            <v>63962000</v>
          </cell>
          <cell r="B615" t="str">
            <v>Moussaka vegetarisch 585g DVK</v>
          </cell>
          <cell r="C615" t="str">
            <v>-</v>
          </cell>
          <cell r="D615" t="str">
            <v>-</v>
          </cell>
          <cell r="E615" t="str">
            <v>+</v>
          </cell>
          <cell r="F615" t="str">
            <v>-</v>
          </cell>
          <cell r="G615" t="str">
            <v>+</v>
          </cell>
          <cell r="H615" t="str">
            <v>-</v>
          </cell>
          <cell r="I615" t="str">
            <v>-</v>
          </cell>
          <cell r="J615" t="str">
            <v>-</v>
          </cell>
          <cell r="K615" t="str">
            <v>+</v>
          </cell>
          <cell r="L615" t="str">
            <v>-</v>
          </cell>
          <cell r="M615" t="str">
            <v>-</v>
          </cell>
          <cell r="N615" t="str">
            <v>-</v>
          </cell>
          <cell r="O615" t="str">
            <v>-</v>
          </cell>
        </row>
        <row r="616">
          <cell r="A616">
            <v>63962300</v>
          </cell>
          <cell r="B616" t="str">
            <v>Hutspot met vegetarische balletjes 500g DVK</v>
          </cell>
          <cell r="C616" t="str">
            <v>-</v>
          </cell>
          <cell r="D616" t="str">
            <v>-</v>
          </cell>
          <cell r="E616" t="str">
            <v>+</v>
          </cell>
          <cell r="F616" t="str">
            <v>X</v>
          </cell>
          <cell r="G616" t="str">
            <v>+</v>
          </cell>
          <cell r="H616" t="str">
            <v>X</v>
          </cell>
          <cell r="I616" t="str">
            <v>-</v>
          </cell>
          <cell r="J616" t="str">
            <v>X</v>
          </cell>
          <cell r="K616" t="str">
            <v>+</v>
          </cell>
          <cell r="L616" t="str">
            <v>-</v>
          </cell>
          <cell r="M616" t="str">
            <v>+</v>
          </cell>
          <cell r="N616" t="str">
            <v>X</v>
          </cell>
          <cell r="O616" t="str">
            <v>-</v>
          </cell>
        </row>
        <row r="617">
          <cell r="A617">
            <v>63962700</v>
          </cell>
          <cell r="B617" t="str">
            <v>Veg lasagne met groenten linzen quorn 620g VAT</v>
          </cell>
          <cell r="C617" t="str">
            <v>-</v>
          </cell>
          <cell r="D617" t="str">
            <v>+</v>
          </cell>
          <cell r="E617" t="str">
            <v>+</v>
          </cell>
          <cell r="F617" t="str">
            <v>X</v>
          </cell>
          <cell r="G617" t="str">
            <v>+</v>
          </cell>
          <cell r="H617" t="str">
            <v>X</v>
          </cell>
          <cell r="I617" t="str">
            <v>-</v>
          </cell>
          <cell r="J617" t="str">
            <v>X</v>
          </cell>
          <cell r="K617" t="str">
            <v>X</v>
          </cell>
          <cell r="L617" t="str">
            <v>-</v>
          </cell>
          <cell r="M617" t="str">
            <v>X</v>
          </cell>
          <cell r="N617" t="str">
            <v>X</v>
          </cell>
          <cell r="O617" t="str">
            <v>-</v>
          </cell>
        </row>
        <row r="618">
          <cell r="A618">
            <v>63962800</v>
          </cell>
          <cell r="B618" t="str">
            <v>Groentenburger groene groenten wortelsaus bulgur 545g VAT</v>
          </cell>
          <cell r="C618" t="str">
            <v>-</v>
          </cell>
          <cell r="D618" t="str">
            <v>X</v>
          </cell>
          <cell r="E618" t="str">
            <v>+</v>
          </cell>
          <cell r="F618" t="str">
            <v>X</v>
          </cell>
          <cell r="G618" t="str">
            <v>+</v>
          </cell>
          <cell r="H618" t="str">
            <v>X</v>
          </cell>
          <cell r="I618" t="str">
            <v>-</v>
          </cell>
          <cell r="J618" t="str">
            <v>X</v>
          </cell>
          <cell r="K618" t="str">
            <v>X</v>
          </cell>
          <cell r="L618" t="str">
            <v>X</v>
          </cell>
          <cell r="M618" t="str">
            <v>X</v>
          </cell>
          <cell r="N618" t="str">
            <v>X</v>
          </cell>
          <cell r="O618" t="str">
            <v>-</v>
          </cell>
        </row>
        <row r="619">
          <cell r="A619">
            <v>63963200</v>
          </cell>
          <cell r="B619" t="str">
            <v>Veg grnteschotel vegan kip pompoensaus wilde rijst 500g VAT</v>
          </cell>
          <cell r="C619" t="str">
            <v>-</v>
          </cell>
          <cell r="D619" t="str">
            <v>-</v>
          </cell>
          <cell r="E619" t="str">
            <v>-</v>
          </cell>
          <cell r="F619" t="str">
            <v>-</v>
          </cell>
          <cell r="G619" t="str">
            <v>+</v>
          </cell>
          <cell r="H619" t="str">
            <v>-</v>
          </cell>
          <cell r="I619" t="str">
            <v>-</v>
          </cell>
          <cell r="J619" t="str">
            <v>-</v>
          </cell>
          <cell r="K619" t="str">
            <v>-</v>
          </cell>
          <cell r="L619" t="str">
            <v>-</v>
          </cell>
          <cell r="M619" t="str">
            <v>+</v>
          </cell>
          <cell r="N619" t="str">
            <v>-</v>
          </cell>
          <cell r="O619" t="str">
            <v>-</v>
          </cell>
        </row>
        <row r="620">
          <cell r="A620">
            <v>63963300</v>
          </cell>
          <cell r="B620" t="str">
            <v>Veg tagliatelle carbonara rode biet spekjes 500g VAT</v>
          </cell>
          <cell r="C620" t="str">
            <v>-</v>
          </cell>
          <cell r="D620" t="str">
            <v>+</v>
          </cell>
          <cell r="E620" t="str">
            <v>+</v>
          </cell>
          <cell r="F620" t="str">
            <v>X</v>
          </cell>
          <cell r="G620" t="str">
            <v>+</v>
          </cell>
          <cell r="H620" t="str">
            <v>X</v>
          </cell>
          <cell r="I620" t="str">
            <v>-</v>
          </cell>
          <cell r="J620" t="str">
            <v>-</v>
          </cell>
          <cell r="K620" t="str">
            <v>-</v>
          </cell>
          <cell r="L620" t="str">
            <v>-</v>
          </cell>
          <cell r="M620" t="str">
            <v>X</v>
          </cell>
          <cell r="N620" t="str">
            <v>-</v>
          </cell>
          <cell r="O620" t="str">
            <v>-</v>
          </cell>
        </row>
        <row r="621">
          <cell r="A621">
            <v>63963400</v>
          </cell>
          <cell r="B621" t="str">
            <v>Veg thaise groene curry stamppot zoete aard wortel 500g VAT</v>
          </cell>
          <cell r="C621" t="str">
            <v>-</v>
          </cell>
          <cell r="D621" t="str">
            <v>-</v>
          </cell>
          <cell r="E621" t="str">
            <v>-</v>
          </cell>
          <cell r="F621" t="str">
            <v>-</v>
          </cell>
          <cell r="G621" t="str">
            <v>-</v>
          </cell>
          <cell r="H621" t="str">
            <v>-</v>
          </cell>
          <cell r="I621" t="str">
            <v>-</v>
          </cell>
          <cell r="J621" t="str">
            <v>-</v>
          </cell>
          <cell r="K621" t="str">
            <v>+</v>
          </cell>
          <cell r="L621" t="str">
            <v>-</v>
          </cell>
          <cell r="M621" t="str">
            <v>+</v>
          </cell>
          <cell r="N621" t="str">
            <v>-</v>
          </cell>
          <cell r="O621" t="str">
            <v>-</v>
          </cell>
        </row>
        <row r="622">
          <cell r="A622">
            <v>63963500</v>
          </cell>
          <cell r="B622" t="str">
            <v>Vegetarische spaghetti bolognaise 550g VAT</v>
          </cell>
          <cell r="C622" t="str">
            <v>-</v>
          </cell>
          <cell r="D622" t="str">
            <v>X</v>
          </cell>
          <cell r="E622" t="str">
            <v>+</v>
          </cell>
          <cell r="F622" t="str">
            <v>X</v>
          </cell>
          <cell r="G622" t="str">
            <v>X</v>
          </cell>
          <cell r="H622" t="str">
            <v>X</v>
          </cell>
          <cell r="I622" t="str">
            <v>-</v>
          </cell>
          <cell r="J622" t="str">
            <v>X</v>
          </cell>
          <cell r="K622" t="str">
            <v>+</v>
          </cell>
          <cell r="L622" t="str">
            <v>-</v>
          </cell>
          <cell r="M622" t="str">
            <v>+</v>
          </cell>
          <cell r="N622" t="str">
            <v>X</v>
          </cell>
          <cell r="O622" t="str">
            <v>-</v>
          </cell>
        </row>
        <row r="623">
          <cell r="A623">
            <v>63963600</v>
          </cell>
          <cell r="B623" t="str">
            <v>Vergeten groentenschotel vegan kip pastinaakpuree 550g VAT</v>
          </cell>
          <cell r="C623" t="str">
            <v>-</v>
          </cell>
          <cell r="D623" t="str">
            <v>-</v>
          </cell>
          <cell r="E623" t="str">
            <v>+</v>
          </cell>
          <cell r="F623" t="str">
            <v>X</v>
          </cell>
          <cell r="G623" t="str">
            <v>+</v>
          </cell>
          <cell r="H623" t="str">
            <v>X</v>
          </cell>
          <cell r="I623" t="str">
            <v>-</v>
          </cell>
          <cell r="J623" t="str">
            <v>-</v>
          </cell>
          <cell r="K623" t="str">
            <v>-</v>
          </cell>
          <cell r="L623" t="str">
            <v>-</v>
          </cell>
          <cell r="M623" t="str">
            <v>+</v>
          </cell>
          <cell r="N623" t="str">
            <v>-</v>
          </cell>
          <cell r="O623" t="str">
            <v>-</v>
          </cell>
        </row>
        <row r="624">
          <cell r="A624">
            <v>63970100</v>
          </cell>
          <cell r="B624" t="str">
            <v>Varkensvlees sperziebonen aardappelpuree 500g DVK (gemalen)</v>
          </cell>
          <cell r="C624" t="str">
            <v>-</v>
          </cell>
          <cell r="D624" t="str">
            <v>+</v>
          </cell>
          <cell r="E624" t="str">
            <v>+</v>
          </cell>
          <cell r="F624" t="str">
            <v>X</v>
          </cell>
          <cell r="G624" t="str">
            <v>+</v>
          </cell>
          <cell r="H624" t="str">
            <v>X</v>
          </cell>
          <cell r="I624" t="str">
            <v>-</v>
          </cell>
          <cell r="J624" t="str">
            <v>-</v>
          </cell>
          <cell r="K624" t="str">
            <v>+</v>
          </cell>
          <cell r="L624" t="str">
            <v>-</v>
          </cell>
          <cell r="M624" t="str">
            <v>X</v>
          </cell>
          <cell r="N624" t="str">
            <v>-</v>
          </cell>
          <cell r="O624" t="str">
            <v>-</v>
          </cell>
        </row>
        <row r="625">
          <cell r="A625">
            <v>63970200</v>
          </cell>
          <cell r="B625" t="str">
            <v>Kip met worteltjes en aardappelpuree 500g DVK (gemalen)</v>
          </cell>
          <cell r="C625" t="str">
            <v>-</v>
          </cell>
          <cell r="D625" t="str">
            <v>+</v>
          </cell>
          <cell r="E625" t="str">
            <v>+</v>
          </cell>
          <cell r="F625" t="str">
            <v>X</v>
          </cell>
          <cell r="G625" t="str">
            <v>+</v>
          </cell>
          <cell r="H625" t="str">
            <v>X</v>
          </cell>
          <cell r="I625" t="str">
            <v>-</v>
          </cell>
          <cell r="J625" t="str">
            <v>-</v>
          </cell>
          <cell r="K625" t="str">
            <v>+</v>
          </cell>
          <cell r="L625" t="str">
            <v>-</v>
          </cell>
          <cell r="M625" t="str">
            <v>X</v>
          </cell>
          <cell r="N625" t="str">
            <v>-</v>
          </cell>
          <cell r="O625" t="str">
            <v>-</v>
          </cell>
        </row>
        <row r="626">
          <cell r="A626">
            <v>63970300</v>
          </cell>
          <cell r="B626" t="str">
            <v>Gehakt met prei en aardappelpuree 500g DVK (gemalen)</v>
          </cell>
          <cell r="C626" t="str">
            <v>-</v>
          </cell>
          <cell r="D626" t="str">
            <v>+</v>
          </cell>
          <cell r="E626" t="str">
            <v>+</v>
          </cell>
          <cell r="F626" t="str">
            <v>X</v>
          </cell>
          <cell r="G626" t="str">
            <v>+</v>
          </cell>
          <cell r="H626" t="str">
            <v>X</v>
          </cell>
          <cell r="I626" t="str">
            <v>-</v>
          </cell>
          <cell r="J626" t="str">
            <v>-</v>
          </cell>
          <cell r="K626" t="str">
            <v>+</v>
          </cell>
          <cell r="L626" t="str">
            <v>-</v>
          </cell>
          <cell r="M626" t="str">
            <v>X</v>
          </cell>
          <cell r="N626" t="str">
            <v>-</v>
          </cell>
          <cell r="O626" t="str">
            <v>-</v>
          </cell>
        </row>
        <row r="627">
          <cell r="A627">
            <v>63970400</v>
          </cell>
          <cell r="B627" t="str">
            <v>Rundvlees met rode kool en aardappelpuree 500g DVK (gemalen)</v>
          </cell>
          <cell r="C627" t="str">
            <v>-</v>
          </cell>
          <cell r="D627" t="str">
            <v>+</v>
          </cell>
          <cell r="E627" t="str">
            <v>+</v>
          </cell>
          <cell r="F627" t="str">
            <v>X</v>
          </cell>
          <cell r="G627" t="str">
            <v>+</v>
          </cell>
          <cell r="H627" t="str">
            <v>+</v>
          </cell>
          <cell r="I627" t="str">
            <v>X</v>
          </cell>
          <cell r="J627" t="str">
            <v>-</v>
          </cell>
          <cell r="K627" t="str">
            <v>+</v>
          </cell>
          <cell r="L627" t="str">
            <v>-</v>
          </cell>
          <cell r="M627" t="str">
            <v>X</v>
          </cell>
          <cell r="N627" t="str">
            <v>-</v>
          </cell>
          <cell r="O627" t="str">
            <v>-</v>
          </cell>
        </row>
        <row r="628">
          <cell r="A628">
            <v>63970500</v>
          </cell>
          <cell r="B628" t="str">
            <v>Kip in crèmesaus broccoli aardappelpuree 500g DVK (gemalen)</v>
          </cell>
          <cell r="C628" t="str">
            <v>-</v>
          </cell>
          <cell r="D628" t="str">
            <v>+</v>
          </cell>
          <cell r="E628" t="str">
            <v>+</v>
          </cell>
          <cell r="F628" t="str">
            <v>X</v>
          </cell>
          <cell r="G628" t="str">
            <v>+</v>
          </cell>
          <cell r="H628" t="str">
            <v>X</v>
          </cell>
          <cell r="I628" t="str">
            <v>-</v>
          </cell>
          <cell r="J628" t="str">
            <v>-</v>
          </cell>
          <cell r="K628" t="str">
            <v>X</v>
          </cell>
          <cell r="L628" t="str">
            <v>-</v>
          </cell>
          <cell r="M628" t="str">
            <v>X</v>
          </cell>
          <cell r="N628" t="str">
            <v>-</v>
          </cell>
          <cell r="O628" t="str">
            <v>-</v>
          </cell>
        </row>
        <row r="629">
          <cell r="A629">
            <v>63970600</v>
          </cell>
          <cell r="B629" t="str">
            <v>Zalm in vissaus wortelen aardappelpuree 500g DVK (gemalen)</v>
          </cell>
          <cell r="C629" t="str">
            <v>-</v>
          </cell>
          <cell r="D629" t="str">
            <v>+</v>
          </cell>
          <cell r="E629" t="str">
            <v>+</v>
          </cell>
          <cell r="F629" t="str">
            <v>-</v>
          </cell>
          <cell r="G629" t="str">
            <v>+</v>
          </cell>
          <cell r="H629" t="str">
            <v>+</v>
          </cell>
          <cell r="I629" t="str">
            <v>-</v>
          </cell>
          <cell r="J629" t="str">
            <v>X</v>
          </cell>
          <cell r="K629" t="str">
            <v>+</v>
          </cell>
          <cell r="L629" t="str">
            <v>-</v>
          </cell>
          <cell r="M629" t="str">
            <v>X</v>
          </cell>
          <cell r="N629" t="str">
            <v>+</v>
          </cell>
          <cell r="O629" t="str">
            <v>X</v>
          </cell>
        </row>
        <row r="630">
          <cell r="A630">
            <v>63970700</v>
          </cell>
          <cell r="B630" t="str">
            <v>Varkensvlees met erwten en aardappelpuree 500g DVK (gemalen)</v>
          </cell>
          <cell r="C630" t="str">
            <v>-</v>
          </cell>
          <cell r="D630" t="str">
            <v>+</v>
          </cell>
          <cell r="E630" t="str">
            <v>+</v>
          </cell>
          <cell r="F630" t="str">
            <v>X</v>
          </cell>
          <cell r="G630" t="str">
            <v>+</v>
          </cell>
          <cell r="H630" t="str">
            <v>X</v>
          </cell>
          <cell r="I630" t="str">
            <v>-</v>
          </cell>
          <cell r="J630" t="str">
            <v>-</v>
          </cell>
          <cell r="K630" t="str">
            <v>+</v>
          </cell>
          <cell r="L630" t="str">
            <v>-</v>
          </cell>
          <cell r="M630" t="str">
            <v>X</v>
          </cell>
          <cell r="N630" t="str">
            <v>-</v>
          </cell>
          <cell r="O630" t="str">
            <v>-</v>
          </cell>
        </row>
        <row r="631">
          <cell r="A631">
            <v>63970800</v>
          </cell>
          <cell r="B631" t="str">
            <v>Hutspot met rundsvlees DVK 500g (gemalen)</v>
          </cell>
          <cell r="C631" t="str">
            <v>-</v>
          </cell>
          <cell r="D631" t="str">
            <v>-</v>
          </cell>
          <cell r="E631" t="str">
            <v>+</v>
          </cell>
          <cell r="F631" t="str">
            <v>X</v>
          </cell>
          <cell r="G631" t="str">
            <v>+</v>
          </cell>
          <cell r="H631" t="str">
            <v>+</v>
          </cell>
          <cell r="I631" t="str">
            <v>X</v>
          </cell>
          <cell r="J631" t="str">
            <v>-</v>
          </cell>
          <cell r="K631" t="str">
            <v>+</v>
          </cell>
          <cell r="L631" t="str">
            <v>-</v>
          </cell>
          <cell r="M631" t="str">
            <v>X</v>
          </cell>
          <cell r="N631" t="str">
            <v>-</v>
          </cell>
          <cell r="O631" t="str">
            <v>-</v>
          </cell>
        </row>
        <row r="632">
          <cell r="A632">
            <v>63970900</v>
          </cell>
          <cell r="B632" t="str">
            <v>Boerenkool met rundergehakt 500g DVK (gemalen)</v>
          </cell>
          <cell r="C632" t="str">
            <v>-</v>
          </cell>
          <cell r="D632" t="str">
            <v>-</v>
          </cell>
          <cell r="E632" t="str">
            <v>+</v>
          </cell>
          <cell r="F632" t="str">
            <v>X</v>
          </cell>
          <cell r="G632" t="str">
            <v>+</v>
          </cell>
          <cell r="H632" t="str">
            <v>X</v>
          </cell>
          <cell r="I632" t="str">
            <v>-</v>
          </cell>
          <cell r="J632" t="str">
            <v>-</v>
          </cell>
          <cell r="K632" t="str">
            <v>+</v>
          </cell>
          <cell r="L632" t="str">
            <v>-</v>
          </cell>
          <cell r="M632" t="str">
            <v>X</v>
          </cell>
          <cell r="N632" t="str">
            <v>-</v>
          </cell>
          <cell r="O632" t="str">
            <v>-</v>
          </cell>
        </row>
        <row r="633">
          <cell r="A633">
            <v>63971000</v>
          </cell>
          <cell r="B633" t="str">
            <v>Rundvlees met rode bietjes aardappelpuree 500g VAT (gemalen)</v>
          </cell>
          <cell r="C633" t="str">
            <v>-</v>
          </cell>
          <cell r="D633" t="str">
            <v>+</v>
          </cell>
          <cell r="E633" t="str">
            <v>+</v>
          </cell>
          <cell r="F633" t="str">
            <v>X</v>
          </cell>
          <cell r="G633" t="str">
            <v>+</v>
          </cell>
          <cell r="H633" t="str">
            <v>+</v>
          </cell>
          <cell r="I633" t="str">
            <v>X</v>
          </cell>
          <cell r="J633" t="str">
            <v>-</v>
          </cell>
          <cell r="K633" t="str">
            <v>+</v>
          </cell>
          <cell r="L633" t="str">
            <v>-</v>
          </cell>
          <cell r="M633" t="str">
            <v>X</v>
          </cell>
          <cell r="N633" t="str">
            <v>-</v>
          </cell>
          <cell r="O633" t="str">
            <v>-</v>
          </cell>
        </row>
        <row r="634">
          <cell r="A634">
            <v>63971200</v>
          </cell>
          <cell r="B634" t="str">
            <v>Gehakt met bloemkool en knolselderijpuree 500g DVK (gemalen)</v>
          </cell>
          <cell r="C634" t="str">
            <v>-</v>
          </cell>
          <cell r="D634" t="str">
            <v>+</v>
          </cell>
          <cell r="E634" t="str">
            <v>+</v>
          </cell>
          <cell r="F634" t="str">
            <v>X</v>
          </cell>
          <cell r="G634" t="str">
            <v>+</v>
          </cell>
          <cell r="H634" t="str">
            <v>X</v>
          </cell>
          <cell r="I634" t="str">
            <v>-</v>
          </cell>
          <cell r="J634" t="str">
            <v>-</v>
          </cell>
          <cell r="K634" t="str">
            <v>+</v>
          </cell>
          <cell r="L634" t="str">
            <v>-</v>
          </cell>
          <cell r="M634" t="str">
            <v>X</v>
          </cell>
          <cell r="N634" t="str">
            <v>-</v>
          </cell>
          <cell r="O634" t="str">
            <v>-</v>
          </cell>
        </row>
        <row r="635">
          <cell r="A635">
            <v>63971300</v>
          </cell>
          <cell r="B635" t="str">
            <v>Kip met sperzieboontjes en aardappelpuree 500g DVK (gemalen)</v>
          </cell>
          <cell r="C635" t="str">
            <v>-</v>
          </cell>
          <cell r="D635" t="str">
            <v>+</v>
          </cell>
          <cell r="E635" t="str">
            <v>+</v>
          </cell>
          <cell r="F635" t="str">
            <v>X</v>
          </cell>
          <cell r="G635" t="str">
            <v>+</v>
          </cell>
          <cell r="H635" t="str">
            <v>X</v>
          </cell>
          <cell r="I635" t="str">
            <v>-</v>
          </cell>
          <cell r="J635" t="str">
            <v>-</v>
          </cell>
          <cell r="K635" t="str">
            <v>+</v>
          </cell>
          <cell r="L635" t="str">
            <v>-</v>
          </cell>
          <cell r="M635" t="str">
            <v>X</v>
          </cell>
          <cell r="N635" t="str">
            <v>-</v>
          </cell>
          <cell r="O635" t="str">
            <v>-</v>
          </cell>
        </row>
        <row r="636">
          <cell r="A636">
            <v>63971400</v>
          </cell>
          <cell r="B636" t="str">
            <v>Runderhachée met rode kool aardappelpuree 500g DVK (gemalen)</v>
          </cell>
          <cell r="C636" t="str">
            <v>-</v>
          </cell>
          <cell r="D636" t="str">
            <v>+</v>
          </cell>
          <cell r="E636" t="str">
            <v>+</v>
          </cell>
          <cell r="F636" t="str">
            <v>-</v>
          </cell>
          <cell r="G636" t="str">
            <v>+</v>
          </cell>
          <cell r="H636" t="str">
            <v>-</v>
          </cell>
          <cell r="I636" t="str">
            <v>-</v>
          </cell>
          <cell r="J636" t="str">
            <v>-</v>
          </cell>
          <cell r="K636" t="str">
            <v>+</v>
          </cell>
          <cell r="L636" t="str">
            <v>-</v>
          </cell>
          <cell r="M636" t="str">
            <v>-</v>
          </cell>
          <cell r="N636" t="str">
            <v>-</v>
          </cell>
          <cell r="O636" t="str">
            <v>-</v>
          </cell>
        </row>
        <row r="637">
          <cell r="A637">
            <v>63971500</v>
          </cell>
          <cell r="B637" t="str">
            <v>Rundergehakt witlof aardappelpuree 500g VATMIX</v>
          </cell>
          <cell r="C637" t="str">
            <v>-</v>
          </cell>
          <cell r="D637" t="str">
            <v>+</v>
          </cell>
          <cell r="E637" t="str">
            <v>+</v>
          </cell>
          <cell r="F637" t="str">
            <v>X</v>
          </cell>
          <cell r="G637" t="str">
            <v>+</v>
          </cell>
          <cell r="H637" t="str">
            <v>+</v>
          </cell>
          <cell r="I637" t="str">
            <v>X</v>
          </cell>
          <cell r="J637" t="str">
            <v>-</v>
          </cell>
          <cell r="K637" t="str">
            <v>+</v>
          </cell>
          <cell r="L637" t="str">
            <v>-</v>
          </cell>
          <cell r="M637" t="str">
            <v>X</v>
          </cell>
          <cell r="N637" t="str">
            <v>-</v>
          </cell>
          <cell r="O637" t="str">
            <v>-</v>
          </cell>
        </row>
        <row r="638">
          <cell r="A638">
            <v>63971700</v>
          </cell>
          <cell r="B638" t="str">
            <v>Hollandse andijviestamppot met gehakt en jus 500g VAT MIX</v>
          </cell>
          <cell r="C638" t="str">
            <v>-</v>
          </cell>
          <cell r="D638" t="str">
            <v>X</v>
          </cell>
          <cell r="E638" t="str">
            <v>+</v>
          </cell>
          <cell r="F638" t="str">
            <v>X</v>
          </cell>
          <cell r="G638" t="str">
            <v>+</v>
          </cell>
          <cell r="H638" t="str">
            <v>X</v>
          </cell>
          <cell r="I638" t="str">
            <v>-</v>
          </cell>
          <cell r="J638" t="str">
            <v>-</v>
          </cell>
          <cell r="K638" t="str">
            <v>+</v>
          </cell>
          <cell r="L638" t="str">
            <v>-</v>
          </cell>
          <cell r="M638" t="str">
            <v>X</v>
          </cell>
          <cell r="N638" t="str">
            <v>-</v>
          </cell>
          <cell r="O638" t="str">
            <v>-</v>
          </cell>
        </row>
        <row r="639">
          <cell r="A639">
            <v>63971800</v>
          </cell>
          <cell r="B639" t="str">
            <v>Procureurlapje in jus met spinazie en puree 500g VAT MIX</v>
          </cell>
          <cell r="C639" t="str">
            <v>-</v>
          </cell>
          <cell r="D639" t="str">
            <v>+</v>
          </cell>
          <cell r="E639" t="str">
            <v>+</v>
          </cell>
          <cell r="F639" t="str">
            <v>X</v>
          </cell>
          <cell r="G639" t="str">
            <v>+</v>
          </cell>
          <cell r="H639" t="str">
            <v>X</v>
          </cell>
          <cell r="I639" t="str">
            <v>-</v>
          </cell>
          <cell r="J639" t="str">
            <v>-</v>
          </cell>
          <cell r="K639" t="str">
            <v>+</v>
          </cell>
          <cell r="L639" t="str">
            <v>-</v>
          </cell>
          <cell r="M639" t="str">
            <v>X</v>
          </cell>
          <cell r="N639" t="str">
            <v>-</v>
          </cell>
          <cell r="O639" t="str">
            <v>-</v>
          </cell>
        </row>
        <row r="640">
          <cell r="A640">
            <v>63971900</v>
          </cell>
          <cell r="B640" t="str">
            <v>Kabeljauw MSC saus broccoli en kruidenpuree 500g VAT (mix)</v>
          </cell>
          <cell r="C640" t="str">
            <v>-</v>
          </cell>
          <cell r="D640" t="str">
            <v>+</v>
          </cell>
          <cell r="E640" t="str">
            <v>+</v>
          </cell>
          <cell r="F640" t="str">
            <v>-</v>
          </cell>
          <cell r="G640" t="str">
            <v>+</v>
          </cell>
          <cell r="H640" t="str">
            <v>-</v>
          </cell>
          <cell r="I640" t="str">
            <v>-</v>
          </cell>
          <cell r="J640" t="str">
            <v>X</v>
          </cell>
          <cell r="K640" t="str">
            <v>+</v>
          </cell>
          <cell r="L640" t="str">
            <v>-</v>
          </cell>
          <cell r="M640" t="str">
            <v>X</v>
          </cell>
          <cell r="N640" t="str">
            <v>+</v>
          </cell>
          <cell r="O640" t="str">
            <v>X</v>
          </cell>
        </row>
        <row r="641">
          <cell r="A641">
            <v>63972000</v>
          </cell>
          <cell r="B641" t="str">
            <v>Vis MSC hollandaise rode biet puree 500g VAT MIX</v>
          </cell>
          <cell r="C641" t="str">
            <v>-</v>
          </cell>
          <cell r="D641" t="str">
            <v>+</v>
          </cell>
          <cell r="E641" t="str">
            <v>+</v>
          </cell>
          <cell r="F641" t="str">
            <v>X</v>
          </cell>
          <cell r="G641" t="str">
            <v>+</v>
          </cell>
          <cell r="H641" t="str">
            <v>X</v>
          </cell>
          <cell r="I641" t="str">
            <v>-</v>
          </cell>
          <cell r="J641" t="str">
            <v>X</v>
          </cell>
          <cell r="K641" t="str">
            <v>+</v>
          </cell>
          <cell r="L641" t="str">
            <v>-</v>
          </cell>
          <cell r="M641" t="str">
            <v>X</v>
          </cell>
          <cell r="N641" t="str">
            <v>+</v>
          </cell>
          <cell r="O641" t="str">
            <v>X</v>
          </cell>
        </row>
        <row r="642">
          <cell r="A642">
            <v>63980200</v>
          </cell>
          <cell r="B642" t="str">
            <v>Hutsepot met stukjes rundvlees 500g Na-arm VAT</v>
          </cell>
          <cell r="C642" t="str">
            <v>-</v>
          </cell>
          <cell r="D642" t="str">
            <v>X</v>
          </cell>
          <cell r="E642" t="str">
            <v>+</v>
          </cell>
          <cell r="F642" t="str">
            <v>-</v>
          </cell>
          <cell r="G642" t="str">
            <v>+</v>
          </cell>
          <cell r="H642" t="str">
            <v>X</v>
          </cell>
          <cell r="I642" t="str">
            <v>-</v>
          </cell>
          <cell r="J642" t="str">
            <v>-</v>
          </cell>
          <cell r="K642" t="str">
            <v>+</v>
          </cell>
          <cell r="L642" t="str">
            <v>-</v>
          </cell>
          <cell r="M642" t="str">
            <v>X</v>
          </cell>
          <cell r="N642" t="str">
            <v>-</v>
          </cell>
          <cell r="O642" t="str">
            <v>-</v>
          </cell>
        </row>
        <row r="643">
          <cell r="A643">
            <v>63980300</v>
          </cell>
          <cell r="B643" t="str">
            <v>Boerenkool met kalfsgehaktbal 500g Na-arm DVK</v>
          </cell>
          <cell r="C643" t="str">
            <v>X</v>
          </cell>
          <cell r="D643" t="str">
            <v>X</v>
          </cell>
          <cell r="E643" t="str">
            <v>+</v>
          </cell>
          <cell r="F643" t="str">
            <v>X</v>
          </cell>
          <cell r="G643" t="str">
            <v>+</v>
          </cell>
          <cell r="H643" t="str">
            <v>X</v>
          </cell>
          <cell r="I643" t="str">
            <v>X</v>
          </cell>
          <cell r="J643" t="str">
            <v>X</v>
          </cell>
          <cell r="K643" t="str">
            <v>+</v>
          </cell>
          <cell r="L643" t="str">
            <v>X</v>
          </cell>
          <cell r="M643" t="str">
            <v>X</v>
          </cell>
          <cell r="N643" t="str">
            <v>X</v>
          </cell>
          <cell r="O643" t="str">
            <v>X</v>
          </cell>
        </row>
        <row r="644">
          <cell r="A644">
            <v>63980400</v>
          </cell>
          <cell r="B644" t="str">
            <v>Rundergehakt witloof gekookte aardappelen 500g Na-arm DVK</v>
          </cell>
          <cell r="C644" t="str">
            <v>-</v>
          </cell>
          <cell r="D644" t="str">
            <v>+</v>
          </cell>
          <cell r="E644" t="str">
            <v>+</v>
          </cell>
          <cell r="F644" t="str">
            <v>X</v>
          </cell>
          <cell r="G644" t="str">
            <v>+</v>
          </cell>
          <cell r="H644" t="str">
            <v>X</v>
          </cell>
          <cell r="I644" t="str">
            <v>-</v>
          </cell>
          <cell r="J644" t="str">
            <v>-</v>
          </cell>
          <cell r="K644" t="str">
            <v>+</v>
          </cell>
          <cell r="L644" t="str">
            <v>-</v>
          </cell>
          <cell r="M644" t="str">
            <v>X</v>
          </cell>
          <cell r="N644" t="str">
            <v>-</v>
          </cell>
          <cell r="O644" t="str">
            <v>-</v>
          </cell>
        </row>
        <row r="645">
          <cell r="A645">
            <v>63980600</v>
          </cell>
          <cell r="B645" t="str">
            <v>Gehaktbal met prei gekookte aardappelen 500g Na-arm DVK</v>
          </cell>
          <cell r="C645" t="str">
            <v>X</v>
          </cell>
          <cell r="D645" t="str">
            <v>X</v>
          </cell>
          <cell r="E645" t="str">
            <v>+</v>
          </cell>
          <cell r="F645" t="str">
            <v>X</v>
          </cell>
          <cell r="G645" t="str">
            <v>+</v>
          </cell>
          <cell r="H645" t="str">
            <v>X</v>
          </cell>
          <cell r="I645" t="str">
            <v>X</v>
          </cell>
          <cell r="J645" t="str">
            <v>X</v>
          </cell>
          <cell r="K645" t="str">
            <v>+</v>
          </cell>
          <cell r="L645" t="str">
            <v>X</v>
          </cell>
          <cell r="M645" t="str">
            <v>X</v>
          </cell>
          <cell r="N645" t="str">
            <v>X</v>
          </cell>
          <cell r="O645" t="str">
            <v>X</v>
          </cell>
        </row>
        <row r="646">
          <cell r="A646">
            <v>63980700</v>
          </cell>
          <cell r="B646" t="str">
            <v>Rundstoofvlees bloemkool gekookte aardappel 500g Na-arm DVK</v>
          </cell>
          <cell r="C646" t="str">
            <v>-</v>
          </cell>
          <cell r="D646" t="str">
            <v>-</v>
          </cell>
          <cell r="E646" t="str">
            <v>+</v>
          </cell>
          <cell r="F646" t="str">
            <v>-</v>
          </cell>
          <cell r="G646" t="str">
            <v>+</v>
          </cell>
          <cell r="H646" t="str">
            <v>-</v>
          </cell>
          <cell r="I646" t="str">
            <v>-</v>
          </cell>
          <cell r="J646" t="str">
            <v>-</v>
          </cell>
          <cell r="K646" t="str">
            <v>+</v>
          </cell>
          <cell r="L646" t="str">
            <v>-</v>
          </cell>
          <cell r="M646" t="str">
            <v>-</v>
          </cell>
          <cell r="N646" t="str">
            <v>-</v>
          </cell>
          <cell r="O646" t="str">
            <v>-</v>
          </cell>
        </row>
        <row r="647">
          <cell r="A647">
            <v>63981000</v>
          </cell>
          <cell r="B647" t="str">
            <v>Rundvlees spruitjes gekookte aardappel 500g Na-arm DVK</v>
          </cell>
          <cell r="C647" t="str">
            <v>-</v>
          </cell>
          <cell r="D647" t="str">
            <v>-</v>
          </cell>
          <cell r="E647" t="str">
            <v>+</v>
          </cell>
          <cell r="F647" t="str">
            <v>X</v>
          </cell>
          <cell r="G647" t="str">
            <v>-</v>
          </cell>
          <cell r="H647" t="str">
            <v>X</v>
          </cell>
          <cell r="I647" t="str">
            <v>-</v>
          </cell>
          <cell r="J647" t="str">
            <v>-</v>
          </cell>
          <cell r="K647" t="str">
            <v>+</v>
          </cell>
          <cell r="L647" t="str">
            <v>-</v>
          </cell>
          <cell r="M647" t="str">
            <v>X</v>
          </cell>
          <cell r="N647" t="str">
            <v>-</v>
          </cell>
          <cell r="O647" t="str">
            <v>-</v>
          </cell>
        </row>
        <row r="648">
          <cell r="A648">
            <v>63981100</v>
          </cell>
          <cell r="B648" t="str">
            <v>Jachtschotel rode kool puree 500g Na-arm DVK</v>
          </cell>
          <cell r="C648" t="str">
            <v>-</v>
          </cell>
          <cell r="D648" t="str">
            <v>-</v>
          </cell>
          <cell r="E648" t="str">
            <v>+</v>
          </cell>
          <cell r="F648" t="str">
            <v>-</v>
          </cell>
          <cell r="G648" t="str">
            <v>+</v>
          </cell>
          <cell r="H648" t="str">
            <v>-</v>
          </cell>
          <cell r="I648" t="str">
            <v>-</v>
          </cell>
          <cell r="J648" t="str">
            <v>-</v>
          </cell>
          <cell r="K648" t="str">
            <v>+</v>
          </cell>
          <cell r="L648" t="str">
            <v>-</v>
          </cell>
          <cell r="M648" t="str">
            <v>-</v>
          </cell>
          <cell r="N648" t="str">
            <v>-</v>
          </cell>
          <cell r="O648" t="str">
            <v>-</v>
          </cell>
        </row>
        <row r="649">
          <cell r="A649">
            <v>63982200</v>
          </cell>
          <cell r="B649" t="str">
            <v>Kip uiensaus appelmoes gebak aardappelen 500g Na-arm</v>
          </cell>
          <cell r="C649" t="str">
            <v>-</v>
          </cell>
          <cell r="D649" t="str">
            <v>-</v>
          </cell>
          <cell r="E649" t="str">
            <v>+</v>
          </cell>
          <cell r="F649" t="str">
            <v>-</v>
          </cell>
          <cell r="G649" t="str">
            <v>-</v>
          </cell>
          <cell r="H649" t="str">
            <v>-</v>
          </cell>
          <cell r="I649" t="str">
            <v>-</v>
          </cell>
          <cell r="J649" t="str">
            <v>-</v>
          </cell>
          <cell r="K649" t="str">
            <v>+</v>
          </cell>
          <cell r="L649" t="str">
            <v>-</v>
          </cell>
          <cell r="M649" t="str">
            <v>-</v>
          </cell>
          <cell r="N649" t="str">
            <v>-</v>
          </cell>
          <cell r="O649" t="str">
            <v>-</v>
          </cell>
        </row>
        <row r="650">
          <cell r="A650">
            <v>63982300</v>
          </cell>
          <cell r="B650" t="str">
            <v>Kip oma's recept sperziebonen puree tomaat 500g DVK Na-arm</v>
          </cell>
          <cell r="C650" t="str">
            <v>-</v>
          </cell>
          <cell r="D650" t="str">
            <v>-</v>
          </cell>
          <cell r="E650" t="str">
            <v>-</v>
          </cell>
          <cell r="F650" t="str">
            <v>-</v>
          </cell>
          <cell r="G650" t="str">
            <v>+</v>
          </cell>
          <cell r="H650" t="str">
            <v>-</v>
          </cell>
          <cell r="I650" t="str">
            <v>-</v>
          </cell>
          <cell r="J650" t="str">
            <v>-</v>
          </cell>
          <cell r="K650" t="str">
            <v>+</v>
          </cell>
          <cell r="L650" t="str">
            <v>-</v>
          </cell>
          <cell r="M650" t="str">
            <v>-</v>
          </cell>
          <cell r="N650" t="str">
            <v>-</v>
          </cell>
          <cell r="O650" t="str">
            <v>-</v>
          </cell>
        </row>
        <row r="651">
          <cell r="A651">
            <v>63982600</v>
          </cell>
          <cell r="B651" t="str">
            <v>Zalmfilet ASC in vissaus erwt spinazie puree 500g Na-arm DVK</v>
          </cell>
          <cell r="C651" t="str">
            <v>-</v>
          </cell>
          <cell r="D651" t="str">
            <v>-</v>
          </cell>
          <cell r="E651" t="str">
            <v>+</v>
          </cell>
          <cell r="F651" t="str">
            <v>X</v>
          </cell>
          <cell r="G651" t="str">
            <v>+</v>
          </cell>
          <cell r="H651" t="str">
            <v>X</v>
          </cell>
          <cell r="I651" t="str">
            <v>-</v>
          </cell>
          <cell r="J651" t="str">
            <v>-</v>
          </cell>
          <cell r="K651" t="str">
            <v>+</v>
          </cell>
          <cell r="L651" t="str">
            <v>-</v>
          </cell>
          <cell r="M651" t="str">
            <v>X</v>
          </cell>
          <cell r="N651" t="str">
            <v>+</v>
          </cell>
          <cell r="O651" t="str">
            <v>-</v>
          </cell>
        </row>
        <row r="652">
          <cell r="A652">
            <v>63982700</v>
          </cell>
          <cell r="B652" t="str">
            <v>Alaska pollak MSC waterkers wortelen en kriel 500g NA VAT</v>
          </cell>
          <cell r="C652" t="str">
            <v>-</v>
          </cell>
          <cell r="D652" t="str">
            <v>-</v>
          </cell>
          <cell r="E652" t="str">
            <v>+</v>
          </cell>
          <cell r="F652" t="str">
            <v>-</v>
          </cell>
          <cell r="G652" t="str">
            <v>+</v>
          </cell>
          <cell r="H652" t="str">
            <v>-</v>
          </cell>
          <cell r="I652" t="str">
            <v>-</v>
          </cell>
          <cell r="J652" t="str">
            <v>-</v>
          </cell>
          <cell r="K652" t="str">
            <v>+</v>
          </cell>
          <cell r="L652" t="str">
            <v>-</v>
          </cell>
          <cell r="M652" t="str">
            <v>-</v>
          </cell>
          <cell r="N652" t="str">
            <v>+</v>
          </cell>
          <cell r="O652" t="str">
            <v>-</v>
          </cell>
        </row>
        <row r="653">
          <cell r="A653">
            <v>63990300</v>
          </cell>
          <cell r="B653" t="str">
            <v>Bloemkoolsoep 300ml VAT</v>
          </cell>
          <cell r="C653" t="str">
            <v>-</v>
          </cell>
          <cell r="D653" t="str">
            <v>X</v>
          </cell>
          <cell r="E653" t="str">
            <v>-</v>
          </cell>
          <cell r="F653" t="str">
            <v>-</v>
          </cell>
          <cell r="G653" t="str">
            <v>+</v>
          </cell>
          <cell r="H653" t="str">
            <v>-</v>
          </cell>
          <cell r="I653" t="str">
            <v>-</v>
          </cell>
          <cell r="J653" t="str">
            <v>-</v>
          </cell>
          <cell r="K653" t="str">
            <v>+</v>
          </cell>
          <cell r="L653" t="str">
            <v>-</v>
          </cell>
          <cell r="M653" t="str">
            <v>-</v>
          </cell>
          <cell r="N653" t="str">
            <v>-</v>
          </cell>
          <cell r="O653" t="str">
            <v>-</v>
          </cell>
        </row>
        <row r="654">
          <cell r="A654">
            <v>63990400</v>
          </cell>
          <cell r="B654" t="str">
            <v>Kervelsoep 300ml VAT</v>
          </cell>
          <cell r="C654" t="str">
            <v>-</v>
          </cell>
          <cell r="D654" t="str">
            <v>X</v>
          </cell>
          <cell r="E654" t="str">
            <v>-</v>
          </cell>
          <cell r="F654" t="str">
            <v>-</v>
          </cell>
          <cell r="G654" t="str">
            <v>+</v>
          </cell>
          <cell r="H654" t="str">
            <v>-</v>
          </cell>
          <cell r="I654" t="str">
            <v>-</v>
          </cell>
          <cell r="J654" t="str">
            <v>-</v>
          </cell>
          <cell r="K654" t="str">
            <v>+</v>
          </cell>
          <cell r="L654" t="str">
            <v>-</v>
          </cell>
          <cell r="M654" t="str">
            <v>-</v>
          </cell>
          <cell r="N654" t="str">
            <v>-</v>
          </cell>
          <cell r="O654" t="str">
            <v>-</v>
          </cell>
        </row>
        <row r="655">
          <cell r="A655">
            <v>63990500</v>
          </cell>
          <cell r="B655" t="str">
            <v>Tomatenvelouté met balletjes 300ml VAT</v>
          </cell>
          <cell r="C655" t="str">
            <v>-</v>
          </cell>
          <cell r="D655" t="str">
            <v>X</v>
          </cell>
          <cell r="E655" t="str">
            <v>+</v>
          </cell>
          <cell r="F655" t="str">
            <v>X</v>
          </cell>
          <cell r="G655" t="str">
            <v>+</v>
          </cell>
          <cell r="H655" t="str">
            <v>X</v>
          </cell>
          <cell r="I655" t="str">
            <v>-</v>
          </cell>
          <cell r="J655" t="str">
            <v>X</v>
          </cell>
          <cell r="K655" t="str">
            <v>+</v>
          </cell>
          <cell r="L655" t="str">
            <v>-</v>
          </cell>
          <cell r="M655" t="str">
            <v>X</v>
          </cell>
          <cell r="N655" t="str">
            <v>X</v>
          </cell>
          <cell r="O655" t="str">
            <v>X</v>
          </cell>
        </row>
        <row r="656">
          <cell r="A656">
            <v>63990600</v>
          </cell>
          <cell r="B656" t="str">
            <v>Champignonroomsoep 300ml VAT</v>
          </cell>
          <cell r="C656" t="str">
            <v>-</v>
          </cell>
          <cell r="D656" t="str">
            <v>X</v>
          </cell>
          <cell r="E656" t="str">
            <v>+</v>
          </cell>
          <cell r="F656" t="str">
            <v>X</v>
          </cell>
          <cell r="G656" t="str">
            <v>+</v>
          </cell>
          <cell r="H656" t="str">
            <v>X</v>
          </cell>
          <cell r="I656" t="str">
            <v>-</v>
          </cell>
          <cell r="J656" t="str">
            <v>-</v>
          </cell>
          <cell r="K656" t="str">
            <v>+</v>
          </cell>
          <cell r="L656" t="str">
            <v>-</v>
          </cell>
          <cell r="M656" t="str">
            <v>X</v>
          </cell>
          <cell r="N656" t="str">
            <v>-</v>
          </cell>
          <cell r="O656" t="str">
            <v>-</v>
          </cell>
        </row>
        <row r="657">
          <cell r="A657">
            <v>63990700</v>
          </cell>
          <cell r="B657" t="str">
            <v>Groentensoep met balletjes 300ml VAT</v>
          </cell>
          <cell r="C657" t="str">
            <v>-</v>
          </cell>
          <cell r="D657" t="str">
            <v>X</v>
          </cell>
          <cell r="E657" t="str">
            <v>X</v>
          </cell>
          <cell r="F657" t="str">
            <v>-</v>
          </cell>
          <cell r="G657" t="str">
            <v>X</v>
          </cell>
          <cell r="H657" t="str">
            <v>X</v>
          </cell>
          <cell r="I657" t="str">
            <v>-</v>
          </cell>
          <cell r="J657" t="str">
            <v>X</v>
          </cell>
          <cell r="K657" t="str">
            <v>+</v>
          </cell>
          <cell r="L657" t="str">
            <v>-</v>
          </cell>
          <cell r="M657" t="str">
            <v>X</v>
          </cell>
          <cell r="N657" t="str">
            <v>X</v>
          </cell>
          <cell r="O657" t="str">
            <v>X</v>
          </cell>
        </row>
        <row r="658">
          <cell r="A658">
            <v>63990800</v>
          </cell>
          <cell r="B658" t="str">
            <v>Kippensoep met stukjes kip 300ml VAT</v>
          </cell>
          <cell r="C658" t="str">
            <v>-</v>
          </cell>
          <cell r="D658" t="str">
            <v>X</v>
          </cell>
          <cell r="E658" t="str">
            <v>+</v>
          </cell>
          <cell r="F658" t="str">
            <v>X</v>
          </cell>
          <cell r="G658" t="str">
            <v>+</v>
          </cell>
          <cell r="H658" t="str">
            <v>X</v>
          </cell>
          <cell r="I658" t="str">
            <v>-</v>
          </cell>
          <cell r="J658" t="str">
            <v>-</v>
          </cell>
          <cell r="K658" t="str">
            <v>+</v>
          </cell>
          <cell r="L658" t="str">
            <v>-</v>
          </cell>
          <cell r="M658" t="str">
            <v>X</v>
          </cell>
          <cell r="N658" t="str">
            <v>-</v>
          </cell>
          <cell r="O658" t="str">
            <v>-</v>
          </cell>
        </row>
        <row r="659">
          <cell r="A659">
            <v>63991000</v>
          </cell>
          <cell r="B659" t="str">
            <v>Pompoensoep 300g VAT</v>
          </cell>
          <cell r="C659" t="str">
            <v>-</v>
          </cell>
          <cell r="D659" t="str">
            <v>-</v>
          </cell>
          <cell r="E659" t="str">
            <v>X</v>
          </cell>
          <cell r="F659" t="str">
            <v>-</v>
          </cell>
          <cell r="G659" t="str">
            <v>+</v>
          </cell>
          <cell r="H659" t="str">
            <v>X</v>
          </cell>
          <cell r="I659" t="str">
            <v>-</v>
          </cell>
          <cell r="J659" t="str">
            <v>-</v>
          </cell>
          <cell r="K659" t="str">
            <v>+</v>
          </cell>
          <cell r="L659" t="str">
            <v>-</v>
          </cell>
          <cell r="M659" t="str">
            <v>-</v>
          </cell>
          <cell r="N659" t="str">
            <v>-</v>
          </cell>
          <cell r="O659" t="str">
            <v>-</v>
          </cell>
        </row>
        <row r="660">
          <cell r="A660">
            <v>63991100</v>
          </cell>
          <cell r="B660" t="str">
            <v>Mosterdsoep 300g VAT</v>
          </cell>
          <cell r="C660" t="str">
            <v>-</v>
          </cell>
          <cell r="D660" t="str">
            <v>-</v>
          </cell>
          <cell r="E660" t="str">
            <v>X</v>
          </cell>
          <cell r="F660" t="str">
            <v>-</v>
          </cell>
          <cell r="G660" t="str">
            <v>+</v>
          </cell>
          <cell r="H660" t="str">
            <v>+</v>
          </cell>
          <cell r="I660" t="str">
            <v>-</v>
          </cell>
          <cell r="J660" t="str">
            <v>-</v>
          </cell>
          <cell r="K660" t="str">
            <v>+</v>
          </cell>
          <cell r="L660" t="str">
            <v>-</v>
          </cell>
          <cell r="M660" t="str">
            <v>-</v>
          </cell>
          <cell r="N660" t="str">
            <v>-</v>
          </cell>
          <cell r="O660" t="str">
            <v>-</v>
          </cell>
        </row>
        <row r="661">
          <cell r="A661">
            <v>63991200</v>
          </cell>
          <cell r="B661" t="str">
            <v>Ajuinsoep franse wijze 300g VAT</v>
          </cell>
          <cell r="C661" t="str">
            <v>-</v>
          </cell>
          <cell r="D661" t="str">
            <v>X</v>
          </cell>
          <cell r="E661" t="str">
            <v>-</v>
          </cell>
          <cell r="F661" t="str">
            <v>-</v>
          </cell>
          <cell r="G661" t="str">
            <v>-</v>
          </cell>
          <cell r="H661" t="str">
            <v>-</v>
          </cell>
          <cell r="I661" t="str">
            <v>-</v>
          </cell>
          <cell r="J661" t="str">
            <v>-</v>
          </cell>
          <cell r="K661" t="str">
            <v>+</v>
          </cell>
          <cell r="L661" t="str">
            <v>-</v>
          </cell>
          <cell r="M661" t="str">
            <v>-</v>
          </cell>
          <cell r="N661" t="str">
            <v>-</v>
          </cell>
          <cell r="O661" t="str">
            <v>-</v>
          </cell>
        </row>
        <row r="662">
          <cell r="A662">
            <v>64000400</v>
          </cell>
          <cell r="B662" t="str">
            <v>Kervelsoep 300ml DVK</v>
          </cell>
          <cell r="C662" t="str">
            <v>-</v>
          </cell>
          <cell r="D662" t="str">
            <v>X</v>
          </cell>
          <cell r="E662" t="str">
            <v>-</v>
          </cell>
          <cell r="F662" t="str">
            <v>-</v>
          </cell>
          <cell r="G662" t="str">
            <v>+</v>
          </cell>
          <cell r="H662" t="str">
            <v>-</v>
          </cell>
          <cell r="I662" t="str">
            <v>-</v>
          </cell>
          <cell r="J662" t="str">
            <v>-</v>
          </cell>
          <cell r="K662" t="str">
            <v>+</v>
          </cell>
          <cell r="L662" t="str">
            <v>-</v>
          </cell>
          <cell r="M662" t="str">
            <v>-</v>
          </cell>
          <cell r="N662" t="str">
            <v>-</v>
          </cell>
          <cell r="O662" t="str">
            <v>-</v>
          </cell>
        </row>
        <row r="663">
          <cell r="A663">
            <v>64000500</v>
          </cell>
          <cell r="B663" t="str">
            <v>Tomatenvelouté met balletjes 300ml DVK</v>
          </cell>
          <cell r="C663" t="str">
            <v>-</v>
          </cell>
          <cell r="D663" t="str">
            <v>X</v>
          </cell>
          <cell r="E663" t="str">
            <v>+</v>
          </cell>
          <cell r="F663" t="str">
            <v>X</v>
          </cell>
          <cell r="G663" t="str">
            <v>+</v>
          </cell>
          <cell r="H663" t="str">
            <v>X</v>
          </cell>
          <cell r="I663" t="str">
            <v>-</v>
          </cell>
          <cell r="J663" t="str">
            <v>X</v>
          </cell>
          <cell r="K663" t="str">
            <v>+</v>
          </cell>
          <cell r="L663" t="str">
            <v>-</v>
          </cell>
          <cell r="M663" t="str">
            <v>X</v>
          </cell>
          <cell r="N663" t="str">
            <v>X</v>
          </cell>
          <cell r="O663" t="str">
            <v>X</v>
          </cell>
        </row>
        <row r="664">
          <cell r="A664">
            <v>64000600</v>
          </cell>
          <cell r="B664" t="str">
            <v>Champignonroomsoep 300ml DVK</v>
          </cell>
          <cell r="C664" t="str">
            <v>-</v>
          </cell>
          <cell r="D664" t="str">
            <v>X</v>
          </cell>
          <cell r="E664" t="str">
            <v>+</v>
          </cell>
          <cell r="F664" t="str">
            <v>X</v>
          </cell>
          <cell r="G664" t="str">
            <v>+</v>
          </cell>
          <cell r="H664" t="str">
            <v>X</v>
          </cell>
          <cell r="I664" t="str">
            <v>-</v>
          </cell>
          <cell r="J664" t="str">
            <v>-</v>
          </cell>
          <cell r="K664" t="str">
            <v>+</v>
          </cell>
          <cell r="L664" t="str">
            <v>-</v>
          </cell>
          <cell r="M664" t="str">
            <v>X</v>
          </cell>
          <cell r="N664" t="str">
            <v>-</v>
          </cell>
          <cell r="O664" t="str">
            <v>-</v>
          </cell>
        </row>
        <row r="665">
          <cell r="A665">
            <v>64000700</v>
          </cell>
          <cell r="B665" t="str">
            <v>Groentensoep met balletjes 300ml DVK</v>
          </cell>
          <cell r="C665" t="str">
            <v>-</v>
          </cell>
          <cell r="D665" t="str">
            <v>X</v>
          </cell>
          <cell r="E665" t="str">
            <v>X</v>
          </cell>
          <cell r="F665" t="str">
            <v>-</v>
          </cell>
          <cell r="G665" t="str">
            <v>X</v>
          </cell>
          <cell r="H665" t="str">
            <v>X</v>
          </cell>
          <cell r="I665" t="str">
            <v>-</v>
          </cell>
          <cell r="J665" t="str">
            <v>X</v>
          </cell>
          <cell r="K665" t="str">
            <v>+</v>
          </cell>
          <cell r="L665" t="str">
            <v>-</v>
          </cell>
          <cell r="M665" t="str">
            <v>X</v>
          </cell>
          <cell r="N665" t="str">
            <v>X</v>
          </cell>
          <cell r="O665" t="str">
            <v>X</v>
          </cell>
        </row>
        <row r="666">
          <cell r="A666">
            <v>64000800</v>
          </cell>
          <cell r="B666" t="str">
            <v>Kippensoep met stukjes kip 300ml DVK</v>
          </cell>
          <cell r="C666" t="str">
            <v>-</v>
          </cell>
          <cell r="D666" t="str">
            <v>X</v>
          </cell>
          <cell r="E666" t="str">
            <v>+</v>
          </cell>
          <cell r="F666" t="str">
            <v>X</v>
          </cell>
          <cell r="G666" t="str">
            <v>+</v>
          </cell>
          <cell r="H666" t="str">
            <v>X</v>
          </cell>
          <cell r="I666" t="str">
            <v>-</v>
          </cell>
          <cell r="J666" t="str">
            <v>-</v>
          </cell>
          <cell r="K666" t="str">
            <v>+</v>
          </cell>
          <cell r="L666" t="str">
            <v>-</v>
          </cell>
          <cell r="M666" t="str">
            <v>X</v>
          </cell>
          <cell r="N666" t="str">
            <v>-</v>
          </cell>
          <cell r="O666" t="str">
            <v>-</v>
          </cell>
        </row>
        <row r="667">
          <cell r="A667">
            <v>64000900</v>
          </cell>
          <cell r="B667" t="str">
            <v>Aspergesoep 300g DVK</v>
          </cell>
          <cell r="C667" t="str">
            <v>-</v>
          </cell>
          <cell r="D667" t="str">
            <v>-</v>
          </cell>
          <cell r="E667" t="str">
            <v>+</v>
          </cell>
          <cell r="F667" t="str">
            <v>X</v>
          </cell>
          <cell r="G667" t="str">
            <v>+</v>
          </cell>
          <cell r="H667" t="str">
            <v>X</v>
          </cell>
          <cell r="I667" t="str">
            <v>-</v>
          </cell>
          <cell r="J667" t="str">
            <v>-</v>
          </cell>
          <cell r="K667" t="str">
            <v>+</v>
          </cell>
          <cell r="L667" t="str">
            <v>-</v>
          </cell>
          <cell r="M667" t="str">
            <v>X</v>
          </cell>
          <cell r="N667" t="str">
            <v>-</v>
          </cell>
          <cell r="O667" t="str">
            <v>-</v>
          </cell>
        </row>
        <row r="668">
          <cell r="A668">
            <v>64001000</v>
          </cell>
          <cell r="B668" t="str">
            <v>Pompoensoep 300g DVK</v>
          </cell>
          <cell r="C668" t="str">
            <v>-</v>
          </cell>
          <cell r="D668" t="str">
            <v>-</v>
          </cell>
          <cell r="E668" t="str">
            <v>X</v>
          </cell>
          <cell r="F668" t="str">
            <v>-</v>
          </cell>
          <cell r="G668" t="str">
            <v>+</v>
          </cell>
          <cell r="H668" t="str">
            <v>X</v>
          </cell>
          <cell r="I668" t="str">
            <v>-</v>
          </cell>
          <cell r="J668" t="str">
            <v>-</v>
          </cell>
          <cell r="K668" t="str">
            <v>+</v>
          </cell>
          <cell r="L668" t="str">
            <v>-</v>
          </cell>
          <cell r="M668" t="str">
            <v>-</v>
          </cell>
          <cell r="N668" t="str">
            <v>-</v>
          </cell>
          <cell r="O668" t="str">
            <v>-</v>
          </cell>
        </row>
        <row r="669">
          <cell r="A669">
            <v>64020100</v>
          </cell>
          <cell r="B669" t="str">
            <v>Lasagne bolognaise 375g VAT</v>
          </cell>
          <cell r="C669" t="str">
            <v>-</v>
          </cell>
          <cell r="D669" t="str">
            <v>+</v>
          </cell>
          <cell r="E669" t="str">
            <v>+</v>
          </cell>
          <cell r="F669" t="str">
            <v>X</v>
          </cell>
          <cell r="G669" t="str">
            <v>+</v>
          </cell>
          <cell r="H669" t="str">
            <v>X</v>
          </cell>
          <cell r="I669" t="str">
            <v>-</v>
          </cell>
          <cell r="J669" t="str">
            <v>-</v>
          </cell>
          <cell r="K669" t="str">
            <v>+</v>
          </cell>
          <cell r="L669" t="str">
            <v>-</v>
          </cell>
          <cell r="M669" t="str">
            <v>X</v>
          </cell>
          <cell r="N669" t="str">
            <v>-</v>
          </cell>
          <cell r="O669" t="str">
            <v>X</v>
          </cell>
        </row>
        <row r="670">
          <cell r="A670">
            <v>64210000</v>
          </cell>
          <cell r="B670" t="str">
            <v>Lasagne bolognaise rund 500g COOP CH</v>
          </cell>
          <cell r="C670" t="str">
            <v>-</v>
          </cell>
          <cell r="D670" t="str">
            <v>+</v>
          </cell>
          <cell r="E670" t="str">
            <v>+</v>
          </cell>
          <cell r="F670" t="str">
            <v>X</v>
          </cell>
          <cell r="G670" t="str">
            <v>+</v>
          </cell>
          <cell r="H670" t="str">
            <v>X</v>
          </cell>
          <cell r="I670" t="str">
            <v>-</v>
          </cell>
          <cell r="J670" t="str">
            <v>-</v>
          </cell>
          <cell r="K670" t="str">
            <v>+</v>
          </cell>
          <cell r="L670" t="str">
            <v>-</v>
          </cell>
          <cell r="M670" t="str">
            <v>X</v>
          </cell>
          <cell r="N670" t="str">
            <v>-</v>
          </cell>
          <cell r="O670" t="str">
            <v>X</v>
          </cell>
        </row>
        <row r="671">
          <cell r="A671">
            <v>64210200</v>
          </cell>
          <cell r="B671" t="str">
            <v>Vegan Lasagne 500g COOP CH</v>
          </cell>
          <cell r="C671" t="str">
            <v>-</v>
          </cell>
          <cell r="D671" t="str">
            <v>X</v>
          </cell>
          <cell r="E671" t="str">
            <v>+</v>
          </cell>
          <cell r="F671" t="str">
            <v>-</v>
          </cell>
          <cell r="G671" t="str">
            <v>X</v>
          </cell>
          <cell r="H671" t="str">
            <v>X</v>
          </cell>
          <cell r="I671" t="str">
            <v>-</v>
          </cell>
          <cell r="J671" t="str">
            <v>X</v>
          </cell>
          <cell r="K671" t="str">
            <v>+</v>
          </cell>
          <cell r="L671" t="str">
            <v>-</v>
          </cell>
          <cell r="M671" t="str">
            <v>+</v>
          </cell>
          <cell r="N671" t="str">
            <v>X</v>
          </cell>
          <cell r="O671" t="str">
            <v>-</v>
          </cell>
        </row>
        <row r="672">
          <cell r="A672">
            <v>64220000</v>
          </cell>
          <cell r="B672" t="str">
            <v>Varkensmedaillon champignonsaus spirelli brocc 320g BOF FR</v>
          </cell>
          <cell r="C672" t="str">
            <v>-</v>
          </cell>
          <cell r="D672" t="str">
            <v>X</v>
          </cell>
          <cell r="E672" t="str">
            <v>+</v>
          </cell>
          <cell r="F672" t="str">
            <v>X</v>
          </cell>
          <cell r="G672" t="str">
            <v>+</v>
          </cell>
          <cell r="H672" t="str">
            <v>X</v>
          </cell>
          <cell r="I672" t="str">
            <v>-</v>
          </cell>
          <cell r="J672" t="str">
            <v>-</v>
          </cell>
          <cell r="K672" t="str">
            <v>-</v>
          </cell>
          <cell r="L672" t="str">
            <v>-</v>
          </cell>
          <cell r="M672" t="str">
            <v>X</v>
          </cell>
          <cell r="N672" t="str">
            <v>-</v>
          </cell>
          <cell r="O672" t="str">
            <v>-</v>
          </cell>
        </row>
        <row r="673">
          <cell r="A673">
            <v>64220100</v>
          </cell>
          <cell r="B673" t="str">
            <v>Kip Satay (pinda) basmati 320g BOF FR</v>
          </cell>
          <cell r="C673" t="str">
            <v>+</v>
          </cell>
          <cell r="D673" t="str">
            <v>-</v>
          </cell>
          <cell r="E673" t="str">
            <v>-</v>
          </cell>
          <cell r="F673" t="str">
            <v>-</v>
          </cell>
          <cell r="G673" t="str">
            <v>-</v>
          </cell>
          <cell r="H673" t="str">
            <v>-</v>
          </cell>
          <cell r="I673" t="str">
            <v>-</v>
          </cell>
          <cell r="J673" t="str">
            <v>-</v>
          </cell>
          <cell r="K673" t="str">
            <v>X</v>
          </cell>
          <cell r="L673" t="str">
            <v>-</v>
          </cell>
          <cell r="M673" t="str">
            <v>+</v>
          </cell>
          <cell r="N673" t="str">
            <v>-</v>
          </cell>
          <cell r="O673" t="str">
            <v>-</v>
          </cell>
        </row>
        <row r="674">
          <cell r="A674">
            <v>64220200</v>
          </cell>
          <cell r="B674" t="str">
            <v>Couscous kikkererwten groentenmix 320g BOF FR</v>
          </cell>
          <cell r="C674" t="str">
            <v>-</v>
          </cell>
          <cell r="D674" t="str">
            <v>-</v>
          </cell>
          <cell r="E674" t="str">
            <v>+</v>
          </cell>
          <cell r="F674" t="str">
            <v>X</v>
          </cell>
          <cell r="G674" t="str">
            <v>X</v>
          </cell>
          <cell r="H674" t="str">
            <v>X</v>
          </cell>
          <cell r="I674" t="str">
            <v>-</v>
          </cell>
          <cell r="J674" t="str">
            <v>-</v>
          </cell>
          <cell r="K674" t="str">
            <v>+</v>
          </cell>
          <cell r="L674" t="str">
            <v>-</v>
          </cell>
          <cell r="M674" t="str">
            <v>X</v>
          </cell>
          <cell r="N674" t="str">
            <v>-</v>
          </cell>
          <cell r="O674" t="str">
            <v>-</v>
          </cell>
        </row>
        <row r="675">
          <cell r="A675">
            <v>64220400</v>
          </cell>
          <cell r="B675" t="str">
            <v>Kip rode wijn tagliatelle 320g BOF Fr - kip EU</v>
          </cell>
          <cell r="C675" t="str">
            <v>-</v>
          </cell>
          <cell r="D675" t="str">
            <v>+</v>
          </cell>
          <cell r="E675" t="str">
            <v>+</v>
          </cell>
          <cell r="F675" t="str">
            <v>X</v>
          </cell>
          <cell r="G675" t="str">
            <v>-</v>
          </cell>
          <cell r="H675" t="str">
            <v>X</v>
          </cell>
          <cell r="I675" t="str">
            <v>-</v>
          </cell>
          <cell r="J675" t="str">
            <v>-</v>
          </cell>
          <cell r="K675" t="str">
            <v>-</v>
          </cell>
          <cell r="L675" t="str">
            <v>-</v>
          </cell>
          <cell r="M675" t="str">
            <v>X</v>
          </cell>
          <cell r="N675" t="str">
            <v>-</v>
          </cell>
          <cell r="O675" t="str">
            <v>-</v>
          </cell>
        </row>
        <row r="676">
          <cell r="A676">
            <v>64220500</v>
          </cell>
          <cell r="B676" t="str">
            <v>Zalm zuringsaus rijstmix 320g BOF Fr</v>
          </cell>
          <cell r="C676" t="str">
            <v>-</v>
          </cell>
          <cell r="D676" t="str">
            <v>-</v>
          </cell>
          <cell r="E676" t="str">
            <v>+</v>
          </cell>
          <cell r="F676" t="str">
            <v>X</v>
          </cell>
          <cell r="G676" t="str">
            <v>+</v>
          </cell>
          <cell r="H676" t="str">
            <v>X</v>
          </cell>
          <cell r="I676" t="str">
            <v>-</v>
          </cell>
          <cell r="J676" t="str">
            <v>X</v>
          </cell>
          <cell r="K676" t="str">
            <v>-</v>
          </cell>
          <cell r="L676" t="str">
            <v>-</v>
          </cell>
          <cell r="M676" t="str">
            <v>X</v>
          </cell>
          <cell r="N676" t="str">
            <v>+</v>
          </cell>
          <cell r="O676" t="str">
            <v>X</v>
          </cell>
        </row>
        <row r="677">
          <cell r="A677">
            <v>64221000</v>
          </cell>
          <cell r="B677" t="str">
            <v>Parmentier eend puree 320g BOF FR</v>
          </cell>
          <cell r="C677" t="str">
            <v>-</v>
          </cell>
          <cell r="D677" t="str">
            <v>+</v>
          </cell>
          <cell r="E677" t="str">
            <v>+</v>
          </cell>
          <cell r="F677" t="str">
            <v>-</v>
          </cell>
          <cell r="G677" t="str">
            <v>+</v>
          </cell>
          <cell r="H677" t="str">
            <v>-</v>
          </cell>
          <cell r="I677" t="str">
            <v>-</v>
          </cell>
          <cell r="J677" t="str">
            <v>-</v>
          </cell>
          <cell r="K677" t="str">
            <v>-</v>
          </cell>
          <cell r="L677" t="str">
            <v>-</v>
          </cell>
          <cell r="M677" t="str">
            <v>-</v>
          </cell>
          <cell r="N677" t="str">
            <v>-</v>
          </cell>
          <cell r="O677" t="str">
            <v>-</v>
          </cell>
        </row>
        <row r="678">
          <cell r="A678">
            <v>64221500</v>
          </cell>
          <cell r="B678" t="str">
            <v>Kip cidersaus pompoenpuree 320g BOF FR - kip EU</v>
          </cell>
          <cell r="C678" t="str">
            <v>-</v>
          </cell>
          <cell r="D678" t="str">
            <v>X</v>
          </cell>
          <cell r="E678" t="str">
            <v>+</v>
          </cell>
          <cell r="F678" t="str">
            <v>X</v>
          </cell>
          <cell r="G678" t="str">
            <v>+</v>
          </cell>
          <cell r="H678" t="str">
            <v>X</v>
          </cell>
          <cell r="I678" t="str">
            <v>-</v>
          </cell>
          <cell r="J678" t="str">
            <v>-</v>
          </cell>
          <cell r="K678" t="str">
            <v>-</v>
          </cell>
          <cell r="L678" t="str">
            <v>-</v>
          </cell>
          <cell r="M678" t="str">
            <v>X</v>
          </cell>
          <cell r="N678" t="str">
            <v>-</v>
          </cell>
          <cell r="O678" t="str">
            <v>-</v>
          </cell>
        </row>
        <row r="679">
          <cell r="A679">
            <v>64221900</v>
          </cell>
          <cell r="B679" t="str">
            <v>Kip Korma 320g Bof Fr</v>
          </cell>
          <cell r="C679" t="str">
            <v>-</v>
          </cell>
          <cell r="D679" t="str">
            <v>X</v>
          </cell>
          <cell r="E679" t="str">
            <v>X</v>
          </cell>
          <cell r="F679" t="str">
            <v>X</v>
          </cell>
          <cell r="G679" t="str">
            <v>+</v>
          </cell>
          <cell r="H679" t="str">
            <v>X</v>
          </cell>
          <cell r="I679" t="str">
            <v>+</v>
          </cell>
          <cell r="J679" t="str">
            <v>-</v>
          </cell>
          <cell r="K679" t="str">
            <v>-</v>
          </cell>
          <cell r="L679" t="str">
            <v>X</v>
          </cell>
          <cell r="M679" t="str">
            <v>X</v>
          </cell>
          <cell r="N679" t="str">
            <v>-</v>
          </cell>
          <cell r="O679" t="str">
            <v>-</v>
          </cell>
        </row>
        <row r="680">
          <cell r="A680">
            <v>64222000</v>
          </cell>
          <cell r="B680" t="str">
            <v>Rundsreepjes teriyaki spaghetti n°1 320g BOF FR</v>
          </cell>
          <cell r="C680" t="str">
            <v>-</v>
          </cell>
          <cell r="D680" t="str">
            <v>X</v>
          </cell>
          <cell r="E680" t="str">
            <v>+</v>
          </cell>
          <cell r="F680" t="str">
            <v>X</v>
          </cell>
          <cell r="G680" t="str">
            <v>-</v>
          </cell>
          <cell r="H680" t="str">
            <v>X</v>
          </cell>
          <cell r="I680" t="str">
            <v>-</v>
          </cell>
          <cell r="J680" t="str">
            <v>-</v>
          </cell>
          <cell r="K680" t="str">
            <v>-</v>
          </cell>
          <cell r="L680" t="str">
            <v>+</v>
          </cell>
          <cell r="M680" t="str">
            <v>+</v>
          </cell>
          <cell r="N680" t="str">
            <v>-</v>
          </cell>
          <cell r="O680" t="str">
            <v>-</v>
          </cell>
        </row>
        <row r="681">
          <cell r="A681">
            <v>64222200</v>
          </cell>
          <cell r="B681" t="str">
            <v>Kip tajine citroen olijven kriel 320g BOF FR</v>
          </cell>
          <cell r="C681" t="str">
            <v>-</v>
          </cell>
          <cell r="D681" t="str">
            <v>X</v>
          </cell>
          <cell r="E681" t="str">
            <v>X</v>
          </cell>
          <cell r="F681" t="str">
            <v>-</v>
          </cell>
          <cell r="G681" t="str">
            <v>X</v>
          </cell>
          <cell r="H681" t="str">
            <v>X</v>
          </cell>
          <cell r="I681" t="str">
            <v>-</v>
          </cell>
          <cell r="J681" t="str">
            <v>-</v>
          </cell>
          <cell r="K681" t="str">
            <v>X</v>
          </cell>
          <cell r="L681" t="str">
            <v>-</v>
          </cell>
          <cell r="M681" t="str">
            <v>X</v>
          </cell>
          <cell r="N681" t="str">
            <v>-</v>
          </cell>
          <cell r="O681" t="str">
            <v>-</v>
          </cell>
        </row>
        <row r="682">
          <cell r="A682">
            <v>64222600</v>
          </cell>
          <cell r="B682" t="str">
            <v>Varkensvlees karamelsaus basmati rijst koriander 320g BOF FR</v>
          </cell>
          <cell r="C682" t="str">
            <v>-</v>
          </cell>
          <cell r="D682" t="str">
            <v>-</v>
          </cell>
          <cell r="E682" t="str">
            <v>-</v>
          </cell>
          <cell r="F682" t="str">
            <v>-</v>
          </cell>
          <cell r="G682" t="str">
            <v>-</v>
          </cell>
          <cell r="H682" t="str">
            <v>-</v>
          </cell>
          <cell r="I682" t="str">
            <v>-</v>
          </cell>
          <cell r="J682" t="str">
            <v>-</v>
          </cell>
          <cell r="K682" t="str">
            <v>-</v>
          </cell>
          <cell r="L682" t="str">
            <v>-</v>
          </cell>
          <cell r="M682" t="str">
            <v>+</v>
          </cell>
          <cell r="N682" t="str">
            <v>+</v>
          </cell>
          <cell r="O682" t="str">
            <v>-</v>
          </cell>
        </row>
        <row r="683">
          <cell r="A683">
            <v>64223000</v>
          </cell>
          <cell r="B683" t="str">
            <v>Penne Arrabiata 320g BOF FR</v>
          </cell>
          <cell r="C683" t="str">
            <v>-</v>
          </cell>
          <cell r="D683" t="str">
            <v>X</v>
          </cell>
          <cell r="E683" t="str">
            <v>+</v>
          </cell>
          <cell r="F683" t="str">
            <v>X</v>
          </cell>
          <cell r="G683" t="str">
            <v>+</v>
          </cell>
          <cell r="H683" t="str">
            <v>X</v>
          </cell>
          <cell r="I683" t="str">
            <v>-</v>
          </cell>
          <cell r="J683" t="str">
            <v>-</v>
          </cell>
          <cell r="K683" t="str">
            <v>-</v>
          </cell>
          <cell r="L683" t="str">
            <v>-</v>
          </cell>
          <cell r="M683" t="str">
            <v>X</v>
          </cell>
          <cell r="N683" t="str">
            <v>-</v>
          </cell>
          <cell r="O683" t="str">
            <v>-</v>
          </cell>
        </row>
        <row r="684">
          <cell r="A684">
            <v>64223300</v>
          </cell>
          <cell r="B684" t="str">
            <v xml:space="preserve">Parmentier eend puree 348g BOF FR </v>
          </cell>
          <cell r="C684" t="str">
            <v>-</v>
          </cell>
          <cell r="D684" t="str">
            <v>+</v>
          </cell>
          <cell r="E684" t="str">
            <v>+</v>
          </cell>
          <cell r="F684" t="str">
            <v>-</v>
          </cell>
          <cell r="G684" t="str">
            <v>+</v>
          </cell>
          <cell r="H684" t="str">
            <v>-</v>
          </cell>
          <cell r="I684" t="str">
            <v>-</v>
          </cell>
          <cell r="J684" t="str">
            <v>-</v>
          </cell>
          <cell r="K684" t="str">
            <v>-</v>
          </cell>
          <cell r="L684" t="str">
            <v>-</v>
          </cell>
          <cell r="M684" t="str">
            <v>-</v>
          </cell>
          <cell r="N684" t="str">
            <v>-</v>
          </cell>
          <cell r="O684" t="str">
            <v>-</v>
          </cell>
        </row>
        <row r="685">
          <cell r="A685">
            <v>64223900</v>
          </cell>
          <cell r="B685" t="str">
            <v>Alaska Pollack MSC citroensaus rijstmix 300g BOF Fr</v>
          </cell>
          <cell r="C685" t="str">
            <v>-</v>
          </cell>
          <cell r="D685" t="str">
            <v>X</v>
          </cell>
          <cell r="E685" t="str">
            <v>+</v>
          </cell>
          <cell r="F685" t="str">
            <v>X</v>
          </cell>
          <cell r="G685" t="str">
            <v>+</v>
          </cell>
          <cell r="H685" t="str">
            <v>X</v>
          </cell>
          <cell r="I685" t="str">
            <v>-</v>
          </cell>
          <cell r="J685" t="str">
            <v>-</v>
          </cell>
          <cell r="K685" t="str">
            <v>+</v>
          </cell>
          <cell r="L685" t="str">
            <v>-</v>
          </cell>
          <cell r="M685" t="str">
            <v>X</v>
          </cell>
          <cell r="N685" t="str">
            <v>+</v>
          </cell>
          <cell r="O685" t="str">
            <v>-</v>
          </cell>
        </row>
        <row r="686">
          <cell r="A686">
            <v>64224000</v>
          </cell>
          <cell r="B686" t="str">
            <v>Boeuf bourguignon aardappel écrasée 320g BOF FR</v>
          </cell>
          <cell r="C686" t="str">
            <v>-</v>
          </cell>
          <cell r="D686" t="str">
            <v>X</v>
          </cell>
          <cell r="E686" t="str">
            <v>+</v>
          </cell>
          <cell r="F686" t="str">
            <v>X</v>
          </cell>
          <cell r="G686" t="str">
            <v>+</v>
          </cell>
          <cell r="H686" t="str">
            <v>X</v>
          </cell>
          <cell r="I686" t="str">
            <v>-</v>
          </cell>
          <cell r="J686" t="str">
            <v>-</v>
          </cell>
          <cell r="K686" t="str">
            <v>-</v>
          </cell>
          <cell r="L686" t="str">
            <v>-</v>
          </cell>
          <cell r="M686" t="str">
            <v>X</v>
          </cell>
          <cell r="N686" t="str">
            <v>-</v>
          </cell>
          <cell r="O686" t="str">
            <v>-</v>
          </cell>
        </row>
        <row r="687">
          <cell r="A687">
            <v>64224100</v>
          </cell>
          <cell r="B687" t="str">
            <v>Witloof ham kaas 320g BOF FR</v>
          </cell>
          <cell r="C687" t="str">
            <v>-</v>
          </cell>
          <cell r="D687" t="str">
            <v>-</v>
          </cell>
          <cell r="E687" t="str">
            <v>+</v>
          </cell>
          <cell r="F687" t="str">
            <v>X</v>
          </cell>
          <cell r="G687" t="str">
            <v>+</v>
          </cell>
          <cell r="H687" t="str">
            <v>X</v>
          </cell>
          <cell r="I687" t="str">
            <v>-</v>
          </cell>
          <cell r="J687" t="str">
            <v>-</v>
          </cell>
          <cell r="K687" t="str">
            <v>-</v>
          </cell>
          <cell r="L687" t="str">
            <v>-</v>
          </cell>
          <cell r="M687" t="str">
            <v>X</v>
          </cell>
          <cell r="N687" t="str">
            <v>-</v>
          </cell>
          <cell r="O687" t="str">
            <v>-</v>
          </cell>
        </row>
        <row r="688">
          <cell r="A688">
            <v>64224200</v>
          </cell>
          <cell r="B688" t="str">
            <v>Kip curry basmati rode rijst 320g BOF FR -kip EU</v>
          </cell>
          <cell r="C688" t="str">
            <v>-</v>
          </cell>
          <cell r="D688" t="str">
            <v>X</v>
          </cell>
          <cell r="E688" t="str">
            <v>+</v>
          </cell>
          <cell r="F688" t="str">
            <v>X</v>
          </cell>
          <cell r="G688" t="str">
            <v>+</v>
          </cell>
          <cell r="H688" t="str">
            <v>X</v>
          </cell>
          <cell r="I688" t="str">
            <v>-</v>
          </cell>
          <cell r="J688" t="str">
            <v>-</v>
          </cell>
          <cell r="K688" t="str">
            <v>-</v>
          </cell>
          <cell r="L688" t="str">
            <v>-</v>
          </cell>
          <cell r="M688" t="str">
            <v>X</v>
          </cell>
          <cell r="N688" t="str">
            <v>-</v>
          </cell>
          <cell r="O688" t="str">
            <v>-</v>
          </cell>
        </row>
        <row r="689">
          <cell r="A689">
            <v>64224300</v>
          </cell>
          <cell r="B689" t="str">
            <v>Moussaka 320g BOF FR</v>
          </cell>
          <cell r="C689" t="str">
            <v>-</v>
          </cell>
          <cell r="D689" t="str">
            <v>-</v>
          </cell>
          <cell r="E689" t="str">
            <v>+</v>
          </cell>
          <cell r="F689" t="str">
            <v>X</v>
          </cell>
          <cell r="G689" t="str">
            <v>+</v>
          </cell>
          <cell r="H689" t="str">
            <v>X</v>
          </cell>
          <cell r="I689" t="str">
            <v>-</v>
          </cell>
          <cell r="J689" t="str">
            <v>-</v>
          </cell>
          <cell r="K689" t="str">
            <v>-</v>
          </cell>
          <cell r="L689" t="str">
            <v>-</v>
          </cell>
          <cell r="M689" t="str">
            <v>X</v>
          </cell>
          <cell r="N689" t="str">
            <v>-</v>
          </cell>
          <cell r="O689" t="str">
            <v>-</v>
          </cell>
        </row>
        <row r="690">
          <cell r="A690">
            <v>64224400</v>
          </cell>
          <cell r="B690" t="str">
            <v>Zwarte pens appelcompote puree 320g BOF FR</v>
          </cell>
          <cell r="C690" t="str">
            <v>-</v>
          </cell>
          <cell r="D690" t="str">
            <v>+</v>
          </cell>
          <cell r="E690" t="str">
            <v>+</v>
          </cell>
          <cell r="F690" t="str">
            <v>-</v>
          </cell>
          <cell r="G690" t="str">
            <v>+</v>
          </cell>
          <cell r="H690" t="str">
            <v>+</v>
          </cell>
          <cell r="I690" t="str">
            <v>-</v>
          </cell>
          <cell r="J690" t="str">
            <v>-</v>
          </cell>
          <cell r="K690" t="str">
            <v>+</v>
          </cell>
          <cell r="L690" t="str">
            <v>-</v>
          </cell>
          <cell r="M690" t="str">
            <v>+</v>
          </cell>
          <cell r="N690" t="str">
            <v>-</v>
          </cell>
          <cell r="O690" t="str">
            <v>-</v>
          </cell>
        </row>
        <row r="691">
          <cell r="A691">
            <v>64224500</v>
          </cell>
          <cell r="B691" t="str">
            <v>Spaghetti bolognaise 320g BOF FR</v>
          </cell>
          <cell r="C691" t="str">
            <v>-</v>
          </cell>
          <cell r="D691" t="str">
            <v>X</v>
          </cell>
          <cell r="E691" t="str">
            <v>+</v>
          </cell>
          <cell r="F691" t="str">
            <v>X</v>
          </cell>
          <cell r="G691" t="str">
            <v>-</v>
          </cell>
          <cell r="H691" t="str">
            <v>X</v>
          </cell>
          <cell r="I691" t="str">
            <v>-</v>
          </cell>
          <cell r="J691" t="str">
            <v>-</v>
          </cell>
          <cell r="K691" t="str">
            <v>-</v>
          </cell>
          <cell r="L691" t="str">
            <v>-</v>
          </cell>
          <cell r="M691" t="str">
            <v>X</v>
          </cell>
          <cell r="N691" t="str">
            <v>-</v>
          </cell>
          <cell r="O691" t="str">
            <v>-</v>
          </cell>
        </row>
        <row r="692">
          <cell r="A692">
            <v>64224600</v>
          </cell>
          <cell r="B692" t="str">
            <v>Kalfsblanket met citroenzeste rijst 320g BOF FR</v>
          </cell>
          <cell r="C692" t="str">
            <v>-</v>
          </cell>
          <cell r="D692" t="str">
            <v>X</v>
          </cell>
          <cell r="E692" t="str">
            <v>+</v>
          </cell>
          <cell r="F692" t="str">
            <v>X</v>
          </cell>
          <cell r="G692" t="str">
            <v>+</v>
          </cell>
          <cell r="H692" t="str">
            <v>X</v>
          </cell>
          <cell r="I692" t="str">
            <v>-</v>
          </cell>
          <cell r="J692" t="str">
            <v>-</v>
          </cell>
          <cell r="K692" t="str">
            <v>X</v>
          </cell>
          <cell r="L692" t="str">
            <v>-</v>
          </cell>
          <cell r="M692" t="str">
            <v>X</v>
          </cell>
          <cell r="N692" t="str">
            <v>-</v>
          </cell>
          <cell r="O692" t="str">
            <v>-</v>
          </cell>
        </row>
        <row r="693">
          <cell r="A693">
            <v>64224700</v>
          </cell>
          <cell r="B693" t="str">
            <v>Tagliatelle Carbonara 320g BOF FR</v>
          </cell>
          <cell r="C693" t="str">
            <v>-</v>
          </cell>
          <cell r="D693" t="str">
            <v>+</v>
          </cell>
          <cell r="E693" t="str">
            <v>+</v>
          </cell>
          <cell r="F693" t="str">
            <v>X</v>
          </cell>
          <cell r="G693" t="str">
            <v>+</v>
          </cell>
          <cell r="H693" t="str">
            <v>X</v>
          </cell>
          <cell r="I693" t="str">
            <v>-</v>
          </cell>
          <cell r="J693" t="str">
            <v>-</v>
          </cell>
          <cell r="K693" t="str">
            <v>-</v>
          </cell>
          <cell r="L693" t="str">
            <v>-</v>
          </cell>
          <cell r="M693" t="str">
            <v>X</v>
          </cell>
          <cell r="N693" t="str">
            <v>-</v>
          </cell>
          <cell r="O693" t="str">
            <v>-</v>
          </cell>
        </row>
        <row r="694">
          <cell r="A694">
            <v>64224800</v>
          </cell>
          <cell r="B694" t="str">
            <v>Kip Tandoori bastmati lente ui 320g BOF FR</v>
          </cell>
          <cell r="C694" t="str">
            <v>-</v>
          </cell>
          <cell r="D694" t="str">
            <v>-</v>
          </cell>
          <cell r="E694" t="str">
            <v>-</v>
          </cell>
          <cell r="F694" t="str">
            <v>-</v>
          </cell>
          <cell r="G694" t="str">
            <v>+</v>
          </cell>
          <cell r="H694" t="str">
            <v>-</v>
          </cell>
          <cell r="I694" t="str">
            <v>-</v>
          </cell>
          <cell r="J694" t="str">
            <v>-</v>
          </cell>
          <cell r="K694" t="str">
            <v>-</v>
          </cell>
          <cell r="L694" t="str">
            <v>-</v>
          </cell>
          <cell r="M694" t="str">
            <v>-</v>
          </cell>
          <cell r="N694" t="str">
            <v>-</v>
          </cell>
          <cell r="O694" t="str">
            <v>-</v>
          </cell>
        </row>
        <row r="695">
          <cell r="A695">
            <v>64224900</v>
          </cell>
          <cell r="B695" t="str">
            <v>Risotto kip boschampignon 320g BOF FR - kip EU</v>
          </cell>
          <cell r="C695" t="str">
            <v>-</v>
          </cell>
          <cell r="D695" t="str">
            <v>X</v>
          </cell>
          <cell r="E695" t="str">
            <v>+</v>
          </cell>
          <cell r="F695" t="str">
            <v>-</v>
          </cell>
          <cell r="G695" t="str">
            <v>+</v>
          </cell>
          <cell r="H695" t="str">
            <v>-</v>
          </cell>
          <cell r="I695" t="str">
            <v>-</v>
          </cell>
          <cell r="J695" t="str">
            <v>-</v>
          </cell>
          <cell r="K695" t="str">
            <v>-</v>
          </cell>
          <cell r="L695" t="str">
            <v>-</v>
          </cell>
          <cell r="M695" t="str">
            <v>-</v>
          </cell>
          <cell r="N695" t="str">
            <v>-</v>
          </cell>
          <cell r="O695" t="str">
            <v>-</v>
          </cell>
        </row>
        <row r="696">
          <cell r="A696">
            <v>64225000</v>
          </cell>
          <cell r="B696" t="str">
            <v>Kip Korma 320g Bof Fr</v>
          </cell>
          <cell r="C696" t="str">
            <v>-</v>
          </cell>
          <cell r="D696" t="str">
            <v>X</v>
          </cell>
          <cell r="E696" t="str">
            <v>X</v>
          </cell>
          <cell r="F696" t="str">
            <v>X</v>
          </cell>
          <cell r="G696" t="str">
            <v>+</v>
          </cell>
          <cell r="H696" t="str">
            <v>X</v>
          </cell>
          <cell r="I696" t="str">
            <v>+</v>
          </cell>
          <cell r="J696" t="str">
            <v>-</v>
          </cell>
          <cell r="K696" t="str">
            <v>-</v>
          </cell>
          <cell r="L696" t="str">
            <v>X</v>
          </cell>
          <cell r="M696" t="str">
            <v>X</v>
          </cell>
          <cell r="N696" t="str">
            <v>-</v>
          </cell>
          <cell r="O696" t="str">
            <v>-</v>
          </cell>
        </row>
        <row r="697">
          <cell r="A697">
            <v>64225100</v>
          </cell>
          <cell r="B697" t="str">
            <v>Coquilles witte wijnsaus rijstmix preiroom 320g BOF FR</v>
          </cell>
          <cell r="C697" t="str">
            <v>-</v>
          </cell>
          <cell r="D697" t="str">
            <v>-</v>
          </cell>
          <cell r="E697" t="str">
            <v>+</v>
          </cell>
          <cell r="F697" t="str">
            <v>X</v>
          </cell>
          <cell r="G697" t="str">
            <v>+</v>
          </cell>
          <cell r="H697" t="str">
            <v>X</v>
          </cell>
          <cell r="I697" t="str">
            <v>-</v>
          </cell>
          <cell r="J697" t="str">
            <v>X</v>
          </cell>
          <cell r="K697" t="str">
            <v>X</v>
          </cell>
          <cell r="L697" t="str">
            <v>-</v>
          </cell>
          <cell r="M697" t="str">
            <v>X</v>
          </cell>
          <cell r="N697" t="str">
            <v>+</v>
          </cell>
          <cell r="O697" t="str">
            <v>+</v>
          </cell>
        </row>
        <row r="698">
          <cell r="A698">
            <v>64225200</v>
          </cell>
          <cell r="B698" t="str">
            <v>Linguini zalm preiroomsaus 320g BOF FR</v>
          </cell>
          <cell r="C698" t="str">
            <v>-</v>
          </cell>
          <cell r="D698" t="str">
            <v>X</v>
          </cell>
          <cell r="E698" t="str">
            <v>+</v>
          </cell>
          <cell r="F698" t="str">
            <v>X</v>
          </cell>
          <cell r="G698" t="str">
            <v>+</v>
          </cell>
          <cell r="H698" t="str">
            <v>+</v>
          </cell>
          <cell r="I698" t="str">
            <v>-</v>
          </cell>
          <cell r="J698" t="str">
            <v>X</v>
          </cell>
          <cell r="K698" t="str">
            <v>+</v>
          </cell>
          <cell r="L698" t="str">
            <v>-</v>
          </cell>
          <cell r="M698" t="str">
            <v>X</v>
          </cell>
          <cell r="N698" t="str">
            <v>+</v>
          </cell>
          <cell r="O698" t="str">
            <v>X</v>
          </cell>
        </row>
        <row r="699">
          <cell r="A699">
            <v>64225300</v>
          </cell>
          <cell r="B699" t="str">
            <v>Lasagne geitenkaas spinazie 350g BOF FR</v>
          </cell>
          <cell r="C699" t="str">
            <v>-</v>
          </cell>
          <cell r="D699" t="str">
            <v>+</v>
          </cell>
          <cell r="E699" t="str">
            <v>+</v>
          </cell>
          <cell r="F699" t="str">
            <v>X</v>
          </cell>
          <cell r="G699" t="str">
            <v>+</v>
          </cell>
          <cell r="H699" t="str">
            <v>X</v>
          </cell>
          <cell r="I699" t="str">
            <v>-</v>
          </cell>
          <cell r="J699" t="str">
            <v>-</v>
          </cell>
          <cell r="K699" t="str">
            <v>-</v>
          </cell>
          <cell r="L699" t="str">
            <v>-</v>
          </cell>
          <cell r="M699" t="str">
            <v>X</v>
          </cell>
          <cell r="N699" t="str">
            <v>-</v>
          </cell>
          <cell r="O699" t="str">
            <v>X</v>
          </cell>
        </row>
        <row r="700">
          <cell r="A700">
            <v>64225400</v>
          </cell>
          <cell r="B700" t="str">
            <v>Groene linzen gratinschotel zoete aardappel 320g BOF FR</v>
          </cell>
          <cell r="C700" t="str">
            <v>-</v>
          </cell>
          <cell r="D700" t="str">
            <v>-</v>
          </cell>
          <cell r="E700" t="str">
            <v>X</v>
          </cell>
          <cell r="F700" t="str">
            <v>X</v>
          </cell>
          <cell r="G700" t="str">
            <v>-</v>
          </cell>
          <cell r="H700" t="str">
            <v>X</v>
          </cell>
          <cell r="I700" t="str">
            <v>-</v>
          </cell>
          <cell r="J700" t="str">
            <v>-</v>
          </cell>
          <cell r="K700" t="str">
            <v>-</v>
          </cell>
          <cell r="L700" t="str">
            <v>X</v>
          </cell>
          <cell r="M700" t="str">
            <v>X</v>
          </cell>
          <cell r="N700" t="str">
            <v>-</v>
          </cell>
          <cell r="O700" t="str">
            <v>-</v>
          </cell>
        </row>
        <row r="701">
          <cell r="A701">
            <v>64225500</v>
          </cell>
          <cell r="B701" t="str">
            <v>Lasagnetti pesto groene groenten 320g BOF FR</v>
          </cell>
          <cell r="E701" t="str">
            <v>+</v>
          </cell>
          <cell r="G701" t="str">
            <v>+</v>
          </cell>
          <cell r="I701" t="str">
            <v>+</v>
          </cell>
        </row>
        <row r="702">
          <cell r="A702">
            <v>64225600</v>
          </cell>
          <cell r="B702" t="str">
            <v>Macaroni kaassaus 320g BOF FR</v>
          </cell>
          <cell r="C702" t="str">
            <v>-</v>
          </cell>
          <cell r="D702" t="str">
            <v>X</v>
          </cell>
          <cell r="E702" t="str">
            <v>+</v>
          </cell>
          <cell r="F702" t="str">
            <v>X</v>
          </cell>
          <cell r="G702" t="str">
            <v>+</v>
          </cell>
          <cell r="H702" t="str">
            <v>X</v>
          </cell>
          <cell r="I702" t="str">
            <v>-</v>
          </cell>
          <cell r="J702" t="str">
            <v>-</v>
          </cell>
          <cell r="K702" t="str">
            <v>-</v>
          </cell>
          <cell r="L702" t="str">
            <v>-</v>
          </cell>
          <cell r="M702" t="str">
            <v>X</v>
          </cell>
          <cell r="N702" t="str">
            <v>-</v>
          </cell>
          <cell r="O702" t="str">
            <v>-</v>
          </cell>
        </row>
        <row r="703">
          <cell r="A703">
            <v>64225800</v>
          </cell>
          <cell r="B703" t="str">
            <v xml:space="preserve">Parmentier eend puree 348g BOF FR </v>
          </cell>
          <cell r="C703" t="str">
            <v>-</v>
          </cell>
          <cell r="D703" t="str">
            <v>+</v>
          </cell>
          <cell r="E703" t="str">
            <v>+</v>
          </cell>
          <cell r="F703" t="str">
            <v>-</v>
          </cell>
          <cell r="G703" t="str">
            <v>+</v>
          </cell>
          <cell r="H703" t="str">
            <v>-</v>
          </cell>
          <cell r="I703" t="str">
            <v>-</v>
          </cell>
          <cell r="J703" t="str">
            <v>-</v>
          </cell>
          <cell r="K703" t="str">
            <v>-</v>
          </cell>
          <cell r="L703" t="str">
            <v>-</v>
          </cell>
          <cell r="M703" t="str">
            <v>-</v>
          </cell>
          <cell r="N703" t="str">
            <v>-</v>
          </cell>
          <cell r="O703" t="str">
            <v>-</v>
          </cell>
        </row>
        <row r="704">
          <cell r="A704">
            <v>64225900</v>
          </cell>
          <cell r="B704" t="str">
            <v>Gehaktbal Provençaals rijst courgette 320g BOF FR</v>
          </cell>
          <cell r="C704" t="str">
            <v>-</v>
          </cell>
          <cell r="D704" t="str">
            <v>X</v>
          </cell>
          <cell r="E704" t="str">
            <v>X</v>
          </cell>
          <cell r="F704" t="str">
            <v>-</v>
          </cell>
          <cell r="G704" t="str">
            <v>X</v>
          </cell>
          <cell r="H704" t="str">
            <v>X</v>
          </cell>
          <cell r="I704" t="str">
            <v>X</v>
          </cell>
          <cell r="J704" t="str">
            <v>X</v>
          </cell>
          <cell r="K704" t="str">
            <v>X</v>
          </cell>
          <cell r="L704" t="str">
            <v>-</v>
          </cell>
          <cell r="M704" t="str">
            <v>X</v>
          </cell>
          <cell r="N704" t="str">
            <v>X</v>
          </cell>
          <cell r="O704" t="str">
            <v>-</v>
          </cell>
        </row>
        <row r="705">
          <cell r="A705">
            <v>64226000</v>
          </cell>
          <cell r="B705" t="str">
            <v>Rundsreepjes teriyaki spaghetti 320g BOF FR</v>
          </cell>
          <cell r="C705" t="str">
            <v>-</v>
          </cell>
          <cell r="D705" t="str">
            <v>X</v>
          </cell>
          <cell r="E705" t="str">
            <v>+</v>
          </cell>
          <cell r="F705" t="str">
            <v>X</v>
          </cell>
          <cell r="G705" t="str">
            <v>-</v>
          </cell>
          <cell r="H705" t="str">
            <v>X</v>
          </cell>
          <cell r="I705" t="str">
            <v>-</v>
          </cell>
          <cell r="J705" t="str">
            <v>-</v>
          </cell>
          <cell r="K705" t="str">
            <v>-</v>
          </cell>
          <cell r="L705" t="str">
            <v>+</v>
          </cell>
          <cell r="M705" t="str">
            <v>+</v>
          </cell>
          <cell r="N705" t="str">
            <v>-</v>
          </cell>
          <cell r="O705" t="str">
            <v>-</v>
          </cell>
        </row>
        <row r="706">
          <cell r="A706">
            <v>64226100</v>
          </cell>
          <cell r="B706" t="str">
            <v>Zalm zuringsaus rijstmix 320g BOF Fr</v>
          </cell>
          <cell r="C706" t="str">
            <v>-</v>
          </cell>
          <cell r="D706" t="str">
            <v>-</v>
          </cell>
          <cell r="E706" t="str">
            <v>+</v>
          </cell>
          <cell r="F706" t="str">
            <v>X</v>
          </cell>
          <cell r="G706" t="str">
            <v>+</v>
          </cell>
          <cell r="H706" t="str">
            <v>X</v>
          </cell>
          <cell r="I706" t="str">
            <v>-</v>
          </cell>
          <cell r="J706" t="str">
            <v>X</v>
          </cell>
          <cell r="K706" t="str">
            <v>-</v>
          </cell>
          <cell r="L706" t="str">
            <v>-</v>
          </cell>
          <cell r="M706" t="str">
            <v>X</v>
          </cell>
          <cell r="N706" t="str">
            <v>+</v>
          </cell>
          <cell r="O706" t="str">
            <v>X</v>
          </cell>
        </row>
        <row r="707">
          <cell r="A707">
            <v>64226200</v>
          </cell>
          <cell r="B707" t="str">
            <v>Kip Basquaise met tagliatelle 320g BOF FR</v>
          </cell>
          <cell r="C707" t="str">
            <v>-</v>
          </cell>
          <cell r="D707" t="str">
            <v>+</v>
          </cell>
          <cell r="E707" t="str">
            <v>+</v>
          </cell>
          <cell r="F707" t="str">
            <v>X</v>
          </cell>
          <cell r="G707" t="str">
            <v>-</v>
          </cell>
          <cell r="H707" t="str">
            <v>X</v>
          </cell>
          <cell r="I707" t="str">
            <v>-</v>
          </cell>
          <cell r="J707" t="str">
            <v>-</v>
          </cell>
          <cell r="K707" t="str">
            <v>-</v>
          </cell>
          <cell r="L707" t="str">
            <v>-</v>
          </cell>
          <cell r="M707" t="str">
            <v>X</v>
          </cell>
          <cell r="N707" t="str">
            <v>-</v>
          </cell>
          <cell r="O707" t="str">
            <v>-</v>
          </cell>
        </row>
        <row r="708">
          <cell r="A708">
            <v>64226300</v>
          </cell>
          <cell r="B708" t="str">
            <v>Paella 320g BOF FR</v>
          </cell>
          <cell r="C708" t="str">
            <v>-</v>
          </cell>
          <cell r="D708" t="str">
            <v>X</v>
          </cell>
          <cell r="E708" t="str">
            <v>-</v>
          </cell>
          <cell r="F708" t="str">
            <v>-</v>
          </cell>
          <cell r="G708" t="str">
            <v>-</v>
          </cell>
          <cell r="H708" t="str">
            <v>-</v>
          </cell>
          <cell r="I708" t="str">
            <v>-</v>
          </cell>
          <cell r="J708" t="str">
            <v>+</v>
          </cell>
          <cell r="K708" t="str">
            <v>-</v>
          </cell>
          <cell r="L708" t="str">
            <v>-</v>
          </cell>
          <cell r="M708" t="str">
            <v>-</v>
          </cell>
          <cell r="N708" t="str">
            <v>X</v>
          </cell>
          <cell r="O708" t="str">
            <v>X</v>
          </cell>
        </row>
        <row r="709">
          <cell r="A709">
            <v>64226400</v>
          </cell>
          <cell r="B709" t="str">
            <v>EW Kip penne volkoren geitenkaas spinaziesaus 320g BOF FR</v>
          </cell>
          <cell r="C709" t="str">
            <v>-</v>
          </cell>
          <cell r="D709" t="str">
            <v>X</v>
          </cell>
          <cell r="E709" t="str">
            <v>+</v>
          </cell>
          <cell r="F709" t="str">
            <v>X</v>
          </cell>
          <cell r="G709" t="str">
            <v>+</v>
          </cell>
          <cell r="H709" t="str">
            <v>X</v>
          </cell>
          <cell r="I709" t="str">
            <v>-</v>
          </cell>
          <cell r="J709" t="str">
            <v>-</v>
          </cell>
          <cell r="K709" t="str">
            <v>-</v>
          </cell>
          <cell r="L709" t="str">
            <v>-</v>
          </cell>
          <cell r="M709" t="str">
            <v>X</v>
          </cell>
          <cell r="N709" t="str">
            <v>-</v>
          </cell>
          <cell r="O709" t="str">
            <v>-</v>
          </cell>
        </row>
        <row r="710">
          <cell r="A710">
            <v>64226500</v>
          </cell>
          <cell r="B710" t="str">
            <v>EW Kip gele rijst linzen zachte kruidige saus 320g BOF FR</v>
          </cell>
          <cell r="C710" t="str">
            <v>-</v>
          </cell>
          <cell r="D710" t="str">
            <v>X</v>
          </cell>
          <cell r="E710" t="str">
            <v>-</v>
          </cell>
          <cell r="F710" t="str">
            <v>-</v>
          </cell>
          <cell r="G710" t="str">
            <v>+</v>
          </cell>
          <cell r="H710" t="str">
            <v>-</v>
          </cell>
          <cell r="I710" t="str">
            <v>-</v>
          </cell>
          <cell r="J710" t="str">
            <v>-</v>
          </cell>
          <cell r="K710" t="str">
            <v>-</v>
          </cell>
          <cell r="L710" t="str">
            <v>-</v>
          </cell>
          <cell r="M710" t="str">
            <v>-</v>
          </cell>
          <cell r="N710" t="str">
            <v>-</v>
          </cell>
          <cell r="O710" t="str">
            <v>-</v>
          </cell>
        </row>
        <row r="711">
          <cell r="A711">
            <v>64226600</v>
          </cell>
          <cell r="B711" t="str">
            <v>EW Kip met bulgur groenten mix yoghurtsaus 320g BOF FR</v>
          </cell>
          <cell r="C711" t="str">
            <v>-</v>
          </cell>
          <cell r="D711" t="str">
            <v>-</v>
          </cell>
          <cell r="E711" t="str">
            <v>+</v>
          </cell>
          <cell r="F711" t="str">
            <v>-</v>
          </cell>
          <cell r="G711" t="str">
            <v>+</v>
          </cell>
          <cell r="H711" t="str">
            <v>-</v>
          </cell>
          <cell r="I711" t="str">
            <v>-</v>
          </cell>
          <cell r="J711" t="str">
            <v>-</v>
          </cell>
          <cell r="K711" t="str">
            <v>-</v>
          </cell>
          <cell r="L711" t="str">
            <v>-</v>
          </cell>
          <cell r="M711" t="str">
            <v>X</v>
          </cell>
          <cell r="N711" t="str">
            <v>-</v>
          </cell>
          <cell r="O711" t="str">
            <v>-</v>
          </cell>
        </row>
        <row r="712">
          <cell r="A712">
            <v>64226700</v>
          </cell>
          <cell r="B712" t="str">
            <v>Falafels groentenmix bouillon 320g BOF FR</v>
          </cell>
          <cell r="C712" t="str">
            <v>-</v>
          </cell>
          <cell r="D712" t="str">
            <v>-</v>
          </cell>
          <cell r="E712" t="str">
            <v>+</v>
          </cell>
          <cell r="F712" t="str">
            <v>-</v>
          </cell>
          <cell r="G712" t="str">
            <v>X</v>
          </cell>
          <cell r="H712" t="str">
            <v>X</v>
          </cell>
          <cell r="I712" t="str">
            <v>-</v>
          </cell>
          <cell r="J712" t="str">
            <v>-</v>
          </cell>
          <cell r="K712" t="str">
            <v>X</v>
          </cell>
          <cell r="L712" t="str">
            <v>X</v>
          </cell>
          <cell r="M712" t="str">
            <v>X</v>
          </cell>
          <cell r="N712" t="str">
            <v>-</v>
          </cell>
          <cell r="O712" t="str">
            <v>-</v>
          </cell>
        </row>
        <row r="713">
          <cell r="A713">
            <v>64230100</v>
          </cell>
          <cell r="B713" t="str">
            <v>Welsh 270g CROQUE GEL</v>
          </cell>
          <cell r="C713" t="str">
            <v>-</v>
          </cell>
          <cell r="D713" t="str">
            <v>-</v>
          </cell>
          <cell r="E713" t="str">
            <v>+</v>
          </cell>
          <cell r="F713" t="str">
            <v>X</v>
          </cell>
          <cell r="G713" t="str">
            <v>+</v>
          </cell>
          <cell r="H713" t="str">
            <v>+</v>
          </cell>
          <cell r="I713" t="str">
            <v>-</v>
          </cell>
          <cell r="J713" t="str">
            <v>-</v>
          </cell>
          <cell r="K713" t="str">
            <v>-</v>
          </cell>
          <cell r="L713" t="str">
            <v>X</v>
          </cell>
          <cell r="M713" t="str">
            <v>+</v>
          </cell>
          <cell r="N713" t="str">
            <v>-</v>
          </cell>
          <cell r="O713" t="str">
            <v>-</v>
          </cell>
        </row>
        <row r="714">
          <cell r="A714">
            <v>64231000</v>
          </cell>
          <cell r="B714" t="str">
            <v>Kip curry pandanrijst broccoli gr bonen 370g GEIA</v>
          </cell>
          <cell r="C714" t="str">
            <v>X</v>
          </cell>
          <cell r="D714" t="str">
            <v>X</v>
          </cell>
          <cell r="E714" t="str">
            <v>X</v>
          </cell>
          <cell r="F714" t="str">
            <v>X</v>
          </cell>
          <cell r="G714" t="str">
            <v>+</v>
          </cell>
          <cell r="H714" t="str">
            <v>+</v>
          </cell>
          <cell r="I714" t="str">
            <v>X</v>
          </cell>
          <cell r="J714" t="str">
            <v>X</v>
          </cell>
          <cell r="K714" t="str">
            <v>+</v>
          </cell>
          <cell r="L714" t="str">
            <v>X</v>
          </cell>
          <cell r="M714" t="str">
            <v>X</v>
          </cell>
          <cell r="N714" t="str">
            <v>X</v>
          </cell>
          <cell r="O714" t="str">
            <v>X</v>
          </cell>
        </row>
        <row r="715">
          <cell r="A715">
            <v>64231100</v>
          </cell>
          <cell r="B715" t="str">
            <v>Kip noedels teriyaki broccoli 370g GEIA</v>
          </cell>
          <cell r="C715" t="str">
            <v>-</v>
          </cell>
          <cell r="D715" t="str">
            <v>X</v>
          </cell>
          <cell r="E715" t="str">
            <v>+</v>
          </cell>
          <cell r="F715" t="str">
            <v>X</v>
          </cell>
          <cell r="G715" t="str">
            <v>-</v>
          </cell>
          <cell r="H715" t="str">
            <v>X</v>
          </cell>
          <cell r="I715" t="str">
            <v>-</v>
          </cell>
          <cell r="J715" t="str">
            <v>-</v>
          </cell>
          <cell r="K715" t="str">
            <v>-</v>
          </cell>
          <cell r="L715" t="str">
            <v>+</v>
          </cell>
          <cell r="M715" t="str">
            <v>+</v>
          </cell>
          <cell r="N715" t="str">
            <v>-</v>
          </cell>
          <cell r="O715" t="str">
            <v>-</v>
          </cell>
        </row>
        <row r="716">
          <cell r="A716">
            <v>64231200</v>
          </cell>
          <cell r="B716" t="str">
            <v>Spaghetti RU/VA bolognaise broccoli 370g GEIA</v>
          </cell>
          <cell r="C716" t="str">
            <v>-</v>
          </cell>
          <cell r="D716" t="str">
            <v>X</v>
          </cell>
          <cell r="E716" t="str">
            <v>+</v>
          </cell>
          <cell r="F716" t="str">
            <v>X</v>
          </cell>
          <cell r="G716" t="str">
            <v>-</v>
          </cell>
          <cell r="H716" t="str">
            <v>X</v>
          </cell>
          <cell r="I716" t="str">
            <v>-</v>
          </cell>
          <cell r="J716" t="str">
            <v>-</v>
          </cell>
          <cell r="K716" t="str">
            <v>+</v>
          </cell>
          <cell r="L716" t="str">
            <v>-</v>
          </cell>
          <cell r="M716" t="str">
            <v>X</v>
          </cell>
          <cell r="N716" t="str">
            <v>-</v>
          </cell>
          <cell r="O716" t="str">
            <v>-</v>
          </cell>
        </row>
        <row r="717">
          <cell r="A717">
            <v>64240000</v>
          </cell>
          <cell r="B717" t="str">
            <v>Lasagne rundsvlees 500g LIDL CH</v>
          </cell>
          <cell r="C717" t="str">
            <v>-</v>
          </cell>
          <cell r="D717" t="str">
            <v>+</v>
          </cell>
          <cell r="E717" t="str">
            <v>+</v>
          </cell>
          <cell r="F717" t="str">
            <v>X</v>
          </cell>
          <cell r="G717" t="str">
            <v>+</v>
          </cell>
          <cell r="H717" t="str">
            <v>X</v>
          </cell>
          <cell r="I717" t="str">
            <v>-</v>
          </cell>
          <cell r="J717" t="str">
            <v>-</v>
          </cell>
          <cell r="K717" t="str">
            <v>+</v>
          </cell>
          <cell r="L717" t="str">
            <v>-</v>
          </cell>
          <cell r="M717" t="str">
            <v>X</v>
          </cell>
          <cell r="N717" t="str">
            <v>-</v>
          </cell>
          <cell r="O717" t="str">
            <v>X</v>
          </cell>
        </row>
        <row r="718">
          <cell r="A718">
            <v>64240100</v>
          </cell>
          <cell r="B718" t="str">
            <v>Korma vegan rijst met plante mate 350g REBL'EATS</v>
          </cell>
          <cell r="C718" t="str">
            <v>-</v>
          </cell>
          <cell r="D718" t="str">
            <v>-</v>
          </cell>
          <cell r="E718" t="str">
            <v>X</v>
          </cell>
          <cell r="F718" t="str">
            <v>-</v>
          </cell>
          <cell r="G718" t="str">
            <v>X</v>
          </cell>
          <cell r="H718" t="str">
            <v>+</v>
          </cell>
          <cell r="I718" t="str">
            <v>+</v>
          </cell>
          <cell r="J718" t="str">
            <v>-</v>
          </cell>
          <cell r="K718" t="str">
            <v>+</v>
          </cell>
          <cell r="L718" t="str">
            <v>-</v>
          </cell>
          <cell r="M718" t="str">
            <v>X</v>
          </cell>
          <cell r="N718" t="str">
            <v>-</v>
          </cell>
          <cell r="O718" t="str">
            <v>-</v>
          </cell>
        </row>
        <row r="719">
          <cell r="A719">
            <v>64240200</v>
          </cell>
          <cell r="B719" t="str">
            <v>Vegan pinda curry pandan rijst 350g REBL</v>
          </cell>
          <cell r="C719" t="str">
            <v>+</v>
          </cell>
          <cell r="D719" t="str">
            <v>-</v>
          </cell>
          <cell r="E719" t="str">
            <v>+</v>
          </cell>
          <cell r="F719" t="str">
            <v>-</v>
          </cell>
          <cell r="G719" t="str">
            <v>-</v>
          </cell>
          <cell r="H719" t="str">
            <v>-</v>
          </cell>
          <cell r="I719" t="str">
            <v>-</v>
          </cell>
          <cell r="J719" t="str">
            <v>-</v>
          </cell>
          <cell r="K719" t="str">
            <v>-</v>
          </cell>
          <cell r="L719" t="str">
            <v>-</v>
          </cell>
          <cell r="M719" t="str">
            <v>+</v>
          </cell>
          <cell r="N719" t="str">
            <v>-</v>
          </cell>
          <cell r="O719" t="str">
            <v>-</v>
          </cell>
        </row>
        <row r="720">
          <cell r="A720">
            <v>64240300</v>
          </cell>
          <cell r="B720" t="str">
            <v>Spaghetti bolo vegan 350g REBL'EATS</v>
          </cell>
          <cell r="C720" t="str">
            <v>-</v>
          </cell>
          <cell r="D720" t="str">
            <v>X</v>
          </cell>
          <cell r="E720" t="str">
            <v>+</v>
          </cell>
          <cell r="F720" t="str">
            <v>X</v>
          </cell>
          <cell r="G720" t="str">
            <v>X</v>
          </cell>
          <cell r="H720" t="str">
            <v>X</v>
          </cell>
          <cell r="I720" t="str">
            <v>-</v>
          </cell>
          <cell r="J720" t="str">
            <v>X</v>
          </cell>
          <cell r="K720" t="str">
            <v>+</v>
          </cell>
          <cell r="L720" t="str">
            <v>-</v>
          </cell>
          <cell r="M720" t="str">
            <v>+</v>
          </cell>
          <cell r="N720" t="str">
            <v>X</v>
          </cell>
          <cell r="O720" t="str">
            <v>-</v>
          </cell>
        </row>
        <row r="721">
          <cell r="A721">
            <v>64250000</v>
          </cell>
          <cell r="B721" t="str">
            <v>Gehaktballetjes luiksesaus puree boter 500g PICARD</v>
          </cell>
          <cell r="C721" t="str">
            <v>-</v>
          </cell>
          <cell r="D721" t="str">
            <v>+</v>
          </cell>
          <cell r="E721" t="str">
            <v>+</v>
          </cell>
          <cell r="F721" t="str">
            <v>-</v>
          </cell>
          <cell r="G721" t="str">
            <v>+</v>
          </cell>
          <cell r="H721" t="str">
            <v>X</v>
          </cell>
          <cell r="I721" t="str">
            <v>-</v>
          </cell>
          <cell r="J721" t="str">
            <v>-</v>
          </cell>
          <cell r="K721" t="str">
            <v>X</v>
          </cell>
          <cell r="L721" t="str">
            <v>X</v>
          </cell>
          <cell r="M721" t="str">
            <v>X</v>
          </cell>
          <cell r="N721" t="str">
            <v>-</v>
          </cell>
          <cell r="O721" t="str">
            <v>-</v>
          </cell>
        </row>
        <row r="722">
          <cell r="A722">
            <v>64250100</v>
          </cell>
          <cell r="B722" t="str">
            <v>Vol au Vent, écrassée wortel zilverui bladerdeeg 500g PICARD</v>
          </cell>
          <cell r="C722" t="str">
            <v>-</v>
          </cell>
          <cell r="D722" t="str">
            <v>+</v>
          </cell>
          <cell r="E722" t="str">
            <v>+</v>
          </cell>
          <cell r="F722" t="str">
            <v>-</v>
          </cell>
          <cell r="G722" t="str">
            <v>+</v>
          </cell>
          <cell r="H722" t="str">
            <v>+</v>
          </cell>
          <cell r="I722" t="str">
            <v>X</v>
          </cell>
          <cell r="J722" t="str">
            <v>-</v>
          </cell>
          <cell r="K722" t="str">
            <v>X</v>
          </cell>
          <cell r="L722" t="str">
            <v>X</v>
          </cell>
          <cell r="M722" t="str">
            <v>X</v>
          </cell>
          <cell r="N722" t="str">
            <v>-</v>
          </cell>
          <cell r="O722" t="str">
            <v>-</v>
          </cell>
        </row>
        <row r="723">
          <cell r="A723">
            <v>64251000</v>
          </cell>
          <cell r="B723" t="str">
            <v>Linguini scampi Sri Lanka ASC currysaus 400g FARMERSLAND</v>
          </cell>
          <cell r="C723" t="str">
            <v>-</v>
          </cell>
          <cell r="D723" t="str">
            <v>X</v>
          </cell>
          <cell r="E723" t="str">
            <v>+</v>
          </cell>
          <cell r="F723" t="str">
            <v>X</v>
          </cell>
          <cell r="G723" t="str">
            <v>+</v>
          </cell>
          <cell r="H723" t="str">
            <v>X</v>
          </cell>
          <cell r="I723" t="str">
            <v>-</v>
          </cell>
          <cell r="J723" t="str">
            <v>+</v>
          </cell>
          <cell r="K723" t="str">
            <v>-</v>
          </cell>
          <cell r="L723" t="str">
            <v>-</v>
          </cell>
          <cell r="M723" t="str">
            <v>X</v>
          </cell>
          <cell r="N723" t="str">
            <v>+</v>
          </cell>
          <cell r="O723" t="str">
            <v>X</v>
          </cell>
        </row>
        <row r="724">
          <cell r="A724">
            <v>64251100</v>
          </cell>
          <cell r="B724" t="str">
            <v>Tagliatelle scampi Sri Lanka ASC looksaus 400g FARMERSLAND</v>
          </cell>
          <cell r="C724" t="str">
            <v>-</v>
          </cell>
          <cell r="D724" t="str">
            <v>+</v>
          </cell>
          <cell r="E724" t="str">
            <v>+</v>
          </cell>
          <cell r="F724" t="str">
            <v>X</v>
          </cell>
          <cell r="G724" t="str">
            <v>+</v>
          </cell>
          <cell r="H724" t="str">
            <v>X</v>
          </cell>
          <cell r="I724" t="str">
            <v>-</v>
          </cell>
          <cell r="J724" t="str">
            <v>+</v>
          </cell>
          <cell r="K724" t="str">
            <v>-</v>
          </cell>
          <cell r="L724" t="str">
            <v>-</v>
          </cell>
          <cell r="M724" t="str">
            <v>X</v>
          </cell>
          <cell r="N724" t="str">
            <v>+</v>
          </cell>
          <cell r="O724" t="str">
            <v>X</v>
          </cell>
        </row>
        <row r="725">
          <cell r="A725">
            <v>64251200</v>
          </cell>
          <cell r="B725" t="str">
            <v>Linguini scampi India ASC currysaus 400g FARMERSLAND</v>
          </cell>
          <cell r="C725" t="str">
            <v>-</v>
          </cell>
          <cell r="D725" t="str">
            <v>X</v>
          </cell>
          <cell r="E725" t="str">
            <v>+</v>
          </cell>
          <cell r="F725" t="str">
            <v>X</v>
          </cell>
          <cell r="G725" t="str">
            <v>+</v>
          </cell>
          <cell r="H725" t="str">
            <v>X</v>
          </cell>
          <cell r="I725" t="str">
            <v>-</v>
          </cell>
          <cell r="J725" t="str">
            <v>+</v>
          </cell>
          <cell r="K725" t="str">
            <v>-</v>
          </cell>
          <cell r="L725" t="str">
            <v>-</v>
          </cell>
          <cell r="M725" t="str">
            <v>X</v>
          </cell>
          <cell r="N725" t="str">
            <v>+</v>
          </cell>
          <cell r="O725" t="str">
            <v>X</v>
          </cell>
        </row>
        <row r="726">
          <cell r="A726">
            <v>64251300</v>
          </cell>
          <cell r="B726" t="str">
            <v>Tagliatelle scampi India ASC looksaus 400g FARMERSLAND</v>
          </cell>
          <cell r="C726" t="str">
            <v>-</v>
          </cell>
          <cell r="D726" t="str">
            <v>+</v>
          </cell>
          <cell r="E726" t="str">
            <v>+</v>
          </cell>
          <cell r="F726" t="str">
            <v>X</v>
          </cell>
          <cell r="G726" t="str">
            <v>+</v>
          </cell>
          <cell r="H726" t="str">
            <v>X</v>
          </cell>
          <cell r="I726" t="str">
            <v>-</v>
          </cell>
          <cell r="J726" t="str">
            <v>+</v>
          </cell>
          <cell r="K726" t="str">
            <v>-</v>
          </cell>
          <cell r="L726" t="str">
            <v>-</v>
          </cell>
          <cell r="M726" t="str">
            <v>X</v>
          </cell>
          <cell r="N726" t="str">
            <v>+</v>
          </cell>
          <cell r="O726" t="str">
            <v>X</v>
          </cell>
        </row>
        <row r="727">
          <cell r="A727">
            <v>64255000</v>
          </cell>
          <cell r="B727" t="str">
            <v>Kip Teriyaki pandanrijst brocoli 400g LIDL DE EW</v>
          </cell>
          <cell r="C727" t="str">
            <v>-</v>
          </cell>
          <cell r="D727" t="str">
            <v>-</v>
          </cell>
          <cell r="E727" t="str">
            <v>-</v>
          </cell>
          <cell r="F727" t="str">
            <v>-</v>
          </cell>
          <cell r="G727" t="str">
            <v>-</v>
          </cell>
          <cell r="H727" t="str">
            <v>-</v>
          </cell>
          <cell r="I727" t="str">
            <v>-</v>
          </cell>
          <cell r="J727" t="str">
            <v>-</v>
          </cell>
          <cell r="K727" t="str">
            <v>-</v>
          </cell>
          <cell r="L727" t="str">
            <v>+</v>
          </cell>
          <cell r="M727" t="str">
            <v>+</v>
          </cell>
          <cell r="N727" t="str">
            <v>-</v>
          </cell>
          <cell r="O727" t="str">
            <v>-</v>
          </cell>
        </row>
        <row r="728">
          <cell r="A728">
            <v>64255100</v>
          </cell>
          <cell r="B728" t="str">
            <v>Kipfilet Saté rijst sojabonen 400g LIDL DE EW</v>
          </cell>
          <cell r="C728" t="str">
            <v>+</v>
          </cell>
          <cell r="D728" t="str">
            <v>-</v>
          </cell>
          <cell r="E728" t="str">
            <v>-</v>
          </cell>
          <cell r="F728" t="str">
            <v>-</v>
          </cell>
          <cell r="G728" t="str">
            <v>-</v>
          </cell>
          <cell r="H728" t="str">
            <v>-</v>
          </cell>
          <cell r="I728" t="str">
            <v>-</v>
          </cell>
          <cell r="J728" t="str">
            <v>-</v>
          </cell>
          <cell r="K728" t="str">
            <v>-</v>
          </cell>
          <cell r="L728" t="str">
            <v>-</v>
          </cell>
          <cell r="M728" t="str">
            <v>+</v>
          </cell>
          <cell r="N728" t="str">
            <v>-</v>
          </cell>
          <cell r="O728" t="str">
            <v>-</v>
          </cell>
        </row>
        <row r="729">
          <cell r="A729">
            <v>64255200</v>
          </cell>
          <cell r="B729" t="str">
            <v>Chili sin carne avocado 400g LIDL DE EW</v>
          </cell>
          <cell r="C729" t="str">
            <v>-</v>
          </cell>
          <cell r="D729" t="str">
            <v>X</v>
          </cell>
          <cell r="E729" t="str">
            <v>+</v>
          </cell>
          <cell r="F729" t="str">
            <v>-</v>
          </cell>
          <cell r="G729" t="str">
            <v>X</v>
          </cell>
          <cell r="H729" t="str">
            <v>X</v>
          </cell>
          <cell r="I729" t="str">
            <v>-</v>
          </cell>
          <cell r="J729" t="str">
            <v>X</v>
          </cell>
          <cell r="K729" t="str">
            <v>X</v>
          </cell>
          <cell r="L729" t="str">
            <v>-</v>
          </cell>
          <cell r="M729" t="str">
            <v>+</v>
          </cell>
          <cell r="N729" t="str">
            <v>X</v>
          </cell>
          <cell r="O729" t="str">
            <v>-</v>
          </cell>
        </row>
        <row r="730">
          <cell r="A730">
            <v>64260300</v>
          </cell>
          <cell r="B730" t="str">
            <v xml:space="preserve">Witloof ham kaas 350g THIRIET </v>
          </cell>
          <cell r="C730" t="str">
            <v>-</v>
          </cell>
          <cell r="D730" t="str">
            <v>-</v>
          </cell>
          <cell r="E730" t="str">
            <v>+</v>
          </cell>
          <cell r="F730" t="str">
            <v>X</v>
          </cell>
          <cell r="G730" t="str">
            <v>+</v>
          </cell>
          <cell r="H730" t="str">
            <v>X</v>
          </cell>
          <cell r="I730" t="str">
            <v>-</v>
          </cell>
          <cell r="J730" t="str">
            <v>-</v>
          </cell>
          <cell r="K730" t="str">
            <v>-</v>
          </cell>
          <cell r="L730" t="str">
            <v>-</v>
          </cell>
          <cell r="M730" t="str">
            <v>X</v>
          </cell>
          <cell r="N730" t="str">
            <v>-</v>
          </cell>
          <cell r="O730" t="str">
            <v>-</v>
          </cell>
        </row>
        <row r="731">
          <cell r="A731">
            <v>64270000</v>
          </cell>
          <cell r="B731" t="str">
            <v>Bami goreng 400g FRIO</v>
          </cell>
          <cell r="C731" t="str">
            <v>-</v>
          </cell>
          <cell r="D731" t="str">
            <v>X</v>
          </cell>
          <cell r="E731" t="str">
            <v>+</v>
          </cell>
          <cell r="F731" t="str">
            <v>X</v>
          </cell>
          <cell r="G731" t="str">
            <v>-</v>
          </cell>
          <cell r="H731" t="str">
            <v>+</v>
          </cell>
          <cell r="I731" t="str">
            <v>-</v>
          </cell>
          <cell r="J731" t="str">
            <v>-</v>
          </cell>
          <cell r="K731" t="str">
            <v>+</v>
          </cell>
          <cell r="L731" t="str">
            <v>-</v>
          </cell>
          <cell r="M731" t="str">
            <v>+</v>
          </cell>
          <cell r="N731" t="str">
            <v>-</v>
          </cell>
          <cell r="O731" t="str">
            <v>-</v>
          </cell>
        </row>
        <row r="732">
          <cell r="A732">
            <v>64270100</v>
          </cell>
          <cell r="B732" t="str">
            <v>Nasi goreng 400g FRIO</v>
          </cell>
          <cell r="C732" t="str">
            <v>-</v>
          </cell>
          <cell r="D732" t="str">
            <v>-</v>
          </cell>
          <cell r="E732" t="str">
            <v>+</v>
          </cell>
          <cell r="F732" t="str">
            <v>-</v>
          </cell>
          <cell r="G732" t="str">
            <v>-</v>
          </cell>
          <cell r="H732" t="str">
            <v>+</v>
          </cell>
          <cell r="I732" t="str">
            <v>-</v>
          </cell>
          <cell r="J732" t="str">
            <v>-</v>
          </cell>
          <cell r="K732" t="str">
            <v>+</v>
          </cell>
          <cell r="L732" t="str">
            <v>-</v>
          </cell>
          <cell r="M732" t="str">
            <v>+</v>
          </cell>
          <cell r="N732" t="str">
            <v>-</v>
          </cell>
          <cell r="O732" t="str">
            <v>-</v>
          </cell>
        </row>
        <row r="733">
          <cell r="A733">
            <v>64270200</v>
          </cell>
          <cell r="B733" t="str">
            <v>Macaroni (elleboogjes) 400g FRIO</v>
          </cell>
          <cell r="C733" t="str">
            <v>-</v>
          </cell>
          <cell r="D733" t="str">
            <v>X</v>
          </cell>
          <cell r="E733" t="str">
            <v>+</v>
          </cell>
          <cell r="F733" t="str">
            <v>X</v>
          </cell>
          <cell r="G733" t="str">
            <v>-</v>
          </cell>
          <cell r="H733" t="str">
            <v>X</v>
          </cell>
          <cell r="I733" t="str">
            <v>-</v>
          </cell>
          <cell r="J733" t="str">
            <v>-</v>
          </cell>
          <cell r="K733" t="str">
            <v>+</v>
          </cell>
          <cell r="L733" t="str">
            <v>-</v>
          </cell>
          <cell r="M733" t="str">
            <v>+</v>
          </cell>
          <cell r="N733" t="str">
            <v>-</v>
          </cell>
          <cell r="O733" t="str">
            <v>-</v>
          </cell>
        </row>
        <row r="734">
          <cell r="A734">
            <v>64280100</v>
          </cell>
          <cell r="B734" t="str">
            <v>Lasagne kip champignons 450g BOF</v>
          </cell>
          <cell r="C734" t="str">
            <v>-</v>
          </cell>
          <cell r="D734" t="str">
            <v>+</v>
          </cell>
          <cell r="E734" t="str">
            <v>+</v>
          </cell>
          <cell r="F734" t="str">
            <v>-</v>
          </cell>
          <cell r="G734" t="str">
            <v>+</v>
          </cell>
          <cell r="H734" t="str">
            <v>X</v>
          </cell>
          <cell r="I734" t="str">
            <v>-</v>
          </cell>
          <cell r="J734" t="str">
            <v>X</v>
          </cell>
          <cell r="K734" t="str">
            <v>X</v>
          </cell>
          <cell r="L734" t="str">
            <v>-</v>
          </cell>
          <cell r="M734" t="str">
            <v>X</v>
          </cell>
          <cell r="N734" t="str">
            <v>X</v>
          </cell>
          <cell r="O734" t="str">
            <v>X</v>
          </cell>
        </row>
        <row r="735">
          <cell r="A735">
            <v>64280200</v>
          </cell>
          <cell r="B735" t="str">
            <v>Lasagne zalm spinazie 450g BOF</v>
          </cell>
          <cell r="C735" t="str">
            <v>-</v>
          </cell>
          <cell r="D735" t="str">
            <v>+</v>
          </cell>
          <cell r="E735" t="str">
            <v>+</v>
          </cell>
          <cell r="F735" t="str">
            <v>-</v>
          </cell>
          <cell r="G735" t="str">
            <v>+</v>
          </cell>
          <cell r="H735" t="str">
            <v>-</v>
          </cell>
          <cell r="I735" t="str">
            <v>-</v>
          </cell>
          <cell r="J735" t="str">
            <v>+</v>
          </cell>
          <cell r="K735" t="str">
            <v>-</v>
          </cell>
          <cell r="L735" t="str">
            <v>-</v>
          </cell>
          <cell r="M735" t="str">
            <v>-</v>
          </cell>
          <cell r="N735" t="str">
            <v>+</v>
          </cell>
          <cell r="O735" t="str">
            <v>X</v>
          </cell>
        </row>
        <row r="736">
          <cell r="A736">
            <v>64280300</v>
          </cell>
          <cell r="B736" t="str">
            <v>Lasagne witloof ham kaas 450g BOF</v>
          </cell>
          <cell r="C736" t="str">
            <v>-</v>
          </cell>
          <cell r="D736" t="str">
            <v>+</v>
          </cell>
          <cell r="E736" t="str">
            <v>+</v>
          </cell>
          <cell r="F736" t="str">
            <v>X</v>
          </cell>
          <cell r="G736" t="str">
            <v>+</v>
          </cell>
          <cell r="H736" t="str">
            <v>X</v>
          </cell>
          <cell r="I736" t="str">
            <v>-</v>
          </cell>
          <cell r="J736" t="str">
            <v>-</v>
          </cell>
          <cell r="K736" t="str">
            <v>X</v>
          </cell>
          <cell r="L736" t="str">
            <v>-</v>
          </cell>
          <cell r="M736" t="str">
            <v>X</v>
          </cell>
          <cell r="N736" t="str">
            <v>-</v>
          </cell>
          <cell r="O736" t="str">
            <v>X</v>
          </cell>
        </row>
        <row r="737">
          <cell r="A737">
            <v>64280400</v>
          </cell>
          <cell r="B737" t="str">
            <v>Rundstoofvlees in biersaus 450g BOF</v>
          </cell>
          <cell r="C737" t="str">
            <v>-</v>
          </cell>
          <cell r="D737" t="str">
            <v>X</v>
          </cell>
          <cell r="E737" t="str">
            <v>+</v>
          </cell>
          <cell r="F737" t="str">
            <v>X</v>
          </cell>
          <cell r="G737" t="str">
            <v>X</v>
          </cell>
          <cell r="H737" t="str">
            <v>+</v>
          </cell>
          <cell r="I737" t="str">
            <v>-</v>
          </cell>
          <cell r="J737" t="str">
            <v>-</v>
          </cell>
          <cell r="K737" t="str">
            <v>+</v>
          </cell>
          <cell r="L737" t="str">
            <v>-</v>
          </cell>
          <cell r="M737" t="str">
            <v>X</v>
          </cell>
          <cell r="N737" t="str">
            <v>-</v>
          </cell>
          <cell r="O737" t="str">
            <v>-</v>
          </cell>
        </row>
        <row r="738">
          <cell r="A738">
            <v>64280600</v>
          </cell>
          <cell r="B738" t="str">
            <v>Macaroni ham kaas 450g BOF</v>
          </cell>
          <cell r="C738" t="str">
            <v>-</v>
          </cell>
          <cell r="D738" t="str">
            <v>X</v>
          </cell>
          <cell r="E738" t="str">
            <v>+</v>
          </cell>
          <cell r="F738" t="str">
            <v>X</v>
          </cell>
          <cell r="G738" t="str">
            <v>+</v>
          </cell>
          <cell r="H738" t="str">
            <v>X</v>
          </cell>
          <cell r="I738" t="str">
            <v>-</v>
          </cell>
          <cell r="J738" t="str">
            <v>-</v>
          </cell>
          <cell r="K738" t="str">
            <v>-</v>
          </cell>
          <cell r="L738" t="str">
            <v>-</v>
          </cell>
          <cell r="M738" t="str">
            <v>X</v>
          </cell>
          <cell r="N738" t="str">
            <v>-</v>
          </cell>
          <cell r="O738" t="str">
            <v>-</v>
          </cell>
        </row>
        <row r="739">
          <cell r="A739">
            <v>64280700</v>
          </cell>
          <cell r="B739" t="str">
            <v xml:space="preserve">Kippenragout voor videes 450g BOF </v>
          </cell>
          <cell r="C739" t="str">
            <v>-</v>
          </cell>
          <cell r="D739" t="str">
            <v>X</v>
          </cell>
          <cell r="E739" t="str">
            <v>+</v>
          </cell>
          <cell r="F739" t="str">
            <v>X</v>
          </cell>
          <cell r="G739" t="str">
            <v>+</v>
          </cell>
          <cell r="H739" t="str">
            <v>X</v>
          </cell>
          <cell r="I739" t="str">
            <v>-</v>
          </cell>
          <cell r="J739" t="str">
            <v>X</v>
          </cell>
          <cell r="K739" t="str">
            <v>X</v>
          </cell>
          <cell r="L739" t="str">
            <v>-</v>
          </cell>
          <cell r="M739" t="str">
            <v>X</v>
          </cell>
          <cell r="N739" t="str">
            <v>X</v>
          </cell>
          <cell r="O739" t="str">
            <v>X</v>
          </cell>
        </row>
        <row r="740">
          <cell r="A740">
            <v>64280900</v>
          </cell>
          <cell r="B740" t="str">
            <v>Rundstong madeirasaus 400g BOF</v>
          </cell>
          <cell r="C740" t="str">
            <v>-</v>
          </cell>
          <cell r="D740" t="str">
            <v>X</v>
          </cell>
          <cell r="E740" t="str">
            <v>+</v>
          </cell>
          <cell r="F740" t="str">
            <v>X</v>
          </cell>
          <cell r="G740" t="str">
            <v>+</v>
          </cell>
          <cell r="H740" t="str">
            <v>X</v>
          </cell>
          <cell r="I740" t="str">
            <v>-</v>
          </cell>
          <cell r="J740" t="str">
            <v>-</v>
          </cell>
          <cell r="K740" t="str">
            <v>+</v>
          </cell>
          <cell r="L740" t="str">
            <v>-</v>
          </cell>
          <cell r="M740" t="str">
            <v>X</v>
          </cell>
          <cell r="N740" t="str">
            <v>-</v>
          </cell>
          <cell r="O740" t="str">
            <v>-</v>
          </cell>
        </row>
        <row r="741">
          <cell r="A741">
            <v>64281000</v>
          </cell>
          <cell r="B741" t="str">
            <v>Macaroni ham kaas 450g BOF</v>
          </cell>
          <cell r="C741" t="str">
            <v>-</v>
          </cell>
          <cell r="D741" t="str">
            <v>X</v>
          </cell>
          <cell r="E741" t="str">
            <v>+</v>
          </cell>
          <cell r="F741" t="str">
            <v>X</v>
          </cell>
          <cell r="G741" t="str">
            <v>+</v>
          </cell>
          <cell r="H741" t="str">
            <v>X</v>
          </cell>
          <cell r="I741" t="str">
            <v>-</v>
          </cell>
          <cell r="J741" t="str">
            <v>-</v>
          </cell>
          <cell r="K741" t="str">
            <v>-</v>
          </cell>
          <cell r="L741" t="str">
            <v>-</v>
          </cell>
          <cell r="M741" t="str">
            <v>X</v>
          </cell>
          <cell r="N741" t="str">
            <v>-</v>
          </cell>
          <cell r="O741" t="str">
            <v>-</v>
          </cell>
        </row>
        <row r="742">
          <cell r="A742">
            <v>64281100</v>
          </cell>
          <cell r="B742" t="str">
            <v>Kalfsblanket oude wijze krielaardappelen 450g BOF</v>
          </cell>
          <cell r="C742" t="str">
            <v>-</v>
          </cell>
          <cell r="D742" t="str">
            <v>X</v>
          </cell>
          <cell r="E742" t="str">
            <v>+</v>
          </cell>
          <cell r="F742" t="str">
            <v>X</v>
          </cell>
          <cell r="G742" t="str">
            <v>+</v>
          </cell>
          <cell r="H742" t="str">
            <v>X</v>
          </cell>
          <cell r="I742" t="str">
            <v>-</v>
          </cell>
          <cell r="J742" t="str">
            <v>-</v>
          </cell>
          <cell r="K742" t="str">
            <v>X</v>
          </cell>
          <cell r="L742" t="str">
            <v>-</v>
          </cell>
          <cell r="M742" t="str">
            <v>X</v>
          </cell>
          <cell r="N742" t="str">
            <v>-</v>
          </cell>
          <cell r="O742" t="str">
            <v>-</v>
          </cell>
        </row>
        <row r="743">
          <cell r="A743">
            <v>64281200</v>
          </cell>
          <cell r="B743" t="str">
            <v xml:space="preserve">Kabeljauw garnalen duo vermouth 450g BOF </v>
          </cell>
          <cell r="C743" t="str">
            <v>-</v>
          </cell>
          <cell r="D743" t="str">
            <v>-</v>
          </cell>
          <cell r="E743" t="str">
            <v>+</v>
          </cell>
          <cell r="F743" t="str">
            <v>X</v>
          </cell>
          <cell r="G743" t="str">
            <v>+</v>
          </cell>
          <cell r="H743" t="str">
            <v>X</v>
          </cell>
          <cell r="I743" t="str">
            <v>-</v>
          </cell>
          <cell r="J743" t="str">
            <v>+</v>
          </cell>
          <cell r="K743" t="str">
            <v>-</v>
          </cell>
          <cell r="L743" t="str">
            <v>-</v>
          </cell>
          <cell r="M743" t="str">
            <v>X</v>
          </cell>
          <cell r="N743" t="str">
            <v>+</v>
          </cell>
          <cell r="O743" t="str">
            <v>X</v>
          </cell>
        </row>
        <row r="744">
          <cell r="A744">
            <v>64281300</v>
          </cell>
          <cell r="B744" t="str">
            <v>Vispannetje Oostends ASC - MSC 420g BOF</v>
          </cell>
          <cell r="C744" t="str">
            <v>-</v>
          </cell>
          <cell r="D744" t="str">
            <v>-</v>
          </cell>
          <cell r="E744" t="str">
            <v>+</v>
          </cell>
          <cell r="F744" t="str">
            <v>X</v>
          </cell>
          <cell r="G744" t="str">
            <v>+</v>
          </cell>
          <cell r="H744" t="str">
            <v>X</v>
          </cell>
          <cell r="I744" t="str">
            <v>-</v>
          </cell>
          <cell r="J744" t="str">
            <v>X</v>
          </cell>
          <cell r="K744" t="str">
            <v>+</v>
          </cell>
          <cell r="L744" t="str">
            <v>-</v>
          </cell>
          <cell r="M744" t="str">
            <v>X</v>
          </cell>
          <cell r="N744" t="str">
            <v>+</v>
          </cell>
          <cell r="O744" t="str">
            <v>X</v>
          </cell>
        </row>
        <row r="745">
          <cell r="A745">
            <v>64281400</v>
          </cell>
          <cell r="B745" t="str">
            <v>Lasagne zalm ASC spinazie 450g BOF</v>
          </cell>
          <cell r="C745" t="str">
            <v>-</v>
          </cell>
          <cell r="D745" t="str">
            <v>+</v>
          </cell>
          <cell r="E745" t="str">
            <v>+</v>
          </cell>
          <cell r="F745" t="str">
            <v>-</v>
          </cell>
          <cell r="G745" t="str">
            <v>+</v>
          </cell>
          <cell r="H745" t="str">
            <v>-</v>
          </cell>
          <cell r="I745" t="str">
            <v>-</v>
          </cell>
          <cell r="J745" t="str">
            <v>+</v>
          </cell>
          <cell r="K745" t="str">
            <v>-</v>
          </cell>
          <cell r="L745" t="str">
            <v>-</v>
          </cell>
          <cell r="M745" t="str">
            <v>-</v>
          </cell>
          <cell r="N745" t="str">
            <v>+</v>
          </cell>
          <cell r="O745" t="str">
            <v>X</v>
          </cell>
        </row>
        <row r="746">
          <cell r="A746">
            <v>64281500</v>
          </cell>
          <cell r="B746" t="str">
            <v>Reuze garnalen curry 400g BOF</v>
          </cell>
          <cell r="C746" t="str">
            <v>-</v>
          </cell>
          <cell r="D746" t="str">
            <v>-</v>
          </cell>
          <cell r="E746" t="str">
            <v>+</v>
          </cell>
          <cell r="F746" t="str">
            <v>X</v>
          </cell>
          <cell r="G746" t="str">
            <v>+</v>
          </cell>
          <cell r="H746" t="str">
            <v>+</v>
          </cell>
          <cell r="I746" t="str">
            <v>-</v>
          </cell>
          <cell r="J746" t="str">
            <v>+</v>
          </cell>
          <cell r="K746" t="str">
            <v>+</v>
          </cell>
          <cell r="L746" t="str">
            <v>-</v>
          </cell>
          <cell r="M746" t="str">
            <v>X</v>
          </cell>
          <cell r="N746" t="str">
            <v>+</v>
          </cell>
          <cell r="O746" t="str">
            <v>X</v>
          </cell>
        </row>
        <row r="747">
          <cell r="A747">
            <v>64281600</v>
          </cell>
          <cell r="B747" t="str">
            <v>Reuze garnalen curry 400g BOF</v>
          </cell>
          <cell r="C747" t="str">
            <v>-</v>
          </cell>
          <cell r="D747" t="str">
            <v>-</v>
          </cell>
          <cell r="E747" t="str">
            <v>+</v>
          </cell>
          <cell r="F747" t="str">
            <v>X</v>
          </cell>
          <cell r="G747" t="str">
            <v>+</v>
          </cell>
          <cell r="H747" t="str">
            <v>+</v>
          </cell>
          <cell r="I747" t="str">
            <v>-</v>
          </cell>
          <cell r="J747" t="str">
            <v>+</v>
          </cell>
          <cell r="K747" t="str">
            <v>+</v>
          </cell>
          <cell r="L747" t="str">
            <v>-</v>
          </cell>
          <cell r="M747" t="str">
            <v>X</v>
          </cell>
          <cell r="N747" t="str">
            <v>+</v>
          </cell>
          <cell r="O747" t="str">
            <v>X</v>
          </cell>
        </row>
        <row r="748">
          <cell r="A748">
            <v>64281700</v>
          </cell>
          <cell r="B748" t="str">
            <v xml:space="preserve">Reuze garnalen ASC pittige tomatensaus 400g BOF </v>
          </cell>
          <cell r="C748" t="str">
            <v>-</v>
          </cell>
          <cell r="D748" t="str">
            <v>-</v>
          </cell>
          <cell r="E748" t="str">
            <v>-</v>
          </cell>
          <cell r="F748" t="str">
            <v>-</v>
          </cell>
          <cell r="G748" t="str">
            <v>+</v>
          </cell>
          <cell r="H748" t="str">
            <v>-</v>
          </cell>
          <cell r="I748" t="str">
            <v>-</v>
          </cell>
          <cell r="J748" t="str">
            <v>+</v>
          </cell>
          <cell r="K748" t="str">
            <v>-</v>
          </cell>
          <cell r="L748" t="str">
            <v>-</v>
          </cell>
          <cell r="M748" t="str">
            <v>-</v>
          </cell>
          <cell r="N748" t="str">
            <v>+</v>
          </cell>
          <cell r="O748" t="str">
            <v>X</v>
          </cell>
        </row>
        <row r="749">
          <cell r="A749">
            <v>64281800</v>
          </cell>
          <cell r="B749" t="str">
            <v xml:space="preserve">Kabeljauw garnalen duo vermouth 450g BOF </v>
          </cell>
          <cell r="C749" t="str">
            <v>-</v>
          </cell>
          <cell r="D749" t="str">
            <v>-</v>
          </cell>
          <cell r="E749" t="str">
            <v>+</v>
          </cell>
          <cell r="F749" t="str">
            <v>X</v>
          </cell>
          <cell r="G749" t="str">
            <v>+</v>
          </cell>
          <cell r="H749" t="str">
            <v>X</v>
          </cell>
          <cell r="I749" t="str">
            <v>-</v>
          </cell>
          <cell r="J749" t="str">
            <v>+</v>
          </cell>
          <cell r="K749" t="str">
            <v>-</v>
          </cell>
          <cell r="L749" t="str">
            <v>-</v>
          </cell>
          <cell r="M749" t="str">
            <v>X</v>
          </cell>
          <cell r="N749" t="str">
            <v>+</v>
          </cell>
          <cell r="O749" t="str">
            <v>X</v>
          </cell>
        </row>
        <row r="750">
          <cell r="A750">
            <v>64281900</v>
          </cell>
          <cell r="B750" t="str">
            <v>Peertjes rodewijn 450g BOF BE</v>
          </cell>
          <cell r="C750" t="str">
            <v>-</v>
          </cell>
          <cell r="D750" t="str">
            <v>-</v>
          </cell>
          <cell r="E750" t="str">
            <v>-</v>
          </cell>
          <cell r="F750" t="str">
            <v>-</v>
          </cell>
          <cell r="G750" t="str">
            <v>-</v>
          </cell>
          <cell r="H750" t="str">
            <v>-</v>
          </cell>
          <cell r="I750" t="str">
            <v>-</v>
          </cell>
          <cell r="J750" t="str">
            <v>-</v>
          </cell>
          <cell r="K750" t="str">
            <v>-</v>
          </cell>
          <cell r="L750" t="str">
            <v>-</v>
          </cell>
          <cell r="M750" t="str">
            <v>-</v>
          </cell>
          <cell r="N750" t="str">
            <v>-</v>
          </cell>
          <cell r="O750" t="str">
            <v>-</v>
          </cell>
        </row>
        <row r="751">
          <cell r="A751">
            <v>64282000</v>
          </cell>
          <cell r="B751" t="str">
            <v>Zwarte pens appelcompote puree 420g BOF BE</v>
          </cell>
          <cell r="C751" t="str">
            <v>-</v>
          </cell>
          <cell r="D751" t="str">
            <v>+</v>
          </cell>
          <cell r="E751" t="str">
            <v>+</v>
          </cell>
          <cell r="F751" t="str">
            <v>-</v>
          </cell>
          <cell r="G751" t="str">
            <v>+</v>
          </cell>
          <cell r="H751" t="str">
            <v>+</v>
          </cell>
          <cell r="I751" t="str">
            <v>-</v>
          </cell>
          <cell r="J751" t="str">
            <v>-</v>
          </cell>
          <cell r="K751" t="str">
            <v>+</v>
          </cell>
          <cell r="L751" t="str">
            <v>-</v>
          </cell>
          <cell r="M751" t="str">
            <v>+</v>
          </cell>
          <cell r="N751" t="str">
            <v>-</v>
          </cell>
          <cell r="O751" t="str">
            <v>-</v>
          </cell>
        </row>
        <row r="752">
          <cell r="A752">
            <v>64282100</v>
          </cell>
          <cell r="B752" t="str">
            <v>Reuze garnalen ASC curry 400g BOF</v>
          </cell>
          <cell r="C752" t="str">
            <v>-</v>
          </cell>
          <cell r="D752" t="str">
            <v>-</v>
          </cell>
          <cell r="E752" t="str">
            <v>+</v>
          </cell>
          <cell r="F752" t="str">
            <v>X</v>
          </cell>
          <cell r="G752" t="str">
            <v>+</v>
          </cell>
          <cell r="H752" t="str">
            <v>+</v>
          </cell>
          <cell r="I752" t="str">
            <v>-</v>
          </cell>
          <cell r="J752" t="str">
            <v>+</v>
          </cell>
          <cell r="K752" t="str">
            <v>+</v>
          </cell>
          <cell r="L752" t="str">
            <v>-</v>
          </cell>
          <cell r="M752" t="str">
            <v>X</v>
          </cell>
          <cell r="N752" t="str">
            <v>+</v>
          </cell>
          <cell r="O752" t="str">
            <v>X</v>
          </cell>
        </row>
        <row r="753">
          <cell r="A753">
            <v>64282200</v>
          </cell>
          <cell r="B753" t="str">
            <v>Cannelloni rund tomatensaus 400g BOF BE</v>
          </cell>
          <cell r="C753" t="str">
            <v>-</v>
          </cell>
          <cell r="D753" t="str">
            <v>+</v>
          </cell>
          <cell r="E753" t="str">
            <v>+</v>
          </cell>
          <cell r="F753" t="str">
            <v>X</v>
          </cell>
          <cell r="G753" t="str">
            <v>+</v>
          </cell>
          <cell r="H753" t="str">
            <v>X</v>
          </cell>
          <cell r="I753" t="str">
            <v>-</v>
          </cell>
          <cell r="J753" t="str">
            <v>-</v>
          </cell>
          <cell r="K753" t="str">
            <v>+</v>
          </cell>
          <cell r="L753" t="str">
            <v>-</v>
          </cell>
          <cell r="M753" t="str">
            <v>X</v>
          </cell>
          <cell r="N753" t="str">
            <v>-</v>
          </cell>
          <cell r="O753" t="str">
            <v>-</v>
          </cell>
        </row>
        <row r="754">
          <cell r="A754">
            <v>64282300</v>
          </cell>
          <cell r="B754" t="str">
            <v>Rundstoofvlees in biersaus 450g BOF</v>
          </cell>
          <cell r="C754" t="str">
            <v>-</v>
          </cell>
          <cell r="D754" t="str">
            <v>X</v>
          </cell>
          <cell r="E754" t="str">
            <v>+</v>
          </cell>
          <cell r="F754" t="str">
            <v>X</v>
          </cell>
          <cell r="G754" t="str">
            <v>X</v>
          </cell>
          <cell r="H754" t="str">
            <v>+</v>
          </cell>
          <cell r="I754" t="str">
            <v>-</v>
          </cell>
          <cell r="J754" t="str">
            <v>-</v>
          </cell>
          <cell r="K754" t="str">
            <v>-</v>
          </cell>
          <cell r="L754" t="str">
            <v>-</v>
          </cell>
          <cell r="M754" t="str">
            <v>X</v>
          </cell>
          <cell r="N754" t="str">
            <v>-</v>
          </cell>
          <cell r="O754" t="str">
            <v>-</v>
          </cell>
        </row>
        <row r="755">
          <cell r="A755">
            <v>64282400</v>
          </cell>
          <cell r="B755" t="str">
            <v>Witte pens appelcompote puree 420g BOF BE</v>
          </cell>
          <cell r="C755" t="str">
            <v>-</v>
          </cell>
          <cell r="D755" t="str">
            <v>+</v>
          </cell>
          <cell r="E755" t="str">
            <v>+</v>
          </cell>
          <cell r="F755" t="str">
            <v>-</v>
          </cell>
          <cell r="G755" t="str">
            <v>+</v>
          </cell>
          <cell r="H755" t="str">
            <v>+</v>
          </cell>
          <cell r="I755" t="str">
            <v>-</v>
          </cell>
          <cell r="J755" t="str">
            <v>-</v>
          </cell>
          <cell r="K755" t="str">
            <v>+</v>
          </cell>
          <cell r="L755" t="str">
            <v>-</v>
          </cell>
          <cell r="M755" t="str">
            <v>+</v>
          </cell>
          <cell r="N755" t="str">
            <v>-</v>
          </cell>
          <cell r="O755" t="str">
            <v>-</v>
          </cell>
        </row>
        <row r="756">
          <cell r="A756">
            <v>64282500</v>
          </cell>
          <cell r="B756" t="str">
            <v>Kippenhaasje zoet zure rijst met groenten 420g BOF BE</v>
          </cell>
          <cell r="C756" t="str">
            <v>-</v>
          </cell>
          <cell r="D756" t="str">
            <v>-</v>
          </cell>
          <cell r="E756" t="str">
            <v>-</v>
          </cell>
          <cell r="F756" t="str">
            <v>-</v>
          </cell>
          <cell r="G756" t="str">
            <v>-</v>
          </cell>
          <cell r="H756" t="str">
            <v>-</v>
          </cell>
          <cell r="I756" t="str">
            <v>-</v>
          </cell>
          <cell r="J756" t="str">
            <v>-</v>
          </cell>
          <cell r="K756" t="str">
            <v>-</v>
          </cell>
          <cell r="L756" t="str">
            <v>+</v>
          </cell>
          <cell r="M756" t="str">
            <v>+</v>
          </cell>
          <cell r="N756" t="str">
            <v>-</v>
          </cell>
          <cell r="O756" t="str">
            <v>-</v>
          </cell>
        </row>
        <row r="757">
          <cell r="A757">
            <v>64282600</v>
          </cell>
          <cell r="B757" t="str">
            <v>Varkensreepjes babi pangang rijstmix 450g BOF BE</v>
          </cell>
          <cell r="C757" t="str">
            <v>-</v>
          </cell>
          <cell r="D757" t="str">
            <v>X</v>
          </cell>
          <cell r="E757" t="str">
            <v>+</v>
          </cell>
          <cell r="F757" t="str">
            <v>-</v>
          </cell>
          <cell r="G757" t="str">
            <v>X</v>
          </cell>
          <cell r="H757" t="str">
            <v>X</v>
          </cell>
          <cell r="I757" t="str">
            <v>-</v>
          </cell>
          <cell r="J757" t="str">
            <v>-</v>
          </cell>
          <cell r="K757" t="str">
            <v>X</v>
          </cell>
          <cell r="L757" t="str">
            <v>+</v>
          </cell>
          <cell r="M757" t="str">
            <v>+</v>
          </cell>
          <cell r="N757" t="str">
            <v>-</v>
          </cell>
          <cell r="O757" t="str">
            <v>-</v>
          </cell>
        </row>
        <row r="758">
          <cell r="A758">
            <v>64290000</v>
          </cell>
          <cell r="B758" t="str">
            <v>Penne 4 kazen broccoli 435g CASPER</v>
          </cell>
          <cell r="C758" t="str">
            <v>-</v>
          </cell>
          <cell r="D758" t="str">
            <v>+</v>
          </cell>
          <cell r="E758" t="str">
            <v>+</v>
          </cell>
          <cell r="F758" t="str">
            <v>X</v>
          </cell>
          <cell r="G758" t="str">
            <v>+</v>
          </cell>
          <cell r="H758" t="str">
            <v>X</v>
          </cell>
          <cell r="I758" t="str">
            <v>-</v>
          </cell>
          <cell r="J758" t="str">
            <v>-</v>
          </cell>
          <cell r="K758" t="str">
            <v>-</v>
          </cell>
          <cell r="L758" t="str">
            <v>-</v>
          </cell>
          <cell r="M758" t="str">
            <v>X</v>
          </cell>
          <cell r="N758" t="str">
            <v>-</v>
          </cell>
          <cell r="O758" t="str">
            <v>-</v>
          </cell>
        </row>
        <row r="759">
          <cell r="A759">
            <v>64290100</v>
          </cell>
          <cell r="B759" t="str">
            <v>Penne truffel boschampignons 435g CASPER</v>
          </cell>
          <cell r="C759" t="str">
            <v>-</v>
          </cell>
          <cell r="D759" t="str">
            <v>+</v>
          </cell>
          <cell r="E759" t="str">
            <v>+</v>
          </cell>
          <cell r="F759" t="str">
            <v>X</v>
          </cell>
          <cell r="G759" t="str">
            <v>+</v>
          </cell>
          <cell r="H759" t="str">
            <v>X</v>
          </cell>
          <cell r="I759" t="str">
            <v>-</v>
          </cell>
          <cell r="J759" t="str">
            <v>-</v>
          </cell>
          <cell r="K759" t="str">
            <v>-</v>
          </cell>
          <cell r="L759" t="str">
            <v>-</v>
          </cell>
          <cell r="M759" t="str">
            <v>X</v>
          </cell>
          <cell r="N759" t="str">
            <v>-</v>
          </cell>
          <cell r="O759" t="str">
            <v>-</v>
          </cell>
        </row>
        <row r="760">
          <cell r="A760">
            <v>64290200</v>
          </cell>
          <cell r="B760" t="str">
            <v>Macaroni ham kaas classic 435g CASPER</v>
          </cell>
          <cell r="C760" t="str">
            <v>-</v>
          </cell>
          <cell r="D760" t="str">
            <v>+</v>
          </cell>
          <cell r="E760" t="str">
            <v>+</v>
          </cell>
          <cell r="F760" t="str">
            <v>X</v>
          </cell>
          <cell r="G760" t="str">
            <v>+</v>
          </cell>
          <cell r="H760" t="str">
            <v>X</v>
          </cell>
          <cell r="I760" t="str">
            <v>-</v>
          </cell>
          <cell r="J760" t="str">
            <v>-</v>
          </cell>
          <cell r="K760" t="str">
            <v>-</v>
          </cell>
          <cell r="L760" t="str">
            <v>-</v>
          </cell>
          <cell r="M760" t="str">
            <v>X</v>
          </cell>
          <cell r="N760" t="str">
            <v>-</v>
          </cell>
          <cell r="O760" t="str">
            <v>-</v>
          </cell>
        </row>
        <row r="761">
          <cell r="A761">
            <v>64290300</v>
          </cell>
          <cell r="B761" t="str">
            <v>Macaroni kaas holy grail 435g CASPER</v>
          </cell>
          <cell r="C761" t="str">
            <v>-</v>
          </cell>
          <cell r="D761" t="str">
            <v>+</v>
          </cell>
          <cell r="E761" t="str">
            <v>+</v>
          </cell>
          <cell r="F761" t="str">
            <v>X</v>
          </cell>
          <cell r="G761" t="str">
            <v>+</v>
          </cell>
          <cell r="H761" t="str">
            <v>X</v>
          </cell>
          <cell r="I761" t="str">
            <v>-</v>
          </cell>
          <cell r="J761" t="str">
            <v>-</v>
          </cell>
          <cell r="K761" t="str">
            <v>+</v>
          </cell>
          <cell r="L761" t="str">
            <v>-</v>
          </cell>
          <cell r="M761" t="str">
            <v>X</v>
          </cell>
          <cell r="N761" t="str">
            <v>-</v>
          </cell>
          <cell r="O761" t="str">
            <v>-</v>
          </cell>
        </row>
        <row r="762">
          <cell r="A762">
            <v>64290400</v>
          </cell>
          <cell r="B762" t="str">
            <v>Lasagne bolognaise classic 450g CASPER</v>
          </cell>
          <cell r="C762" t="str">
            <v>-</v>
          </cell>
          <cell r="D762" t="str">
            <v>+</v>
          </cell>
          <cell r="E762" t="str">
            <v>+</v>
          </cell>
          <cell r="F762" t="str">
            <v>X</v>
          </cell>
          <cell r="G762" t="str">
            <v>+</v>
          </cell>
          <cell r="H762" t="str">
            <v>X</v>
          </cell>
          <cell r="I762" t="str">
            <v>-</v>
          </cell>
          <cell r="J762" t="str">
            <v>-</v>
          </cell>
          <cell r="K762" t="str">
            <v>+</v>
          </cell>
          <cell r="L762" t="str">
            <v>-</v>
          </cell>
          <cell r="M762" t="str">
            <v>X</v>
          </cell>
          <cell r="N762" t="str">
            <v>-</v>
          </cell>
          <cell r="O762" t="str">
            <v>X</v>
          </cell>
        </row>
        <row r="763">
          <cell r="A763">
            <v>64290500</v>
          </cell>
          <cell r="B763" t="str">
            <v>Linguini fijne kruidensaus 350g CASPER</v>
          </cell>
          <cell r="C763" t="str">
            <v>-</v>
          </cell>
          <cell r="D763" t="str">
            <v>+</v>
          </cell>
          <cell r="E763" t="str">
            <v>+</v>
          </cell>
          <cell r="F763" t="str">
            <v>X</v>
          </cell>
          <cell r="G763" t="str">
            <v>+</v>
          </cell>
          <cell r="H763" t="str">
            <v>X</v>
          </cell>
          <cell r="I763" t="str">
            <v>-</v>
          </cell>
          <cell r="J763" t="str">
            <v>-</v>
          </cell>
          <cell r="K763" t="str">
            <v>+</v>
          </cell>
          <cell r="L763" t="str">
            <v>-</v>
          </cell>
          <cell r="M763" t="str">
            <v>X</v>
          </cell>
          <cell r="N763" t="str">
            <v>-</v>
          </cell>
          <cell r="O763" t="str">
            <v>-</v>
          </cell>
        </row>
        <row r="764">
          <cell r="A764">
            <v>64290600</v>
          </cell>
          <cell r="B764" t="str">
            <v>Linguini currysaus 350g CASPER</v>
          </cell>
          <cell r="C764" t="str">
            <v>-</v>
          </cell>
          <cell r="D764" t="str">
            <v>+</v>
          </cell>
          <cell r="E764" t="str">
            <v>+</v>
          </cell>
          <cell r="F764" t="str">
            <v>X</v>
          </cell>
          <cell r="G764" t="str">
            <v>+</v>
          </cell>
          <cell r="H764" t="str">
            <v>X</v>
          </cell>
          <cell r="I764" t="str">
            <v>-</v>
          </cell>
          <cell r="J764" t="str">
            <v>X</v>
          </cell>
          <cell r="K764" t="str">
            <v>-</v>
          </cell>
          <cell r="L764" t="str">
            <v>-</v>
          </cell>
          <cell r="M764" t="str">
            <v>X</v>
          </cell>
          <cell r="N764" t="str">
            <v>+</v>
          </cell>
          <cell r="O764" t="str">
            <v>X</v>
          </cell>
        </row>
        <row r="765">
          <cell r="A765">
            <v>64290700</v>
          </cell>
          <cell r="B765" t="str">
            <v>Lasagne bolognaise holy grail 450g CASPER</v>
          </cell>
          <cell r="C765" t="str">
            <v>-</v>
          </cell>
          <cell r="D765" t="str">
            <v>+</v>
          </cell>
          <cell r="E765" t="str">
            <v>+</v>
          </cell>
          <cell r="F765" t="str">
            <v>X</v>
          </cell>
          <cell r="G765" t="str">
            <v>+</v>
          </cell>
          <cell r="H765" t="str">
            <v>X</v>
          </cell>
          <cell r="I765" t="str">
            <v>-</v>
          </cell>
          <cell r="J765" t="str">
            <v>-</v>
          </cell>
          <cell r="K765" t="str">
            <v>+</v>
          </cell>
          <cell r="L765" t="str">
            <v>-</v>
          </cell>
          <cell r="M765" t="str">
            <v>X</v>
          </cell>
          <cell r="N765" t="str">
            <v>-</v>
          </cell>
          <cell r="O765" t="str">
            <v>X</v>
          </cell>
        </row>
        <row r="766">
          <cell r="A766">
            <v>64290800</v>
          </cell>
          <cell r="B766" t="str">
            <v>Lasagne vegetarische bolognaise holy grail 450g CASPER</v>
          </cell>
          <cell r="C766" t="str">
            <v>-</v>
          </cell>
          <cell r="D766" t="str">
            <v>+</v>
          </cell>
          <cell r="E766" t="str">
            <v>+</v>
          </cell>
          <cell r="F766" t="str">
            <v>X</v>
          </cell>
          <cell r="G766" t="str">
            <v>+</v>
          </cell>
          <cell r="H766" t="str">
            <v>X</v>
          </cell>
          <cell r="I766" t="str">
            <v>-</v>
          </cell>
          <cell r="J766" t="str">
            <v>X</v>
          </cell>
          <cell r="K766" t="str">
            <v>+</v>
          </cell>
          <cell r="L766" t="str">
            <v>-</v>
          </cell>
          <cell r="M766" t="str">
            <v>+</v>
          </cell>
          <cell r="N766" t="str">
            <v>X</v>
          </cell>
          <cell r="O766" t="str">
            <v>X</v>
          </cell>
        </row>
        <row r="767">
          <cell r="A767">
            <v>64291000</v>
          </cell>
          <cell r="B767" t="str">
            <v>Cannelloni rund tomatensaus 400g APETITO</v>
          </cell>
          <cell r="C767" t="str">
            <v>-</v>
          </cell>
          <cell r="D767" t="str">
            <v>+</v>
          </cell>
          <cell r="E767" t="str">
            <v>+</v>
          </cell>
          <cell r="F767" t="str">
            <v>X</v>
          </cell>
          <cell r="G767" t="str">
            <v>+</v>
          </cell>
          <cell r="H767" t="str">
            <v>X</v>
          </cell>
          <cell r="I767" t="str">
            <v>-</v>
          </cell>
          <cell r="J767" t="str">
            <v>-</v>
          </cell>
          <cell r="K767" t="str">
            <v>+</v>
          </cell>
          <cell r="L767" t="str">
            <v>-</v>
          </cell>
          <cell r="M767" t="str">
            <v>X</v>
          </cell>
          <cell r="N767" t="str">
            <v>-</v>
          </cell>
          <cell r="O767" t="str">
            <v>-</v>
          </cell>
        </row>
        <row r="768">
          <cell r="A768">
            <v>64291100</v>
          </cell>
          <cell r="B768" t="str">
            <v>Lasagne bolognese rund 400g APETITO</v>
          </cell>
          <cell r="C768" t="str">
            <v>-</v>
          </cell>
          <cell r="D768" t="str">
            <v>+</v>
          </cell>
          <cell r="E768" t="str">
            <v>+</v>
          </cell>
          <cell r="F768" t="str">
            <v>X</v>
          </cell>
          <cell r="G768" t="str">
            <v>+</v>
          </cell>
          <cell r="H768" t="str">
            <v>X</v>
          </cell>
          <cell r="I768" t="str">
            <v>-</v>
          </cell>
          <cell r="J768" t="str">
            <v>-</v>
          </cell>
          <cell r="K768" t="str">
            <v>+</v>
          </cell>
          <cell r="L768" t="str">
            <v>-</v>
          </cell>
          <cell r="M768" t="str">
            <v>X</v>
          </cell>
          <cell r="N768" t="str">
            <v>-</v>
          </cell>
          <cell r="O768" t="str">
            <v>X</v>
          </cell>
        </row>
        <row r="769">
          <cell r="A769">
            <v>64400100</v>
          </cell>
          <cell r="B769" t="str">
            <v>Gratin Dauphinois 2x400g BOF</v>
          </cell>
          <cell r="C769" t="str">
            <v>-</v>
          </cell>
          <cell r="D769" t="str">
            <v>-</v>
          </cell>
          <cell r="E769" t="str">
            <v>+</v>
          </cell>
          <cell r="F769" t="str">
            <v>X</v>
          </cell>
          <cell r="G769" t="str">
            <v>+</v>
          </cell>
          <cell r="H769" t="str">
            <v>X</v>
          </cell>
          <cell r="I769" t="str">
            <v>-</v>
          </cell>
          <cell r="J769" t="str">
            <v>-</v>
          </cell>
          <cell r="K769" t="str">
            <v>-</v>
          </cell>
          <cell r="L769" t="str">
            <v>-</v>
          </cell>
          <cell r="M769" t="str">
            <v>X</v>
          </cell>
          <cell r="N769" t="str">
            <v>-</v>
          </cell>
          <cell r="O769" t="str">
            <v>-</v>
          </cell>
        </row>
        <row r="770">
          <cell r="A770">
            <v>64400200</v>
          </cell>
          <cell r="B770" t="str">
            <v xml:space="preserve">Moussaka 2x400g BOF </v>
          </cell>
          <cell r="C770" t="str">
            <v>-</v>
          </cell>
          <cell r="D770" t="str">
            <v>-</v>
          </cell>
          <cell r="E770" t="str">
            <v>+</v>
          </cell>
          <cell r="F770" t="str">
            <v>X</v>
          </cell>
          <cell r="G770" t="str">
            <v>+</v>
          </cell>
          <cell r="H770" t="str">
            <v>X</v>
          </cell>
          <cell r="I770" t="str">
            <v>-</v>
          </cell>
          <cell r="J770" t="str">
            <v>-</v>
          </cell>
          <cell r="K770" t="str">
            <v>-</v>
          </cell>
          <cell r="L770" t="str">
            <v>-</v>
          </cell>
          <cell r="M770" t="str">
            <v>X</v>
          </cell>
          <cell r="N770" t="str">
            <v>-</v>
          </cell>
          <cell r="O770" t="str">
            <v>-</v>
          </cell>
        </row>
        <row r="771">
          <cell r="A771">
            <v>64400300</v>
          </cell>
          <cell r="B771" t="str">
            <v>Macaroni kaassaus bolognaise 2x400g BOF BE</v>
          </cell>
          <cell r="C771" t="str">
            <v>-</v>
          </cell>
          <cell r="D771" t="str">
            <v>+</v>
          </cell>
          <cell r="E771" t="str">
            <v>+</v>
          </cell>
          <cell r="F771" t="str">
            <v>X</v>
          </cell>
          <cell r="G771" t="str">
            <v>+</v>
          </cell>
          <cell r="H771" t="str">
            <v>X</v>
          </cell>
          <cell r="I771" t="str">
            <v>-</v>
          </cell>
          <cell r="J771" t="str">
            <v>-</v>
          </cell>
          <cell r="K771" t="str">
            <v>+</v>
          </cell>
          <cell r="L771" t="str">
            <v>-</v>
          </cell>
          <cell r="M771" t="str">
            <v>X</v>
          </cell>
          <cell r="N771" t="str">
            <v>-</v>
          </cell>
          <cell r="O771" t="str">
            <v>-</v>
          </cell>
        </row>
        <row r="772">
          <cell r="A772">
            <v>64402000</v>
          </cell>
          <cell r="B772" t="str">
            <v>Aardappelgratin broccoli wortel mais rode ui 2x400g BOF DE</v>
          </cell>
          <cell r="C772" t="str">
            <v>-</v>
          </cell>
          <cell r="D772" t="str">
            <v>-</v>
          </cell>
          <cell r="E772" t="str">
            <v>+</v>
          </cell>
          <cell r="F772" t="str">
            <v>X</v>
          </cell>
          <cell r="G772" t="str">
            <v>+</v>
          </cell>
          <cell r="H772" t="str">
            <v>X</v>
          </cell>
          <cell r="I772" t="str">
            <v>-</v>
          </cell>
          <cell r="J772" t="str">
            <v>-</v>
          </cell>
          <cell r="K772" t="str">
            <v>-</v>
          </cell>
          <cell r="L772" t="str">
            <v>-</v>
          </cell>
          <cell r="M772" t="str">
            <v>X</v>
          </cell>
          <cell r="N772" t="str">
            <v>-</v>
          </cell>
          <cell r="O772" t="str">
            <v>-</v>
          </cell>
        </row>
        <row r="773">
          <cell r="A773">
            <v>64402100</v>
          </cell>
          <cell r="B773" t="str">
            <v>Macaroni kaassaus bolognaise 2x400g BOF BE</v>
          </cell>
          <cell r="C773" t="str">
            <v>-</v>
          </cell>
          <cell r="D773" t="str">
            <v>+</v>
          </cell>
          <cell r="E773" t="str">
            <v>+</v>
          </cell>
          <cell r="F773" t="str">
            <v>X</v>
          </cell>
          <cell r="G773" t="str">
            <v>+</v>
          </cell>
          <cell r="H773" t="str">
            <v>X</v>
          </cell>
          <cell r="I773" t="str">
            <v>-</v>
          </cell>
          <cell r="J773" t="str">
            <v>-</v>
          </cell>
          <cell r="K773" t="str">
            <v>+</v>
          </cell>
          <cell r="L773" t="str">
            <v>-</v>
          </cell>
          <cell r="M773" t="str">
            <v>X</v>
          </cell>
          <cell r="N773" t="str">
            <v>-</v>
          </cell>
          <cell r="O773" t="str">
            <v>-</v>
          </cell>
        </row>
        <row r="774">
          <cell r="A774">
            <v>64402200</v>
          </cell>
          <cell r="B774" t="str">
            <v>Kip kebab auflauf 2x400g BOF DE</v>
          </cell>
          <cell r="C774" t="str">
            <v>-</v>
          </cell>
          <cell r="D774" t="str">
            <v>-</v>
          </cell>
          <cell r="E774" t="str">
            <v>-</v>
          </cell>
          <cell r="F774" t="str">
            <v>-</v>
          </cell>
          <cell r="G774" t="str">
            <v>+</v>
          </cell>
          <cell r="H774" t="str">
            <v>-</v>
          </cell>
          <cell r="I774" t="str">
            <v>-</v>
          </cell>
          <cell r="J774" t="str">
            <v>-</v>
          </cell>
          <cell r="K774" t="str">
            <v>-</v>
          </cell>
          <cell r="L774" t="str">
            <v>-</v>
          </cell>
          <cell r="M774" t="str">
            <v>-</v>
          </cell>
          <cell r="N774" t="str">
            <v>-</v>
          </cell>
          <cell r="O774" t="str">
            <v>-</v>
          </cell>
        </row>
        <row r="775">
          <cell r="A775">
            <v>64410100</v>
          </cell>
          <cell r="B775" t="str">
            <v>Kip noedels teriyaki broccoli 2x400g LIDL NL</v>
          </cell>
          <cell r="C775" t="str">
            <v>-</v>
          </cell>
          <cell r="D775" t="str">
            <v>X</v>
          </cell>
          <cell r="E775" t="str">
            <v>+</v>
          </cell>
          <cell r="F775" t="str">
            <v>X</v>
          </cell>
          <cell r="G775" t="str">
            <v>-</v>
          </cell>
          <cell r="H775" t="str">
            <v>X</v>
          </cell>
          <cell r="I775" t="str">
            <v>-</v>
          </cell>
          <cell r="J775" t="str">
            <v>-</v>
          </cell>
          <cell r="K775" t="str">
            <v>-</v>
          </cell>
          <cell r="L775" t="str">
            <v>+</v>
          </cell>
          <cell r="M775" t="str">
            <v>+</v>
          </cell>
          <cell r="N775" t="str">
            <v>-</v>
          </cell>
          <cell r="O775" t="str">
            <v>-</v>
          </cell>
        </row>
        <row r="776">
          <cell r="A776">
            <v>64410200</v>
          </cell>
          <cell r="B776" t="str">
            <v>Penne volkoren kip champignonroomsce broccoli 2x400g LIDL NL</v>
          </cell>
          <cell r="C776" t="str">
            <v>X</v>
          </cell>
          <cell r="D776" t="str">
            <v>X</v>
          </cell>
          <cell r="E776" t="str">
            <v>+</v>
          </cell>
          <cell r="F776" t="str">
            <v>X</v>
          </cell>
          <cell r="G776" t="str">
            <v>+</v>
          </cell>
          <cell r="H776" t="str">
            <v>X</v>
          </cell>
          <cell r="I776" t="str">
            <v>X</v>
          </cell>
          <cell r="J776" t="str">
            <v>X</v>
          </cell>
          <cell r="K776" t="str">
            <v>X</v>
          </cell>
          <cell r="L776" t="str">
            <v>X</v>
          </cell>
          <cell r="M776" t="str">
            <v>X</v>
          </cell>
          <cell r="N776" t="str">
            <v>X</v>
          </cell>
          <cell r="O776" t="str">
            <v>X</v>
          </cell>
        </row>
        <row r="777">
          <cell r="A777">
            <v>64800400</v>
          </cell>
          <cell r="B777" t="str">
            <v>Lasagne vlees 310g Tulip TFD (70002397)</v>
          </cell>
          <cell r="C777" t="str">
            <v>-</v>
          </cell>
          <cell r="D777" t="str">
            <v>+</v>
          </cell>
          <cell r="E777" t="str">
            <v>+</v>
          </cell>
          <cell r="F777" t="str">
            <v>X</v>
          </cell>
          <cell r="G777" t="str">
            <v>+</v>
          </cell>
          <cell r="H777" t="str">
            <v>X</v>
          </cell>
          <cell r="I777" t="str">
            <v>-</v>
          </cell>
          <cell r="J777" t="str">
            <v>-</v>
          </cell>
          <cell r="K777" t="str">
            <v>+</v>
          </cell>
          <cell r="L777" t="str">
            <v>-</v>
          </cell>
          <cell r="M777" t="str">
            <v>X</v>
          </cell>
          <cell r="N777" t="str">
            <v>-</v>
          </cell>
          <cell r="O777" t="str">
            <v>-</v>
          </cell>
        </row>
        <row r="778">
          <cell r="A778">
            <v>64800700</v>
          </cell>
          <cell r="B778" t="str">
            <v>Lasagne Auflauf 310g TULIP</v>
          </cell>
          <cell r="C778" t="str">
            <v>-</v>
          </cell>
          <cell r="D778" t="str">
            <v>+</v>
          </cell>
          <cell r="E778" t="str">
            <v>+</v>
          </cell>
          <cell r="F778" t="str">
            <v>X</v>
          </cell>
          <cell r="G778" t="str">
            <v>+</v>
          </cell>
          <cell r="H778" t="str">
            <v>X</v>
          </cell>
          <cell r="I778" t="str">
            <v>-</v>
          </cell>
          <cell r="J778" t="str">
            <v>-</v>
          </cell>
          <cell r="K778" t="str">
            <v>-</v>
          </cell>
          <cell r="L778" t="str">
            <v>-</v>
          </cell>
          <cell r="M778" t="str">
            <v>X</v>
          </cell>
          <cell r="N778" t="str">
            <v>-</v>
          </cell>
          <cell r="O778" t="str">
            <v>-</v>
          </cell>
        </row>
        <row r="779">
          <cell r="A779">
            <v>64800900</v>
          </cell>
          <cell r="B779" t="str">
            <v>Lasagne bolognaise 310g TULIP</v>
          </cell>
          <cell r="C779" t="str">
            <v>-</v>
          </cell>
          <cell r="D779" t="str">
            <v>+</v>
          </cell>
          <cell r="E779" t="str">
            <v>+</v>
          </cell>
          <cell r="F779" t="str">
            <v>X</v>
          </cell>
          <cell r="G779" t="str">
            <v>+</v>
          </cell>
          <cell r="H779" t="str">
            <v>X</v>
          </cell>
          <cell r="I779" t="str">
            <v>-</v>
          </cell>
          <cell r="J779" t="str">
            <v>-</v>
          </cell>
          <cell r="K779" t="str">
            <v>+</v>
          </cell>
          <cell r="L779" t="str">
            <v>-</v>
          </cell>
          <cell r="M779" t="str">
            <v>X</v>
          </cell>
          <cell r="N779" t="str">
            <v>-</v>
          </cell>
          <cell r="O779" t="str">
            <v>-</v>
          </cell>
        </row>
        <row r="780">
          <cell r="A780">
            <v>64801000</v>
          </cell>
          <cell r="B780" t="str">
            <v>Lasagne bolognaise 310g Tulip TFS (70005048)</v>
          </cell>
          <cell r="C780" t="str">
            <v>-</v>
          </cell>
          <cell r="D780" t="str">
            <v>+</v>
          </cell>
          <cell r="E780" t="str">
            <v>+</v>
          </cell>
          <cell r="F780" t="str">
            <v>X</v>
          </cell>
          <cell r="G780" t="str">
            <v>+</v>
          </cell>
          <cell r="H780" t="str">
            <v>X</v>
          </cell>
          <cell r="I780" t="str">
            <v>-</v>
          </cell>
          <cell r="J780" t="str">
            <v>-</v>
          </cell>
          <cell r="K780" t="str">
            <v>+</v>
          </cell>
          <cell r="L780" t="str">
            <v>-</v>
          </cell>
          <cell r="M780" t="str">
            <v>X</v>
          </cell>
          <cell r="N780" t="str">
            <v>-</v>
          </cell>
          <cell r="O780" t="str">
            <v>-</v>
          </cell>
        </row>
        <row r="781">
          <cell r="A781">
            <v>64810000</v>
          </cell>
          <cell r="B781" t="str">
            <v>Lasagne bolognaise 310g Foodservice</v>
          </cell>
          <cell r="C781" t="str">
            <v>-</v>
          </cell>
          <cell r="D781" t="str">
            <v>+</v>
          </cell>
          <cell r="E781" t="str">
            <v>+</v>
          </cell>
          <cell r="F781" t="str">
            <v>X</v>
          </cell>
          <cell r="G781" t="str">
            <v>+</v>
          </cell>
          <cell r="H781" t="str">
            <v>X</v>
          </cell>
          <cell r="I781" t="str">
            <v>-</v>
          </cell>
          <cell r="J781" t="str">
            <v>-</v>
          </cell>
          <cell r="K781" t="str">
            <v>+</v>
          </cell>
          <cell r="L781" t="str">
            <v>-</v>
          </cell>
          <cell r="M781" t="str">
            <v>X</v>
          </cell>
          <cell r="N781" t="str">
            <v>-</v>
          </cell>
          <cell r="O781" t="str">
            <v>-</v>
          </cell>
        </row>
        <row r="782">
          <cell r="A782">
            <v>64810100</v>
          </cell>
          <cell r="B782" t="str">
            <v>Lasagne bolognaise 400g Foodservice</v>
          </cell>
          <cell r="C782" t="str">
            <v>-</v>
          </cell>
          <cell r="D782" t="str">
            <v>+</v>
          </cell>
          <cell r="E782" t="str">
            <v>+</v>
          </cell>
          <cell r="F782" t="str">
            <v>-</v>
          </cell>
          <cell r="G782" t="str">
            <v>+</v>
          </cell>
          <cell r="H782" t="str">
            <v>-</v>
          </cell>
          <cell r="I782" t="str">
            <v>-</v>
          </cell>
          <cell r="J782" t="str">
            <v>-</v>
          </cell>
          <cell r="K782" t="str">
            <v>+</v>
          </cell>
          <cell r="L782" t="str">
            <v>-</v>
          </cell>
          <cell r="M782" t="str">
            <v>-</v>
          </cell>
          <cell r="N782" t="str">
            <v>-</v>
          </cell>
          <cell r="O782" t="str">
            <v>-</v>
          </cell>
        </row>
        <row r="783">
          <cell r="A783">
            <v>64820100</v>
          </cell>
          <cell r="B783" t="str">
            <v>Lasagne bolognaise classic 450g CASPER</v>
          </cell>
          <cell r="C783" t="str">
            <v>-</v>
          </cell>
          <cell r="D783" t="str">
            <v>+</v>
          </cell>
          <cell r="E783" t="str">
            <v>+</v>
          </cell>
          <cell r="F783" t="str">
            <v>X</v>
          </cell>
          <cell r="G783" t="str">
            <v>+</v>
          </cell>
          <cell r="H783" t="str">
            <v>X</v>
          </cell>
          <cell r="I783" t="str">
            <v>-</v>
          </cell>
          <cell r="J783" t="str">
            <v>-</v>
          </cell>
          <cell r="K783" t="str">
            <v>+</v>
          </cell>
          <cell r="L783" t="str">
            <v>-</v>
          </cell>
          <cell r="M783" t="str">
            <v>X</v>
          </cell>
          <cell r="N783" t="str">
            <v>-</v>
          </cell>
          <cell r="O783" t="str">
            <v>-</v>
          </cell>
        </row>
        <row r="784">
          <cell r="A784">
            <v>64820200</v>
          </cell>
          <cell r="B784" t="str">
            <v>Lasagne bolognaise holy grail 450g CASPER</v>
          </cell>
          <cell r="C784" t="str">
            <v>-</v>
          </cell>
          <cell r="D784" t="str">
            <v>+</v>
          </cell>
          <cell r="E784" t="str">
            <v>+</v>
          </cell>
          <cell r="F784" t="str">
            <v>X</v>
          </cell>
          <cell r="G784" t="str">
            <v>+</v>
          </cell>
          <cell r="H784" t="str">
            <v>X</v>
          </cell>
          <cell r="I784" t="str">
            <v>-</v>
          </cell>
          <cell r="J784" t="str">
            <v>-</v>
          </cell>
          <cell r="K784" t="str">
            <v>+</v>
          </cell>
          <cell r="L784" t="str">
            <v>-</v>
          </cell>
          <cell r="M784" t="str">
            <v>X</v>
          </cell>
          <cell r="N784" t="str">
            <v>-</v>
          </cell>
          <cell r="O784" t="str">
            <v>-</v>
          </cell>
        </row>
        <row r="785">
          <cell r="A785">
            <v>64820300</v>
          </cell>
          <cell r="B785" t="str">
            <v>Lasagne vegetarische bolognaise holy grail 450g CASPER</v>
          </cell>
          <cell r="C785" t="str">
            <v>-</v>
          </cell>
          <cell r="D785" t="str">
            <v>+</v>
          </cell>
          <cell r="E785" t="str">
            <v>+</v>
          </cell>
          <cell r="F785" t="str">
            <v>X</v>
          </cell>
          <cell r="G785" t="str">
            <v>+</v>
          </cell>
          <cell r="H785" t="str">
            <v>X</v>
          </cell>
          <cell r="I785" t="str">
            <v>-</v>
          </cell>
          <cell r="J785" t="str">
            <v>-</v>
          </cell>
          <cell r="K785" t="str">
            <v>+</v>
          </cell>
          <cell r="L785" t="str">
            <v>-</v>
          </cell>
          <cell r="M785" t="str">
            <v>+</v>
          </cell>
          <cell r="N785" t="str">
            <v>-</v>
          </cell>
          <cell r="O785" t="str">
            <v>-</v>
          </cell>
        </row>
        <row r="786">
          <cell r="A786">
            <v>64850900</v>
          </cell>
          <cell r="B786" t="str">
            <v>Lasagne bolognaise Delimeal (rest lasagnes)</v>
          </cell>
          <cell r="C786" t="str">
            <v>-</v>
          </cell>
          <cell r="D786" t="str">
            <v>+</v>
          </cell>
          <cell r="E786" t="str">
            <v>+</v>
          </cell>
          <cell r="F786" t="str">
            <v>X</v>
          </cell>
          <cell r="G786" t="str">
            <v>+</v>
          </cell>
          <cell r="H786" t="str">
            <v>X</v>
          </cell>
          <cell r="I786" t="str">
            <v>-</v>
          </cell>
          <cell r="J786" t="str">
            <v>-</v>
          </cell>
          <cell r="K786" t="str">
            <v>+</v>
          </cell>
          <cell r="L786" t="str">
            <v>-</v>
          </cell>
          <cell r="M786" t="str">
            <v>X</v>
          </cell>
          <cell r="N786" t="str">
            <v>-</v>
          </cell>
          <cell r="O786" t="str">
            <v>-</v>
          </cell>
        </row>
        <row r="787">
          <cell r="A787">
            <v>65010100</v>
          </cell>
          <cell r="B787" t="str">
            <v>Spaghetti Bolognaise 450g ANUR HALAL</v>
          </cell>
          <cell r="C787" t="str">
            <v>-</v>
          </cell>
          <cell r="D787" t="str">
            <v>X</v>
          </cell>
          <cell r="E787" t="str">
            <v>+</v>
          </cell>
          <cell r="F787" t="str">
            <v>X</v>
          </cell>
          <cell r="G787" t="str">
            <v>X</v>
          </cell>
          <cell r="H787" t="str">
            <v>X</v>
          </cell>
          <cell r="I787" t="str">
            <v>-</v>
          </cell>
          <cell r="J787" t="str">
            <v>-</v>
          </cell>
          <cell r="K787" t="str">
            <v>+</v>
          </cell>
          <cell r="L787" t="str">
            <v>-</v>
          </cell>
          <cell r="M787" t="str">
            <v>X</v>
          </cell>
          <cell r="N787" t="str">
            <v>-</v>
          </cell>
          <cell r="O787" t="str">
            <v>-</v>
          </cell>
        </row>
        <row r="788">
          <cell r="A788">
            <v>65010200</v>
          </cell>
          <cell r="B788" t="str">
            <v>Kip stoofpot met couscous 450g ANUR HALAL</v>
          </cell>
          <cell r="C788" t="str">
            <v>-</v>
          </cell>
          <cell r="D788" t="str">
            <v>-</v>
          </cell>
          <cell r="E788" t="str">
            <v>+</v>
          </cell>
          <cell r="F788" t="str">
            <v>X</v>
          </cell>
          <cell r="G788" t="str">
            <v>X</v>
          </cell>
          <cell r="H788" t="str">
            <v>X</v>
          </cell>
          <cell r="I788" t="str">
            <v>+</v>
          </cell>
          <cell r="J788" t="str">
            <v>-</v>
          </cell>
          <cell r="K788" t="str">
            <v>+</v>
          </cell>
          <cell r="L788" t="str">
            <v>-</v>
          </cell>
          <cell r="M788" t="str">
            <v>X</v>
          </cell>
          <cell r="N788" t="str">
            <v>-</v>
          </cell>
          <cell r="O788" t="str">
            <v>-</v>
          </cell>
        </row>
        <row r="789">
          <cell r="A789">
            <v>65010300</v>
          </cell>
          <cell r="B789" t="str">
            <v>Izmir Köfte schotel 450g ANUR HALAL</v>
          </cell>
          <cell r="C789" t="str">
            <v>X</v>
          </cell>
          <cell r="D789" t="str">
            <v>-</v>
          </cell>
          <cell r="E789" t="str">
            <v>+</v>
          </cell>
          <cell r="F789" t="str">
            <v>-</v>
          </cell>
          <cell r="G789" t="str">
            <v>-</v>
          </cell>
          <cell r="H789" t="str">
            <v>+</v>
          </cell>
          <cell r="I789" t="str">
            <v>-</v>
          </cell>
          <cell r="J789" t="str">
            <v>-</v>
          </cell>
          <cell r="K789" t="str">
            <v>+</v>
          </cell>
          <cell r="L789" t="str">
            <v>-</v>
          </cell>
          <cell r="M789" t="str">
            <v>+</v>
          </cell>
          <cell r="N789" t="str">
            <v>-</v>
          </cell>
          <cell r="O789" t="str">
            <v>-</v>
          </cell>
        </row>
        <row r="790">
          <cell r="A790">
            <v>65010400</v>
          </cell>
          <cell r="B790" t="str">
            <v>Adana Kebab schotel 450g ANUR HALAL</v>
          </cell>
          <cell r="C790" t="str">
            <v>X</v>
          </cell>
          <cell r="D790" t="str">
            <v>-</v>
          </cell>
          <cell r="E790" t="str">
            <v>+</v>
          </cell>
          <cell r="F790" t="str">
            <v>-</v>
          </cell>
          <cell r="G790" t="str">
            <v>-</v>
          </cell>
          <cell r="H790" t="str">
            <v>-</v>
          </cell>
          <cell r="I790" t="str">
            <v>-</v>
          </cell>
          <cell r="J790" t="str">
            <v>-</v>
          </cell>
          <cell r="K790" t="str">
            <v>-</v>
          </cell>
          <cell r="L790" t="str">
            <v>-</v>
          </cell>
          <cell r="M790" t="str">
            <v>X</v>
          </cell>
          <cell r="N790" t="str">
            <v>-</v>
          </cell>
          <cell r="O790" t="str">
            <v>-</v>
          </cell>
        </row>
        <row r="791">
          <cell r="A791">
            <v>65020100</v>
          </cell>
          <cell r="B791" t="str">
            <v>Spaghetti Bolognaise 450g WAHID HALAL</v>
          </cell>
          <cell r="C791" t="str">
            <v>-</v>
          </cell>
          <cell r="D791" t="str">
            <v>X</v>
          </cell>
          <cell r="E791" t="str">
            <v>+</v>
          </cell>
          <cell r="F791" t="str">
            <v>X</v>
          </cell>
          <cell r="G791" t="str">
            <v>X</v>
          </cell>
          <cell r="H791" t="str">
            <v>X</v>
          </cell>
          <cell r="I791" t="str">
            <v>-</v>
          </cell>
          <cell r="J791" t="str">
            <v>-</v>
          </cell>
          <cell r="K791" t="str">
            <v>+</v>
          </cell>
          <cell r="L791" t="str">
            <v>-</v>
          </cell>
          <cell r="M791" t="str">
            <v>X</v>
          </cell>
          <cell r="N791" t="str">
            <v>-</v>
          </cell>
          <cell r="O791" t="str">
            <v>-</v>
          </cell>
        </row>
        <row r="792">
          <cell r="A792">
            <v>65020200</v>
          </cell>
          <cell r="B792" t="str">
            <v>Kip stoofpot met couscous 450g WAHID HALAL</v>
          </cell>
          <cell r="C792" t="str">
            <v>-</v>
          </cell>
          <cell r="D792" t="str">
            <v>-</v>
          </cell>
          <cell r="E792" t="str">
            <v>+</v>
          </cell>
          <cell r="F792" t="str">
            <v>X</v>
          </cell>
          <cell r="G792" t="str">
            <v>X</v>
          </cell>
          <cell r="H792" t="str">
            <v>X</v>
          </cell>
          <cell r="I792" t="str">
            <v>+</v>
          </cell>
          <cell r="J792" t="str">
            <v>-</v>
          </cell>
          <cell r="K792" t="str">
            <v>+</v>
          </cell>
          <cell r="L792" t="str">
            <v>-</v>
          </cell>
          <cell r="M792" t="str">
            <v>X</v>
          </cell>
          <cell r="N792" t="str">
            <v>-</v>
          </cell>
          <cell r="O792" t="str">
            <v>-</v>
          </cell>
        </row>
        <row r="793">
          <cell r="A793">
            <v>65020300</v>
          </cell>
          <cell r="B793" t="str">
            <v>Izmir Köfte schotel 450g WAHID HALAL</v>
          </cell>
          <cell r="C793" t="str">
            <v>X</v>
          </cell>
          <cell r="D793" t="str">
            <v>-</v>
          </cell>
          <cell r="E793" t="str">
            <v>+</v>
          </cell>
          <cell r="F793" t="str">
            <v>-</v>
          </cell>
          <cell r="G793" t="str">
            <v>-</v>
          </cell>
          <cell r="H793" t="str">
            <v>+</v>
          </cell>
          <cell r="I793" t="str">
            <v>-</v>
          </cell>
          <cell r="J793" t="str">
            <v>-</v>
          </cell>
          <cell r="K793" t="str">
            <v>+</v>
          </cell>
          <cell r="L793" t="str">
            <v>-</v>
          </cell>
          <cell r="M793" t="str">
            <v>+</v>
          </cell>
          <cell r="N793" t="str">
            <v>-</v>
          </cell>
          <cell r="O793" t="str">
            <v>-</v>
          </cell>
        </row>
        <row r="794">
          <cell r="A794">
            <v>65020400</v>
          </cell>
          <cell r="B794" t="str">
            <v>Adana Kebab schotel 450g WAHID HALAL</v>
          </cell>
          <cell r="C794" t="str">
            <v>X</v>
          </cell>
          <cell r="D794" t="str">
            <v>-</v>
          </cell>
          <cell r="E794" t="str">
            <v>+</v>
          </cell>
          <cell r="F794" t="str">
            <v>-</v>
          </cell>
          <cell r="G794" t="str">
            <v>-</v>
          </cell>
          <cell r="H794" t="str">
            <v>-</v>
          </cell>
          <cell r="I794" t="str">
            <v>-</v>
          </cell>
          <cell r="J794" t="str">
            <v>-</v>
          </cell>
          <cell r="K794" t="str">
            <v>-</v>
          </cell>
          <cell r="L794" t="str">
            <v>-</v>
          </cell>
          <cell r="M794" t="str">
            <v>X</v>
          </cell>
          <cell r="N794" t="str">
            <v>-</v>
          </cell>
          <cell r="O794" t="str">
            <v>-</v>
          </cell>
        </row>
        <row r="795">
          <cell r="A795">
            <v>65040000</v>
          </cell>
          <cell r="B795" t="str">
            <v>Mexicaanse ovenschotel chili con carne aard kubus 450g COLR</v>
          </cell>
          <cell r="C795" t="str">
            <v>-</v>
          </cell>
          <cell r="D795" t="str">
            <v>-</v>
          </cell>
          <cell r="E795" t="str">
            <v>-</v>
          </cell>
          <cell r="F795" t="str">
            <v>-</v>
          </cell>
          <cell r="G795" t="str">
            <v>+</v>
          </cell>
          <cell r="H795" t="str">
            <v>-</v>
          </cell>
          <cell r="I795" t="str">
            <v>-</v>
          </cell>
          <cell r="J795" t="str">
            <v>-</v>
          </cell>
          <cell r="K795" t="str">
            <v>-</v>
          </cell>
          <cell r="L795" t="str">
            <v>-</v>
          </cell>
          <cell r="M795" t="str">
            <v>-</v>
          </cell>
          <cell r="N795" t="str">
            <v>-</v>
          </cell>
          <cell r="O795" t="str">
            <v>-</v>
          </cell>
        </row>
        <row r="796">
          <cell r="A796">
            <v>65040100</v>
          </cell>
          <cell r="B796" t="str">
            <v>Heek tomaat kruidenkaassaus bloemk brocc écrasée 450g COLR</v>
          </cell>
          <cell r="C796" t="str">
            <v>-</v>
          </cell>
          <cell r="D796" t="str">
            <v>-</v>
          </cell>
          <cell r="E796" t="str">
            <v>+</v>
          </cell>
          <cell r="F796" t="str">
            <v>X</v>
          </cell>
          <cell r="G796" t="str">
            <v>+</v>
          </cell>
          <cell r="H796" t="str">
            <v>X</v>
          </cell>
          <cell r="I796" t="str">
            <v>-</v>
          </cell>
          <cell r="J796" t="str">
            <v>-</v>
          </cell>
          <cell r="K796" t="str">
            <v>+</v>
          </cell>
          <cell r="L796" t="str">
            <v>-</v>
          </cell>
          <cell r="M796" t="str">
            <v>X</v>
          </cell>
          <cell r="N796" t="str">
            <v>+</v>
          </cell>
          <cell r="O796" t="str">
            <v>-</v>
          </cell>
        </row>
        <row r="797">
          <cell r="A797">
            <v>65040200</v>
          </cell>
          <cell r="B797" t="str">
            <v>Tajinie citroen zuiderse groenten couscous  450g COLR</v>
          </cell>
          <cell r="C797" t="str">
            <v>-</v>
          </cell>
          <cell r="D797" t="str">
            <v>-</v>
          </cell>
          <cell r="E797" t="str">
            <v>+</v>
          </cell>
          <cell r="F797" t="str">
            <v>X</v>
          </cell>
          <cell r="G797" t="str">
            <v>X</v>
          </cell>
          <cell r="H797" t="str">
            <v>X</v>
          </cell>
          <cell r="I797" t="str">
            <v>-</v>
          </cell>
          <cell r="J797" t="str">
            <v>-</v>
          </cell>
          <cell r="K797" t="str">
            <v>+</v>
          </cell>
          <cell r="L797" t="str">
            <v>-</v>
          </cell>
          <cell r="M797" t="str">
            <v>X</v>
          </cell>
          <cell r="N797" t="str">
            <v>-</v>
          </cell>
          <cell r="O797" t="str">
            <v>-</v>
          </cell>
        </row>
        <row r="798">
          <cell r="A798">
            <v>65040300</v>
          </cell>
          <cell r="B798" t="str">
            <v>Gehaktballetjes krieken puree 450g COLR</v>
          </cell>
          <cell r="C798" t="str">
            <v>-</v>
          </cell>
          <cell r="D798" t="str">
            <v>+</v>
          </cell>
          <cell r="E798" t="str">
            <v>X</v>
          </cell>
          <cell r="F798" t="str">
            <v>-</v>
          </cell>
          <cell r="G798" t="str">
            <v>+</v>
          </cell>
          <cell r="H798" t="str">
            <v>X</v>
          </cell>
          <cell r="I798" t="str">
            <v>X</v>
          </cell>
          <cell r="J798" t="str">
            <v>X</v>
          </cell>
          <cell r="K798" t="str">
            <v>X</v>
          </cell>
          <cell r="L798" t="str">
            <v>-</v>
          </cell>
          <cell r="M798" t="str">
            <v>X</v>
          </cell>
          <cell r="N798" t="str">
            <v>X</v>
          </cell>
          <cell r="O798" t="str">
            <v>X</v>
          </cell>
        </row>
        <row r="799">
          <cell r="A799">
            <v>65040400</v>
          </cell>
          <cell r="B799" t="str">
            <v>Kipstoofpot bordelaise geplette aard fijne bonen 450g COLR</v>
          </cell>
          <cell r="C799" t="str">
            <v>-</v>
          </cell>
          <cell r="D799" t="str">
            <v>X</v>
          </cell>
          <cell r="E799" t="str">
            <v>+</v>
          </cell>
          <cell r="F799" t="str">
            <v>X</v>
          </cell>
          <cell r="G799" t="str">
            <v>+</v>
          </cell>
          <cell r="H799" t="str">
            <v>X</v>
          </cell>
          <cell r="I799" t="str">
            <v>-</v>
          </cell>
          <cell r="J799" t="str">
            <v>-</v>
          </cell>
          <cell r="K799" t="str">
            <v>-</v>
          </cell>
          <cell r="L799" t="str">
            <v>-</v>
          </cell>
          <cell r="M799" t="str">
            <v>X</v>
          </cell>
          <cell r="N799" t="str">
            <v>-</v>
          </cell>
          <cell r="O799" t="str">
            <v>-</v>
          </cell>
        </row>
        <row r="800">
          <cell r="A800">
            <v>65040500</v>
          </cell>
          <cell r="B800" t="str">
            <v>Hamburger BBQ saus, erwten,wortel, aard. 450g COLR</v>
          </cell>
          <cell r="C800" t="str">
            <v>-</v>
          </cell>
          <cell r="D800" t="str">
            <v>-</v>
          </cell>
          <cell r="E800" t="str">
            <v>+</v>
          </cell>
          <cell r="F800" t="str">
            <v>-</v>
          </cell>
          <cell r="G800" t="str">
            <v>X</v>
          </cell>
          <cell r="H800" t="str">
            <v>X</v>
          </cell>
          <cell r="I800" t="str">
            <v>-</v>
          </cell>
          <cell r="J800" t="str">
            <v>-</v>
          </cell>
          <cell r="K800" t="str">
            <v>+</v>
          </cell>
          <cell r="L800" t="str">
            <v>-</v>
          </cell>
          <cell r="M800" t="str">
            <v>X</v>
          </cell>
          <cell r="N800" t="str">
            <v>+</v>
          </cell>
          <cell r="O800" t="str">
            <v>-</v>
          </cell>
        </row>
        <row r="801">
          <cell r="A801">
            <v>65050000</v>
          </cell>
          <cell r="B801" t="str">
            <v>Vol au vent puree 450g CARREFOUR BE</v>
          </cell>
          <cell r="C801" t="str">
            <v>-</v>
          </cell>
          <cell r="D801" t="str">
            <v>+</v>
          </cell>
          <cell r="E801" t="str">
            <v>+</v>
          </cell>
          <cell r="F801" t="str">
            <v>-</v>
          </cell>
          <cell r="G801" t="str">
            <v>+</v>
          </cell>
          <cell r="H801" t="str">
            <v>X</v>
          </cell>
          <cell r="I801" t="str">
            <v>-</v>
          </cell>
          <cell r="J801" t="str">
            <v>X</v>
          </cell>
          <cell r="K801" t="str">
            <v>+</v>
          </cell>
          <cell r="L801" t="str">
            <v>-</v>
          </cell>
          <cell r="M801" t="str">
            <v>X</v>
          </cell>
          <cell r="N801" t="str">
            <v>X</v>
          </cell>
          <cell r="O801" t="str">
            <v>X</v>
          </cell>
        </row>
        <row r="802">
          <cell r="A802">
            <v>65050100</v>
          </cell>
          <cell r="B802" t="str">
            <v>Pollak spinazie aardappelgratin 450g CARREFOUR BE</v>
          </cell>
          <cell r="C802" t="str">
            <v>-</v>
          </cell>
          <cell r="D802" t="str">
            <v>+</v>
          </cell>
          <cell r="E802" t="str">
            <v>-</v>
          </cell>
          <cell r="F802" t="str">
            <v>-</v>
          </cell>
          <cell r="G802" t="str">
            <v>+</v>
          </cell>
          <cell r="H802" t="str">
            <v>-</v>
          </cell>
          <cell r="I802" t="str">
            <v>-</v>
          </cell>
          <cell r="J802" t="str">
            <v>-</v>
          </cell>
          <cell r="K802" t="str">
            <v>-</v>
          </cell>
          <cell r="L802" t="str">
            <v>-</v>
          </cell>
          <cell r="M802" t="str">
            <v>-</v>
          </cell>
          <cell r="N802" t="str">
            <v>+</v>
          </cell>
          <cell r="O802" t="str">
            <v>-</v>
          </cell>
        </row>
        <row r="803">
          <cell r="A803">
            <v>65050200</v>
          </cell>
          <cell r="B803" t="str">
            <v>Balletjes tomatensaus bonen puree 450g CARREFOUR BE</v>
          </cell>
          <cell r="C803" t="str">
            <v>-</v>
          </cell>
          <cell r="D803" t="str">
            <v>+</v>
          </cell>
          <cell r="E803" t="str">
            <v>+</v>
          </cell>
          <cell r="F803" t="str">
            <v>X</v>
          </cell>
          <cell r="G803" t="str">
            <v>+</v>
          </cell>
          <cell r="H803" t="str">
            <v>X</v>
          </cell>
          <cell r="I803" t="str">
            <v>X</v>
          </cell>
          <cell r="J803" t="str">
            <v>X</v>
          </cell>
          <cell r="K803" t="str">
            <v>+</v>
          </cell>
          <cell r="L803" t="str">
            <v>-</v>
          </cell>
          <cell r="M803" t="str">
            <v>X</v>
          </cell>
          <cell r="N803" t="str">
            <v>X</v>
          </cell>
          <cell r="O803" t="str">
            <v>X</v>
          </cell>
        </row>
        <row r="804">
          <cell r="A804">
            <v>65050300</v>
          </cell>
          <cell r="B804" t="str">
            <v>Hachis parmentier 450g CARREFOUR BE</v>
          </cell>
          <cell r="C804" t="str">
            <v>-</v>
          </cell>
          <cell r="D804" t="str">
            <v>+</v>
          </cell>
          <cell r="E804" t="str">
            <v>+</v>
          </cell>
          <cell r="F804" t="str">
            <v>X</v>
          </cell>
          <cell r="G804" t="str">
            <v>+</v>
          </cell>
          <cell r="H804" t="str">
            <v>X</v>
          </cell>
          <cell r="I804" t="str">
            <v>-</v>
          </cell>
          <cell r="J804" t="str">
            <v>-</v>
          </cell>
          <cell r="K804" t="str">
            <v>+</v>
          </cell>
          <cell r="L804" t="str">
            <v>-</v>
          </cell>
          <cell r="M804" t="str">
            <v>X</v>
          </cell>
          <cell r="N804" t="str">
            <v>-</v>
          </cell>
          <cell r="O804" t="str">
            <v>-</v>
          </cell>
        </row>
        <row r="805">
          <cell r="A805">
            <v>65050400</v>
          </cell>
          <cell r="B805" t="str">
            <v>Macaroni ham kaas 450g CARREFOUR BE</v>
          </cell>
          <cell r="C805" t="str">
            <v>-</v>
          </cell>
          <cell r="D805" t="str">
            <v>X</v>
          </cell>
          <cell r="E805" t="str">
            <v>+</v>
          </cell>
          <cell r="F805" t="str">
            <v>X</v>
          </cell>
          <cell r="G805" t="str">
            <v>+</v>
          </cell>
          <cell r="H805" t="str">
            <v>X</v>
          </cell>
          <cell r="I805" t="str">
            <v>-</v>
          </cell>
          <cell r="J805" t="str">
            <v>-</v>
          </cell>
          <cell r="K805" t="str">
            <v>-</v>
          </cell>
          <cell r="L805" t="str">
            <v>-</v>
          </cell>
          <cell r="M805" t="str">
            <v>X</v>
          </cell>
          <cell r="N805" t="str">
            <v>-</v>
          </cell>
          <cell r="O805" t="str">
            <v>-</v>
          </cell>
        </row>
        <row r="806">
          <cell r="A806">
            <v>65050500</v>
          </cell>
          <cell r="B806" t="str">
            <v>Rundstong madeirasaus verse puree 450g CRF BE</v>
          </cell>
          <cell r="C806" t="str">
            <v>-</v>
          </cell>
          <cell r="D806" t="str">
            <v>+</v>
          </cell>
          <cell r="E806" t="str">
            <v>+</v>
          </cell>
          <cell r="F806" t="str">
            <v>-</v>
          </cell>
          <cell r="G806" t="str">
            <v>+</v>
          </cell>
          <cell r="H806" t="str">
            <v>X</v>
          </cell>
          <cell r="I806" t="str">
            <v>-</v>
          </cell>
          <cell r="J806" t="str">
            <v>-</v>
          </cell>
          <cell r="K806" t="str">
            <v>X</v>
          </cell>
          <cell r="L806" t="str">
            <v>-</v>
          </cell>
          <cell r="M806" t="str">
            <v>-</v>
          </cell>
          <cell r="N806" t="str">
            <v>-</v>
          </cell>
          <cell r="O806" t="str">
            <v>-</v>
          </cell>
        </row>
        <row r="807">
          <cell r="A807">
            <v>65060000</v>
          </cell>
          <cell r="B807" t="str">
            <v>Gehaktbal provencaalse saus geb aardappel 450g ALDI BE</v>
          </cell>
          <cell r="C807" t="str">
            <v>-</v>
          </cell>
          <cell r="D807" t="str">
            <v>X</v>
          </cell>
          <cell r="E807" t="str">
            <v>X</v>
          </cell>
          <cell r="F807" t="str">
            <v>-</v>
          </cell>
          <cell r="G807" t="str">
            <v>X</v>
          </cell>
          <cell r="H807" t="str">
            <v>X</v>
          </cell>
          <cell r="I807" t="str">
            <v>-</v>
          </cell>
          <cell r="J807" t="str">
            <v>X</v>
          </cell>
          <cell r="K807" t="str">
            <v>+</v>
          </cell>
          <cell r="L807" t="str">
            <v>-</v>
          </cell>
          <cell r="M807" t="str">
            <v>X</v>
          </cell>
          <cell r="N807" t="str">
            <v>X</v>
          </cell>
          <cell r="O807" t="str">
            <v>X</v>
          </cell>
        </row>
        <row r="808">
          <cell r="A808">
            <v>65060100</v>
          </cell>
          <cell r="B808" t="str">
            <v>Balletjes in tomatensaus boontjes puree 450g ALDI BE</v>
          </cell>
          <cell r="C808" t="str">
            <v>-</v>
          </cell>
          <cell r="D808" t="str">
            <v>+</v>
          </cell>
          <cell r="E808" t="str">
            <v>+</v>
          </cell>
          <cell r="F808" t="str">
            <v>X</v>
          </cell>
          <cell r="G808" t="str">
            <v>+</v>
          </cell>
          <cell r="H808" t="str">
            <v>X</v>
          </cell>
          <cell r="I808" t="str">
            <v>X</v>
          </cell>
          <cell r="J808" t="str">
            <v>X</v>
          </cell>
          <cell r="K808" t="str">
            <v>+</v>
          </cell>
          <cell r="L808" t="str">
            <v>-</v>
          </cell>
          <cell r="M808" t="str">
            <v>X</v>
          </cell>
          <cell r="N808" t="str">
            <v>X</v>
          </cell>
          <cell r="O808" t="str">
            <v>X</v>
          </cell>
        </row>
        <row r="809">
          <cell r="A809">
            <v>65060200</v>
          </cell>
          <cell r="B809" t="str">
            <v>Blinde vink erwten/wortelen puree tuinkruiden 450g ALDI  BE</v>
          </cell>
          <cell r="C809" t="str">
            <v>-</v>
          </cell>
          <cell r="D809" t="str">
            <v>+</v>
          </cell>
          <cell r="E809" t="str">
            <v>+</v>
          </cell>
          <cell r="F809" t="str">
            <v>X</v>
          </cell>
          <cell r="G809" t="str">
            <v>+</v>
          </cell>
          <cell r="H809" t="str">
            <v>X</v>
          </cell>
          <cell r="I809" t="str">
            <v>-</v>
          </cell>
          <cell r="J809" t="str">
            <v>-</v>
          </cell>
          <cell r="K809" t="str">
            <v>X</v>
          </cell>
          <cell r="L809" t="str">
            <v>-</v>
          </cell>
          <cell r="M809" t="str">
            <v>X</v>
          </cell>
          <cell r="N809" t="str">
            <v>-</v>
          </cell>
          <cell r="O809" t="str">
            <v>-</v>
          </cell>
        </row>
        <row r="810">
          <cell r="A810">
            <v>65060300</v>
          </cell>
          <cell r="B810" t="str">
            <v>Boerenbraadworst ajuinsaus most wortelstamppot 450g ALDI BE</v>
          </cell>
          <cell r="C810" t="str">
            <v>-</v>
          </cell>
          <cell r="D810" t="str">
            <v>+</v>
          </cell>
          <cell r="E810" t="str">
            <v>+</v>
          </cell>
          <cell r="F810" t="str">
            <v>X</v>
          </cell>
          <cell r="G810" t="str">
            <v>+</v>
          </cell>
          <cell r="H810" t="str">
            <v>+</v>
          </cell>
          <cell r="I810" t="str">
            <v>-</v>
          </cell>
          <cell r="J810" t="str">
            <v>-</v>
          </cell>
          <cell r="K810" t="str">
            <v>+</v>
          </cell>
          <cell r="L810" t="str">
            <v>-</v>
          </cell>
          <cell r="M810" t="str">
            <v>X</v>
          </cell>
          <cell r="N810" t="str">
            <v>-</v>
          </cell>
          <cell r="O810" t="str">
            <v>-</v>
          </cell>
        </row>
        <row r="811">
          <cell r="A811">
            <v>65060400</v>
          </cell>
          <cell r="B811" t="str">
            <v>Hamburger spinaziepuree kalfsjus 450g ALDI BE</v>
          </cell>
          <cell r="C811" t="str">
            <v>-</v>
          </cell>
          <cell r="D811" t="str">
            <v>X</v>
          </cell>
          <cell r="E811" t="str">
            <v>+</v>
          </cell>
          <cell r="F811" t="str">
            <v>X</v>
          </cell>
          <cell r="G811" t="str">
            <v>+</v>
          </cell>
          <cell r="H811" t="str">
            <v>X</v>
          </cell>
          <cell r="I811" t="str">
            <v>-</v>
          </cell>
          <cell r="J811" t="str">
            <v>X</v>
          </cell>
          <cell r="K811" t="str">
            <v>+</v>
          </cell>
          <cell r="L811" t="str">
            <v>-</v>
          </cell>
          <cell r="M811" t="str">
            <v>X</v>
          </cell>
          <cell r="N811" t="str">
            <v>X</v>
          </cell>
          <cell r="O811" t="str">
            <v>X</v>
          </cell>
        </row>
        <row r="812">
          <cell r="A812">
            <v>65062000</v>
          </cell>
          <cell r="B812" t="str">
            <v xml:space="preserve">Zalm ASC pickels rijstmix 425g ALDI </v>
          </cell>
          <cell r="C812" t="str">
            <v>-</v>
          </cell>
          <cell r="D812" t="str">
            <v>-</v>
          </cell>
          <cell r="E812" t="str">
            <v>-</v>
          </cell>
          <cell r="F812" t="str">
            <v>-</v>
          </cell>
          <cell r="G812" t="str">
            <v>+</v>
          </cell>
          <cell r="H812" t="str">
            <v>+</v>
          </cell>
          <cell r="I812" t="str">
            <v>-</v>
          </cell>
          <cell r="J812" t="str">
            <v>-</v>
          </cell>
          <cell r="K812" t="str">
            <v>+</v>
          </cell>
          <cell r="L812" t="str">
            <v>-</v>
          </cell>
          <cell r="M812" t="str">
            <v>+</v>
          </cell>
          <cell r="N812" t="str">
            <v>+</v>
          </cell>
          <cell r="O812" t="str">
            <v>-</v>
          </cell>
        </row>
        <row r="813">
          <cell r="A813">
            <v>65062100</v>
          </cell>
          <cell r="B813" t="str">
            <v>Kip bloemkoolrijst groenten currysaus 425g ALDI BE</v>
          </cell>
          <cell r="C813" t="str">
            <v>-</v>
          </cell>
          <cell r="D813" t="str">
            <v>-</v>
          </cell>
          <cell r="E813" t="str">
            <v>+</v>
          </cell>
          <cell r="F813" t="str">
            <v>X</v>
          </cell>
          <cell r="G813" t="str">
            <v>+</v>
          </cell>
          <cell r="H813" t="str">
            <v>+</v>
          </cell>
          <cell r="I813" t="str">
            <v>-</v>
          </cell>
          <cell r="J813" t="str">
            <v>-</v>
          </cell>
          <cell r="K813" t="str">
            <v>+</v>
          </cell>
          <cell r="L813" t="str">
            <v>-</v>
          </cell>
          <cell r="M813" t="str">
            <v>X</v>
          </cell>
          <cell r="N813" t="str">
            <v>-</v>
          </cell>
          <cell r="O813" t="str">
            <v>-</v>
          </cell>
        </row>
        <row r="814">
          <cell r="A814">
            <v>65062200</v>
          </cell>
          <cell r="B814" t="str">
            <v>Kip linguine teriyaki broccoli 425 g ALDI BE</v>
          </cell>
          <cell r="C814" t="str">
            <v>-</v>
          </cell>
          <cell r="D814" t="str">
            <v>X</v>
          </cell>
          <cell r="E814" t="str">
            <v>+</v>
          </cell>
          <cell r="F814" t="str">
            <v>X</v>
          </cell>
          <cell r="G814" t="str">
            <v>-</v>
          </cell>
          <cell r="H814" t="str">
            <v>X</v>
          </cell>
          <cell r="I814" t="str">
            <v>-</v>
          </cell>
          <cell r="J814" t="str">
            <v>-</v>
          </cell>
          <cell r="K814" t="str">
            <v>X</v>
          </cell>
          <cell r="L814" t="str">
            <v>+</v>
          </cell>
          <cell r="M814" t="str">
            <v>+</v>
          </cell>
          <cell r="N814" t="str">
            <v>-</v>
          </cell>
          <cell r="O814" t="str">
            <v>-</v>
          </cell>
        </row>
        <row r="815">
          <cell r="A815">
            <v>65062300</v>
          </cell>
          <cell r="B815" t="str">
            <v>Kip rijst teriyaki  broccoli 425g ALDI BE</v>
          </cell>
          <cell r="C815" t="str">
            <v>-</v>
          </cell>
          <cell r="D815" t="str">
            <v>-</v>
          </cell>
          <cell r="E815" t="str">
            <v>+</v>
          </cell>
          <cell r="F815" t="str">
            <v>-</v>
          </cell>
          <cell r="G815" t="str">
            <v>-</v>
          </cell>
          <cell r="H815" t="str">
            <v>-</v>
          </cell>
          <cell r="I815" t="str">
            <v>-</v>
          </cell>
          <cell r="J815" t="str">
            <v>-</v>
          </cell>
          <cell r="K815" t="str">
            <v>+</v>
          </cell>
          <cell r="L815" t="str">
            <v>+</v>
          </cell>
          <cell r="M815" t="str">
            <v>+</v>
          </cell>
          <cell r="N815" t="str">
            <v>-</v>
          </cell>
          <cell r="O815" t="str">
            <v>-</v>
          </cell>
        </row>
        <row r="816">
          <cell r="A816">
            <v>65062400</v>
          </cell>
          <cell r="B816" t="str">
            <v>Zalm ASC mosterd z groenten bulgur 425g ALDI BE</v>
          </cell>
          <cell r="C816" t="str">
            <v>-</v>
          </cell>
          <cell r="D816" t="str">
            <v>-</v>
          </cell>
          <cell r="E816" t="str">
            <v>+</v>
          </cell>
          <cell r="F816" t="str">
            <v>-</v>
          </cell>
          <cell r="G816" t="str">
            <v>+</v>
          </cell>
          <cell r="H816" t="str">
            <v>+</v>
          </cell>
          <cell r="I816" t="str">
            <v>-</v>
          </cell>
          <cell r="J816" t="str">
            <v>-</v>
          </cell>
          <cell r="K816" t="str">
            <v>+</v>
          </cell>
          <cell r="L816" t="str">
            <v>-</v>
          </cell>
          <cell r="M816" t="str">
            <v>+</v>
          </cell>
          <cell r="N816" t="str">
            <v>+</v>
          </cell>
          <cell r="O816" t="str">
            <v>-</v>
          </cell>
        </row>
        <row r="817">
          <cell r="A817">
            <v>65101200</v>
          </cell>
          <cell r="B817" t="str">
            <v>Schartongrolletjes duglérésaus 2.1kg DMB</v>
          </cell>
          <cell r="C817" t="str">
            <v>-</v>
          </cell>
          <cell r="D817" t="str">
            <v>-</v>
          </cell>
          <cell r="E817" t="str">
            <v>+</v>
          </cell>
          <cell r="F817" t="str">
            <v>X</v>
          </cell>
          <cell r="G817" t="str">
            <v>+</v>
          </cell>
          <cell r="H817" t="str">
            <v>X</v>
          </cell>
          <cell r="I817" t="str">
            <v>-</v>
          </cell>
          <cell r="J817" t="str">
            <v>X</v>
          </cell>
          <cell r="K817" t="str">
            <v>+</v>
          </cell>
          <cell r="L817" t="str">
            <v>-</v>
          </cell>
          <cell r="M817" t="str">
            <v>X</v>
          </cell>
          <cell r="N817" t="str">
            <v>+</v>
          </cell>
          <cell r="O817" t="str">
            <v>X</v>
          </cell>
        </row>
        <row r="818">
          <cell r="A818">
            <v>65101800</v>
          </cell>
          <cell r="B818" t="str">
            <v>Zalm plank fijne groentensaus 2,2kg DMB</v>
          </cell>
          <cell r="C818" t="str">
            <v>-</v>
          </cell>
          <cell r="D818" t="str">
            <v>-</v>
          </cell>
          <cell r="E818" t="str">
            <v>+</v>
          </cell>
          <cell r="F818" t="str">
            <v>X</v>
          </cell>
          <cell r="G818" t="str">
            <v>+</v>
          </cell>
          <cell r="H818" t="str">
            <v>X</v>
          </cell>
          <cell r="I818" t="str">
            <v>-</v>
          </cell>
          <cell r="J818" t="str">
            <v>X</v>
          </cell>
          <cell r="K818" t="str">
            <v>+</v>
          </cell>
          <cell r="L818" t="str">
            <v>-</v>
          </cell>
          <cell r="M818" t="str">
            <v>X</v>
          </cell>
          <cell r="N818" t="str">
            <v>+</v>
          </cell>
          <cell r="O818" t="str">
            <v>X</v>
          </cell>
        </row>
        <row r="819">
          <cell r="A819">
            <v>65101900</v>
          </cell>
          <cell r="B819" t="str">
            <v>Visfilet fijne kruidensaus 2,2 KG DMB</v>
          </cell>
          <cell r="C819" t="str">
            <v>-</v>
          </cell>
          <cell r="D819" t="str">
            <v>-</v>
          </cell>
          <cell r="E819" t="str">
            <v>+</v>
          </cell>
          <cell r="F819" t="str">
            <v>X</v>
          </cell>
          <cell r="G819" t="str">
            <v>+</v>
          </cell>
          <cell r="H819" t="str">
            <v>X</v>
          </cell>
          <cell r="I819" t="str">
            <v>-</v>
          </cell>
          <cell r="J819" t="str">
            <v>X</v>
          </cell>
          <cell r="K819" t="str">
            <v>-</v>
          </cell>
          <cell r="L819" t="str">
            <v>-</v>
          </cell>
          <cell r="M819" t="str">
            <v>X</v>
          </cell>
          <cell r="N819" t="str">
            <v>+</v>
          </cell>
          <cell r="O819" t="str">
            <v>X</v>
          </cell>
        </row>
        <row r="820">
          <cell r="A820">
            <v>65102200</v>
          </cell>
          <cell r="B820" t="str">
            <v>Varkenslapje vleessaus 1,9 KG DMB</v>
          </cell>
          <cell r="C820" t="str">
            <v>-</v>
          </cell>
          <cell r="D820" t="str">
            <v>X</v>
          </cell>
          <cell r="E820" t="str">
            <v>+</v>
          </cell>
          <cell r="F820" t="str">
            <v>X</v>
          </cell>
          <cell r="G820" t="str">
            <v>X</v>
          </cell>
          <cell r="H820" t="str">
            <v>X</v>
          </cell>
          <cell r="I820" t="str">
            <v>X</v>
          </cell>
          <cell r="J820" t="str">
            <v>X</v>
          </cell>
          <cell r="K820" t="str">
            <v>X</v>
          </cell>
          <cell r="L820" t="str">
            <v>-</v>
          </cell>
          <cell r="M820" t="str">
            <v>X</v>
          </cell>
          <cell r="N820" t="str">
            <v>X</v>
          </cell>
          <cell r="O820" t="str">
            <v>X</v>
          </cell>
        </row>
        <row r="821">
          <cell r="A821">
            <v>65102300</v>
          </cell>
          <cell r="B821" t="str">
            <v>Varkenslapje gesneden vleessaus 1,9 KG DMB</v>
          </cell>
          <cell r="C821" t="str">
            <v>-</v>
          </cell>
          <cell r="D821" t="str">
            <v>X</v>
          </cell>
          <cell r="E821" t="str">
            <v>+</v>
          </cell>
          <cell r="F821" t="str">
            <v>X</v>
          </cell>
          <cell r="G821" t="str">
            <v>X</v>
          </cell>
          <cell r="H821" t="str">
            <v>X</v>
          </cell>
          <cell r="I821" t="str">
            <v>X</v>
          </cell>
          <cell r="J821" t="str">
            <v>X</v>
          </cell>
          <cell r="K821" t="str">
            <v>X</v>
          </cell>
          <cell r="L821" t="str">
            <v>-</v>
          </cell>
          <cell r="M821" t="str">
            <v>X</v>
          </cell>
          <cell r="N821" t="str">
            <v>X</v>
          </cell>
          <cell r="O821" t="str">
            <v>X</v>
          </cell>
        </row>
        <row r="822">
          <cell r="A822">
            <v>65102400</v>
          </cell>
          <cell r="B822" t="str">
            <v>Varkensstoofvlees 2,1 kg DMB</v>
          </cell>
          <cell r="C822" t="str">
            <v>-</v>
          </cell>
          <cell r="D822" t="str">
            <v>-</v>
          </cell>
          <cell r="E822" t="str">
            <v>+</v>
          </cell>
          <cell r="F822" t="str">
            <v>X</v>
          </cell>
          <cell r="G822" t="str">
            <v>-</v>
          </cell>
          <cell r="H822" t="str">
            <v>+</v>
          </cell>
          <cell r="I822" t="str">
            <v>-</v>
          </cell>
          <cell r="J822" t="str">
            <v>-</v>
          </cell>
          <cell r="K822" t="str">
            <v>+</v>
          </cell>
          <cell r="L822" t="str">
            <v>-</v>
          </cell>
          <cell r="M822" t="str">
            <v>X</v>
          </cell>
          <cell r="N822" t="str">
            <v>-</v>
          </cell>
          <cell r="O822" t="str">
            <v>-</v>
          </cell>
        </row>
        <row r="823">
          <cell r="A823">
            <v>65102700</v>
          </cell>
          <cell r="B823" t="str">
            <v>Varkensreepjes paprika-champignonsaus 1,9 kg DMB</v>
          </cell>
          <cell r="C823" t="str">
            <v>-</v>
          </cell>
          <cell r="D823" t="str">
            <v>X</v>
          </cell>
          <cell r="E823" t="str">
            <v>+</v>
          </cell>
          <cell r="F823" t="str">
            <v>X</v>
          </cell>
          <cell r="G823" t="str">
            <v>+</v>
          </cell>
          <cell r="H823" t="str">
            <v>X</v>
          </cell>
          <cell r="I823" t="str">
            <v>X</v>
          </cell>
          <cell r="J823" t="str">
            <v>X</v>
          </cell>
          <cell r="K823" t="str">
            <v>+</v>
          </cell>
          <cell r="L823" t="str">
            <v>-</v>
          </cell>
          <cell r="M823" t="str">
            <v>X</v>
          </cell>
          <cell r="N823" t="str">
            <v>X</v>
          </cell>
          <cell r="O823" t="str">
            <v>X</v>
          </cell>
        </row>
        <row r="824">
          <cell r="A824">
            <v>65102800</v>
          </cell>
          <cell r="B824" t="str">
            <v>Varkensgyros Mediterraans  1,9kg DMB</v>
          </cell>
          <cell r="C824" t="str">
            <v>-</v>
          </cell>
          <cell r="D824" t="str">
            <v>X</v>
          </cell>
          <cell r="E824" t="str">
            <v>X</v>
          </cell>
          <cell r="F824" t="str">
            <v>-</v>
          </cell>
          <cell r="G824" t="str">
            <v>X</v>
          </cell>
          <cell r="H824" t="str">
            <v>X</v>
          </cell>
          <cell r="I824" t="str">
            <v>X</v>
          </cell>
          <cell r="J824" t="str">
            <v>X</v>
          </cell>
          <cell r="K824" t="str">
            <v>+</v>
          </cell>
          <cell r="L824" t="str">
            <v>-</v>
          </cell>
          <cell r="M824" t="str">
            <v>X</v>
          </cell>
          <cell r="N824" t="str">
            <v>X</v>
          </cell>
          <cell r="O824" t="str">
            <v>X</v>
          </cell>
        </row>
        <row r="825">
          <cell r="A825">
            <v>65102900</v>
          </cell>
          <cell r="B825" t="str">
            <v>Witloof ham kaas 2,35 DMB</v>
          </cell>
          <cell r="C825" t="str">
            <v>-</v>
          </cell>
          <cell r="D825" t="str">
            <v>-</v>
          </cell>
          <cell r="E825" t="str">
            <v>+</v>
          </cell>
          <cell r="F825" t="str">
            <v>X</v>
          </cell>
          <cell r="G825" t="str">
            <v>+</v>
          </cell>
          <cell r="H825" t="str">
            <v>X</v>
          </cell>
          <cell r="I825" t="str">
            <v>-</v>
          </cell>
          <cell r="J825" t="str">
            <v>-</v>
          </cell>
          <cell r="K825" t="str">
            <v>-</v>
          </cell>
          <cell r="L825" t="str">
            <v>-</v>
          </cell>
          <cell r="M825" t="str">
            <v>X</v>
          </cell>
          <cell r="N825" t="str">
            <v>-</v>
          </cell>
          <cell r="O825" t="str">
            <v>-</v>
          </cell>
        </row>
        <row r="826">
          <cell r="A826">
            <v>65104000</v>
          </cell>
          <cell r="B826" t="str">
            <v>Vlaamse stoverij 2,1 kg DMB</v>
          </cell>
          <cell r="C826" t="str">
            <v>-</v>
          </cell>
          <cell r="D826" t="str">
            <v>X</v>
          </cell>
          <cell r="E826" t="str">
            <v>+</v>
          </cell>
          <cell r="F826" t="str">
            <v>X</v>
          </cell>
          <cell r="G826" t="str">
            <v>X</v>
          </cell>
          <cell r="H826" t="str">
            <v>+</v>
          </cell>
          <cell r="I826" t="str">
            <v>-</v>
          </cell>
          <cell r="J826" t="str">
            <v>-</v>
          </cell>
          <cell r="K826" t="str">
            <v>+</v>
          </cell>
          <cell r="L826" t="str">
            <v>-</v>
          </cell>
          <cell r="M826" t="str">
            <v>X</v>
          </cell>
          <cell r="N826" t="str">
            <v>-</v>
          </cell>
          <cell r="O826" t="str">
            <v>-</v>
          </cell>
        </row>
        <row r="827">
          <cell r="A827">
            <v>65104200</v>
          </cell>
          <cell r="B827" t="str">
            <v>Rundergoulash 1,9kg DMB</v>
          </cell>
          <cell r="C827" t="str">
            <v>-</v>
          </cell>
          <cell r="D827" t="str">
            <v>X</v>
          </cell>
          <cell r="E827" t="str">
            <v>+</v>
          </cell>
          <cell r="F827" t="str">
            <v>-</v>
          </cell>
          <cell r="G827" t="str">
            <v>X</v>
          </cell>
          <cell r="H827" t="str">
            <v>X</v>
          </cell>
          <cell r="I827" t="str">
            <v>-</v>
          </cell>
          <cell r="J827" t="str">
            <v>-</v>
          </cell>
          <cell r="K827" t="str">
            <v>X</v>
          </cell>
          <cell r="L827" t="str">
            <v>-</v>
          </cell>
          <cell r="M827" t="str">
            <v>X</v>
          </cell>
          <cell r="N827" t="str">
            <v>-</v>
          </cell>
          <cell r="O827" t="str">
            <v>-</v>
          </cell>
        </row>
        <row r="828">
          <cell r="A828">
            <v>65104300</v>
          </cell>
          <cell r="B828" t="str">
            <v>Hamburger champignonsaus 2kg DMB</v>
          </cell>
          <cell r="C828" t="str">
            <v>-</v>
          </cell>
          <cell r="D828" t="str">
            <v>X</v>
          </cell>
          <cell r="E828" t="str">
            <v>+</v>
          </cell>
          <cell r="F828" t="str">
            <v>X</v>
          </cell>
          <cell r="G828" t="str">
            <v>+</v>
          </cell>
          <cell r="H828" t="str">
            <v>X</v>
          </cell>
          <cell r="I828" t="str">
            <v>-</v>
          </cell>
          <cell r="J828" t="str">
            <v>X</v>
          </cell>
          <cell r="K828" t="str">
            <v>+</v>
          </cell>
          <cell r="L828" t="str">
            <v>-</v>
          </cell>
          <cell r="M828" t="str">
            <v>X</v>
          </cell>
          <cell r="N828" t="str">
            <v>X</v>
          </cell>
          <cell r="O828" t="str">
            <v>X</v>
          </cell>
        </row>
        <row r="829">
          <cell r="A829">
            <v>65104400</v>
          </cell>
          <cell r="B829" t="str">
            <v>Hamburger gesneden champignonsaus 2kg DMB</v>
          </cell>
          <cell r="C829" t="str">
            <v>-</v>
          </cell>
          <cell r="D829" t="str">
            <v>X</v>
          </cell>
          <cell r="E829" t="str">
            <v>+</v>
          </cell>
          <cell r="F829" t="str">
            <v>X</v>
          </cell>
          <cell r="G829" t="str">
            <v>+</v>
          </cell>
          <cell r="H829" t="str">
            <v>X</v>
          </cell>
          <cell r="I829" t="str">
            <v>X</v>
          </cell>
          <cell r="J829" t="str">
            <v>X</v>
          </cell>
          <cell r="K829" t="str">
            <v>+</v>
          </cell>
          <cell r="L829" t="str">
            <v>-</v>
          </cell>
          <cell r="M829" t="str">
            <v>X</v>
          </cell>
          <cell r="N829" t="str">
            <v>X</v>
          </cell>
          <cell r="O829" t="str">
            <v>X</v>
          </cell>
        </row>
        <row r="830">
          <cell r="A830">
            <v>65105100</v>
          </cell>
          <cell r="B830" t="str">
            <v>Kippenhaasje supremesaus 2kg DMB</v>
          </cell>
          <cell r="C830" t="str">
            <v>-</v>
          </cell>
          <cell r="D830" t="str">
            <v>-</v>
          </cell>
          <cell r="E830" t="str">
            <v>+</v>
          </cell>
          <cell r="F830" t="str">
            <v>X</v>
          </cell>
          <cell r="G830" t="str">
            <v>+</v>
          </cell>
          <cell r="H830" t="str">
            <v>X</v>
          </cell>
          <cell r="I830" t="str">
            <v>-</v>
          </cell>
          <cell r="J830" t="str">
            <v>-</v>
          </cell>
          <cell r="K830" t="str">
            <v>+</v>
          </cell>
          <cell r="L830" t="str">
            <v>-</v>
          </cell>
          <cell r="M830" t="str">
            <v>X</v>
          </cell>
          <cell r="N830" t="str">
            <v>-</v>
          </cell>
          <cell r="O830" t="str">
            <v>-</v>
          </cell>
        </row>
        <row r="831">
          <cell r="A831">
            <v>65105200</v>
          </cell>
          <cell r="B831" t="str">
            <v>Kalkoen roomsaus 2kg DMB</v>
          </cell>
          <cell r="C831" t="str">
            <v>-</v>
          </cell>
          <cell r="D831" t="str">
            <v>X</v>
          </cell>
          <cell r="E831" t="str">
            <v>+</v>
          </cell>
          <cell r="F831" t="str">
            <v>X</v>
          </cell>
          <cell r="G831" t="str">
            <v>+</v>
          </cell>
          <cell r="H831" t="str">
            <v>X</v>
          </cell>
          <cell r="I831" t="str">
            <v>-</v>
          </cell>
          <cell r="J831" t="str">
            <v>-</v>
          </cell>
          <cell r="K831" t="str">
            <v>-</v>
          </cell>
          <cell r="L831" t="str">
            <v>-</v>
          </cell>
          <cell r="M831" t="str">
            <v>X</v>
          </cell>
          <cell r="N831" t="str">
            <v>-</v>
          </cell>
          <cell r="O831" t="str">
            <v>-</v>
          </cell>
        </row>
        <row r="832">
          <cell r="A832">
            <v>65105300</v>
          </cell>
          <cell r="B832" t="str">
            <v>Kalkoen gesneden roomsaus 2kg DMB</v>
          </cell>
          <cell r="C832" t="str">
            <v>-</v>
          </cell>
          <cell r="D832" t="str">
            <v>X</v>
          </cell>
          <cell r="E832" t="str">
            <v>+</v>
          </cell>
          <cell r="F832" t="str">
            <v>X</v>
          </cell>
          <cell r="G832" t="str">
            <v>+</v>
          </cell>
          <cell r="H832" t="str">
            <v>X</v>
          </cell>
          <cell r="I832" t="str">
            <v>-</v>
          </cell>
          <cell r="J832" t="str">
            <v>-</v>
          </cell>
          <cell r="K832" t="str">
            <v>X</v>
          </cell>
          <cell r="L832" t="str">
            <v>-</v>
          </cell>
          <cell r="M832" t="str">
            <v>X</v>
          </cell>
          <cell r="N832" t="str">
            <v>-</v>
          </cell>
          <cell r="O832" t="str">
            <v>-</v>
          </cell>
        </row>
        <row r="833">
          <cell r="A833">
            <v>65105400</v>
          </cell>
          <cell r="B833" t="str">
            <v>Kipburger jachtsaus 2,16kg DMB</v>
          </cell>
          <cell r="C833" t="str">
            <v>-</v>
          </cell>
          <cell r="D833" t="str">
            <v>-</v>
          </cell>
          <cell r="E833" t="str">
            <v>+</v>
          </cell>
          <cell r="F833" t="str">
            <v>X</v>
          </cell>
          <cell r="G833" t="str">
            <v>-</v>
          </cell>
          <cell r="H833" t="str">
            <v>+</v>
          </cell>
          <cell r="I833" t="str">
            <v>-</v>
          </cell>
          <cell r="J833" t="str">
            <v>-</v>
          </cell>
          <cell r="K833" t="str">
            <v>+</v>
          </cell>
          <cell r="L833" t="str">
            <v>-</v>
          </cell>
          <cell r="M833" t="str">
            <v>X</v>
          </cell>
          <cell r="N833" t="str">
            <v>-</v>
          </cell>
          <cell r="O833" t="str">
            <v>-</v>
          </cell>
        </row>
        <row r="834">
          <cell r="A834">
            <v>65105900</v>
          </cell>
          <cell r="B834" t="str">
            <v>Kippenreepjes fijne kruidensaus 1,9kg DMB</v>
          </cell>
          <cell r="C834" t="str">
            <v>-</v>
          </cell>
          <cell r="D834" t="str">
            <v>-</v>
          </cell>
          <cell r="E834" t="str">
            <v>+</v>
          </cell>
          <cell r="F834" t="str">
            <v>X</v>
          </cell>
          <cell r="G834" t="str">
            <v>+</v>
          </cell>
          <cell r="H834" t="str">
            <v>X</v>
          </cell>
          <cell r="I834" t="str">
            <v>-</v>
          </cell>
          <cell r="J834" t="str">
            <v>-</v>
          </cell>
          <cell r="K834" t="str">
            <v>-</v>
          </cell>
          <cell r="L834" t="str">
            <v>-</v>
          </cell>
          <cell r="M834" t="str">
            <v>X</v>
          </cell>
          <cell r="N834" t="str">
            <v>-</v>
          </cell>
          <cell r="O834" t="str">
            <v>-</v>
          </cell>
        </row>
        <row r="835">
          <cell r="A835">
            <v>65106000</v>
          </cell>
          <cell r="B835" t="str">
            <v>Kippenhaasjes currysaus 2 kg DMB</v>
          </cell>
          <cell r="C835" t="str">
            <v>-</v>
          </cell>
          <cell r="D835" t="str">
            <v>-</v>
          </cell>
          <cell r="E835" t="str">
            <v>+</v>
          </cell>
          <cell r="F835" t="str">
            <v>X</v>
          </cell>
          <cell r="G835" t="str">
            <v>+</v>
          </cell>
          <cell r="H835" t="str">
            <v>+</v>
          </cell>
          <cell r="I835" t="str">
            <v>-</v>
          </cell>
          <cell r="J835" t="str">
            <v>-</v>
          </cell>
          <cell r="K835" t="str">
            <v>+</v>
          </cell>
          <cell r="L835" t="str">
            <v>-</v>
          </cell>
          <cell r="M835" t="str">
            <v>X</v>
          </cell>
          <cell r="N835" t="str">
            <v>-</v>
          </cell>
          <cell r="O835" t="str">
            <v>-</v>
          </cell>
        </row>
        <row r="836">
          <cell r="A836">
            <v>65106100</v>
          </cell>
          <cell r="B836" t="str">
            <v>Vol au vent 2 kg DMB</v>
          </cell>
          <cell r="C836" t="str">
            <v>-</v>
          </cell>
          <cell r="D836" t="str">
            <v>X</v>
          </cell>
          <cell r="E836" t="str">
            <v>+</v>
          </cell>
          <cell r="F836" t="str">
            <v>X</v>
          </cell>
          <cell r="G836" t="str">
            <v>+</v>
          </cell>
          <cell r="H836" t="str">
            <v>X</v>
          </cell>
          <cell r="I836" t="str">
            <v>-</v>
          </cell>
          <cell r="J836" t="str">
            <v>X</v>
          </cell>
          <cell r="K836" t="str">
            <v>X</v>
          </cell>
          <cell r="L836" t="str">
            <v>-</v>
          </cell>
          <cell r="M836" t="str">
            <v>X</v>
          </cell>
          <cell r="N836" t="str">
            <v>X</v>
          </cell>
          <cell r="O836" t="str">
            <v>X</v>
          </cell>
        </row>
        <row r="837">
          <cell r="A837">
            <v>65106300</v>
          </cell>
          <cell r="B837" t="str">
            <v>Kipfilet in zoetzure saus 2 kg DMB</v>
          </cell>
          <cell r="C837" t="str">
            <v>-</v>
          </cell>
          <cell r="D837" t="str">
            <v>-</v>
          </cell>
          <cell r="E837" t="str">
            <v>-</v>
          </cell>
          <cell r="F837" t="str">
            <v>-</v>
          </cell>
          <cell r="G837" t="str">
            <v>-</v>
          </cell>
          <cell r="H837" t="str">
            <v>-</v>
          </cell>
          <cell r="I837" t="str">
            <v>-</v>
          </cell>
          <cell r="J837" t="str">
            <v>-</v>
          </cell>
          <cell r="K837" t="str">
            <v>+</v>
          </cell>
          <cell r="L837" t="str">
            <v>-</v>
          </cell>
          <cell r="M837" t="str">
            <v>+</v>
          </cell>
          <cell r="N837" t="str">
            <v>-</v>
          </cell>
          <cell r="O837" t="str">
            <v>-</v>
          </cell>
        </row>
        <row r="838">
          <cell r="A838">
            <v>65106400</v>
          </cell>
          <cell r="B838" t="str">
            <v>Kippenhaasjes in zoetzure saus  2 kg DMB</v>
          </cell>
          <cell r="C838" t="str">
            <v>-</v>
          </cell>
          <cell r="D838" t="str">
            <v>-</v>
          </cell>
          <cell r="E838" t="str">
            <v>-</v>
          </cell>
          <cell r="F838" t="str">
            <v>-</v>
          </cell>
          <cell r="G838" t="str">
            <v>-</v>
          </cell>
          <cell r="H838" t="str">
            <v>-</v>
          </cell>
          <cell r="I838" t="str">
            <v>-</v>
          </cell>
          <cell r="J838" t="str">
            <v>-</v>
          </cell>
          <cell r="K838" t="str">
            <v>+</v>
          </cell>
          <cell r="L838" t="str">
            <v>-</v>
          </cell>
          <cell r="M838" t="str">
            <v>+</v>
          </cell>
          <cell r="N838" t="str">
            <v>-</v>
          </cell>
          <cell r="O838" t="str">
            <v>-</v>
          </cell>
        </row>
        <row r="839">
          <cell r="A839">
            <v>65106900</v>
          </cell>
          <cell r="B839" t="str">
            <v>Kippenhaasjes braadjus 2kg DMB</v>
          </cell>
          <cell r="C839" t="str">
            <v>-</v>
          </cell>
          <cell r="D839" t="str">
            <v>-</v>
          </cell>
          <cell r="E839" t="str">
            <v>+</v>
          </cell>
          <cell r="F839" t="str">
            <v>X</v>
          </cell>
          <cell r="G839" t="str">
            <v>+</v>
          </cell>
          <cell r="H839" t="str">
            <v>X</v>
          </cell>
          <cell r="I839" t="str">
            <v>-</v>
          </cell>
          <cell r="J839" t="str">
            <v>-</v>
          </cell>
          <cell r="K839" t="str">
            <v>X</v>
          </cell>
          <cell r="L839" t="str">
            <v>-</v>
          </cell>
          <cell r="M839" t="str">
            <v>X</v>
          </cell>
          <cell r="N839" t="str">
            <v>-</v>
          </cell>
          <cell r="O839" t="str">
            <v>-</v>
          </cell>
        </row>
        <row r="840">
          <cell r="A840">
            <v>65107000</v>
          </cell>
          <cell r="B840" t="str">
            <v>CHIPOLATA IN JUS 2kg DMB</v>
          </cell>
          <cell r="C840" t="str">
            <v>-</v>
          </cell>
          <cell r="D840" t="str">
            <v>X</v>
          </cell>
          <cell r="E840" t="str">
            <v>X</v>
          </cell>
          <cell r="F840" t="str">
            <v>-</v>
          </cell>
          <cell r="G840" t="str">
            <v>X</v>
          </cell>
          <cell r="H840" t="str">
            <v>X</v>
          </cell>
          <cell r="I840" t="str">
            <v>-</v>
          </cell>
          <cell r="J840" t="str">
            <v>-</v>
          </cell>
          <cell r="K840" t="str">
            <v>X</v>
          </cell>
          <cell r="L840" t="str">
            <v>-</v>
          </cell>
          <cell r="M840" t="str">
            <v>X</v>
          </cell>
          <cell r="N840" t="str">
            <v>-</v>
          </cell>
          <cell r="O840" t="str">
            <v>X</v>
          </cell>
        </row>
        <row r="841">
          <cell r="A841">
            <v>65107100</v>
          </cell>
          <cell r="B841" t="str">
            <v>CHIPOLATA IN JUS GESNEDEN 2kg DMB</v>
          </cell>
          <cell r="C841" t="str">
            <v>X</v>
          </cell>
          <cell r="D841" t="str">
            <v>X</v>
          </cell>
          <cell r="E841" t="str">
            <v>X</v>
          </cell>
          <cell r="F841" t="str">
            <v>-</v>
          </cell>
          <cell r="G841" t="str">
            <v>X</v>
          </cell>
          <cell r="H841" t="str">
            <v>X</v>
          </cell>
          <cell r="I841" t="str">
            <v>X</v>
          </cell>
          <cell r="J841" t="str">
            <v>X</v>
          </cell>
          <cell r="K841" t="str">
            <v>X</v>
          </cell>
          <cell r="L841" t="str">
            <v>X</v>
          </cell>
          <cell r="M841" t="str">
            <v>X</v>
          </cell>
          <cell r="N841" t="str">
            <v>X</v>
          </cell>
          <cell r="O841" t="str">
            <v>X</v>
          </cell>
        </row>
        <row r="842">
          <cell r="A842">
            <v>65107200</v>
          </cell>
          <cell r="B842" t="str">
            <v>Kipfilet peperroomsaus minder pikant 2kg DMB</v>
          </cell>
          <cell r="C842" t="str">
            <v>-</v>
          </cell>
          <cell r="D842" t="str">
            <v>-</v>
          </cell>
          <cell r="E842" t="str">
            <v>+</v>
          </cell>
          <cell r="F842" t="str">
            <v>X</v>
          </cell>
          <cell r="G842" t="str">
            <v>+</v>
          </cell>
          <cell r="H842" t="str">
            <v>X</v>
          </cell>
          <cell r="I842" t="str">
            <v>-</v>
          </cell>
          <cell r="J842" t="str">
            <v>-</v>
          </cell>
          <cell r="K842" t="str">
            <v>-</v>
          </cell>
          <cell r="L842" t="str">
            <v>-</v>
          </cell>
          <cell r="M842" t="str">
            <v>X</v>
          </cell>
          <cell r="N842" t="str">
            <v>-</v>
          </cell>
          <cell r="O842" t="str">
            <v>-</v>
          </cell>
        </row>
        <row r="843">
          <cell r="A843">
            <v>65107300</v>
          </cell>
          <cell r="B843" t="str">
            <v>Witte pens kalfsjus 2,2 kg DMB</v>
          </cell>
          <cell r="C843" t="str">
            <v>-</v>
          </cell>
          <cell r="D843" t="str">
            <v>+</v>
          </cell>
          <cell r="E843" t="str">
            <v>+</v>
          </cell>
          <cell r="F843" t="str">
            <v>X</v>
          </cell>
          <cell r="G843" t="str">
            <v>+</v>
          </cell>
          <cell r="H843" t="str">
            <v>+</v>
          </cell>
          <cell r="I843" t="str">
            <v>-</v>
          </cell>
          <cell r="J843" t="str">
            <v>-</v>
          </cell>
          <cell r="K843" t="str">
            <v>+</v>
          </cell>
          <cell r="L843" t="str">
            <v>-</v>
          </cell>
          <cell r="M843" t="str">
            <v>+</v>
          </cell>
          <cell r="N843" t="str">
            <v>-</v>
          </cell>
          <cell r="O843" t="str">
            <v>-</v>
          </cell>
        </row>
        <row r="844">
          <cell r="A844">
            <v>65107400</v>
          </cell>
          <cell r="B844" t="str">
            <v>Witte pens gesneden kalfsjus 2,2 kg DMB</v>
          </cell>
          <cell r="C844" t="str">
            <v>-</v>
          </cell>
          <cell r="D844" t="str">
            <v>X</v>
          </cell>
          <cell r="E844" t="str">
            <v>+</v>
          </cell>
          <cell r="F844" t="str">
            <v>X</v>
          </cell>
          <cell r="G844" t="str">
            <v>+</v>
          </cell>
          <cell r="H844" t="str">
            <v>X</v>
          </cell>
          <cell r="I844" t="str">
            <v>X</v>
          </cell>
          <cell r="J844" t="str">
            <v>-</v>
          </cell>
          <cell r="K844" t="str">
            <v>X</v>
          </cell>
          <cell r="L844" t="str">
            <v>-</v>
          </cell>
          <cell r="M844" t="str">
            <v>+</v>
          </cell>
          <cell r="N844" t="str">
            <v>X</v>
          </cell>
          <cell r="O844" t="str">
            <v>-</v>
          </cell>
        </row>
        <row r="845">
          <cell r="A845">
            <v>65107500</v>
          </cell>
          <cell r="B845" t="str">
            <v>Kippenbout braadjus 1,9kg DMB</v>
          </cell>
          <cell r="C845" t="str">
            <v>-</v>
          </cell>
          <cell r="D845" t="str">
            <v>-</v>
          </cell>
          <cell r="E845" t="str">
            <v>+</v>
          </cell>
          <cell r="F845" t="str">
            <v>-</v>
          </cell>
          <cell r="G845" t="str">
            <v>+</v>
          </cell>
          <cell r="H845" t="str">
            <v>X</v>
          </cell>
          <cell r="I845" t="str">
            <v>-</v>
          </cell>
          <cell r="J845" t="str">
            <v>-</v>
          </cell>
          <cell r="K845" t="str">
            <v>+</v>
          </cell>
          <cell r="L845" t="str">
            <v>-</v>
          </cell>
          <cell r="M845" t="str">
            <v>-</v>
          </cell>
          <cell r="N845" t="str">
            <v>-</v>
          </cell>
          <cell r="O845" t="str">
            <v>-</v>
          </cell>
        </row>
        <row r="846">
          <cell r="A846">
            <v>65107800</v>
          </cell>
          <cell r="B846" t="str">
            <v>Boomstammetje zachte paprikasaus 2kg DMB</v>
          </cell>
          <cell r="C846" t="str">
            <v>X</v>
          </cell>
          <cell r="D846" t="str">
            <v>X</v>
          </cell>
          <cell r="E846" t="str">
            <v>+</v>
          </cell>
          <cell r="F846" t="str">
            <v>X</v>
          </cell>
          <cell r="G846" t="str">
            <v>+</v>
          </cell>
          <cell r="H846" t="str">
            <v>+</v>
          </cell>
          <cell r="I846" t="str">
            <v>X</v>
          </cell>
          <cell r="J846" t="str">
            <v>X</v>
          </cell>
          <cell r="K846" t="str">
            <v>X</v>
          </cell>
          <cell r="L846" t="str">
            <v>X</v>
          </cell>
          <cell r="M846" t="str">
            <v>+</v>
          </cell>
          <cell r="N846" t="str">
            <v>X</v>
          </cell>
          <cell r="O846" t="str">
            <v>X</v>
          </cell>
        </row>
        <row r="847">
          <cell r="A847">
            <v>65107900</v>
          </cell>
          <cell r="B847" t="str">
            <v>Boomstammetje schijfjes zachte paprikasaus 2kg DMB</v>
          </cell>
          <cell r="C847" t="str">
            <v>X</v>
          </cell>
          <cell r="D847" t="str">
            <v>X</v>
          </cell>
          <cell r="E847" t="str">
            <v>+</v>
          </cell>
          <cell r="F847" t="str">
            <v>X</v>
          </cell>
          <cell r="G847" t="str">
            <v>+</v>
          </cell>
          <cell r="H847" t="str">
            <v>+</v>
          </cell>
          <cell r="I847" t="str">
            <v>X</v>
          </cell>
          <cell r="J847" t="str">
            <v>X</v>
          </cell>
          <cell r="K847" t="str">
            <v>X</v>
          </cell>
          <cell r="L847" t="str">
            <v>X</v>
          </cell>
          <cell r="M847" t="str">
            <v>+</v>
          </cell>
          <cell r="N847" t="str">
            <v>X</v>
          </cell>
          <cell r="O847" t="str">
            <v>X</v>
          </cell>
        </row>
        <row r="848">
          <cell r="A848">
            <v>65108100</v>
          </cell>
          <cell r="B848" t="str">
            <v>Balletjes klein tomatensaus 2,4 kg DMB</v>
          </cell>
          <cell r="C848" t="str">
            <v>-</v>
          </cell>
          <cell r="D848" t="str">
            <v>X</v>
          </cell>
          <cell r="E848" t="str">
            <v>X</v>
          </cell>
          <cell r="F848" t="str">
            <v>-</v>
          </cell>
          <cell r="G848" t="str">
            <v>X</v>
          </cell>
          <cell r="H848" t="str">
            <v>X</v>
          </cell>
          <cell r="I848" t="str">
            <v>X</v>
          </cell>
          <cell r="J848" t="str">
            <v>X</v>
          </cell>
          <cell r="K848" t="str">
            <v>+</v>
          </cell>
          <cell r="L848" t="str">
            <v>-</v>
          </cell>
          <cell r="M848" t="str">
            <v>X</v>
          </cell>
          <cell r="N848" t="str">
            <v>X</v>
          </cell>
          <cell r="O848" t="str">
            <v>-</v>
          </cell>
        </row>
        <row r="849">
          <cell r="A849">
            <v>65108200</v>
          </cell>
          <cell r="B849" t="str">
            <v>Rundshamburger braadjus 2kg DMB</v>
          </cell>
          <cell r="C849" t="str">
            <v>-</v>
          </cell>
          <cell r="D849" t="str">
            <v>X</v>
          </cell>
          <cell r="E849" t="str">
            <v>X</v>
          </cell>
          <cell r="F849" t="str">
            <v>-</v>
          </cell>
          <cell r="G849" t="str">
            <v>X</v>
          </cell>
          <cell r="H849" t="str">
            <v>X</v>
          </cell>
          <cell r="I849" t="str">
            <v>X</v>
          </cell>
          <cell r="J849" t="str">
            <v>X</v>
          </cell>
          <cell r="K849" t="str">
            <v>X</v>
          </cell>
          <cell r="L849" t="str">
            <v>-</v>
          </cell>
          <cell r="M849" t="str">
            <v>X</v>
          </cell>
          <cell r="N849" t="str">
            <v>X</v>
          </cell>
          <cell r="O849" t="str">
            <v>X</v>
          </cell>
        </row>
        <row r="850">
          <cell r="A850">
            <v>65108300</v>
          </cell>
          <cell r="B850" t="str">
            <v>Rundshamburger gesneden braadjus 2kg DMB</v>
          </cell>
          <cell r="C850" t="str">
            <v>-</v>
          </cell>
          <cell r="D850" t="str">
            <v>X</v>
          </cell>
          <cell r="E850" t="str">
            <v>X</v>
          </cell>
          <cell r="F850" t="str">
            <v>-</v>
          </cell>
          <cell r="G850" t="str">
            <v>X</v>
          </cell>
          <cell r="H850" t="str">
            <v>X</v>
          </cell>
          <cell r="I850" t="str">
            <v>X</v>
          </cell>
          <cell r="J850" t="str">
            <v>X</v>
          </cell>
          <cell r="K850" t="str">
            <v>X</v>
          </cell>
          <cell r="L850" t="str">
            <v>-</v>
          </cell>
          <cell r="M850" t="str">
            <v>X</v>
          </cell>
          <cell r="N850" t="str">
            <v>X</v>
          </cell>
          <cell r="O850" t="str">
            <v>X</v>
          </cell>
        </row>
        <row r="851">
          <cell r="A851">
            <v>65108400</v>
          </cell>
          <cell r="B851" t="str">
            <v>Boerenbraadworst ajuinsaus 2kg DMB</v>
          </cell>
          <cell r="C851" t="str">
            <v>-</v>
          </cell>
          <cell r="D851" t="str">
            <v>X</v>
          </cell>
          <cell r="E851" t="str">
            <v>+</v>
          </cell>
          <cell r="F851" t="str">
            <v>X</v>
          </cell>
          <cell r="G851" t="str">
            <v>X</v>
          </cell>
          <cell r="H851" t="str">
            <v>X</v>
          </cell>
          <cell r="I851" t="str">
            <v>X</v>
          </cell>
          <cell r="J851" t="str">
            <v>X</v>
          </cell>
          <cell r="K851" t="str">
            <v>X</v>
          </cell>
          <cell r="L851" t="str">
            <v>-</v>
          </cell>
          <cell r="M851" t="str">
            <v>X</v>
          </cell>
          <cell r="N851" t="str">
            <v>X</v>
          </cell>
          <cell r="O851" t="str">
            <v>X</v>
          </cell>
        </row>
        <row r="852">
          <cell r="A852">
            <v>65108500</v>
          </cell>
          <cell r="B852" t="str">
            <v>Boerenbraadworst gesneden ajuinsaus 2kg DMB</v>
          </cell>
          <cell r="C852" t="str">
            <v>-</v>
          </cell>
          <cell r="D852" t="str">
            <v>X</v>
          </cell>
          <cell r="E852" t="str">
            <v>+</v>
          </cell>
          <cell r="F852" t="str">
            <v>X</v>
          </cell>
          <cell r="G852" t="str">
            <v>X</v>
          </cell>
          <cell r="H852" t="str">
            <v>X</v>
          </cell>
          <cell r="I852" t="str">
            <v>X</v>
          </cell>
          <cell r="J852" t="str">
            <v>X</v>
          </cell>
          <cell r="K852" t="str">
            <v>X</v>
          </cell>
          <cell r="L852" t="str">
            <v>-</v>
          </cell>
          <cell r="M852" t="str">
            <v>X</v>
          </cell>
          <cell r="N852" t="str">
            <v>X</v>
          </cell>
          <cell r="O852" t="str">
            <v>X</v>
          </cell>
        </row>
        <row r="853">
          <cell r="A853">
            <v>65109600</v>
          </cell>
          <cell r="B853" t="str">
            <v>Vleesbrood in jus 2kg DMB</v>
          </cell>
          <cell r="C853" t="str">
            <v>X</v>
          </cell>
          <cell r="D853" t="str">
            <v>X</v>
          </cell>
          <cell r="E853" t="str">
            <v>X</v>
          </cell>
          <cell r="F853" t="str">
            <v>-</v>
          </cell>
          <cell r="G853" t="str">
            <v>X</v>
          </cell>
          <cell r="H853" t="str">
            <v>X</v>
          </cell>
          <cell r="I853" t="str">
            <v>X</v>
          </cell>
          <cell r="J853" t="str">
            <v>X</v>
          </cell>
          <cell r="K853" t="str">
            <v>X</v>
          </cell>
          <cell r="L853" t="str">
            <v>X</v>
          </cell>
          <cell r="M853" t="str">
            <v>X</v>
          </cell>
          <cell r="N853" t="str">
            <v>-</v>
          </cell>
          <cell r="O853" t="str">
            <v>-</v>
          </cell>
        </row>
        <row r="854">
          <cell r="A854">
            <v>65109700</v>
          </cell>
          <cell r="B854" t="str">
            <v>Vleesbrood gesneden in jus 2kg DMB</v>
          </cell>
          <cell r="C854" t="str">
            <v>X</v>
          </cell>
          <cell r="D854" t="str">
            <v>X</v>
          </cell>
          <cell r="E854" t="str">
            <v>X</v>
          </cell>
          <cell r="F854" t="str">
            <v>-</v>
          </cell>
          <cell r="G854" t="str">
            <v>X</v>
          </cell>
          <cell r="H854" t="str">
            <v>X</v>
          </cell>
          <cell r="I854" t="str">
            <v>X</v>
          </cell>
          <cell r="J854" t="str">
            <v>X</v>
          </cell>
          <cell r="K854" t="str">
            <v>X</v>
          </cell>
          <cell r="L854" t="str">
            <v>X</v>
          </cell>
          <cell r="M854" t="str">
            <v>X</v>
          </cell>
          <cell r="N854" t="str">
            <v>-</v>
          </cell>
          <cell r="O854" t="str">
            <v>-</v>
          </cell>
        </row>
        <row r="855">
          <cell r="A855">
            <v>65110600</v>
          </cell>
          <cell r="B855" t="str">
            <v>Veg balletjes Italiaanse saus 2,4kg DMB</v>
          </cell>
          <cell r="C855" t="str">
            <v>-</v>
          </cell>
          <cell r="D855" t="str">
            <v>-</v>
          </cell>
          <cell r="E855" t="str">
            <v>+</v>
          </cell>
          <cell r="F855" t="str">
            <v>X</v>
          </cell>
          <cell r="G855" t="str">
            <v>X</v>
          </cell>
          <cell r="H855" t="str">
            <v>X</v>
          </cell>
          <cell r="I855" t="str">
            <v>-</v>
          </cell>
          <cell r="J855" t="str">
            <v>X</v>
          </cell>
          <cell r="K855" t="str">
            <v>X</v>
          </cell>
          <cell r="L855" t="str">
            <v>-</v>
          </cell>
          <cell r="M855" t="str">
            <v>X</v>
          </cell>
          <cell r="N855" t="str">
            <v>X</v>
          </cell>
          <cell r="O855" t="str">
            <v>-</v>
          </cell>
        </row>
        <row r="856">
          <cell r="A856">
            <v>65110900</v>
          </cell>
          <cell r="B856" t="str">
            <v>Groentenburger vegetarische jus 2kg DMB</v>
          </cell>
          <cell r="C856" t="str">
            <v>-</v>
          </cell>
          <cell r="D856" t="str">
            <v>X</v>
          </cell>
          <cell r="E856" t="str">
            <v>+</v>
          </cell>
          <cell r="F856" t="str">
            <v>X</v>
          </cell>
          <cell r="G856" t="str">
            <v>X</v>
          </cell>
          <cell r="H856" t="str">
            <v>X</v>
          </cell>
          <cell r="I856" t="str">
            <v>-</v>
          </cell>
          <cell r="J856" t="str">
            <v>X</v>
          </cell>
          <cell r="K856" t="str">
            <v>+</v>
          </cell>
          <cell r="L856" t="str">
            <v>X</v>
          </cell>
          <cell r="M856" t="str">
            <v>+</v>
          </cell>
          <cell r="N856" t="str">
            <v>X</v>
          </cell>
          <cell r="O856" t="str">
            <v>-</v>
          </cell>
        </row>
        <row r="857">
          <cell r="A857">
            <v>65111000</v>
          </cell>
          <cell r="B857" t="str">
            <v>Groentenburger gesneden vegetarische jus 2kg DMB</v>
          </cell>
          <cell r="C857" t="str">
            <v>-</v>
          </cell>
          <cell r="D857" t="str">
            <v>X</v>
          </cell>
          <cell r="E857" t="str">
            <v>+</v>
          </cell>
          <cell r="F857" t="str">
            <v>X</v>
          </cell>
          <cell r="G857" t="str">
            <v>X</v>
          </cell>
          <cell r="H857" t="str">
            <v>X</v>
          </cell>
          <cell r="I857" t="str">
            <v>-</v>
          </cell>
          <cell r="J857" t="str">
            <v>X</v>
          </cell>
          <cell r="K857" t="str">
            <v>+</v>
          </cell>
          <cell r="L857" t="str">
            <v>X</v>
          </cell>
          <cell r="M857" t="str">
            <v>+</v>
          </cell>
          <cell r="N857" t="str">
            <v>X</v>
          </cell>
          <cell r="O857" t="str">
            <v>-</v>
          </cell>
        </row>
        <row r="858">
          <cell r="A858">
            <v>65120100</v>
          </cell>
          <cell r="B858" t="str">
            <v>Appelmoes 1,8 kg DMB</v>
          </cell>
          <cell r="C858" t="str">
            <v>-</v>
          </cell>
          <cell r="D858" t="str">
            <v>-</v>
          </cell>
          <cell r="E858" t="str">
            <v>-</v>
          </cell>
          <cell r="F858" t="str">
            <v>-</v>
          </cell>
          <cell r="G858" t="str">
            <v>-</v>
          </cell>
          <cell r="H858" t="str">
            <v>-</v>
          </cell>
          <cell r="I858" t="str">
            <v>-</v>
          </cell>
          <cell r="J858" t="str">
            <v>-</v>
          </cell>
          <cell r="K858" t="str">
            <v>-</v>
          </cell>
          <cell r="L858" t="str">
            <v>-</v>
          </cell>
          <cell r="M858" t="str">
            <v>-</v>
          </cell>
          <cell r="N858" t="str">
            <v>-</v>
          </cell>
          <cell r="O858" t="str">
            <v>-</v>
          </cell>
        </row>
        <row r="859">
          <cell r="A859">
            <v>65120200</v>
          </cell>
          <cell r="B859" t="str">
            <v>Bloemkool in kaassaus 1,8 kg DMB</v>
          </cell>
          <cell r="C859" t="str">
            <v>-</v>
          </cell>
          <cell r="D859" t="str">
            <v>-</v>
          </cell>
          <cell r="E859" t="str">
            <v>+</v>
          </cell>
          <cell r="F859" t="str">
            <v>X</v>
          </cell>
          <cell r="G859" t="str">
            <v>+</v>
          </cell>
          <cell r="H859" t="str">
            <v>X</v>
          </cell>
          <cell r="I859" t="str">
            <v>-</v>
          </cell>
          <cell r="J859" t="str">
            <v>-</v>
          </cell>
          <cell r="K859" t="str">
            <v>-</v>
          </cell>
          <cell r="L859" t="str">
            <v>-</v>
          </cell>
          <cell r="M859" t="str">
            <v>X</v>
          </cell>
          <cell r="N859" t="str">
            <v>-</v>
          </cell>
          <cell r="O859" t="str">
            <v>-</v>
          </cell>
        </row>
        <row r="860">
          <cell r="A860">
            <v>65120400</v>
          </cell>
          <cell r="B860" t="str">
            <v>Prei gestoofd 1,8kg DMB</v>
          </cell>
          <cell r="C860" t="str">
            <v>-</v>
          </cell>
          <cell r="D860" t="str">
            <v>-</v>
          </cell>
          <cell r="E860" t="str">
            <v>-</v>
          </cell>
          <cell r="F860" t="str">
            <v>-</v>
          </cell>
          <cell r="G860" t="str">
            <v>+</v>
          </cell>
          <cell r="H860" t="str">
            <v>-</v>
          </cell>
          <cell r="I860" t="str">
            <v>-</v>
          </cell>
          <cell r="J860" t="str">
            <v>-</v>
          </cell>
          <cell r="K860" t="str">
            <v>-</v>
          </cell>
          <cell r="L860" t="str">
            <v>-</v>
          </cell>
          <cell r="M860" t="str">
            <v>-</v>
          </cell>
          <cell r="N860" t="str">
            <v>-</v>
          </cell>
          <cell r="O860" t="str">
            <v>-</v>
          </cell>
        </row>
        <row r="861">
          <cell r="A861">
            <v>65120500</v>
          </cell>
          <cell r="B861" t="str">
            <v>Schorseneren in bechamel 1,8kg DMB</v>
          </cell>
          <cell r="C861" t="str">
            <v>-</v>
          </cell>
          <cell r="D861" t="str">
            <v>-</v>
          </cell>
          <cell r="E861" t="str">
            <v>+</v>
          </cell>
          <cell r="F861" t="str">
            <v>X</v>
          </cell>
          <cell r="G861" t="str">
            <v>+</v>
          </cell>
          <cell r="H861" t="str">
            <v>X</v>
          </cell>
          <cell r="I861" t="str">
            <v>-</v>
          </cell>
          <cell r="J861" t="str">
            <v>-</v>
          </cell>
          <cell r="K861" t="str">
            <v>-</v>
          </cell>
          <cell r="L861" t="str">
            <v>-</v>
          </cell>
          <cell r="M861" t="str">
            <v>X</v>
          </cell>
          <cell r="N861" t="str">
            <v>-</v>
          </cell>
          <cell r="O861" t="str">
            <v>-</v>
          </cell>
        </row>
        <row r="862">
          <cell r="A862">
            <v>65120600</v>
          </cell>
          <cell r="B862" t="str">
            <v>Spinazie in room 1,8kg DMB</v>
          </cell>
          <cell r="C862" t="str">
            <v>-</v>
          </cell>
          <cell r="D862" t="str">
            <v>-</v>
          </cell>
          <cell r="E862" t="str">
            <v>-</v>
          </cell>
          <cell r="F862" t="str">
            <v>-</v>
          </cell>
          <cell r="G862" t="str">
            <v>+</v>
          </cell>
          <cell r="H862" t="str">
            <v>-</v>
          </cell>
          <cell r="I862" t="str">
            <v>-</v>
          </cell>
          <cell r="J862" t="str">
            <v>-</v>
          </cell>
          <cell r="K862" t="str">
            <v>-</v>
          </cell>
          <cell r="L862" t="str">
            <v>-</v>
          </cell>
          <cell r="M862" t="str">
            <v>-</v>
          </cell>
          <cell r="N862" t="str">
            <v>-</v>
          </cell>
          <cell r="O862" t="str">
            <v>-</v>
          </cell>
        </row>
        <row r="863">
          <cell r="A863">
            <v>65120700</v>
          </cell>
          <cell r="B863" t="str">
            <v>Witte kool in  witte saus 1800g DMB</v>
          </cell>
          <cell r="C863" t="str">
            <v>-</v>
          </cell>
          <cell r="D863" t="str">
            <v>-</v>
          </cell>
          <cell r="E863" t="str">
            <v>+</v>
          </cell>
          <cell r="F863" t="str">
            <v>X</v>
          </cell>
          <cell r="G863" t="str">
            <v>+</v>
          </cell>
          <cell r="H863" t="str">
            <v>X</v>
          </cell>
          <cell r="I863" t="str">
            <v>-</v>
          </cell>
          <cell r="J863" t="str">
            <v>-</v>
          </cell>
          <cell r="K863" t="str">
            <v>-</v>
          </cell>
          <cell r="L863" t="str">
            <v>-</v>
          </cell>
          <cell r="M863" t="str">
            <v>X</v>
          </cell>
          <cell r="N863" t="str">
            <v>-</v>
          </cell>
          <cell r="O863" t="str">
            <v>-</v>
          </cell>
        </row>
        <row r="864">
          <cell r="A864">
            <v>65125000</v>
          </cell>
          <cell r="B864" t="str">
            <v>Erwten 1,8 kg DMB</v>
          </cell>
          <cell r="C864" t="str">
            <v>-</v>
          </cell>
          <cell r="D864" t="str">
            <v>-</v>
          </cell>
          <cell r="E864" t="str">
            <v>-</v>
          </cell>
          <cell r="F864" t="str">
            <v>-</v>
          </cell>
          <cell r="G864" t="str">
            <v>-</v>
          </cell>
          <cell r="H864" t="str">
            <v>-</v>
          </cell>
          <cell r="I864" t="str">
            <v>-</v>
          </cell>
          <cell r="J864" t="str">
            <v>-</v>
          </cell>
          <cell r="K864" t="str">
            <v>-</v>
          </cell>
          <cell r="L864" t="str">
            <v>-</v>
          </cell>
          <cell r="M864" t="str">
            <v>-</v>
          </cell>
          <cell r="N864" t="str">
            <v>-</v>
          </cell>
          <cell r="O864" t="str">
            <v>-</v>
          </cell>
        </row>
        <row r="865">
          <cell r="A865">
            <v>65125100</v>
          </cell>
          <cell r="B865" t="str">
            <v>Erwten en wortelen 1,8 kg DMB</v>
          </cell>
          <cell r="C865" t="str">
            <v>-</v>
          </cell>
          <cell r="D865" t="str">
            <v>-</v>
          </cell>
          <cell r="E865" t="str">
            <v>-</v>
          </cell>
          <cell r="F865" t="str">
            <v>-</v>
          </cell>
          <cell r="G865" t="str">
            <v>-</v>
          </cell>
          <cell r="H865" t="str">
            <v>-</v>
          </cell>
          <cell r="I865" t="str">
            <v>-</v>
          </cell>
          <cell r="J865" t="str">
            <v>-</v>
          </cell>
          <cell r="K865" t="str">
            <v>-</v>
          </cell>
          <cell r="L865" t="str">
            <v>-</v>
          </cell>
          <cell r="M865" t="str">
            <v>-</v>
          </cell>
          <cell r="N865" t="str">
            <v>-</v>
          </cell>
          <cell r="O865" t="str">
            <v>-</v>
          </cell>
        </row>
        <row r="866">
          <cell r="A866">
            <v>65125200</v>
          </cell>
          <cell r="B866" t="str">
            <v>Wortelschijfjes 1,8 kg DMB</v>
          </cell>
          <cell r="C866" t="str">
            <v>-</v>
          </cell>
          <cell r="D866" t="str">
            <v>-</v>
          </cell>
          <cell r="E866" t="str">
            <v>-</v>
          </cell>
          <cell r="F866" t="str">
            <v>-</v>
          </cell>
          <cell r="G866" t="str">
            <v>-</v>
          </cell>
          <cell r="H866" t="str">
            <v>-</v>
          </cell>
          <cell r="I866" t="str">
            <v>-</v>
          </cell>
          <cell r="J866" t="str">
            <v>-</v>
          </cell>
          <cell r="K866" t="str">
            <v>-</v>
          </cell>
          <cell r="L866" t="str">
            <v>-</v>
          </cell>
          <cell r="M866" t="str">
            <v>-</v>
          </cell>
          <cell r="N866" t="str">
            <v>-</v>
          </cell>
          <cell r="O866" t="str">
            <v>-</v>
          </cell>
        </row>
        <row r="867">
          <cell r="A867">
            <v>65125400</v>
          </cell>
          <cell r="B867" t="str">
            <v>Fijne groene boontjes 1,6 kg DMB</v>
          </cell>
          <cell r="C867" t="str">
            <v>-</v>
          </cell>
          <cell r="D867" t="str">
            <v>-</v>
          </cell>
          <cell r="E867" t="str">
            <v>-</v>
          </cell>
          <cell r="F867" t="str">
            <v>-</v>
          </cell>
          <cell r="G867" t="str">
            <v>-</v>
          </cell>
          <cell r="H867" t="str">
            <v>-</v>
          </cell>
          <cell r="I867" t="str">
            <v>-</v>
          </cell>
          <cell r="J867" t="str">
            <v>-</v>
          </cell>
          <cell r="K867" t="str">
            <v>-</v>
          </cell>
          <cell r="L867" t="str">
            <v>-</v>
          </cell>
          <cell r="M867" t="str">
            <v>-</v>
          </cell>
          <cell r="N867" t="str">
            <v>-</v>
          </cell>
          <cell r="O867" t="str">
            <v>-</v>
          </cell>
        </row>
        <row r="868">
          <cell r="A868">
            <v>65125500</v>
          </cell>
          <cell r="B868" t="str">
            <v>Broccoli 1,6 kg DMB</v>
          </cell>
          <cell r="C868" t="str">
            <v>-</v>
          </cell>
          <cell r="D868" t="str">
            <v>-</v>
          </cell>
          <cell r="E868" t="str">
            <v>-</v>
          </cell>
          <cell r="F868" t="str">
            <v>-</v>
          </cell>
          <cell r="G868" t="str">
            <v>-</v>
          </cell>
          <cell r="H868" t="str">
            <v>-</v>
          </cell>
          <cell r="I868" t="str">
            <v>-</v>
          </cell>
          <cell r="J868" t="str">
            <v>-</v>
          </cell>
          <cell r="K868" t="str">
            <v>-</v>
          </cell>
          <cell r="L868" t="str">
            <v>-</v>
          </cell>
          <cell r="M868" t="str">
            <v>-</v>
          </cell>
          <cell r="N868" t="str">
            <v>-</v>
          </cell>
          <cell r="O868" t="str">
            <v>-</v>
          </cell>
        </row>
        <row r="869">
          <cell r="A869">
            <v>65125700</v>
          </cell>
          <cell r="B869" t="str">
            <v>Rode kool met appeltjes 1,8 kg DMB</v>
          </cell>
          <cell r="C869" t="str">
            <v>-</v>
          </cell>
          <cell r="D869" t="str">
            <v>-</v>
          </cell>
          <cell r="E869" t="str">
            <v>-</v>
          </cell>
          <cell r="F869" t="str">
            <v>-</v>
          </cell>
          <cell r="G869" t="str">
            <v>-</v>
          </cell>
          <cell r="H869" t="str">
            <v>-</v>
          </cell>
          <cell r="I869" t="str">
            <v>-</v>
          </cell>
          <cell r="J869" t="str">
            <v>-</v>
          </cell>
          <cell r="K869" t="str">
            <v>-</v>
          </cell>
          <cell r="L869" t="str">
            <v>-</v>
          </cell>
          <cell r="M869" t="str">
            <v>-</v>
          </cell>
          <cell r="N869" t="str">
            <v>-</v>
          </cell>
          <cell r="O869" t="str">
            <v>-</v>
          </cell>
        </row>
        <row r="870">
          <cell r="A870">
            <v>65125900</v>
          </cell>
          <cell r="B870" t="str">
            <v>Wortelen, erwten en sperziebonen 1,8 kg DMB</v>
          </cell>
          <cell r="C870" t="str">
            <v>-</v>
          </cell>
          <cell r="D870" t="str">
            <v>-</v>
          </cell>
          <cell r="E870" t="str">
            <v>-</v>
          </cell>
          <cell r="F870" t="str">
            <v>-</v>
          </cell>
          <cell r="G870" t="str">
            <v>-</v>
          </cell>
          <cell r="H870" t="str">
            <v>-</v>
          </cell>
          <cell r="I870" t="str">
            <v>-</v>
          </cell>
          <cell r="J870" t="str">
            <v>-</v>
          </cell>
          <cell r="K870" t="str">
            <v>-</v>
          </cell>
          <cell r="L870" t="str">
            <v>-</v>
          </cell>
          <cell r="M870" t="str">
            <v>-</v>
          </cell>
          <cell r="N870" t="str">
            <v>-</v>
          </cell>
          <cell r="O870" t="str">
            <v>-</v>
          </cell>
        </row>
        <row r="871">
          <cell r="A871">
            <v>65126000</v>
          </cell>
          <cell r="B871" t="str">
            <v>Savooikool witte saus 1,8kg DMB</v>
          </cell>
          <cell r="C871" t="str">
            <v>-</v>
          </cell>
          <cell r="D871" t="str">
            <v>-</v>
          </cell>
          <cell r="E871" t="str">
            <v>+</v>
          </cell>
          <cell r="F871" t="str">
            <v>X</v>
          </cell>
          <cell r="G871" t="str">
            <v>+</v>
          </cell>
          <cell r="H871" t="str">
            <v>X</v>
          </cell>
          <cell r="I871" t="str">
            <v>-</v>
          </cell>
          <cell r="J871" t="str">
            <v>-</v>
          </cell>
          <cell r="K871" t="str">
            <v>-</v>
          </cell>
          <cell r="L871" t="str">
            <v>-</v>
          </cell>
          <cell r="M871" t="str">
            <v>X</v>
          </cell>
          <cell r="N871" t="str">
            <v>-</v>
          </cell>
          <cell r="O871" t="str">
            <v>-</v>
          </cell>
        </row>
        <row r="872">
          <cell r="A872">
            <v>65126100</v>
          </cell>
          <cell r="B872" t="str">
            <v>Wortel met courgette 1,8kg DMB</v>
          </cell>
          <cell r="C872" t="str">
            <v>-</v>
          </cell>
          <cell r="D872" t="str">
            <v>-</v>
          </cell>
          <cell r="E872" t="str">
            <v>-</v>
          </cell>
          <cell r="F872" t="str">
            <v>-</v>
          </cell>
          <cell r="G872" t="str">
            <v>-</v>
          </cell>
          <cell r="H872" t="str">
            <v>-</v>
          </cell>
          <cell r="I872" t="str">
            <v>-</v>
          </cell>
          <cell r="J872" t="str">
            <v>-</v>
          </cell>
          <cell r="K872" t="str">
            <v>-</v>
          </cell>
          <cell r="L872" t="str">
            <v>-</v>
          </cell>
          <cell r="M872" t="str">
            <v>-</v>
          </cell>
          <cell r="N872" t="str">
            <v>-</v>
          </cell>
          <cell r="O872" t="str">
            <v>-</v>
          </cell>
        </row>
        <row r="873">
          <cell r="A873">
            <v>65126200</v>
          </cell>
          <cell r="B873" t="str">
            <v>Boterboontjes 1,8kg DMB</v>
          </cell>
          <cell r="C873" t="str">
            <v>-</v>
          </cell>
          <cell r="D873" t="str">
            <v>-</v>
          </cell>
          <cell r="E873" t="str">
            <v>-</v>
          </cell>
          <cell r="F873" t="str">
            <v>-</v>
          </cell>
          <cell r="G873" t="str">
            <v>-</v>
          </cell>
          <cell r="H873" t="str">
            <v>-</v>
          </cell>
          <cell r="I873" t="str">
            <v>-</v>
          </cell>
          <cell r="J873" t="str">
            <v>-</v>
          </cell>
          <cell r="K873" t="str">
            <v>-</v>
          </cell>
          <cell r="L873" t="str">
            <v>-</v>
          </cell>
          <cell r="M873" t="str">
            <v>-</v>
          </cell>
          <cell r="N873" t="str">
            <v>-</v>
          </cell>
          <cell r="O873" t="str">
            <v>-</v>
          </cell>
        </row>
        <row r="874">
          <cell r="A874">
            <v>65126300</v>
          </cell>
          <cell r="B874" t="str">
            <v>Mexicaanse groentenmix 1,8g DMB</v>
          </cell>
          <cell r="C874" t="str">
            <v>-</v>
          </cell>
          <cell r="D874" t="str">
            <v>-</v>
          </cell>
          <cell r="E874" t="str">
            <v>-</v>
          </cell>
          <cell r="F874" t="str">
            <v>-</v>
          </cell>
          <cell r="G874" t="str">
            <v>-</v>
          </cell>
          <cell r="H874" t="str">
            <v>-</v>
          </cell>
          <cell r="I874" t="str">
            <v>-</v>
          </cell>
          <cell r="J874" t="str">
            <v>-</v>
          </cell>
          <cell r="K874" t="str">
            <v>-</v>
          </cell>
          <cell r="L874" t="str">
            <v>-</v>
          </cell>
          <cell r="M874" t="str">
            <v>-</v>
          </cell>
          <cell r="N874" t="str">
            <v>-</v>
          </cell>
          <cell r="O874" t="str">
            <v>-</v>
          </cell>
        </row>
        <row r="875">
          <cell r="A875">
            <v>65126500</v>
          </cell>
          <cell r="B875" t="str">
            <v>Broccoli 1,4 kg DMB</v>
          </cell>
          <cell r="C875" t="str">
            <v>-</v>
          </cell>
          <cell r="D875" t="str">
            <v>-</v>
          </cell>
          <cell r="E875" t="str">
            <v>-</v>
          </cell>
          <cell r="F875" t="str">
            <v>-</v>
          </cell>
          <cell r="G875" t="str">
            <v>-</v>
          </cell>
          <cell r="H875" t="str">
            <v>-</v>
          </cell>
          <cell r="I875" t="str">
            <v>-</v>
          </cell>
          <cell r="J875" t="str">
            <v>-</v>
          </cell>
          <cell r="K875" t="str">
            <v>-</v>
          </cell>
          <cell r="L875" t="str">
            <v>-</v>
          </cell>
          <cell r="M875" t="str">
            <v>-</v>
          </cell>
          <cell r="N875" t="str">
            <v>-</v>
          </cell>
          <cell r="O875" t="str">
            <v>-</v>
          </cell>
        </row>
        <row r="876">
          <cell r="A876">
            <v>65130000</v>
          </cell>
          <cell r="B876" t="str">
            <v>Gratin dauphinois 1,8 kg DMB</v>
          </cell>
          <cell r="C876" t="str">
            <v>-</v>
          </cell>
          <cell r="D876" t="str">
            <v>-</v>
          </cell>
          <cell r="E876" t="str">
            <v>+</v>
          </cell>
          <cell r="F876" t="str">
            <v>X</v>
          </cell>
          <cell r="G876" t="str">
            <v>+</v>
          </cell>
          <cell r="H876" t="str">
            <v>X</v>
          </cell>
          <cell r="I876" t="str">
            <v>-</v>
          </cell>
          <cell r="J876" t="str">
            <v>-</v>
          </cell>
          <cell r="K876" t="str">
            <v>-</v>
          </cell>
          <cell r="L876" t="str">
            <v>-</v>
          </cell>
          <cell r="M876" t="str">
            <v>X</v>
          </cell>
          <cell r="N876" t="str">
            <v>-</v>
          </cell>
          <cell r="O876" t="str">
            <v>-</v>
          </cell>
        </row>
        <row r="877">
          <cell r="A877">
            <v>65130200</v>
          </cell>
          <cell r="B877" t="str">
            <v>Puree 2,25 kg DMB</v>
          </cell>
          <cell r="C877" t="str">
            <v>-</v>
          </cell>
          <cell r="D877" t="str">
            <v>+</v>
          </cell>
          <cell r="E877" t="str">
            <v>-</v>
          </cell>
          <cell r="F877" t="str">
            <v>-</v>
          </cell>
          <cell r="G877" t="str">
            <v>+</v>
          </cell>
          <cell r="H877" t="str">
            <v>-</v>
          </cell>
          <cell r="I877" t="str">
            <v>-</v>
          </cell>
          <cell r="J877" t="str">
            <v>-</v>
          </cell>
          <cell r="K877" t="str">
            <v>-</v>
          </cell>
          <cell r="L877" t="str">
            <v>-</v>
          </cell>
          <cell r="M877" t="str">
            <v>-</v>
          </cell>
          <cell r="N877" t="str">
            <v>-</v>
          </cell>
          <cell r="O877" t="str">
            <v>-</v>
          </cell>
        </row>
        <row r="878">
          <cell r="A878">
            <v>65130300</v>
          </cell>
          <cell r="B878" t="str">
            <v>Wortelstamppot 2,25 kg DMB</v>
          </cell>
          <cell r="C878" t="str">
            <v>-</v>
          </cell>
          <cell r="D878" t="str">
            <v>-</v>
          </cell>
          <cell r="E878" t="str">
            <v>-</v>
          </cell>
          <cell r="F878" t="str">
            <v>-</v>
          </cell>
          <cell r="G878" t="str">
            <v>+</v>
          </cell>
          <cell r="H878" t="str">
            <v>-</v>
          </cell>
          <cell r="I878" t="str">
            <v>-</v>
          </cell>
          <cell r="J878" t="str">
            <v>-</v>
          </cell>
          <cell r="K878" t="str">
            <v>-</v>
          </cell>
          <cell r="L878" t="str">
            <v>-</v>
          </cell>
          <cell r="M878" t="str">
            <v>-</v>
          </cell>
          <cell r="N878" t="str">
            <v>-</v>
          </cell>
          <cell r="O878" t="str">
            <v>-</v>
          </cell>
        </row>
        <row r="879">
          <cell r="A879">
            <v>65130400</v>
          </cell>
          <cell r="B879" t="str">
            <v>Spinaziestamppot 2,25 kg DMB</v>
          </cell>
          <cell r="C879" t="str">
            <v>-</v>
          </cell>
          <cell r="D879" t="str">
            <v>-</v>
          </cell>
          <cell r="E879" t="str">
            <v>-</v>
          </cell>
          <cell r="F879" t="str">
            <v>-</v>
          </cell>
          <cell r="G879" t="str">
            <v>+</v>
          </cell>
          <cell r="H879" t="str">
            <v>-</v>
          </cell>
          <cell r="I879" t="str">
            <v>-</v>
          </cell>
          <cell r="J879" t="str">
            <v>-</v>
          </cell>
          <cell r="K879" t="str">
            <v>-</v>
          </cell>
          <cell r="L879" t="str">
            <v>-</v>
          </cell>
          <cell r="M879" t="str">
            <v>-</v>
          </cell>
          <cell r="N879" t="str">
            <v>-</v>
          </cell>
          <cell r="O879" t="str">
            <v>-</v>
          </cell>
        </row>
        <row r="880">
          <cell r="A880">
            <v>65130500</v>
          </cell>
          <cell r="B880" t="str">
            <v>Broccolistamppot 2,25 kg DMB</v>
          </cell>
          <cell r="C880" t="str">
            <v>-</v>
          </cell>
          <cell r="D880" t="str">
            <v>-</v>
          </cell>
          <cell r="E880" t="str">
            <v>-</v>
          </cell>
          <cell r="F880" t="str">
            <v>-</v>
          </cell>
          <cell r="G880" t="str">
            <v>+</v>
          </cell>
          <cell r="H880" t="str">
            <v>-</v>
          </cell>
          <cell r="I880" t="str">
            <v>-</v>
          </cell>
          <cell r="J880" t="str">
            <v>-</v>
          </cell>
          <cell r="K880" t="str">
            <v>-</v>
          </cell>
          <cell r="L880" t="str">
            <v>-</v>
          </cell>
          <cell r="M880" t="str">
            <v>-</v>
          </cell>
          <cell r="N880" t="str">
            <v>-</v>
          </cell>
          <cell r="O880" t="str">
            <v>-</v>
          </cell>
        </row>
        <row r="881">
          <cell r="A881">
            <v>65130600</v>
          </cell>
          <cell r="B881" t="str">
            <v>Aardappelpuree met sojamelk zonder ei 2,25kg DMB</v>
          </cell>
          <cell r="C881" t="str">
            <v>-</v>
          </cell>
          <cell r="D881" t="str">
            <v>-</v>
          </cell>
          <cell r="E881" t="str">
            <v>-</v>
          </cell>
          <cell r="F881" t="str">
            <v>-</v>
          </cell>
          <cell r="G881" t="str">
            <v>-</v>
          </cell>
          <cell r="H881" t="str">
            <v>-</v>
          </cell>
          <cell r="I881" t="str">
            <v>-</v>
          </cell>
          <cell r="J881" t="str">
            <v>-</v>
          </cell>
          <cell r="K881" t="str">
            <v>-</v>
          </cell>
          <cell r="L881" t="str">
            <v>-</v>
          </cell>
          <cell r="M881" t="str">
            <v>+</v>
          </cell>
          <cell r="N881" t="str">
            <v>-</v>
          </cell>
          <cell r="O881" t="str">
            <v>-</v>
          </cell>
        </row>
        <row r="882">
          <cell r="A882">
            <v>65130700</v>
          </cell>
          <cell r="B882" t="str">
            <v>Hutsepot grootmoeders wijze 2250G DMB</v>
          </cell>
          <cell r="C882" t="str">
            <v>-</v>
          </cell>
          <cell r="D882" t="str">
            <v>-</v>
          </cell>
          <cell r="E882" t="str">
            <v>-</v>
          </cell>
          <cell r="F882" t="str">
            <v>-</v>
          </cell>
          <cell r="G882" t="str">
            <v>-</v>
          </cell>
          <cell r="H882" t="str">
            <v>-</v>
          </cell>
          <cell r="I882" t="str">
            <v>-</v>
          </cell>
          <cell r="J882" t="str">
            <v>-</v>
          </cell>
          <cell r="K882" t="str">
            <v>+</v>
          </cell>
          <cell r="L882" t="str">
            <v>-</v>
          </cell>
          <cell r="M882" t="str">
            <v>-</v>
          </cell>
          <cell r="N882" t="str">
            <v>-</v>
          </cell>
          <cell r="O882" t="str">
            <v>-</v>
          </cell>
        </row>
        <row r="883">
          <cell r="A883">
            <v>65131300</v>
          </cell>
          <cell r="B883" t="str">
            <v>Aardappelkubus gekruid gebakken 1,8kg DMB</v>
          </cell>
          <cell r="C883" t="str">
            <v>-</v>
          </cell>
          <cell r="D883" t="str">
            <v>-</v>
          </cell>
          <cell r="E883" t="str">
            <v>-</v>
          </cell>
          <cell r="F883" t="str">
            <v>-</v>
          </cell>
          <cell r="G883" t="str">
            <v>-</v>
          </cell>
          <cell r="H883" t="str">
            <v>-</v>
          </cell>
          <cell r="I883" t="str">
            <v>-</v>
          </cell>
          <cell r="J883" t="str">
            <v>-</v>
          </cell>
          <cell r="K883" t="str">
            <v>-</v>
          </cell>
          <cell r="L883" t="str">
            <v>-</v>
          </cell>
          <cell r="M883" t="str">
            <v>-</v>
          </cell>
          <cell r="N883" t="str">
            <v>-</v>
          </cell>
          <cell r="O883" t="str">
            <v>-</v>
          </cell>
        </row>
        <row r="884">
          <cell r="A884">
            <v>65132000</v>
          </cell>
          <cell r="B884" t="str">
            <v>Spaghetti 1,62 kg DMB</v>
          </cell>
          <cell r="C884" t="str">
            <v>-</v>
          </cell>
          <cell r="D884" t="str">
            <v>X</v>
          </cell>
          <cell r="E884" t="str">
            <v>+</v>
          </cell>
          <cell r="F884" t="str">
            <v>X</v>
          </cell>
          <cell r="G884" t="str">
            <v>-</v>
          </cell>
          <cell r="H884" t="str">
            <v>X</v>
          </cell>
          <cell r="I884" t="str">
            <v>-</v>
          </cell>
          <cell r="J884" t="str">
            <v>-</v>
          </cell>
          <cell r="K884" t="str">
            <v>-</v>
          </cell>
          <cell r="L884" t="str">
            <v>-</v>
          </cell>
          <cell r="M884" t="str">
            <v>X</v>
          </cell>
          <cell r="N884" t="str">
            <v>-</v>
          </cell>
          <cell r="O884" t="str">
            <v>-</v>
          </cell>
        </row>
        <row r="885">
          <cell r="A885">
            <v>65132100</v>
          </cell>
          <cell r="B885" t="str">
            <v>Macaroni 1,62 kg DMB</v>
          </cell>
          <cell r="C885" t="str">
            <v>-</v>
          </cell>
          <cell r="D885" t="str">
            <v>X</v>
          </cell>
          <cell r="E885" t="str">
            <v>+</v>
          </cell>
          <cell r="F885" t="str">
            <v>X</v>
          </cell>
          <cell r="G885" t="str">
            <v>-</v>
          </cell>
          <cell r="H885" t="str">
            <v>X</v>
          </cell>
          <cell r="I885" t="str">
            <v>-</v>
          </cell>
          <cell r="J885" t="str">
            <v>-</v>
          </cell>
          <cell r="K885" t="str">
            <v>-</v>
          </cell>
          <cell r="L885" t="str">
            <v>-</v>
          </cell>
          <cell r="M885" t="str">
            <v>X</v>
          </cell>
          <cell r="N885" t="str">
            <v>-</v>
          </cell>
          <cell r="O885" t="str">
            <v>-</v>
          </cell>
        </row>
        <row r="886">
          <cell r="A886">
            <v>65132400</v>
          </cell>
          <cell r="B886" t="str">
            <v>Spirelli 1,62kg DMB</v>
          </cell>
          <cell r="C886" t="str">
            <v>-</v>
          </cell>
          <cell r="D886" t="str">
            <v>X</v>
          </cell>
          <cell r="E886" t="str">
            <v>+</v>
          </cell>
          <cell r="F886" t="str">
            <v>X</v>
          </cell>
          <cell r="G886" t="str">
            <v>-</v>
          </cell>
          <cell r="H886" t="str">
            <v>X</v>
          </cell>
          <cell r="I886" t="str">
            <v>-</v>
          </cell>
          <cell r="J886" t="str">
            <v>-</v>
          </cell>
          <cell r="K886" t="str">
            <v>-</v>
          </cell>
          <cell r="L886" t="str">
            <v>-</v>
          </cell>
          <cell r="M886" t="str">
            <v>X</v>
          </cell>
          <cell r="N886" t="str">
            <v>-</v>
          </cell>
          <cell r="O886" t="str">
            <v>-</v>
          </cell>
        </row>
        <row r="887">
          <cell r="A887">
            <v>65132500</v>
          </cell>
          <cell r="B887" t="str">
            <v>Penne Volkoren 1,62 kg DMB</v>
          </cell>
          <cell r="C887" t="str">
            <v>-</v>
          </cell>
          <cell r="D887" t="str">
            <v>X</v>
          </cell>
          <cell r="E887" t="str">
            <v>+</v>
          </cell>
          <cell r="F887" t="str">
            <v>X</v>
          </cell>
          <cell r="G887" t="str">
            <v>-</v>
          </cell>
          <cell r="H887" t="str">
            <v>X</v>
          </cell>
          <cell r="I887" t="str">
            <v>-</v>
          </cell>
          <cell r="J887" t="str">
            <v>-</v>
          </cell>
          <cell r="K887" t="str">
            <v>-</v>
          </cell>
          <cell r="L887" t="str">
            <v>-</v>
          </cell>
          <cell r="M887" t="str">
            <v>X</v>
          </cell>
          <cell r="N887" t="str">
            <v>-</v>
          </cell>
          <cell r="O887" t="str">
            <v>-</v>
          </cell>
        </row>
        <row r="888">
          <cell r="A888">
            <v>65132600</v>
          </cell>
          <cell r="B888" t="str">
            <v>Spaghetti 1,5 kg DMB</v>
          </cell>
          <cell r="C888" t="str">
            <v>-</v>
          </cell>
          <cell r="D888" t="str">
            <v>X</v>
          </cell>
          <cell r="E888" t="str">
            <v>+</v>
          </cell>
          <cell r="F888" t="str">
            <v>X</v>
          </cell>
          <cell r="G888" t="str">
            <v>-</v>
          </cell>
          <cell r="H888" t="str">
            <v>X</v>
          </cell>
          <cell r="I888" t="str">
            <v>-</v>
          </cell>
          <cell r="J888" t="str">
            <v>-</v>
          </cell>
          <cell r="K888" t="str">
            <v>-</v>
          </cell>
          <cell r="L888" t="str">
            <v>-</v>
          </cell>
          <cell r="M888" t="str">
            <v>X</v>
          </cell>
          <cell r="N888" t="str">
            <v>-</v>
          </cell>
          <cell r="O888" t="str">
            <v>-</v>
          </cell>
        </row>
        <row r="889">
          <cell r="A889">
            <v>65132700</v>
          </cell>
          <cell r="B889" t="str">
            <v>Macaroni 1,5 kg DMB</v>
          </cell>
          <cell r="C889" t="str">
            <v>-</v>
          </cell>
          <cell r="D889" t="str">
            <v>X</v>
          </cell>
          <cell r="E889" t="str">
            <v>+</v>
          </cell>
          <cell r="F889" t="str">
            <v>X</v>
          </cell>
          <cell r="G889" t="str">
            <v>-</v>
          </cell>
          <cell r="H889" t="str">
            <v>X</v>
          </cell>
          <cell r="I889" t="str">
            <v>-</v>
          </cell>
          <cell r="J889" t="str">
            <v>-</v>
          </cell>
          <cell r="K889" t="str">
            <v>-</v>
          </cell>
          <cell r="L889" t="str">
            <v>-</v>
          </cell>
          <cell r="M889" t="str">
            <v>X</v>
          </cell>
          <cell r="N889" t="str">
            <v>-</v>
          </cell>
          <cell r="O889" t="str">
            <v>-</v>
          </cell>
        </row>
        <row r="890">
          <cell r="A890">
            <v>65132900</v>
          </cell>
          <cell r="B890" t="str">
            <v>Spirelli 1,5kg DMB</v>
          </cell>
          <cell r="C890" t="str">
            <v>-</v>
          </cell>
          <cell r="D890" t="str">
            <v>+</v>
          </cell>
          <cell r="E890" t="str">
            <v>+</v>
          </cell>
          <cell r="F890" t="str">
            <v>X</v>
          </cell>
          <cell r="G890" t="str">
            <v>-</v>
          </cell>
          <cell r="H890" t="str">
            <v>X</v>
          </cell>
          <cell r="I890" t="str">
            <v>-</v>
          </cell>
          <cell r="J890" t="str">
            <v>-</v>
          </cell>
          <cell r="K890" t="str">
            <v>-</v>
          </cell>
          <cell r="L890" t="str">
            <v>-</v>
          </cell>
          <cell r="M890" t="str">
            <v>X</v>
          </cell>
          <cell r="N890" t="str">
            <v>-</v>
          </cell>
          <cell r="O890" t="str">
            <v>-</v>
          </cell>
        </row>
        <row r="891">
          <cell r="A891">
            <v>65133000</v>
          </cell>
          <cell r="B891" t="str">
            <v>Penne Volkoren 1,5 kg DMB</v>
          </cell>
          <cell r="C891" t="str">
            <v>-</v>
          </cell>
          <cell r="D891" t="str">
            <v>X</v>
          </cell>
          <cell r="E891" t="str">
            <v>+</v>
          </cell>
          <cell r="F891" t="str">
            <v>X</v>
          </cell>
          <cell r="G891" t="str">
            <v>-</v>
          </cell>
          <cell r="H891" t="str">
            <v>X</v>
          </cell>
          <cell r="I891" t="str">
            <v>-</v>
          </cell>
          <cell r="J891" t="str">
            <v>-</v>
          </cell>
          <cell r="K891" t="str">
            <v>-</v>
          </cell>
          <cell r="L891" t="str">
            <v>-</v>
          </cell>
          <cell r="M891" t="str">
            <v>X</v>
          </cell>
          <cell r="N891" t="str">
            <v>-</v>
          </cell>
          <cell r="O891" t="str">
            <v>-</v>
          </cell>
        </row>
        <row r="892">
          <cell r="A892">
            <v>65133100</v>
          </cell>
          <cell r="B892" t="str">
            <v>Lasagnetti gekookt 1,5 kg DMB</v>
          </cell>
          <cell r="C892" t="str">
            <v>-</v>
          </cell>
          <cell r="D892" t="str">
            <v>X</v>
          </cell>
          <cell r="E892" t="str">
            <v>+</v>
          </cell>
          <cell r="F892" t="str">
            <v>X</v>
          </cell>
          <cell r="G892" t="str">
            <v>-</v>
          </cell>
          <cell r="H892" t="str">
            <v>X</v>
          </cell>
          <cell r="I892" t="str">
            <v>-</v>
          </cell>
          <cell r="J892" t="str">
            <v>-</v>
          </cell>
          <cell r="K892" t="str">
            <v>-</v>
          </cell>
          <cell r="L892" t="str">
            <v>-</v>
          </cell>
          <cell r="M892" t="str">
            <v>X</v>
          </cell>
          <cell r="N892" t="str">
            <v>-</v>
          </cell>
          <cell r="O892" t="str">
            <v>-</v>
          </cell>
        </row>
        <row r="893">
          <cell r="A893">
            <v>65133200</v>
          </cell>
          <cell r="B893" t="str">
            <v>Lasagnetti gekookt 1,2 kg DMB</v>
          </cell>
          <cell r="C893" t="str">
            <v>-</v>
          </cell>
          <cell r="D893" t="str">
            <v>X</v>
          </cell>
          <cell r="E893" t="str">
            <v>+</v>
          </cell>
          <cell r="F893" t="str">
            <v>X</v>
          </cell>
          <cell r="G893" t="str">
            <v>-</v>
          </cell>
          <cell r="H893" t="str">
            <v>X</v>
          </cell>
          <cell r="I893" t="str">
            <v>-</v>
          </cell>
          <cell r="J893" t="str">
            <v>-</v>
          </cell>
          <cell r="K893" t="str">
            <v>-</v>
          </cell>
          <cell r="L893" t="str">
            <v>-</v>
          </cell>
          <cell r="M893" t="str">
            <v>X</v>
          </cell>
          <cell r="N893" t="str">
            <v>-</v>
          </cell>
          <cell r="O893" t="str">
            <v>-</v>
          </cell>
        </row>
        <row r="894">
          <cell r="A894">
            <v>65134000</v>
          </cell>
          <cell r="B894" t="str">
            <v>Rijst 1,8 kg DMB</v>
          </cell>
          <cell r="C894" t="str">
            <v>-</v>
          </cell>
          <cell r="D894" t="str">
            <v>-</v>
          </cell>
          <cell r="E894" t="str">
            <v>-</v>
          </cell>
          <cell r="F894" t="str">
            <v>-</v>
          </cell>
          <cell r="G894" t="str">
            <v>-</v>
          </cell>
          <cell r="H894" t="str">
            <v>-</v>
          </cell>
          <cell r="I894" t="str">
            <v>-</v>
          </cell>
          <cell r="J894" t="str">
            <v>-</v>
          </cell>
          <cell r="K894" t="str">
            <v>-</v>
          </cell>
          <cell r="L894" t="str">
            <v>-</v>
          </cell>
          <cell r="M894" t="str">
            <v>-</v>
          </cell>
          <cell r="N894" t="str">
            <v>-</v>
          </cell>
          <cell r="O894" t="str">
            <v>-</v>
          </cell>
        </row>
        <row r="895">
          <cell r="A895">
            <v>65134100</v>
          </cell>
          <cell r="B895" t="str">
            <v>Rijst long grain met groenten 1,8kg DMB</v>
          </cell>
          <cell r="C895" t="str">
            <v>-</v>
          </cell>
          <cell r="D895" t="str">
            <v>-</v>
          </cell>
          <cell r="E895" t="str">
            <v>-</v>
          </cell>
          <cell r="F895" t="str">
            <v>-</v>
          </cell>
          <cell r="G895" t="str">
            <v>-</v>
          </cell>
          <cell r="H895" t="str">
            <v>-</v>
          </cell>
          <cell r="I895" t="str">
            <v>-</v>
          </cell>
          <cell r="J895" t="str">
            <v>-</v>
          </cell>
          <cell r="K895" t="str">
            <v>+</v>
          </cell>
          <cell r="L895" t="str">
            <v>-</v>
          </cell>
          <cell r="M895" t="str">
            <v>-</v>
          </cell>
          <cell r="N895" t="str">
            <v>-</v>
          </cell>
          <cell r="O895" t="str">
            <v>-</v>
          </cell>
        </row>
        <row r="896">
          <cell r="A896">
            <v>65140200</v>
          </cell>
          <cell r="B896" t="str">
            <v>Kalkoenschnitzel 1,1 kg DMB</v>
          </cell>
          <cell r="C896" t="str">
            <v>-</v>
          </cell>
          <cell r="E896" t="str">
            <v>+</v>
          </cell>
          <cell r="F896" t="str">
            <v>-</v>
          </cell>
          <cell r="G896" t="str">
            <v>X</v>
          </cell>
          <cell r="H896" t="str">
            <v>-</v>
          </cell>
          <cell r="I896" t="str">
            <v>-</v>
          </cell>
          <cell r="J896" t="str">
            <v>-</v>
          </cell>
          <cell r="K896" t="str">
            <v>-</v>
          </cell>
          <cell r="L896" t="str">
            <v>-</v>
          </cell>
          <cell r="M896" t="str">
            <v>X</v>
          </cell>
          <cell r="N896" t="str">
            <v>-</v>
          </cell>
          <cell r="O896" t="str">
            <v>-</v>
          </cell>
        </row>
        <row r="897">
          <cell r="A897">
            <v>65140300</v>
          </cell>
          <cell r="B897" t="str">
            <v>Kalkoenschnitzel gesneden 1,2 kg DMB</v>
          </cell>
          <cell r="C897" t="str">
            <v>-</v>
          </cell>
          <cell r="E897" t="str">
            <v>+</v>
          </cell>
          <cell r="F897" t="str">
            <v>-</v>
          </cell>
          <cell r="G897" t="str">
            <v>X</v>
          </cell>
          <cell r="H897" t="str">
            <v>-</v>
          </cell>
          <cell r="I897" t="str">
            <v>-</v>
          </cell>
          <cell r="J897" t="str">
            <v>-</v>
          </cell>
          <cell r="K897" t="str">
            <v>-</v>
          </cell>
          <cell r="L897" t="str">
            <v>-</v>
          </cell>
          <cell r="M897" t="str">
            <v>X</v>
          </cell>
          <cell r="N897" t="str">
            <v>-</v>
          </cell>
          <cell r="O897" t="str">
            <v>-</v>
          </cell>
        </row>
        <row r="898">
          <cell r="A898">
            <v>65140600</v>
          </cell>
          <cell r="B898" t="str">
            <v>Cordon Bleu 1,1kg DMB</v>
          </cell>
          <cell r="C898" t="str">
            <v>-</v>
          </cell>
          <cell r="D898" t="str">
            <v>-</v>
          </cell>
          <cell r="E898" t="str">
            <v>+</v>
          </cell>
          <cell r="F898" t="str">
            <v>-</v>
          </cell>
          <cell r="G898" t="str">
            <v>+</v>
          </cell>
          <cell r="H898" t="str">
            <v>-</v>
          </cell>
          <cell r="I898" t="str">
            <v>-</v>
          </cell>
          <cell r="J898" t="str">
            <v>-</v>
          </cell>
          <cell r="K898" t="str">
            <v>-</v>
          </cell>
          <cell r="L898" t="str">
            <v>-</v>
          </cell>
          <cell r="M898" t="str">
            <v>+</v>
          </cell>
          <cell r="N898" t="str">
            <v>-</v>
          </cell>
          <cell r="O898" t="str">
            <v>-</v>
          </cell>
        </row>
        <row r="899">
          <cell r="A899">
            <v>65140700</v>
          </cell>
          <cell r="B899" t="str">
            <v>Cordon Bleu gesneden 1,2kg DMB</v>
          </cell>
          <cell r="C899" t="str">
            <v>-</v>
          </cell>
          <cell r="D899" t="str">
            <v>-</v>
          </cell>
          <cell r="E899" t="str">
            <v>+</v>
          </cell>
          <cell r="F899" t="str">
            <v>-</v>
          </cell>
          <cell r="G899" t="str">
            <v>+</v>
          </cell>
          <cell r="H899" t="str">
            <v>-</v>
          </cell>
          <cell r="I899" t="str">
            <v>-</v>
          </cell>
          <cell r="J899" t="str">
            <v>-</v>
          </cell>
          <cell r="K899" t="str">
            <v>-</v>
          </cell>
          <cell r="L899" t="str">
            <v>-</v>
          </cell>
          <cell r="M899" t="str">
            <v>+</v>
          </cell>
          <cell r="N899" t="str">
            <v>-</v>
          </cell>
          <cell r="O899" t="str">
            <v>-</v>
          </cell>
        </row>
        <row r="900">
          <cell r="A900">
            <v>65140800</v>
          </cell>
          <cell r="B900" t="str">
            <v>Vegetarische schnitzel 1,2kg DMB</v>
          </cell>
          <cell r="C900" t="str">
            <v>-</v>
          </cell>
          <cell r="D900" t="str">
            <v>-</v>
          </cell>
          <cell r="E900" t="str">
            <v>+</v>
          </cell>
          <cell r="F900" t="str">
            <v>-</v>
          </cell>
          <cell r="G900" t="str">
            <v>-</v>
          </cell>
          <cell r="H900" t="str">
            <v>-</v>
          </cell>
          <cell r="I900" t="str">
            <v>-</v>
          </cell>
          <cell r="J900" t="str">
            <v>-</v>
          </cell>
          <cell r="K900" t="str">
            <v>-</v>
          </cell>
          <cell r="L900" t="str">
            <v>-</v>
          </cell>
          <cell r="M900" t="str">
            <v>+</v>
          </cell>
          <cell r="N900" t="str">
            <v>-</v>
          </cell>
          <cell r="O900" t="str">
            <v>-</v>
          </cell>
        </row>
        <row r="901">
          <cell r="A901">
            <v>65140900</v>
          </cell>
          <cell r="B901" t="str">
            <v>Vegetarische schnitzel gesneden 1,2kg DMB</v>
          </cell>
          <cell r="C901" t="str">
            <v>-</v>
          </cell>
          <cell r="D901" t="str">
            <v>-</v>
          </cell>
          <cell r="E901" t="str">
            <v>+</v>
          </cell>
          <cell r="F901" t="str">
            <v>-</v>
          </cell>
          <cell r="G901" t="str">
            <v>-</v>
          </cell>
          <cell r="H901" t="str">
            <v>-</v>
          </cell>
          <cell r="I901" t="str">
            <v>-</v>
          </cell>
          <cell r="J901" t="str">
            <v>-</v>
          </cell>
          <cell r="K901" t="str">
            <v>-</v>
          </cell>
          <cell r="L901" t="str">
            <v>-</v>
          </cell>
          <cell r="M901" t="str">
            <v>+</v>
          </cell>
          <cell r="N901" t="str">
            <v>-</v>
          </cell>
          <cell r="O901" t="str">
            <v>-</v>
          </cell>
        </row>
        <row r="902">
          <cell r="A902">
            <v>65141200</v>
          </cell>
          <cell r="B902" t="str">
            <v>Kip balletjes curry 1,08kg DMB</v>
          </cell>
          <cell r="C902" t="str">
            <v>-</v>
          </cell>
          <cell r="D902" t="str">
            <v>+</v>
          </cell>
          <cell r="E902" t="str">
            <v>+</v>
          </cell>
          <cell r="F902" t="str">
            <v>-</v>
          </cell>
          <cell r="G902" t="str">
            <v>+</v>
          </cell>
          <cell r="H902" t="str">
            <v>+</v>
          </cell>
          <cell r="I902" t="str">
            <v>-</v>
          </cell>
          <cell r="J902" t="str">
            <v>-</v>
          </cell>
          <cell r="K902" t="str">
            <v>+</v>
          </cell>
          <cell r="L902" t="str">
            <v>-</v>
          </cell>
          <cell r="M902" t="str">
            <v>+</v>
          </cell>
          <cell r="N902" t="str">
            <v>-</v>
          </cell>
          <cell r="O902" t="str">
            <v>-</v>
          </cell>
        </row>
        <row r="903">
          <cell r="A903">
            <v>65150000</v>
          </cell>
          <cell r="B903" t="str">
            <v>Bolognaisesaus 2,22 kg DMB</v>
          </cell>
          <cell r="C903" t="str">
            <v>-</v>
          </cell>
          <cell r="D903" t="str">
            <v>-</v>
          </cell>
          <cell r="E903" t="str">
            <v>-</v>
          </cell>
          <cell r="F903" t="str">
            <v>-</v>
          </cell>
          <cell r="G903" t="str">
            <v>-</v>
          </cell>
          <cell r="H903" t="str">
            <v>-</v>
          </cell>
          <cell r="I903" t="str">
            <v>-</v>
          </cell>
          <cell r="J903" t="str">
            <v>-</v>
          </cell>
          <cell r="K903" t="str">
            <v>+</v>
          </cell>
          <cell r="L903" t="str">
            <v>-</v>
          </cell>
          <cell r="M903" t="str">
            <v>-</v>
          </cell>
          <cell r="N903" t="str">
            <v>-</v>
          </cell>
          <cell r="O903" t="str">
            <v>-</v>
          </cell>
        </row>
        <row r="904">
          <cell r="A904">
            <v>65150100</v>
          </cell>
          <cell r="B904" t="str">
            <v>Ham kaassaus 2,22 kg DMB</v>
          </cell>
          <cell r="C904" t="str">
            <v>-</v>
          </cell>
          <cell r="D904" t="str">
            <v>-</v>
          </cell>
          <cell r="E904" t="str">
            <v>+</v>
          </cell>
          <cell r="F904" t="str">
            <v>-</v>
          </cell>
          <cell r="G904" t="str">
            <v>+</v>
          </cell>
          <cell r="H904" t="str">
            <v>-</v>
          </cell>
          <cell r="I904" t="str">
            <v>-</v>
          </cell>
          <cell r="J904" t="str">
            <v>-</v>
          </cell>
          <cell r="K904" t="str">
            <v>+</v>
          </cell>
          <cell r="L904" t="str">
            <v>-</v>
          </cell>
          <cell r="M904" t="str">
            <v>-</v>
          </cell>
          <cell r="N904" t="str">
            <v>-</v>
          </cell>
          <cell r="O904" t="str">
            <v>-</v>
          </cell>
        </row>
        <row r="905">
          <cell r="A905">
            <v>65150200</v>
          </cell>
          <cell r="B905" t="str">
            <v xml:space="preserve">Carbonarasaus 2,22 kg DMB </v>
          </cell>
          <cell r="C905" t="str">
            <v>-</v>
          </cell>
          <cell r="D905" t="str">
            <v>-</v>
          </cell>
          <cell r="E905" t="str">
            <v>-</v>
          </cell>
          <cell r="F905" t="str">
            <v>-</v>
          </cell>
          <cell r="G905" t="str">
            <v>+</v>
          </cell>
          <cell r="H905" t="str">
            <v>-</v>
          </cell>
          <cell r="I905" t="str">
            <v>-</v>
          </cell>
          <cell r="J905" t="str">
            <v>-</v>
          </cell>
          <cell r="K905" t="str">
            <v>-</v>
          </cell>
          <cell r="L905" t="str">
            <v>-</v>
          </cell>
          <cell r="M905" t="str">
            <v>-</v>
          </cell>
          <cell r="N905" t="str">
            <v>-</v>
          </cell>
          <cell r="O905" t="str">
            <v>-</v>
          </cell>
        </row>
        <row r="906">
          <cell r="A906">
            <v>65150600</v>
          </cell>
          <cell r="B906" t="str">
            <v>Kaassaus 2,22kg DMB</v>
          </cell>
          <cell r="C906" t="str">
            <v>-</v>
          </cell>
          <cell r="D906" t="str">
            <v>-</v>
          </cell>
          <cell r="E906" t="str">
            <v>+</v>
          </cell>
          <cell r="F906" t="str">
            <v>-</v>
          </cell>
          <cell r="G906" t="str">
            <v>+</v>
          </cell>
          <cell r="H906" t="str">
            <v>-</v>
          </cell>
          <cell r="I906" t="str">
            <v>-</v>
          </cell>
          <cell r="J906" t="str">
            <v>-</v>
          </cell>
          <cell r="K906" t="str">
            <v>+</v>
          </cell>
          <cell r="L906" t="str">
            <v>-</v>
          </cell>
          <cell r="M906" t="str">
            <v>-</v>
          </cell>
          <cell r="N906" t="str">
            <v>-</v>
          </cell>
          <cell r="O906" t="str">
            <v>-</v>
          </cell>
        </row>
        <row r="907">
          <cell r="A907">
            <v>65150700</v>
          </cell>
          <cell r="B907" t="str">
            <v>Kip tomaat mozzarellasaus 2,22kg DMB</v>
          </cell>
          <cell r="C907" t="str">
            <v>-</v>
          </cell>
          <cell r="D907" t="str">
            <v>-</v>
          </cell>
          <cell r="E907" t="str">
            <v>+</v>
          </cell>
          <cell r="F907" t="str">
            <v>X</v>
          </cell>
          <cell r="G907" t="str">
            <v>+</v>
          </cell>
          <cell r="H907" t="str">
            <v>X</v>
          </cell>
          <cell r="I907" t="str">
            <v>-</v>
          </cell>
          <cell r="J907" t="str">
            <v>-</v>
          </cell>
          <cell r="K907" t="str">
            <v>+</v>
          </cell>
          <cell r="L907" t="str">
            <v>-</v>
          </cell>
          <cell r="M907" t="str">
            <v>X</v>
          </cell>
          <cell r="N907" t="str">
            <v>-</v>
          </cell>
          <cell r="O907" t="str">
            <v>-</v>
          </cell>
        </row>
        <row r="908">
          <cell r="A908">
            <v>65150900</v>
          </cell>
          <cell r="B908" t="str">
            <v>Tomatensaus met ham en groentjes 2,22kg DMB</v>
          </cell>
          <cell r="C908" t="str">
            <v>-</v>
          </cell>
          <cell r="D908" t="str">
            <v>-</v>
          </cell>
          <cell r="E908" t="str">
            <v>-</v>
          </cell>
          <cell r="F908" t="str">
            <v>-</v>
          </cell>
          <cell r="G908" t="str">
            <v>-</v>
          </cell>
          <cell r="H908" t="str">
            <v>-</v>
          </cell>
          <cell r="I908" t="str">
            <v>-</v>
          </cell>
          <cell r="J908" t="str">
            <v>-</v>
          </cell>
          <cell r="K908" t="str">
            <v>-</v>
          </cell>
          <cell r="L908" t="str">
            <v>-</v>
          </cell>
          <cell r="M908" t="str">
            <v>-</v>
          </cell>
          <cell r="N908" t="str">
            <v>-</v>
          </cell>
          <cell r="O908" t="str">
            <v>-</v>
          </cell>
        </row>
        <row r="909">
          <cell r="A909">
            <v>65151200</v>
          </cell>
          <cell r="B909" t="str">
            <v>Bolognaisesaus vegetarisch 2,22kg DMB</v>
          </cell>
          <cell r="C909" t="str">
            <v>-</v>
          </cell>
          <cell r="D909" t="str">
            <v>X</v>
          </cell>
          <cell r="E909" t="str">
            <v>+</v>
          </cell>
          <cell r="F909" t="str">
            <v>-</v>
          </cell>
          <cell r="G909" t="str">
            <v>X</v>
          </cell>
          <cell r="H909" t="str">
            <v>X</v>
          </cell>
          <cell r="I909" t="str">
            <v>-</v>
          </cell>
          <cell r="J909" t="str">
            <v>X</v>
          </cell>
          <cell r="K909" t="str">
            <v>+</v>
          </cell>
          <cell r="L909" t="str">
            <v>-</v>
          </cell>
          <cell r="M909" t="str">
            <v>+</v>
          </cell>
          <cell r="N909" t="str">
            <v>X</v>
          </cell>
          <cell r="O909" t="str">
            <v>-</v>
          </cell>
        </row>
        <row r="910">
          <cell r="A910">
            <v>65151300</v>
          </cell>
          <cell r="B910" t="str">
            <v>Kip alfredo roomsaus broccoli 2,22kg DMB</v>
          </cell>
          <cell r="C910" t="str">
            <v>-</v>
          </cell>
          <cell r="D910" t="str">
            <v>-</v>
          </cell>
          <cell r="E910" t="str">
            <v>+</v>
          </cell>
          <cell r="F910" t="str">
            <v>X</v>
          </cell>
          <cell r="G910" t="str">
            <v>+</v>
          </cell>
          <cell r="H910" t="str">
            <v>X</v>
          </cell>
          <cell r="I910" t="str">
            <v>-</v>
          </cell>
          <cell r="J910" t="str">
            <v>-</v>
          </cell>
          <cell r="K910" t="str">
            <v>-</v>
          </cell>
          <cell r="L910" t="str">
            <v>-</v>
          </cell>
          <cell r="M910" t="str">
            <v>X</v>
          </cell>
          <cell r="N910" t="str">
            <v>-</v>
          </cell>
          <cell r="O910" t="str">
            <v>-</v>
          </cell>
        </row>
        <row r="911">
          <cell r="A911">
            <v>65151500</v>
          </cell>
          <cell r="B911" t="str">
            <v xml:space="preserve">Lasagne bolognaise 2,2kg DMB </v>
          </cell>
          <cell r="C911" t="str">
            <v>-</v>
          </cell>
          <cell r="D911" t="str">
            <v>+</v>
          </cell>
          <cell r="E911" t="str">
            <v>+</v>
          </cell>
          <cell r="F911" t="str">
            <v>-</v>
          </cell>
          <cell r="G911" t="str">
            <v>+</v>
          </cell>
          <cell r="H911" t="str">
            <v>-</v>
          </cell>
          <cell r="I911" t="str">
            <v>-</v>
          </cell>
          <cell r="J911" t="str">
            <v>-</v>
          </cell>
          <cell r="K911" t="str">
            <v>+</v>
          </cell>
          <cell r="L911" t="str">
            <v>-</v>
          </cell>
          <cell r="M911" t="str">
            <v>-</v>
          </cell>
          <cell r="N911" t="str">
            <v>-</v>
          </cell>
          <cell r="O911" t="str">
            <v>X</v>
          </cell>
        </row>
        <row r="912">
          <cell r="A912">
            <v>65151600</v>
          </cell>
          <cell r="B912" t="str">
            <v xml:space="preserve">Lasagne vegetarische bolognaise 2,2kg DMB </v>
          </cell>
          <cell r="C912" t="str">
            <v>-</v>
          </cell>
          <cell r="D912" t="str">
            <v>+</v>
          </cell>
          <cell r="E912" t="str">
            <v>+</v>
          </cell>
          <cell r="F912" t="str">
            <v>-</v>
          </cell>
          <cell r="G912" t="str">
            <v>+</v>
          </cell>
          <cell r="H912" t="str">
            <v>X</v>
          </cell>
          <cell r="I912" t="str">
            <v>-</v>
          </cell>
          <cell r="J912" t="str">
            <v>X</v>
          </cell>
          <cell r="K912" t="str">
            <v>+</v>
          </cell>
          <cell r="L912" t="str">
            <v>-</v>
          </cell>
          <cell r="M912" t="str">
            <v>+</v>
          </cell>
          <cell r="N912" t="str">
            <v>X</v>
          </cell>
          <cell r="O912" t="str">
            <v>X</v>
          </cell>
        </row>
        <row r="913">
          <cell r="A913">
            <v>65300100</v>
          </cell>
          <cell r="B913" t="str">
            <v>Braadjus 800g DMB</v>
          </cell>
          <cell r="C913" t="str">
            <v>-</v>
          </cell>
          <cell r="D913" t="str">
            <v>-</v>
          </cell>
          <cell r="E913" t="str">
            <v>+</v>
          </cell>
          <cell r="F913" t="str">
            <v>X</v>
          </cell>
          <cell r="G913" t="str">
            <v>-</v>
          </cell>
          <cell r="H913" t="str">
            <v>X</v>
          </cell>
          <cell r="I913" t="str">
            <v>-</v>
          </cell>
          <cell r="J913" t="str">
            <v>-</v>
          </cell>
          <cell r="K913" t="str">
            <v>X</v>
          </cell>
          <cell r="L913" t="str">
            <v>-</v>
          </cell>
          <cell r="M913" t="str">
            <v>X</v>
          </cell>
          <cell r="N913" t="str">
            <v>-</v>
          </cell>
          <cell r="O913" t="str">
            <v>-</v>
          </cell>
        </row>
        <row r="914">
          <cell r="A914">
            <v>65300300</v>
          </cell>
          <cell r="B914" t="str">
            <v>Hollandaise saus  800g DMB</v>
          </cell>
          <cell r="C914" t="str">
            <v>-</v>
          </cell>
          <cell r="D914" t="str">
            <v>-</v>
          </cell>
          <cell r="E914" t="str">
            <v>+</v>
          </cell>
          <cell r="F914" t="str">
            <v>X</v>
          </cell>
          <cell r="G914" t="str">
            <v>+</v>
          </cell>
          <cell r="H914" t="str">
            <v>X</v>
          </cell>
          <cell r="I914" t="str">
            <v>-</v>
          </cell>
          <cell r="J914" t="str">
            <v>-</v>
          </cell>
          <cell r="K914" t="str">
            <v>+</v>
          </cell>
          <cell r="L914" t="str">
            <v>-</v>
          </cell>
          <cell r="M914" t="str">
            <v>X</v>
          </cell>
          <cell r="N914" t="str">
            <v>-</v>
          </cell>
          <cell r="O914" t="str">
            <v>-</v>
          </cell>
        </row>
        <row r="915">
          <cell r="A915">
            <v>65300500</v>
          </cell>
          <cell r="B915" t="str">
            <v>Tomatensaus 800g DMB</v>
          </cell>
          <cell r="C915" t="str">
            <v>-</v>
          </cell>
          <cell r="D915" t="str">
            <v>-</v>
          </cell>
          <cell r="E915" t="str">
            <v>-</v>
          </cell>
          <cell r="F915" t="str">
            <v>-</v>
          </cell>
          <cell r="G915" t="str">
            <v>-</v>
          </cell>
          <cell r="H915" t="str">
            <v>-</v>
          </cell>
          <cell r="I915" t="str">
            <v>-</v>
          </cell>
          <cell r="J915" t="str">
            <v>-</v>
          </cell>
          <cell r="K915" t="str">
            <v>+</v>
          </cell>
          <cell r="L915" t="str">
            <v>-</v>
          </cell>
          <cell r="M915" t="str">
            <v>-</v>
          </cell>
          <cell r="N915" t="str">
            <v>-</v>
          </cell>
          <cell r="O915" t="str">
            <v>-</v>
          </cell>
        </row>
        <row r="916">
          <cell r="A916">
            <v>65300600</v>
          </cell>
          <cell r="B916" t="str">
            <v>Fijne kruidensaus 800g DMB</v>
          </cell>
          <cell r="C916" t="str">
            <v>-</v>
          </cell>
          <cell r="D916" t="str">
            <v>-</v>
          </cell>
          <cell r="E916" t="str">
            <v>+</v>
          </cell>
          <cell r="F916" t="str">
            <v>X</v>
          </cell>
          <cell r="G916" t="str">
            <v>+</v>
          </cell>
          <cell r="H916" t="str">
            <v>X</v>
          </cell>
          <cell r="I916" t="str">
            <v>-</v>
          </cell>
          <cell r="J916" t="str">
            <v>-</v>
          </cell>
          <cell r="K916" t="str">
            <v>-</v>
          </cell>
          <cell r="L916" t="str">
            <v>-</v>
          </cell>
          <cell r="M916" t="str">
            <v>X</v>
          </cell>
          <cell r="N916" t="str">
            <v>-</v>
          </cell>
          <cell r="O916" t="str">
            <v>-</v>
          </cell>
        </row>
        <row r="917">
          <cell r="A917">
            <v>65400400</v>
          </cell>
          <cell r="B917" t="str">
            <v>Kip Mango groenten rijstmix 350g IGLO NO</v>
          </cell>
          <cell r="C917" t="str">
            <v>-</v>
          </cell>
          <cell r="D917" t="str">
            <v>-</v>
          </cell>
          <cell r="E917" t="str">
            <v>-</v>
          </cell>
          <cell r="F917" t="str">
            <v>-</v>
          </cell>
          <cell r="G917" t="str">
            <v>-</v>
          </cell>
          <cell r="H917" t="str">
            <v>-</v>
          </cell>
          <cell r="I917" t="str">
            <v>-</v>
          </cell>
          <cell r="J917" t="str">
            <v>-</v>
          </cell>
          <cell r="K917" t="str">
            <v>-</v>
          </cell>
          <cell r="L917" t="str">
            <v>-</v>
          </cell>
          <cell r="M917" t="str">
            <v>+</v>
          </cell>
          <cell r="N917" t="str">
            <v>-</v>
          </cell>
          <cell r="O917" t="str">
            <v>-</v>
          </cell>
        </row>
        <row r="918">
          <cell r="A918">
            <v>65400500</v>
          </cell>
          <cell r="B918" t="str">
            <v>Kip Sesam bulgur rode linzen groentenmix 350g IGLO NO</v>
          </cell>
          <cell r="C918" t="str">
            <v>-</v>
          </cell>
          <cell r="D918" t="str">
            <v>-</v>
          </cell>
          <cell r="E918" t="str">
            <v>+</v>
          </cell>
          <cell r="F918" t="str">
            <v>-</v>
          </cell>
          <cell r="G918" t="str">
            <v>-</v>
          </cell>
          <cell r="H918" t="str">
            <v>+</v>
          </cell>
          <cell r="I918" t="str">
            <v>-</v>
          </cell>
          <cell r="J918" t="str">
            <v>-</v>
          </cell>
          <cell r="K918" t="str">
            <v>-</v>
          </cell>
          <cell r="L918" t="str">
            <v>+</v>
          </cell>
          <cell r="M918" t="str">
            <v>+</v>
          </cell>
          <cell r="N918" t="str">
            <v>-</v>
          </cell>
          <cell r="O918" t="str">
            <v>-</v>
          </cell>
        </row>
        <row r="919">
          <cell r="A919">
            <v>65420000</v>
          </cell>
          <cell r="B919" t="str">
            <v>Tofu risotto 350g DAESANG</v>
          </cell>
          <cell r="C919" t="str">
            <v>-</v>
          </cell>
          <cell r="D919" t="str">
            <v>-</v>
          </cell>
          <cell r="E919" t="str">
            <v>X</v>
          </cell>
          <cell r="F919" t="str">
            <v>-</v>
          </cell>
          <cell r="G919" t="str">
            <v>-</v>
          </cell>
          <cell r="H919" t="str">
            <v>-</v>
          </cell>
          <cell r="I919" t="str">
            <v>-</v>
          </cell>
          <cell r="J919" t="str">
            <v>-</v>
          </cell>
          <cell r="K919" t="str">
            <v>-</v>
          </cell>
          <cell r="L919" t="str">
            <v>+</v>
          </cell>
          <cell r="M919" t="str">
            <v>+</v>
          </cell>
          <cell r="N919" t="str">
            <v>-</v>
          </cell>
          <cell r="O919" t="str">
            <v>-</v>
          </cell>
        </row>
        <row r="920">
          <cell r="A920">
            <v>65420100</v>
          </cell>
          <cell r="B920" t="str">
            <v>Risotto bulgogi saus met gehakt 350g DAESANG</v>
          </cell>
          <cell r="C920" t="str">
            <v>-</v>
          </cell>
          <cell r="D920" t="str">
            <v>-</v>
          </cell>
          <cell r="E920" t="str">
            <v>-</v>
          </cell>
          <cell r="F920" t="str">
            <v>-</v>
          </cell>
          <cell r="G920" t="str">
            <v>-</v>
          </cell>
          <cell r="H920" t="str">
            <v>-</v>
          </cell>
          <cell r="I920" t="str">
            <v>-</v>
          </cell>
          <cell r="J920" t="str">
            <v>-</v>
          </cell>
          <cell r="K920" t="str">
            <v>-</v>
          </cell>
          <cell r="L920" t="str">
            <v>+</v>
          </cell>
          <cell r="M920" t="str">
            <v>+</v>
          </cell>
          <cell r="N920" t="str">
            <v>-</v>
          </cell>
          <cell r="O920" t="str">
            <v>-</v>
          </cell>
        </row>
        <row r="921">
          <cell r="A921">
            <v>65420200</v>
          </cell>
          <cell r="B921" t="str">
            <v>Risotto kimchisaus 350g DAESANG</v>
          </cell>
          <cell r="C921" t="str">
            <v>-</v>
          </cell>
          <cell r="D921" t="str">
            <v>-</v>
          </cell>
          <cell r="E921" t="str">
            <v>X</v>
          </cell>
          <cell r="F921" t="str">
            <v>-</v>
          </cell>
          <cell r="G921" t="str">
            <v>-</v>
          </cell>
          <cell r="H921" t="str">
            <v>-</v>
          </cell>
          <cell r="I921" t="str">
            <v>-</v>
          </cell>
          <cell r="J921" t="str">
            <v>-</v>
          </cell>
          <cell r="K921" t="str">
            <v>-</v>
          </cell>
          <cell r="L921" t="str">
            <v>+</v>
          </cell>
          <cell r="M921" t="str">
            <v>X</v>
          </cell>
          <cell r="N921" t="str">
            <v>X</v>
          </cell>
          <cell r="O921" t="str">
            <v>-</v>
          </cell>
        </row>
        <row r="922">
          <cell r="A922">
            <v>65430000</v>
          </cell>
          <cell r="B922" t="str">
            <v>Kip satésaus rijstmix broc papr wortel 450g BOF D</v>
          </cell>
          <cell r="C922" t="str">
            <v>+</v>
          </cell>
          <cell r="D922" t="str">
            <v>-</v>
          </cell>
          <cell r="E922" t="str">
            <v>-</v>
          </cell>
          <cell r="F922" t="str">
            <v>-</v>
          </cell>
          <cell r="G922" t="str">
            <v>-</v>
          </cell>
          <cell r="H922" t="str">
            <v>-</v>
          </cell>
          <cell r="I922" t="str">
            <v>+</v>
          </cell>
          <cell r="J922" t="str">
            <v>-</v>
          </cell>
          <cell r="K922" t="str">
            <v>-</v>
          </cell>
          <cell r="L922" t="str">
            <v>-</v>
          </cell>
          <cell r="M922" t="str">
            <v>+</v>
          </cell>
          <cell r="N922" t="str">
            <v>-</v>
          </cell>
          <cell r="O922" t="str">
            <v>-</v>
          </cell>
        </row>
        <row r="923">
          <cell r="A923">
            <v>65450100</v>
          </cell>
          <cell r="B923" t="str">
            <v>Rundsburger lookboter aard nootjes gebr bonen 385g LIDL NL</v>
          </cell>
          <cell r="C923" t="str">
            <v>-</v>
          </cell>
          <cell r="D923" t="str">
            <v>-</v>
          </cell>
          <cell r="E923" t="str">
            <v>+</v>
          </cell>
          <cell r="F923" t="str">
            <v>-</v>
          </cell>
          <cell r="G923" t="str">
            <v>+</v>
          </cell>
          <cell r="H923" t="str">
            <v>X</v>
          </cell>
          <cell r="I923" t="str">
            <v>-</v>
          </cell>
          <cell r="J923" t="str">
            <v>-</v>
          </cell>
          <cell r="K923" t="str">
            <v>X</v>
          </cell>
          <cell r="L923" t="str">
            <v>-</v>
          </cell>
          <cell r="M923" t="str">
            <v>X</v>
          </cell>
          <cell r="N923" t="str">
            <v>-</v>
          </cell>
          <cell r="O923" t="str">
            <v>-</v>
          </cell>
        </row>
        <row r="924">
          <cell r="A924">
            <v>65450200</v>
          </cell>
          <cell r="B924" t="str">
            <v>Pasta bolognaise 450g LIDL NL</v>
          </cell>
          <cell r="C924" t="str">
            <v>-</v>
          </cell>
          <cell r="D924" t="str">
            <v>X</v>
          </cell>
          <cell r="E924" t="str">
            <v>+</v>
          </cell>
          <cell r="F924" t="str">
            <v>X</v>
          </cell>
          <cell r="G924" t="str">
            <v>+</v>
          </cell>
          <cell r="H924" t="str">
            <v>X</v>
          </cell>
          <cell r="I924" t="str">
            <v>-</v>
          </cell>
          <cell r="J924" t="str">
            <v>-</v>
          </cell>
          <cell r="K924" t="str">
            <v>+</v>
          </cell>
          <cell r="L924" t="str">
            <v>-</v>
          </cell>
          <cell r="M924" t="str">
            <v>X</v>
          </cell>
          <cell r="N924" t="str">
            <v>-</v>
          </cell>
          <cell r="O924" t="str">
            <v>-</v>
          </cell>
        </row>
        <row r="925">
          <cell r="A925">
            <v>65450300</v>
          </cell>
          <cell r="B925" t="str">
            <v>Kip peperroomsaus Hollandse groenten rösti 450g LIDL NL</v>
          </cell>
          <cell r="C925" t="str">
            <v>-</v>
          </cell>
          <cell r="D925" t="str">
            <v>X</v>
          </cell>
          <cell r="E925" t="str">
            <v>+</v>
          </cell>
          <cell r="F925" t="str">
            <v>X</v>
          </cell>
          <cell r="G925" t="str">
            <v>+</v>
          </cell>
          <cell r="H925" t="str">
            <v>X</v>
          </cell>
          <cell r="I925" t="str">
            <v>-</v>
          </cell>
          <cell r="J925" t="str">
            <v>-</v>
          </cell>
          <cell r="K925" t="str">
            <v>+</v>
          </cell>
          <cell r="L925" t="str">
            <v>-</v>
          </cell>
          <cell r="M925" t="str">
            <v>X</v>
          </cell>
          <cell r="N925" t="str">
            <v>-</v>
          </cell>
          <cell r="O925" t="str">
            <v>-</v>
          </cell>
        </row>
        <row r="926">
          <cell r="A926">
            <v>65701500</v>
          </cell>
          <cell r="B926" t="str">
            <v>Kabeljauw Noorse saus 2x225g ALDI BE</v>
          </cell>
          <cell r="C926" t="str">
            <v>-</v>
          </cell>
          <cell r="D926" t="str">
            <v>-</v>
          </cell>
          <cell r="E926" t="str">
            <v>+</v>
          </cell>
          <cell r="F926" t="str">
            <v>X</v>
          </cell>
          <cell r="G926" t="str">
            <v>+</v>
          </cell>
          <cell r="H926" t="str">
            <v>+</v>
          </cell>
          <cell r="I926" t="str">
            <v>-</v>
          </cell>
          <cell r="J926" t="str">
            <v>+</v>
          </cell>
          <cell r="K926" t="str">
            <v>+</v>
          </cell>
          <cell r="L926" t="str">
            <v>-</v>
          </cell>
          <cell r="M926" t="str">
            <v>X</v>
          </cell>
          <cell r="N926" t="str">
            <v>+</v>
          </cell>
          <cell r="O926" t="str">
            <v>X</v>
          </cell>
        </row>
        <row r="927">
          <cell r="A927">
            <v>65701600</v>
          </cell>
          <cell r="B927" t="str">
            <v>Kabeljauw Waterkerssaus 2x225g ALDI BE</v>
          </cell>
          <cell r="C927" t="str">
            <v>-</v>
          </cell>
          <cell r="D927" t="str">
            <v>-</v>
          </cell>
          <cell r="E927" t="str">
            <v>+</v>
          </cell>
          <cell r="F927" t="str">
            <v>X</v>
          </cell>
          <cell r="G927" t="str">
            <v>+</v>
          </cell>
          <cell r="H927" t="str">
            <v>X</v>
          </cell>
          <cell r="I927" t="str">
            <v>-</v>
          </cell>
          <cell r="J927" t="str">
            <v>-</v>
          </cell>
          <cell r="K927" t="str">
            <v>+</v>
          </cell>
          <cell r="L927" t="str">
            <v>-</v>
          </cell>
          <cell r="M927" t="str">
            <v>X</v>
          </cell>
          <cell r="N927" t="str">
            <v>+</v>
          </cell>
          <cell r="O927" t="str">
            <v>-</v>
          </cell>
        </row>
        <row r="928">
          <cell r="A928">
            <v>65701700</v>
          </cell>
          <cell r="B928" t="str">
            <v>Kabeljauw kruidenkaassaus 2x225g ALDI BE</v>
          </cell>
          <cell r="C928" t="str">
            <v>-</v>
          </cell>
          <cell r="D928" t="str">
            <v>-</v>
          </cell>
          <cell r="E928" t="str">
            <v>+</v>
          </cell>
          <cell r="F928" t="str">
            <v>X</v>
          </cell>
          <cell r="G928" t="str">
            <v>+</v>
          </cell>
          <cell r="H928" t="str">
            <v>X</v>
          </cell>
          <cell r="I928" t="str">
            <v>-</v>
          </cell>
          <cell r="J928" t="str">
            <v>-</v>
          </cell>
          <cell r="K928" t="str">
            <v>+</v>
          </cell>
          <cell r="L928" t="str">
            <v>-</v>
          </cell>
          <cell r="M928" t="str">
            <v>X</v>
          </cell>
          <cell r="N928" t="str">
            <v>+</v>
          </cell>
          <cell r="O928" t="str">
            <v>-</v>
          </cell>
        </row>
        <row r="929">
          <cell r="A929">
            <v>65703000</v>
          </cell>
          <cell r="B929" t="str">
            <v>Zalm bieslooksaus GG 2X225g ALDI BE</v>
          </cell>
          <cell r="C929" t="str">
            <v>-</v>
          </cell>
          <cell r="D929" t="str">
            <v>-</v>
          </cell>
          <cell r="E929" t="str">
            <v>+</v>
          </cell>
          <cell r="F929" t="str">
            <v>X</v>
          </cell>
          <cell r="G929" t="str">
            <v>+</v>
          </cell>
          <cell r="H929" t="str">
            <v>X</v>
          </cell>
          <cell r="I929" t="str">
            <v>-</v>
          </cell>
          <cell r="J929" t="str">
            <v>X</v>
          </cell>
          <cell r="K929" t="str">
            <v>+</v>
          </cell>
          <cell r="L929" t="str">
            <v>-</v>
          </cell>
          <cell r="M929" t="str">
            <v>X</v>
          </cell>
          <cell r="N929" t="str">
            <v>+</v>
          </cell>
          <cell r="O929" t="str">
            <v>X</v>
          </cell>
        </row>
        <row r="930">
          <cell r="A930">
            <v>65703100</v>
          </cell>
          <cell r="B930" t="str">
            <v>Zalm fijne groentensaus GG 2x225g ALDI BE</v>
          </cell>
          <cell r="C930" t="str">
            <v>-</v>
          </cell>
          <cell r="D930" t="str">
            <v>-</v>
          </cell>
          <cell r="E930" t="str">
            <v>+</v>
          </cell>
          <cell r="F930" t="str">
            <v>X</v>
          </cell>
          <cell r="G930" t="str">
            <v>+</v>
          </cell>
          <cell r="H930" t="str">
            <v>X</v>
          </cell>
          <cell r="I930" t="str">
            <v>-</v>
          </cell>
          <cell r="J930" t="str">
            <v>X</v>
          </cell>
          <cell r="K930" t="str">
            <v>+</v>
          </cell>
          <cell r="L930" t="str">
            <v>-</v>
          </cell>
          <cell r="M930" t="str">
            <v>X</v>
          </cell>
          <cell r="N930" t="str">
            <v>+</v>
          </cell>
          <cell r="O930" t="str">
            <v>X</v>
          </cell>
        </row>
        <row r="931">
          <cell r="A931">
            <v>65703200</v>
          </cell>
          <cell r="B931" t="str">
            <v>Zalm spinaziesaus GG 2x225g ALDI BE</v>
          </cell>
          <cell r="C931" t="str">
            <v>-</v>
          </cell>
          <cell r="D931" t="str">
            <v>-</v>
          </cell>
          <cell r="E931" t="str">
            <v>+</v>
          </cell>
          <cell r="F931" t="str">
            <v>X</v>
          </cell>
          <cell r="G931" t="str">
            <v>+</v>
          </cell>
          <cell r="H931" t="str">
            <v>X</v>
          </cell>
          <cell r="I931" t="str">
            <v>-</v>
          </cell>
          <cell r="J931" t="str">
            <v>X</v>
          </cell>
          <cell r="K931" t="str">
            <v>+</v>
          </cell>
          <cell r="L931" t="str">
            <v>-</v>
          </cell>
          <cell r="M931" t="str">
            <v>X</v>
          </cell>
          <cell r="N931" t="str">
            <v>+</v>
          </cell>
          <cell r="O931" t="str">
            <v>X</v>
          </cell>
        </row>
        <row r="932">
          <cell r="A932">
            <v>65703300</v>
          </cell>
          <cell r="B932" t="str">
            <v>Zalm béarnaise GG 2x225g ALDI BE</v>
          </cell>
          <cell r="C932" t="str">
            <v>-</v>
          </cell>
          <cell r="D932" t="str">
            <v>-</v>
          </cell>
          <cell r="E932" t="str">
            <v>+</v>
          </cell>
          <cell r="F932" t="str">
            <v>X</v>
          </cell>
          <cell r="G932" t="str">
            <v>+</v>
          </cell>
          <cell r="H932" t="str">
            <v>X</v>
          </cell>
          <cell r="I932" t="str">
            <v>-</v>
          </cell>
          <cell r="J932" t="str">
            <v>X</v>
          </cell>
          <cell r="K932" t="str">
            <v>+</v>
          </cell>
          <cell r="L932" t="str">
            <v>-</v>
          </cell>
          <cell r="M932" t="str">
            <v>X</v>
          </cell>
          <cell r="N932" t="str">
            <v>+</v>
          </cell>
          <cell r="O932" t="str">
            <v>X</v>
          </cell>
        </row>
        <row r="933">
          <cell r="A933">
            <v>65703400</v>
          </cell>
          <cell r="B933" t="str">
            <v>Zalm preisaus GG 2x225g ALDI BE</v>
          </cell>
          <cell r="C933" t="str">
            <v>-</v>
          </cell>
          <cell r="D933" t="str">
            <v>-</v>
          </cell>
          <cell r="E933" t="str">
            <v>+</v>
          </cell>
          <cell r="F933" t="str">
            <v>X</v>
          </cell>
          <cell r="G933" t="str">
            <v>+</v>
          </cell>
          <cell r="H933" t="str">
            <v>X</v>
          </cell>
          <cell r="I933" t="str">
            <v>-</v>
          </cell>
          <cell r="J933" t="str">
            <v>X</v>
          </cell>
          <cell r="K933" t="str">
            <v>-</v>
          </cell>
          <cell r="L933" t="str">
            <v>-</v>
          </cell>
          <cell r="M933" t="str">
            <v>X</v>
          </cell>
          <cell r="N933" t="str">
            <v>+</v>
          </cell>
          <cell r="O933" t="str">
            <v>X</v>
          </cell>
        </row>
        <row r="934">
          <cell r="A934">
            <v>65703500</v>
          </cell>
          <cell r="B934" t="str">
            <v>Zalm zuring GG 2x225g ALDI FR</v>
          </cell>
          <cell r="C934" t="str">
            <v>-</v>
          </cell>
          <cell r="D934" t="str">
            <v>-</v>
          </cell>
          <cell r="E934" t="str">
            <v>+</v>
          </cell>
          <cell r="F934" t="str">
            <v>X</v>
          </cell>
          <cell r="G934" t="str">
            <v>+</v>
          </cell>
          <cell r="H934" t="str">
            <v>X</v>
          </cell>
          <cell r="I934" t="str">
            <v>-</v>
          </cell>
          <cell r="J934" t="str">
            <v>X</v>
          </cell>
          <cell r="K934" t="str">
            <v>+</v>
          </cell>
          <cell r="L934" t="str">
            <v>-</v>
          </cell>
          <cell r="M934" t="str">
            <v>X</v>
          </cell>
          <cell r="N934" t="str">
            <v>+</v>
          </cell>
          <cell r="O934" t="str">
            <v>X</v>
          </cell>
        </row>
        <row r="935">
          <cell r="A935">
            <v>65703600</v>
          </cell>
          <cell r="B935" t="str">
            <v>Zalm fijne groentensaus GG 2x225g ALDI FR</v>
          </cell>
          <cell r="C935" t="str">
            <v>-</v>
          </cell>
          <cell r="D935" t="str">
            <v>-</v>
          </cell>
          <cell r="E935" t="str">
            <v>+</v>
          </cell>
          <cell r="F935" t="str">
            <v>X</v>
          </cell>
          <cell r="G935" t="str">
            <v>+</v>
          </cell>
          <cell r="H935" t="str">
            <v>X</v>
          </cell>
          <cell r="I935" t="str">
            <v>-</v>
          </cell>
          <cell r="J935" t="str">
            <v>X</v>
          </cell>
          <cell r="K935" t="str">
            <v>+</v>
          </cell>
          <cell r="L935" t="str">
            <v>-</v>
          </cell>
          <cell r="M935" t="str">
            <v>X</v>
          </cell>
          <cell r="N935" t="str">
            <v>+</v>
          </cell>
          <cell r="O935" t="str">
            <v>X</v>
          </cell>
        </row>
        <row r="936">
          <cell r="A936">
            <v>65703700</v>
          </cell>
          <cell r="B936" t="str">
            <v>Zalm citroen-botersaus GG 2x225g ALDI FR</v>
          </cell>
          <cell r="C936" t="str">
            <v>-</v>
          </cell>
          <cell r="D936" t="str">
            <v>-</v>
          </cell>
          <cell r="E936" t="str">
            <v>+</v>
          </cell>
          <cell r="F936" t="str">
            <v>X</v>
          </cell>
          <cell r="G936" t="str">
            <v>+</v>
          </cell>
          <cell r="H936" t="str">
            <v>X</v>
          </cell>
          <cell r="I936" t="str">
            <v>-</v>
          </cell>
          <cell r="J936" t="str">
            <v>X</v>
          </cell>
          <cell r="K936" t="str">
            <v>+</v>
          </cell>
          <cell r="L936" t="str">
            <v>-</v>
          </cell>
          <cell r="M936" t="str">
            <v>X</v>
          </cell>
          <cell r="N936" t="str">
            <v>+</v>
          </cell>
          <cell r="O936" t="str">
            <v>X</v>
          </cell>
        </row>
        <row r="937">
          <cell r="A937">
            <v>65703800</v>
          </cell>
          <cell r="B937" t="str">
            <v>Zalm fijne kruiden GG 2x225g ALDI FR</v>
          </cell>
          <cell r="C937" t="str">
            <v>-</v>
          </cell>
          <cell r="D937" t="str">
            <v>-</v>
          </cell>
          <cell r="E937" t="str">
            <v>+</v>
          </cell>
          <cell r="F937" t="str">
            <v>X</v>
          </cell>
          <cell r="G937" t="str">
            <v>+</v>
          </cell>
          <cell r="H937" t="str">
            <v>X</v>
          </cell>
          <cell r="I937" t="str">
            <v>-</v>
          </cell>
          <cell r="J937" t="str">
            <v>-</v>
          </cell>
          <cell r="K937" t="str">
            <v>+</v>
          </cell>
          <cell r="L937" t="str">
            <v>-</v>
          </cell>
          <cell r="M937" t="str">
            <v>X</v>
          </cell>
          <cell r="N937" t="str">
            <v>+</v>
          </cell>
          <cell r="O937" t="str">
            <v>-</v>
          </cell>
        </row>
        <row r="938">
          <cell r="A938">
            <v>65703900</v>
          </cell>
          <cell r="B938" t="str">
            <v>Zalm preisaus GG 2x225g ALDI FR</v>
          </cell>
          <cell r="C938" t="str">
            <v>-</v>
          </cell>
          <cell r="D938" t="str">
            <v>-</v>
          </cell>
          <cell r="E938" t="str">
            <v>+</v>
          </cell>
          <cell r="F938" t="str">
            <v>X</v>
          </cell>
          <cell r="G938" t="str">
            <v>+</v>
          </cell>
          <cell r="H938" t="str">
            <v>X</v>
          </cell>
          <cell r="I938" t="str">
            <v>-</v>
          </cell>
          <cell r="J938" t="str">
            <v>X</v>
          </cell>
          <cell r="K938" t="str">
            <v>-</v>
          </cell>
          <cell r="L938" t="str">
            <v>-</v>
          </cell>
          <cell r="M938" t="str">
            <v>X</v>
          </cell>
          <cell r="N938" t="str">
            <v>+</v>
          </cell>
          <cell r="O938" t="str">
            <v>X</v>
          </cell>
        </row>
        <row r="939">
          <cell r="A939">
            <v>65704000</v>
          </cell>
          <cell r="B939" t="str">
            <v>Zalm GG in preisaus 2x200g ALDI FR</v>
          </cell>
          <cell r="C939" t="str">
            <v>-</v>
          </cell>
          <cell r="D939" t="str">
            <v>-</v>
          </cell>
          <cell r="E939" t="str">
            <v>+</v>
          </cell>
          <cell r="F939" t="str">
            <v>X</v>
          </cell>
          <cell r="G939" t="str">
            <v>+</v>
          </cell>
          <cell r="H939" t="str">
            <v>X</v>
          </cell>
          <cell r="I939" t="str">
            <v>-</v>
          </cell>
          <cell r="J939" t="str">
            <v>X</v>
          </cell>
          <cell r="K939" t="str">
            <v>-</v>
          </cell>
          <cell r="L939" t="str">
            <v>-</v>
          </cell>
          <cell r="M939" t="str">
            <v>X</v>
          </cell>
          <cell r="N939" t="str">
            <v>+</v>
          </cell>
          <cell r="O939" t="str">
            <v>X</v>
          </cell>
        </row>
        <row r="940">
          <cell r="A940">
            <v>65704100</v>
          </cell>
          <cell r="B940" t="str">
            <v>Zalm GG zuringsaus 2x200g ALDI FR</v>
          </cell>
          <cell r="C940" t="str">
            <v>-</v>
          </cell>
          <cell r="D940" t="str">
            <v>-</v>
          </cell>
          <cell r="E940" t="str">
            <v>-</v>
          </cell>
          <cell r="F940" t="str">
            <v>-</v>
          </cell>
          <cell r="G940" t="str">
            <v>+</v>
          </cell>
          <cell r="H940" t="str">
            <v>-</v>
          </cell>
          <cell r="I940" t="str">
            <v>-</v>
          </cell>
          <cell r="J940" t="str">
            <v>-</v>
          </cell>
          <cell r="K940" t="str">
            <v>-</v>
          </cell>
          <cell r="L940" t="str">
            <v>-</v>
          </cell>
          <cell r="M940" t="str">
            <v>-</v>
          </cell>
          <cell r="N940" t="str">
            <v>+</v>
          </cell>
          <cell r="O940" t="str">
            <v>-</v>
          </cell>
        </row>
        <row r="941">
          <cell r="A941">
            <v>65704200</v>
          </cell>
          <cell r="B941" t="str">
            <v>Zalm GG botersaus 2x200g ALDI FR</v>
          </cell>
          <cell r="C941" t="str">
            <v>-</v>
          </cell>
          <cell r="D941" t="str">
            <v>-</v>
          </cell>
          <cell r="E941" t="str">
            <v>+</v>
          </cell>
          <cell r="F941" t="str">
            <v>-</v>
          </cell>
          <cell r="G941" t="str">
            <v>+</v>
          </cell>
          <cell r="H941" t="str">
            <v>-</v>
          </cell>
          <cell r="I941" t="str">
            <v>-</v>
          </cell>
          <cell r="J941" t="str">
            <v>X</v>
          </cell>
          <cell r="K941" t="str">
            <v>-</v>
          </cell>
          <cell r="L941" t="str">
            <v>-</v>
          </cell>
          <cell r="M941" t="str">
            <v>X</v>
          </cell>
          <cell r="N941" t="str">
            <v>+</v>
          </cell>
          <cell r="O941" t="str">
            <v>X</v>
          </cell>
        </row>
        <row r="942">
          <cell r="A942">
            <v>65704300</v>
          </cell>
          <cell r="B942" t="str">
            <v>Zalm MSC pink blankebotersaus bieslook 2x225g ALDI BE</v>
          </cell>
          <cell r="C942" t="str">
            <v>-</v>
          </cell>
          <cell r="D942" t="str">
            <v>-</v>
          </cell>
          <cell r="E942" t="str">
            <v>+</v>
          </cell>
          <cell r="F942" t="str">
            <v>X</v>
          </cell>
          <cell r="G942" t="str">
            <v>+</v>
          </cell>
          <cell r="H942" t="str">
            <v>X</v>
          </cell>
          <cell r="I942" t="str">
            <v>-</v>
          </cell>
          <cell r="J942" t="str">
            <v>X</v>
          </cell>
          <cell r="K942" t="str">
            <v>-</v>
          </cell>
          <cell r="L942" t="str">
            <v>-</v>
          </cell>
          <cell r="M942" t="str">
            <v>X</v>
          </cell>
          <cell r="N942" t="str">
            <v>+</v>
          </cell>
          <cell r="O942" t="str">
            <v>X</v>
          </cell>
        </row>
        <row r="943">
          <cell r="A943">
            <v>65704400</v>
          </cell>
          <cell r="B943" t="str">
            <v>Zalm pink MSC fijne groenten 2x225g ALDI BE</v>
          </cell>
          <cell r="C943" t="str">
            <v>-</v>
          </cell>
          <cell r="D943" t="str">
            <v>-</v>
          </cell>
          <cell r="E943" t="str">
            <v>+</v>
          </cell>
          <cell r="F943" t="str">
            <v>X</v>
          </cell>
          <cell r="G943" t="str">
            <v>+</v>
          </cell>
          <cell r="H943" t="str">
            <v>X</v>
          </cell>
          <cell r="I943" t="str">
            <v>-</v>
          </cell>
          <cell r="J943" t="str">
            <v>X</v>
          </cell>
          <cell r="K943" t="str">
            <v>+</v>
          </cell>
          <cell r="L943" t="str">
            <v>-</v>
          </cell>
          <cell r="M943" t="str">
            <v>X</v>
          </cell>
          <cell r="N943" t="str">
            <v>+</v>
          </cell>
          <cell r="O943" t="str">
            <v>X</v>
          </cell>
        </row>
        <row r="944">
          <cell r="A944">
            <v>65704500</v>
          </cell>
          <cell r="B944" t="str">
            <v>Zalm pink MSC spinaziesaus 2x225g ALDI BE</v>
          </cell>
          <cell r="C944" t="str">
            <v>-</v>
          </cell>
          <cell r="D944" t="str">
            <v>-</v>
          </cell>
          <cell r="E944" t="str">
            <v>+</v>
          </cell>
          <cell r="F944" t="str">
            <v>X</v>
          </cell>
          <cell r="G944" t="str">
            <v>+</v>
          </cell>
          <cell r="H944" t="str">
            <v>X</v>
          </cell>
          <cell r="I944" t="str">
            <v>-</v>
          </cell>
          <cell r="J944" t="str">
            <v>X</v>
          </cell>
          <cell r="K944" t="str">
            <v>+</v>
          </cell>
          <cell r="L944" t="str">
            <v>-</v>
          </cell>
          <cell r="M944" t="str">
            <v>X</v>
          </cell>
          <cell r="N944" t="str">
            <v>+</v>
          </cell>
          <cell r="O944" t="str">
            <v>X</v>
          </cell>
        </row>
        <row r="945">
          <cell r="A945">
            <v>65704600</v>
          </cell>
          <cell r="B945" t="str">
            <v>Zalm  MSC pink bearnaise 2x225g ALDI BE</v>
          </cell>
          <cell r="C945" t="str">
            <v>-</v>
          </cell>
          <cell r="D945" t="str">
            <v>-</v>
          </cell>
          <cell r="E945" t="str">
            <v>+</v>
          </cell>
          <cell r="F945" t="str">
            <v>X</v>
          </cell>
          <cell r="G945" t="str">
            <v>+</v>
          </cell>
          <cell r="H945" t="str">
            <v>X</v>
          </cell>
          <cell r="I945" t="str">
            <v>-</v>
          </cell>
          <cell r="J945" t="str">
            <v>X</v>
          </cell>
          <cell r="K945" t="str">
            <v>+</v>
          </cell>
          <cell r="L945" t="str">
            <v>-</v>
          </cell>
          <cell r="M945" t="str">
            <v>X</v>
          </cell>
          <cell r="N945" t="str">
            <v>+</v>
          </cell>
          <cell r="O945" t="str">
            <v>X</v>
          </cell>
        </row>
        <row r="946">
          <cell r="A946">
            <v>65704700</v>
          </cell>
          <cell r="B946" t="str">
            <v>Zalm pink MSC preisaus 2x225g ALDI BE</v>
          </cell>
          <cell r="C946" t="str">
            <v>-</v>
          </cell>
          <cell r="D946" t="str">
            <v>-</v>
          </cell>
          <cell r="E946" t="str">
            <v>+</v>
          </cell>
          <cell r="F946" t="str">
            <v>X</v>
          </cell>
          <cell r="G946" t="str">
            <v>+</v>
          </cell>
          <cell r="H946" t="str">
            <v>X</v>
          </cell>
          <cell r="I946" t="str">
            <v>-</v>
          </cell>
          <cell r="J946" t="str">
            <v>X</v>
          </cell>
          <cell r="K946" t="str">
            <v>-</v>
          </cell>
          <cell r="L946" t="str">
            <v>-</v>
          </cell>
          <cell r="M946" t="str">
            <v>X</v>
          </cell>
          <cell r="N946" t="str">
            <v>+</v>
          </cell>
          <cell r="O946" t="str">
            <v>X</v>
          </cell>
        </row>
        <row r="947">
          <cell r="A947">
            <v>65704800</v>
          </cell>
          <cell r="B947" t="str">
            <v>Zalm B&amp;P Pink MSC preisaus 2x200g ALDI FR</v>
          </cell>
          <cell r="C947" t="str">
            <v>-</v>
          </cell>
          <cell r="D947" t="str">
            <v>-</v>
          </cell>
          <cell r="E947" t="str">
            <v>+</v>
          </cell>
          <cell r="F947" t="str">
            <v>X</v>
          </cell>
          <cell r="G947" t="str">
            <v>+</v>
          </cell>
          <cell r="H947" t="str">
            <v>X</v>
          </cell>
          <cell r="I947" t="str">
            <v>-</v>
          </cell>
          <cell r="J947" t="str">
            <v>X</v>
          </cell>
          <cell r="K947" t="str">
            <v>-</v>
          </cell>
          <cell r="L947" t="str">
            <v>-</v>
          </cell>
          <cell r="M947" t="str">
            <v>X</v>
          </cell>
          <cell r="N947" t="str">
            <v>+</v>
          </cell>
          <cell r="O947" t="str">
            <v>X</v>
          </cell>
        </row>
        <row r="948">
          <cell r="A948">
            <v>65704900</v>
          </cell>
          <cell r="B948" t="str">
            <v>Zalm B&amp;P Pink MSC zuringsaus 2x200g ALDI FR</v>
          </cell>
          <cell r="C948" t="str">
            <v>-</v>
          </cell>
          <cell r="D948" t="str">
            <v>-</v>
          </cell>
          <cell r="E948" t="str">
            <v>-</v>
          </cell>
          <cell r="F948" t="str">
            <v>-</v>
          </cell>
          <cell r="G948" t="str">
            <v>+</v>
          </cell>
          <cell r="H948" t="str">
            <v>-</v>
          </cell>
          <cell r="I948" t="str">
            <v>-</v>
          </cell>
          <cell r="J948" t="str">
            <v>-</v>
          </cell>
          <cell r="K948" t="str">
            <v>-</v>
          </cell>
          <cell r="L948" t="str">
            <v>-</v>
          </cell>
          <cell r="M948" t="str">
            <v>-</v>
          </cell>
          <cell r="N948" t="str">
            <v>+</v>
          </cell>
          <cell r="O948" t="str">
            <v>-</v>
          </cell>
        </row>
        <row r="949">
          <cell r="A949">
            <v>65705000</v>
          </cell>
          <cell r="B949" t="str">
            <v>Zalm B&amp;P Pink MSC botersaus 2x200g ALDI FR</v>
          </cell>
          <cell r="C949" t="str">
            <v>-</v>
          </cell>
          <cell r="D949" t="str">
            <v>-</v>
          </cell>
          <cell r="E949" t="str">
            <v>+</v>
          </cell>
          <cell r="F949" t="str">
            <v>-</v>
          </cell>
          <cell r="G949" t="str">
            <v>+</v>
          </cell>
          <cell r="H949" t="str">
            <v>-</v>
          </cell>
          <cell r="I949" t="str">
            <v>-</v>
          </cell>
          <cell r="J949" t="str">
            <v>X</v>
          </cell>
          <cell r="K949" t="str">
            <v>-</v>
          </cell>
          <cell r="L949" t="str">
            <v>-</v>
          </cell>
          <cell r="M949" t="str">
            <v>X</v>
          </cell>
          <cell r="N949" t="str">
            <v>+</v>
          </cell>
          <cell r="O949" t="str">
            <v>X</v>
          </cell>
        </row>
        <row r="950">
          <cell r="A950">
            <v>65705100</v>
          </cell>
          <cell r="B950" t="str">
            <v>Kabeljauw MSC hollandaise saus 2*225G ALDI BE</v>
          </cell>
          <cell r="C950" t="str">
            <v>-</v>
          </cell>
          <cell r="D950" t="str">
            <v>-</v>
          </cell>
          <cell r="E950" t="str">
            <v>+</v>
          </cell>
          <cell r="F950" t="str">
            <v>X</v>
          </cell>
          <cell r="G950" t="str">
            <v>+</v>
          </cell>
          <cell r="H950" t="str">
            <v>X</v>
          </cell>
          <cell r="I950" t="str">
            <v>-</v>
          </cell>
          <cell r="J950" t="str">
            <v>-</v>
          </cell>
          <cell r="K950" t="str">
            <v>+</v>
          </cell>
          <cell r="L950" t="str">
            <v>-</v>
          </cell>
          <cell r="M950" t="str">
            <v>X</v>
          </cell>
          <cell r="N950" t="str">
            <v>+</v>
          </cell>
          <cell r="O950" t="str">
            <v>-</v>
          </cell>
        </row>
        <row r="951">
          <cell r="A951">
            <v>65900200</v>
          </cell>
          <cell r="B951" t="str">
            <v>Moussaka 400g BOF DE</v>
          </cell>
          <cell r="E951" t="str">
            <v>+</v>
          </cell>
          <cell r="G951" t="str">
            <v>+</v>
          </cell>
        </row>
        <row r="952">
          <cell r="A952">
            <v>65900300</v>
          </cell>
          <cell r="B952" t="str">
            <v>Gratin aard asperge wortel peterseliewortel 2x400g BOF DE</v>
          </cell>
          <cell r="C952" t="str">
            <v>-</v>
          </cell>
          <cell r="D952" t="str">
            <v>-</v>
          </cell>
          <cell r="E952" t="str">
            <v>+</v>
          </cell>
          <cell r="F952" t="str">
            <v>X</v>
          </cell>
          <cell r="G952" t="str">
            <v>+</v>
          </cell>
          <cell r="H952" t="str">
            <v>X</v>
          </cell>
          <cell r="I952" t="str">
            <v>-</v>
          </cell>
          <cell r="J952" t="str">
            <v>-</v>
          </cell>
          <cell r="K952" t="str">
            <v>-</v>
          </cell>
          <cell r="L952" t="str">
            <v>-</v>
          </cell>
          <cell r="M952" t="str">
            <v>X</v>
          </cell>
          <cell r="N952" t="str">
            <v>-</v>
          </cell>
          <cell r="O952" t="str">
            <v>-</v>
          </cell>
        </row>
        <row r="953">
          <cell r="A953">
            <v>65900400</v>
          </cell>
          <cell r="B953" t="str">
            <v>Gratin aardappel champignons 2x400g BOF DE</v>
          </cell>
          <cell r="C953" t="str">
            <v>-</v>
          </cell>
          <cell r="D953" t="str">
            <v>-</v>
          </cell>
          <cell r="E953" t="str">
            <v>+</v>
          </cell>
          <cell r="F953" t="str">
            <v>X</v>
          </cell>
          <cell r="G953" t="str">
            <v>+</v>
          </cell>
          <cell r="H953" t="str">
            <v>X</v>
          </cell>
          <cell r="I953" t="str">
            <v>-</v>
          </cell>
          <cell r="J953" t="str">
            <v>-</v>
          </cell>
          <cell r="K953" t="str">
            <v>-</v>
          </cell>
          <cell r="L953" t="str">
            <v>-</v>
          </cell>
          <cell r="M953" t="str">
            <v>X</v>
          </cell>
          <cell r="N953" t="str">
            <v>-</v>
          </cell>
          <cell r="O953" t="str">
            <v>-</v>
          </cell>
        </row>
        <row r="954">
          <cell r="A954">
            <v>65900500</v>
          </cell>
          <cell r="B954" t="str">
            <v>Macaroni kaassaus bolognaise 400g BOF DE</v>
          </cell>
          <cell r="C954" t="str">
            <v>-</v>
          </cell>
          <cell r="D954" t="str">
            <v>+</v>
          </cell>
          <cell r="E954" t="str">
            <v>+</v>
          </cell>
          <cell r="F954" t="str">
            <v>X</v>
          </cell>
          <cell r="G954" t="str">
            <v>+</v>
          </cell>
          <cell r="H954" t="str">
            <v>X</v>
          </cell>
          <cell r="I954" t="str">
            <v>-</v>
          </cell>
          <cell r="J954" t="str">
            <v>-</v>
          </cell>
          <cell r="K954" t="str">
            <v>+</v>
          </cell>
          <cell r="L954" t="str">
            <v>-</v>
          </cell>
          <cell r="M954" t="str">
            <v>X</v>
          </cell>
          <cell r="N954" t="str">
            <v>-</v>
          </cell>
          <cell r="O954" t="str">
            <v>-</v>
          </cell>
        </row>
        <row r="955">
          <cell r="A955">
            <v>65910100</v>
          </cell>
          <cell r="B955" t="str">
            <v>Gratin Dauphinois 2x400g BOF BE FR</v>
          </cell>
          <cell r="C955" t="str">
            <v>-</v>
          </cell>
          <cell r="D955" t="str">
            <v>-</v>
          </cell>
          <cell r="E955" t="str">
            <v>+</v>
          </cell>
          <cell r="F955" t="str">
            <v>X</v>
          </cell>
          <cell r="G955" t="str">
            <v>+</v>
          </cell>
          <cell r="H955" t="str">
            <v>X</v>
          </cell>
          <cell r="I955" t="str">
            <v>-</v>
          </cell>
          <cell r="J955" t="str">
            <v>-</v>
          </cell>
          <cell r="K955" t="str">
            <v>-</v>
          </cell>
          <cell r="L955" t="str">
            <v>-</v>
          </cell>
          <cell r="M955" t="str">
            <v>X</v>
          </cell>
          <cell r="N955" t="str">
            <v>-</v>
          </cell>
          <cell r="O955" t="str">
            <v>-</v>
          </cell>
        </row>
        <row r="956">
          <cell r="A956">
            <v>65910200</v>
          </cell>
          <cell r="B956" t="str">
            <v>Moussaka 2x400g BOF BE</v>
          </cell>
          <cell r="C956" t="str">
            <v>-</v>
          </cell>
          <cell r="D956" t="str">
            <v>-</v>
          </cell>
          <cell r="E956" t="str">
            <v>+</v>
          </cell>
          <cell r="F956" t="str">
            <v>X</v>
          </cell>
          <cell r="G956" t="str">
            <v>+</v>
          </cell>
          <cell r="H956" t="str">
            <v>X</v>
          </cell>
          <cell r="I956" t="str">
            <v>-</v>
          </cell>
          <cell r="J956" t="str">
            <v>-</v>
          </cell>
          <cell r="K956" t="str">
            <v>-</v>
          </cell>
          <cell r="L956" t="str">
            <v>-</v>
          </cell>
          <cell r="M956" t="str">
            <v>X</v>
          </cell>
          <cell r="N956" t="str">
            <v>-</v>
          </cell>
          <cell r="O956" t="str">
            <v>-</v>
          </cell>
        </row>
        <row r="957">
          <cell r="A957">
            <v>66000100</v>
          </cell>
          <cell r="B957" t="str">
            <v>gehaktschotel aardappel paprika 400g BOF DE</v>
          </cell>
          <cell r="C957" t="str">
            <v>-</v>
          </cell>
          <cell r="D957" t="str">
            <v>-</v>
          </cell>
          <cell r="E957" t="str">
            <v>-</v>
          </cell>
          <cell r="F957" t="str">
            <v>-</v>
          </cell>
          <cell r="G957" t="str">
            <v>-</v>
          </cell>
          <cell r="H957" t="str">
            <v>-</v>
          </cell>
          <cell r="I957" t="str">
            <v>-</v>
          </cell>
          <cell r="J957" t="str">
            <v>-</v>
          </cell>
          <cell r="K957" t="str">
            <v>-</v>
          </cell>
          <cell r="L957" t="str">
            <v>-</v>
          </cell>
          <cell r="M957" t="str">
            <v>-</v>
          </cell>
          <cell r="N957" t="str">
            <v>-</v>
          </cell>
          <cell r="O957" t="str">
            <v>-</v>
          </cell>
        </row>
        <row r="958">
          <cell r="A958">
            <v>66000200</v>
          </cell>
          <cell r="B958" t="str">
            <v>Ratatouille gegrilde groenten 2x400g BOF DE</v>
          </cell>
          <cell r="C958" t="str">
            <v>-</v>
          </cell>
          <cell r="D958" t="str">
            <v>-</v>
          </cell>
          <cell r="E958" t="str">
            <v>-</v>
          </cell>
          <cell r="F958" t="str">
            <v>-</v>
          </cell>
          <cell r="G958" t="str">
            <v>-</v>
          </cell>
          <cell r="H958" t="str">
            <v>-</v>
          </cell>
          <cell r="I958" t="str">
            <v>-</v>
          </cell>
          <cell r="J958" t="str">
            <v>-</v>
          </cell>
          <cell r="K958" t="str">
            <v>-</v>
          </cell>
          <cell r="L958" t="str">
            <v>-</v>
          </cell>
          <cell r="M958" t="str">
            <v>-</v>
          </cell>
          <cell r="N958" t="str">
            <v>-</v>
          </cell>
          <cell r="O958" t="str">
            <v>-</v>
          </cell>
        </row>
        <row r="959">
          <cell r="A959">
            <v>66131000</v>
          </cell>
          <cell r="B959" t="str">
            <v>Penne 4 kazen broccoli 2175g CASPER</v>
          </cell>
          <cell r="C959" t="str">
            <v>-</v>
          </cell>
          <cell r="D959" t="str">
            <v>+</v>
          </cell>
          <cell r="E959" t="str">
            <v>+</v>
          </cell>
          <cell r="F959" t="str">
            <v>X</v>
          </cell>
          <cell r="G959" t="str">
            <v>+</v>
          </cell>
          <cell r="H959" t="str">
            <v>X</v>
          </cell>
          <cell r="I959" t="str">
            <v>-</v>
          </cell>
          <cell r="J959" t="str">
            <v>-</v>
          </cell>
          <cell r="K959" t="str">
            <v>-</v>
          </cell>
          <cell r="L959" t="str">
            <v>-</v>
          </cell>
          <cell r="M959" t="str">
            <v>X</v>
          </cell>
          <cell r="N959" t="str">
            <v>-</v>
          </cell>
          <cell r="O959" t="str">
            <v>-</v>
          </cell>
        </row>
        <row r="960">
          <cell r="A960">
            <v>66131100</v>
          </cell>
          <cell r="B960" t="str">
            <v>Penne truffel boschampignons 2175g CASPER</v>
          </cell>
          <cell r="C960" t="str">
            <v>-</v>
          </cell>
          <cell r="D960" t="str">
            <v>+</v>
          </cell>
          <cell r="E960" t="str">
            <v>+</v>
          </cell>
          <cell r="F960" t="str">
            <v>X</v>
          </cell>
          <cell r="G960" t="str">
            <v>+</v>
          </cell>
          <cell r="H960" t="str">
            <v>X</v>
          </cell>
          <cell r="I960" t="str">
            <v>-</v>
          </cell>
          <cell r="J960" t="str">
            <v>-</v>
          </cell>
          <cell r="K960" t="str">
            <v>-</v>
          </cell>
          <cell r="L960" t="str">
            <v>-</v>
          </cell>
          <cell r="M960" t="str">
            <v>X</v>
          </cell>
          <cell r="N960" t="str">
            <v>-</v>
          </cell>
          <cell r="O960" t="str">
            <v>-</v>
          </cell>
        </row>
        <row r="961">
          <cell r="A961">
            <v>66131200</v>
          </cell>
          <cell r="B961" t="str">
            <v>Macaroni ham kaas classic 2175g CASPER</v>
          </cell>
          <cell r="C961" t="str">
            <v>-</v>
          </cell>
          <cell r="D961" t="str">
            <v>+</v>
          </cell>
          <cell r="E961" t="str">
            <v>+</v>
          </cell>
          <cell r="F961" t="str">
            <v>X</v>
          </cell>
          <cell r="G961" t="str">
            <v>+</v>
          </cell>
          <cell r="H961" t="str">
            <v>X</v>
          </cell>
          <cell r="I961" t="str">
            <v>-</v>
          </cell>
          <cell r="J961" t="str">
            <v>-</v>
          </cell>
          <cell r="K961" t="str">
            <v>-</v>
          </cell>
          <cell r="L961" t="str">
            <v>-</v>
          </cell>
          <cell r="M961" t="str">
            <v>X</v>
          </cell>
          <cell r="N961" t="str">
            <v>-</v>
          </cell>
          <cell r="O961" t="str">
            <v>-</v>
          </cell>
        </row>
        <row r="962">
          <cell r="A962">
            <v>66131300</v>
          </cell>
          <cell r="B962" t="str">
            <v>Macaroni kaas holy grail 2175g  CASPER</v>
          </cell>
          <cell r="C962" t="str">
            <v>-</v>
          </cell>
          <cell r="D962" t="str">
            <v>+</v>
          </cell>
          <cell r="E962" t="str">
            <v>+</v>
          </cell>
          <cell r="F962" t="str">
            <v>X</v>
          </cell>
          <cell r="G962" t="str">
            <v>+</v>
          </cell>
          <cell r="H962" t="str">
            <v>X</v>
          </cell>
          <cell r="I962" t="str">
            <v>-</v>
          </cell>
          <cell r="J962" t="str">
            <v>-</v>
          </cell>
          <cell r="K962" t="str">
            <v>+</v>
          </cell>
          <cell r="L962" t="str">
            <v>-</v>
          </cell>
          <cell r="M962" t="str">
            <v>X</v>
          </cell>
          <cell r="N962" t="str">
            <v>-</v>
          </cell>
          <cell r="O962" t="str">
            <v>-</v>
          </cell>
        </row>
        <row r="963">
          <cell r="A963">
            <v>66131400</v>
          </cell>
          <cell r="B963" t="str">
            <v>Trivelli papriksauce pepperoni auberg courgett 2175gCASPER</v>
          </cell>
          <cell r="C963" t="str">
            <v>-</v>
          </cell>
          <cell r="D963" t="str">
            <v>+</v>
          </cell>
          <cell r="E963" t="str">
            <v>+</v>
          </cell>
          <cell r="F963" t="str">
            <v>X</v>
          </cell>
          <cell r="G963" t="str">
            <v>+</v>
          </cell>
          <cell r="H963" t="str">
            <v>X</v>
          </cell>
          <cell r="I963" t="str">
            <v>-</v>
          </cell>
          <cell r="J963" t="str">
            <v>-</v>
          </cell>
          <cell r="K963" t="str">
            <v>+</v>
          </cell>
          <cell r="L963" t="str">
            <v>-</v>
          </cell>
          <cell r="M963" t="str">
            <v>X</v>
          </cell>
          <cell r="N963" t="str">
            <v>-</v>
          </cell>
          <cell r="O963" t="str">
            <v>-</v>
          </cell>
        </row>
        <row r="964">
          <cell r="A964">
            <v>66200100</v>
          </cell>
          <cell r="B964" t="str">
            <v>Kipfilet paprikaroomsaus 2x250g BOF DE</v>
          </cell>
          <cell r="C964" t="str">
            <v>-</v>
          </cell>
          <cell r="D964" t="str">
            <v>X</v>
          </cell>
          <cell r="E964" t="str">
            <v>-</v>
          </cell>
          <cell r="F964" t="str">
            <v>-</v>
          </cell>
          <cell r="G964" t="str">
            <v>+</v>
          </cell>
          <cell r="H964" t="str">
            <v>-</v>
          </cell>
          <cell r="I964" t="str">
            <v>-</v>
          </cell>
          <cell r="J964" t="str">
            <v>-</v>
          </cell>
          <cell r="K964" t="str">
            <v>-</v>
          </cell>
          <cell r="L964" t="str">
            <v>-</v>
          </cell>
          <cell r="M964" t="str">
            <v>-</v>
          </cell>
          <cell r="N964" t="str">
            <v>-</v>
          </cell>
          <cell r="O964" t="str">
            <v>-</v>
          </cell>
        </row>
        <row r="965">
          <cell r="A965">
            <v>66400100</v>
          </cell>
          <cell r="B965" t="str">
            <v>Hollandse hachee rode kool en gekookte aardappelen 510g DVM</v>
          </cell>
          <cell r="C965" t="str">
            <v>-</v>
          </cell>
          <cell r="D965" t="str">
            <v>X</v>
          </cell>
          <cell r="E965" t="str">
            <v>+</v>
          </cell>
          <cell r="F965" t="str">
            <v>-</v>
          </cell>
          <cell r="G965" t="str">
            <v>X</v>
          </cell>
          <cell r="H965" t="str">
            <v>X</v>
          </cell>
          <cell r="I965" t="str">
            <v>-</v>
          </cell>
          <cell r="J965" t="str">
            <v>-</v>
          </cell>
          <cell r="K965" t="str">
            <v>-</v>
          </cell>
          <cell r="L965" t="str">
            <v>-</v>
          </cell>
          <cell r="M965" t="str">
            <v>X</v>
          </cell>
          <cell r="N965" t="str">
            <v>-</v>
          </cell>
          <cell r="O965" t="str">
            <v>-</v>
          </cell>
        </row>
        <row r="966">
          <cell r="A966">
            <v>66400102</v>
          </cell>
          <cell r="B966" t="str">
            <v>Hollandse hachee rode kool en gekookte aardappelen 510g DVM</v>
          </cell>
          <cell r="C966" t="str">
            <v>-</v>
          </cell>
          <cell r="D966" t="str">
            <v>X</v>
          </cell>
          <cell r="E966" t="str">
            <v>+</v>
          </cell>
          <cell r="F966" t="str">
            <v>-</v>
          </cell>
          <cell r="G966" t="str">
            <v>X</v>
          </cell>
          <cell r="H966" t="str">
            <v>X</v>
          </cell>
          <cell r="I966" t="str">
            <v>-</v>
          </cell>
          <cell r="J966" t="str">
            <v>-</v>
          </cell>
          <cell r="K966" t="str">
            <v>-</v>
          </cell>
          <cell r="L966" t="str">
            <v>-</v>
          </cell>
          <cell r="M966" t="str">
            <v>X</v>
          </cell>
          <cell r="N966" t="str">
            <v>-</v>
          </cell>
          <cell r="O966" t="str">
            <v>-</v>
          </cell>
        </row>
        <row r="967">
          <cell r="A967">
            <v>66400200</v>
          </cell>
          <cell r="B967" t="str">
            <v>Stoofpotje andijvie a la creme puree 500g DVM</v>
          </cell>
          <cell r="C967" t="str">
            <v>-</v>
          </cell>
          <cell r="D967" t="str">
            <v>+</v>
          </cell>
          <cell r="E967" t="str">
            <v>+</v>
          </cell>
          <cell r="F967" t="str">
            <v>-</v>
          </cell>
          <cell r="G967" t="str">
            <v>+</v>
          </cell>
          <cell r="H967" t="str">
            <v>X</v>
          </cell>
          <cell r="I967" t="str">
            <v>-</v>
          </cell>
          <cell r="J967" t="str">
            <v>-</v>
          </cell>
          <cell r="K967" t="str">
            <v>+</v>
          </cell>
          <cell r="L967" t="str">
            <v>-</v>
          </cell>
          <cell r="M967" t="str">
            <v>X</v>
          </cell>
          <cell r="N967" t="str">
            <v>-</v>
          </cell>
          <cell r="O967" t="str">
            <v>-</v>
          </cell>
        </row>
        <row r="968">
          <cell r="A968">
            <v>66400400</v>
          </cell>
          <cell r="B968" t="str">
            <v>Gepan schnitzel sperziebonen gekruide aard kubus 475g DVM</v>
          </cell>
          <cell r="C968" t="str">
            <v>X</v>
          </cell>
          <cell r="D968" t="str">
            <v>X</v>
          </cell>
          <cell r="E968" t="str">
            <v>+</v>
          </cell>
          <cell r="F968" t="str">
            <v>X</v>
          </cell>
          <cell r="G968" t="str">
            <v>+</v>
          </cell>
          <cell r="H968" t="str">
            <v>+</v>
          </cell>
          <cell r="I968" t="str">
            <v>X</v>
          </cell>
          <cell r="J968" t="str">
            <v>X</v>
          </cell>
          <cell r="K968" t="str">
            <v>+</v>
          </cell>
          <cell r="L968" t="str">
            <v>X</v>
          </cell>
          <cell r="M968" t="str">
            <v>X</v>
          </cell>
          <cell r="N968" t="str">
            <v>X</v>
          </cell>
          <cell r="O968" t="str">
            <v>-</v>
          </cell>
        </row>
        <row r="969">
          <cell r="A969">
            <v>66400500</v>
          </cell>
          <cell r="B969" t="str">
            <v>Varkensmedaillon champroms botergr geb aard 500g DVM</v>
          </cell>
          <cell r="C969" t="str">
            <v>-</v>
          </cell>
          <cell r="D969" t="str">
            <v>X</v>
          </cell>
          <cell r="E969" t="str">
            <v>+</v>
          </cell>
          <cell r="F969" t="str">
            <v>X</v>
          </cell>
          <cell r="G969" t="str">
            <v>+</v>
          </cell>
          <cell r="H969" t="str">
            <v>X</v>
          </cell>
          <cell r="I969" t="str">
            <v>-</v>
          </cell>
          <cell r="J969" t="str">
            <v>-</v>
          </cell>
          <cell r="K969" t="str">
            <v>+</v>
          </cell>
          <cell r="L969" t="str">
            <v>-</v>
          </cell>
          <cell r="M969" t="str">
            <v>X</v>
          </cell>
          <cell r="N969" t="str">
            <v>-</v>
          </cell>
          <cell r="O969" t="str">
            <v>-</v>
          </cell>
        </row>
        <row r="970">
          <cell r="A970">
            <v>66400700</v>
          </cell>
          <cell r="B970" t="str">
            <v>Kippenbout gegrild groentenmix puree 530g DVM</v>
          </cell>
          <cell r="C970" t="str">
            <v>-</v>
          </cell>
          <cell r="D970" t="str">
            <v>+</v>
          </cell>
          <cell r="E970" t="str">
            <v>+</v>
          </cell>
          <cell r="F970" t="str">
            <v>-</v>
          </cell>
          <cell r="G970" t="str">
            <v>+</v>
          </cell>
          <cell r="H970" t="str">
            <v>X</v>
          </cell>
          <cell r="I970" t="str">
            <v>-</v>
          </cell>
          <cell r="J970" t="str">
            <v>-</v>
          </cell>
          <cell r="K970" t="str">
            <v>+</v>
          </cell>
          <cell r="L970" t="str">
            <v>-</v>
          </cell>
          <cell r="M970" t="str">
            <v>-</v>
          </cell>
          <cell r="N970" t="str">
            <v>-</v>
          </cell>
          <cell r="O970" t="str">
            <v>-</v>
          </cell>
        </row>
        <row r="971">
          <cell r="A971">
            <v>66400702</v>
          </cell>
          <cell r="B971" t="str">
            <v>Kippenbout gegrild groentenmix puree 530g DVM</v>
          </cell>
          <cell r="C971" t="str">
            <v>-</v>
          </cell>
          <cell r="D971" t="str">
            <v>+</v>
          </cell>
          <cell r="E971" t="str">
            <v>+</v>
          </cell>
          <cell r="F971" t="str">
            <v>-</v>
          </cell>
          <cell r="G971" t="str">
            <v>+</v>
          </cell>
          <cell r="H971" t="str">
            <v>X</v>
          </cell>
          <cell r="I971" t="str">
            <v>-</v>
          </cell>
          <cell r="J971" t="str">
            <v>-</v>
          </cell>
          <cell r="K971" t="str">
            <v>+</v>
          </cell>
          <cell r="L971" t="str">
            <v>-</v>
          </cell>
          <cell r="M971" t="str">
            <v>-</v>
          </cell>
          <cell r="N971" t="str">
            <v>-</v>
          </cell>
          <cell r="O971" t="str">
            <v>-</v>
          </cell>
        </row>
        <row r="972">
          <cell r="A972">
            <v>66400800</v>
          </cell>
          <cell r="B972" t="str">
            <v>Lasagna bolognese 570g DVM</v>
          </cell>
          <cell r="C972" t="str">
            <v>-</v>
          </cell>
          <cell r="D972" t="str">
            <v>+</v>
          </cell>
          <cell r="E972" t="str">
            <v>+</v>
          </cell>
          <cell r="F972" t="str">
            <v>X</v>
          </cell>
          <cell r="G972" t="str">
            <v>+</v>
          </cell>
          <cell r="H972" t="str">
            <v>X</v>
          </cell>
          <cell r="I972" t="str">
            <v>-</v>
          </cell>
          <cell r="J972" t="str">
            <v>X</v>
          </cell>
          <cell r="K972" t="str">
            <v>+</v>
          </cell>
          <cell r="L972" t="str">
            <v>-</v>
          </cell>
          <cell r="M972" t="str">
            <v>X</v>
          </cell>
          <cell r="N972" t="str">
            <v>X</v>
          </cell>
          <cell r="O972" t="str">
            <v>-</v>
          </cell>
        </row>
        <row r="973">
          <cell r="A973">
            <v>66400802</v>
          </cell>
          <cell r="B973" t="str">
            <v>Lasagna bolognese 570g DVM</v>
          </cell>
          <cell r="C973" t="str">
            <v>-</v>
          </cell>
          <cell r="D973" t="str">
            <v>+</v>
          </cell>
          <cell r="E973" t="str">
            <v>+</v>
          </cell>
          <cell r="F973" t="str">
            <v>X</v>
          </cell>
          <cell r="G973" t="str">
            <v>+</v>
          </cell>
          <cell r="H973" t="str">
            <v>X</v>
          </cell>
          <cell r="I973" t="str">
            <v>-</v>
          </cell>
          <cell r="J973" t="str">
            <v>X</v>
          </cell>
          <cell r="K973" t="str">
            <v>+</v>
          </cell>
          <cell r="L973" t="str">
            <v>-</v>
          </cell>
          <cell r="M973" t="str">
            <v>X</v>
          </cell>
          <cell r="N973" t="str">
            <v>X</v>
          </cell>
          <cell r="O973" t="str">
            <v>-</v>
          </cell>
        </row>
        <row r="974">
          <cell r="A974">
            <v>66400900</v>
          </cell>
          <cell r="B974" t="str">
            <v>Kipstoofpotje appelcompote aardappelkubus gekr 500g DVM</v>
          </cell>
          <cell r="C974" t="str">
            <v>-</v>
          </cell>
          <cell r="D974" t="str">
            <v>X</v>
          </cell>
          <cell r="E974" t="str">
            <v>+</v>
          </cell>
          <cell r="F974" t="str">
            <v>X</v>
          </cell>
          <cell r="G974" t="str">
            <v>+</v>
          </cell>
          <cell r="H974" t="str">
            <v>X</v>
          </cell>
          <cell r="I974" t="str">
            <v>-</v>
          </cell>
          <cell r="J974" t="str">
            <v>-</v>
          </cell>
          <cell r="K974" t="str">
            <v>+</v>
          </cell>
          <cell r="L974" t="str">
            <v>-</v>
          </cell>
          <cell r="M974" t="str">
            <v>X</v>
          </cell>
          <cell r="N974" t="str">
            <v>-</v>
          </cell>
          <cell r="O974" t="str">
            <v>-</v>
          </cell>
        </row>
        <row r="975">
          <cell r="A975">
            <v>66401200</v>
          </cell>
          <cell r="B975" t="str">
            <v>Runderburger uiensaus rode kool aardappelkubus. 500g DVM</v>
          </cell>
          <cell r="C975" t="str">
            <v>-</v>
          </cell>
          <cell r="D975" t="str">
            <v>+</v>
          </cell>
          <cell r="E975" t="str">
            <v>+</v>
          </cell>
          <cell r="F975" t="str">
            <v>X</v>
          </cell>
          <cell r="G975" t="str">
            <v>+</v>
          </cell>
          <cell r="H975" t="str">
            <v>+</v>
          </cell>
          <cell r="I975" t="str">
            <v>-</v>
          </cell>
          <cell r="J975" t="str">
            <v>-</v>
          </cell>
          <cell r="K975" t="str">
            <v>+</v>
          </cell>
          <cell r="L975" t="str">
            <v>-</v>
          </cell>
          <cell r="M975" t="str">
            <v>X</v>
          </cell>
          <cell r="N975" t="str">
            <v>-</v>
          </cell>
          <cell r="O975" t="str">
            <v>-</v>
          </cell>
        </row>
        <row r="976">
          <cell r="A976">
            <v>66401202</v>
          </cell>
          <cell r="B976" t="str">
            <v>Runderburger uiensaus rode kool aardappelkubus. 500g DVM</v>
          </cell>
          <cell r="C976" t="str">
            <v>-</v>
          </cell>
          <cell r="D976" t="str">
            <v>+</v>
          </cell>
          <cell r="E976" t="str">
            <v>+</v>
          </cell>
          <cell r="F976" t="str">
            <v>X</v>
          </cell>
          <cell r="G976" t="str">
            <v>+</v>
          </cell>
          <cell r="H976" t="str">
            <v>+</v>
          </cell>
          <cell r="I976" t="str">
            <v>-</v>
          </cell>
          <cell r="J976" t="str">
            <v>-</v>
          </cell>
          <cell r="K976" t="str">
            <v>+</v>
          </cell>
          <cell r="L976" t="str">
            <v>-</v>
          </cell>
          <cell r="M976" t="str">
            <v>X</v>
          </cell>
          <cell r="N976" t="str">
            <v>-</v>
          </cell>
          <cell r="O976" t="str">
            <v>-</v>
          </cell>
        </row>
        <row r="977">
          <cell r="A977">
            <v>66401300</v>
          </cell>
          <cell r="B977" t="str">
            <v>Zuurkoolstamppot spekjes schijfjes rookworst 600g DVM</v>
          </cell>
          <cell r="C977" t="str">
            <v>-</v>
          </cell>
          <cell r="D977" t="str">
            <v>-</v>
          </cell>
          <cell r="E977" t="str">
            <v>+</v>
          </cell>
          <cell r="F977" t="str">
            <v>X</v>
          </cell>
          <cell r="G977" t="str">
            <v>+</v>
          </cell>
          <cell r="H977" t="str">
            <v>X</v>
          </cell>
          <cell r="I977" t="str">
            <v>-</v>
          </cell>
          <cell r="J977" t="str">
            <v>-</v>
          </cell>
          <cell r="K977" t="str">
            <v>-</v>
          </cell>
          <cell r="L977" t="str">
            <v>-</v>
          </cell>
          <cell r="M977" t="str">
            <v>X</v>
          </cell>
          <cell r="N977" t="str">
            <v>-</v>
          </cell>
          <cell r="O977" t="str">
            <v>-</v>
          </cell>
        </row>
        <row r="978">
          <cell r="A978">
            <v>66401302</v>
          </cell>
          <cell r="B978" t="str">
            <v>Zuurkoolstamppot spekjes schijfjes rookworst 600g DVM</v>
          </cell>
          <cell r="C978" t="str">
            <v>-</v>
          </cell>
          <cell r="D978" t="str">
            <v>-</v>
          </cell>
          <cell r="E978" t="str">
            <v>+</v>
          </cell>
          <cell r="F978" t="str">
            <v>X</v>
          </cell>
          <cell r="G978" t="str">
            <v>+</v>
          </cell>
          <cell r="H978" t="str">
            <v>X</v>
          </cell>
          <cell r="I978" t="str">
            <v>-</v>
          </cell>
          <cell r="J978" t="str">
            <v>-</v>
          </cell>
          <cell r="K978" t="str">
            <v>-</v>
          </cell>
          <cell r="L978" t="str">
            <v>-</v>
          </cell>
          <cell r="M978" t="str">
            <v>X</v>
          </cell>
          <cell r="N978" t="str">
            <v>-</v>
          </cell>
          <cell r="O978" t="str">
            <v>-</v>
          </cell>
        </row>
        <row r="979">
          <cell r="A979">
            <v>66401400</v>
          </cell>
          <cell r="B979" t="str">
            <v>Boerenkoolstamppot spekjes schijfjes rookworst 600g DVM</v>
          </cell>
          <cell r="C979" t="str">
            <v>-</v>
          </cell>
          <cell r="D979" t="str">
            <v>-</v>
          </cell>
          <cell r="E979" t="str">
            <v>+</v>
          </cell>
          <cell r="F979" t="str">
            <v>X</v>
          </cell>
          <cell r="G979" t="str">
            <v>+</v>
          </cell>
          <cell r="H979" t="str">
            <v>X</v>
          </cell>
          <cell r="I979" t="str">
            <v>-</v>
          </cell>
          <cell r="J979" t="str">
            <v>-</v>
          </cell>
          <cell r="K979" t="str">
            <v>+</v>
          </cell>
          <cell r="L979" t="str">
            <v>-</v>
          </cell>
          <cell r="M979" t="str">
            <v>X</v>
          </cell>
          <cell r="N979" t="str">
            <v>-</v>
          </cell>
          <cell r="O979" t="str">
            <v>-</v>
          </cell>
        </row>
        <row r="980">
          <cell r="A980">
            <v>66401402</v>
          </cell>
          <cell r="B980" t="str">
            <v>Boerenkoolstamppot spekjes schijfjes rookworst 600g DVM</v>
          </cell>
          <cell r="C980" t="str">
            <v>-</v>
          </cell>
          <cell r="D980" t="str">
            <v>-</v>
          </cell>
          <cell r="E980" t="str">
            <v>+</v>
          </cell>
          <cell r="F980" t="str">
            <v>X</v>
          </cell>
          <cell r="G980" t="str">
            <v>+</v>
          </cell>
          <cell r="H980" t="str">
            <v>X</v>
          </cell>
          <cell r="I980" t="str">
            <v>-</v>
          </cell>
          <cell r="J980" t="str">
            <v>-</v>
          </cell>
          <cell r="K980" t="str">
            <v>+</v>
          </cell>
          <cell r="L980" t="str">
            <v>-</v>
          </cell>
          <cell r="M980" t="str">
            <v>X</v>
          </cell>
          <cell r="N980" t="str">
            <v>-</v>
          </cell>
          <cell r="O980" t="str">
            <v>-</v>
          </cell>
        </row>
        <row r="981">
          <cell r="A981">
            <v>66401500</v>
          </cell>
          <cell r="B981" t="str">
            <v>Hutspot met stukjes rundsvlees 540g DVM</v>
          </cell>
          <cell r="C981" t="str">
            <v>-</v>
          </cell>
          <cell r="D981" t="str">
            <v>-</v>
          </cell>
          <cell r="E981" t="str">
            <v>-</v>
          </cell>
          <cell r="F981" t="str">
            <v>-</v>
          </cell>
          <cell r="G981" t="str">
            <v>+</v>
          </cell>
          <cell r="H981" t="str">
            <v>-</v>
          </cell>
          <cell r="I981" t="str">
            <v>-</v>
          </cell>
          <cell r="J981" t="str">
            <v>-</v>
          </cell>
          <cell r="K981" t="str">
            <v>-</v>
          </cell>
          <cell r="L981" t="str">
            <v>-</v>
          </cell>
          <cell r="M981" t="str">
            <v>-</v>
          </cell>
          <cell r="N981" t="str">
            <v>-</v>
          </cell>
          <cell r="O981" t="str">
            <v>-</v>
          </cell>
        </row>
        <row r="982">
          <cell r="A982">
            <v>66401502</v>
          </cell>
          <cell r="B982" t="str">
            <v>Hutspot met stukjes rundsvlees 540g DVM</v>
          </cell>
          <cell r="C982" t="str">
            <v>-</v>
          </cell>
          <cell r="D982" t="str">
            <v>-</v>
          </cell>
          <cell r="E982" t="str">
            <v>-</v>
          </cell>
          <cell r="F982" t="str">
            <v>-</v>
          </cell>
          <cell r="G982" t="str">
            <v>+</v>
          </cell>
          <cell r="H982" t="str">
            <v>-</v>
          </cell>
          <cell r="I982" t="str">
            <v>-</v>
          </cell>
          <cell r="J982" t="str">
            <v>-</v>
          </cell>
          <cell r="K982" t="str">
            <v>-</v>
          </cell>
          <cell r="L982" t="str">
            <v>-</v>
          </cell>
          <cell r="M982" t="str">
            <v>-</v>
          </cell>
          <cell r="N982" t="str">
            <v>-</v>
          </cell>
          <cell r="O982" t="str">
            <v>-</v>
          </cell>
        </row>
        <row r="983">
          <cell r="A983">
            <v>66401600</v>
          </cell>
          <cell r="B983" t="str">
            <v>Spaghetti bolognese 550g DVM</v>
          </cell>
          <cell r="C983" t="str">
            <v>-</v>
          </cell>
          <cell r="D983" t="str">
            <v>X</v>
          </cell>
          <cell r="E983" t="str">
            <v>+</v>
          </cell>
          <cell r="F983" t="str">
            <v>X</v>
          </cell>
          <cell r="G983" t="str">
            <v>+</v>
          </cell>
          <cell r="H983" t="str">
            <v>X</v>
          </cell>
          <cell r="I983" t="str">
            <v>-</v>
          </cell>
          <cell r="J983" t="str">
            <v>-</v>
          </cell>
          <cell r="K983" t="str">
            <v>+</v>
          </cell>
          <cell r="L983" t="str">
            <v>-</v>
          </cell>
          <cell r="M983" t="str">
            <v>X</v>
          </cell>
          <cell r="N983" t="str">
            <v>-</v>
          </cell>
          <cell r="O983" t="str">
            <v>-</v>
          </cell>
        </row>
        <row r="984">
          <cell r="A984">
            <v>66401700</v>
          </cell>
          <cell r="B984" t="str">
            <v>Macaroni in tomatensaus met ham en kaas 550g DVM</v>
          </cell>
          <cell r="C984" t="str">
            <v>-</v>
          </cell>
          <cell r="D984" t="str">
            <v>X</v>
          </cell>
          <cell r="E984" t="str">
            <v>+</v>
          </cell>
          <cell r="F984" t="str">
            <v>X</v>
          </cell>
          <cell r="G984" t="str">
            <v>+</v>
          </cell>
          <cell r="H984" t="str">
            <v>X</v>
          </cell>
          <cell r="I984" t="str">
            <v>-</v>
          </cell>
          <cell r="J984" t="str">
            <v>-</v>
          </cell>
          <cell r="K984" t="str">
            <v>-</v>
          </cell>
          <cell r="L984" t="str">
            <v>-</v>
          </cell>
          <cell r="M984" t="str">
            <v>X</v>
          </cell>
          <cell r="N984" t="str">
            <v>-</v>
          </cell>
          <cell r="O984" t="str">
            <v>-</v>
          </cell>
        </row>
        <row r="985">
          <cell r="A985">
            <v>66402100</v>
          </cell>
          <cell r="B985" t="str">
            <v>Kip in kerriesaus met doperwten en rijst 500g DVM</v>
          </cell>
          <cell r="C985" t="str">
            <v>-</v>
          </cell>
          <cell r="D985" t="str">
            <v>-</v>
          </cell>
          <cell r="E985" t="str">
            <v>+</v>
          </cell>
          <cell r="F985" t="str">
            <v>X</v>
          </cell>
          <cell r="G985" t="str">
            <v>+</v>
          </cell>
          <cell r="H985" t="str">
            <v>+</v>
          </cell>
          <cell r="I985" t="str">
            <v>-</v>
          </cell>
          <cell r="J985" t="str">
            <v>-</v>
          </cell>
          <cell r="K985" t="str">
            <v>X</v>
          </cell>
          <cell r="L985" t="str">
            <v>-</v>
          </cell>
          <cell r="M985" t="str">
            <v>X</v>
          </cell>
          <cell r="N985" t="str">
            <v>-</v>
          </cell>
          <cell r="O985" t="str">
            <v>-</v>
          </cell>
        </row>
        <row r="986">
          <cell r="A986">
            <v>66402300</v>
          </cell>
          <cell r="B986" t="str">
            <v>Gehaktbal bloemkool broccoli gekookte aardappel  485g DVM</v>
          </cell>
          <cell r="C986" t="str">
            <v>-</v>
          </cell>
          <cell r="D986" t="str">
            <v>-</v>
          </cell>
          <cell r="E986" t="str">
            <v>+</v>
          </cell>
          <cell r="F986" t="str">
            <v>X</v>
          </cell>
          <cell r="G986" t="str">
            <v>X</v>
          </cell>
          <cell r="H986" t="str">
            <v>X</v>
          </cell>
          <cell r="I986" t="str">
            <v>-</v>
          </cell>
          <cell r="J986" t="str">
            <v>-</v>
          </cell>
          <cell r="K986" t="str">
            <v>X</v>
          </cell>
          <cell r="L986" t="str">
            <v>-</v>
          </cell>
          <cell r="M986" t="str">
            <v>X</v>
          </cell>
          <cell r="N986" t="str">
            <v>-</v>
          </cell>
          <cell r="O986" t="str">
            <v>-</v>
          </cell>
        </row>
        <row r="987">
          <cell r="A987">
            <v>66402302</v>
          </cell>
          <cell r="B987" t="str">
            <v xml:space="preserve">Gehaktbal bloemkool broccoli gekookte aardappel  485g DVM - </v>
          </cell>
          <cell r="C987" t="str">
            <v>-</v>
          </cell>
          <cell r="D987" t="str">
            <v>-</v>
          </cell>
          <cell r="E987" t="str">
            <v>+</v>
          </cell>
          <cell r="F987" t="str">
            <v>X</v>
          </cell>
          <cell r="G987" t="str">
            <v>X</v>
          </cell>
          <cell r="H987" t="str">
            <v>X</v>
          </cell>
          <cell r="I987" t="str">
            <v>-</v>
          </cell>
          <cell r="J987" t="str">
            <v>-</v>
          </cell>
          <cell r="K987" t="str">
            <v>X</v>
          </cell>
          <cell r="L987" t="str">
            <v>-</v>
          </cell>
          <cell r="M987" t="str">
            <v>X</v>
          </cell>
          <cell r="N987" t="str">
            <v>-</v>
          </cell>
          <cell r="O987" t="str">
            <v>-</v>
          </cell>
        </row>
        <row r="988">
          <cell r="A988">
            <v>66402800</v>
          </cell>
          <cell r="B988" t="str">
            <v>Gehaktbal andijvie à la crème aardappelpuree 500g DVM</v>
          </cell>
          <cell r="C988" t="str">
            <v>-</v>
          </cell>
          <cell r="D988" t="str">
            <v>+</v>
          </cell>
          <cell r="E988" t="str">
            <v>+</v>
          </cell>
          <cell r="F988" t="str">
            <v>X</v>
          </cell>
          <cell r="G988" t="str">
            <v>+</v>
          </cell>
          <cell r="H988" t="str">
            <v>X</v>
          </cell>
          <cell r="I988" t="str">
            <v>-</v>
          </cell>
          <cell r="J988" t="str">
            <v>-</v>
          </cell>
          <cell r="K988" t="str">
            <v>X</v>
          </cell>
          <cell r="L988" t="str">
            <v>-</v>
          </cell>
          <cell r="M988" t="str">
            <v>X</v>
          </cell>
          <cell r="N988" t="str">
            <v>-</v>
          </cell>
          <cell r="O988" t="str">
            <v>-</v>
          </cell>
        </row>
        <row r="989">
          <cell r="A989">
            <v>66402900</v>
          </cell>
          <cell r="B989" t="str">
            <v>Jachtschotel appel rode kool puree 550g  DVM</v>
          </cell>
          <cell r="C989" t="str">
            <v>-</v>
          </cell>
          <cell r="D989" t="str">
            <v>+</v>
          </cell>
          <cell r="E989" t="str">
            <v>+</v>
          </cell>
          <cell r="F989" t="str">
            <v>-</v>
          </cell>
          <cell r="G989" t="str">
            <v>+</v>
          </cell>
          <cell r="H989" t="str">
            <v>+</v>
          </cell>
          <cell r="I989" t="str">
            <v>-</v>
          </cell>
          <cell r="J989" t="str">
            <v>-</v>
          </cell>
          <cell r="K989" t="str">
            <v>+</v>
          </cell>
          <cell r="L989" t="str">
            <v>-</v>
          </cell>
          <cell r="M989" t="str">
            <v>-</v>
          </cell>
          <cell r="N989" t="str">
            <v>-</v>
          </cell>
          <cell r="O989" t="str">
            <v>-</v>
          </cell>
        </row>
        <row r="990">
          <cell r="A990">
            <v>66403000</v>
          </cell>
          <cell r="B990" t="str">
            <v>Hongaarse goulash met doperwten en rijst 500g DVK</v>
          </cell>
          <cell r="C990" t="str">
            <v>-</v>
          </cell>
          <cell r="D990" t="str">
            <v>-</v>
          </cell>
          <cell r="E990" t="str">
            <v>-</v>
          </cell>
          <cell r="F990" t="str">
            <v>-</v>
          </cell>
          <cell r="G990" t="str">
            <v>-</v>
          </cell>
          <cell r="H990" t="str">
            <v>-</v>
          </cell>
          <cell r="I990" t="str">
            <v>-</v>
          </cell>
          <cell r="J990" t="str">
            <v>-</v>
          </cell>
          <cell r="K990" t="str">
            <v>-</v>
          </cell>
          <cell r="L990" t="str">
            <v>-</v>
          </cell>
          <cell r="M990" t="str">
            <v>-</v>
          </cell>
          <cell r="N990" t="str">
            <v>-</v>
          </cell>
          <cell r="O990" t="str">
            <v>-</v>
          </cell>
        </row>
        <row r="991">
          <cell r="A991">
            <v>66404400</v>
          </cell>
          <cell r="B991" t="str">
            <v>Gehaktbal HOH satésaus boontjes gebakken aardappel 520g DVM</v>
          </cell>
          <cell r="C991" t="str">
            <v>+</v>
          </cell>
          <cell r="D991" t="str">
            <v>X</v>
          </cell>
          <cell r="E991" t="str">
            <v>+</v>
          </cell>
          <cell r="F991" t="str">
            <v>-</v>
          </cell>
          <cell r="G991" t="str">
            <v>X</v>
          </cell>
          <cell r="H991" t="str">
            <v>X</v>
          </cell>
          <cell r="I991" t="str">
            <v>-</v>
          </cell>
          <cell r="J991" t="str">
            <v>X</v>
          </cell>
          <cell r="K991" t="str">
            <v>X</v>
          </cell>
          <cell r="L991" t="str">
            <v>-</v>
          </cell>
          <cell r="M991" t="str">
            <v>+</v>
          </cell>
          <cell r="N991" t="str">
            <v>X</v>
          </cell>
          <cell r="O991" t="str">
            <v>X</v>
          </cell>
        </row>
        <row r="992">
          <cell r="A992">
            <v>66404800</v>
          </cell>
          <cell r="B992" t="str">
            <v>Mexicaanse kipschotel paprika ananas rijst 520g DVK</v>
          </cell>
          <cell r="C992" t="str">
            <v>-</v>
          </cell>
          <cell r="D992" t="str">
            <v>-</v>
          </cell>
          <cell r="E992" t="str">
            <v>-</v>
          </cell>
          <cell r="F992" t="str">
            <v>-</v>
          </cell>
          <cell r="G992" t="str">
            <v>-</v>
          </cell>
          <cell r="H992" t="str">
            <v>-</v>
          </cell>
          <cell r="I992" t="str">
            <v>-</v>
          </cell>
          <cell r="J992" t="str">
            <v>-</v>
          </cell>
          <cell r="K992" t="str">
            <v>+</v>
          </cell>
          <cell r="L992" t="str">
            <v>-</v>
          </cell>
          <cell r="M992" t="str">
            <v>-</v>
          </cell>
          <cell r="N992" t="str">
            <v>-</v>
          </cell>
          <cell r="O992" t="str">
            <v>-</v>
          </cell>
        </row>
        <row r="993">
          <cell r="A993">
            <v>66405100</v>
          </cell>
          <cell r="B993" t="str">
            <v>Lekkerbekje doperwt wortel gebak aardappel gekruid 500g DVM</v>
          </cell>
          <cell r="C993" t="str">
            <v>-</v>
          </cell>
          <cell r="D993" t="str">
            <v>-</v>
          </cell>
          <cell r="E993" t="str">
            <v>+</v>
          </cell>
          <cell r="F993" t="str">
            <v>-</v>
          </cell>
          <cell r="G993" t="str">
            <v>-</v>
          </cell>
          <cell r="H993" t="str">
            <v>-</v>
          </cell>
          <cell r="I993" t="str">
            <v>-</v>
          </cell>
          <cell r="J993" t="str">
            <v>-</v>
          </cell>
          <cell r="K993" t="str">
            <v>-</v>
          </cell>
          <cell r="L993" t="str">
            <v>-</v>
          </cell>
          <cell r="M993" t="str">
            <v>-</v>
          </cell>
          <cell r="N993" t="str">
            <v>+</v>
          </cell>
          <cell r="O993" t="str">
            <v>-</v>
          </cell>
        </row>
        <row r="994">
          <cell r="A994">
            <v>66405500</v>
          </cell>
          <cell r="B994" t="str">
            <v>Kip rozemarijn, broccoli puree 550g DVM</v>
          </cell>
          <cell r="C994" t="str">
            <v>-</v>
          </cell>
          <cell r="D994" t="str">
            <v>+</v>
          </cell>
          <cell r="E994" t="str">
            <v>+</v>
          </cell>
          <cell r="F994" t="str">
            <v>X</v>
          </cell>
          <cell r="G994" t="str">
            <v>+</v>
          </cell>
          <cell r="H994" t="str">
            <v>X</v>
          </cell>
          <cell r="I994" t="str">
            <v>-</v>
          </cell>
          <cell r="J994" t="str">
            <v>-</v>
          </cell>
          <cell r="K994" t="str">
            <v>+</v>
          </cell>
          <cell r="L994" t="str">
            <v>-</v>
          </cell>
          <cell r="M994" t="str">
            <v>X</v>
          </cell>
          <cell r="N994" t="str">
            <v>-</v>
          </cell>
          <cell r="O994" t="str">
            <v>-</v>
          </cell>
        </row>
        <row r="995">
          <cell r="A995">
            <v>66409800</v>
          </cell>
          <cell r="B995" t="str">
            <v>Erwtensoep met rookworst schijfjes 650g DVM</v>
          </cell>
          <cell r="C995" t="str">
            <v>-</v>
          </cell>
          <cell r="D995" t="str">
            <v>-</v>
          </cell>
          <cell r="E995" t="str">
            <v>X</v>
          </cell>
          <cell r="F995" t="str">
            <v>-</v>
          </cell>
          <cell r="G995" t="str">
            <v>+</v>
          </cell>
          <cell r="H995" t="str">
            <v>-</v>
          </cell>
          <cell r="I995" t="str">
            <v>-</v>
          </cell>
          <cell r="J995" t="str">
            <v>-</v>
          </cell>
          <cell r="K995" t="str">
            <v>+</v>
          </cell>
          <cell r="L995" t="str">
            <v>-</v>
          </cell>
          <cell r="M995" t="str">
            <v>X</v>
          </cell>
          <cell r="N995" t="str">
            <v>-</v>
          </cell>
          <cell r="O995" t="str">
            <v>-</v>
          </cell>
        </row>
        <row r="996">
          <cell r="A996">
            <v>66409802</v>
          </cell>
          <cell r="B996" t="str">
            <v>Erwtensoep met rookworst schijfjes 650g DVM</v>
          </cell>
          <cell r="C996" t="str">
            <v>-</v>
          </cell>
          <cell r="D996" t="str">
            <v>-</v>
          </cell>
          <cell r="E996" t="str">
            <v>X</v>
          </cell>
          <cell r="F996" t="str">
            <v>-</v>
          </cell>
          <cell r="G996" t="str">
            <v>+</v>
          </cell>
          <cell r="H996" t="str">
            <v>-</v>
          </cell>
          <cell r="I996" t="str">
            <v>-</v>
          </cell>
          <cell r="J996" t="str">
            <v>-</v>
          </cell>
          <cell r="K996" t="str">
            <v>+</v>
          </cell>
          <cell r="L996" t="str">
            <v>-</v>
          </cell>
          <cell r="M996" t="str">
            <v>X</v>
          </cell>
          <cell r="N996" t="str">
            <v>-</v>
          </cell>
          <cell r="O996" t="str">
            <v>-</v>
          </cell>
        </row>
        <row r="997">
          <cell r="A997">
            <v>66410100</v>
          </cell>
          <cell r="B997" t="str">
            <v>Rundergehaktbal bladspinazie à la creme aardappelen 510g DVM</v>
          </cell>
          <cell r="C997" t="str">
            <v>-</v>
          </cell>
          <cell r="D997" t="str">
            <v>X</v>
          </cell>
          <cell r="E997" t="str">
            <v>+</v>
          </cell>
          <cell r="F997" t="str">
            <v>X</v>
          </cell>
          <cell r="G997" t="str">
            <v>+</v>
          </cell>
          <cell r="H997" t="str">
            <v>X</v>
          </cell>
          <cell r="I997" t="str">
            <v>-</v>
          </cell>
          <cell r="J997" t="str">
            <v>X</v>
          </cell>
          <cell r="K997" t="str">
            <v>X</v>
          </cell>
          <cell r="L997" t="str">
            <v>-</v>
          </cell>
          <cell r="M997" t="str">
            <v>X</v>
          </cell>
          <cell r="N997" t="str">
            <v>X</v>
          </cell>
          <cell r="O997" t="str">
            <v>X</v>
          </cell>
        </row>
        <row r="998">
          <cell r="A998">
            <v>66410102</v>
          </cell>
          <cell r="B998" t="str">
            <v>Rundergehaktbal bladspinazie à la creme aardappelen 510g DVM</v>
          </cell>
          <cell r="C998" t="str">
            <v>-</v>
          </cell>
          <cell r="D998" t="str">
            <v>X</v>
          </cell>
          <cell r="E998" t="str">
            <v>+</v>
          </cell>
          <cell r="F998" t="str">
            <v>X</v>
          </cell>
          <cell r="G998" t="str">
            <v>+</v>
          </cell>
          <cell r="H998" t="str">
            <v>X</v>
          </cell>
          <cell r="I998" t="str">
            <v>-</v>
          </cell>
          <cell r="J998" t="str">
            <v>X</v>
          </cell>
          <cell r="K998" t="str">
            <v>X</v>
          </cell>
          <cell r="L998" t="str">
            <v>-</v>
          </cell>
          <cell r="M998" t="str">
            <v>X</v>
          </cell>
          <cell r="N998" t="str">
            <v>X</v>
          </cell>
          <cell r="O998" t="str">
            <v>X</v>
          </cell>
        </row>
        <row r="999">
          <cell r="A999">
            <v>66410500</v>
          </cell>
          <cell r="B999" t="str">
            <v>Speklapje jus rode bietjes aardappelen 500 gr DVM</v>
          </cell>
          <cell r="C999" t="str">
            <v>-</v>
          </cell>
          <cell r="D999" t="str">
            <v>-</v>
          </cell>
          <cell r="E999" t="str">
            <v>+</v>
          </cell>
          <cell r="F999" t="str">
            <v>X</v>
          </cell>
          <cell r="G999" t="str">
            <v>-</v>
          </cell>
          <cell r="H999" t="str">
            <v>X</v>
          </cell>
          <cell r="I999" t="str">
            <v>-</v>
          </cell>
          <cell r="J999" t="str">
            <v>-</v>
          </cell>
          <cell r="K999" t="str">
            <v>+</v>
          </cell>
          <cell r="L999" t="str">
            <v>-</v>
          </cell>
          <cell r="M999" t="str">
            <v>X</v>
          </cell>
          <cell r="N999" t="str">
            <v>-</v>
          </cell>
          <cell r="O999" t="str">
            <v>-</v>
          </cell>
        </row>
        <row r="1000">
          <cell r="A1000">
            <v>66410502</v>
          </cell>
          <cell r="B1000" t="str">
            <v>Speklapje jus rode bietjes aardappelen 500 gr DVM</v>
          </cell>
          <cell r="C1000" t="str">
            <v>-</v>
          </cell>
          <cell r="D1000" t="str">
            <v>-</v>
          </cell>
          <cell r="E1000" t="str">
            <v>+</v>
          </cell>
          <cell r="F1000" t="str">
            <v>X</v>
          </cell>
          <cell r="G1000" t="str">
            <v>-</v>
          </cell>
          <cell r="H1000" t="str">
            <v>X</v>
          </cell>
          <cell r="I1000" t="str">
            <v>-</v>
          </cell>
          <cell r="J1000" t="str">
            <v>-</v>
          </cell>
          <cell r="K1000" t="str">
            <v>+</v>
          </cell>
          <cell r="L1000" t="str">
            <v>-</v>
          </cell>
          <cell r="M1000" t="str">
            <v>X</v>
          </cell>
          <cell r="N1000" t="str">
            <v>-</v>
          </cell>
          <cell r="O1000" t="str">
            <v>-</v>
          </cell>
        </row>
        <row r="1001">
          <cell r="A1001">
            <v>66410700</v>
          </cell>
          <cell r="B1001" t="str">
            <v>Heek hollandaise broccoli puree 545g DVK</v>
          </cell>
          <cell r="C1001" t="str">
            <v>-</v>
          </cell>
          <cell r="D1001" t="str">
            <v>+</v>
          </cell>
          <cell r="E1001" t="str">
            <v>-</v>
          </cell>
          <cell r="F1001" t="str">
            <v>-</v>
          </cell>
          <cell r="G1001" t="str">
            <v>+</v>
          </cell>
          <cell r="H1001" t="str">
            <v>-</v>
          </cell>
          <cell r="I1001" t="str">
            <v>-</v>
          </cell>
          <cell r="J1001" t="str">
            <v>-</v>
          </cell>
          <cell r="K1001" t="str">
            <v>+</v>
          </cell>
          <cell r="L1001" t="str">
            <v>-</v>
          </cell>
          <cell r="M1001" t="str">
            <v>-</v>
          </cell>
          <cell r="N1001" t="str">
            <v>+</v>
          </cell>
          <cell r="O1001" t="str">
            <v>-</v>
          </cell>
        </row>
        <row r="1002">
          <cell r="A1002">
            <v>66411000</v>
          </cell>
          <cell r="B1002" t="str">
            <v>Andijviestamppot gehaktbal 500g DVM</v>
          </cell>
          <cell r="C1002" t="str">
            <v>-</v>
          </cell>
          <cell r="D1002" t="str">
            <v>X</v>
          </cell>
          <cell r="E1002" t="str">
            <v>+</v>
          </cell>
          <cell r="F1002" t="str">
            <v>X</v>
          </cell>
          <cell r="G1002" t="str">
            <v>+</v>
          </cell>
          <cell r="H1002" t="str">
            <v>X</v>
          </cell>
          <cell r="I1002" t="str">
            <v>-</v>
          </cell>
          <cell r="J1002" t="str">
            <v>X</v>
          </cell>
          <cell r="K1002" t="str">
            <v>+</v>
          </cell>
          <cell r="L1002" t="str">
            <v>-</v>
          </cell>
          <cell r="M1002" t="str">
            <v>X</v>
          </cell>
          <cell r="N1002" t="str">
            <v>X</v>
          </cell>
          <cell r="O1002" t="str">
            <v>X</v>
          </cell>
        </row>
        <row r="1003">
          <cell r="A1003">
            <v>66411002</v>
          </cell>
          <cell r="B1003" t="str">
            <v>Andijviestamppot gehaktbal 500g DVM</v>
          </cell>
          <cell r="C1003" t="str">
            <v>-</v>
          </cell>
          <cell r="D1003" t="str">
            <v>X</v>
          </cell>
          <cell r="E1003" t="str">
            <v>+</v>
          </cell>
          <cell r="F1003" t="str">
            <v>X</v>
          </cell>
          <cell r="G1003" t="str">
            <v>+</v>
          </cell>
          <cell r="H1003" t="str">
            <v>X</v>
          </cell>
          <cell r="I1003" t="str">
            <v>-</v>
          </cell>
          <cell r="J1003" t="str">
            <v>X</v>
          </cell>
          <cell r="K1003" t="str">
            <v>+</v>
          </cell>
          <cell r="L1003" t="str">
            <v>-</v>
          </cell>
          <cell r="M1003" t="str">
            <v>X</v>
          </cell>
          <cell r="N1003" t="str">
            <v>X</v>
          </cell>
          <cell r="O1003" t="str">
            <v>X</v>
          </cell>
        </row>
        <row r="1004">
          <cell r="A1004">
            <v>66411300</v>
          </cell>
          <cell r="B1004" t="str">
            <v>Spareribs bbq erwt-wortel gebakken aardappel 530g DVM</v>
          </cell>
          <cell r="C1004" t="str">
            <v>-</v>
          </cell>
          <cell r="D1004" t="str">
            <v>-</v>
          </cell>
          <cell r="E1004" t="str">
            <v>+</v>
          </cell>
          <cell r="F1004" t="str">
            <v>-</v>
          </cell>
          <cell r="G1004" t="str">
            <v>-</v>
          </cell>
          <cell r="H1004" t="str">
            <v>+</v>
          </cell>
          <cell r="I1004" t="str">
            <v>-</v>
          </cell>
          <cell r="J1004" t="str">
            <v>-</v>
          </cell>
          <cell r="K1004" t="str">
            <v>+</v>
          </cell>
          <cell r="L1004" t="str">
            <v>-</v>
          </cell>
          <cell r="M1004" t="str">
            <v>-</v>
          </cell>
          <cell r="N1004" t="str">
            <v>+</v>
          </cell>
          <cell r="O1004" t="str">
            <v>-</v>
          </cell>
        </row>
        <row r="1005">
          <cell r="A1005">
            <v>66411600</v>
          </cell>
          <cell r="B1005" t="str">
            <v>Cordon bleu spinazie puree 525g DVM</v>
          </cell>
          <cell r="C1005" t="str">
            <v>-</v>
          </cell>
          <cell r="D1005" t="str">
            <v>+</v>
          </cell>
          <cell r="E1005" t="str">
            <v>+</v>
          </cell>
          <cell r="F1005" t="str">
            <v>X</v>
          </cell>
          <cell r="G1005" t="str">
            <v>+</v>
          </cell>
          <cell r="H1005" t="str">
            <v>X</v>
          </cell>
          <cell r="I1005" t="str">
            <v>-</v>
          </cell>
          <cell r="J1005" t="str">
            <v>-</v>
          </cell>
          <cell r="K1005" t="str">
            <v>X</v>
          </cell>
          <cell r="L1005" t="str">
            <v>-</v>
          </cell>
          <cell r="M1005" t="str">
            <v>+</v>
          </cell>
          <cell r="N1005" t="str">
            <v>-</v>
          </cell>
          <cell r="O1005" t="str">
            <v>-</v>
          </cell>
        </row>
        <row r="1006">
          <cell r="A1006">
            <v>66411602</v>
          </cell>
          <cell r="B1006" t="str">
            <v>Cordon bleu spinazie puree 525g DVM</v>
          </cell>
          <cell r="C1006" t="str">
            <v>-</v>
          </cell>
          <cell r="D1006" t="str">
            <v>+</v>
          </cell>
          <cell r="E1006" t="str">
            <v>+</v>
          </cell>
          <cell r="F1006" t="str">
            <v>X</v>
          </cell>
          <cell r="G1006" t="str">
            <v>+</v>
          </cell>
          <cell r="H1006" t="str">
            <v>X</v>
          </cell>
          <cell r="I1006" t="str">
            <v>-</v>
          </cell>
          <cell r="J1006" t="str">
            <v>-</v>
          </cell>
          <cell r="K1006" t="str">
            <v>X</v>
          </cell>
          <cell r="L1006" t="str">
            <v>-</v>
          </cell>
          <cell r="M1006" t="str">
            <v>+</v>
          </cell>
          <cell r="N1006" t="str">
            <v>-</v>
          </cell>
          <cell r="O1006" t="str">
            <v>-</v>
          </cell>
        </row>
        <row r="1007">
          <cell r="A1007">
            <v>66411900</v>
          </cell>
          <cell r="B1007" t="str">
            <v>Wild stoofpotje appel-veenbessencompote puree 500g DVM</v>
          </cell>
          <cell r="C1007" t="str">
            <v>-</v>
          </cell>
          <cell r="D1007" t="str">
            <v>+</v>
          </cell>
          <cell r="E1007" t="str">
            <v>+</v>
          </cell>
          <cell r="F1007" t="str">
            <v>X</v>
          </cell>
          <cell r="G1007" t="str">
            <v>+</v>
          </cell>
          <cell r="H1007" t="str">
            <v>X</v>
          </cell>
          <cell r="I1007" t="str">
            <v>-</v>
          </cell>
          <cell r="J1007" t="str">
            <v>-</v>
          </cell>
          <cell r="K1007" t="str">
            <v>-</v>
          </cell>
          <cell r="L1007" t="str">
            <v>-</v>
          </cell>
          <cell r="M1007" t="str">
            <v>X</v>
          </cell>
          <cell r="N1007" t="str">
            <v>-</v>
          </cell>
          <cell r="O1007" t="str">
            <v>-</v>
          </cell>
        </row>
        <row r="1008">
          <cell r="A1008">
            <v>66412100</v>
          </cell>
          <cell r="B1008" t="str">
            <v>Braadworst spruitjes puree 500g DVM</v>
          </cell>
          <cell r="C1008" t="str">
            <v>-</v>
          </cell>
          <cell r="D1008" t="str">
            <v>+</v>
          </cell>
          <cell r="E1008" t="str">
            <v>+</v>
          </cell>
          <cell r="F1008" t="str">
            <v>X</v>
          </cell>
          <cell r="G1008" t="str">
            <v>+</v>
          </cell>
          <cell r="H1008" t="str">
            <v>X</v>
          </cell>
          <cell r="I1008" t="str">
            <v>-</v>
          </cell>
          <cell r="J1008" t="str">
            <v>-</v>
          </cell>
          <cell r="K1008" t="str">
            <v>X</v>
          </cell>
          <cell r="L1008" t="str">
            <v>-</v>
          </cell>
          <cell r="M1008" t="str">
            <v>X</v>
          </cell>
          <cell r="N1008" t="str">
            <v>-</v>
          </cell>
          <cell r="O1008" t="str">
            <v>-</v>
          </cell>
        </row>
        <row r="1009">
          <cell r="A1009">
            <v>66412300</v>
          </cell>
          <cell r="B1009" t="str">
            <v>Karbonade (z been) spruitjes gekookte aardappelen 500g DVM</v>
          </cell>
          <cell r="C1009" t="str">
            <v>-</v>
          </cell>
          <cell r="D1009" t="str">
            <v>-</v>
          </cell>
          <cell r="E1009" t="str">
            <v>-</v>
          </cell>
          <cell r="F1009" t="str">
            <v>-</v>
          </cell>
          <cell r="G1009" t="str">
            <v>+</v>
          </cell>
          <cell r="H1009" t="str">
            <v>+</v>
          </cell>
          <cell r="I1009" t="str">
            <v>-</v>
          </cell>
          <cell r="J1009" t="str">
            <v>-</v>
          </cell>
          <cell r="K1009" t="str">
            <v>-</v>
          </cell>
          <cell r="L1009" t="str">
            <v>-</v>
          </cell>
          <cell r="M1009" t="str">
            <v>-</v>
          </cell>
          <cell r="N1009" t="str">
            <v>-</v>
          </cell>
          <cell r="O1009" t="str">
            <v>-</v>
          </cell>
        </row>
        <row r="1010">
          <cell r="A1010">
            <v>66412302</v>
          </cell>
          <cell r="B1010" t="str">
            <v>Karbonade (z been) spruitjes gekookte aardappelen 500g DVM</v>
          </cell>
          <cell r="C1010" t="str">
            <v>-</v>
          </cell>
          <cell r="D1010" t="str">
            <v>-</v>
          </cell>
          <cell r="E1010" t="str">
            <v>-</v>
          </cell>
          <cell r="F1010" t="str">
            <v>-</v>
          </cell>
          <cell r="G1010" t="str">
            <v>+</v>
          </cell>
          <cell r="H1010" t="str">
            <v>+</v>
          </cell>
          <cell r="I1010" t="str">
            <v>-</v>
          </cell>
          <cell r="J1010" t="str">
            <v>-</v>
          </cell>
          <cell r="K1010" t="str">
            <v>-</v>
          </cell>
          <cell r="L1010" t="str">
            <v>-</v>
          </cell>
          <cell r="M1010" t="str">
            <v>-</v>
          </cell>
          <cell r="N1010" t="str">
            <v>-</v>
          </cell>
          <cell r="O1010" t="str">
            <v>-</v>
          </cell>
        </row>
        <row r="1011">
          <cell r="A1011">
            <v>66412500</v>
          </cell>
          <cell r="B1011" t="str">
            <v>Preistamppot met kipfilet 600g VAT</v>
          </cell>
          <cell r="C1011" t="str">
            <v>-</v>
          </cell>
          <cell r="D1011" t="str">
            <v>-</v>
          </cell>
          <cell r="E1011" t="str">
            <v>+</v>
          </cell>
          <cell r="F1011" t="str">
            <v>X</v>
          </cell>
          <cell r="G1011" t="str">
            <v>+</v>
          </cell>
          <cell r="H1011" t="str">
            <v>X</v>
          </cell>
          <cell r="I1011" t="str">
            <v>-</v>
          </cell>
          <cell r="J1011" t="str">
            <v>-</v>
          </cell>
          <cell r="K1011" t="str">
            <v>X</v>
          </cell>
          <cell r="L1011" t="str">
            <v>-</v>
          </cell>
          <cell r="M1011" t="str">
            <v>X</v>
          </cell>
          <cell r="N1011" t="str">
            <v>-</v>
          </cell>
          <cell r="O1011" t="str">
            <v>-</v>
          </cell>
        </row>
        <row r="1012">
          <cell r="A1012">
            <v>66412800</v>
          </cell>
          <cell r="B1012" t="str">
            <v>Varkenrollade andijvie aardappelen 500g DVM</v>
          </cell>
          <cell r="C1012" t="str">
            <v>X</v>
          </cell>
          <cell r="D1012" t="str">
            <v>-</v>
          </cell>
          <cell r="E1012" t="str">
            <v>+</v>
          </cell>
          <cell r="F1012" t="str">
            <v>X</v>
          </cell>
          <cell r="G1012" t="str">
            <v>+</v>
          </cell>
          <cell r="H1012" t="str">
            <v>X</v>
          </cell>
          <cell r="I1012" t="str">
            <v>X</v>
          </cell>
          <cell r="J1012" t="str">
            <v>-</v>
          </cell>
          <cell r="K1012" t="str">
            <v>X</v>
          </cell>
          <cell r="L1012" t="str">
            <v>-</v>
          </cell>
          <cell r="M1012" t="str">
            <v>X</v>
          </cell>
          <cell r="N1012" t="str">
            <v>-</v>
          </cell>
          <cell r="O1012" t="str">
            <v>-</v>
          </cell>
        </row>
        <row r="1013">
          <cell r="A1013">
            <v>66412900</v>
          </cell>
          <cell r="B1013" t="str">
            <v>Runderlapje met stoofperen en puree 530g VAT</v>
          </cell>
          <cell r="C1013" t="str">
            <v>-</v>
          </cell>
          <cell r="D1013" t="str">
            <v>+</v>
          </cell>
          <cell r="E1013" t="str">
            <v>+</v>
          </cell>
          <cell r="F1013" t="str">
            <v>X</v>
          </cell>
          <cell r="G1013" t="str">
            <v>+</v>
          </cell>
          <cell r="H1013" t="str">
            <v>X</v>
          </cell>
          <cell r="I1013" t="str">
            <v>-</v>
          </cell>
          <cell r="J1013" t="str">
            <v>-</v>
          </cell>
          <cell r="K1013" t="str">
            <v>-</v>
          </cell>
          <cell r="L1013" t="str">
            <v>-</v>
          </cell>
          <cell r="M1013" t="str">
            <v>X</v>
          </cell>
          <cell r="N1013" t="str">
            <v>-</v>
          </cell>
          <cell r="O1013" t="str">
            <v>-</v>
          </cell>
        </row>
        <row r="1014">
          <cell r="A1014">
            <v>66413000</v>
          </cell>
          <cell r="B1014" t="str">
            <v>Runderlapje snijbonen puree 500g DVM</v>
          </cell>
          <cell r="C1014" t="str">
            <v>-</v>
          </cell>
          <cell r="D1014" t="str">
            <v>+</v>
          </cell>
          <cell r="E1014" t="str">
            <v>-</v>
          </cell>
          <cell r="F1014" t="str">
            <v>-</v>
          </cell>
          <cell r="G1014" t="str">
            <v>+</v>
          </cell>
          <cell r="H1014" t="str">
            <v>-</v>
          </cell>
          <cell r="I1014" t="str">
            <v>-</v>
          </cell>
          <cell r="J1014" t="str">
            <v>-</v>
          </cell>
          <cell r="K1014" t="str">
            <v>-</v>
          </cell>
          <cell r="L1014" t="str">
            <v>-</v>
          </cell>
          <cell r="M1014" t="str">
            <v>-</v>
          </cell>
          <cell r="N1014" t="str">
            <v>-</v>
          </cell>
          <cell r="O1014" t="str">
            <v>-</v>
          </cell>
        </row>
        <row r="1015">
          <cell r="A1015">
            <v>66413100</v>
          </cell>
          <cell r="B1015" t="str">
            <v>Runderlapje jus bloemkool bechamelsaus aardappelen 500g DVM</v>
          </cell>
          <cell r="C1015" t="str">
            <v>-</v>
          </cell>
          <cell r="D1015" t="str">
            <v>-</v>
          </cell>
          <cell r="E1015" t="str">
            <v>+</v>
          </cell>
          <cell r="F1015" t="str">
            <v>X</v>
          </cell>
          <cell r="G1015" t="str">
            <v>+</v>
          </cell>
          <cell r="H1015" t="str">
            <v>X</v>
          </cell>
          <cell r="I1015" t="str">
            <v>-</v>
          </cell>
          <cell r="J1015" t="str">
            <v>-</v>
          </cell>
          <cell r="K1015" t="str">
            <v>-</v>
          </cell>
          <cell r="L1015" t="str">
            <v>-</v>
          </cell>
          <cell r="M1015" t="str">
            <v>X</v>
          </cell>
          <cell r="N1015" t="str">
            <v>-</v>
          </cell>
          <cell r="O1015" t="str">
            <v>-</v>
          </cell>
        </row>
        <row r="1016">
          <cell r="A1016">
            <v>66413700</v>
          </cell>
          <cell r="B1016" t="str">
            <v>Kippenspies gebakken aardappelen exotische groenten 500g DVM</v>
          </cell>
          <cell r="C1016" t="str">
            <v>-</v>
          </cell>
          <cell r="D1016" t="str">
            <v>-</v>
          </cell>
          <cell r="E1016" t="str">
            <v>-</v>
          </cell>
          <cell r="F1016" t="str">
            <v>-</v>
          </cell>
          <cell r="G1016" t="str">
            <v>-</v>
          </cell>
          <cell r="H1016" t="str">
            <v>-</v>
          </cell>
          <cell r="I1016" t="str">
            <v>-</v>
          </cell>
          <cell r="J1016" t="str">
            <v>-</v>
          </cell>
          <cell r="K1016" t="str">
            <v>+</v>
          </cell>
          <cell r="L1016" t="str">
            <v>-</v>
          </cell>
          <cell r="M1016" t="str">
            <v>-</v>
          </cell>
          <cell r="N1016" t="str">
            <v>-</v>
          </cell>
          <cell r="O1016" t="str">
            <v>-</v>
          </cell>
        </row>
        <row r="1017">
          <cell r="A1017">
            <v>66413800</v>
          </cell>
          <cell r="B1017" t="str">
            <v>Kiphaasjes jus aardappelpuree witloof 500g DVM</v>
          </cell>
          <cell r="C1017" t="str">
            <v>-</v>
          </cell>
          <cell r="D1017" t="str">
            <v>+</v>
          </cell>
          <cell r="E1017" t="str">
            <v>+</v>
          </cell>
          <cell r="F1017" t="str">
            <v>X</v>
          </cell>
          <cell r="G1017" t="str">
            <v>+</v>
          </cell>
          <cell r="H1017" t="str">
            <v>X</v>
          </cell>
          <cell r="I1017" t="str">
            <v>-</v>
          </cell>
          <cell r="J1017" t="str">
            <v>-</v>
          </cell>
          <cell r="K1017" t="str">
            <v>X</v>
          </cell>
          <cell r="L1017" t="str">
            <v>-</v>
          </cell>
          <cell r="M1017" t="str">
            <v>X</v>
          </cell>
          <cell r="N1017" t="str">
            <v>-</v>
          </cell>
          <cell r="O1017" t="str">
            <v>-</v>
          </cell>
        </row>
        <row r="1018">
          <cell r="A1018">
            <v>66414100</v>
          </cell>
          <cell r="B1018" t="str">
            <v>Zalmfilet dillesaus wortel puree 540g DVM</v>
          </cell>
          <cell r="C1018" t="str">
            <v>-</v>
          </cell>
          <cell r="D1018" t="str">
            <v>+</v>
          </cell>
          <cell r="E1018" t="str">
            <v>+</v>
          </cell>
          <cell r="F1018" t="str">
            <v>-</v>
          </cell>
          <cell r="G1018" t="str">
            <v>+</v>
          </cell>
          <cell r="H1018" t="str">
            <v>+</v>
          </cell>
          <cell r="I1018" t="str">
            <v>-</v>
          </cell>
          <cell r="J1018" t="str">
            <v>X</v>
          </cell>
          <cell r="K1018" t="str">
            <v>+</v>
          </cell>
          <cell r="L1018" t="str">
            <v>-</v>
          </cell>
          <cell r="M1018" t="str">
            <v>X</v>
          </cell>
          <cell r="N1018" t="str">
            <v>+</v>
          </cell>
          <cell r="O1018" t="str">
            <v>X</v>
          </cell>
        </row>
        <row r="1019">
          <cell r="A1019">
            <v>66414102</v>
          </cell>
          <cell r="B1019" t="str">
            <v>Zalmfilet dillesaus wortel puree 540g DVM</v>
          </cell>
          <cell r="C1019" t="str">
            <v>-</v>
          </cell>
          <cell r="D1019" t="str">
            <v>+</v>
          </cell>
          <cell r="E1019" t="str">
            <v>+</v>
          </cell>
          <cell r="F1019" t="str">
            <v>-</v>
          </cell>
          <cell r="G1019" t="str">
            <v>+</v>
          </cell>
          <cell r="H1019" t="str">
            <v>+</v>
          </cell>
          <cell r="I1019" t="str">
            <v>-</v>
          </cell>
          <cell r="J1019" t="str">
            <v>X</v>
          </cell>
          <cell r="K1019" t="str">
            <v>+</v>
          </cell>
          <cell r="L1019" t="str">
            <v>-</v>
          </cell>
          <cell r="M1019" t="str">
            <v>X</v>
          </cell>
          <cell r="N1019" t="str">
            <v>+</v>
          </cell>
          <cell r="O1019" t="str">
            <v>X</v>
          </cell>
        </row>
        <row r="1020">
          <cell r="A1020">
            <v>66414200</v>
          </cell>
          <cell r="B1020" t="str">
            <v>Gebakken vis parijse wortel aardappel kubus gekruid 500g DVM</v>
          </cell>
          <cell r="C1020" t="str">
            <v>-</v>
          </cell>
          <cell r="D1020" t="str">
            <v>-</v>
          </cell>
          <cell r="E1020" t="str">
            <v>+</v>
          </cell>
          <cell r="F1020" t="str">
            <v>X</v>
          </cell>
          <cell r="G1020" t="str">
            <v>+</v>
          </cell>
          <cell r="H1020" t="str">
            <v>+</v>
          </cell>
          <cell r="I1020" t="str">
            <v>-</v>
          </cell>
          <cell r="J1020" t="str">
            <v>X</v>
          </cell>
          <cell r="K1020" t="str">
            <v>-</v>
          </cell>
          <cell r="L1020" t="str">
            <v>-</v>
          </cell>
          <cell r="M1020" t="str">
            <v>X</v>
          </cell>
          <cell r="N1020" t="str">
            <v>+</v>
          </cell>
          <cell r="O1020" t="str">
            <v>X</v>
          </cell>
        </row>
        <row r="1021">
          <cell r="A1021">
            <v>66414300</v>
          </cell>
          <cell r="B1021" t="str">
            <v>Kabeljauw fjine groentensaus wortel puree 550g DVM</v>
          </cell>
          <cell r="C1021" t="str">
            <v>-</v>
          </cell>
          <cell r="D1021" t="str">
            <v>+</v>
          </cell>
          <cell r="E1021" t="str">
            <v>+</v>
          </cell>
          <cell r="F1021" t="str">
            <v>X</v>
          </cell>
          <cell r="G1021" t="str">
            <v>+</v>
          </cell>
          <cell r="H1021" t="str">
            <v>X</v>
          </cell>
          <cell r="I1021" t="str">
            <v>-</v>
          </cell>
          <cell r="J1021" t="str">
            <v>X</v>
          </cell>
          <cell r="K1021" t="str">
            <v>+</v>
          </cell>
          <cell r="L1021" t="str">
            <v>-</v>
          </cell>
          <cell r="M1021" t="str">
            <v>X</v>
          </cell>
          <cell r="N1021" t="str">
            <v>+</v>
          </cell>
          <cell r="O1021" t="str">
            <v>X</v>
          </cell>
        </row>
        <row r="1022">
          <cell r="A1022">
            <v>66480300</v>
          </cell>
          <cell r="B1022" t="str">
            <v>Boerenkool kalfsgehaktbal 500g DMC Dieet</v>
          </cell>
          <cell r="C1022" t="str">
            <v>X</v>
          </cell>
          <cell r="D1022" t="str">
            <v>X</v>
          </cell>
          <cell r="E1022" t="str">
            <v>+</v>
          </cell>
          <cell r="F1022" t="str">
            <v>X</v>
          </cell>
          <cell r="G1022" t="str">
            <v>+</v>
          </cell>
          <cell r="H1022" t="str">
            <v>X</v>
          </cell>
          <cell r="I1022" t="str">
            <v>X</v>
          </cell>
          <cell r="J1022" t="str">
            <v>X</v>
          </cell>
          <cell r="K1022" t="str">
            <v>+</v>
          </cell>
          <cell r="L1022" t="str">
            <v>X</v>
          </cell>
          <cell r="M1022" t="str">
            <v>X</v>
          </cell>
          <cell r="N1022" t="str">
            <v>X</v>
          </cell>
          <cell r="O1022" t="str">
            <v>X</v>
          </cell>
        </row>
        <row r="1023">
          <cell r="A1023">
            <v>66480600</v>
          </cell>
          <cell r="B1023" t="str">
            <v>Gehaktbal met prei gekookte aardappelen 500g Na-arm DVK</v>
          </cell>
          <cell r="C1023" t="str">
            <v>X</v>
          </cell>
          <cell r="D1023" t="str">
            <v>X</v>
          </cell>
          <cell r="E1023" t="str">
            <v>+</v>
          </cell>
          <cell r="F1023" t="str">
            <v>X</v>
          </cell>
          <cell r="G1023" t="str">
            <v>+</v>
          </cell>
          <cell r="H1023" t="str">
            <v>X</v>
          </cell>
          <cell r="I1023" t="str">
            <v>X</v>
          </cell>
          <cell r="J1023" t="str">
            <v>X</v>
          </cell>
          <cell r="K1023" t="str">
            <v>+</v>
          </cell>
          <cell r="L1023" t="str">
            <v>X</v>
          </cell>
          <cell r="M1023" t="str">
            <v>X</v>
          </cell>
          <cell r="N1023" t="str">
            <v>X</v>
          </cell>
          <cell r="O1023" t="str">
            <v>X</v>
          </cell>
        </row>
        <row r="1024">
          <cell r="A1024">
            <v>66481000</v>
          </cell>
          <cell r="B1024" t="str">
            <v>Rundvlees spruitjes gekookte aardappel 500g Na-arm DVK</v>
          </cell>
          <cell r="C1024" t="str">
            <v>-</v>
          </cell>
          <cell r="D1024" t="str">
            <v>-</v>
          </cell>
          <cell r="E1024" t="str">
            <v>+</v>
          </cell>
          <cell r="F1024" t="str">
            <v>X</v>
          </cell>
          <cell r="G1024" t="str">
            <v>-</v>
          </cell>
          <cell r="H1024" t="str">
            <v>X</v>
          </cell>
          <cell r="I1024" t="str">
            <v>-</v>
          </cell>
          <cell r="J1024" t="str">
            <v>-</v>
          </cell>
          <cell r="K1024" t="str">
            <v>+</v>
          </cell>
          <cell r="L1024" t="str">
            <v>-</v>
          </cell>
          <cell r="M1024" t="str">
            <v>X</v>
          </cell>
          <cell r="N1024" t="str">
            <v>-</v>
          </cell>
          <cell r="O1024" t="str">
            <v>-</v>
          </cell>
        </row>
        <row r="1025">
          <cell r="A1025">
            <v>66482300</v>
          </cell>
          <cell r="B1025" t="str">
            <v>Kip oma's recept sperziebonen puree tomaat 500g DVK Na-arm</v>
          </cell>
          <cell r="C1025" t="str">
            <v>-</v>
          </cell>
          <cell r="D1025" t="str">
            <v>-</v>
          </cell>
          <cell r="E1025" t="str">
            <v>-</v>
          </cell>
          <cell r="F1025" t="str">
            <v>-</v>
          </cell>
          <cell r="G1025" t="str">
            <v>+</v>
          </cell>
          <cell r="H1025" t="str">
            <v>-</v>
          </cell>
          <cell r="I1025" t="str">
            <v>-</v>
          </cell>
          <cell r="J1025" t="str">
            <v>-</v>
          </cell>
          <cell r="K1025" t="str">
            <v>+</v>
          </cell>
          <cell r="L1025" t="str">
            <v>-</v>
          </cell>
          <cell r="M1025" t="str">
            <v>-</v>
          </cell>
          <cell r="N1025" t="str">
            <v>-</v>
          </cell>
          <cell r="O1025" t="str">
            <v>-</v>
          </cell>
        </row>
        <row r="1026">
          <cell r="A1026">
            <v>66482700</v>
          </cell>
          <cell r="B1026" t="str">
            <v>Alaska pollak waterkers wortelen en kriel 500g Na-arm DVK</v>
          </cell>
          <cell r="C1026" t="str">
            <v>-</v>
          </cell>
          <cell r="D1026" t="str">
            <v>-</v>
          </cell>
          <cell r="E1026" t="str">
            <v>+</v>
          </cell>
          <cell r="F1026" t="str">
            <v>-</v>
          </cell>
          <cell r="G1026" t="str">
            <v>+</v>
          </cell>
          <cell r="H1026" t="str">
            <v>-</v>
          </cell>
          <cell r="I1026" t="str">
            <v>-</v>
          </cell>
          <cell r="J1026" t="str">
            <v>-</v>
          </cell>
          <cell r="K1026" t="str">
            <v>+</v>
          </cell>
          <cell r="L1026" t="str">
            <v>-</v>
          </cell>
          <cell r="M1026" t="str">
            <v>-</v>
          </cell>
          <cell r="N1026" t="str">
            <v>+</v>
          </cell>
          <cell r="O1026" t="str">
            <v>-</v>
          </cell>
        </row>
        <row r="1027">
          <cell r="A1027">
            <v>66500100</v>
          </cell>
          <cell r="B1027" t="str">
            <v>Macaroni (elleboogjes) 400g FRIO</v>
          </cell>
          <cell r="C1027" t="str">
            <v>-</v>
          </cell>
          <cell r="D1027" t="str">
            <v>X</v>
          </cell>
          <cell r="E1027" t="str">
            <v>+</v>
          </cell>
          <cell r="F1027" t="str">
            <v>X</v>
          </cell>
          <cell r="G1027" t="str">
            <v>-</v>
          </cell>
          <cell r="H1027" t="str">
            <v>X</v>
          </cell>
          <cell r="I1027" t="str">
            <v>-</v>
          </cell>
          <cell r="J1027" t="str">
            <v>-</v>
          </cell>
          <cell r="K1027" t="str">
            <v>+</v>
          </cell>
          <cell r="L1027" t="str">
            <v>-</v>
          </cell>
          <cell r="M1027" t="str">
            <v>+</v>
          </cell>
          <cell r="N1027" t="str">
            <v>-</v>
          </cell>
          <cell r="O1027" t="str">
            <v>-</v>
          </cell>
        </row>
        <row r="1028">
          <cell r="A1028">
            <v>66500200</v>
          </cell>
          <cell r="B1028" t="str">
            <v>Bami goreng 400g FRIO</v>
          </cell>
          <cell r="C1028" t="str">
            <v>-</v>
          </cell>
          <cell r="D1028" t="str">
            <v>X</v>
          </cell>
          <cell r="E1028" t="str">
            <v>+</v>
          </cell>
          <cell r="F1028" t="str">
            <v>X</v>
          </cell>
          <cell r="G1028" t="str">
            <v>-</v>
          </cell>
          <cell r="H1028" t="str">
            <v>+</v>
          </cell>
          <cell r="I1028" t="str">
            <v>-</v>
          </cell>
          <cell r="J1028" t="str">
            <v>-</v>
          </cell>
          <cell r="K1028" t="str">
            <v>+</v>
          </cell>
          <cell r="L1028" t="str">
            <v>-</v>
          </cell>
          <cell r="M1028" t="str">
            <v>+</v>
          </cell>
          <cell r="N1028" t="str">
            <v>-</v>
          </cell>
          <cell r="O1028" t="str">
            <v>-</v>
          </cell>
        </row>
        <row r="1029">
          <cell r="A1029">
            <v>66500300</v>
          </cell>
          <cell r="B1029" t="str">
            <v>Nasi goreng 400g FRIO</v>
          </cell>
          <cell r="C1029" t="str">
            <v>-</v>
          </cell>
          <cell r="D1029" t="str">
            <v>-</v>
          </cell>
          <cell r="E1029" t="str">
            <v>+</v>
          </cell>
          <cell r="F1029" t="str">
            <v>-</v>
          </cell>
          <cell r="G1029" t="str">
            <v>-</v>
          </cell>
          <cell r="H1029" t="str">
            <v>+</v>
          </cell>
          <cell r="I1029" t="str">
            <v>-</v>
          </cell>
          <cell r="J1029" t="str">
            <v>-</v>
          </cell>
          <cell r="K1029" t="str">
            <v>+</v>
          </cell>
          <cell r="L1029" t="str">
            <v>-</v>
          </cell>
          <cell r="M1029" t="str">
            <v>+</v>
          </cell>
          <cell r="N1029" t="str">
            <v>-</v>
          </cell>
          <cell r="O1029" t="str">
            <v>-</v>
          </cell>
        </row>
        <row r="1030">
          <cell r="A1030">
            <v>66600100</v>
          </cell>
          <cell r="B1030" t="str">
            <v>Friet cheddarkaasaus spek 280g LIDL GB AT IE DK NI</v>
          </cell>
          <cell r="C1030" t="str">
            <v>-</v>
          </cell>
          <cell r="D1030" t="str">
            <v>-</v>
          </cell>
          <cell r="E1030" t="str">
            <v>+</v>
          </cell>
          <cell r="F1030" t="str">
            <v>-</v>
          </cell>
          <cell r="G1030" t="str">
            <v>+</v>
          </cell>
          <cell r="H1030" t="str">
            <v>-</v>
          </cell>
          <cell r="I1030" t="str">
            <v>-</v>
          </cell>
          <cell r="J1030" t="str">
            <v>-</v>
          </cell>
          <cell r="K1030" t="str">
            <v>-</v>
          </cell>
          <cell r="L1030" t="str">
            <v>-</v>
          </cell>
          <cell r="M1030" t="str">
            <v>-</v>
          </cell>
          <cell r="N1030" t="str">
            <v>-</v>
          </cell>
          <cell r="O1030" t="str">
            <v>-</v>
          </cell>
        </row>
        <row r="1031">
          <cell r="A1031">
            <v>66600200</v>
          </cell>
          <cell r="B1031" t="str">
            <v xml:space="preserve">Friet cheddarkaasaus chili 280g LIDL GB AT IE DK NI </v>
          </cell>
          <cell r="C1031" t="str">
            <v>-</v>
          </cell>
          <cell r="D1031" t="str">
            <v>-</v>
          </cell>
          <cell r="E1031" t="str">
            <v>+</v>
          </cell>
          <cell r="F1031" t="str">
            <v>-</v>
          </cell>
          <cell r="G1031" t="str">
            <v>+</v>
          </cell>
          <cell r="H1031" t="str">
            <v>-</v>
          </cell>
          <cell r="I1031" t="str">
            <v>-</v>
          </cell>
          <cell r="J1031" t="str">
            <v>-</v>
          </cell>
          <cell r="K1031" t="str">
            <v>-</v>
          </cell>
          <cell r="L1031" t="str">
            <v>-</v>
          </cell>
          <cell r="M1031" t="str">
            <v>-</v>
          </cell>
          <cell r="N1031" t="str">
            <v>-</v>
          </cell>
          <cell r="O1031" t="str">
            <v>-</v>
          </cell>
        </row>
        <row r="1032">
          <cell r="A1032">
            <v>66600300</v>
          </cell>
          <cell r="B1032" t="str">
            <v>Friet BBQ-saus pulled chicken 280g LIDL GB AT IE DK NI</v>
          </cell>
          <cell r="C1032" t="str">
            <v>-</v>
          </cell>
          <cell r="D1032" t="str">
            <v>-</v>
          </cell>
          <cell r="E1032" t="str">
            <v>+</v>
          </cell>
          <cell r="F1032" t="str">
            <v>-</v>
          </cell>
          <cell r="G1032" t="str">
            <v>-</v>
          </cell>
          <cell r="H1032" t="str">
            <v>-</v>
          </cell>
          <cell r="I1032" t="str">
            <v>-</v>
          </cell>
          <cell r="J1032" t="str">
            <v>-</v>
          </cell>
          <cell r="K1032" t="str">
            <v>-</v>
          </cell>
          <cell r="L1032" t="str">
            <v>-</v>
          </cell>
          <cell r="M1032" t="str">
            <v>-</v>
          </cell>
          <cell r="N1032" t="str">
            <v>-</v>
          </cell>
          <cell r="O1032" t="str">
            <v>-</v>
          </cell>
        </row>
        <row r="1033">
          <cell r="A1033">
            <v>66600400</v>
          </cell>
          <cell r="B1033" t="str">
            <v>Friet cheddarkaasaus spek 280g LIDL RO SI LT</v>
          </cell>
          <cell r="C1033" t="str">
            <v>-</v>
          </cell>
          <cell r="D1033" t="str">
            <v>-</v>
          </cell>
          <cell r="E1033" t="str">
            <v>+</v>
          </cell>
          <cell r="F1033" t="str">
            <v>-</v>
          </cell>
          <cell r="G1033" t="str">
            <v>+</v>
          </cell>
          <cell r="H1033" t="str">
            <v>-</v>
          </cell>
          <cell r="I1033" t="str">
            <v>-</v>
          </cell>
          <cell r="J1033" t="str">
            <v>-</v>
          </cell>
          <cell r="K1033" t="str">
            <v>-</v>
          </cell>
          <cell r="L1033" t="str">
            <v>-</v>
          </cell>
          <cell r="M1033" t="str">
            <v>-</v>
          </cell>
          <cell r="N1033" t="str">
            <v>-</v>
          </cell>
          <cell r="O1033" t="str">
            <v>-</v>
          </cell>
        </row>
        <row r="1034">
          <cell r="A1034">
            <v>66600500</v>
          </cell>
          <cell r="B1034" t="str">
            <v>Friet cheddarkaasaus chili 280g LIDL RO SI LT</v>
          </cell>
          <cell r="C1034" t="str">
            <v>-</v>
          </cell>
          <cell r="D1034" t="str">
            <v>-</v>
          </cell>
          <cell r="E1034" t="str">
            <v>+</v>
          </cell>
          <cell r="F1034" t="str">
            <v>-</v>
          </cell>
          <cell r="G1034" t="str">
            <v>+</v>
          </cell>
          <cell r="H1034" t="str">
            <v>-</v>
          </cell>
          <cell r="I1034" t="str">
            <v>-</v>
          </cell>
          <cell r="J1034" t="str">
            <v>-</v>
          </cell>
          <cell r="K1034" t="str">
            <v>-</v>
          </cell>
          <cell r="L1034" t="str">
            <v>-</v>
          </cell>
          <cell r="M1034" t="str">
            <v>-</v>
          </cell>
          <cell r="N1034" t="str">
            <v>-</v>
          </cell>
          <cell r="O1034" t="str">
            <v>-</v>
          </cell>
        </row>
        <row r="1035">
          <cell r="A1035">
            <v>66600600</v>
          </cell>
          <cell r="B1035" t="str">
            <v>Friet BBQ-saus pulled chicken 280g LIDL RO SI LT</v>
          </cell>
          <cell r="C1035" t="str">
            <v>-</v>
          </cell>
          <cell r="D1035" t="str">
            <v>-</v>
          </cell>
          <cell r="E1035" t="str">
            <v>+</v>
          </cell>
          <cell r="F1035" t="str">
            <v>-</v>
          </cell>
          <cell r="G1035" t="str">
            <v>-</v>
          </cell>
          <cell r="H1035" t="str">
            <v>-</v>
          </cell>
          <cell r="I1035" t="str">
            <v>-</v>
          </cell>
          <cell r="J1035" t="str">
            <v>-</v>
          </cell>
          <cell r="K1035" t="str">
            <v>-</v>
          </cell>
          <cell r="L1035" t="str">
            <v>-</v>
          </cell>
          <cell r="M1035" t="str">
            <v>-</v>
          </cell>
          <cell r="N1035" t="str">
            <v>-</v>
          </cell>
          <cell r="O1035" t="str">
            <v>-</v>
          </cell>
        </row>
        <row r="1036">
          <cell r="A1036">
            <v>66700000</v>
          </cell>
          <cell r="B1036" t="str">
            <v>Zalm ASC dille rijst 400g LIDL DE</v>
          </cell>
          <cell r="C1036" t="str">
            <v>-</v>
          </cell>
          <cell r="D1036" t="str">
            <v>-</v>
          </cell>
          <cell r="E1036" t="str">
            <v>+</v>
          </cell>
          <cell r="F1036" t="str">
            <v>-</v>
          </cell>
          <cell r="G1036" t="str">
            <v>+</v>
          </cell>
          <cell r="H1036" t="str">
            <v>-</v>
          </cell>
          <cell r="I1036" t="str">
            <v>-</v>
          </cell>
          <cell r="J1036" t="str">
            <v>X</v>
          </cell>
          <cell r="K1036" t="str">
            <v>+</v>
          </cell>
          <cell r="L1036" t="str">
            <v>-</v>
          </cell>
          <cell r="M1036" t="str">
            <v>X</v>
          </cell>
          <cell r="N1036" t="str">
            <v>+</v>
          </cell>
          <cell r="O1036" t="str">
            <v>X</v>
          </cell>
        </row>
        <row r="1037">
          <cell r="A1037">
            <v>66700100</v>
          </cell>
          <cell r="B1037" t="str">
            <v>Kabeljauw MSC mosterd 400g LIDL DE</v>
          </cell>
          <cell r="C1037" t="str">
            <v>-</v>
          </cell>
          <cell r="D1037" t="str">
            <v>-</v>
          </cell>
          <cell r="E1037" t="str">
            <v>+</v>
          </cell>
          <cell r="F1037" t="str">
            <v>-</v>
          </cell>
          <cell r="G1037" t="str">
            <v>+</v>
          </cell>
          <cell r="H1037" t="str">
            <v>+</v>
          </cell>
          <cell r="I1037" t="str">
            <v>-</v>
          </cell>
          <cell r="J1037" t="str">
            <v>X</v>
          </cell>
          <cell r="K1037" t="str">
            <v>+</v>
          </cell>
          <cell r="L1037" t="str">
            <v>-</v>
          </cell>
          <cell r="M1037" t="str">
            <v>X</v>
          </cell>
          <cell r="N1037" t="str">
            <v>+</v>
          </cell>
          <cell r="O1037" t="str">
            <v>X</v>
          </cell>
        </row>
        <row r="1038">
          <cell r="A1038">
            <v>66700200</v>
          </cell>
          <cell r="B1038" t="str">
            <v>Balletjes Zweedse saus puree appel rozijnen 400g LIDL DE</v>
          </cell>
          <cell r="C1038" t="str">
            <v>-</v>
          </cell>
          <cell r="D1038" t="str">
            <v>X</v>
          </cell>
          <cell r="E1038" t="str">
            <v>+</v>
          </cell>
          <cell r="F1038" t="str">
            <v>-</v>
          </cell>
          <cell r="G1038" t="str">
            <v>+</v>
          </cell>
          <cell r="H1038" t="str">
            <v>X</v>
          </cell>
          <cell r="I1038" t="str">
            <v>X</v>
          </cell>
          <cell r="J1038" t="str">
            <v>X</v>
          </cell>
          <cell r="K1038" t="str">
            <v>X</v>
          </cell>
          <cell r="L1038" t="str">
            <v>-</v>
          </cell>
          <cell r="M1038" t="str">
            <v>X</v>
          </cell>
          <cell r="N1038" t="str">
            <v>X</v>
          </cell>
          <cell r="O1038" t="str">
            <v>X</v>
          </cell>
        </row>
        <row r="1039">
          <cell r="A1039">
            <v>66700300</v>
          </cell>
          <cell r="B1039" t="str">
            <v>Risotto kip boschampignon 400g LIDL DE</v>
          </cell>
          <cell r="C1039" t="str">
            <v>-</v>
          </cell>
          <cell r="D1039" t="str">
            <v>-</v>
          </cell>
          <cell r="E1039" t="str">
            <v>X</v>
          </cell>
          <cell r="F1039" t="str">
            <v>-</v>
          </cell>
          <cell r="G1039" t="str">
            <v>+</v>
          </cell>
          <cell r="H1039" t="str">
            <v>X</v>
          </cell>
          <cell r="I1039" t="str">
            <v>-</v>
          </cell>
          <cell r="J1039" t="str">
            <v>-</v>
          </cell>
          <cell r="K1039" t="str">
            <v>X</v>
          </cell>
          <cell r="L1039" t="str">
            <v>-</v>
          </cell>
          <cell r="M1039" t="str">
            <v>-</v>
          </cell>
          <cell r="N1039" t="str">
            <v>-</v>
          </cell>
          <cell r="O1039" t="str">
            <v>-</v>
          </cell>
        </row>
        <row r="1040">
          <cell r="A1040">
            <v>66700400</v>
          </cell>
          <cell r="B1040" t="str">
            <v>Kipfilet honing mango aardappelschijfjes 400g LIDL DE</v>
          </cell>
          <cell r="C1040" t="str">
            <v>-</v>
          </cell>
          <cell r="D1040" t="str">
            <v>-</v>
          </cell>
          <cell r="E1040" t="str">
            <v>X</v>
          </cell>
          <cell r="F1040" t="str">
            <v>-</v>
          </cell>
          <cell r="G1040" t="str">
            <v>+</v>
          </cell>
          <cell r="H1040" t="str">
            <v>X</v>
          </cell>
          <cell r="I1040" t="str">
            <v>-</v>
          </cell>
          <cell r="J1040" t="str">
            <v>-</v>
          </cell>
          <cell r="K1040" t="str">
            <v>X</v>
          </cell>
          <cell r="L1040" t="str">
            <v>-</v>
          </cell>
          <cell r="M1040" t="str">
            <v>-</v>
          </cell>
          <cell r="N1040" t="str">
            <v>-</v>
          </cell>
          <cell r="O1040" t="str">
            <v>-</v>
          </cell>
        </row>
        <row r="1041">
          <cell r="A1041">
            <v>66700500</v>
          </cell>
          <cell r="B1041" t="str">
            <v>Kip Indische milde kokoscurry 400g LIDL DE</v>
          </cell>
          <cell r="C1041" t="str">
            <v>-</v>
          </cell>
          <cell r="D1041" t="str">
            <v>-</v>
          </cell>
          <cell r="E1041" t="str">
            <v>-</v>
          </cell>
          <cell r="F1041" t="str">
            <v>-</v>
          </cell>
          <cell r="G1041" t="str">
            <v>+</v>
          </cell>
          <cell r="H1041" t="str">
            <v>-</v>
          </cell>
          <cell r="I1041" t="str">
            <v>-</v>
          </cell>
          <cell r="J1041" t="str">
            <v>-</v>
          </cell>
          <cell r="K1041" t="str">
            <v>-</v>
          </cell>
          <cell r="L1041" t="str">
            <v>-</v>
          </cell>
          <cell r="M1041" t="str">
            <v>-</v>
          </cell>
          <cell r="N1041" t="str">
            <v>-</v>
          </cell>
          <cell r="O1041" t="str">
            <v>-</v>
          </cell>
        </row>
        <row r="1042">
          <cell r="A1042">
            <v>66700600</v>
          </cell>
          <cell r="B1042" t="str">
            <v>Zalm ASC dille rijst 400g LIDL actie</v>
          </cell>
          <cell r="C1042" t="str">
            <v>-</v>
          </cell>
          <cell r="D1042" t="str">
            <v>-</v>
          </cell>
          <cell r="E1042" t="str">
            <v>+</v>
          </cell>
          <cell r="F1042" t="str">
            <v>-</v>
          </cell>
          <cell r="G1042" t="str">
            <v>+</v>
          </cell>
          <cell r="H1042" t="str">
            <v>-</v>
          </cell>
          <cell r="I1042" t="str">
            <v>-</v>
          </cell>
          <cell r="J1042" t="str">
            <v>X</v>
          </cell>
          <cell r="K1042" t="str">
            <v>+</v>
          </cell>
          <cell r="L1042" t="str">
            <v>-</v>
          </cell>
          <cell r="M1042" t="str">
            <v>X</v>
          </cell>
          <cell r="N1042" t="str">
            <v>+</v>
          </cell>
          <cell r="O1042" t="str">
            <v>X</v>
          </cell>
        </row>
        <row r="1043">
          <cell r="A1043">
            <v>66700700</v>
          </cell>
          <cell r="B1043" t="str">
            <v>Kipfilet honig mango aardappelschijfjes 400g LIDL ACTIE</v>
          </cell>
          <cell r="C1043" t="str">
            <v>-</v>
          </cell>
          <cell r="D1043" t="str">
            <v>-</v>
          </cell>
          <cell r="E1043" t="str">
            <v>X</v>
          </cell>
          <cell r="F1043" t="str">
            <v>-</v>
          </cell>
          <cell r="G1043" t="str">
            <v>+</v>
          </cell>
          <cell r="H1043" t="str">
            <v>X</v>
          </cell>
          <cell r="I1043" t="str">
            <v>-</v>
          </cell>
          <cell r="J1043" t="str">
            <v>-</v>
          </cell>
          <cell r="K1043" t="str">
            <v>X</v>
          </cell>
          <cell r="L1043" t="str">
            <v>-</v>
          </cell>
          <cell r="M1043" t="str">
            <v>-</v>
          </cell>
          <cell r="N1043" t="str">
            <v>-</v>
          </cell>
          <cell r="O1043" t="str">
            <v>-</v>
          </cell>
        </row>
        <row r="1044">
          <cell r="A1044">
            <v>66700800</v>
          </cell>
          <cell r="B1044" t="str">
            <v>Kipfilet paprika spätzle 400g LIDL DE</v>
          </cell>
          <cell r="C1044" t="str">
            <v>-</v>
          </cell>
          <cell r="D1044" t="str">
            <v>+</v>
          </cell>
          <cell r="E1044" t="str">
            <v>+</v>
          </cell>
          <cell r="F1044" t="str">
            <v>-</v>
          </cell>
          <cell r="G1044" t="str">
            <v>+</v>
          </cell>
          <cell r="H1044" t="str">
            <v>X</v>
          </cell>
          <cell r="I1044" t="str">
            <v>-</v>
          </cell>
          <cell r="J1044" t="str">
            <v>-</v>
          </cell>
          <cell r="K1044" t="str">
            <v>X</v>
          </cell>
          <cell r="L1044" t="str">
            <v>-</v>
          </cell>
          <cell r="M1044" t="str">
            <v>X</v>
          </cell>
          <cell r="N1044" t="str">
            <v>-</v>
          </cell>
          <cell r="O1044" t="str">
            <v>-</v>
          </cell>
        </row>
        <row r="1045">
          <cell r="A1045">
            <v>66700900</v>
          </cell>
          <cell r="B1045" t="str">
            <v>Mexican breakfast huevos ranchero 350g LIDL DE</v>
          </cell>
          <cell r="C1045" t="str">
            <v>-</v>
          </cell>
          <cell r="D1045" t="str">
            <v>+</v>
          </cell>
          <cell r="E1045" t="str">
            <v>X</v>
          </cell>
          <cell r="F1045" t="str">
            <v>-</v>
          </cell>
          <cell r="G1045" t="str">
            <v>+</v>
          </cell>
          <cell r="H1045" t="str">
            <v>-</v>
          </cell>
          <cell r="I1045" t="str">
            <v>-</v>
          </cell>
          <cell r="J1045" t="str">
            <v>-</v>
          </cell>
          <cell r="K1045" t="str">
            <v>X</v>
          </cell>
          <cell r="L1045" t="str">
            <v>-</v>
          </cell>
          <cell r="M1045" t="str">
            <v>-</v>
          </cell>
          <cell r="N1045" t="str">
            <v>-</v>
          </cell>
          <cell r="O1045" t="str">
            <v>-</v>
          </cell>
        </row>
        <row r="1046">
          <cell r="A1046">
            <v>66701000</v>
          </cell>
          <cell r="B1046" t="str">
            <v>American breakfast 350g LIDL DE</v>
          </cell>
          <cell r="C1046" t="str">
            <v>-</v>
          </cell>
          <cell r="D1046" t="str">
            <v>+</v>
          </cell>
          <cell r="E1046" t="str">
            <v>-</v>
          </cell>
          <cell r="F1046" t="str">
            <v>-</v>
          </cell>
          <cell r="G1046" t="str">
            <v>+</v>
          </cell>
          <cell r="H1046" t="str">
            <v>-</v>
          </cell>
          <cell r="I1046" t="str">
            <v>-</v>
          </cell>
          <cell r="J1046" t="str">
            <v>-</v>
          </cell>
          <cell r="K1046" t="str">
            <v>+</v>
          </cell>
          <cell r="L1046" t="str">
            <v>-</v>
          </cell>
          <cell r="M1046" t="str">
            <v>-</v>
          </cell>
          <cell r="N1046" t="str">
            <v>-</v>
          </cell>
          <cell r="O1046" t="str">
            <v>-</v>
          </cell>
        </row>
        <row r="1047">
          <cell r="A1047">
            <v>66701100</v>
          </cell>
          <cell r="B1047" t="str">
            <v>Mexican breakfast 350g LIDL NL</v>
          </cell>
          <cell r="C1047" t="str">
            <v>-</v>
          </cell>
          <cell r="D1047" t="str">
            <v>+</v>
          </cell>
          <cell r="E1047" t="str">
            <v>X</v>
          </cell>
          <cell r="F1047" t="str">
            <v>-</v>
          </cell>
          <cell r="G1047" t="str">
            <v>+</v>
          </cell>
          <cell r="H1047" t="str">
            <v>-</v>
          </cell>
          <cell r="I1047" t="str">
            <v>-</v>
          </cell>
          <cell r="J1047" t="str">
            <v>-</v>
          </cell>
          <cell r="K1047" t="str">
            <v>X</v>
          </cell>
          <cell r="L1047" t="str">
            <v>-</v>
          </cell>
          <cell r="M1047" t="str">
            <v>-</v>
          </cell>
          <cell r="N1047" t="str">
            <v>-</v>
          </cell>
          <cell r="O1047" t="str">
            <v>-</v>
          </cell>
        </row>
        <row r="1048">
          <cell r="A1048">
            <v>66701200</v>
          </cell>
          <cell r="B1048" t="str">
            <v>Zalm ASC dille rijst 400g LIDL actie</v>
          </cell>
          <cell r="C1048" t="str">
            <v>-</v>
          </cell>
          <cell r="D1048" t="str">
            <v>-</v>
          </cell>
          <cell r="E1048" t="str">
            <v>+</v>
          </cell>
          <cell r="F1048" t="str">
            <v>-</v>
          </cell>
          <cell r="G1048" t="str">
            <v>+</v>
          </cell>
          <cell r="H1048" t="str">
            <v>-</v>
          </cell>
          <cell r="I1048" t="str">
            <v>-</v>
          </cell>
          <cell r="J1048" t="str">
            <v>X</v>
          </cell>
          <cell r="K1048" t="str">
            <v>+</v>
          </cell>
          <cell r="L1048" t="str">
            <v>-</v>
          </cell>
          <cell r="M1048" t="str">
            <v>X</v>
          </cell>
          <cell r="N1048" t="str">
            <v>+</v>
          </cell>
          <cell r="O1048" t="str">
            <v>X</v>
          </cell>
        </row>
        <row r="1049">
          <cell r="A1049">
            <v>66701300</v>
          </cell>
          <cell r="B1049" t="str">
            <v>Kipfilet honig mango aardappelschijfjes 400g LIDL ACTIE</v>
          </cell>
          <cell r="C1049" t="str">
            <v>-</v>
          </cell>
          <cell r="D1049" t="str">
            <v>-</v>
          </cell>
          <cell r="E1049" t="str">
            <v>X</v>
          </cell>
          <cell r="F1049" t="str">
            <v>-</v>
          </cell>
          <cell r="G1049" t="str">
            <v>+</v>
          </cell>
          <cell r="H1049" t="str">
            <v>X</v>
          </cell>
          <cell r="I1049" t="str">
            <v>-</v>
          </cell>
          <cell r="J1049" t="str">
            <v>-</v>
          </cell>
          <cell r="K1049" t="str">
            <v>X</v>
          </cell>
          <cell r="L1049" t="str">
            <v>-</v>
          </cell>
          <cell r="M1049" t="str">
            <v>-</v>
          </cell>
          <cell r="N1049" t="str">
            <v>-</v>
          </cell>
          <cell r="O1049" t="str">
            <v>-</v>
          </cell>
        </row>
        <row r="1050">
          <cell r="A1050">
            <v>66800300</v>
          </cell>
          <cell r="B1050" t="str">
            <v>Kip Madras basmati rode rijst groentenmix 400g MAMA'S</v>
          </cell>
          <cell r="C1050" t="str">
            <v>-</v>
          </cell>
          <cell r="D1050" t="str">
            <v>X</v>
          </cell>
          <cell r="E1050" t="str">
            <v>+</v>
          </cell>
          <cell r="F1050" t="str">
            <v>X</v>
          </cell>
          <cell r="G1050" t="str">
            <v>+</v>
          </cell>
          <cell r="H1050" t="str">
            <v>X</v>
          </cell>
          <cell r="I1050" t="str">
            <v>-</v>
          </cell>
          <cell r="J1050" t="str">
            <v>-</v>
          </cell>
          <cell r="K1050" t="str">
            <v>-</v>
          </cell>
          <cell r="L1050" t="str">
            <v>-</v>
          </cell>
          <cell r="M1050" t="str">
            <v>X</v>
          </cell>
          <cell r="N1050" t="str">
            <v>-</v>
          </cell>
          <cell r="O1050" t="str">
            <v>-</v>
          </cell>
        </row>
        <row r="1051">
          <cell r="A1051">
            <v>66801000</v>
          </cell>
          <cell r="B1051" t="str">
            <v>Zalm aardappel ecrasé spezierbonen lookboter 400g MAMA'S</v>
          </cell>
          <cell r="C1051" t="str">
            <v>-</v>
          </cell>
          <cell r="D1051" t="str">
            <v>-</v>
          </cell>
          <cell r="E1051" t="str">
            <v>-</v>
          </cell>
          <cell r="F1051" t="str">
            <v>-</v>
          </cell>
          <cell r="G1051" t="str">
            <v>+</v>
          </cell>
          <cell r="H1051" t="str">
            <v>-</v>
          </cell>
          <cell r="I1051" t="str">
            <v>-</v>
          </cell>
          <cell r="J1051" t="str">
            <v>-</v>
          </cell>
          <cell r="K1051" t="str">
            <v>+</v>
          </cell>
          <cell r="L1051" t="str">
            <v>-</v>
          </cell>
          <cell r="M1051" t="str">
            <v>-</v>
          </cell>
          <cell r="N1051" t="str">
            <v>+</v>
          </cell>
          <cell r="O1051" t="str">
            <v>-</v>
          </cell>
        </row>
        <row r="1052">
          <cell r="A1052">
            <v>66801100</v>
          </cell>
          <cell r="B1052" t="str">
            <v xml:space="preserve">Indische kip saté bami sambalboontjes 400g MAMA'S </v>
          </cell>
          <cell r="C1052" t="str">
            <v>+</v>
          </cell>
          <cell r="D1052" t="str">
            <v>+</v>
          </cell>
          <cell r="E1052" t="str">
            <v>+</v>
          </cell>
          <cell r="F1052" t="str">
            <v>X</v>
          </cell>
          <cell r="G1052" t="str">
            <v>-</v>
          </cell>
          <cell r="H1052" t="str">
            <v>X</v>
          </cell>
          <cell r="I1052" t="str">
            <v>-</v>
          </cell>
          <cell r="J1052" t="str">
            <v>-</v>
          </cell>
          <cell r="K1052" t="str">
            <v>+</v>
          </cell>
          <cell r="L1052" t="str">
            <v>-</v>
          </cell>
          <cell r="M1052" t="str">
            <v>+</v>
          </cell>
          <cell r="N1052" t="str">
            <v>-</v>
          </cell>
          <cell r="O1052" t="str">
            <v>-</v>
          </cell>
        </row>
        <row r="1053">
          <cell r="A1053">
            <v>66801200</v>
          </cell>
          <cell r="B1053" t="str">
            <v>Babi pangang, witte rijst, edamame 400g MAMA'S</v>
          </cell>
          <cell r="C1053" t="str">
            <v>-</v>
          </cell>
          <cell r="D1053" t="str">
            <v>X</v>
          </cell>
          <cell r="E1053" t="str">
            <v>+</v>
          </cell>
          <cell r="F1053" t="str">
            <v>-</v>
          </cell>
          <cell r="G1053" t="str">
            <v>X</v>
          </cell>
          <cell r="H1053" t="str">
            <v>X</v>
          </cell>
          <cell r="I1053" t="str">
            <v>-</v>
          </cell>
          <cell r="J1053" t="str">
            <v>-</v>
          </cell>
          <cell r="K1053" t="str">
            <v>+</v>
          </cell>
          <cell r="L1053" t="str">
            <v>+</v>
          </cell>
          <cell r="M1053" t="str">
            <v>+</v>
          </cell>
          <cell r="N1053" t="str">
            <v>-</v>
          </cell>
          <cell r="O1053" t="str">
            <v>-</v>
          </cell>
        </row>
        <row r="1054">
          <cell r="A1054">
            <v>66801400</v>
          </cell>
          <cell r="B1054" t="str">
            <v>Kip teriyaki pandan-sojaboon wortel spitskool 400g MAMA'S</v>
          </cell>
          <cell r="C1054" t="str">
            <v>-</v>
          </cell>
          <cell r="D1054" t="str">
            <v>-</v>
          </cell>
          <cell r="E1054" t="str">
            <v>-</v>
          </cell>
          <cell r="F1054" t="str">
            <v>-</v>
          </cell>
          <cell r="G1054" t="str">
            <v>-</v>
          </cell>
          <cell r="H1054" t="str">
            <v>-</v>
          </cell>
          <cell r="I1054" t="str">
            <v>-</v>
          </cell>
          <cell r="J1054" t="str">
            <v>-</v>
          </cell>
          <cell r="K1054" t="str">
            <v>-</v>
          </cell>
          <cell r="L1054" t="str">
            <v>+</v>
          </cell>
          <cell r="M1054" t="str">
            <v>+</v>
          </cell>
          <cell r="N1054" t="str">
            <v>-</v>
          </cell>
          <cell r="O1054" t="str">
            <v>-</v>
          </cell>
        </row>
        <row r="1055">
          <cell r="A1055">
            <v>66801500</v>
          </cell>
          <cell r="B1055" t="str">
            <v>Kip penne pesto groenten 400g MAMA'S</v>
          </cell>
          <cell r="E1055" t="str">
            <v>+</v>
          </cell>
          <cell r="I1055" t="str">
            <v>+</v>
          </cell>
        </row>
        <row r="1056">
          <cell r="A1056">
            <v>66801700</v>
          </cell>
          <cell r="B1056" t="str">
            <v>Risotto kip boschampignon 400g MAMA'S</v>
          </cell>
          <cell r="C1056" t="str">
            <v>-</v>
          </cell>
          <cell r="D1056" t="str">
            <v>-</v>
          </cell>
          <cell r="E1056" t="str">
            <v>X</v>
          </cell>
          <cell r="F1056" t="str">
            <v>-</v>
          </cell>
          <cell r="G1056" t="str">
            <v>+</v>
          </cell>
          <cell r="H1056" t="str">
            <v>X</v>
          </cell>
          <cell r="I1056" t="str">
            <v>-</v>
          </cell>
          <cell r="J1056" t="str">
            <v>-</v>
          </cell>
          <cell r="K1056" t="str">
            <v>X</v>
          </cell>
          <cell r="L1056" t="str">
            <v>-</v>
          </cell>
          <cell r="M1056" t="str">
            <v>-</v>
          </cell>
          <cell r="N1056" t="str">
            <v>-</v>
          </cell>
          <cell r="O1056" t="str">
            <v>-</v>
          </cell>
        </row>
        <row r="1057">
          <cell r="A1057">
            <v>66801800</v>
          </cell>
          <cell r="B1057" t="str">
            <v>Kabeljauw mosterdsaus stamppot 400g MAMA'S</v>
          </cell>
          <cell r="C1057" t="str">
            <v>-</v>
          </cell>
          <cell r="D1057" t="str">
            <v>-</v>
          </cell>
          <cell r="E1057" t="str">
            <v>+</v>
          </cell>
          <cell r="F1057" t="str">
            <v>-</v>
          </cell>
          <cell r="G1057" t="str">
            <v>+</v>
          </cell>
          <cell r="H1057" t="str">
            <v>+</v>
          </cell>
          <cell r="I1057" t="str">
            <v>-</v>
          </cell>
          <cell r="J1057" t="str">
            <v>X</v>
          </cell>
          <cell r="K1057" t="str">
            <v>+</v>
          </cell>
          <cell r="L1057" t="str">
            <v>-</v>
          </cell>
          <cell r="M1057" t="str">
            <v>X</v>
          </cell>
          <cell r="N1057" t="str">
            <v>+</v>
          </cell>
          <cell r="O1057" t="str">
            <v>X</v>
          </cell>
        </row>
        <row r="1058">
          <cell r="A1058">
            <v>66802000</v>
          </cell>
          <cell r="B1058" t="str">
            <v>Zalm linguini groenten mix lookboter 400g MAMA'S</v>
          </cell>
          <cell r="C1058" t="str">
            <v>-</v>
          </cell>
          <cell r="D1058" t="str">
            <v>X</v>
          </cell>
          <cell r="E1058" t="str">
            <v>+</v>
          </cell>
          <cell r="F1058" t="str">
            <v>X</v>
          </cell>
          <cell r="G1058" t="str">
            <v>+</v>
          </cell>
          <cell r="H1058" t="str">
            <v>X</v>
          </cell>
          <cell r="I1058" t="str">
            <v>-</v>
          </cell>
          <cell r="J1058" t="str">
            <v>-</v>
          </cell>
          <cell r="K1058" t="str">
            <v>+</v>
          </cell>
          <cell r="L1058" t="str">
            <v>-</v>
          </cell>
          <cell r="M1058" t="str">
            <v>X</v>
          </cell>
          <cell r="N1058" t="str">
            <v>+</v>
          </cell>
          <cell r="O1058" t="str">
            <v>-</v>
          </cell>
        </row>
        <row r="1059">
          <cell r="A1059">
            <v>66802100</v>
          </cell>
          <cell r="B1059" t="str">
            <v xml:space="preserve">Kip Teriyaki pandan groentemix NL FR D 400g MAMA'S </v>
          </cell>
          <cell r="C1059" t="str">
            <v>-</v>
          </cell>
          <cell r="D1059" t="str">
            <v>-</v>
          </cell>
          <cell r="E1059" t="str">
            <v>-</v>
          </cell>
          <cell r="F1059" t="str">
            <v>-</v>
          </cell>
          <cell r="G1059" t="str">
            <v>-</v>
          </cell>
          <cell r="H1059" t="str">
            <v>-</v>
          </cell>
          <cell r="I1059" t="str">
            <v>-</v>
          </cell>
          <cell r="J1059" t="str">
            <v>-</v>
          </cell>
          <cell r="K1059" t="str">
            <v>-</v>
          </cell>
          <cell r="L1059" t="str">
            <v>+</v>
          </cell>
          <cell r="M1059" t="str">
            <v>+</v>
          </cell>
          <cell r="N1059" t="str">
            <v>-</v>
          </cell>
          <cell r="O1059" t="str">
            <v>-</v>
          </cell>
        </row>
        <row r="1060">
          <cell r="A1060">
            <v>66802200</v>
          </cell>
          <cell r="B1060" t="str">
            <v>Risotto kip boschampignon NL FR D 400g MAMA'S</v>
          </cell>
          <cell r="C1060" t="str">
            <v>-</v>
          </cell>
          <cell r="D1060" t="str">
            <v>-</v>
          </cell>
          <cell r="E1060" t="str">
            <v>X</v>
          </cell>
          <cell r="F1060" t="str">
            <v>-</v>
          </cell>
          <cell r="G1060" t="str">
            <v>+</v>
          </cell>
          <cell r="H1060" t="str">
            <v>X</v>
          </cell>
          <cell r="I1060" t="str">
            <v>-</v>
          </cell>
          <cell r="J1060" t="str">
            <v>-</v>
          </cell>
          <cell r="K1060" t="str">
            <v>X</v>
          </cell>
          <cell r="L1060" t="str">
            <v>-</v>
          </cell>
          <cell r="M1060" t="str">
            <v>-</v>
          </cell>
          <cell r="N1060" t="str">
            <v>-</v>
          </cell>
          <cell r="O1060" t="str">
            <v>-</v>
          </cell>
        </row>
        <row r="1061">
          <cell r="A1061">
            <v>66802300</v>
          </cell>
          <cell r="B1061" t="str">
            <v>Babi pangang, witte rijst, edamame NL-FR-D 400g MAMA'S</v>
          </cell>
          <cell r="C1061" t="str">
            <v>-</v>
          </cell>
          <cell r="D1061" t="str">
            <v>X</v>
          </cell>
          <cell r="E1061" t="str">
            <v>+</v>
          </cell>
          <cell r="F1061" t="str">
            <v>-</v>
          </cell>
          <cell r="G1061" t="str">
            <v>X</v>
          </cell>
          <cell r="H1061" t="str">
            <v>X</v>
          </cell>
          <cell r="I1061" t="str">
            <v>-</v>
          </cell>
          <cell r="J1061" t="str">
            <v>-</v>
          </cell>
          <cell r="K1061" t="str">
            <v>+</v>
          </cell>
          <cell r="L1061" t="str">
            <v>+</v>
          </cell>
          <cell r="M1061" t="str">
            <v>+</v>
          </cell>
          <cell r="N1061" t="str">
            <v>-</v>
          </cell>
          <cell r="O1061" t="str">
            <v>-</v>
          </cell>
        </row>
        <row r="1062">
          <cell r="A1062">
            <v>66802400</v>
          </cell>
          <cell r="B1062" t="str">
            <v>Zalm linguini groenten mix lookboter NL-FR-D 400g MAMA'S</v>
          </cell>
          <cell r="C1062" t="str">
            <v>-</v>
          </cell>
          <cell r="D1062" t="str">
            <v>X</v>
          </cell>
          <cell r="E1062" t="str">
            <v>+</v>
          </cell>
          <cell r="F1062" t="str">
            <v>X</v>
          </cell>
          <cell r="G1062" t="str">
            <v>+</v>
          </cell>
          <cell r="H1062" t="str">
            <v>X</v>
          </cell>
          <cell r="I1062" t="str">
            <v>-</v>
          </cell>
          <cell r="J1062" t="str">
            <v>-</v>
          </cell>
          <cell r="K1062" t="str">
            <v>+</v>
          </cell>
          <cell r="L1062" t="str">
            <v>-</v>
          </cell>
          <cell r="M1062" t="str">
            <v>X</v>
          </cell>
          <cell r="N1062" t="str">
            <v>+</v>
          </cell>
          <cell r="O1062" t="str">
            <v>-</v>
          </cell>
        </row>
        <row r="1063">
          <cell r="A1063">
            <v>66802500</v>
          </cell>
          <cell r="B1063" t="str">
            <v>Melanzane tomatensaus en gehakt 400g MAMA'S</v>
          </cell>
          <cell r="C1063" t="str">
            <v>-</v>
          </cell>
          <cell r="D1063" t="str">
            <v>-</v>
          </cell>
          <cell r="E1063" t="str">
            <v>-</v>
          </cell>
          <cell r="F1063" t="str">
            <v>-</v>
          </cell>
          <cell r="G1063" t="str">
            <v>+</v>
          </cell>
          <cell r="H1063" t="str">
            <v>-</v>
          </cell>
          <cell r="I1063" t="str">
            <v>-</v>
          </cell>
          <cell r="J1063" t="str">
            <v>-</v>
          </cell>
          <cell r="K1063" t="str">
            <v>+</v>
          </cell>
          <cell r="L1063" t="str">
            <v>-</v>
          </cell>
          <cell r="M1063" t="str">
            <v>-</v>
          </cell>
          <cell r="N1063" t="str">
            <v>-</v>
          </cell>
          <cell r="O1063" t="str">
            <v>-</v>
          </cell>
        </row>
        <row r="1064">
          <cell r="A1064">
            <v>66811300</v>
          </cell>
          <cell r="B1064" t="str">
            <v>Kip rijst teriyaki  HALAL 425g FIT EW</v>
          </cell>
          <cell r="C1064" t="str">
            <v>-</v>
          </cell>
          <cell r="D1064" t="str">
            <v>-</v>
          </cell>
          <cell r="E1064" t="str">
            <v>-</v>
          </cell>
          <cell r="F1064" t="str">
            <v>-</v>
          </cell>
          <cell r="G1064" t="str">
            <v>-</v>
          </cell>
          <cell r="H1064" t="str">
            <v>-</v>
          </cell>
          <cell r="I1064" t="str">
            <v>-</v>
          </cell>
          <cell r="J1064" t="str">
            <v>-</v>
          </cell>
          <cell r="K1064" t="str">
            <v>-</v>
          </cell>
          <cell r="L1064" t="str">
            <v>+</v>
          </cell>
          <cell r="M1064" t="str">
            <v>+</v>
          </cell>
          <cell r="N1064" t="str">
            <v>-</v>
          </cell>
          <cell r="O1064" t="str">
            <v>-</v>
          </cell>
        </row>
        <row r="1065">
          <cell r="A1065">
            <v>66811400</v>
          </cell>
          <cell r="B1065" t="str">
            <v>Pulled kip curry HALAL 425g FIT EW</v>
          </cell>
          <cell r="C1065" t="str">
            <v>X</v>
          </cell>
          <cell r="D1065" t="str">
            <v>X</v>
          </cell>
          <cell r="E1065" t="str">
            <v>X</v>
          </cell>
          <cell r="F1065" t="str">
            <v>X</v>
          </cell>
          <cell r="G1065" t="str">
            <v>+</v>
          </cell>
          <cell r="H1065" t="str">
            <v>+</v>
          </cell>
          <cell r="I1065" t="str">
            <v>X</v>
          </cell>
          <cell r="J1065" t="str">
            <v>X</v>
          </cell>
          <cell r="K1065" t="str">
            <v>+</v>
          </cell>
          <cell r="L1065" t="str">
            <v>X</v>
          </cell>
          <cell r="M1065" t="str">
            <v>X</v>
          </cell>
          <cell r="N1065" t="str">
            <v>X</v>
          </cell>
          <cell r="O1065" t="str">
            <v>X</v>
          </cell>
        </row>
        <row r="1066">
          <cell r="A1066">
            <v>66811500</v>
          </cell>
          <cell r="B1066" t="str">
            <v>Kip pasta HALAL 425g FIT EW</v>
          </cell>
          <cell r="C1066" t="str">
            <v>X</v>
          </cell>
          <cell r="D1066" t="str">
            <v>X</v>
          </cell>
          <cell r="E1066" t="str">
            <v>+</v>
          </cell>
          <cell r="F1066" t="str">
            <v>X</v>
          </cell>
          <cell r="G1066" t="str">
            <v>+</v>
          </cell>
          <cell r="H1066" t="str">
            <v>X</v>
          </cell>
          <cell r="I1066" t="str">
            <v>X</v>
          </cell>
          <cell r="J1066" t="str">
            <v>X</v>
          </cell>
          <cell r="K1066" t="str">
            <v>X</v>
          </cell>
          <cell r="L1066" t="str">
            <v>X</v>
          </cell>
          <cell r="M1066" t="str">
            <v>X</v>
          </cell>
          <cell r="N1066" t="str">
            <v>X</v>
          </cell>
          <cell r="O1066" t="str">
            <v>X</v>
          </cell>
        </row>
        <row r="1067">
          <cell r="A1067">
            <v>66811600</v>
          </cell>
          <cell r="B1067" t="str">
            <v>Spaghetti bolognaise 425g FIT EW</v>
          </cell>
          <cell r="C1067" t="str">
            <v>-</v>
          </cell>
          <cell r="D1067" t="str">
            <v>X</v>
          </cell>
          <cell r="E1067" t="str">
            <v>+</v>
          </cell>
          <cell r="F1067" t="str">
            <v>X</v>
          </cell>
          <cell r="G1067" t="str">
            <v>-</v>
          </cell>
          <cell r="H1067" t="str">
            <v>X</v>
          </cell>
          <cell r="I1067" t="str">
            <v>-</v>
          </cell>
          <cell r="J1067" t="str">
            <v>-</v>
          </cell>
          <cell r="K1067" t="str">
            <v>+</v>
          </cell>
          <cell r="L1067" t="str">
            <v>-</v>
          </cell>
          <cell r="M1067" t="str">
            <v>X</v>
          </cell>
          <cell r="N1067" t="str">
            <v>-</v>
          </cell>
          <cell r="O1067" t="str">
            <v>-</v>
          </cell>
        </row>
        <row r="1068">
          <cell r="A1068">
            <v>66811700</v>
          </cell>
          <cell r="B1068" t="str">
            <v>Kip Saté rijst HALAL 425g FIT EW</v>
          </cell>
          <cell r="C1068" t="str">
            <v>+</v>
          </cell>
          <cell r="D1068" t="str">
            <v>-</v>
          </cell>
          <cell r="E1068" t="str">
            <v>-</v>
          </cell>
          <cell r="F1068" t="str">
            <v>-</v>
          </cell>
          <cell r="G1068" t="str">
            <v>-</v>
          </cell>
          <cell r="H1068" t="str">
            <v>-</v>
          </cell>
          <cell r="I1068" t="str">
            <v>-</v>
          </cell>
          <cell r="J1068" t="str">
            <v>-</v>
          </cell>
          <cell r="K1068" t="str">
            <v>X</v>
          </cell>
          <cell r="L1068" t="str">
            <v>-</v>
          </cell>
          <cell r="M1068" t="str">
            <v>+</v>
          </cell>
          <cell r="N1068" t="str">
            <v>-</v>
          </cell>
          <cell r="O1068" t="str">
            <v>-</v>
          </cell>
        </row>
        <row r="1069">
          <cell r="A1069">
            <v>66811800</v>
          </cell>
          <cell r="B1069" t="str">
            <v>Kip linguine teriyaki HALAL 425g FIT EW</v>
          </cell>
          <cell r="C1069" t="str">
            <v>-</v>
          </cell>
          <cell r="D1069" t="str">
            <v>X</v>
          </cell>
          <cell r="E1069" t="str">
            <v>+</v>
          </cell>
          <cell r="F1069" t="str">
            <v>X</v>
          </cell>
          <cell r="G1069" t="str">
            <v>-</v>
          </cell>
          <cell r="H1069" t="str">
            <v>X</v>
          </cell>
          <cell r="I1069" t="str">
            <v>-</v>
          </cell>
          <cell r="J1069" t="str">
            <v>-</v>
          </cell>
          <cell r="K1069" t="str">
            <v>-</v>
          </cell>
          <cell r="L1069" t="str">
            <v>+</v>
          </cell>
          <cell r="M1069" t="str">
            <v>+</v>
          </cell>
          <cell r="N1069" t="str">
            <v>-</v>
          </cell>
          <cell r="O1069" t="str">
            <v>-</v>
          </cell>
        </row>
        <row r="1070">
          <cell r="A1070">
            <v>66811900</v>
          </cell>
          <cell r="B1070" t="str">
            <v>Lasagne RU bolognaise gegrilde groenten 425g FIT EW</v>
          </cell>
          <cell r="C1070" t="str">
            <v>-</v>
          </cell>
          <cell r="D1070" t="str">
            <v>+</v>
          </cell>
          <cell r="E1070" t="str">
            <v>+</v>
          </cell>
          <cell r="F1070" t="str">
            <v>-</v>
          </cell>
          <cell r="G1070" t="str">
            <v>+</v>
          </cell>
          <cell r="H1070" t="str">
            <v>-</v>
          </cell>
          <cell r="I1070" t="str">
            <v>-</v>
          </cell>
          <cell r="J1070" t="str">
            <v>-</v>
          </cell>
          <cell r="K1070" t="str">
            <v>+</v>
          </cell>
          <cell r="L1070" t="str">
            <v>-</v>
          </cell>
          <cell r="M1070" t="str">
            <v>-</v>
          </cell>
          <cell r="N1070" t="str">
            <v>-</v>
          </cell>
          <cell r="O1070" t="str">
            <v>X</v>
          </cell>
        </row>
        <row r="1071">
          <cell r="A1071">
            <v>66812000</v>
          </cell>
          <cell r="B1071" t="str">
            <v>Chili con carne rijst long grain 425g FIT EW</v>
          </cell>
          <cell r="C1071" t="str">
            <v>-</v>
          </cell>
          <cell r="D1071" t="str">
            <v>-</v>
          </cell>
          <cell r="E1071" t="str">
            <v>-</v>
          </cell>
          <cell r="F1071" t="str">
            <v>-</v>
          </cell>
          <cell r="G1071" t="str">
            <v>+</v>
          </cell>
          <cell r="H1071" t="str">
            <v>-</v>
          </cell>
          <cell r="I1071" t="str">
            <v>-</v>
          </cell>
          <cell r="J1071" t="str">
            <v>-</v>
          </cell>
          <cell r="K1071" t="str">
            <v>-</v>
          </cell>
          <cell r="L1071" t="str">
            <v>-</v>
          </cell>
          <cell r="M1071" t="str">
            <v>-</v>
          </cell>
          <cell r="N1071" t="str">
            <v>-</v>
          </cell>
          <cell r="O1071" t="str">
            <v>-</v>
          </cell>
        </row>
        <row r="1072">
          <cell r="A1072">
            <v>66812100</v>
          </cell>
          <cell r="B1072" t="str">
            <v>Indische rendang nasi boontjes 425g FIT EW</v>
          </cell>
          <cell r="C1072" t="str">
            <v>-</v>
          </cell>
          <cell r="D1072" t="str">
            <v>-</v>
          </cell>
          <cell r="E1072" t="str">
            <v>X</v>
          </cell>
          <cell r="F1072" t="str">
            <v>-</v>
          </cell>
          <cell r="G1072" t="str">
            <v>+</v>
          </cell>
          <cell r="H1072" t="str">
            <v>-</v>
          </cell>
          <cell r="I1072" t="str">
            <v>+</v>
          </cell>
          <cell r="J1072" t="str">
            <v>+</v>
          </cell>
          <cell r="K1072" t="str">
            <v>+</v>
          </cell>
          <cell r="L1072" t="str">
            <v>-</v>
          </cell>
          <cell r="M1072" t="str">
            <v>-</v>
          </cell>
          <cell r="N1072" t="str">
            <v>+</v>
          </cell>
          <cell r="O1072" t="str">
            <v>+</v>
          </cell>
        </row>
        <row r="1073">
          <cell r="A1073">
            <v>66812200</v>
          </cell>
          <cell r="B1073" t="str">
            <v>Koolvis duglere rijst groene groentenmix 425g FIT EW</v>
          </cell>
          <cell r="C1073" t="str">
            <v>-</v>
          </cell>
          <cell r="D1073" t="str">
            <v>-</v>
          </cell>
          <cell r="E1073" t="str">
            <v>+</v>
          </cell>
          <cell r="F1073" t="str">
            <v>X</v>
          </cell>
          <cell r="G1073" t="str">
            <v>+</v>
          </cell>
          <cell r="H1073" t="str">
            <v>X</v>
          </cell>
          <cell r="I1073" t="str">
            <v>-</v>
          </cell>
          <cell r="J1073" t="str">
            <v>X</v>
          </cell>
          <cell r="K1073" t="str">
            <v>-</v>
          </cell>
          <cell r="L1073" t="str">
            <v>-</v>
          </cell>
          <cell r="M1073" t="str">
            <v>+</v>
          </cell>
          <cell r="N1073" t="str">
            <v>+</v>
          </cell>
          <cell r="O1073" t="str">
            <v>X</v>
          </cell>
        </row>
        <row r="1074">
          <cell r="A1074">
            <v>66812300</v>
          </cell>
          <cell r="B1074" t="str">
            <v>Risotto kip boschampignon 425g FIT EW</v>
          </cell>
          <cell r="C1074" t="str">
            <v>-</v>
          </cell>
          <cell r="D1074" t="str">
            <v>-</v>
          </cell>
          <cell r="E1074" t="str">
            <v>X</v>
          </cell>
          <cell r="F1074" t="str">
            <v>-</v>
          </cell>
          <cell r="G1074" t="str">
            <v>+</v>
          </cell>
          <cell r="H1074" t="str">
            <v>X</v>
          </cell>
          <cell r="I1074" t="str">
            <v>-</v>
          </cell>
          <cell r="J1074" t="str">
            <v>-</v>
          </cell>
          <cell r="K1074" t="str">
            <v>X</v>
          </cell>
          <cell r="L1074" t="str">
            <v>-</v>
          </cell>
          <cell r="M1074" t="str">
            <v>-</v>
          </cell>
          <cell r="N1074" t="str">
            <v>-</v>
          </cell>
          <cell r="O1074" t="str">
            <v>-</v>
          </cell>
        </row>
        <row r="1075">
          <cell r="A1075">
            <v>66812400</v>
          </cell>
          <cell r="B1075" t="str">
            <v>Kip saté bami goreng 425g FIT EW</v>
          </cell>
          <cell r="C1075" t="str">
            <v>+</v>
          </cell>
          <cell r="D1075" t="str">
            <v>X</v>
          </cell>
          <cell r="E1075" t="str">
            <v>+</v>
          </cell>
          <cell r="F1075" t="str">
            <v>X</v>
          </cell>
          <cell r="G1075" t="str">
            <v>-</v>
          </cell>
          <cell r="H1075" t="str">
            <v>X</v>
          </cell>
          <cell r="I1075" t="str">
            <v>-</v>
          </cell>
          <cell r="J1075" t="str">
            <v>-</v>
          </cell>
          <cell r="K1075" t="str">
            <v>+</v>
          </cell>
          <cell r="L1075" t="str">
            <v>-</v>
          </cell>
          <cell r="M1075" t="str">
            <v>+</v>
          </cell>
          <cell r="N1075" t="str">
            <v>-</v>
          </cell>
          <cell r="O1075" t="str">
            <v>-</v>
          </cell>
        </row>
        <row r="1076">
          <cell r="A1076">
            <v>66812500</v>
          </cell>
          <cell r="B1076" t="str">
            <v>kip döner BBQ-saus gebakken aard groentenmix 425g FIT EW</v>
          </cell>
          <cell r="C1076" t="str">
            <v>-</v>
          </cell>
          <cell r="D1076" t="str">
            <v>-</v>
          </cell>
          <cell r="E1076" t="str">
            <v>-</v>
          </cell>
          <cell r="F1076" t="str">
            <v>-</v>
          </cell>
          <cell r="G1076" t="str">
            <v>-</v>
          </cell>
          <cell r="H1076" t="str">
            <v>-</v>
          </cell>
          <cell r="I1076" t="str">
            <v>-</v>
          </cell>
          <cell r="J1076" t="str">
            <v>-</v>
          </cell>
          <cell r="K1076" t="str">
            <v>+</v>
          </cell>
          <cell r="L1076" t="str">
            <v>-</v>
          </cell>
          <cell r="M1076" t="str">
            <v>-</v>
          </cell>
          <cell r="N1076" t="str">
            <v>-</v>
          </cell>
          <cell r="O1076" t="str">
            <v>-</v>
          </cell>
        </row>
        <row r="1077">
          <cell r="A1077">
            <v>66820600</v>
          </cell>
          <cell r="B1077" t="str">
            <v>Lasagne bolognese gegrilled groenten vegan 400g VOOD</v>
          </cell>
          <cell r="C1077" t="str">
            <v>-</v>
          </cell>
          <cell r="D1077" t="str">
            <v>X</v>
          </cell>
          <cell r="E1077" t="str">
            <v>+</v>
          </cell>
          <cell r="F1077" t="str">
            <v>X</v>
          </cell>
          <cell r="G1077" t="str">
            <v>X</v>
          </cell>
          <cell r="H1077" t="str">
            <v>X</v>
          </cell>
          <cell r="I1077" t="str">
            <v>-</v>
          </cell>
          <cell r="J1077" t="str">
            <v>X</v>
          </cell>
          <cell r="K1077" t="str">
            <v>+</v>
          </cell>
          <cell r="L1077" t="str">
            <v>-</v>
          </cell>
          <cell r="M1077" t="str">
            <v>+</v>
          </cell>
          <cell r="N1077" t="str">
            <v>X</v>
          </cell>
          <cell r="O1077" t="str">
            <v>-</v>
          </cell>
        </row>
        <row r="1078">
          <cell r="A1078">
            <v>66820700</v>
          </cell>
          <cell r="B1078" t="str">
            <v>Moussaka vegan 400g VOOD</v>
          </cell>
          <cell r="C1078" t="str">
            <v>-</v>
          </cell>
          <cell r="D1078" t="str">
            <v>X</v>
          </cell>
          <cell r="E1078" t="str">
            <v>+</v>
          </cell>
          <cell r="F1078" t="str">
            <v>X</v>
          </cell>
          <cell r="G1078" t="str">
            <v>X</v>
          </cell>
          <cell r="H1078" t="str">
            <v>X</v>
          </cell>
          <cell r="I1078" t="str">
            <v>-</v>
          </cell>
          <cell r="J1078" t="str">
            <v>X</v>
          </cell>
          <cell r="K1078" t="str">
            <v>+</v>
          </cell>
          <cell r="L1078" t="str">
            <v>-</v>
          </cell>
          <cell r="M1078" t="str">
            <v>+</v>
          </cell>
          <cell r="N1078" t="str">
            <v>X</v>
          </cell>
          <cell r="O1078" t="str">
            <v>-</v>
          </cell>
        </row>
        <row r="1079">
          <cell r="A1079">
            <v>66820800</v>
          </cell>
          <cell r="B1079" t="str">
            <v>No chicken satésce rijstmix basmati sambalgroenten 400g VOOD</v>
          </cell>
          <cell r="C1079" t="str">
            <v>+</v>
          </cell>
          <cell r="D1079" t="str">
            <v>-</v>
          </cell>
          <cell r="E1079" t="str">
            <v>+</v>
          </cell>
          <cell r="F1079" t="str">
            <v>-</v>
          </cell>
          <cell r="G1079" t="str">
            <v>-</v>
          </cell>
          <cell r="H1079" t="str">
            <v>-</v>
          </cell>
          <cell r="I1079" t="str">
            <v>-</v>
          </cell>
          <cell r="J1079" t="str">
            <v>-</v>
          </cell>
          <cell r="K1079" t="str">
            <v>-</v>
          </cell>
          <cell r="L1079" t="str">
            <v>-</v>
          </cell>
          <cell r="M1079" t="str">
            <v>+</v>
          </cell>
          <cell r="N1079" t="str">
            <v>-</v>
          </cell>
          <cell r="O1079" t="str">
            <v>-</v>
          </cell>
        </row>
        <row r="1080">
          <cell r="A1080">
            <v>66820900</v>
          </cell>
          <cell r="B1080" t="str">
            <v>No chicken curry met pompoen rijstmix 400g VOOD</v>
          </cell>
          <cell r="C1080" t="str">
            <v>-</v>
          </cell>
          <cell r="D1080" t="str">
            <v>-</v>
          </cell>
          <cell r="E1080" t="str">
            <v>+</v>
          </cell>
          <cell r="F1080" t="str">
            <v>X</v>
          </cell>
          <cell r="G1080" t="str">
            <v>-</v>
          </cell>
          <cell r="H1080" t="str">
            <v>X</v>
          </cell>
          <cell r="I1080" t="str">
            <v>-</v>
          </cell>
          <cell r="J1080" t="str">
            <v>-</v>
          </cell>
          <cell r="K1080" t="str">
            <v>+</v>
          </cell>
          <cell r="L1080" t="str">
            <v>-</v>
          </cell>
          <cell r="M1080" t="str">
            <v>+</v>
          </cell>
          <cell r="N1080" t="str">
            <v>-</v>
          </cell>
          <cell r="O1080" t="str">
            <v>-</v>
          </cell>
        </row>
        <row r="1081">
          <cell r="A1081">
            <v>66821000</v>
          </cell>
          <cell r="B1081" t="str">
            <v>Risotto boschampignons vegan groene groenten 400g VOOD</v>
          </cell>
          <cell r="C1081" t="str">
            <v>-</v>
          </cell>
          <cell r="D1081" t="str">
            <v>X</v>
          </cell>
          <cell r="E1081" t="str">
            <v>+</v>
          </cell>
          <cell r="F1081" t="str">
            <v>X</v>
          </cell>
          <cell r="G1081" t="str">
            <v>X</v>
          </cell>
          <cell r="H1081" t="str">
            <v>X</v>
          </cell>
          <cell r="I1081" t="str">
            <v>-</v>
          </cell>
          <cell r="J1081" t="str">
            <v>-</v>
          </cell>
          <cell r="K1081" t="str">
            <v>-</v>
          </cell>
          <cell r="L1081" t="str">
            <v>-</v>
          </cell>
          <cell r="M1081" t="str">
            <v>+</v>
          </cell>
          <cell r="N1081" t="str">
            <v>-</v>
          </cell>
          <cell r="O1081" t="str">
            <v>-</v>
          </cell>
        </row>
        <row r="1082">
          <cell r="A1082">
            <v>66900100</v>
          </cell>
          <cell r="B1082" t="str">
            <v>Friet cheddarkaasaus spek 280g LIDL FI IT NI IE DK</v>
          </cell>
          <cell r="C1082" t="str">
            <v>-</v>
          </cell>
          <cell r="D1082" t="str">
            <v>-</v>
          </cell>
          <cell r="E1082" t="str">
            <v>-</v>
          </cell>
          <cell r="F1082" t="str">
            <v>-</v>
          </cell>
          <cell r="G1082" t="str">
            <v>+</v>
          </cell>
          <cell r="H1082" t="str">
            <v>-</v>
          </cell>
          <cell r="I1082" t="str">
            <v>-</v>
          </cell>
          <cell r="J1082" t="str">
            <v>-</v>
          </cell>
          <cell r="K1082" t="str">
            <v>-</v>
          </cell>
          <cell r="L1082" t="str">
            <v>-</v>
          </cell>
          <cell r="M1082" t="str">
            <v>-</v>
          </cell>
          <cell r="N1082" t="str">
            <v>-</v>
          </cell>
          <cell r="O1082" t="str">
            <v>-</v>
          </cell>
        </row>
        <row r="1083">
          <cell r="A1083">
            <v>66900200</v>
          </cell>
          <cell r="B1083" t="str">
            <v>Friet cheddarkaasaus chili 280g LIDL FI IT NI IE DK</v>
          </cell>
          <cell r="C1083" t="str">
            <v>-</v>
          </cell>
          <cell r="D1083" t="str">
            <v>-</v>
          </cell>
          <cell r="E1083" t="str">
            <v>+</v>
          </cell>
          <cell r="F1083" t="str">
            <v>-</v>
          </cell>
          <cell r="G1083" t="str">
            <v>+</v>
          </cell>
          <cell r="H1083" t="str">
            <v>-</v>
          </cell>
          <cell r="I1083" t="str">
            <v>-</v>
          </cell>
          <cell r="J1083" t="str">
            <v>-</v>
          </cell>
          <cell r="K1083" t="str">
            <v>-</v>
          </cell>
          <cell r="L1083" t="str">
            <v>-</v>
          </cell>
          <cell r="M1083" t="str">
            <v>-</v>
          </cell>
          <cell r="N1083" t="str">
            <v>-</v>
          </cell>
          <cell r="O1083" t="str">
            <v>-</v>
          </cell>
        </row>
        <row r="1084">
          <cell r="A1084">
            <v>66900300</v>
          </cell>
          <cell r="B1084" t="str">
            <v>Friet BBQ-saus pulled chicken 280g LIDL FI IT NI IE DK</v>
          </cell>
          <cell r="C1084" t="str">
            <v>-</v>
          </cell>
          <cell r="D1084" t="str">
            <v>-</v>
          </cell>
          <cell r="E1084" t="str">
            <v>+</v>
          </cell>
          <cell r="F1084" t="str">
            <v>-</v>
          </cell>
          <cell r="G1084" t="str">
            <v>-</v>
          </cell>
          <cell r="H1084" t="str">
            <v>-</v>
          </cell>
          <cell r="I1084" t="str">
            <v>-</v>
          </cell>
          <cell r="J1084" t="str">
            <v>-</v>
          </cell>
          <cell r="K1084" t="str">
            <v>-</v>
          </cell>
          <cell r="L1084" t="str">
            <v>-</v>
          </cell>
          <cell r="M1084" t="str">
            <v>-</v>
          </cell>
          <cell r="N1084" t="str">
            <v>-</v>
          </cell>
          <cell r="O1084" t="str">
            <v>-</v>
          </cell>
        </row>
        <row r="1085">
          <cell r="A1085">
            <v>66900400</v>
          </cell>
          <cell r="B1085" t="str">
            <v>Friet cheddarkaasaus spek 280g LIDL LV HR CH BE</v>
          </cell>
          <cell r="C1085" t="str">
            <v>-</v>
          </cell>
          <cell r="D1085" t="str">
            <v>-</v>
          </cell>
          <cell r="E1085" t="str">
            <v>+</v>
          </cell>
          <cell r="F1085" t="str">
            <v>-</v>
          </cell>
          <cell r="G1085" t="str">
            <v>+</v>
          </cell>
          <cell r="H1085" t="str">
            <v>-</v>
          </cell>
          <cell r="I1085" t="str">
            <v>-</v>
          </cell>
          <cell r="J1085" t="str">
            <v>-</v>
          </cell>
          <cell r="K1085" t="str">
            <v>-</v>
          </cell>
          <cell r="L1085" t="str">
            <v>-</v>
          </cell>
          <cell r="M1085" t="str">
            <v>-</v>
          </cell>
          <cell r="N1085" t="str">
            <v>-</v>
          </cell>
          <cell r="O1085" t="str">
            <v>-</v>
          </cell>
        </row>
        <row r="1086">
          <cell r="A1086">
            <v>66900500</v>
          </cell>
          <cell r="B1086" t="str">
            <v>Friet cheddarkaasaus chili 280g LIDL LV HR CH BE</v>
          </cell>
          <cell r="C1086" t="str">
            <v>-</v>
          </cell>
          <cell r="D1086" t="str">
            <v>-</v>
          </cell>
          <cell r="E1086" t="str">
            <v>+</v>
          </cell>
          <cell r="F1086" t="str">
            <v>-</v>
          </cell>
          <cell r="G1086" t="str">
            <v>+</v>
          </cell>
          <cell r="H1086" t="str">
            <v>-</v>
          </cell>
          <cell r="I1086" t="str">
            <v>-</v>
          </cell>
          <cell r="J1086" t="str">
            <v>-</v>
          </cell>
          <cell r="K1086" t="str">
            <v>-</v>
          </cell>
          <cell r="L1086" t="str">
            <v>-</v>
          </cell>
          <cell r="M1086" t="str">
            <v>-</v>
          </cell>
          <cell r="N1086" t="str">
            <v>-</v>
          </cell>
          <cell r="O1086" t="str">
            <v>-</v>
          </cell>
        </row>
        <row r="1087">
          <cell r="A1087">
            <v>66900600</v>
          </cell>
          <cell r="B1087" t="str">
            <v>Friet BBQ-saus pulled chicken 280g LIDL LV HR CH BE</v>
          </cell>
          <cell r="C1087" t="str">
            <v>-</v>
          </cell>
          <cell r="D1087" t="str">
            <v>-</v>
          </cell>
          <cell r="E1087" t="str">
            <v>+</v>
          </cell>
          <cell r="F1087" t="str">
            <v>-</v>
          </cell>
          <cell r="G1087" t="str">
            <v>-</v>
          </cell>
          <cell r="H1087" t="str">
            <v>-</v>
          </cell>
          <cell r="I1087" t="str">
            <v>-</v>
          </cell>
          <cell r="J1087" t="str">
            <v>-</v>
          </cell>
          <cell r="K1087" t="str">
            <v>-</v>
          </cell>
          <cell r="L1087" t="str">
            <v>-</v>
          </cell>
          <cell r="M1087" t="str">
            <v>-</v>
          </cell>
          <cell r="N1087" t="str">
            <v>-</v>
          </cell>
          <cell r="O1087" t="str">
            <v>-</v>
          </cell>
        </row>
        <row r="1088">
          <cell r="A1088">
            <v>66900700</v>
          </cell>
          <cell r="B1088" t="str">
            <v>Friet cheddarkaasaus spek 280g LIDL RO</v>
          </cell>
          <cell r="C1088" t="str">
            <v>-</v>
          </cell>
          <cell r="D1088" t="str">
            <v>-</v>
          </cell>
          <cell r="E1088" t="str">
            <v>+</v>
          </cell>
          <cell r="F1088" t="str">
            <v>-</v>
          </cell>
          <cell r="G1088" t="str">
            <v>+</v>
          </cell>
          <cell r="H1088" t="str">
            <v>-</v>
          </cell>
          <cell r="I1088" t="str">
            <v>-</v>
          </cell>
          <cell r="J1088" t="str">
            <v>-</v>
          </cell>
          <cell r="K1088" t="str">
            <v>-</v>
          </cell>
          <cell r="L1088" t="str">
            <v>-</v>
          </cell>
          <cell r="M1088" t="str">
            <v>-</v>
          </cell>
          <cell r="N1088" t="str">
            <v>-</v>
          </cell>
          <cell r="O1088" t="str">
            <v>-</v>
          </cell>
        </row>
        <row r="1089">
          <cell r="A1089">
            <v>66900800</v>
          </cell>
          <cell r="B1089" t="str">
            <v>Friet cheddarkaasaus chili 280g LIDL RO</v>
          </cell>
          <cell r="C1089" t="str">
            <v>-</v>
          </cell>
          <cell r="D1089" t="str">
            <v>-</v>
          </cell>
          <cell r="E1089" t="str">
            <v>+</v>
          </cell>
          <cell r="F1089" t="str">
            <v>-</v>
          </cell>
          <cell r="G1089" t="str">
            <v>+</v>
          </cell>
          <cell r="H1089" t="str">
            <v>-</v>
          </cell>
          <cell r="I1089" t="str">
            <v>-</v>
          </cell>
          <cell r="J1089" t="str">
            <v>-</v>
          </cell>
          <cell r="K1089" t="str">
            <v>-</v>
          </cell>
          <cell r="L1089" t="str">
            <v>-</v>
          </cell>
          <cell r="M1089" t="str">
            <v>-</v>
          </cell>
          <cell r="N1089" t="str">
            <v>-</v>
          </cell>
          <cell r="O1089" t="str">
            <v>-</v>
          </cell>
        </row>
        <row r="1090">
          <cell r="A1090">
            <v>66900900</v>
          </cell>
          <cell r="B1090" t="str">
            <v>Friet BBQ-saus pulled chicken 280g LIDL RO</v>
          </cell>
          <cell r="C1090" t="str">
            <v>-</v>
          </cell>
          <cell r="D1090" t="str">
            <v>-</v>
          </cell>
          <cell r="E1090" t="str">
            <v>+</v>
          </cell>
          <cell r="F1090" t="str">
            <v>-</v>
          </cell>
          <cell r="G1090" t="str">
            <v>-</v>
          </cell>
          <cell r="H1090" t="str">
            <v>-</v>
          </cell>
          <cell r="I1090" t="str">
            <v>-</v>
          </cell>
          <cell r="J1090" t="str">
            <v>-</v>
          </cell>
          <cell r="K1090" t="str">
            <v>-</v>
          </cell>
          <cell r="L1090" t="str">
            <v>-</v>
          </cell>
          <cell r="M1090" t="str">
            <v>-</v>
          </cell>
          <cell r="N1090" t="str">
            <v>-</v>
          </cell>
          <cell r="O1090" t="str">
            <v>-</v>
          </cell>
        </row>
        <row r="1091">
          <cell r="A1091">
            <v>66901000</v>
          </cell>
          <cell r="B1091" t="str">
            <v>Friet cheddar spek 280g LIDL FR</v>
          </cell>
          <cell r="C1091" t="str">
            <v>-</v>
          </cell>
          <cell r="D1091" t="str">
            <v>-</v>
          </cell>
          <cell r="E1091" t="str">
            <v>-</v>
          </cell>
          <cell r="F1091" t="str">
            <v>-</v>
          </cell>
          <cell r="G1091" t="str">
            <v>+</v>
          </cell>
          <cell r="H1091" t="str">
            <v>-</v>
          </cell>
          <cell r="I1091" t="str">
            <v>-</v>
          </cell>
          <cell r="J1091" t="str">
            <v>-</v>
          </cell>
          <cell r="K1091" t="str">
            <v>-</v>
          </cell>
          <cell r="L1091" t="str">
            <v>-</v>
          </cell>
          <cell r="M1091" t="str">
            <v>-</v>
          </cell>
          <cell r="N1091" t="str">
            <v>-</v>
          </cell>
          <cell r="O1091" t="str">
            <v>-</v>
          </cell>
        </row>
        <row r="1092">
          <cell r="A1092">
            <v>66901100</v>
          </cell>
          <cell r="B1092" t="str">
            <v>Friet cheddarkaasaus chili 280g LIDL FR</v>
          </cell>
          <cell r="C1092" t="str">
            <v>-</v>
          </cell>
          <cell r="D1092" t="str">
            <v>-</v>
          </cell>
          <cell r="E1092" t="str">
            <v>-</v>
          </cell>
          <cell r="F1092" t="str">
            <v>-</v>
          </cell>
          <cell r="G1092" t="str">
            <v>+</v>
          </cell>
          <cell r="H1092" t="str">
            <v>-</v>
          </cell>
          <cell r="I1092" t="str">
            <v>-</v>
          </cell>
          <cell r="J1092" t="str">
            <v>-</v>
          </cell>
          <cell r="K1092" t="str">
            <v>-</v>
          </cell>
          <cell r="L1092" t="str">
            <v>-</v>
          </cell>
          <cell r="M1092" t="str">
            <v>-</v>
          </cell>
          <cell r="N1092" t="str">
            <v>-</v>
          </cell>
          <cell r="O1092" t="str">
            <v>-</v>
          </cell>
        </row>
        <row r="1093">
          <cell r="A1093">
            <v>66901200</v>
          </cell>
          <cell r="B1093" t="str">
            <v>Friet BBQ-saus pulled chicken 280g LIDL FR</v>
          </cell>
          <cell r="C1093" t="str">
            <v>-</v>
          </cell>
          <cell r="D1093" t="str">
            <v>-</v>
          </cell>
          <cell r="E1093" t="str">
            <v>-</v>
          </cell>
          <cell r="F1093" t="str">
            <v>-</v>
          </cell>
          <cell r="G1093" t="str">
            <v>-</v>
          </cell>
          <cell r="H1093" t="str">
            <v>-</v>
          </cell>
          <cell r="I1093" t="str">
            <v>-</v>
          </cell>
          <cell r="J1093" t="str">
            <v>-</v>
          </cell>
          <cell r="K1093" t="str">
            <v>-</v>
          </cell>
          <cell r="L1093" t="str">
            <v>-</v>
          </cell>
          <cell r="M1093" t="str">
            <v>-</v>
          </cell>
          <cell r="N1093" t="str">
            <v>-</v>
          </cell>
          <cell r="O1093" t="str">
            <v>-</v>
          </cell>
        </row>
        <row r="1094">
          <cell r="A1094">
            <v>66901300</v>
          </cell>
          <cell r="B1094" t="str">
            <v>Friet piri piri saus 400g LIDL IE NI CY NL FI</v>
          </cell>
          <cell r="C1094" t="str">
            <v>-</v>
          </cell>
          <cell r="D1094" t="str">
            <v>-</v>
          </cell>
          <cell r="E1094" t="str">
            <v>-</v>
          </cell>
          <cell r="F1094" t="str">
            <v>-</v>
          </cell>
          <cell r="G1094" t="str">
            <v>-</v>
          </cell>
          <cell r="H1094" t="str">
            <v>-</v>
          </cell>
          <cell r="I1094" t="str">
            <v>-</v>
          </cell>
          <cell r="J1094" t="str">
            <v>-</v>
          </cell>
          <cell r="K1094" t="str">
            <v>+</v>
          </cell>
          <cell r="L1094" t="str">
            <v>-</v>
          </cell>
          <cell r="M1094" t="str">
            <v>-</v>
          </cell>
          <cell r="N1094" t="str">
            <v>-</v>
          </cell>
          <cell r="O1094" t="str">
            <v>-</v>
          </cell>
        </row>
        <row r="1095">
          <cell r="A1095">
            <v>66901400</v>
          </cell>
          <cell r="B1095" t="str">
            <v>Friet Cheesy pepper saus 280g LIDL SK SE CY</v>
          </cell>
          <cell r="C1095" t="str">
            <v>-</v>
          </cell>
          <cell r="D1095" t="str">
            <v>-</v>
          </cell>
          <cell r="E1095" t="str">
            <v>-</v>
          </cell>
          <cell r="F1095" t="str">
            <v>-</v>
          </cell>
          <cell r="G1095" t="str">
            <v>+</v>
          </cell>
          <cell r="H1095" t="str">
            <v>-</v>
          </cell>
          <cell r="I1095" t="str">
            <v>-</v>
          </cell>
          <cell r="J1095" t="str">
            <v>-</v>
          </cell>
          <cell r="K1095" t="str">
            <v>-</v>
          </cell>
          <cell r="L1095" t="str">
            <v>-</v>
          </cell>
          <cell r="M1095" t="str">
            <v>-</v>
          </cell>
          <cell r="N1095" t="str">
            <v>-</v>
          </cell>
          <cell r="O1095" t="str">
            <v>-</v>
          </cell>
        </row>
        <row r="1096">
          <cell r="A1096">
            <v>66901500</v>
          </cell>
          <cell r="B1096" t="str">
            <v>Friet st gallaner onion saus 280g LIDL SK SE CY</v>
          </cell>
          <cell r="C1096" t="str">
            <v>-</v>
          </cell>
          <cell r="D1096" t="str">
            <v>-</v>
          </cell>
          <cell r="E1096" t="str">
            <v>-</v>
          </cell>
          <cell r="F1096" t="str">
            <v>-</v>
          </cell>
          <cell r="G1096" t="str">
            <v>+</v>
          </cell>
          <cell r="H1096" t="str">
            <v>-</v>
          </cell>
          <cell r="I1096" t="str">
            <v>-</v>
          </cell>
          <cell r="J1096" t="str">
            <v>-</v>
          </cell>
          <cell r="K1096" t="str">
            <v>+</v>
          </cell>
          <cell r="L1096" t="str">
            <v>-</v>
          </cell>
          <cell r="M1096" t="str">
            <v>-</v>
          </cell>
          <cell r="N1096" t="str">
            <v>-</v>
          </cell>
          <cell r="O1096" t="str">
            <v>-</v>
          </cell>
        </row>
        <row r="1097">
          <cell r="A1097">
            <v>66901600</v>
          </cell>
          <cell r="B1097" t="str">
            <v>Friet spicy cocktail saus 280g LIDL SK SE CY</v>
          </cell>
          <cell r="C1097" t="str">
            <v>-</v>
          </cell>
          <cell r="D1097" t="str">
            <v>-</v>
          </cell>
          <cell r="E1097" t="str">
            <v>X</v>
          </cell>
          <cell r="F1097" t="str">
            <v>-</v>
          </cell>
          <cell r="G1097" t="str">
            <v>+</v>
          </cell>
          <cell r="H1097" t="str">
            <v>+</v>
          </cell>
          <cell r="I1097" t="str">
            <v>-</v>
          </cell>
          <cell r="J1097" t="str">
            <v>-</v>
          </cell>
          <cell r="K1097" t="str">
            <v>+</v>
          </cell>
          <cell r="L1097" t="str">
            <v>-</v>
          </cell>
          <cell r="M1097" t="str">
            <v>-</v>
          </cell>
          <cell r="N1097" t="str">
            <v>-</v>
          </cell>
          <cell r="O1097" t="str">
            <v>-</v>
          </cell>
        </row>
        <row r="1098">
          <cell r="A1098">
            <v>66901700</v>
          </cell>
          <cell r="B1098" t="str">
            <v>Friet cheddar spek 280g LIDL IE PT CH CZ AT</v>
          </cell>
          <cell r="C1098" t="str">
            <v>-</v>
          </cell>
          <cell r="D1098" t="str">
            <v>-</v>
          </cell>
          <cell r="E1098" t="str">
            <v>-</v>
          </cell>
          <cell r="F1098" t="str">
            <v>-</v>
          </cell>
          <cell r="G1098" t="str">
            <v>+</v>
          </cell>
          <cell r="H1098" t="str">
            <v>-</v>
          </cell>
          <cell r="I1098" t="str">
            <v>-</v>
          </cell>
          <cell r="J1098" t="str">
            <v>-</v>
          </cell>
          <cell r="K1098" t="str">
            <v>-</v>
          </cell>
          <cell r="L1098" t="str">
            <v>-</v>
          </cell>
          <cell r="M1098" t="str">
            <v>-</v>
          </cell>
          <cell r="N1098" t="str">
            <v>-</v>
          </cell>
          <cell r="O1098" t="str">
            <v>-</v>
          </cell>
        </row>
        <row r="1099">
          <cell r="A1099">
            <v>66901800</v>
          </cell>
          <cell r="B1099" t="str">
            <v>Friet cheddarkaasaus chili 280g LIDL IE PT CH CZ AT</v>
          </cell>
          <cell r="C1099" t="str">
            <v>-</v>
          </cell>
          <cell r="D1099" t="str">
            <v>-</v>
          </cell>
          <cell r="E1099" t="str">
            <v>-</v>
          </cell>
          <cell r="F1099" t="str">
            <v>-</v>
          </cell>
          <cell r="G1099" t="str">
            <v>+</v>
          </cell>
          <cell r="H1099" t="str">
            <v>-</v>
          </cell>
          <cell r="I1099" t="str">
            <v>-</v>
          </cell>
          <cell r="J1099" t="str">
            <v>-</v>
          </cell>
          <cell r="K1099" t="str">
            <v>-</v>
          </cell>
          <cell r="L1099" t="str">
            <v>-</v>
          </cell>
          <cell r="M1099" t="str">
            <v>-</v>
          </cell>
          <cell r="N1099" t="str">
            <v>-</v>
          </cell>
          <cell r="O1099" t="str">
            <v>-</v>
          </cell>
        </row>
        <row r="1100">
          <cell r="A1100">
            <v>66901900</v>
          </cell>
          <cell r="B1100" t="str">
            <v>Friet BBQ-saus pulled chicken 280g LIDL IE PT CH CZ AT</v>
          </cell>
          <cell r="C1100" t="str">
            <v>-</v>
          </cell>
          <cell r="D1100" t="str">
            <v>-</v>
          </cell>
          <cell r="E1100" t="str">
            <v>-</v>
          </cell>
          <cell r="F1100" t="str">
            <v>-</v>
          </cell>
          <cell r="G1100" t="str">
            <v>-</v>
          </cell>
          <cell r="H1100" t="str">
            <v>-</v>
          </cell>
          <cell r="I1100" t="str">
            <v>-</v>
          </cell>
          <cell r="J1100" t="str">
            <v>-</v>
          </cell>
          <cell r="K1100" t="str">
            <v>-</v>
          </cell>
          <cell r="L1100" t="str">
            <v>-</v>
          </cell>
          <cell r="M1100" t="str">
            <v>-</v>
          </cell>
          <cell r="N1100" t="str">
            <v>-</v>
          </cell>
          <cell r="O1100" t="str">
            <v>-</v>
          </cell>
        </row>
        <row r="1101">
          <cell r="A1101">
            <v>67100100</v>
          </cell>
          <cell r="B1101" t="str">
            <v>Buddha bowl Veg kip saté saus risotto 350g PICARD</v>
          </cell>
          <cell r="C1101" t="str">
            <v>+</v>
          </cell>
          <cell r="D1101" t="str">
            <v>-</v>
          </cell>
          <cell r="E1101" t="str">
            <v>-</v>
          </cell>
          <cell r="F1101" t="str">
            <v>-</v>
          </cell>
          <cell r="G1101" t="str">
            <v>-</v>
          </cell>
          <cell r="H1101" t="str">
            <v>-</v>
          </cell>
          <cell r="I1101" t="str">
            <v>-</v>
          </cell>
          <cell r="J1101" t="str">
            <v>-</v>
          </cell>
          <cell r="K1101" t="str">
            <v>-</v>
          </cell>
          <cell r="L1101" t="str">
            <v>+</v>
          </cell>
          <cell r="M1101" t="str">
            <v>+</v>
          </cell>
          <cell r="N1101" t="str">
            <v>-</v>
          </cell>
          <cell r="O1101" t="str">
            <v>-</v>
          </cell>
        </row>
        <row r="1102">
          <cell r="A1102">
            <v>67110100</v>
          </cell>
          <cell r="B1102" t="str">
            <v>Rund Pho Soep 400g LIDL CH SE DK FR</v>
          </cell>
          <cell r="C1102" t="str">
            <v>-</v>
          </cell>
          <cell r="D1102" t="str">
            <v>-</v>
          </cell>
          <cell r="E1102" t="str">
            <v>+</v>
          </cell>
          <cell r="F1102" t="str">
            <v>-</v>
          </cell>
          <cell r="G1102" t="str">
            <v>X</v>
          </cell>
          <cell r="H1102" t="str">
            <v>X</v>
          </cell>
          <cell r="I1102" t="str">
            <v>-</v>
          </cell>
          <cell r="J1102" t="str">
            <v>-</v>
          </cell>
          <cell r="K1102" t="str">
            <v>X</v>
          </cell>
          <cell r="L1102" t="str">
            <v>-</v>
          </cell>
          <cell r="M1102" t="str">
            <v>X</v>
          </cell>
          <cell r="N1102" t="str">
            <v>+</v>
          </cell>
          <cell r="O1102" t="str">
            <v>-</v>
          </cell>
        </row>
        <row r="1103">
          <cell r="A1103">
            <v>67110200</v>
          </cell>
          <cell r="B1103" t="str">
            <v>Kip Tom kha kai Soep 400g LIDL CH SE DK FR</v>
          </cell>
          <cell r="C1103" t="str">
            <v>-</v>
          </cell>
          <cell r="D1103" t="str">
            <v>X</v>
          </cell>
          <cell r="E1103" t="str">
            <v>+</v>
          </cell>
          <cell r="F1103" t="str">
            <v>X</v>
          </cell>
          <cell r="G1103" t="str">
            <v>+</v>
          </cell>
          <cell r="H1103" t="str">
            <v>X</v>
          </cell>
          <cell r="I1103" t="str">
            <v>-</v>
          </cell>
          <cell r="J1103" t="str">
            <v>-</v>
          </cell>
          <cell r="K1103" t="str">
            <v>+</v>
          </cell>
          <cell r="L1103" t="str">
            <v>+</v>
          </cell>
          <cell r="M1103" t="str">
            <v>+</v>
          </cell>
          <cell r="N1103" t="str">
            <v>-</v>
          </cell>
          <cell r="O1103" t="str">
            <v>-</v>
          </cell>
        </row>
        <row r="1104">
          <cell r="A1104">
            <v>67110300</v>
          </cell>
          <cell r="B1104" t="str">
            <v xml:space="preserve">Rund Pho Soep 400g LIDL LV LT </v>
          </cell>
          <cell r="C1104" t="str">
            <v>-</v>
          </cell>
          <cell r="D1104" t="str">
            <v>-</v>
          </cell>
          <cell r="E1104" t="str">
            <v>+</v>
          </cell>
          <cell r="F1104" t="str">
            <v>-</v>
          </cell>
          <cell r="G1104" t="str">
            <v>X</v>
          </cell>
          <cell r="H1104" t="str">
            <v>X</v>
          </cell>
          <cell r="I1104" t="str">
            <v>-</v>
          </cell>
          <cell r="J1104" t="str">
            <v>-</v>
          </cell>
          <cell r="K1104" t="str">
            <v>X</v>
          </cell>
          <cell r="L1104" t="str">
            <v>-</v>
          </cell>
          <cell r="M1104" t="str">
            <v>X</v>
          </cell>
          <cell r="N1104" t="str">
            <v>+</v>
          </cell>
          <cell r="O1104" t="str">
            <v>-</v>
          </cell>
        </row>
        <row r="1105">
          <cell r="A1105">
            <v>67110400</v>
          </cell>
          <cell r="B1105" t="str">
            <v>Kip Tom kha kai Soep 400g LIDL LV LT</v>
          </cell>
          <cell r="C1105" t="str">
            <v>-</v>
          </cell>
          <cell r="D1105" t="str">
            <v>X</v>
          </cell>
          <cell r="E1105" t="str">
            <v>+</v>
          </cell>
          <cell r="F1105" t="str">
            <v>X</v>
          </cell>
          <cell r="G1105" t="str">
            <v>+</v>
          </cell>
          <cell r="H1105" t="str">
            <v>X</v>
          </cell>
          <cell r="I1105" t="str">
            <v>-</v>
          </cell>
          <cell r="J1105" t="str">
            <v>-</v>
          </cell>
          <cell r="K1105" t="str">
            <v>+</v>
          </cell>
          <cell r="L1105" t="str">
            <v>+</v>
          </cell>
          <cell r="M1105" t="str">
            <v>+</v>
          </cell>
          <cell r="N1105" t="str">
            <v>-</v>
          </cell>
          <cell r="O1105" t="str">
            <v>-</v>
          </cell>
        </row>
        <row r="1106">
          <cell r="A1106">
            <v>69900900</v>
          </cell>
          <cell r="B1106" t="str">
            <v>Rundstong gesneden Jebo</v>
          </cell>
          <cell r="C1106" t="str">
            <v>-</v>
          </cell>
          <cell r="D1106" t="str">
            <v>-</v>
          </cell>
          <cell r="E1106" t="str">
            <v>-</v>
          </cell>
          <cell r="F1106" t="str">
            <v>-</v>
          </cell>
          <cell r="G1106" t="str">
            <v>-</v>
          </cell>
          <cell r="H1106" t="str">
            <v>-</v>
          </cell>
          <cell r="I1106" t="str">
            <v>-</v>
          </cell>
          <cell r="J1106" t="str">
            <v>-</v>
          </cell>
          <cell r="K1106" t="str">
            <v>-</v>
          </cell>
          <cell r="L1106" t="str">
            <v>-</v>
          </cell>
          <cell r="M1106" t="str">
            <v>-</v>
          </cell>
          <cell r="N1106" t="str">
            <v>-</v>
          </cell>
          <cell r="O1106" t="str">
            <v>-</v>
          </cell>
        </row>
        <row r="1107">
          <cell r="A1107">
            <v>66481000</v>
          </cell>
          <cell r="B1107" t="str">
            <v>Rundvlees spruitjes gekookte aardappel 500g Na-arm DVK</v>
          </cell>
          <cell r="C1107" t="str">
            <v>-</v>
          </cell>
          <cell r="D1107" t="str">
            <v>-</v>
          </cell>
          <cell r="E1107" t="str">
            <v>+</v>
          </cell>
          <cell r="F1107" t="str">
            <v>-</v>
          </cell>
          <cell r="G1107" t="str">
            <v>-</v>
          </cell>
          <cell r="H1107" t="str">
            <v>-</v>
          </cell>
          <cell r="I1107" t="str">
            <v>-</v>
          </cell>
          <cell r="J1107" t="str">
            <v>-</v>
          </cell>
          <cell r="K1107" t="str">
            <v>+</v>
          </cell>
          <cell r="L1107" t="str">
            <v>-</v>
          </cell>
          <cell r="M1107" t="str">
            <v>-</v>
          </cell>
          <cell r="N1107" t="str">
            <v>-</v>
          </cell>
          <cell r="O1107" t="str">
            <v>-</v>
          </cell>
        </row>
        <row r="1108">
          <cell r="A1108">
            <v>66482300</v>
          </cell>
          <cell r="B1108" t="str">
            <v>Kip oma's recept sperziebonen puree tomaat 500g DVK Na-arm</v>
          </cell>
          <cell r="C1108" t="str">
            <v>-</v>
          </cell>
          <cell r="D1108" t="str">
            <v>-</v>
          </cell>
          <cell r="E1108" t="str">
            <v>X</v>
          </cell>
          <cell r="F1108" t="str">
            <v>-</v>
          </cell>
          <cell r="G1108" t="str">
            <v>+</v>
          </cell>
          <cell r="H1108" t="str">
            <v>X</v>
          </cell>
          <cell r="I1108" t="str">
            <v>-</v>
          </cell>
          <cell r="J1108" t="str">
            <v>-</v>
          </cell>
          <cell r="K1108" t="str">
            <v>+</v>
          </cell>
          <cell r="L1108" t="str">
            <v>-</v>
          </cell>
          <cell r="M1108" t="str">
            <v>X</v>
          </cell>
          <cell r="N1108" t="str">
            <v>-</v>
          </cell>
          <cell r="O1108" t="str">
            <v>-</v>
          </cell>
        </row>
        <row r="1109">
          <cell r="A1109">
            <v>66482700</v>
          </cell>
          <cell r="B1109" t="str">
            <v>Alaska pollak waterkers wortelen en kriel 500g Na-arm DVK</v>
          </cell>
          <cell r="C1109" t="str">
            <v>-</v>
          </cell>
          <cell r="D1109" t="str">
            <v>-</v>
          </cell>
          <cell r="E1109" t="str">
            <v>+</v>
          </cell>
          <cell r="F1109" t="str">
            <v>-</v>
          </cell>
          <cell r="G1109" t="str">
            <v>+</v>
          </cell>
          <cell r="H1109" t="str">
            <v>-</v>
          </cell>
          <cell r="I1109" t="str">
            <v>-</v>
          </cell>
          <cell r="J1109" t="str">
            <v>-</v>
          </cell>
          <cell r="K1109" t="str">
            <v>+</v>
          </cell>
          <cell r="L1109" t="str">
            <v>-</v>
          </cell>
          <cell r="M1109" t="str">
            <v>-</v>
          </cell>
          <cell r="N1109" t="str">
            <v>+</v>
          </cell>
          <cell r="O1109" t="str">
            <v>-</v>
          </cell>
        </row>
        <row r="1110">
          <cell r="A1110">
            <v>66500100</v>
          </cell>
          <cell r="B1110" t="str">
            <v>Macaroni (elleboogjes) 400g FRIO</v>
          </cell>
          <cell r="C1110" t="str">
            <v>-</v>
          </cell>
          <cell r="D1110" t="str">
            <v>X</v>
          </cell>
          <cell r="E1110" t="str">
            <v>+</v>
          </cell>
          <cell r="F1110" t="str">
            <v>X</v>
          </cell>
          <cell r="G1110" t="str">
            <v>-</v>
          </cell>
          <cell r="H1110" t="str">
            <v>X</v>
          </cell>
          <cell r="I1110" t="str">
            <v>-</v>
          </cell>
          <cell r="J1110" t="str">
            <v>-</v>
          </cell>
          <cell r="K1110" t="str">
            <v>+</v>
          </cell>
          <cell r="L1110" t="str">
            <v>-</v>
          </cell>
          <cell r="M1110" t="str">
            <v>+</v>
          </cell>
          <cell r="N1110" t="str">
            <v>-</v>
          </cell>
          <cell r="O1110" t="str">
            <v>-</v>
          </cell>
        </row>
        <row r="1111">
          <cell r="A1111">
            <v>66500200</v>
          </cell>
          <cell r="B1111" t="str">
            <v>Bami goreng 400g FRIO</v>
          </cell>
          <cell r="C1111" t="str">
            <v>-</v>
          </cell>
          <cell r="D1111" t="str">
            <v>X</v>
          </cell>
          <cell r="E1111" t="str">
            <v>+</v>
          </cell>
          <cell r="F1111" t="str">
            <v>-</v>
          </cell>
          <cell r="G1111" t="str">
            <v>-</v>
          </cell>
          <cell r="H1111" t="str">
            <v>+</v>
          </cell>
          <cell r="I1111" t="str">
            <v>-</v>
          </cell>
          <cell r="J1111" t="str">
            <v>-</v>
          </cell>
          <cell r="K1111" t="str">
            <v>+</v>
          </cell>
          <cell r="L1111" t="str">
            <v>-</v>
          </cell>
          <cell r="M1111" t="str">
            <v>+</v>
          </cell>
          <cell r="N1111" t="str">
            <v>-</v>
          </cell>
          <cell r="O1111" t="str">
            <v>-</v>
          </cell>
        </row>
        <row r="1112">
          <cell r="A1112">
            <v>66500300</v>
          </cell>
          <cell r="B1112" t="str">
            <v>Nasi goreng 400g FRIO</v>
          </cell>
          <cell r="C1112" t="str">
            <v>-</v>
          </cell>
          <cell r="D1112" t="str">
            <v>-</v>
          </cell>
          <cell r="E1112" t="str">
            <v>+</v>
          </cell>
          <cell r="F1112" t="str">
            <v>-</v>
          </cell>
          <cell r="G1112" t="str">
            <v>-</v>
          </cell>
          <cell r="H1112" t="str">
            <v>+</v>
          </cell>
          <cell r="I1112" t="str">
            <v>-</v>
          </cell>
          <cell r="J1112" t="str">
            <v>-</v>
          </cell>
          <cell r="K1112" t="str">
            <v>+</v>
          </cell>
          <cell r="L1112" t="str">
            <v>-</v>
          </cell>
          <cell r="M1112" t="str">
            <v>+</v>
          </cell>
          <cell r="N1112" t="str">
            <v>-</v>
          </cell>
          <cell r="O1112" t="str">
            <v>-</v>
          </cell>
        </row>
        <row r="1113">
          <cell r="A1113">
            <v>66600100</v>
          </cell>
          <cell r="B1113" t="str">
            <v>Friet cheddarkaasaus spek 280g LIDL GB AT IE DK NI</v>
          </cell>
          <cell r="C1113" t="str">
            <v>-</v>
          </cell>
          <cell r="D1113" t="str">
            <v>-</v>
          </cell>
          <cell r="E1113" t="str">
            <v>+</v>
          </cell>
          <cell r="F1113" t="str">
            <v>-</v>
          </cell>
          <cell r="G1113" t="str">
            <v>+</v>
          </cell>
          <cell r="H1113" t="str">
            <v>-</v>
          </cell>
          <cell r="I1113" t="str">
            <v>-</v>
          </cell>
          <cell r="J1113" t="str">
            <v>-</v>
          </cell>
          <cell r="K1113" t="str">
            <v>-</v>
          </cell>
          <cell r="L1113" t="str">
            <v>-</v>
          </cell>
          <cell r="M1113" t="str">
            <v>-</v>
          </cell>
          <cell r="N1113" t="str">
            <v>-</v>
          </cell>
          <cell r="O1113" t="str">
            <v>-</v>
          </cell>
        </row>
        <row r="1114">
          <cell r="A1114">
            <v>66600200</v>
          </cell>
          <cell r="B1114" t="str">
            <v xml:space="preserve">Friet cheddarkaasaus chili 280g LIDL GB AT IE DK NI </v>
          </cell>
          <cell r="C1114" t="str">
            <v>-</v>
          </cell>
          <cell r="D1114" t="str">
            <v>-</v>
          </cell>
          <cell r="E1114" t="str">
            <v>+</v>
          </cell>
          <cell r="F1114" t="str">
            <v>-</v>
          </cell>
          <cell r="G1114" t="str">
            <v>+</v>
          </cell>
          <cell r="H1114" t="str">
            <v>-</v>
          </cell>
          <cell r="I1114" t="str">
            <v>-</v>
          </cell>
          <cell r="J1114" t="str">
            <v>-</v>
          </cell>
          <cell r="K1114" t="str">
            <v>-</v>
          </cell>
          <cell r="L1114" t="str">
            <v>-</v>
          </cell>
          <cell r="M1114" t="str">
            <v>-</v>
          </cell>
          <cell r="N1114" t="str">
            <v>-</v>
          </cell>
          <cell r="O1114" t="str">
            <v>-</v>
          </cell>
        </row>
        <row r="1115">
          <cell r="A1115">
            <v>66600300</v>
          </cell>
          <cell r="B1115" t="str">
            <v>Friet BBQ-saus pulled chicken 280g LIDL GB AT IE DK NI</v>
          </cell>
          <cell r="C1115" t="str">
            <v>-</v>
          </cell>
          <cell r="D1115" t="str">
            <v>-</v>
          </cell>
          <cell r="E1115" t="str">
            <v>+</v>
          </cell>
          <cell r="F1115" t="str">
            <v>-</v>
          </cell>
          <cell r="G1115" t="str">
            <v>-</v>
          </cell>
          <cell r="H1115" t="str">
            <v>-</v>
          </cell>
          <cell r="I1115" t="str">
            <v>-</v>
          </cell>
          <cell r="J1115" t="str">
            <v>-</v>
          </cell>
          <cell r="K1115" t="str">
            <v>-</v>
          </cell>
          <cell r="L1115" t="str">
            <v>-</v>
          </cell>
          <cell r="M1115" t="str">
            <v>-</v>
          </cell>
          <cell r="N1115" t="str">
            <v>-</v>
          </cell>
          <cell r="O1115" t="str">
            <v>-</v>
          </cell>
        </row>
        <row r="1116">
          <cell r="A1116">
            <v>66600400</v>
          </cell>
          <cell r="B1116" t="str">
            <v>Friet cheddarkaasaus spek 280g LIDL RO SI LT</v>
          </cell>
          <cell r="C1116" t="str">
            <v>-</v>
          </cell>
          <cell r="D1116" t="str">
            <v>-</v>
          </cell>
          <cell r="E1116" t="str">
            <v>+</v>
          </cell>
          <cell r="F1116" t="str">
            <v>-</v>
          </cell>
          <cell r="G1116" t="str">
            <v>+</v>
          </cell>
          <cell r="H1116" t="str">
            <v>-</v>
          </cell>
          <cell r="I1116" t="str">
            <v>-</v>
          </cell>
          <cell r="J1116" t="str">
            <v>-</v>
          </cell>
          <cell r="K1116" t="str">
            <v>-</v>
          </cell>
          <cell r="L1116" t="str">
            <v>-</v>
          </cell>
          <cell r="M1116" t="str">
            <v>-</v>
          </cell>
          <cell r="N1116" t="str">
            <v>-</v>
          </cell>
          <cell r="O1116" t="str">
            <v>-</v>
          </cell>
        </row>
        <row r="1117">
          <cell r="A1117">
            <v>66600500</v>
          </cell>
          <cell r="B1117" t="str">
            <v>Friet cheddarkaasaus chili 280g LIDL RO SI LT</v>
          </cell>
          <cell r="C1117" t="str">
            <v>-</v>
          </cell>
          <cell r="D1117" t="str">
            <v>-</v>
          </cell>
          <cell r="E1117" t="str">
            <v>+</v>
          </cell>
          <cell r="F1117" t="str">
            <v>-</v>
          </cell>
          <cell r="G1117" t="str">
            <v>+</v>
          </cell>
          <cell r="H1117" t="str">
            <v>-</v>
          </cell>
          <cell r="I1117" t="str">
            <v>-</v>
          </cell>
          <cell r="J1117" t="str">
            <v>-</v>
          </cell>
          <cell r="K1117" t="str">
            <v>-</v>
          </cell>
          <cell r="L1117" t="str">
            <v>-</v>
          </cell>
          <cell r="M1117" t="str">
            <v>-</v>
          </cell>
          <cell r="N1117" t="str">
            <v>-</v>
          </cell>
          <cell r="O1117" t="str">
            <v>-</v>
          </cell>
        </row>
        <row r="1118">
          <cell r="A1118">
            <v>66600600</v>
          </cell>
          <cell r="B1118" t="str">
            <v>Friet BBQ-saus pulled chicken 280g LIDL RO SI LT</v>
          </cell>
          <cell r="C1118" t="str">
            <v>-</v>
          </cell>
          <cell r="D1118" t="str">
            <v>-</v>
          </cell>
          <cell r="E1118" t="str">
            <v>+</v>
          </cell>
          <cell r="F1118" t="str">
            <v>-</v>
          </cell>
          <cell r="G1118" t="str">
            <v>-</v>
          </cell>
          <cell r="H1118" t="str">
            <v>-</v>
          </cell>
          <cell r="I1118" t="str">
            <v>-</v>
          </cell>
          <cell r="J1118" t="str">
            <v>-</v>
          </cell>
          <cell r="K1118" t="str">
            <v>-</v>
          </cell>
          <cell r="L1118" t="str">
            <v>-</v>
          </cell>
          <cell r="M1118" t="str">
            <v>-</v>
          </cell>
          <cell r="N1118" t="str">
            <v>-</v>
          </cell>
          <cell r="O1118" t="str">
            <v>-</v>
          </cell>
        </row>
        <row r="1119">
          <cell r="A1119">
            <v>66700000</v>
          </cell>
          <cell r="B1119" t="str">
            <v>Zalm ASC dille rijst 400g LIDL DE</v>
          </cell>
          <cell r="C1119" t="str">
            <v>-</v>
          </cell>
          <cell r="D1119" t="str">
            <v>-</v>
          </cell>
          <cell r="E1119" t="str">
            <v>+</v>
          </cell>
          <cell r="F1119" t="str">
            <v>-</v>
          </cell>
          <cell r="G1119" t="str">
            <v>+</v>
          </cell>
          <cell r="H1119" t="str">
            <v>X</v>
          </cell>
          <cell r="I1119" t="str">
            <v>-</v>
          </cell>
          <cell r="J1119" t="str">
            <v>X</v>
          </cell>
          <cell r="K1119" t="str">
            <v>+</v>
          </cell>
          <cell r="L1119" t="str">
            <v>-</v>
          </cell>
          <cell r="M1119" t="str">
            <v>X</v>
          </cell>
          <cell r="N1119" t="str">
            <v>+</v>
          </cell>
          <cell r="O1119" t="str">
            <v>X</v>
          </cell>
        </row>
        <row r="1120">
          <cell r="A1120">
            <v>66700100</v>
          </cell>
          <cell r="B1120" t="str">
            <v>Kabeljauw MSC mosterd 400g LIDL DE</v>
          </cell>
          <cell r="C1120" t="str">
            <v>-</v>
          </cell>
          <cell r="D1120" t="str">
            <v>-</v>
          </cell>
          <cell r="E1120" t="str">
            <v>+</v>
          </cell>
          <cell r="F1120" t="str">
            <v>-</v>
          </cell>
          <cell r="G1120" t="str">
            <v>+</v>
          </cell>
          <cell r="H1120" t="str">
            <v>+</v>
          </cell>
          <cell r="I1120" t="str">
            <v>-</v>
          </cell>
          <cell r="J1120" t="str">
            <v>X</v>
          </cell>
          <cell r="K1120" t="str">
            <v>+</v>
          </cell>
          <cell r="L1120" t="str">
            <v>-</v>
          </cell>
          <cell r="M1120" t="str">
            <v>X</v>
          </cell>
          <cell r="N1120" t="str">
            <v>+</v>
          </cell>
          <cell r="O1120" t="str">
            <v>X</v>
          </cell>
        </row>
        <row r="1121">
          <cell r="A1121">
            <v>66700200</v>
          </cell>
          <cell r="B1121" t="str">
            <v>Balletjes Zweedse saus puree appel rozijnen 400g LIDL DE</v>
          </cell>
          <cell r="C1121" t="str">
            <v>-</v>
          </cell>
          <cell r="D1121" t="str">
            <v>X</v>
          </cell>
          <cell r="E1121" t="str">
            <v>+</v>
          </cell>
          <cell r="F1121" t="str">
            <v>-</v>
          </cell>
          <cell r="G1121" t="str">
            <v>+</v>
          </cell>
          <cell r="H1121" t="str">
            <v>X</v>
          </cell>
          <cell r="I1121" t="str">
            <v>X</v>
          </cell>
          <cell r="J1121" t="str">
            <v>X</v>
          </cell>
          <cell r="K1121" t="str">
            <v>X</v>
          </cell>
          <cell r="L1121" t="str">
            <v>-</v>
          </cell>
          <cell r="M1121" t="str">
            <v>X</v>
          </cell>
          <cell r="N1121" t="str">
            <v>X</v>
          </cell>
          <cell r="O1121" t="str">
            <v>X</v>
          </cell>
        </row>
        <row r="1122">
          <cell r="A1122">
            <v>66700300</v>
          </cell>
          <cell r="B1122" t="str">
            <v>Risotto kip boschampignon 400g LIDL DE</v>
          </cell>
          <cell r="C1122" t="str">
            <v>-</v>
          </cell>
          <cell r="D1122" t="str">
            <v>-</v>
          </cell>
          <cell r="E1122" t="str">
            <v>X</v>
          </cell>
          <cell r="F1122" t="str">
            <v>-</v>
          </cell>
          <cell r="G1122" t="str">
            <v>+</v>
          </cell>
          <cell r="H1122" t="str">
            <v>X</v>
          </cell>
          <cell r="I1122" t="str">
            <v>-</v>
          </cell>
          <cell r="J1122" t="str">
            <v>-</v>
          </cell>
          <cell r="K1122" t="str">
            <v>X</v>
          </cell>
          <cell r="L1122" t="str">
            <v>-</v>
          </cell>
          <cell r="M1122" t="str">
            <v>-</v>
          </cell>
          <cell r="N1122" t="str">
            <v>-</v>
          </cell>
          <cell r="O1122" t="str">
            <v>-</v>
          </cell>
        </row>
        <row r="1123">
          <cell r="A1123">
            <v>66700400</v>
          </cell>
          <cell r="B1123" t="str">
            <v>Kipfilet honing mango aardappelschijfjes 400g LIDL DE</v>
          </cell>
          <cell r="C1123" t="str">
            <v>-</v>
          </cell>
          <cell r="D1123" t="str">
            <v>-</v>
          </cell>
          <cell r="E1123" t="str">
            <v>X</v>
          </cell>
          <cell r="F1123" t="str">
            <v>-</v>
          </cell>
          <cell r="G1123" t="str">
            <v>+</v>
          </cell>
          <cell r="H1123" t="str">
            <v>X</v>
          </cell>
          <cell r="I1123" t="str">
            <v>-</v>
          </cell>
          <cell r="J1123" t="str">
            <v>-</v>
          </cell>
          <cell r="K1123" t="str">
            <v>X</v>
          </cell>
          <cell r="L1123" t="str">
            <v>-</v>
          </cell>
          <cell r="M1123" t="str">
            <v>-</v>
          </cell>
          <cell r="N1123" t="str">
            <v>-</v>
          </cell>
          <cell r="O1123" t="str">
            <v>-</v>
          </cell>
        </row>
        <row r="1124">
          <cell r="A1124">
            <v>66700500</v>
          </cell>
          <cell r="B1124" t="str">
            <v>Kip Indische milde kokoscurry 400g LIDL DE</v>
          </cell>
          <cell r="C1124" t="str">
            <v>-</v>
          </cell>
          <cell r="D1124" t="str">
            <v>-</v>
          </cell>
          <cell r="E1124" t="str">
            <v>-</v>
          </cell>
          <cell r="F1124" t="str">
            <v>-</v>
          </cell>
          <cell r="G1124" t="str">
            <v>+</v>
          </cell>
          <cell r="H1124" t="str">
            <v>-</v>
          </cell>
          <cell r="I1124" t="str">
            <v>-</v>
          </cell>
          <cell r="J1124" t="str">
            <v>-</v>
          </cell>
          <cell r="K1124" t="str">
            <v>-</v>
          </cell>
          <cell r="L1124" t="str">
            <v>-</v>
          </cell>
          <cell r="M1124" t="str">
            <v>-</v>
          </cell>
          <cell r="N1124" t="str">
            <v>-</v>
          </cell>
          <cell r="O1124" t="str">
            <v>-</v>
          </cell>
        </row>
        <row r="1125">
          <cell r="A1125">
            <v>66700600</v>
          </cell>
          <cell r="B1125" t="str">
            <v>Zalm ASC dille rijst 400g LIDL actie</v>
          </cell>
          <cell r="C1125" t="str">
            <v>-</v>
          </cell>
          <cell r="D1125" t="str">
            <v>-</v>
          </cell>
          <cell r="E1125" t="str">
            <v>+</v>
          </cell>
          <cell r="F1125" t="str">
            <v>-</v>
          </cell>
          <cell r="G1125" t="str">
            <v>+</v>
          </cell>
          <cell r="H1125" t="str">
            <v>X</v>
          </cell>
          <cell r="I1125" t="str">
            <v>-</v>
          </cell>
          <cell r="J1125" t="str">
            <v>X</v>
          </cell>
          <cell r="K1125" t="str">
            <v>+</v>
          </cell>
          <cell r="L1125" t="str">
            <v>-</v>
          </cell>
          <cell r="M1125" t="str">
            <v>X</v>
          </cell>
          <cell r="N1125" t="str">
            <v>+</v>
          </cell>
          <cell r="O1125" t="str">
            <v>X</v>
          </cell>
        </row>
        <row r="1126">
          <cell r="A1126">
            <v>66700700</v>
          </cell>
          <cell r="B1126" t="str">
            <v>Kipfilet honig mango aardappelschijfjes 400g LIDL ACTIE</v>
          </cell>
          <cell r="C1126" t="str">
            <v>-</v>
          </cell>
          <cell r="D1126" t="str">
            <v>-</v>
          </cell>
          <cell r="E1126" t="str">
            <v>X</v>
          </cell>
          <cell r="F1126" t="str">
            <v>-</v>
          </cell>
          <cell r="G1126" t="str">
            <v>+</v>
          </cell>
          <cell r="H1126" t="str">
            <v>X</v>
          </cell>
          <cell r="I1126" t="str">
            <v>-</v>
          </cell>
          <cell r="J1126" t="str">
            <v>-</v>
          </cell>
          <cell r="K1126" t="str">
            <v>X</v>
          </cell>
          <cell r="L1126" t="str">
            <v>-</v>
          </cell>
          <cell r="M1126" t="str">
            <v>-</v>
          </cell>
          <cell r="N1126" t="str">
            <v>-</v>
          </cell>
          <cell r="O1126" t="str">
            <v>-</v>
          </cell>
        </row>
        <row r="1127">
          <cell r="A1127">
            <v>66700800</v>
          </cell>
          <cell r="B1127" t="str">
            <v>Kipfilet paprika spätzle 400g LIDL DE</v>
          </cell>
          <cell r="C1127" t="str">
            <v>-</v>
          </cell>
          <cell r="D1127" t="str">
            <v>+</v>
          </cell>
          <cell r="E1127" t="str">
            <v>+</v>
          </cell>
          <cell r="F1127" t="str">
            <v>-</v>
          </cell>
          <cell r="G1127" t="str">
            <v>+</v>
          </cell>
          <cell r="H1127" t="str">
            <v>X</v>
          </cell>
          <cell r="I1127" t="str">
            <v>-</v>
          </cell>
          <cell r="J1127" t="str">
            <v>-</v>
          </cell>
          <cell r="K1127" t="str">
            <v>X</v>
          </cell>
          <cell r="L1127" t="str">
            <v>-</v>
          </cell>
          <cell r="M1127" t="str">
            <v>X</v>
          </cell>
          <cell r="N1127" t="str">
            <v>-</v>
          </cell>
          <cell r="O1127" t="str">
            <v>-</v>
          </cell>
        </row>
        <row r="1128">
          <cell r="A1128">
            <v>66700900</v>
          </cell>
          <cell r="B1128" t="str">
            <v>Mexican breakfast huevos ranchero 350g LIDL DE</v>
          </cell>
          <cell r="C1128" t="str">
            <v>-</v>
          </cell>
          <cell r="D1128" t="str">
            <v>+</v>
          </cell>
          <cell r="E1128" t="str">
            <v>X</v>
          </cell>
          <cell r="F1128" t="str">
            <v>-</v>
          </cell>
          <cell r="G1128" t="str">
            <v>+</v>
          </cell>
          <cell r="H1128" t="str">
            <v>-</v>
          </cell>
          <cell r="I1128" t="str">
            <v>-</v>
          </cell>
          <cell r="J1128" t="str">
            <v>-</v>
          </cell>
          <cell r="K1128" t="str">
            <v>X</v>
          </cell>
          <cell r="L1128" t="str">
            <v>-</v>
          </cell>
          <cell r="M1128" t="str">
            <v>X</v>
          </cell>
          <cell r="N1128" t="str">
            <v>-</v>
          </cell>
          <cell r="O1128" t="str">
            <v>-</v>
          </cell>
        </row>
        <row r="1129">
          <cell r="A1129">
            <v>66701000</v>
          </cell>
          <cell r="B1129" t="str">
            <v>American breakfast 350g LIDL DE</v>
          </cell>
          <cell r="C1129" t="str">
            <v>-</v>
          </cell>
          <cell r="D1129" t="str">
            <v>+</v>
          </cell>
          <cell r="E1129" t="str">
            <v>-</v>
          </cell>
          <cell r="F1129" t="str">
            <v>-</v>
          </cell>
          <cell r="G1129" t="str">
            <v>+</v>
          </cell>
          <cell r="H1129" t="str">
            <v>-</v>
          </cell>
          <cell r="I1129" t="str">
            <v>-</v>
          </cell>
          <cell r="J1129" t="str">
            <v>-</v>
          </cell>
          <cell r="K1129" t="str">
            <v>+</v>
          </cell>
          <cell r="L1129" t="str">
            <v>-</v>
          </cell>
          <cell r="M1129" t="str">
            <v>-</v>
          </cell>
          <cell r="N1129" t="str">
            <v>-</v>
          </cell>
          <cell r="O1129" t="str">
            <v>-</v>
          </cell>
        </row>
        <row r="1130">
          <cell r="A1130">
            <v>66701100</v>
          </cell>
          <cell r="B1130" t="str">
            <v>Mexican breakfast 350g LIDL NL</v>
          </cell>
          <cell r="C1130" t="str">
            <v>-</v>
          </cell>
          <cell r="D1130" t="str">
            <v>+</v>
          </cell>
          <cell r="E1130" t="str">
            <v>X</v>
          </cell>
          <cell r="F1130" t="str">
            <v>-</v>
          </cell>
          <cell r="G1130" t="str">
            <v>+</v>
          </cell>
          <cell r="H1130" t="str">
            <v>-</v>
          </cell>
          <cell r="I1130" t="str">
            <v>-</v>
          </cell>
          <cell r="J1130" t="str">
            <v>-</v>
          </cell>
          <cell r="K1130" t="str">
            <v>X</v>
          </cell>
          <cell r="L1130" t="str">
            <v>-</v>
          </cell>
          <cell r="M1130" t="str">
            <v>X</v>
          </cell>
          <cell r="N1130" t="str">
            <v>-</v>
          </cell>
          <cell r="O1130" t="str">
            <v>-</v>
          </cell>
        </row>
        <row r="1131">
          <cell r="A1131">
            <v>66701200</v>
          </cell>
          <cell r="B1131" t="str">
            <v>Zalm ASC dille rijst 400g LIDL actie</v>
          </cell>
          <cell r="C1131" t="str">
            <v>-</v>
          </cell>
          <cell r="D1131" t="str">
            <v>-</v>
          </cell>
          <cell r="E1131" t="str">
            <v>+</v>
          </cell>
          <cell r="F1131" t="str">
            <v>-</v>
          </cell>
          <cell r="G1131" t="str">
            <v>+</v>
          </cell>
          <cell r="H1131" t="str">
            <v>X</v>
          </cell>
          <cell r="I1131" t="str">
            <v>-</v>
          </cell>
          <cell r="J1131" t="str">
            <v>X</v>
          </cell>
          <cell r="K1131" t="str">
            <v>+</v>
          </cell>
          <cell r="L1131" t="str">
            <v>-</v>
          </cell>
          <cell r="M1131" t="str">
            <v>X</v>
          </cell>
          <cell r="N1131" t="str">
            <v>+</v>
          </cell>
          <cell r="O1131" t="str">
            <v>X</v>
          </cell>
        </row>
        <row r="1132">
          <cell r="A1132">
            <v>66701300</v>
          </cell>
          <cell r="B1132" t="str">
            <v>Kipfilet honig mango aardappelschijfjes 400g LIDL ACTIE</v>
          </cell>
          <cell r="C1132" t="str">
            <v>-</v>
          </cell>
          <cell r="D1132" t="str">
            <v>-</v>
          </cell>
          <cell r="E1132" t="str">
            <v>X</v>
          </cell>
          <cell r="F1132" t="str">
            <v>-</v>
          </cell>
          <cell r="G1132" t="str">
            <v>+</v>
          </cell>
          <cell r="H1132" t="str">
            <v>X</v>
          </cell>
          <cell r="I1132" t="str">
            <v>-</v>
          </cell>
          <cell r="J1132" t="str">
            <v>-</v>
          </cell>
          <cell r="K1132" t="str">
            <v>X</v>
          </cell>
          <cell r="L1132" t="str">
            <v>-</v>
          </cell>
          <cell r="M1132" t="str">
            <v>-</v>
          </cell>
          <cell r="N1132" t="str">
            <v>-</v>
          </cell>
          <cell r="O1132" t="str">
            <v>-</v>
          </cell>
        </row>
        <row r="1133">
          <cell r="A1133">
            <v>66800300</v>
          </cell>
          <cell r="B1133" t="str">
            <v>Kip Madras basmati rode rijst groentenmix 400g MAMA'S</v>
          </cell>
          <cell r="C1133" t="str">
            <v>-</v>
          </cell>
          <cell r="D1133" t="str">
            <v>X</v>
          </cell>
          <cell r="E1133" t="str">
            <v>+</v>
          </cell>
          <cell r="F1133" t="str">
            <v>-</v>
          </cell>
          <cell r="G1133" t="str">
            <v>+</v>
          </cell>
          <cell r="H1133" t="str">
            <v>-</v>
          </cell>
          <cell r="I1133" t="str">
            <v>-</v>
          </cell>
          <cell r="J1133" t="str">
            <v>-</v>
          </cell>
          <cell r="K1133" t="str">
            <v>-</v>
          </cell>
          <cell r="L1133" t="str">
            <v>-</v>
          </cell>
          <cell r="M1133" t="str">
            <v>-</v>
          </cell>
          <cell r="N1133" t="str">
            <v>-</v>
          </cell>
          <cell r="O1133" t="str">
            <v>-</v>
          </cell>
        </row>
        <row r="1134">
          <cell r="A1134">
            <v>66801000</v>
          </cell>
          <cell r="B1134" t="str">
            <v>Zalm aardappel ecrasé spezierbonen lookboter 400g MAMA'S</v>
          </cell>
          <cell r="C1134" t="str">
            <v>-</v>
          </cell>
          <cell r="D1134" t="str">
            <v>-</v>
          </cell>
          <cell r="E1134" t="str">
            <v>-</v>
          </cell>
          <cell r="F1134" t="str">
            <v>-</v>
          </cell>
          <cell r="G1134" t="str">
            <v>+</v>
          </cell>
          <cell r="H1134" t="str">
            <v>-</v>
          </cell>
          <cell r="I1134" t="str">
            <v>-</v>
          </cell>
          <cell r="J1134" t="str">
            <v>-</v>
          </cell>
          <cell r="K1134" t="str">
            <v>+</v>
          </cell>
          <cell r="L1134" t="str">
            <v>-</v>
          </cell>
          <cell r="M1134" t="str">
            <v>-</v>
          </cell>
          <cell r="N1134" t="str">
            <v>+</v>
          </cell>
          <cell r="O1134" t="str">
            <v>-</v>
          </cell>
        </row>
        <row r="1135">
          <cell r="A1135">
            <v>66801100</v>
          </cell>
          <cell r="B1135" t="str">
            <v xml:space="preserve">Indische kip saté bami sambalboontjes 400g MAMA'S </v>
          </cell>
          <cell r="C1135" t="str">
            <v>+</v>
          </cell>
          <cell r="D1135" t="str">
            <v>+</v>
          </cell>
          <cell r="E1135" t="str">
            <v>+</v>
          </cell>
          <cell r="F1135" t="str">
            <v>-</v>
          </cell>
          <cell r="G1135" t="str">
            <v>-</v>
          </cell>
          <cell r="H1135" t="str">
            <v>X</v>
          </cell>
          <cell r="I1135" t="str">
            <v>-</v>
          </cell>
          <cell r="J1135" t="str">
            <v>-</v>
          </cell>
          <cell r="K1135" t="str">
            <v>+</v>
          </cell>
          <cell r="L1135" t="str">
            <v>-</v>
          </cell>
          <cell r="M1135" t="str">
            <v>+</v>
          </cell>
          <cell r="N1135" t="str">
            <v>-</v>
          </cell>
          <cell r="O1135" t="str">
            <v>-</v>
          </cell>
        </row>
        <row r="1136">
          <cell r="A1136">
            <v>66801200</v>
          </cell>
          <cell r="B1136" t="str">
            <v>Babi pangang, witte rijst, edamame 400g MAMA'S</v>
          </cell>
          <cell r="C1136" t="str">
            <v>-</v>
          </cell>
          <cell r="D1136" t="str">
            <v>X</v>
          </cell>
          <cell r="E1136" t="str">
            <v>+</v>
          </cell>
          <cell r="F1136" t="str">
            <v>-</v>
          </cell>
          <cell r="G1136" t="str">
            <v>X</v>
          </cell>
          <cell r="H1136" t="str">
            <v>X</v>
          </cell>
          <cell r="I1136" t="str">
            <v>-</v>
          </cell>
          <cell r="J1136" t="str">
            <v>-</v>
          </cell>
          <cell r="K1136" t="str">
            <v>+</v>
          </cell>
          <cell r="L1136" t="str">
            <v>+</v>
          </cell>
          <cell r="M1136" t="str">
            <v>+</v>
          </cell>
          <cell r="N1136" t="str">
            <v>-</v>
          </cell>
          <cell r="O1136" t="str">
            <v>-</v>
          </cell>
        </row>
        <row r="1137">
          <cell r="A1137">
            <v>66801400</v>
          </cell>
          <cell r="B1137" t="str">
            <v>Kip teriyaki pandan-sojaboon wortel spitskool 400g MAMA'S</v>
          </cell>
          <cell r="C1137" t="str">
            <v>-</v>
          </cell>
          <cell r="D1137" t="str">
            <v>-</v>
          </cell>
          <cell r="E1137" t="str">
            <v>-</v>
          </cell>
          <cell r="F1137" t="str">
            <v>-</v>
          </cell>
          <cell r="G1137" t="str">
            <v>-</v>
          </cell>
          <cell r="H1137" t="str">
            <v>-</v>
          </cell>
          <cell r="I1137" t="str">
            <v>-</v>
          </cell>
          <cell r="J1137" t="str">
            <v>-</v>
          </cell>
          <cell r="K1137" t="str">
            <v>-</v>
          </cell>
          <cell r="L1137" t="str">
            <v>+</v>
          </cell>
          <cell r="M1137" t="str">
            <v>+</v>
          </cell>
          <cell r="N1137" t="str">
            <v>-</v>
          </cell>
          <cell r="O1137" t="str">
            <v>-</v>
          </cell>
        </row>
        <row r="1138">
          <cell r="A1138">
            <v>66801500</v>
          </cell>
          <cell r="B1138" t="str">
            <v>Kip penne pesto groenten 400g MAMA'S</v>
          </cell>
          <cell r="C1138" t="str">
            <v>-</v>
          </cell>
          <cell r="D1138" t="str">
            <v>X</v>
          </cell>
          <cell r="E1138" t="str">
            <v>+</v>
          </cell>
          <cell r="F1138" t="str">
            <v>X</v>
          </cell>
          <cell r="G1138" t="str">
            <v>-</v>
          </cell>
          <cell r="H1138" t="str">
            <v>X</v>
          </cell>
          <cell r="I1138" t="str">
            <v>+</v>
          </cell>
          <cell r="J1138" t="str">
            <v>-</v>
          </cell>
          <cell r="K1138" t="str">
            <v>-</v>
          </cell>
          <cell r="L1138" t="str">
            <v>-</v>
          </cell>
          <cell r="M1138" t="str">
            <v>X</v>
          </cell>
          <cell r="N1138" t="str">
            <v>-</v>
          </cell>
          <cell r="O1138" t="str">
            <v>-</v>
          </cell>
        </row>
        <row r="1139">
          <cell r="A1139">
            <v>66801700</v>
          </cell>
          <cell r="B1139" t="str">
            <v>Risotto kip boschampignon 400g MAMA'S</v>
          </cell>
          <cell r="C1139" t="str">
            <v>-</v>
          </cell>
          <cell r="D1139" t="str">
            <v>-</v>
          </cell>
          <cell r="E1139" t="str">
            <v>X</v>
          </cell>
          <cell r="F1139" t="str">
            <v>-</v>
          </cell>
          <cell r="G1139" t="str">
            <v>+</v>
          </cell>
          <cell r="H1139" t="str">
            <v>X</v>
          </cell>
          <cell r="I1139" t="str">
            <v>-</v>
          </cell>
          <cell r="J1139" t="str">
            <v>-</v>
          </cell>
          <cell r="K1139" t="str">
            <v>X</v>
          </cell>
          <cell r="L1139" t="str">
            <v>-</v>
          </cell>
          <cell r="M1139" t="str">
            <v>-</v>
          </cell>
          <cell r="N1139" t="str">
            <v>-</v>
          </cell>
          <cell r="O1139" t="str">
            <v>-</v>
          </cell>
        </row>
        <row r="1140">
          <cell r="A1140">
            <v>66801800</v>
          </cell>
          <cell r="B1140" t="str">
            <v>Kabeljauw mosterdsaus stamppot 400g MAMA'S</v>
          </cell>
          <cell r="C1140" t="str">
            <v>-</v>
          </cell>
          <cell r="D1140" t="str">
            <v>-</v>
          </cell>
          <cell r="E1140" t="str">
            <v>+</v>
          </cell>
          <cell r="F1140" t="str">
            <v>-</v>
          </cell>
          <cell r="G1140" t="str">
            <v>+</v>
          </cell>
          <cell r="H1140" t="str">
            <v>+</v>
          </cell>
          <cell r="I1140" t="str">
            <v>-</v>
          </cell>
          <cell r="J1140" t="str">
            <v>X</v>
          </cell>
          <cell r="K1140" t="str">
            <v>+</v>
          </cell>
          <cell r="L1140" t="str">
            <v>-</v>
          </cell>
          <cell r="M1140" t="str">
            <v>X</v>
          </cell>
          <cell r="N1140" t="str">
            <v>+</v>
          </cell>
          <cell r="O1140" t="str">
            <v>X</v>
          </cell>
        </row>
        <row r="1141">
          <cell r="A1141">
            <v>66802000</v>
          </cell>
          <cell r="B1141" t="str">
            <v>Zalm linguini groenten mix lookboter 400g MAMA'S</v>
          </cell>
          <cell r="C1141" t="str">
            <v>-</v>
          </cell>
          <cell r="D1141" t="str">
            <v>X</v>
          </cell>
          <cell r="E1141" t="str">
            <v>+</v>
          </cell>
          <cell r="F1141" t="str">
            <v>X</v>
          </cell>
          <cell r="G1141" t="str">
            <v>+</v>
          </cell>
          <cell r="H1141" t="str">
            <v>X</v>
          </cell>
          <cell r="I1141" t="str">
            <v>-</v>
          </cell>
          <cell r="J1141" t="str">
            <v>-</v>
          </cell>
          <cell r="K1141" t="str">
            <v>+</v>
          </cell>
          <cell r="L1141" t="str">
            <v>-</v>
          </cell>
          <cell r="M1141" t="str">
            <v>X</v>
          </cell>
          <cell r="N1141" t="str">
            <v>+</v>
          </cell>
          <cell r="O1141" t="str">
            <v>-</v>
          </cell>
        </row>
        <row r="1142">
          <cell r="A1142">
            <v>66802100</v>
          </cell>
          <cell r="B1142" t="str">
            <v xml:space="preserve">Kip Teriyaki pandan groentemix NL FR D 400g MAMA'S </v>
          </cell>
          <cell r="C1142" t="str">
            <v>-</v>
          </cell>
          <cell r="D1142" t="str">
            <v>-</v>
          </cell>
          <cell r="E1142" t="str">
            <v>-</v>
          </cell>
          <cell r="F1142" t="str">
            <v>-</v>
          </cell>
          <cell r="G1142" t="str">
            <v>-</v>
          </cell>
          <cell r="H1142" t="str">
            <v>-</v>
          </cell>
          <cell r="I1142" t="str">
            <v>-</v>
          </cell>
          <cell r="J1142" t="str">
            <v>-</v>
          </cell>
          <cell r="K1142" t="str">
            <v>-</v>
          </cell>
          <cell r="L1142" t="str">
            <v>+</v>
          </cell>
          <cell r="M1142" t="str">
            <v>+</v>
          </cell>
          <cell r="N1142" t="str">
            <v>-</v>
          </cell>
          <cell r="O1142" t="str">
            <v>-</v>
          </cell>
        </row>
        <row r="1143">
          <cell r="A1143">
            <v>66802200</v>
          </cell>
          <cell r="B1143" t="str">
            <v>Risotto kip boschampignon NL FR D 400g MAMA'S</v>
          </cell>
          <cell r="C1143" t="str">
            <v>-</v>
          </cell>
          <cell r="D1143" t="str">
            <v>-</v>
          </cell>
          <cell r="E1143" t="str">
            <v>X</v>
          </cell>
          <cell r="F1143" t="str">
            <v>-</v>
          </cell>
          <cell r="G1143" t="str">
            <v>+</v>
          </cell>
          <cell r="H1143" t="str">
            <v>X</v>
          </cell>
          <cell r="I1143" t="str">
            <v>-</v>
          </cell>
          <cell r="J1143" t="str">
            <v>-</v>
          </cell>
          <cell r="K1143" t="str">
            <v>X</v>
          </cell>
          <cell r="L1143" t="str">
            <v>-</v>
          </cell>
          <cell r="M1143" t="str">
            <v>-</v>
          </cell>
          <cell r="N1143" t="str">
            <v>-</v>
          </cell>
          <cell r="O1143" t="str">
            <v>-</v>
          </cell>
        </row>
        <row r="1144">
          <cell r="A1144">
            <v>66802300</v>
          </cell>
          <cell r="B1144" t="str">
            <v>Babi pangang, witte rijst, edamame NL-FR-D 400g MAMA'S</v>
          </cell>
          <cell r="C1144" t="str">
            <v>-</v>
          </cell>
          <cell r="D1144" t="str">
            <v>X</v>
          </cell>
          <cell r="E1144" t="str">
            <v>+</v>
          </cell>
          <cell r="F1144" t="str">
            <v>-</v>
          </cell>
          <cell r="G1144" t="str">
            <v>X</v>
          </cell>
          <cell r="H1144" t="str">
            <v>X</v>
          </cell>
          <cell r="I1144" t="str">
            <v>-</v>
          </cell>
          <cell r="J1144" t="str">
            <v>-</v>
          </cell>
          <cell r="K1144" t="str">
            <v>+</v>
          </cell>
          <cell r="L1144" t="str">
            <v>+</v>
          </cell>
          <cell r="M1144" t="str">
            <v>+</v>
          </cell>
          <cell r="N1144" t="str">
            <v>-</v>
          </cell>
          <cell r="O1144" t="str">
            <v>-</v>
          </cell>
        </row>
        <row r="1145">
          <cell r="A1145">
            <v>66802400</v>
          </cell>
          <cell r="B1145" t="str">
            <v>Zalm linguini groenten mix lookboter NL-FR-D 400g MAMA'S</v>
          </cell>
          <cell r="C1145" t="str">
            <v>-</v>
          </cell>
          <cell r="D1145" t="str">
            <v>X</v>
          </cell>
          <cell r="E1145" t="str">
            <v>+</v>
          </cell>
          <cell r="F1145" t="str">
            <v>X</v>
          </cell>
          <cell r="G1145" t="str">
            <v>+</v>
          </cell>
          <cell r="H1145" t="str">
            <v>X</v>
          </cell>
          <cell r="I1145" t="str">
            <v>-</v>
          </cell>
          <cell r="J1145" t="str">
            <v>-</v>
          </cell>
          <cell r="K1145" t="str">
            <v>+</v>
          </cell>
          <cell r="L1145" t="str">
            <v>-</v>
          </cell>
          <cell r="M1145" t="str">
            <v>X</v>
          </cell>
          <cell r="N1145" t="str">
            <v>+</v>
          </cell>
          <cell r="O1145" t="str">
            <v>-</v>
          </cell>
        </row>
        <row r="1146">
          <cell r="A1146">
            <v>66802500</v>
          </cell>
          <cell r="B1146" t="str">
            <v>Melanzane tomatensaus en gehakt 400g MAMA'S</v>
          </cell>
          <cell r="C1146" t="str">
            <v>-</v>
          </cell>
          <cell r="D1146" t="str">
            <v>-</v>
          </cell>
          <cell r="E1146" t="str">
            <v>-</v>
          </cell>
          <cell r="F1146" t="str">
            <v>-</v>
          </cell>
          <cell r="G1146" t="str">
            <v>+</v>
          </cell>
          <cell r="H1146" t="str">
            <v>-</v>
          </cell>
          <cell r="I1146" t="str">
            <v>-</v>
          </cell>
          <cell r="J1146" t="str">
            <v>-</v>
          </cell>
          <cell r="K1146" t="str">
            <v>+</v>
          </cell>
          <cell r="L1146" t="str">
            <v>-</v>
          </cell>
          <cell r="M1146" t="str">
            <v>-</v>
          </cell>
          <cell r="N1146" t="str">
            <v>-</v>
          </cell>
          <cell r="O1146" t="str">
            <v>-</v>
          </cell>
        </row>
        <row r="1147">
          <cell r="A1147">
            <v>66811300</v>
          </cell>
          <cell r="B1147" t="str">
            <v>Kip rijst teriyaki  HALAL 425g FIT EW</v>
          </cell>
          <cell r="C1147" t="str">
            <v>-</v>
          </cell>
          <cell r="D1147" t="str">
            <v>-</v>
          </cell>
          <cell r="E1147" t="str">
            <v>-</v>
          </cell>
          <cell r="F1147" t="str">
            <v>-</v>
          </cell>
          <cell r="G1147" t="str">
            <v>-</v>
          </cell>
          <cell r="H1147" t="str">
            <v>-</v>
          </cell>
          <cell r="I1147" t="str">
            <v>-</v>
          </cell>
          <cell r="J1147" t="str">
            <v>-</v>
          </cell>
          <cell r="K1147" t="str">
            <v>-</v>
          </cell>
          <cell r="L1147" t="str">
            <v>+</v>
          </cell>
          <cell r="M1147" t="str">
            <v>+</v>
          </cell>
          <cell r="N1147" t="str">
            <v>-</v>
          </cell>
          <cell r="O1147" t="str">
            <v>-</v>
          </cell>
        </row>
        <row r="1148">
          <cell r="A1148">
            <v>66811400</v>
          </cell>
          <cell r="B1148" t="str">
            <v>Pulled kip curry HALAL 425g FIT EW</v>
          </cell>
          <cell r="C1148" t="str">
            <v>X</v>
          </cell>
          <cell r="D1148" t="str">
            <v>X</v>
          </cell>
          <cell r="E1148" t="str">
            <v>X</v>
          </cell>
          <cell r="F1148" t="str">
            <v>X</v>
          </cell>
          <cell r="G1148" t="str">
            <v>+</v>
          </cell>
          <cell r="H1148" t="str">
            <v>+</v>
          </cell>
          <cell r="I1148" t="str">
            <v>X</v>
          </cell>
          <cell r="J1148" t="str">
            <v>X</v>
          </cell>
          <cell r="K1148" t="str">
            <v>+</v>
          </cell>
          <cell r="L1148" t="str">
            <v>X</v>
          </cell>
          <cell r="M1148" t="str">
            <v>X</v>
          </cell>
          <cell r="N1148" t="str">
            <v>X</v>
          </cell>
          <cell r="O1148" t="str">
            <v>X</v>
          </cell>
        </row>
        <row r="1149">
          <cell r="A1149">
            <v>66811500</v>
          </cell>
          <cell r="B1149" t="str">
            <v>Kip pasta HALAL 425g FIT EW</v>
          </cell>
          <cell r="C1149" t="str">
            <v>X</v>
          </cell>
          <cell r="D1149" t="str">
            <v>X</v>
          </cell>
          <cell r="E1149" t="str">
            <v>+</v>
          </cell>
          <cell r="F1149" t="str">
            <v>X</v>
          </cell>
          <cell r="G1149" t="str">
            <v>+</v>
          </cell>
          <cell r="H1149" t="str">
            <v>X</v>
          </cell>
          <cell r="I1149" t="str">
            <v>X</v>
          </cell>
          <cell r="J1149" t="str">
            <v>X</v>
          </cell>
          <cell r="K1149" t="str">
            <v>X</v>
          </cell>
          <cell r="L1149" t="str">
            <v>X</v>
          </cell>
          <cell r="M1149" t="str">
            <v>X</v>
          </cell>
          <cell r="N1149" t="str">
            <v>X</v>
          </cell>
          <cell r="O1149" t="str">
            <v>X</v>
          </cell>
        </row>
        <row r="1150">
          <cell r="A1150">
            <v>66811600</v>
          </cell>
          <cell r="B1150" t="str">
            <v>Spaghetti bolognaise 425g FIT EW</v>
          </cell>
          <cell r="C1150" t="str">
            <v>-</v>
          </cell>
          <cell r="D1150" t="str">
            <v>X</v>
          </cell>
          <cell r="E1150" t="str">
            <v>+</v>
          </cell>
          <cell r="F1150" t="str">
            <v>X</v>
          </cell>
          <cell r="G1150" t="str">
            <v>-</v>
          </cell>
          <cell r="H1150" t="str">
            <v>X</v>
          </cell>
          <cell r="I1150" t="str">
            <v>-</v>
          </cell>
          <cell r="J1150" t="str">
            <v>-</v>
          </cell>
          <cell r="K1150" t="str">
            <v>+</v>
          </cell>
          <cell r="L1150" t="str">
            <v>-</v>
          </cell>
          <cell r="M1150" t="str">
            <v>X</v>
          </cell>
          <cell r="N1150" t="str">
            <v>-</v>
          </cell>
          <cell r="O1150" t="str">
            <v>-</v>
          </cell>
        </row>
        <row r="1151">
          <cell r="A1151">
            <v>66811700</v>
          </cell>
          <cell r="B1151" t="str">
            <v>Kip Saté rijst HALAL 425g FIT EW</v>
          </cell>
          <cell r="C1151" t="str">
            <v>+</v>
          </cell>
          <cell r="D1151" t="str">
            <v>-</v>
          </cell>
          <cell r="E1151" t="str">
            <v>-</v>
          </cell>
          <cell r="F1151" t="str">
            <v>-</v>
          </cell>
          <cell r="G1151" t="str">
            <v>-</v>
          </cell>
          <cell r="H1151" t="str">
            <v>-</v>
          </cell>
          <cell r="I1151" t="str">
            <v>-</v>
          </cell>
          <cell r="J1151" t="str">
            <v>-</v>
          </cell>
          <cell r="K1151" t="str">
            <v>X</v>
          </cell>
          <cell r="L1151" t="str">
            <v>-</v>
          </cell>
          <cell r="M1151" t="str">
            <v>+</v>
          </cell>
          <cell r="N1151" t="str">
            <v>-</v>
          </cell>
          <cell r="O1151" t="str">
            <v>-</v>
          </cell>
        </row>
        <row r="1152">
          <cell r="A1152">
            <v>66811800</v>
          </cell>
          <cell r="B1152" t="str">
            <v>Kip linguine teriyaki HALAL 425g FIT EW</v>
          </cell>
          <cell r="C1152" t="str">
            <v>-</v>
          </cell>
          <cell r="D1152" t="str">
            <v>X</v>
          </cell>
          <cell r="E1152" t="str">
            <v>+</v>
          </cell>
          <cell r="F1152" t="str">
            <v>X</v>
          </cell>
          <cell r="G1152" t="str">
            <v>-</v>
          </cell>
          <cell r="H1152" t="str">
            <v>X</v>
          </cell>
          <cell r="I1152" t="str">
            <v>-</v>
          </cell>
          <cell r="J1152" t="str">
            <v>-</v>
          </cell>
          <cell r="K1152" t="str">
            <v>-</v>
          </cell>
          <cell r="L1152" t="str">
            <v>+</v>
          </cell>
          <cell r="M1152" t="str">
            <v>+</v>
          </cell>
          <cell r="N1152" t="str">
            <v>-</v>
          </cell>
          <cell r="O1152" t="str">
            <v>-</v>
          </cell>
        </row>
        <row r="1153">
          <cell r="A1153">
            <v>66811900</v>
          </cell>
          <cell r="B1153" t="str">
            <v>Lasagne RU bolognaise gegrilde groenten 425g FIT EW</v>
          </cell>
          <cell r="C1153" t="str">
            <v>-</v>
          </cell>
          <cell r="D1153" t="str">
            <v>+</v>
          </cell>
          <cell r="E1153" t="str">
            <v>+</v>
          </cell>
          <cell r="F1153" t="str">
            <v>-</v>
          </cell>
          <cell r="G1153" t="str">
            <v>+</v>
          </cell>
          <cell r="H1153" t="str">
            <v>-</v>
          </cell>
          <cell r="I1153" t="str">
            <v>-</v>
          </cell>
          <cell r="J1153" t="str">
            <v>-</v>
          </cell>
          <cell r="K1153" t="str">
            <v>+</v>
          </cell>
          <cell r="L1153" t="str">
            <v>-</v>
          </cell>
          <cell r="M1153" t="str">
            <v>-</v>
          </cell>
          <cell r="N1153" t="str">
            <v>-</v>
          </cell>
          <cell r="O1153" t="str">
            <v>-</v>
          </cell>
        </row>
        <row r="1154">
          <cell r="A1154">
            <v>66812000</v>
          </cell>
          <cell r="B1154" t="str">
            <v>Chili con carne rijst long grain 425g FIT EW</v>
          </cell>
          <cell r="C1154" t="str">
            <v>-</v>
          </cell>
          <cell r="D1154" t="str">
            <v>-</v>
          </cell>
          <cell r="E1154" t="str">
            <v>-</v>
          </cell>
          <cell r="F1154" t="str">
            <v>-</v>
          </cell>
          <cell r="G1154" t="str">
            <v>+</v>
          </cell>
          <cell r="H1154" t="str">
            <v>-</v>
          </cell>
          <cell r="I1154" t="str">
            <v>-</v>
          </cell>
          <cell r="J1154" t="str">
            <v>-</v>
          </cell>
          <cell r="K1154" t="str">
            <v>-</v>
          </cell>
          <cell r="L1154" t="str">
            <v>-</v>
          </cell>
          <cell r="M1154" t="str">
            <v>-</v>
          </cell>
          <cell r="N1154" t="str">
            <v>-</v>
          </cell>
          <cell r="O1154" t="str">
            <v>-</v>
          </cell>
        </row>
        <row r="1155">
          <cell r="A1155">
            <v>66812100</v>
          </cell>
          <cell r="B1155" t="str">
            <v>Indische rendang nasi boontjes 425g FIT EW</v>
          </cell>
          <cell r="C1155" t="str">
            <v>-</v>
          </cell>
          <cell r="D1155" t="str">
            <v>X</v>
          </cell>
          <cell r="E1155" t="str">
            <v>X</v>
          </cell>
          <cell r="F1155" t="str">
            <v>-</v>
          </cell>
          <cell r="G1155" t="str">
            <v>+</v>
          </cell>
          <cell r="H1155" t="str">
            <v>-</v>
          </cell>
          <cell r="I1155" t="str">
            <v>+</v>
          </cell>
          <cell r="J1155" t="str">
            <v>+</v>
          </cell>
          <cell r="K1155" t="str">
            <v>+</v>
          </cell>
          <cell r="L1155" t="str">
            <v>-</v>
          </cell>
          <cell r="M1155" t="str">
            <v>X</v>
          </cell>
          <cell r="N1155" t="str">
            <v>+</v>
          </cell>
          <cell r="O1155" t="str">
            <v>+</v>
          </cell>
        </row>
        <row r="1156">
          <cell r="A1156">
            <v>66812200</v>
          </cell>
          <cell r="B1156" t="str">
            <v>Koolvis duglere rijst groene groentenmix 425g FIT EW</v>
          </cell>
          <cell r="C1156" t="str">
            <v>-</v>
          </cell>
          <cell r="D1156" t="str">
            <v>-</v>
          </cell>
          <cell r="E1156" t="str">
            <v>+</v>
          </cell>
          <cell r="F1156" t="str">
            <v>-</v>
          </cell>
          <cell r="G1156" t="str">
            <v>+</v>
          </cell>
          <cell r="H1156" t="str">
            <v>-</v>
          </cell>
          <cell r="I1156" t="str">
            <v>-</v>
          </cell>
          <cell r="J1156" t="str">
            <v>X</v>
          </cell>
          <cell r="K1156" t="str">
            <v>X</v>
          </cell>
          <cell r="L1156" t="str">
            <v>-</v>
          </cell>
          <cell r="M1156" t="str">
            <v>+</v>
          </cell>
          <cell r="N1156" t="str">
            <v>+</v>
          </cell>
          <cell r="O1156" t="str">
            <v>X</v>
          </cell>
        </row>
        <row r="1157">
          <cell r="A1157">
            <v>66812300</v>
          </cell>
          <cell r="B1157" t="str">
            <v>Risotto kip boschampignon 425g FIT EW</v>
          </cell>
          <cell r="C1157" t="str">
            <v>-</v>
          </cell>
          <cell r="D1157" t="str">
            <v>-</v>
          </cell>
          <cell r="E1157" t="str">
            <v>X</v>
          </cell>
          <cell r="F1157" t="str">
            <v>-</v>
          </cell>
          <cell r="G1157" t="str">
            <v>+</v>
          </cell>
          <cell r="H1157" t="str">
            <v>X</v>
          </cell>
          <cell r="I1157" t="str">
            <v>-</v>
          </cell>
          <cell r="J1157" t="str">
            <v>-</v>
          </cell>
          <cell r="K1157" t="str">
            <v>X</v>
          </cell>
          <cell r="L1157" t="str">
            <v>-</v>
          </cell>
          <cell r="M1157" t="str">
            <v>-</v>
          </cell>
          <cell r="N1157" t="str">
            <v>-</v>
          </cell>
          <cell r="O1157" t="str">
            <v>-</v>
          </cell>
        </row>
        <row r="1158">
          <cell r="A1158">
            <v>66812400</v>
          </cell>
          <cell r="B1158" t="str">
            <v>Kip saté bami goreng 425g FIT EW</v>
          </cell>
          <cell r="C1158" t="str">
            <v>+</v>
          </cell>
          <cell r="D1158" t="str">
            <v>X</v>
          </cell>
          <cell r="E1158" t="str">
            <v>+</v>
          </cell>
          <cell r="F1158" t="str">
            <v>-</v>
          </cell>
          <cell r="G1158" t="str">
            <v>-</v>
          </cell>
          <cell r="H1158" t="str">
            <v>X</v>
          </cell>
          <cell r="I1158" t="str">
            <v>-</v>
          </cell>
          <cell r="J1158" t="str">
            <v>-</v>
          </cell>
          <cell r="K1158" t="str">
            <v>+</v>
          </cell>
          <cell r="L1158" t="str">
            <v>-</v>
          </cell>
          <cell r="M1158" t="str">
            <v>+</v>
          </cell>
          <cell r="N1158" t="str">
            <v>-</v>
          </cell>
          <cell r="O1158" t="str">
            <v>-</v>
          </cell>
        </row>
        <row r="1159">
          <cell r="A1159">
            <v>66812500</v>
          </cell>
          <cell r="B1159" t="str">
            <v>kip döner BBQ-saus gebakken aard groentenmix 425g FIT EW</v>
          </cell>
          <cell r="C1159" t="str">
            <v>-</v>
          </cell>
          <cell r="D1159" t="str">
            <v>-</v>
          </cell>
          <cell r="E1159" t="str">
            <v>-</v>
          </cell>
          <cell r="F1159" t="str">
            <v>-</v>
          </cell>
          <cell r="G1159" t="str">
            <v>-</v>
          </cell>
          <cell r="H1159" t="str">
            <v>-</v>
          </cell>
          <cell r="I1159" t="str">
            <v>-</v>
          </cell>
          <cell r="J1159" t="str">
            <v>-</v>
          </cell>
          <cell r="K1159" t="str">
            <v>+</v>
          </cell>
          <cell r="L1159" t="str">
            <v>-</v>
          </cell>
          <cell r="M1159" t="str">
            <v>-</v>
          </cell>
          <cell r="N1159" t="str">
            <v>-</v>
          </cell>
          <cell r="O1159" t="str">
            <v>-</v>
          </cell>
        </row>
        <row r="1160">
          <cell r="A1160">
            <v>66820600</v>
          </cell>
          <cell r="B1160" t="str">
            <v>Lasagne bolognese gegrilled groenten vegan 400g VOOD</v>
          </cell>
          <cell r="C1160" t="str">
            <v>-</v>
          </cell>
          <cell r="D1160" t="str">
            <v>X</v>
          </cell>
          <cell r="E1160" t="str">
            <v>+</v>
          </cell>
          <cell r="F1160" t="str">
            <v>-</v>
          </cell>
          <cell r="G1160" t="str">
            <v>X</v>
          </cell>
          <cell r="H1160" t="str">
            <v>-</v>
          </cell>
          <cell r="I1160" t="str">
            <v>-</v>
          </cell>
          <cell r="J1160" t="str">
            <v>-</v>
          </cell>
          <cell r="K1160" t="str">
            <v>+</v>
          </cell>
          <cell r="L1160" t="str">
            <v>-</v>
          </cell>
          <cell r="M1160" t="str">
            <v>+</v>
          </cell>
          <cell r="N1160" t="str">
            <v>-</v>
          </cell>
          <cell r="O1160" t="str">
            <v>-</v>
          </cell>
        </row>
        <row r="1161">
          <cell r="A1161">
            <v>66820700</v>
          </cell>
          <cell r="B1161" t="str">
            <v>Moussaka vegan 400g VOOD</v>
          </cell>
          <cell r="C1161" t="str">
            <v>-</v>
          </cell>
          <cell r="D1161" t="str">
            <v>X</v>
          </cell>
          <cell r="E1161" t="str">
            <v>+</v>
          </cell>
          <cell r="F1161" t="str">
            <v>-</v>
          </cell>
          <cell r="G1161" t="str">
            <v>X</v>
          </cell>
          <cell r="H1161" t="str">
            <v>-</v>
          </cell>
          <cell r="I1161" t="str">
            <v>-</v>
          </cell>
          <cell r="J1161" t="str">
            <v>-</v>
          </cell>
          <cell r="K1161" t="str">
            <v>+</v>
          </cell>
          <cell r="L1161" t="str">
            <v>-</v>
          </cell>
          <cell r="M1161" t="str">
            <v>+</v>
          </cell>
          <cell r="N1161" t="str">
            <v>-</v>
          </cell>
          <cell r="O1161" t="str">
            <v>-</v>
          </cell>
        </row>
        <row r="1162">
          <cell r="A1162">
            <v>66820800</v>
          </cell>
          <cell r="B1162" t="str">
            <v>No chicken satésce rijstmix basmati sambalgroenten 400g VOOD</v>
          </cell>
          <cell r="C1162" t="str">
            <v>+</v>
          </cell>
          <cell r="D1162" t="str">
            <v>-</v>
          </cell>
          <cell r="E1162" t="str">
            <v>+</v>
          </cell>
          <cell r="F1162" t="str">
            <v>-</v>
          </cell>
          <cell r="G1162" t="str">
            <v>-</v>
          </cell>
          <cell r="H1162" t="str">
            <v>-</v>
          </cell>
          <cell r="I1162" t="str">
            <v>-</v>
          </cell>
          <cell r="J1162" t="str">
            <v>-</v>
          </cell>
          <cell r="K1162" t="str">
            <v>-</v>
          </cell>
          <cell r="L1162" t="str">
            <v>-</v>
          </cell>
          <cell r="M1162" t="str">
            <v>+</v>
          </cell>
          <cell r="N1162" t="str">
            <v>-</v>
          </cell>
          <cell r="O1162" t="str">
            <v>-</v>
          </cell>
        </row>
        <row r="1163">
          <cell r="A1163">
            <v>66820900</v>
          </cell>
          <cell r="B1163" t="str">
            <v>No chicken curry met pompoen rijstmix 400g VOOD</v>
          </cell>
          <cell r="C1163" t="str">
            <v>-</v>
          </cell>
          <cell r="D1163" t="str">
            <v>-</v>
          </cell>
          <cell r="E1163" t="str">
            <v>+</v>
          </cell>
          <cell r="F1163" t="str">
            <v>-</v>
          </cell>
          <cell r="G1163" t="str">
            <v>-</v>
          </cell>
          <cell r="H1163" t="str">
            <v>-</v>
          </cell>
          <cell r="I1163" t="str">
            <v>-</v>
          </cell>
          <cell r="J1163" t="str">
            <v>-</v>
          </cell>
          <cell r="K1163" t="str">
            <v>+</v>
          </cell>
          <cell r="L1163" t="str">
            <v>-</v>
          </cell>
          <cell r="M1163" t="str">
            <v>+</v>
          </cell>
          <cell r="N1163" t="str">
            <v>-</v>
          </cell>
          <cell r="O1163" t="str">
            <v>-</v>
          </cell>
        </row>
        <row r="1164">
          <cell r="A1164">
            <v>66821000</v>
          </cell>
          <cell r="B1164" t="str">
            <v>Risotto boschampignons vegan groene groenten 400g VOOD</v>
          </cell>
          <cell r="C1164" t="str">
            <v>-</v>
          </cell>
          <cell r="D1164" t="str">
            <v>X</v>
          </cell>
          <cell r="E1164" t="str">
            <v>+</v>
          </cell>
          <cell r="F1164" t="str">
            <v>-</v>
          </cell>
          <cell r="G1164" t="str">
            <v>X</v>
          </cell>
          <cell r="H1164" t="str">
            <v>-</v>
          </cell>
          <cell r="I1164" t="str">
            <v>-</v>
          </cell>
          <cell r="J1164" t="str">
            <v>-</v>
          </cell>
          <cell r="K1164" t="str">
            <v>X</v>
          </cell>
          <cell r="L1164" t="str">
            <v>-</v>
          </cell>
          <cell r="M1164" t="str">
            <v>+</v>
          </cell>
          <cell r="N1164" t="str">
            <v>-</v>
          </cell>
          <cell r="O1164" t="str">
            <v>-</v>
          </cell>
        </row>
        <row r="1165">
          <cell r="A1165">
            <v>66900100</v>
          </cell>
          <cell r="B1165" t="str">
            <v>Friet cheddarkaasaus spek 280g LIDL FI IT NI IE DK</v>
          </cell>
          <cell r="C1165" t="str">
            <v>-</v>
          </cell>
          <cell r="D1165" t="str">
            <v>-</v>
          </cell>
          <cell r="E1165" t="str">
            <v>-</v>
          </cell>
          <cell r="F1165" t="str">
            <v>-</v>
          </cell>
          <cell r="G1165" t="str">
            <v>+</v>
          </cell>
          <cell r="H1165" t="str">
            <v>-</v>
          </cell>
          <cell r="I1165" t="str">
            <v>-</v>
          </cell>
          <cell r="J1165" t="str">
            <v>-</v>
          </cell>
          <cell r="K1165" t="str">
            <v>-</v>
          </cell>
          <cell r="L1165" t="str">
            <v>-</v>
          </cell>
          <cell r="M1165" t="str">
            <v>-</v>
          </cell>
          <cell r="N1165" t="str">
            <v>-</v>
          </cell>
          <cell r="O1165" t="str">
            <v>-</v>
          </cell>
        </row>
        <row r="1166">
          <cell r="A1166">
            <v>66900200</v>
          </cell>
          <cell r="B1166" t="str">
            <v>Friet cheddarkaasaus chili 280g LIDL FI IT NI IE DK</v>
          </cell>
          <cell r="C1166" t="str">
            <v>-</v>
          </cell>
          <cell r="D1166" t="str">
            <v>-</v>
          </cell>
          <cell r="E1166" t="str">
            <v>+</v>
          </cell>
          <cell r="F1166" t="str">
            <v>-</v>
          </cell>
          <cell r="G1166" t="str">
            <v>+</v>
          </cell>
          <cell r="H1166" t="str">
            <v>-</v>
          </cell>
          <cell r="I1166" t="str">
            <v>-</v>
          </cell>
          <cell r="J1166" t="str">
            <v>-</v>
          </cell>
          <cell r="K1166" t="str">
            <v>-</v>
          </cell>
          <cell r="L1166" t="str">
            <v>-</v>
          </cell>
          <cell r="M1166" t="str">
            <v>-</v>
          </cell>
          <cell r="N1166" t="str">
            <v>-</v>
          </cell>
          <cell r="O1166" t="str">
            <v>-</v>
          </cell>
        </row>
        <row r="1167">
          <cell r="A1167">
            <v>66900300</v>
          </cell>
          <cell r="B1167" t="str">
            <v>Friet BBQ-saus pulled chicken 280g LIDL FI IT NI IE DK</v>
          </cell>
          <cell r="C1167" t="str">
            <v>-</v>
          </cell>
          <cell r="D1167" t="str">
            <v>-</v>
          </cell>
          <cell r="E1167" t="str">
            <v>+</v>
          </cell>
          <cell r="F1167" t="str">
            <v>-</v>
          </cell>
          <cell r="G1167" t="str">
            <v>-</v>
          </cell>
          <cell r="H1167" t="str">
            <v>-</v>
          </cell>
          <cell r="I1167" t="str">
            <v>-</v>
          </cell>
          <cell r="J1167" t="str">
            <v>-</v>
          </cell>
          <cell r="K1167" t="str">
            <v>-</v>
          </cell>
          <cell r="L1167" t="str">
            <v>-</v>
          </cell>
          <cell r="M1167" t="str">
            <v>-</v>
          </cell>
          <cell r="N1167" t="str">
            <v>-</v>
          </cell>
          <cell r="O1167" t="str">
            <v>-</v>
          </cell>
        </row>
        <row r="1168">
          <cell r="A1168">
            <v>66900400</v>
          </cell>
          <cell r="B1168" t="str">
            <v>Friet cheddarkaasaus spek 280g LIDL LV HR CH BE</v>
          </cell>
          <cell r="C1168" t="str">
            <v>-</v>
          </cell>
          <cell r="D1168" t="str">
            <v>-</v>
          </cell>
          <cell r="E1168" t="str">
            <v>+</v>
          </cell>
          <cell r="F1168" t="str">
            <v>-</v>
          </cell>
          <cell r="G1168" t="str">
            <v>+</v>
          </cell>
          <cell r="H1168" t="str">
            <v>-</v>
          </cell>
          <cell r="I1168" t="str">
            <v>-</v>
          </cell>
          <cell r="J1168" t="str">
            <v>-</v>
          </cell>
          <cell r="K1168" t="str">
            <v>-</v>
          </cell>
          <cell r="L1168" t="str">
            <v>-</v>
          </cell>
          <cell r="M1168" t="str">
            <v>-</v>
          </cell>
          <cell r="N1168" t="str">
            <v>-</v>
          </cell>
          <cell r="O1168" t="str">
            <v>-</v>
          </cell>
        </row>
        <row r="1169">
          <cell r="A1169">
            <v>66900500</v>
          </cell>
          <cell r="B1169" t="str">
            <v>Friet cheddarkaasaus chili 280g LIDL LV HR CH BE</v>
          </cell>
          <cell r="C1169" t="str">
            <v>-</v>
          </cell>
          <cell r="D1169" t="str">
            <v>-</v>
          </cell>
          <cell r="E1169" t="str">
            <v>+</v>
          </cell>
          <cell r="F1169" t="str">
            <v>-</v>
          </cell>
          <cell r="G1169" t="str">
            <v>+</v>
          </cell>
          <cell r="H1169" t="str">
            <v>-</v>
          </cell>
          <cell r="I1169" t="str">
            <v>-</v>
          </cell>
          <cell r="J1169" t="str">
            <v>-</v>
          </cell>
          <cell r="K1169" t="str">
            <v>-</v>
          </cell>
          <cell r="L1169" t="str">
            <v>-</v>
          </cell>
          <cell r="M1169" t="str">
            <v>-</v>
          </cell>
          <cell r="N1169" t="str">
            <v>-</v>
          </cell>
          <cell r="O1169" t="str">
            <v>-</v>
          </cell>
        </row>
        <row r="1170">
          <cell r="A1170">
            <v>66900600</v>
          </cell>
          <cell r="B1170" t="str">
            <v>Friet BBQ-saus pulled chicken 280g LIDL LV HR CH BE</v>
          </cell>
          <cell r="C1170" t="str">
            <v>-</v>
          </cell>
          <cell r="D1170" t="str">
            <v>-</v>
          </cell>
          <cell r="E1170" t="str">
            <v>+</v>
          </cell>
          <cell r="F1170" t="str">
            <v>-</v>
          </cell>
          <cell r="G1170" t="str">
            <v>-</v>
          </cell>
          <cell r="H1170" t="str">
            <v>-</v>
          </cell>
          <cell r="I1170" t="str">
            <v>-</v>
          </cell>
          <cell r="J1170" t="str">
            <v>-</v>
          </cell>
          <cell r="K1170" t="str">
            <v>-</v>
          </cell>
          <cell r="L1170" t="str">
            <v>-</v>
          </cell>
          <cell r="M1170" t="str">
            <v>-</v>
          </cell>
          <cell r="N1170" t="str">
            <v>-</v>
          </cell>
          <cell r="O1170" t="str">
            <v>-</v>
          </cell>
        </row>
        <row r="1171">
          <cell r="A1171">
            <v>66900700</v>
          </cell>
          <cell r="B1171" t="str">
            <v>Friet cheddarkaasaus spek 280g LIDL RO</v>
          </cell>
          <cell r="C1171" t="str">
            <v>-</v>
          </cell>
          <cell r="D1171" t="str">
            <v>-</v>
          </cell>
          <cell r="E1171" t="str">
            <v>+</v>
          </cell>
          <cell r="F1171" t="str">
            <v>-</v>
          </cell>
          <cell r="G1171" t="str">
            <v>+</v>
          </cell>
          <cell r="H1171" t="str">
            <v>-</v>
          </cell>
          <cell r="I1171" t="str">
            <v>-</v>
          </cell>
          <cell r="J1171" t="str">
            <v>-</v>
          </cell>
          <cell r="K1171" t="str">
            <v>-</v>
          </cell>
          <cell r="L1171" t="str">
            <v>-</v>
          </cell>
          <cell r="M1171" t="str">
            <v>-</v>
          </cell>
          <cell r="N1171" t="str">
            <v>-</v>
          </cell>
          <cell r="O1171" t="str">
            <v>-</v>
          </cell>
        </row>
        <row r="1172">
          <cell r="A1172">
            <v>66900800</v>
          </cell>
          <cell r="B1172" t="str">
            <v>Friet cheddarkaasaus chili 280g LIDL RO</v>
          </cell>
          <cell r="C1172" t="str">
            <v>-</v>
          </cell>
          <cell r="D1172" t="str">
            <v>-</v>
          </cell>
          <cell r="E1172" t="str">
            <v>+</v>
          </cell>
          <cell r="F1172" t="str">
            <v>-</v>
          </cell>
          <cell r="G1172" t="str">
            <v>+</v>
          </cell>
          <cell r="H1172" t="str">
            <v>-</v>
          </cell>
          <cell r="I1172" t="str">
            <v>-</v>
          </cell>
          <cell r="J1172" t="str">
            <v>-</v>
          </cell>
          <cell r="K1172" t="str">
            <v>-</v>
          </cell>
          <cell r="L1172" t="str">
            <v>-</v>
          </cell>
          <cell r="M1172" t="str">
            <v>-</v>
          </cell>
          <cell r="N1172" t="str">
            <v>-</v>
          </cell>
          <cell r="O1172" t="str">
            <v>-</v>
          </cell>
        </row>
        <row r="1173">
          <cell r="A1173">
            <v>66900900</v>
          </cell>
          <cell r="B1173" t="str">
            <v>Friet BBQ-saus pulled chicken 280g LIDL RO</v>
          </cell>
          <cell r="C1173" t="str">
            <v>-</v>
          </cell>
          <cell r="D1173" t="str">
            <v>-</v>
          </cell>
          <cell r="E1173" t="str">
            <v>+</v>
          </cell>
          <cell r="F1173" t="str">
            <v>-</v>
          </cell>
          <cell r="G1173" t="str">
            <v>-</v>
          </cell>
          <cell r="H1173" t="str">
            <v>-</v>
          </cell>
          <cell r="I1173" t="str">
            <v>-</v>
          </cell>
          <cell r="J1173" t="str">
            <v>-</v>
          </cell>
          <cell r="K1173" t="str">
            <v>-</v>
          </cell>
          <cell r="L1173" t="str">
            <v>-</v>
          </cell>
          <cell r="M1173" t="str">
            <v>-</v>
          </cell>
          <cell r="N1173" t="str">
            <v>-</v>
          </cell>
          <cell r="O1173" t="str">
            <v>-</v>
          </cell>
        </row>
        <row r="1174">
          <cell r="A1174">
            <v>66901000</v>
          </cell>
          <cell r="B1174" t="str">
            <v>Friet cheddar spek 280g LIDL FR</v>
          </cell>
          <cell r="C1174" t="str">
            <v>-</v>
          </cell>
          <cell r="D1174" t="str">
            <v>-</v>
          </cell>
          <cell r="E1174" t="str">
            <v>-</v>
          </cell>
          <cell r="F1174" t="str">
            <v>-</v>
          </cell>
          <cell r="G1174" t="str">
            <v>+</v>
          </cell>
          <cell r="H1174" t="str">
            <v>-</v>
          </cell>
          <cell r="I1174" t="str">
            <v>-</v>
          </cell>
          <cell r="J1174" t="str">
            <v>-</v>
          </cell>
          <cell r="K1174" t="str">
            <v>-</v>
          </cell>
          <cell r="L1174" t="str">
            <v>-</v>
          </cell>
          <cell r="M1174" t="str">
            <v>-</v>
          </cell>
          <cell r="N1174" t="str">
            <v>-</v>
          </cell>
          <cell r="O1174" t="str">
            <v>-</v>
          </cell>
        </row>
        <row r="1175">
          <cell r="A1175">
            <v>66901100</v>
          </cell>
          <cell r="B1175" t="str">
            <v>Friet cheddarkaasaus chili 280g LIDL FR</v>
          </cell>
          <cell r="C1175" t="str">
            <v>-</v>
          </cell>
          <cell r="D1175" t="str">
            <v>-</v>
          </cell>
          <cell r="E1175" t="str">
            <v>-</v>
          </cell>
          <cell r="F1175" t="str">
            <v>-</v>
          </cell>
          <cell r="G1175" t="str">
            <v>+</v>
          </cell>
          <cell r="H1175" t="str">
            <v>-</v>
          </cell>
          <cell r="I1175" t="str">
            <v>-</v>
          </cell>
          <cell r="J1175" t="str">
            <v>-</v>
          </cell>
          <cell r="K1175" t="str">
            <v>-</v>
          </cell>
          <cell r="L1175" t="str">
            <v>-</v>
          </cell>
          <cell r="M1175" t="str">
            <v>-</v>
          </cell>
          <cell r="N1175" t="str">
            <v>-</v>
          </cell>
          <cell r="O1175" t="str">
            <v>-</v>
          </cell>
        </row>
        <row r="1176">
          <cell r="A1176">
            <v>66901200</v>
          </cell>
          <cell r="B1176" t="str">
            <v>Friet BBQ-saus pulled chicken 280g LIDL FR</v>
          </cell>
          <cell r="C1176" t="str">
            <v>-</v>
          </cell>
          <cell r="D1176" t="str">
            <v>-</v>
          </cell>
          <cell r="E1176" t="str">
            <v>-</v>
          </cell>
          <cell r="F1176" t="str">
            <v>-</v>
          </cell>
          <cell r="G1176" t="str">
            <v>-</v>
          </cell>
          <cell r="H1176" t="str">
            <v>-</v>
          </cell>
          <cell r="I1176" t="str">
            <v>-</v>
          </cell>
          <cell r="J1176" t="str">
            <v>-</v>
          </cell>
          <cell r="K1176" t="str">
            <v>-</v>
          </cell>
          <cell r="L1176" t="str">
            <v>-</v>
          </cell>
          <cell r="M1176" t="str">
            <v>-</v>
          </cell>
          <cell r="N1176" t="str">
            <v>-</v>
          </cell>
          <cell r="O1176" t="str">
            <v>-</v>
          </cell>
        </row>
        <row r="1177">
          <cell r="A1177">
            <v>66901300</v>
          </cell>
          <cell r="B1177" t="str">
            <v>Friet piri piri saus 400g LIDL IE NI CY NL FI</v>
          </cell>
          <cell r="C1177" t="str">
            <v>-</v>
          </cell>
          <cell r="D1177" t="str">
            <v>-</v>
          </cell>
          <cell r="E1177" t="str">
            <v>-</v>
          </cell>
          <cell r="F1177" t="str">
            <v>-</v>
          </cell>
          <cell r="G1177" t="str">
            <v>-</v>
          </cell>
          <cell r="H1177" t="str">
            <v>-</v>
          </cell>
          <cell r="I1177" t="str">
            <v>-</v>
          </cell>
          <cell r="J1177" t="str">
            <v>-</v>
          </cell>
          <cell r="K1177" t="str">
            <v>+</v>
          </cell>
          <cell r="L1177" t="str">
            <v>-</v>
          </cell>
          <cell r="M1177" t="str">
            <v>-</v>
          </cell>
          <cell r="N1177" t="str">
            <v>-</v>
          </cell>
          <cell r="O1177" t="str">
            <v>-</v>
          </cell>
        </row>
        <row r="1178">
          <cell r="A1178">
            <v>66901400</v>
          </cell>
          <cell r="B1178" t="str">
            <v>Friet Cheesy pepper saus 280g LIDL SK SE CY</v>
          </cell>
          <cell r="C1178" t="str">
            <v>-</v>
          </cell>
          <cell r="D1178" t="str">
            <v>-</v>
          </cell>
          <cell r="E1178" t="str">
            <v>-</v>
          </cell>
          <cell r="F1178" t="str">
            <v>-</v>
          </cell>
          <cell r="G1178" t="str">
            <v>+</v>
          </cell>
          <cell r="H1178" t="str">
            <v>-</v>
          </cell>
          <cell r="I1178" t="str">
            <v>-</v>
          </cell>
          <cell r="J1178" t="str">
            <v>-</v>
          </cell>
          <cell r="K1178" t="str">
            <v>-</v>
          </cell>
          <cell r="L1178" t="str">
            <v>-</v>
          </cell>
          <cell r="M1178" t="str">
            <v>-</v>
          </cell>
          <cell r="N1178" t="str">
            <v>-</v>
          </cell>
          <cell r="O1178" t="str">
            <v>-</v>
          </cell>
        </row>
        <row r="1179">
          <cell r="A1179">
            <v>66901500</v>
          </cell>
          <cell r="B1179" t="str">
            <v>Friet st gallaner onion saus 280g LIDL SK SE CY</v>
          </cell>
          <cell r="C1179" t="str">
            <v>-</v>
          </cell>
          <cell r="D1179" t="str">
            <v>-</v>
          </cell>
          <cell r="E1179" t="str">
            <v>-</v>
          </cell>
          <cell r="F1179" t="str">
            <v>-</v>
          </cell>
          <cell r="G1179" t="str">
            <v>+</v>
          </cell>
          <cell r="H1179" t="str">
            <v>-</v>
          </cell>
          <cell r="I1179" t="str">
            <v>-</v>
          </cell>
          <cell r="J1179" t="str">
            <v>-</v>
          </cell>
          <cell r="K1179" t="str">
            <v>+</v>
          </cell>
          <cell r="L1179" t="str">
            <v>-</v>
          </cell>
          <cell r="M1179" t="str">
            <v>-</v>
          </cell>
          <cell r="N1179" t="str">
            <v>-</v>
          </cell>
          <cell r="O1179" t="str">
            <v>-</v>
          </cell>
        </row>
        <row r="1180">
          <cell r="A1180">
            <v>66901600</v>
          </cell>
          <cell r="B1180" t="str">
            <v>Friet spicy cocktail saus 280g LIDL SK SE CY</v>
          </cell>
          <cell r="C1180" t="str">
            <v>-</v>
          </cell>
          <cell r="D1180" t="str">
            <v>-</v>
          </cell>
          <cell r="E1180" t="str">
            <v>X</v>
          </cell>
          <cell r="F1180" t="str">
            <v>-</v>
          </cell>
          <cell r="G1180" t="str">
            <v>+</v>
          </cell>
          <cell r="H1180" t="str">
            <v>+</v>
          </cell>
          <cell r="I1180" t="str">
            <v>-</v>
          </cell>
          <cell r="J1180" t="str">
            <v>-</v>
          </cell>
          <cell r="K1180" t="str">
            <v>+</v>
          </cell>
          <cell r="L1180" t="str">
            <v>-</v>
          </cell>
          <cell r="M1180" t="str">
            <v>-</v>
          </cell>
          <cell r="N1180" t="str">
            <v>-</v>
          </cell>
          <cell r="O1180" t="str">
            <v>-</v>
          </cell>
        </row>
        <row r="1181">
          <cell r="A1181">
            <v>66901700</v>
          </cell>
          <cell r="B1181" t="str">
            <v>Friet cheddar spek 280g LIDL IE PT CH CZ AT</v>
          </cell>
          <cell r="C1181" t="str">
            <v>-</v>
          </cell>
          <cell r="D1181" t="str">
            <v>-</v>
          </cell>
          <cell r="E1181" t="str">
            <v>-</v>
          </cell>
          <cell r="F1181" t="str">
            <v>-</v>
          </cell>
          <cell r="G1181" t="str">
            <v>+</v>
          </cell>
          <cell r="H1181" t="str">
            <v>-</v>
          </cell>
          <cell r="I1181" t="str">
            <v>-</v>
          </cell>
          <cell r="J1181" t="str">
            <v>-</v>
          </cell>
          <cell r="K1181" t="str">
            <v>-</v>
          </cell>
          <cell r="L1181" t="str">
            <v>-</v>
          </cell>
          <cell r="M1181" t="str">
            <v>-</v>
          </cell>
          <cell r="N1181" t="str">
            <v>-</v>
          </cell>
          <cell r="O1181" t="str">
            <v>-</v>
          </cell>
        </row>
        <row r="1182">
          <cell r="A1182">
            <v>66901800</v>
          </cell>
          <cell r="B1182" t="str">
            <v>Friet cheddarkaasaus chili 280g LIDL IE PT CH CZ AT</v>
          </cell>
          <cell r="C1182" t="str">
            <v>-</v>
          </cell>
          <cell r="D1182" t="str">
            <v>-</v>
          </cell>
          <cell r="E1182" t="str">
            <v>-</v>
          </cell>
          <cell r="F1182" t="str">
            <v>-</v>
          </cell>
          <cell r="G1182" t="str">
            <v>+</v>
          </cell>
          <cell r="H1182" t="str">
            <v>-</v>
          </cell>
          <cell r="I1182" t="str">
            <v>-</v>
          </cell>
          <cell r="J1182" t="str">
            <v>-</v>
          </cell>
          <cell r="K1182" t="str">
            <v>-</v>
          </cell>
          <cell r="L1182" t="str">
            <v>-</v>
          </cell>
          <cell r="M1182" t="str">
            <v>-</v>
          </cell>
          <cell r="N1182" t="str">
            <v>-</v>
          </cell>
          <cell r="O1182" t="str">
            <v>-</v>
          </cell>
        </row>
        <row r="1183">
          <cell r="A1183">
            <v>66901900</v>
          </cell>
          <cell r="B1183" t="str">
            <v>Friet BBQ-saus pulled chicken 280g LIDL IE PT CH CZ AT</v>
          </cell>
          <cell r="C1183" t="str">
            <v>-</v>
          </cell>
          <cell r="D1183" t="str">
            <v>-</v>
          </cell>
          <cell r="E1183" t="str">
            <v>-</v>
          </cell>
          <cell r="F1183" t="str">
            <v>-</v>
          </cell>
          <cell r="G1183" t="str">
            <v>-</v>
          </cell>
          <cell r="H1183" t="str">
            <v>-</v>
          </cell>
          <cell r="I1183" t="str">
            <v>-</v>
          </cell>
          <cell r="J1183" t="str">
            <v>-</v>
          </cell>
          <cell r="K1183" t="str">
            <v>-</v>
          </cell>
          <cell r="L1183" t="str">
            <v>-</v>
          </cell>
          <cell r="M1183" t="str">
            <v>-</v>
          </cell>
          <cell r="N1183" t="str">
            <v>-</v>
          </cell>
          <cell r="O1183" t="str">
            <v>-</v>
          </cell>
        </row>
        <row r="1184">
          <cell r="A1184">
            <v>67100100</v>
          </cell>
          <cell r="B1184" t="str">
            <v>Buddha bowl Veg kip saté saus risotto 350g PICARD</v>
          </cell>
          <cell r="C1184" t="str">
            <v>+</v>
          </cell>
          <cell r="D1184" t="str">
            <v>-</v>
          </cell>
          <cell r="E1184" t="str">
            <v>-</v>
          </cell>
          <cell r="F1184" t="str">
            <v>-</v>
          </cell>
          <cell r="G1184" t="str">
            <v>-</v>
          </cell>
          <cell r="H1184" t="str">
            <v>-</v>
          </cell>
          <cell r="I1184" t="str">
            <v>-</v>
          </cell>
          <cell r="J1184" t="str">
            <v>-</v>
          </cell>
          <cell r="K1184" t="str">
            <v>-</v>
          </cell>
          <cell r="L1184" t="str">
            <v>+</v>
          </cell>
          <cell r="M1184" t="str">
            <v>+</v>
          </cell>
          <cell r="N1184" t="str">
            <v>-</v>
          </cell>
          <cell r="O1184" t="str">
            <v>-</v>
          </cell>
        </row>
        <row r="1185">
          <cell r="A1185">
            <v>67110100</v>
          </cell>
          <cell r="B1185" t="str">
            <v>Rund Pho Soep 400g LIDL CH SE DK FR</v>
          </cell>
          <cell r="C1185" t="str">
            <v>-</v>
          </cell>
          <cell r="D1185" t="str">
            <v>X</v>
          </cell>
          <cell r="E1185" t="str">
            <v>+</v>
          </cell>
          <cell r="F1185" t="str">
            <v>-</v>
          </cell>
          <cell r="G1185" t="str">
            <v>X</v>
          </cell>
          <cell r="H1185" t="str">
            <v>-</v>
          </cell>
          <cell r="I1185" t="str">
            <v>-</v>
          </cell>
          <cell r="J1185" t="str">
            <v>-</v>
          </cell>
          <cell r="K1185" t="str">
            <v>X</v>
          </cell>
          <cell r="L1185" t="str">
            <v>-</v>
          </cell>
          <cell r="M1185" t="str">
            <v>X</v>
          </cell>
          <cell r="N1185" t="str">
            <v>+</v>
          </cell>
          <cell r="O1185" t="str">
            <v>-</v>
          </cell>
        </row>
        <row r="1186">
          <cell r="A1186">
            <v>67110200</v>
          </cell>
          <cell r="B1186" t="str">
            <v>Kip Tom kha kai Soep 400g LIDL CH SE DK FR</v>
          </cell>
          <cell r="C1186" t="str">
            <v>-</v>
          </cell>
          <cell r="D1186" t="str">
            <v>X</v>
          </cell>
          <cell r="E1186" t="str">
            <v>+</v>
          </cell>
          <cell r="F1186" t="str">
            <v>-</v>
          </cell>
          <cell r="G1186" t="str">
            <v>+</v>
          </cell>
          <cell r="H1186" t="str">
            <v>X</v>
          </cell>
          <cell r="I1186" t="str">
            <v>-</v>
          </cell>
          <cell r="J1186" t="str">
            <v>-</v>
          </cell>
          <cell r="K1186" t="str">
            <v>+</v>
          </cell>
          <cell r="L1186" t="str">
            <v>+</v>
          </cell>
          <cell r="M1186" t="str">
            <v>+</v>
          </cell>
          <cell r="N1186" t="str">
            <v>-</v>
          </cell>
          <cell r="O1186" t="str">
            <v>-</v>
          </cell>
        </row>
        <row r="1187">
          <cell r="A1187">
            <v>67110300</v>
          </cell>
          <cell r="B1187" t="str">
            <v xml:space="preserve">Rund Pho Soep 400g LIDL LV LT </v>
          </cell>
          <cell r="C1187" t="str">
            <v>-</v>
          </cell>
          <cell r="D1187" t="str">
            <v>X</v>
          </cell>
          <cell r="E1187" t="str">
            <v>+</v>
          </cell>
          <cell r="F1187" t="str">
            <v>-</v>
          </cell>
          <cell r="G1187" t="str">
            <v>X</v>
          </cell>
          <cell r="H1187" t="str">
            <v>-</v>
          </cell>
          <cell r="I1187" t="str">
            <v>-</v>
          </cell>
          <cell r="J1187" t="str">
            <v>-</v>
          </cell>
          <cell r="K1187" t="str">
            <v>X</v>
          </cell>
          <cell r="L1187" t="str">
            <v>-</v>
          </cell>
          <cell r="M1187" t="str">
            <v>X</v>
          </cell>
          <cell r="N1187" t="str">
            <v>+</v>
          </cell>
          <cell r="O1187" t="str">
            <v>-</v>
          </cell>
        </row>
        <row r="1188">
          <cell r="A1188">
            <v>67110400</v>
          </cell>
          <cell r="B1188" t="str">
            <v>Kip Tom kha kai Soep 400g LIDL LV LT</v>
          </cell>
          <cell r="C1188" t="str">
            <v>-</v>
          </cell>
          <cell r="D1188" t="str">
            <v>X</v>
          </cell>
          <cell r="E1188" t="str">
            <v>+</v>
          </cell>
          <cell r="F1188" t="str">
            <v>-</v>
          </cell>
          <cell r="G1188" t="str">
            <v>+</v>
          </cell>
          <cell r="H1188" t="str">
            <v>X</v>
          </cell>
          <cell r="I1188" t="str">
            <v>-</v>
          </cell>
          <cell r="J1188" t="str">
            <v>-</v>
          </cell>
          <cell r="K1188" t="str">
            <v>+</v>
          </cell>
          <cell r="L1188" t="str">
            <v>+</v>
          </cell>
          <cell r="M1188" t="str">
            <v>+</v>
          </cell>
          <cell r="N1188" t="str">
            <v>-</v>
          </cell>
          <cell r="O1188" t="str">
            <v>-</v>
          </cell>
        </row>
        <row r="1189">
          <cell r="A1189">
            <v>69900900</v>
          </cell>
          <cell r="B1189" t="str">
            <v>Rundstong gesneden Jebo</v>
          </cell>
          <cell r="C1189" t="str">
            <v>-</v>
          </cell>
          <cell r="D1189" t="str">
            <v>-</v>
          </cell>
          <cell r="E1189" t="str">
            <v>-</v>
          </cell>
          <cell r="F1189" t="str">
            <v>-</v>
          </cell>
          <cell r="G1189" t="str">
            <v>-</v>
          </cell>
          <cell r="H1189" t="str">
            <v>-</v>
          </cell>
          <cell r="I1189" t="str">
            <v>-</v>
          </cell>
          <cell r="J1189" t="str">
            <v>-</v>
          </cell>
          <cell r="K1189" t="str">
            <v>-</v>
          </cell>
          <cell r="L1189" t="str">
            <v>-</v>
          </cell>
          <cell r="M1189" t="str">
            <v>-</v>
          </cell>
          <cell r="N1189" t="str">
            <v>-</v>
          </cell>
          <cell r="O1189" t="str">
            <v>-</v>
          </cell>
        </row>
      </sheetData>
      <sheetData sheetId="4"/>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24T13:31:34.861"/>
    </inkml:context>
    <inkml:brush xml:id="br0">
      <inkml:brushProperty name="width" value="0.035" units="cm"/>
      <inkml:brushProperty name="height" value="0.035" units="cm"/>
    </inkml:brush>
  </inkml:definitions>
  <inkml:trace contextRef="#ctx0" brushRef="#br0">1 1 24575,'0'0'-8191</inkml:trace>
</inkml:ink>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917DD-E40F-407C-BF47-721C6AB2F2D2}">
  <dimension ref="A1:D13"/>
  <sheetViews>
    <sheetView topLeftCell="B1" workbookViewId="0">
      <selection activeCell="D13" sqref="D13"/>
    </sheetView>
  </sheetViews>
  <sheetFormatPr defaultRowHeight="15" x14ac:dyDescent="0.25"/>
  <cols>
    <col min="1" max="1" width="11.42578125" style="1" customWidth="1"/>
    <col min="2" max="2" width="19.42578125" style="1" customWidth="1"/>
    <col min="3" max="3" width="9.140625" style="1"/>
    <col min="4" max="4" width="29.85546875" style="1" customWidth="1"/>
  </cols>
  <sheetData>
    <row r="1" spans="1:4" ht="15.75" thickBot="1" x14ac:dyDescent="0.3">
      <c r="A1" s="6" t="s">
        <v>35</v>
      </c>
      <c r="B1" s="7" t="s">
        <v>23</v>
      </c>
      <c r="C1" s="7" t="s">
        <v>34</v>
      </c>
      <c r="D1" s="8" t="s">
        <v>25</v>
      </c>
    </row>
    <row r="2" spans="1:4" x14ac:dyDescent="0.25">
      <c r="A2" s="5" t="s">
        <v>1</v>
      </c>
      <c r="B2" s="5" t="s">
        <v>2</v>
      </c>
      <c r="C2" s="5">
        <v>1</v>
      </c>
      <c r="D2" s="5" t="s">
        <v>53</v>
      </c>
    </row>
    <row r="3" spans="1:4" x14ac:dyDescent="0.25">
      <c r="A3" s="2" t="s">
        <v>7</v>
      </c>
      <c r="B3" s="2" t="s">
        <v>8</v>
      </c>
      <c r="C3" s="2">
        <v>1</v>
      </c>
      <c r="D3" s="5" t="s">
        <v>53</v>
      </c>
    </row>
    <row r="4" spans="1:4" x14ac:dyDescent="0.25">
      <c r="A4" s="2" t="s">
        <v>3</v>
      </c>
      <c r="B4" s="2" t="s">
        <v>4</v>
      </c>
      <c r="C4" s="2">
        <v>1</v>
      </c>
      <c r="D4" s="2"/>
    </row>
    <row r="5" spans="1:4" x14ac:dyDescent="0.25">
      <c r="A5" s="2" t="s">
        <v>5</v>
      </c>
      <c r="B5" s="2" t="s">
        <v>6</v>
      </c>
      <c r="C5" s="2" t="s">
        <v>33</v>
      </c>
      <c r="D5" s="2" t="s">
        <v>32</v>
      </c>
    </row>
    <row r="6" spans="1:4" x14ac:dyDescent="0.25">
      <c r="A6" s="2" t="s">
        <v>9</v>
      </c>
      <c r="B6" s="2" t="s">
        <v>10</v>
      </c>
      <c r="C6" s="2">
        <v>5</v>
      </c>
      <c r="D6" s="2" t="s">
        <v>230</v>
      </c>
    </row>
    <row r="7" spans="1:4" x14ac:dyDescent="0.25">
      <c r="A7" s="221" t="s">
        <v>11</v>
      </c>
      <c r="B7" s="2" t="s">
        <v>13</v>
      </c>
      <c r="C7" s="2">
        <v>1</v>
      </c>
      <c r="D7" s="2" t="s">
        <v>39</v>
      </c>
    </row>
    <row r="8" spans="1:4" x14ac:dyDescent="0.25">
      <c r="A8" s="222"/>
      <c r="B8" s="2" t="s">
        <v>30</v>
      </c>
      <c r="C8" s="2">
        <v>1</v>
      </c>
      <c r="D8" s="2" t="s">
        <v>40</v>
      </c>
    </row>
    <row r="9" spans="1:4" x14ac:dyDescent="0.25">
      <c r="A9" s="2" t="s">
        <v>14</v>
      </c>
      <c r="B9" s="2" t="s">
        <v>15</v>
      </c>
      <c r="C9" s="2">
        <v>1</v>
      </c>
      <c r="D9" s="2" t="s">
        <v>16</v>
      </c>
    </row>
    <row r="10" spans="1:4" x14ac:dyDescent="0.25">
      <c r="A10" s="2" t="s">
        <v>37</v>
      </c>
      <c r="B10" s="2" t="s">
        <v>38</v>
      </c>
      <c r="C10" s="2">
        <v>2</v>
      </c>
      <c r="D10" s="2" t="s">
        <v>43</v>
      </c>
    </row>
    <row r="13" spans="1:4" x14ac:dyDescent="0.25">
      <c r="A13" s="9" t="s">
        <v>88</v>
      </c>
    </row>
  </sheetData>
  <mergeCells count="1">
    <mergeCell ref="A7:A8"/>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8C176-1FF0-425E-B087-7E25FD36E4FC}">
  <dimension ref="A1:D13"/>
  <sheetViews>
    <sheetView workbookViewId="0">
      <selection activeCell="H29" sqref="H29"/>
    </sheetView>
  </sheetViews>
  <sheetFormatPr defaultColWidth="9.140625" defaultRowHeight="15" x14ac:dyDescent="0.25"/>
  <cols>
    <col min="1" max="1" width="18.7109375" style="1" customWidth="1"/>
    <col min="2" max="2" width="28.42578125" style="1" bestFit="1" customWidth="1"/>
    <col min="3" max="3" width="28.42578125" style="1" customWidth="1"/>
    <col min="4" max="4" width="33.5703125" style="1" bestFit="1" customWidth="1"/>
    <col min="5" max="16384" width="9.140625" style="1"/>
  </cols>
  <sheetData>
    <row r="1" spans="1:4" x14ac:dyDescent="0.25">
      <c r="A1" s="4" t="s">
        <v>124</v>
      </c>
      <c r="B1" s="4" t="s">
        <v>146</v>
      </c>
      <c r="C1" s="4" t="s">
        <v>147</v>
      </c>
      <c r="D1" s="4" t="s">
        <v>25</v>
      </c>
    </row>
    <row r="2" spans="1:4" x14ac:dyDescent="0.25">
      <c r="A2" s="2" t="s">
        <v>17</v>
      </c>
      <c r="B2" s="2">
        <v>2</v>
      </c>
      <c r="C2" s="2" t="s">
        <v>45</v>
      </c>
      <c r="D2" s="2" t="s">
        <v>148</v>
      </c>
    </row>
    <row r="3" spans="1:4" x14ac:dyDescent="0.25">
      <c r="A3" s="2" t="s">
        <v>41</v>
      </c>
      <c r="B3" s="3" t="s">
        <v>42</v>
      </c>
      <c r="C3" s="2" t="s">
        <v>45</v>
      </c>
      <c r="D3" s="2" t="s">
        <v>148</v>
      </c>
    </row>
    <row r="4" spans="1:4" x14ac:dyDescent="0.25">
      <c r="A4" s="2" t="s">
        <v>18</v>
      </c>
      <c r="B4" s="3" t="s">
        <v>42</v>
      </c>
      <c r="C4" s="3" t="s">
        <v>44</v>
      </c>
      <c r="D4" s="2" t="s">
        <v>149</v>
      </c>
    </row>
    <row r="5" spans="1:4" x14ac:dyDescent="0.25">
      <c r="A5" s="2" t="s">
        <v>19</v>
      </c>
      <c r="B5" s="3" t="s">
        <v>42</v>
      </c>
      <c r="C5" s="3" t="s">
        <v>44</v>
      </c>
      <c r="D5" s="2" t="s">
        <v>149</v>
      </c>
    </row>
    <row r="6" spans="1:4" x14ac:dyDescent="0.25">
      <c r="A6" s="2" t="s">
        <v>20</v>
      </c>
      <c r="B6" s="3" t="s">
        <v>42</v>
      </c>
      <c r="C6" s="2" t="s">
        <v>45</v>
      </c>
      <c r="D6" s="2" t="s">
        <v>148</v>
      </c>
    </row>
    <row r="7" spans="1:4" x14ac:dyDescent="0.25">
      <c r="A7" s="2" t="s">
        <v>31</v>
      </c>
      <c r="B7" s="3" t="s">
        <v>42</v>
      </c>
      <c r="C7" s="3" t="s">
        <v>224</v>
      </c>
      <c r="D7" s="2" t="s">
        <v>148</v>
      </c>
    </row>
    <row r="8" spans="1:4" x14ac:dyDescent="0.25">
      <c r="A8" s="2" t="s">
        <v>21</v>
      </c>
      <c r="B8" s="2">
        <v>1</v>
      </c>
      <c r="C8" s="3" t="s">
        <v>44</v>
      </c>
      <c r="D8" s="2" t="s">
        <v>150</v>
      </c>
    </row>
    <row r="9" spans="1:4" x14ac:dyDescent="0.25">
      <c r="A9" s="2" t="s">
        <v>22</v>
      </c>
      <c r="B9" s="2">
        <v>2</v>
      </c>
      <c r="C9" s="2" t="s">
        <v>45</v>
      </c>
      <c r="D9" s="2" t="s">
        <v>148</v>
      </c>
    </row>
    <row r="10" spans="1:4" x14ac:dyDescent="0.25">
      <c r="A10" s="2" t="s">
        <v>29</v>
      </c>
      <c r="B10" s="3" t="s">
        <v>46</v>
      </c>
      <c r="C10" s="3" t="s">
        <v>44</v>
      </c>
      <c r="D10" s="2" t="s">
        <v>149</v>
      </c>
    </row>
    <row r="11" spans="1:4" x14ac:dyDescent="0.25">
      <c r="A11" s="2" t="s">
        <v>28</v>
      </c>
      <c r="B11" s="2">
        <v>1</v>
      </c>
      <c r="C11" s="3" t="s">
        <v>44</v>
      </c>
      <c r="D11" s="2" t="s">
        <v>149</v>
      </c>
    </row>
    <row r="12" spans="1:4" x14ac:dyDescent="0.25">
      <c r="A12" s="2" t="s">
        <v>36</v>
      </c>
      <c r="B12" s="2">
        <v>1</v>
      </c>
      <c r="C12" s="3" t="s">
        <v>44</v>
      </c>
      <c r="D12" s="2" t="s">
        <v>149</v>
      </c>
    </row>
    <row r="13" spans="1:4" x14ac:dyDescent="0.25">
      <c r="A13" s="2" t="s">
        <v>151</v>
      </c>
      <c r="B13" s="2">
        <v>1</v>
      </c>
      <c r="C13" s="2">
        <v>1</v>
      </c>
      <c r="D13" s="2" t="s">
        <v>149</v>
      </c>
    </row>
  </sheetData>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1619F-0F45-4807-AC16-534EB43E6118}">
  <dimension ref="A2:C9"/>
  <sheetViews>
    <sheetView workbookViewId="0">
      <selection activeCell="C12" sqref="C12"/>
    </sheetView>
  </sheetViews>
  <sheetFormatPr defaultColWidth="9.140625" defaultRowHeight="15" x14ac:dyDescent="0.25"/>
  <cols>
    <col min="1" max="1" width="25.140625" style="1" customWidth="1"/>
    <col min="2" max="2" width="9.140625" style="1"/>
    <col min="3" max="3" width="37.5703125" style="1" customWidth="1"/>
    <col min="4" max="16384" width="9.140625" style="1"/>
  </cols>
  <sheetData>
    <row r="2" spans="1:3" x14ac:dyDescent="0.25">
      <c r="A2" s="1" t="s">
        <v>23</v>
      </c>
      <c r="B2" s="1" t="s">
        <v>0</v>
      </c>
      <c r="C2" s="1" t="s">
        <v>25</v>
      </c>
    </row>
    <row r="4" spans="1:3" x14ac:dyDescent="0.25">
      <c r="A4" s="1" t="s">
        <v>24</v>
      </c>
      <c r="B4" s="1">
        <v>1</v>
      </c>
      <c r="C4" s="1" t="s">
        <v>26</v>
      </c>
    </row>
    <row r="5" spans="1:3" x14ac:dyDescent="0.25">
      <c r="A5" s="1" t="s">
        <v>27</v>
      </c>
      <c r="B5" s="1">
        <v>4</v>
      </c>
      <c r="C5" s="1" t="s">
        <v>322</v>
      </c>
    </row>
    <row r="6" spans="1:3" x14ac:dyDescent="0.25">
      <c r="A6" s="1" t="s">
        <v>67</v>
      </c>
      <c r="B6" s="1">
        <v>3</v>
      </c>
      <c r="C6" s="1" t="s">
        <v>323</v>
      </c>
    </row>
    <row r="7" spans="1:3" x14ac:dyDescent="0.25">
      <c r="A7" s="1" t="s">
        <v>317</v>
      </c>
      <c r="B7" s="1">
        <v>1</v>
      </c>
      <c r="C7" s="1" t="s">
        <v>321</v>
      </c>
    </row>
    <row r="8" spans="1:3" x14ac:dyDescent="0.25">
      <c r="A8" s="1" t="s">
        <v>324</v>
      </c>
      <c r="B8" s="1">
        <v>1</v>
      </c>
      <c r="C8" s="1" t="s">
        <v>326</v>
      </c>
    </row>
    <row r="9" spans="1:3" x14ac:dyDescent="0.25">
      <c r="A9" s="1" t="s">
        <v>325</v>
      </c>
      <c r="B9" s="1">
        <v>1</v>
      </c>
      <c r="C9" s="1" t="s">
        <v>327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9361C-6B22-4B8A-B230-28740DBBEE66}">
  <dimension ref="A1:B15"/>
  <sheetViews>
    <sheetView workbookViewId="0">
      <selection activeCell="A27" sqref="A27"/>
    </sheetView>
  </sheetViews>
  <sheetFormatPr defaultRowHeight="15" x14ac:dyDescent="0.25"/>
  <cols>
    <col min="1" max="1" width="15.85546875" customWidth="1"/>
  </cols>
  <sheetData>
    <row r="1" spans="1:2" x14ac:dyDescent="0.25">
      <c r="A1" t="s">
        <v>58</v>
      </c>
    </row>
    <row r="2" spans="1:2" x14ac:dyDescent="0.25">
      <c r="A2" t="s">
        <v>47</v>
      </c>
      <c r="B2" t="s">
        <v>48</v>
      </c>
    </row>
    <row r="3" spans="1:2" x14ac:dyDescent="0.25">
      <c r="A3" t="s">
        <v>49</v>
      </c>
      <c r="B3" t="s">
        <v>50</v>
      </c>
    </row>
    <row r="4" spans="1:2" x14ac:dyDescent="0.25">
      <c r="A4" t="s">
        <v>51</v>
      </c>
      <c r="B4" t="s">
        <v>52</v>
      </c>
    </row>
    <row r="5" spans="1:2" x14ac:dyDescent="0.25">
      <c r="A5" t="s">
        <v>54</v>
      </c>
      <c r="B5" t="s">
        <v>55</v>
      </c>
    </row>
    <row r="7" spans="1:2" x14ac:dyDescent="0.25">
      <c r="A7" t="s">
        <v>56</v>
      </c>
    </row>
    <row r="8" spans="1:2" x14ac:dyDescent="0.25">
      <c r="B8" t="s">
        <v>60</v>
      </c>
    </row>
    <row r="9" spans="1:2" x14ac:dyDescent="0.25">
      <c r="B9" t="s">
        <v>59</v>
      </c>
    </row>
    <row r="11" spans="1:2" x14ac:dyDescent="0.25">
      <c r="A11" t="s">
        <v>57</v>
      </c>
    </row>
    <row r="12" spans="1:2" x14ac:dyDescent="0.25">
      <c r="A12" s="1"/>
      <c r="B12" t="s">
        <v>82</v>
      </c>
    </row>
    <row r="13" spans="1:2" x14ac:dyDescent="0.25">
      <c r="A13" s="10">
        <v>46009</v>
      </c>
    </row>
    <row r="15" spans="1:2" x14ac:dyDescent="0.25">
      <c r="A15" t="s">
        <v>65</v>
      </c>
      <c r="B15" t="s">
        <v>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C21C5-FA55-4FBC-8130-9269C533A760}">
  <dimension ref="A1:P132"/>
  <sheetViews>
    <sheetView topLeftCell="B25" zoomScale="98" zoomScaleNormal="100" workbookViewId="0">
      <selection activeCell="I41" sqref="I41"/>
    </sheetView>
  </sheetViews>
  <sheetFormatPr defaultRowHeight="15.75" x14ac:dyDescent="0.25"/>
  <cols>
    <col min="1" max="1" width="10.85546875" style="28" customWidth="1"/>
    <col min="2" max="2" width="14.140625" style="34" customWidth="1"/>
    <col min="3" max="3" width="9.140625" style="32"/>
    <col min="4" max="4" width="29.85546875" style="32" customWidth="1"/>
    <col min="5" max="5" width="12" style="32" customWidth="1"/>
    <col min="6" max="6" width="26.28515625" style="32" customWidth="1"/>
    <col min="7" max="7" width="11" style="32" customWidth="1"/>
    <col min="8" max="8" width="42.85546875" style="32" customWidth="1"/>
    <col min="9" max="9" width="45.28515625" style="28" customWidth="1"/>
    <col min="10" max="10" width="44.140625" style="28" bestFit="1" customWidth="1"/>
    <col min="11" max="11" width="26.85546875" style="29" customWidth="1"/>
    <col min="12" max="13" width="27" customWidth="1"/>
    <col min="14" max="14" width="35.140625" customWidth="1"/>
    <col min="15" max="15" width="36.42578125" style="1" customWidth="1"/>
    <col min="16" max="16" width="25.7109375" style="1" customWidth="1"/>
  </cols>
  <sheetData>
    <row r="1" spans="1:15" x14ac:dyDescent="0.25">
      <c r="A1" s="35" t="s">
        <v>164</v>
      </c>
      <c r="B1" s="36" t="s">
        <v>160</v>
      </c>
    </row>
    <row r="2" spans="1:15" x14ac:dyDescent="0.25">
      <c r="I2" s="30" t="s">
        <v>201</v>
      </c>
      <c r="J2" s="30"/>
      <c r="K2" s="39"/>
    </row>
    <row r="3" spans="1:15" ht="60" x14ac:dyDescent="0.25">
      <c r="D3" s="31" t="s">
        <v>69</v>
      </c>
      <c r="I3" s="41" t="s">
        <v>198</v>
      </c>
    </row>
    <row r="4" spans="1:15" x14ac:dyDescent="0.25">
      <c r="I4" s="41"/>
    </row>
    <row r="5" spans="1:15" ht="45" x14ac:dyDescent="0.25">
      <c r="D5" s="38" t="s">
        <v>214</v>
      </c>
      <c r="H5"/>
      <c r="I5" s="28" t="s">
        <v>215</v>
      </c>
      <c r="J5" s="102" t="s">
        <v>362</v>
      </c>
      <c r="K5" s="28" t="s">
        <v>373</v>
      </c>
    </row>
    <row r="8" spans="1:15" ht="90" x14ac:dyDescent="0.25">
      <c r="A8" s="28" t="s">
        <v>205</v>
      </c>
      <c r="B8" s="34" t="s">
        <v>161</v>
      </c>
      <c r="D8" s="31" t="s">
        <v>159</v>
      </c>
      <c r="F8" s="31" t="s">
        <v>202</v>
      </c>
      <c r="I8" s="28" t="s">
        <v>199</v>
      </c>
      <c r="J8" s="28" t="s">
        <v>217</v>
      </c>
      <c r="K8" s="28" t="s">
        <v>216</v>
      </c>
    </row>
    <row r="11" spans="1:15" ht="135" x14ac:dyDescent="0.25">
      <c r="A11" s="28" t="s">
        <v>203</v>
      </c>
      <c r="B11" s="34" t="s">
        <v>163</v>
      </c>
      <c r="D11" s="31" t="s">
        <v>162</v>
      </c>
      <c r="F11" s="31" t="s">
        <v>166</v>
      </c>
      <c r="H11" s="31" t="s">
        <v>74</v>
      </c>
      <c r="I11" s="28" t="s">
        <v>169</v>
      </c>
      <c r="J11" s="102" t="s">
        <v>363</v>
      </c>
      <c r="L11" s="1"/>
      <c r="M11" s="1"/>
      <c r="O11"/>
    </row>
    <row r="14" spans="1:15" ht="78.75" x14ac:dyDescent="0.25">
      <c r="A14" s="28" t="s">
        <v>204</v>
      </c>
      <c r="B14" s="34" t="s">
        <v>167</v>
      </c>
      <c r="D14" s="38" t="s">
        <v>170</v>
      </c>
      <c r="F14" s="38" t="s">
        <v>168</v>
      </c>
      <c r="I14" s="28" t="s">
        <v>200</v>
      </c>
      <c r="J14" s="102" t="s">
        <v>364</v>
      </c>
      <c r="L14" s="1"/>
      <c r="M14" s="1"/>
      <c r="N14" s="1"/>
    </row>
    <row r="16" spans="1:15" x14ac:dyDescent="0.25">
      <c r="L16" s="1"/>
      <c r="M16" s="1"/>
    </row>
    <row r="17" spans="1:10" ht="60" x14ac:dyDescent="0.25">
      <c r="A17" s="28" t="s">
        <v>206</v>
      </c>
      <c r="D17" s="38" t="s">
        <v>171</v>
      </c>
      <c r="F17" s="38" t="s">
        <v>172</v>
      </c>
    </row>
    <row r="20" spans="1:10" ht="45" x14ac:dyDescent="0.25">
      <c r="A20" s="28" t="s">
        <v>165</v>
      </c>
      <c r="D20" s="38" t="s">
        <v>173</v>
      </c>
      <c r="F20" s="31" t="s">
        <v>76</v>
      </c>
      <c r="I20" s="28" t="s">
        <v>207</v>
      </c>
      <c r="J20" s="102" t="s">
        <v>365</v>
      </c>
    </row>
    <row r="21" spans="1:10" x14ac:dyDescent="0.25">
      <c r="I21" s="32"/>
    </row>
    <row r="22" spans="1:10" ht="60" x14ac:dyDescent="0.25">
      <c r="A22" s="28" t="s">
        <v>203</v>
      </c>
      <c r="B22" s="32"/>
      <c r="D22" s="31" t="s">
        <v>81</v>
      </c>
      <c r="E22"/>
      <c r="F22"/>
      <c r="H22"/>
      <c r="I22" s="28" t="s">
        <v>366</v>
      </c>
    </row>
    <row r="25" spans="1:10" x14ac:dyDescent="0.25">
      <c r="D25" s="31" t="s">
        <v>194</v>
      </c>
      <c r="F25" s="31" t="s">
        <v>77</v>
      </c>
    </row>
    <row r="26" spans="1:10" x14ac:dyDescent="0.25">
      <c r="D26" s="31" t="s">
        <v>91</v>
      </c>
      <c r="F26" s="31" t="s">
        <v>77</v>
      </c>
    </row>
    <row r="27" spans="1:10" x14ac:dyDescent="0.25">
      <c r="D27" s="31" t="s">
        <v>121</v>
      </c>
      <c r="F27" s="31" t="s">
        <v>122</v>
      </c>
    </row>
    <row r="28" spans="1:10" x14ac:dyDescent="0.25">
      <c r="D28" s="31" t="s">
        <v>195</v>
      </c>
      <c r="F28" s="31" t="s">
        <v>78</v>
      </c>
    </row>
    <row r="29" spans="1:10" x14ac:dyDescent="0.25">
      <c r="D29" s="31" t="s">
        <v>79</v>
      </c>
      <c r="F29" s="31" t="s">
        <v>80</v>
      </c>
    </row>
    <row r="34" spans="1:13" ht="30" x14ac:dyDescent="0.25">
      <c r="A34" s="28" t="s">
        <v>165</v>
      </c>
      <c r="D34" s="26" t="s">
        <v>174</v>
      </c>
      <c r="F34" s="31" t="s">
        <v>175</v>
      </c>
      <c r="I34" s="28" t="s">
        <v>176</v>
      </c>
      <c r="J34" s="28" t="s">
        <v>191</v>
      </c>
      <c r="K34" s="103" t="s">
        <v>367</v>
      </c>
    </row>
    <row r="35" spans="1:13" ht="45" x14ac:dyDescent="0.25">
      <c r="D35" s="27" t="s">
        <v>71</v>
      </c>
      <c r="I35" s="28" t="s">
        <v>190</v>
      </c>
      <c r="J35" s="28" t="s">
        <v>219</v>
      </c>
      <c r="K35" s="103" t="s">
        <v>368</v>
      </c>
    </row>
    <row r="36" spans="1:13" x14ac:dyDescent="0.25">
      <c r="L36" s="1"/>
      <c r="M36" s="1"/>
    </row>
    <row r="38" spans="1:13" ht="30" x14ac:dyDescent="0.25">
      <c r="A38" s="28" t="s">
        <v>209</v>
      </c>
      <c r="D38" s="31" t="s">
        <v>73</v>
      </c>
      <c r="F38" s="31" t="s">
        <v>108</v>
      </c>
      <c r="I38" s="28" t="s">
        <v>208</v>
      </c>
      <c r="L38" s="1"/>
      <c r="M38" s="1"/>
    </row>
    <row r="39" spans="1:13" x14ac:dyDescent="0.25">
      <c r="L39" s="1"/>
      <c r="M39" s="1"/>
    </row>
    <row r="41" spans="1:13" ht="60" x14ac:dyDescent="0.25">
      <c r="A41" s="28" t="s">
        <v>165</v>
      </c>
      <c r="D41" s="38" t="s">
        <v>187</v>
      </c>
      <c r="F41" s="31" t="s">
        <v>177</v>
      </c>
      <c r="I41" s="28" t="s">
        <v>188</v>
      </c>
      <c r="L41" s="1"/>
      <c r="M41" s="1"/>
    </row>
    <row r="42" spans="1:13" x14ac:dyDescent="0.25">
      <c r="D42" s="29"/>
      <c r="L42" s="1"/>
      <c r="M42" s="1"/>
    </row>
    <row r="43" spans="1:13" x14ac:dyDescent="0.25">
      <c r="L43" s="1"/>
      <c r="M43" s="1"/>
    </row>
    <row r="44" spans="1:13" ht="60" x14ac:dyDescent="0.25">
      <c r="D44" s="31" t="s">
        <v>178</v>
      </c>
      <c r="F44" s="31" t="s">
        <v>75</v>
      </c>
      <c r="H44" s="38" t="s">
        <v>210</v>
      </c>
      <c r="I44" s="28" t="s">
        <v>229</v>
      </c>
      <c r="J44" s="28" t="s">
        <v>179</v>
      </c>
      <c r="K44" s="102" t="s">
        <v>369</v>
      </c>
      <c r="L44" s="1"/>
      <c r="M44" s="1"/>
    </row>
    <row r="47" spans="1:13" ht="60" x14ac:dyDescent="0.25">
      <c r="A47" s="28" t="s">
        <v>211</v>
      </c>
      <c r="D47" s="31" t="s">
        <v>70</v>
      </c>
      <c r="I47" s="32" t="s">
        <v>212</v>
      </c>
      <c r="J47" s="28" t="s">
        <v>192</v>
      </c>
      <c r="K47" s="102" t="s">
        <v>370</v>
      </c>
      <c r="L47" s="1"/>
      <c r="M47" s="1"/>
    </row>
    <row r="49" spans="3:10" ht="30" x14ac:dyDescent="0.25">
      <c r="D49" s="26" t="s">
        <v>72</v>
      </c>
      <c r="I49" s="28" t="s">
        <v>213</v>
      </c>
      <c r="J49" s="28" t="s">
        <v>218</v>
      </c>
    </row>
    <row r="50" spans="3:10" x14ac:dyDescent="0.25">
      <c r="D50" s="27" t="s">
        <v>131</v>
      </c>
    </row>
    <row r="53" spans="3:10" ht="45" x14ac:dyDescent="0.25">
      <c r="D53" s="32" t="s">
        <v>220</v>
      </c>
      <c r="I53" s="28" t="s">
        <v>193</v>
      </c>
    </row>
    <row r="61" spans="3:10" x14ac:dyDescent="0.25">
      <c r="C61" s="223" t="s">
        <v>118</v>
      </c>
      <c r="D61" s="223"/>
    </row>
    <row r="62" spans="3:10" x14ac:dyDescent="0.25">
      <c r="C62" s="33"/>
      <c r="D62" s="33"/>
    </row>
    <row r="63" spans="3:10" x14ac:dyDescent="0.25">
      <c r="C63" s="29" t="s">
        <v>89</v>
      </c>
      <c r="D63" s="29"/>
      <c r="E63" s="29"/>
      <c r="F63" s="29"/>
    </row>
    <row r="64" spans="3:10" x14ac:dyDescent="0.25">
      <c r="C64" s="29" t="s">
        <v>180</v>
      </c>
      <c r="D64" s="29"/>
      <c r="E64" s="29"/>
      <c r="F64" s="29"/>
    </row>
    <row r="65" spans="2:10" x14ac:dyDescent="0.25">
      <c r="C65" s="29"/>
      <c r="D65" s="29" t="s">
        <v>102</v>
      </c>
      <c r="E65" s="29"/>
      <c r="F65" s="29"/>
      <c r="J65" s="28" t="s">
        <v>181</v>
      </c>
    </row>
    <row r="66" spans="2:10" x14ac:dyDescent="0.25">
      <c r="C66" s="29" t="s">
        <v>85</v>
      </c>
      <c r="D66" s="29"/>
      <c r="E66" s="29"/>
      <c r="F66" s="29"/>
    </row>
    <row r="67" spans="2:10" x14ac:dyDescent="0.25">
      <c r="C67" s="29" t="s">
        <v>152</v>
      </c>
      <c r="D67" s="29"/>
      <c r="E67" s="29"/>
      <c r="F67" s="29"/>
    </row>
    <row r="68" spans="2:10" x14ac:dyDescent="0.25">
      <c r="C68" s="29" t="s">
        <v>64</v>
      </c>
      <c r="D68" s="29"/>
      <c r="E68" s="29"/>
      <c r="F68" s="29"/>
    </row>
    <row r="69" spans="2:10" x14ac:dyDescent="0.25">
      <c r="C69" s="29" t="s">
        <v>87</v>
      </c>
      <c r="D69" s="29"/>
      <c r="E69" s="29"/>
      <c r="F69" s="29"/>
    </row>
    <row r="70" spans="2:10" x14ac:dyDescent="0.25">
      <c r="C70" s="29" t="s">
        <v>86</v>
      </c>
      <c r="D70" s="29"/>
      <c r="E70" s="29"/>
      <c r="F70" s="29"/>
    </row>
    <row r="71" spans="2:10" x14ac:dyDescent="0.25">
      <c r="C71" s="29" t="s">
        <v>61</v>
      </c>
      <c r="D71" s="29"/>
      <c r="E71" s="29"/>
      <c r="F71" s="29"/>
    </row>
    <row r="72" spans="2:10" x14ac:dyDescent="0.25">
      <c r="C72" s="29" t="s">
        <v>84</v>
      </c>
      <c r="D72" s="29"/>
      <c r="E72" s="29"/>
      <c r="F72" s="29"/>
    </row>
    <row r="73" spans="2:10" x14ac:dyDescent="0.25">
      <c r="C73" s="29" t="s">
        <v>62</v>
      </c>
      <c r="D73" s="29"/>
      <c r="E73" s="29"/>
      <c r="F73" s="29"/>
    </row>
    <row r="74" spans="2:10" x14ac:dyDescent="0.25">
      <c r="C74" s="29" t="s">
        <v>182</v>
      </c>
      <c r="D74" s="29"/>
      <c r="E74" s="29"/>
      <c r="F74" s="29"/>
      <c r="I74" t="s">
        <v>68</v>
      </c>
    </row>
    <row r="75" spans="2:10" x14ac:dyDescent="0.25">
      <c r="C75" s="29" t="s">
        <v>183</v>
      </c>
      <c r="D75" s="29"/>
      <c r="E75" s="29"/>
      <c r="F75" s="29"/>
      <c r="I75" t="s">
        <v>68</v>
      </c>
    </row>
    <row r="76" spans="2:10" x14ac:dyDescent="0.25">
      <c r="C76" s="29" t="s">
        <v>63</v>
      </c>
      <c r="D76" s="29"/>
      <c r="E76" s="29"/>
      <c r="F76" s="29"/>
    </row>
    <row r="77" spans="2:10" x14ac:dyDescent="0.25">
      <c r="C77" s="29" t="s">
        <v>223</v>
      </c>
      <c r="D77" s="29"/>
      <c r="E77" s="29"/>
      <c r="F77" s="29"/>
    </row>
    <row r="78" spans="2:10" x14ac:dyDescent="0.25">
      <c r="C78" s="29" t="s">
        <v>184</v>
      </c>
      <c r="D78" s="29"/>
      <c r="E78" s="29"/>
      <c r="F78" s="29"/>
    </row>
    <row r="79" spans="2:10" x14ac:dyDescent="0.25">
      <c r="B79" s="37">
        <v>46009</v>
      </c>
      <c r="C79" s="29" t="s">
        <v>83</v>
      </c>
      <c r="D79" s="29"/>
      <c r="E79" s="29"/>
      <c r="F79" s="29"/>
    </row>
    <row r="80" spans="2:10" x14ac:dyDescent="0.25">
      <c r="B80" s="37">
        <v>46034</v>
      </c>
      <c r="C80" s="29" t="s">
        <v>90</v>
      </c>
      <c r="D80" s="29"/>
      <c r="E80" s="29"/>
      <c r="F80" s="29"/>
    </row>
    <row r="81" spans="3:10" x14ac:dyDescent="0.25">
      <c r="C81" s="29"/>
      <c r="D81" s="29" t="s">
        <v>185</v>
      </c>
      <c r="E81" s="29"/>
      <c r="F81" s="29"/>
      <c r="J81" s="28" t="s">
        <v>189</v>
      </c>
    </row>
    <row r="82" spans="3:10" x14ac:dyDescent="0.25">
      <c r="C82" s="29"/>
      <c r="D82" s="29" t="s">
        <v>186</v>
      </c>
      <c r="E82" s="29"/>
      <c r="F82" s="29"/>
    </row>
    <row r="83" spans="3:10" x14ac:dyDescent="0.25">
      <c r="C83" s="29" t="s">
        <v>104</v>
      </c>
      <c r="D83" s="29"/>
      <c r="E83" s="29"/>
      <c r="F83" s="29"/>
    </row>
    <row r="84" spans="3:10" x14ac:dyDescent="0.25">
      <c r="C84" s="29"/>
      <c r="D84" s="29" t="s">
        <v>105</v>
      </c>
      <c r="E84" s="29"/>
      <c r="F84" s="29"/>
    </row>
    <row r="85" spans="3:10" x14ac:dyDescent="0.25">
      <c r="C85" s="29"/>
      <c r="D85" s="29" t="s">
        <v>106</v>
      </c>
      <c r="E85" s="29"/>
      <c r="F85" s="29"/>
    </row>
    <row r="86" spans="3:10" x14ac:dyDescent="0.25">
      <c r="C86" s="29" t="s">
        <v>157</v>
      </c>
      <c r="D86" s="29"/>
      <c r="E86" s="29"/>
      <c r="F86" s="29"/>
    </row>
    <row r="87" spans="3:10" x14ac:dyDescent="0.25">
      <c r="C87" s="29" t="s">
        <v>361</v>
      </c>
      <c r="D87" s="29"/>
      <c r="E87" s="29"/>
      <c r="F87" s="29"/>
    </row>
    <row r="88" spans="3:10" x14ac:dyDescent="0.25">
      <c r="C88" s="29" t="s">
        <v>395</v>
      </c>
      <c r="D88" s="29"/>
      <c r="E88" s="29"/>
      <c r="F88" s="29"/>
    </row>
    <row r="89" spans="3:10" x14ac:dyDescent="0.25">
      <c r="C89" s="29" t="s">
        <v>197</v>
      </c>
      <c r="D89" s="29"/>
      <c r="E89" s="29"/>
      <c r="F89" s="29"/>
    </row>
    <row r="90" spans="3:10" x14ac:dyDescent="0.25">
      <c r="D90" s="106" t="s">
        <v>376</v>
      </c>
    </row>
    <row r="91" spans="3:10" x14ac:dyDescent="0.25">
      <c r="C91" s="29" t="s">
        <v>196</v>
      </c>
      <c r="D91" s="29"/>
      <c r="E91" s="29"/>
      <c r="F91" s="29"/>
    </row>
    <row r="92" spans="3:10" x14ac:dyDescent="0.25">
      <c r="C92" s="224" t="s">
        <v>233</v>
      </c>
      <c r="D92" s="225"/>
      <c r="E92" s="225"/>
      <c r="F92" s="225"/>
      <c r="G92" s="225"/>
    </row>
    <row r="93" spans="3:10" ht="18" customHeight="1" x14ac:dyDescent="0.25">
      <c r="C93" s="96" t="s">
        <v>371</v>
      </c>
      <c r="D93"/>
      <c r="E93"/>
      <c r="F93"/>
      <c r="G93"/>
    </row>
    <row r="94" spans="3:10" ht="18" customHeight="1" x14ac:dyDescent="0.25">
      <c r="C94" s="96" t="s">
        <v>372</v>
      </c>
      <c r="D94"/>
      <c r="E94"/>
      <c r="F94"/>
      <c r="G94"/>
    </row>
    <row r="95" spans="3:10" ht="18" customHeight="1" x14ac:dyDescent="0.25">
      <c r="C95" s="96" t="s">
        <v>387</v>
      </c>
      <c r="D95"/>
      <c r="E95"/>
      <c r="F95"/>
      <c r="G95"/>
    </row>
    <row r="96" spans="3:10" ht="18" customHeight="1" x14ac:dyDescent="0.25">
      <c r="C96" s="96" t="s">
        <v>386</v>
      </c>
      <c r="D96"/>
      <c r="E96"/>
      <c r="F96"/>
      <c r="G96"/>
    </row>
    <row r="97" spans="3:8" ht="18" customHeight="1" x14ac:dyDescent="0.25">
      <c r="C97" s="96"/>
      <c r="D97" s="124" t="s">
        <v>384</v>
      </c>
      <c r="E97"/>
      <c r="F97"/>
      <c r="G97"/>
    </row>
    <row r="98" spans="3:8" ht="18" customHeight="1" x14ac:dyDescent="0.25">
      <c r="C98" s="96"/>
      <c r="D98" s="124" t="s">
        <v>385</v>
      </c>
      <c r="E98"/>
      <c r="F98"/>
      <c r="G98"/>
    </row>
    <row r="99" spans="3:8" x14ac:dyDescent="0.25">
      <c r="D99" s="125" t="s">
        <v>383</v>
      </c>
    </row>
    <row r="100" spans="3:8" x14ac:dyDescent="0.25">
      <c r="C100" s="125" t="s">
        <v>416</v>
      </c>
      <c r="D100" s="106"/>
    </row>
    <row r="101" spans="3:8" x14ac:dyDescent="0.25">
      <c r="C101" s="125" t="s">
        <v>401</v>
      </c>
      <c r="D101" s="106"/>
    </row>
    <row r="102" spans="3:8" x14ac:dyDescent="0.25">
      <c r="D102" s="106"/>
    </row>
    <row r="103" spans="3:8" x14ac:dyDescent="0.25">
      <c r="C103" s="223" t="s">
        <v>115</v>
      </c>
      <c r="D103" s="223"/>
      <c r="F103" s="32" t="s">
        <v>415</v>
      </c>
    </row>
    <row r="105" spans="3:8" x14ac:dyDescent="0.25">
      <c r="D105" s="29" t="s">
        <v>109</v>
      </c>
      <c r="E105" s="29" t="s">
        <v>119</v>
      </c>
      <c r="F105" s="29"/>
      <c r="G105" s="29"/>
      <c r="H105" s="29" t="s">
        <v>154</v>
      </c>
    </row>
    <row r="106" spans="3:8" x14ac:dyDescent="0.25">
      <c r="D106" s="29" t="s">
        <v>110</v>
      </c>
      <c r="E106" s="29" t="s">
        <v>111</v>
      </c>
      <c r="F106" s="29"/>
      <c r="G106" s="29"/>
      <c r="H106" s="29" t="s">
        <v>156</v>
      </c>
    </row>
    <row r="107" spans="3:8" x14ac:dyDescent="0.25">
      <c r="D107" s="29" t="s">
        <v>110</v>
      </c>
      <c r="E107" s="29" t="s">
        <v>112</v>
      </c>
      <c r="F107" s="29"/>
      <c r="G107" s="29"/>
      <c r="H107" s="29" t="s">
        <v>113</v>
      </c>
    </row>
    <row r="108" spans="3:8" x14ac:dyDescent="0.25">
      <c r="D108" s="29" t="s">
        <v>110</v>
      </c>
      <c r="E108" s="29" t="s">
        <v>114</v>
      </c>
      <c r="F108" s="29"/>
      <c r="G108" s="29"/>
      <c r="H108" s="29" t="s">
        <v>155</v>
      </c>
    </row>
    <row r="112" spans="3:8" x14ac:dyDescent="0.25">
      <c r="C112" s="223" t="s">
        <v>107</v>
      </c>
      <c r="D112" s="223"/>
    </row>
    <row r="114" spans="4:7" x14ac:dyDescent="0.25">
      <c r="D114" s="29" t="s">
        <v>116</v>
      </c>
      <c r="E114" s="29"/>
      <c r="F114" s="29" t="s">
        <v>93</v>
      </c>
      <c r="G114" s="29"/>
    </row>
    <row r="115" spans="4:7" x14ac:dyDescent="0.25">
      <c r="D115" s="29"/>
      <c r="E115" s="29"/>
      <c r="F115" s="29" t="s">
        <v>117</v>
      </c>
      <c r="G115" s="29"/>
    </row>
    <row r="116" spans="4:7" x14ac:dyDescent="0.25">
      <c r="D116" s="29"/>
      <c r="E116" s="29"/>
      <c r="F116" s="29" t="s">
        <v>120</v>
      </c>
      <c r="G116" s="29"/>
    </row>
    <row r="117" spans="4:7" x14ac:dyDescent="0.25">
      <c r="D117" s="29"/>
      <c r="E117" s="29"/>
      <c r="F117" s="29"/>
      <c r="G117" s="29"/>
    </row>
    <row r="118" spans="4:7" x14ac:dyDescent="0.25">
      <c r="D118" s="29" t="s">
        <v>92</v>
      </c>
      <c r="E118" s="40" t="s">
        <v>97</v>
      </c>
      <c r="F118" s="29"/>
      <c r="G118" s="29"/>
    </row>
    <row r="119" spans="4:7" x14ac:dyDescent="0.25">
      <c r="D119" s="29"/>
      <c r="E119" s="29"/>
      <c r="F119" s="29" t="s">
        <v>93</v>
      </c>
      <c r="G119" s="29"/>
    </row>
    <row r="120" spans="4:7" x14ac:dyDescent="0.25">
      <c r="D120" s="29"/>
      <c r="E120" s="29"/>
      <c r="F120" s="29" t="s">
        <v>94</v>
      </c>
      <c r="G120" s="29"/>
    </row>
    <row r="121" spans="4:7" x14ac:dyDescent="0.25">
      <c r="D121" s="29"/>
      <c r="E121" s="29"/>
      <c r="F121" s="29" t="s">
        <v>120</v>
      </c>
      <c r="G121" s="29"/>
    </row>
    <row r="122" spans="4:7" x14ac:dyDescent="0.25">
      <c r="D122" s="29"/>
      <c r="E122" s="29"/>
      <c r="F122" s="29"/>
      <c r="G122" s="29"/>
    </row>
    <row r="123" spans="4:7" x14ac:dyDescent="0.25">
      <c r="D123" s="29" t="s">
        <v>95</v>
      </c>
      <c r="E123" s="29" t="s">
        <v>99</v>
      </c>
      <c r="F123" s="29"/>
      <c r="G123" s="29"/>
    </row>
    <row r="124" spans="4:7" x14ac:dyDescent="0.25">
      <c r="D124" s="29"/>
      <c r="E124" s="29"/>
      <c r="F124" s="29" t="s">
        <v>93</v>
      </c>
      <c r="G124" s="29"/>
    </row>
    <row r="125" spans="4:7" x14ac:dyDescent="0.25">
      <c r="D125" s="29"/>
      <c r="E125" s="29"/>
      <c r="F125" s="29" t="s">
        <v>94</v>
      </c>
      <c r="G125" s="29"/>
    </row>
    <row r="126" spans="4:7" x14ac:dyDescent="0.25">
      <c r="D126" s="29"/>
      <c r="E126" s="29"/>
      <c r="F126" s="29" t="s">
        <v>100</v>
      </c>
      <c r="G126" s="29"/>
    </row>
    <row r="127" spans="4:7" x14ac:dyDescent="0.25">
      <c r="D127" s="29"/>
      <c r="E127" s="29"/>
      <c r="F127" s="29"/>
      <c r="G127" s="29"/>
    </row>
    <row r="128" spans="4:7" x14ac:dyDescent="0.25">
      <c r="D128" s="29" t="s">
        <v>103</v>
      </c>
      <c r="E128" s="29" t="s">
        <v>101</v>
      </c>
      <c r="F128" s="29"/>
      <c r="G128" s="29"/>
    </row>
    <row r="129" spans="4:7" x14ac:dyDescent="0.25">
      <c r="D129" s="29"/>
      <c r="E129" s="29"/>
      <c r="F129" s="29"/>
      <c r="G129" s="29"/>
    </row>
    <row r="130" spans="4:7" x14ac:dyDescent="0.25">
      <c r="D130" s="29" t="s">
        <v>96</v>
      </c>
      <c r="E130" s="29" t="s">
        <v>98</v>
      </c>
      <c r="F130" s="29"/>
      <c r="G130" s="29"/>
    </row>
    <row r="131" spans="4:7" x14ac:dyDescent="0.25">
      <c r="D131" s="29"/>
      <c r="E131" s="29"/>
      <c r="F131" s="29" t="s">
        <v>153</v>
      </c>
      <c r="G131" s="29"/>
    </row>
    <row r="132" spans="4:7" x14ac:dyDescent="0.25">
      <c r="D132" s="29"/>
      <c r="E132" s="29"/>
      <c r="F132" s="29"/>
      <c r="G132" s="29"/>
    </row>
  </sheetData>
  <mergeCells count="4">
    <mergeCell ref="C61:D61"/>
    <mergeCell ref="C103:D103"/>
    <mergeCell ref="C112:D112"/>
    <mergeCell ref="C92:G92"/>
  </mergeCells>
  <pageMargins left="0.7" right="0.7" top="0.75" bottom="0.75" header="0.3" footer="0.3"/>
  <pageSetup paperSize="8" orientation="portrait" verticalDpi="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9F114-6D36-42FB-9D2E-89B54A191624}">
  <sheetPr>
    <pageSetUpPr fitToPage="1"/>
  </sheetPr>
  <dimension ref="A1:FQ650"/>
  <sheetViews>
    <sheetView tabSelected="1" zoomScale="145" zoomScaleNormal="145" workbookViewId="0">
      <pane xSplit="9315" ySplit="3270" topLeftCell="O595" activePane="bottomRight"/>
      <selection activeCell="B2" sqref="B2"/>
      <selection pane="topRight" activeCell="AA6" sqref="AA6"/>
      <selection pane="bottomLeft" activeCell="B636" sqref="B636"/>
      <selection pane="bottomRight" activeCell="O614" sqref="O614"/>
    </sheetView>
  </sheetViews>
  <sheetFormatPr defaultColWidth="9.140625" defaultRowHeight="11.25" x14ac:dyDescent="0.2"/>
  <cols>
    <col min="1" max="1" width="9.5703125" style="11" customWidth="1"/>
    <col min="2" max="2" width="47.7109375" style="44" customWidth="1"/>
    <col min="3" max="3" width="12.140625" style="44" customWidth="1"/>
    <col min="4" max="4" width="11.7109375" style="11" customWidth="1"/>
    <col min="5" max="5" width="16.5703125" style="11" customWidth="1"/>
    <col min="6" max="6" width="3.7109375" style="11" customWidth="1"/>
    <col min="7" max="7" width="6.140625" style="11" customWidth="1"/>
    <col min="8" max="11" width="3.7109375" style="11" customWidth="1"/>
    <col min="12" max="13" width="5.7109375" style="11" customWidth="1"/>
    <col min="14" max="14" width="23.140625" style="11" customWidth="1"/>
    <col min="15" max="15" width="16.28515625" style="11" bestFit="1" customWidth="1"/>
    <col min="16" max="46" width="2.28515625" style="11" customWidth="1"/>
    <col min="47" max="47" width="2.28515625" style="25" customWidth="1"/>
    <col min="48" max="52" width="2.28515625" style="11" customWidth="1"/>
    <col min="53" max="53" width="2.28515625" style="25" customWidth="1"/>
    <col min="54" max="54" width="2.28515625" style="117" customWidth="1"/>
    <col min="55" max="55" width="2.28515625" style="116" customWidth="1"/>
    <col min="56" max="68" width="2.28515625" style="206" customWidth="1"/>
    <col min="69" max="16384" width="9.140625" style="11"/>
  </cols>
  <sheetData>
    <row r="1" spans="1:173" ht="18" customHeight="1" thickBot="1" x14ac:dyDescent="0.25">
      <c r="A1" s="97" t="s">
        <v>141</v>
      </c>
      <c r="B1" s="98"/>
      <c r="C1" s="98"/>
      <c r="D1" s="98"/>
      <c r="E1" s="98"/>
      <c r="F1" s="98"/>
      <c r="G1" s="98"/>
      <c r="H1" s="207" t="s">
        <v>353</v>
      </c>
      <c r="I1" s="208"/>
      <c r="J1" s="208"/>
      <c r="K1" s="209"/>
      <c r="L1" s="98"/>
      <c r="M1" s="98"/>
      <c r="N1" s="98"/>
      <c r="O1" s="98"/>
      <c r="P1" s="207" t="s">
        <v>140</v>
      </c>
      <c r="Q1" s="215"/>
      <c r="R1" s="216"/>
      <c r="S1" s="207" t="s">
        <v>127</v>
      </c>
      <c r="T1" s="208"/>
      <c r="U1" s="207" t="s">
        <v>125</v>
      </c>
      <c r="V1" s="210"/>
      <c r="W1" s="210"/>
      <c r="X1" s="210"/>
      <c r="Y1" s="210"/>
      <c r="Z1" s="210"/>
      <c r="AA1" s="210"/>
      <c r="AB1" s="210"/>
      <c r="AC1" s="210"/>
      <c r="AD1" s="210"/>
      <c r="AE1" s="210"/>
      <c r="AF1" s="211"/>
      <c r="AG1" s="207" t="s">
        <v>221</v>
      </c>
      <c r="AH1" s="215"/>
      <c r="AI1" s="215"/>
      <c r="AJ1" s="215"/>
      <c r="AK1" s="215"/>
      <c r="AL1" s="216"/>
      <c r="AM1" s="207" t="s">
        <v>222</v>
      </c>
      <c r="AN1" s="210"/>
      <c r="AO1" s="210"/>
      <c r="AP1" s="210"/>
      <c r="AQ1" s="210"/>
      <c r="AR1" s="210"/>
      <c r="AS1" s="210"/>
      <c r="AT1" s="210"/>
      <c r="AU1" s="210"/>
      <c r="AV1" s="211"/>
      <c r="AW1" s="217" t="s">
        <v>51</v>
      </c>
      <c r="AX1" s="218"/>
      <c r="AY1" s="218"/>
      <c r="AZ1" s="218"/>
      <c r="BA1" s="218"/>
      <c r="BB1" s="219"/>
      <c r="BC1" s="220"/>
      <c r="BD1" s="212" t="s">
        <v>374</v>
      </c>
      <c r="BE1" s="213"/>
      <c r="BF1" s="213"/>
      <c r="BG1" s="213"/>
      <c r="BH1" s="213"/>
      <c r="BI1" s="213"/>
      <c r="BJ1" s="213"/>
      <c r="BK1" s="213"/>
      <c r="BL1" s="213"/>
      <c r="BM1" s="213"/>
      <c r="BN1" s="213"/>
      <c r="BO1" s="213"/>
      <c r="BP1" s="214"/>
    </row>
    <row r="2" spans="1:173" ht="80.25" customHeight="1" thickBot="1" x14ac:dyDescent="0.25">
      <c r="A2" s="95" t="s">
        <v>352</v>
      </c>
      <c r="B2" s="94" t="s">
        <v>254</v>
      </c>
      <c r="C2" s="93" t="s">
        <v>124</v>
      </c>
      <c r="D2" s="66" t="s">
        <v>132</v>
      </c>
      <c r="E2" s="67" t="s">
        <v>264</v>
      </c>
      <c r="F2" s="65" t="s">
        <v>142</v>
      </c>
      <c r="G2" s="65" t="s">
        <v>126</v>
      </c>
      <c r="H2" s="65" t="s">
        <v>273</v>
      </c>
      <c r="I2" s="65" t="s">
        <v>274</v>
      </c>
      <c r="J2" s="65" t="s">
        <v>51</v>
      </c>
      <c r="K2" s="65" t="s">
        <v>56</v>
      </c>
      <c r="L2" s="14" t="s">
        <v>128</v>
      </c>
      <c r="M2" s="14" t="s">
        <v>129</v>
      </c>
      <c r="N2" s="90" t="s">
        <v>269</v>
      </c>
      <c r="O2" s="90" t="s">
        <v>234</v>
      </c>
      <c r="P2" s="13" t="s">
        <v>123</v>
      </c>
      <c r="Q2" s="14" t="s">
        <v>12</v>
      </c>
      <c r="R2" s="15" t="s">
        <v>14</v>
      </c>
      <c r="S2" s="13" t="s">
        <v>123</v>
      </c>
      <c r="T2" s="14" t="s">
        <v>12</v>
      </c>
      <c r="U2" s="13" t="s">
        <v>138</v>
      </c>
      <c r="V2" s="14" t="s">
        <v>139</v>
      </c>
      <c r="W2" s="14" t="s">
        <v>137</v>
      </c>
      <c r="X2" s="14" t="s">
        <v>144</v>
      </c>
      <c r="Y2" s="14" t="s">
        <v>145</v>
      </c>
      <c r="Z2" s="14" t="s">
        <v>130</v>
      </c>
      <c r="AA2" s="14" t="s">
        <v>143</v>
      </c>
      <c r="AB2" s="47" t="s">
        <v>248</v>
      </c>
      <c r="AC2" s="47" t="s">
        <v>252</v>
      </c>
      <c r="AD2" s="47" t="s">
        <v>251</v>
      </c>
      <c r="AE2" s="47" t="s">
        <v>253</v>
      </c>
      <c r="AF2" s="15" t="s">
        <v>232</v>
      </c>
      <c r="AG2" s="63" t="s">
        <v>543</v>
      </c>
      <c r="AH2" s="14" t="s">
        <v>133</v>
      </c>
      <c r="AI2" s="14" t="s">
        <v>134</v>
      </c>
      <c r="AJ2" s="14" t="s">
        <v>354</v>
      </c>
      <c r="AK2" s="14" t="s">
        <v>315</v>
      </c>
      <c r="AL2" s="15" t="s">
        <v>316</v>
      </c>
      <c r="AM2" s="13" t="s">
        <v>545</v>
      </c>
      <c r="AN2" s="65" t="s">
        <v>413</v>
      </c>
      <c r="AO2" s="14" t="s">
        <v>226</v>
      </c>
      <c r="AP2" s="14" t="s">
        <v>228</v>
      </c>
      <c r="AQ2" s="14" t="s">
        <v>414</v>
      </c>
      <c r="AR2" s="14" t="s">
        <v>561</v>
      </c>
      <c r="AS2" s="14" t="s">
        <v>349</v>
      </c>
      <c r="AT2" s="14" t="s">
        <v>350</v>
      </c>
      <c r="AU2" s="14" t="s">
        <v>402</v>
      </c>
      <c r="AV2" s="60" t="s">
        <v>225</v>
      </c>
      <c r="AW2" s="109" t="s">
        <v>546</v>
      </c>
      <c r="AX2" s="60" t="s">
        <v>390</v>
      </c>
      <c r="AY2" s="60" t="s">
        <v>391</v>
      </c>
      <c r="AZ2" s="60" t="s">
        <v>547</v>
      </c>
      <c r="BA2" s="63" t="s">
        <v>392</v>
      </c>
      <c r="BB2" s="14" t="s">
        <v>394</v>
      </c>
      <c r="BC2" s="15" t="s">
        <v>396</v>
      </c>
      <c r="BD2" s="197" t="s">
        <v>135</v>
      </c>
      <c r="BE2" s="198" t="s">
        <v>237</v>
      </c>
      <c r="BF2" s="198" t="s">
        <v>238</v>
      </c>
      <c r="BG2" s="198" t="s">
        <v>239</v>
      </c>
      <c r="BH2" s="198" t="s">
        <v>240</v>
      </c>
      <c r="BI2" s="198" t="s">
        <v>241</v>
      </c>
      <c r="BJ2" s="198" t="s">
        <v>242</v>
      </c>
      <c r="BK2" s="198" t="s">
        <v>136</v>
      </c>
      <c r="BL2" s="198" t="s">
        <v>243</v>
      </c>
      <c r="BM2" s="198" t="s">
        <v>244</v>
      </c>
      <c r="BN2" s="198" t="s">
        <v>245</v>
      </c>
      <c r="BO2" s="198" t="s">
        <v>246</v>
      </c>
      <c r="BP2" s="199" t="s">
        <v>247</v>
      </c>
      <c r="BS2" s="42"/>
    </row>
    <row r="3" spans="1:173" x14ac:dyDescent="0.2">
      <c r="A3" s="88">
        <v>60920100</v>
      </c>
      <c r="B3" s="52" t="str">
        <f>VLOOKUP($A3,[1]maaltijden!$A$1:$IV$65536,4,FALSE)</f>
        <v>DMB KIPPENSOEP 900G</v>
      </c>
      <c r="C3" s="45" t="str">
        <f>VLOOKUP($A3,[1]maaltijden!$A$1:$IV$65536,7,FALSE)</f>
        <v>C2227-1H</v>
      </c>
      <c r="D3" s="17" t="str">
        <f>VLOOKUP($A3,[1]maaltijden!$A$1:$IV$65536,10,FALSE)</f>
        <v>NVT</v>
      </c>
      <c r="E3" s="17" t="str">
        <f>VLOOKUP($A3,[1]maaltijden!$A$1:$IV$65536,13,FALSE)</f>
        <v>DMC X 6</v>
      </c>
      <c r="F3" s="20">
        <f t="shared" ref="F3:F66" si="0">IF($D3="Bedrukte folie 470x300",1,0)</f>
        <v>0</v>
      </c>
      <c r="G3" s="20" t="str">
        <f>VLOOKUP($A3,[1]maaltijden!$A$1:$IV$65536,27,FALSE)</f>
        <v>! ! !</v>
      </c>
      <c r="H3" s="22">
        <f>VLOOKUP($A3,[1]maaltijden!$A$1:$IV$65536,21,FALSE)</f>
        <v>3</v>
      </c>
      <c r="I3" s="22">
        <f>VLOOKUP($A3,[1]maaltijden!$A$1:$IV$65536,21,FALSE)</f>
        <v>3</v>
      </c>
      <c r="J3" s="22">
        <f>VLOOKUP($A3,[1]maaltijden!$A$1:$IV$65536,18,FALSE)</f>
        <v>3</v>
      </c>
      <c r="K3" s="22">
        <f>VLOOKUP($A3,[1]maaltijden!$A$1:$IV$65536,17,FALSE)</f>
        <v>1</v>
      </c>
      <c r="L3" s="22">
        <f>VLOOKUP($A3,[1]maaltijden!$A$1:$IV$65536,20,FALSE)</f>
        <v>1750</v>
      </c>
      <c r="M3" s="22">
        <f>VLOOKUP($A3,[1]maaltijden!$A$1:$IV$65536,22,FALSE)</f>
        <v>1750</v>
      </c>
      <c r="N3" s="133">
        <v>0</v>
      </c>
      <c r="O3" s="18">
        <v>0</v>
      </c>
      <c r="P3" s="16">
        <v>0</v>
      </c>
      <c r="Q3" s="17">
        <v>1</v>
      </c>
      <c r="R3" s="18">
        <v>0</v>
      </c>
      <c r="S3" s="16">
        <v>0</v>
      </c>
      <c r="T3" s="17">
        <v>1</v>
      </c>
      <c r="U3" s="16">
        <v>0</v>
      </c>
      <c r="V3" s="17">
        <v>1</v>
      </c>
      <c r="W3" s="17">
        <v>1</v>
      </c>
      <c r="X3" s="17">
        <v>1</v>
      </c>
      <c r="Y3" s="17">
        <v>1</v>
      </c>
      <c r="Z3" s="17">
        <v>0</v>
      </c>
      <c r="AA3" s="17">
        <v>0</v>
      </c>
      <c r="AB3" s="48">
        <v>0</v>
      </c>
      <c r="AC3" s="48">
        <v>0</v>
      </c>
      <c r="AD3" s="48">
        <v>0</v>
      </c>
      <c r="AE3" s="48">
        <v>1</v>
      </c>
      <c r="AF3" s="48">
        <v>0</v>
      </c>
      <c r="AG3" s="158">
        <v>0</v>
      </c>
      <c r="AH3" s="159">
        <v>1</v>
      </c>
      <c r="AI3" s="159">
        <v>0</v>
      </c>
      <c r="AJ3" s="159">
        <v>0</v>
      </c>
      <c r="AK3" s="159">
        <v>0</v>
      </c>
      <c r="AL3" s="160">
        <v>0</v>
      </c>
      <c r="AM3" s="16">
        <v>0</v>
      </c>
      <c r="AN3" s="20" t="str">
        <f>IFERROR(INDEX([2]lijnopstellingsfiche!$AP$1:$AP$65536,MATCH(A3,[2]lijnopstellingsfiche!$AQ$1:$AQ$65536,0)),"")</f>
        <v>-</v>
      </c>
      <c r="AO3" s="17">
        <v>0</v>
      </c>
      <c r="AP3" s="17">
        <v>0</v>
      </c>
      <c r="AQ3" s="17">
        <v>2</v>
      </c>
      <c r="AR3" s="17">
        <v>0</v>
      </c>
      <c r="AS3" s="17">
        <v>0</v>
      </c>
      <c r="AT3" s="17">
        <v>0</v>
      </c>
      <c r="AU3" s="17">
        <v>0</v>
      </c>
      <c r="AV3" s="24">
        <v>0</v>
      </c>
      <c r="AW3" s="108">
        <v>0</v>
      </c>
      <c r="AX3" s="108">
        <v>0</v>
      </c>
      <c r="AY3" s="108">
        <v>1</v>
      </c>
      <c r="AZ3" s="108">
        <v>0</v>
      </c>
      <c r="BA3" s="114">
        <v>1</v>
      </c>
      <c r="BB3" s="17">
        <v>0</v>
      </c>
      <c r="BC3" s="18">
        <v>0</v>
      </c>
      <c r="BD3" s="200" t="str">
        <f>VLOOKUP($A3,'[3]allergenen 6nr'!$A$1:$O$1310,3,FALSE)</f>
        <v>-</v>
      </c>
      <c r="BE3" s="201" t="str">
        <f>VLOOKUP($A3,'[3]allergenen 6nr'!$A$1:$O$1310,4,FALSE)</f>
        <v>X</v>
      </c>
      <c r="BF3" s="201" t="str">
        <f>VLOOKUP($A3,'[3]allergenen 6nr'!$A$1:$O$1310,5,FALSE)</f>
        <v>+</v>
      </c>
      <c r="BG3" s="201" t="str">
        <f>VLOOKUP($A3,'[3]allergenen 6nr'!$A$1:$O$1310,6,FALSE)</f>
        <v>X</v>
      </c>
      <c r="BH3" s="201" t="str">
        <f>VLOOKUP($A3,'[3]allergenen 6nr'!$A$1:$O$1310,7,FALSE)</f>
        <v>+</v>
      </c>
      <c r="BI3" s="201" t="str">
        <f>VLOOKUP($A3,'[3]allergenen 6nr'!$A$1:$O$1310,8,FALSE)</f>
        <v>X</v>
      </c>
      <c r="BJ3" s="201" t="str">
        <f>VLOOKUP($A3,'[3]allergenen 6nr'!$A$1:$O$1310,9,FALSE)</f>
        <v>-</v>
      </c>
      <c r="BK3" s="201" t="str">
        <f>VLOOKUP($A3,'[3]allergenen 6nr'!$A$1:$O$1310,10,FALSE)</f>
        <v>-</v>
      </c>
      <c r="BL3" s="201" t="str">
        <f>VLOOKUP($A3,'[3]allergenen 6nr'!$A$1:$O$1310,11,FALSE)</f>
        <v>+</v>
      </c>
      <c r="BM3" s="201" t="str">
        <f>VLOOKUP($A3,'[3]allergenen 6nr'!$A$1:$O$1310,12,FALSE)</f>
        <v>-</v>
      </c>
      <c r="BN3" s="201" t="str">
        <f>VLOOKUP($A3,'[3]allergenen 6nr'!$A$1:$O$1310,13,FALSE)</f>
        <v>X</v>
      </c>
      <c r="BO3" s="201" t="str">
        <f>VLOOKUP($A3,'[3]allergenen 6nr'!$A$1:$O$1310,14,FALSE)</f>
        <v>-</v>
      </c>
      <c r="BP3" s="202" t="str">
        <f>VLOOKUP($A3,'[3]allergenen 6nr'!$A$1:$O$1310,15,FALSE)</f>
        <v>-</v>
      </c>
    </row>
    <row r="4" spans="1:173" s="92" customFormat="1" x14ac:dyDescent="0.2">
      <c r="A4" s="89">
        <v>60920200</v>
      </c>
      <c r="B4" s="53" t="str">
        <f>VLOOKUP($A4,[1]maaltijden!$A$1:$IV$65536,4,FALSE)</f>
        <v>DMB PREISOEP 900G</v>
      </c>
      <c r="C4" s="118" t="str">
        <f>VLOOKUP($A4,[1]maaltijden!$A$1:$IV$65536,7,FALSE)</f>
        <v>C2227-1H</v>
      </c>
      <c r="D4" s="20" t="str">
        <f>VLOOKUP($A4,[1]maaltijden!$A$1:$IV$65536,10,FALSE)</f>
        <v>NVT</v>
      </c>
      <c r="E4" s="20" t="str">
        <f>VLOOKUP($A4,[1]maaltijden!$A$1:$IV$65536,13,FALSE)</f>
        <v>DMC X 6</v>
      </c>
      <c r="F4" s="20">
        <f t="shared" si="0"/>
        <v>0</v>
      </c>
      <c r="G4" s="91" t="str">
        <f>VLOOKUP($A4,[1]maaltijden!$A$1:$IV$65536,27,FALSE)</f>
        <v>! ! !</v>
      </c>
      <c r="H4" s="22">
        <f>VLOOKUP($A4,[1]maaltijden!$A$1:$IV$65536,21,FALSE)</f>
        <v>1</v>
      </c>
      <c r="I4" s="22">
        <f>VLOOKUP($A4,[1]maaltijden!$A$1:$IV$65536,21,FALSE)</f>
        <v>1</v>
      </c>
      <c r="J4" s="22">
        <f>VLOOKUP($A4,[1]maaltijden!$A$1:$IV$65536,18,FALSE)</f>
        <v>3</v>
      </c>
      <c r="K4" s="22">
        <f>VLOOKUP($A4,[1]maaltijden!$A$1:$IV$65536,17,FALSE)</f>
        <v>2</v>
      </c>
      <c r="L4" s="22">
        <f>VLOOKUP($A4,[1]maaltijden!$A$1:$IV$65536,20,FALSE)</f>
        <v>1750</v>
      </c>
      <c r="M4" s="22">
        <f>VLOOKUP($A4,[1]maaltijden!$A$1:$IV$65536,22,FALSE)</f>
        <v>1750</v>
      </c>
      <c r="N4" s="134">
        <v>0</v>
      </c>
      <c r="O4" s="21">
        <v>0</v>
      </c>
      <c r="P4" s="19">
        <v>0</v>
      </c>
      <c r="Q4" s="20">
        <v>1</v>
      </c>
      <c r="R4" s="21">
        <v>0</v>
      </c>
      <c r="S4" s="19">
        <v>0</v>
      </c>
      <c r="T4" s="20">
        <v>1</v>
      </c>
      <c r="U4" s="19">
        <v>0</v>
      </c>
      <c r="V4" s="20">
        <v>1</v>
      </c>
      <c r="W4" s="20">
        <v>1</v>
      </c>
      <c r="X4" s="20">
        <v>1</v>
      </c>
      <c r="Y4" s="20">
        <v>1</v>
      </c>
      <c r="Z4" s="20">
        <v>0</v>
      </c>
      <c r="AA4" s="20">
        <v>0</v>
      </c>
      <c r="AB4" s="49">
        <v>0</v>
      </c>
      <c r="AC4" s="49">
        <v>0</v>
      </c>
      <c r="AD4" s="49">
        <v>0</v>
      </c>
      <c r="AE4" s="49">
        <v>1</v>
      </c>
      <c r="AF4" s="49">
        <v>0</v>
      </c>
      <c r="AG4" s="161">
        <v>0</v>
      </c>
      <c r="AH4" s="162">
        <v>0</v>
      </c>
      <c r="AI4" s="162">
        <v>1</v>
      </c>
      <c r="AJ4" s="162">
        <v>0</v>
      </c>
      <c r="AK4" s="162">
        <v>0</v>
      </c>
      <c r="AL4" s="163">
        <v>0</v>
      </c>
      <c r="AM4" s="19">
        <v>0</v>
      </c>
      <c r="AN4" s="20" t="str">
        <f>IFERROR(INDEX([2]lijnopstellingsfiche!$AP$1:$AP$65536,MATCH(A4,[2]lijnopstellingsfiche!$AQ$1:$AQ$65536,0)),"")</f>
        <v>-</v>
      </c>
      <c r="AO4" s="20">
        <v>0</v>
      </c>
      <c r="AP4" s="20">
        <v>0</v>
      </c>
      <c r="AQ4" s="20">
        <v>2</v>
      </c>
      <c r="AR4" s="20">
        <v>0</v>
      </c>
      <c r="AS4" s="20">
        <v>0</v>
      </c>
      <c r="AT4" s="20">
        <v>0</v>
      </c>
      <c r="AU4" s="20">
        <v>0</v>
      </c>
      <c r="AV4" s="23">
        <v>0</v>
      </c>
      <c r="AW4" s="108">
        <v>0</v>
      </c>
      <c r="AX4" s="108">
        <v>0</v>
      </c>
      <c r="AY4" s="108">
        <v>1</v>
      </c>
      <c r="AZ4" s="108">
        <v>0</v>
      </c>
      <c r="BA4" s="114">
        <v>1</v>
      </c>
      <c r="BB4" s="20">
        <v>0</v>
      </c>
      <c r="BC4" s="21">
        <v>0</v>
      </c>
      <c r="BD4" s="200" t="str">
        <f>VLOOKUP($A4,'[3]allergenen 6nr'!$A$1:$O$1310,3,FALSE)</f>
        <v>-</v>
      </c>
      <c r="BE4" s="201" t="str">
        <f>VLOOKUP($A4,'[3]allergenen 6nr'!$A$1:$O$1310,4,FALSE)</f>
        <v>-</v>
      </c>
      <c r="BF4" s="201" t="str">
        <f>VLOOKUP($A4,'[3]allergenen 6nr'!$A$1:$O$1310,5,FALSE)</f>
        <v>+</v>
      </c>
      <c r="BG4" s="201" t="str">
        <f>VLOOKUP($A4,'[3]allergenen 6nr'!$A$1:$O$1310,6,FALSE)</f>
        <v>-</v>
      </c>
      <c r="BH4" s="201" t="str">
        <f>VLOOKUP($A4,'[3]allergenen 6nr'!$A$1:$O$1310,7,FALSE)</f>
        <v>-</v>
      </c>
      <c r="BI4" s="201" t="str">
        <f>VLOOKUP($A4,'[3]allergenen 6nr'!$A$1:$O$1310,8,FALSE)</f>
        <v>-</v>
      </c>
      <c r="BJ4" s="201" t="str">
        <f>VLOOKUP($A4,'[3]allergenen 6nr'!$A$1:$O$1310,9,FALSE)</f>
        <v>-</v>
      </c>
      <c r="BK4" s="201" t="str">
        <f>VLOOKUP($A4,'[3]allergenen 6nr'!$A$1:$O$1310,10,FALSE)</f>
        <v>-</v>
      </c>
      <c r="BL4" s="201" t="str">
        <f>VLOOKUP($A4,'[3]allergenen 6nr'!$A$1:$O$1310,11,FALSE)</f>
        <v>+</v>
      </c>
      <c r="BM4" s="201" t="str">
        <f>VLOOKUP($A4,'[3]allergenen 6nr'!$A$1:$O$1310,12,FALSE)</f>
        <v>-</v>
      </c>
      <c r="BN4" s="201" t="str">
        <f>VLOOKUP($A4,'[3]allergenen 6nr'!$A$1:$O$1310,13,FALSE)</f>
        <v>-</v>
      </c>
      <c r="BO4" s="201" t="str">
        <f>VLOOKUP($A4,'[3]allergenen 6nr'!$A$1:$O$1310,14,FALSE)</f>
        <v>-</v>
      </c>
      <c r="BP4" s="202" t="str">
        <f>VLOOKUP($A4,'[3]allergenen 6nr'!$A$1:$O$1310,15,FALSE)</f>
        <v>-</v>
      </c>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row>
    <row r="5" spans="1:173" x14ac:dyDescent="0.2">
      <c r="A5" s="89">
        <v>60920400</v>
      </c>
      <c r="B5" s="53" t="str">
        <f>VLOOKUP($A5,[1]maaltijden!$A$1:$IV$65536,4,FALSE)</f>
        <v>DMB TOMATENSOEP MET BALLETJES 1000G</v>
      </c>
      <c r="C5" s="118" t="str">
        <f>VLOOKUP($A5,[1]maaltijden!$A$1:$IV$65536,7,FALSE)</f>
        <v>C2227-1H</v>
      </c>
      <c r="D5" s="20" t="str">
        <f>VLOOKUP($A5,[1]maaltijden!$A$1:$IV$65536,10,FALSE)</f>
        <v>NVT</v>
      </c>
      <c r="E5" s="20" t="str">
        <f>VLOOKUP($A5,[1]maaltijden!$A$1:$IV$65536,13,FALSE)</f>
        <v>DMC X 6</v>
      </c>
      <c r="F5" s="20">
        <f t="shared" si="0"/>
        <v>0</v>
      </c>
      <c r="G5" s="20" t="str">
        <f>VLOOKUP($A5,[1]maaltijden!$A$1:$IV$65536,27,FALSE)</f>
        <v>! ! !</v>
      </c>
      <c r="H5" s="22">
        <f>VLOOKUP($A5,[1]maaltijden!$A$1:$IV$65536,21,FALSE)</f>
        <v>3</v>
      </c>
      <c r="I5" s="22">
        <f>VLOOKUP($A5,[1]maaltijden!$A$1:$IV$65536,21,FALSE)</f>
        <v>3</v>
      </c>
      <c r="J5" s="22">
        <f>VLOOKUP($A5,[1]maaltijden!$A$1:$IV$65536,18,FALSE)</f>
        <v>3</v>
      </c>
      <c r="K5" s="22">
        <f>VLOOKUP($A5,[1]maaltijden!$A$1:$IV$65536,17,FALSE)</f>
        <v>2</v>
      </c>
      <c r="L5" s="22">
        <f>VLOOKUP($A5,[1]maaltijden!$A$1:$IV$65536,20,FALSE)</f>
        <v>1500</v>
      </c>
      <c r="M5" s="22">
        <f>VLOOKUP($A5,[1]maaltijden!$A$1:$IV$65536,22,FALSE)</f>
        <v>1500</v>
      </c>
      <c r="N5" s="134">
        <v>0</v>
      </c>
      <c r="O5" s="21">
        <v>0</v>
      </c>
      <c r="P5" s="19">
        <v>0</v>
      </c>
      <c r="Q5" s="20">
        <v>1</v>
      </c>
      <c r="R5" s="21">
        <v>0</v>
      </c>
      <c r="S5" s="19">
        <v>0</v>
      </c>
      <c r="T5" s="20">
        <v>1</v>
      </c>
      <c r="U5" s="19">
        <v>0</v>
      </c>
      <c r="V5" s="20">
        <v>1</v>
      </c>
      <c r="W5" s="20">
        <v>1</v>
      </c>
      <c r="X5" s="20">
        <v>1</v>
      </c>
      <c r="Y5" s="20">
        <v>1</v>
      </c>
      <c r="Z5" s="20">
        <v>0</v>
      </c>
      <c r="AA5" s="20">
        <v>0</v>
      </c>
      <c r="AB5" s="49">
        <v>0</v>
      </c>
      <c r="AC5" s="49">
        <v>0</v>
      </c>
      <c r="AD5" s="49">
        <v>0</v>
      </c>
      <c r="AE5" s="49">
        <v>1</v>
      </c>
      <c r="AF5" s="49">
        <v>0</v>
      </c>
      <c r="AG5" s="161">
        <v>0</v>
      </c>
      <c r="AH5" s="162">
        <v>0</v>
      </c>
      <c r="AI5" s="162">
        <v>1</v>
      </c>
      <c r="AJ5" s="162">
        <v>0</v>
      </c>
      <c r="AK5" s="162">
        <v>0</v>
      </c>
      <c r="AL5" s="163">
        <v>1</v>
      </c>
      <c r="AM5" s="19">
        <v>0</v>
      </c>
      <c r="AN5" s="20" t="str">
        <f>IFERROR(INDEX([2]lijnopstellingsfiche!$AP$1:$AP$65536,MATCH(A5,[2]lijnopstellingsfiche!$AQ$1:$AQ$65536,0)),"")</f>
        <v>1</v>
      </c>
      <c r="AO5" s="20">
        <v>0</v>
      </c>
      <c r="AP5" s="20">
        <v>0</v>
      </c>
      <c r="AQ5" s="20">
        <v>2</v>
      </c>
      <c r="AR5" s="20">
        <v>0</v>
      </c>
      <c r="AS5" s="20">
        <v>0</v>
      </c>
      <c r="AT5" s="20">
        <v>1</v>
      </c>
      <c r="AU5" s="20">
        <v>0</v>
      </c>
      <c r="AV5" s="23">
        <v>0</v>
      </c>
      <c r="AW5" s="108">
        <v>0</v>
      </c>
      <c r="AX5" s="108">
        <v>0</v>
      </c>
      <c r="AY5" s="108">
        <v>1</v>
      </c>
      <c r="AZ5" s="108">
        <v>0</v>
      </c>
      <c r="BA5" s="114">
        <v>1</v>
      </c>
      <c r="BB5" s="20">
        <v>0</v>
      </c>
      <c r="BC5" s="21">
        <v>0</v>
      </c>
      <c r="BD5" s="200" t="str">
        <f>VLOOKUP($A5,'[3]allergenen 6nr'!$A$1:$O$1310,3,FALSE)</f>
        <v>-</v>
      </c>
      <c r="BE5" s="201" t="str">
        <f>VLOOKUP($A5,'[3]allergenen 6nr'!$A$1:$O$1310,4,FALSE)</f>
        <v>X</v>
      </c>
      <c r="BF5" s="201" t="str">
        <f>VLOOKUP($A5,'[3]allergenen 6nr'!$A$1:$O$1310,5,FALSE)</f>
        <v>+</v>
      </c>
      <c r="BG5" s="201" t="str">
        <f>VLOOKUP($A5,'[3]allergenen 6nr'!$A$1:$O$1310,6,FALSE)</f>
        <v>-</v>
      </c>
      <c r="BH5" s="201" t="str">
        <f>VLOOKUP($A5,'[3]allergenen 6nr'!$A$1:$O$1310,7,FALSE)</f>
        <v>X</v>
      </c>
      <c r="BI5" s="201" t="str">
        <f>VLOOKUP($A5,'[3]allergenen 6nr'!$A$1:$O$1310,8,FALSE)</f>
        <v>X</v>
      </c>
      <c r="BJ5" s="201" t="str">
        <f>VLOOKUP($A5,'[3]allergenen 6nr'!$A$1:$O$1310,9,FALSE)</f>
        <v>-</v>
      </c>
      <c r="BK5" s="201" t="str">
        <f>VLOOKUP($A5,'[3]allergenen 6nr'!$A$1:$O$1310,10,FALSE)</f>
        <v>X</v>
      </c>
      <c r="BL5" s="201" t="str">
        <f>VLOOKUP($A5,'[3]allergenen 6nr'!$A$1:$O$1310,11,FALSE)</f>
        <v>+</v>
      </c>
      <c r="BM5" s="201" t="str">
        <f>VLOOKUP($A5,'[3]allergenen 6nr'!$A$1:$O$1310,12,FALSE)</f>
        <v>-</v>
      </c>
      <c r="BN5" s="201" t="str">
        <f>VLOOKUP($A5,'[3]allergenen 6nr'!$A$1:$O$1310,13,FALSE)</f>
        <v>X</v>
      </c>
      <c r="BO5" s="201" t="str">
        <f>VLOOKUP($A5,'[3]allergenen 6nr'!$A$1:$O$1310,14,FALSE)</f>
        <v>X</v>
      </c>
      <c r="BP5" s="202" t="str">
        <f>VLOOKUP($A5,'[3]allergenen 6nr'!$A$1:$O$1310,15,FALSE)</f>
        <v>X</v>
      </c>
    </row>
    <row r="6" spans="1:173" s="92" customFormat="1" x14ac:dyDescent="0.2">
      <c r="A6" s="89">
        <v>60920500</v>
      </c>
      <c r="B6" s="53" t="str">
        <f>VLOOKUP($A6,[1]maaltijden!$A$1:$IV$65536,4,FALSE)</f>
        <v>DMB ERWTENSOEP MET GEROOKTE SPEKJES 900G</v>
      </c>
      <c r="C6" s="118" t="str">
        <f>VLOOKUP($A6,[1]maaltijden!$A$1:$IV$65536,7,FALSE)</f>
        <v>C2227-1H</v>
      </c>
      <c r="D6" s="20" t="str">
        <f>VLOOKUP($A6,[1]maaltijden!$A$1:$IV$65536,10,FALSE)</f>
        <v>NVT</v>
      </c>
      <c r="E6" s="20" t="str">
        <f>VLOOKUP($A6,[1]maaltijden!$A$1:$IV$65536,13,FALSE)</f>
        <v>DMC X 6</v>
      </c>
      <c r="F6" s="20">
        <f t="shared" si="0"/>
        <v>0</v>
      </c>
      <c r="G6" s="91" t="str">
        <f>VLOOKUP($A6,[1]maaltijden!$A$1:$IV$65536,27,FALSE)</f>
        <v>! ! !</v>
      </c>
      <c r="H6" s="22">
        <f>VLOOKUP($A6,[1]maaltijden!$A$1:$IV$65536,21,FALSE)</f>
        <v>1</v>
      </c>
      <c r="I6" s="22">
        <f>VLOOKUP($A6,[1]maaltijden!$A$1:$IV$65536,21,FALSE)</f>
        <v>1</v>
      </c>
      <c r="J6" s="22">
        <f>VLOOKUP($A6,[1]maaltijden!$A$1:$IV$65536,18,FALSE)</f>
        <v>3</v>
      </c>
      <c r="K6" s="22">
        <f>VLOOKUP($A6,[1]maaltijden!$A$1:$IV$65536,17,FALSE)</f>
        <v>2</v>
      </c>
      <c r="L6" s="22">
        <f>VLOOKUP($A6,[1]maaltijden!$A$1:$IV$65536,20,FALSE)</f>
        <v>1750</v>
      </c>
      <c r="M6" s="22">
        <f>VLOOKUP($A6,[1]maaltijden!$A$1:$IV$65536,22,FALSE)</f>
        <v>1750</v>
      </c>
      <c r="N6" s="134">
        <v>0</v>
      </c>
      <c r="O6" s="21">
        <v>0</v>
      </c>
      <c r="P6" s="19">
        <v>0</v>
      </c>
      <c r="Q6" s="20">
        <v>1</v>
      </c>
      <c r="R6" s="21">
        <v>0</v>
      </c>
      <c r="S6" s="19">
        <v>0</v>
      </c>
      <c r="T6" s="20">
        <v>1</v>
      </c>
      <c r="U6" s="19">
        <v>0</v>
      </c>
      <c r="V6" s="20">
        <v>1</v>
      </c>
      <c r="W6" s="20">
        <v>1</v>
      </c>
      <c r="X6" s="20">
        <v>1</v>
      </c>
      <c r="Y6" s="20">
        <v>1</v>
      </c>
      <c r="Z6" s="20">
        <v>1</v>
      </c>
      <c r="AA6" s="20">
        <v>0</v>
      </c>
      <c r="AB6" s="49">
        <v>0</v>
      </c>
      <c r="AC6" s="49">
        <v>0</v>
      </c>
      <c r="AD6" s="49">
        <v>0</v>
      </c>
      <c r="AE6" s="49">
        <v>1</v>
      </c>
      <c r="AF6" s="49">
        <v>0</v>
      </c>
      <c r="AG6" s="161">
        <v>0</v>
      </c>
      <c r="AH6" s="162">
        <v>0</v>
      </c>
      <c r="AI6" s="162">
        <v>1</v>
      </c>
      <c r="AJ6" s="162">
        <v>0</v>
      </c>
      <c r="AK6" s="162">
        <v>0</v>
      </c>
      <c r="AL6" s="163">
        <v>1</v>
      </c>
      <c r="AM6" s="19">
        <v>0</v>
      </c>
      <c r="AN6" s="20" t="str">
        <f>IFERROR(INDEX([2]lijnopstellingsfiche!$AP$1:$AP$65536,MATCH(A6,[2]lijnopstellingsfiche!$AQ$1:$AQ$65536,0)),"")</f>
        <v>-</v>
      </c>
      <c r="AO6" s="20">
        <v>0</v>
      </c>
      <c r="AP6" s="20">
        <v>0</v>
      </c>
      <c r="AQ6" s="20">
        <v>2</v>
      </c>
      <c r="AR6" s="20">
        <v>0</v>
      </c>
      <c r="AS6" s="20">
        <v>0</v>
      </c>
      <c r="AT6" s="20">
        <v>0</v>
      </c>
      <c r="AU6" s="20">
        <v>0</v>
      </c>
      <c r="AV6" s="23">
        <v>0</v>
      </c>
      <c r="AW6" s="108">
        <v>0</v>
      </c>
      <c r="AX6" s="108">
        <v>0</v>
      </c>
      <c r="AY6" s="108">
        <v>1</v>
      </c>
      <c r="AZ6" s="108">
        <v>0</v>
      </c>
      <c r="BA6" s="114">
        <v>1</v>
      </c>
      <c r="BB6" s="20">
        <v>0</v>
      </c>
      <c r="BC6" s="21">
        <v>0</v>
      </c>
      <c r="BD6" s="200" t="str">
        <f>VLOOKUP($A6,'[3]allergenen 6nr'!$A$1:$O$1310,3,FALSE)</f>
        <v>-</v>
      </c>
      <c r="BE6" s="201" t="str">
        <f>VLOOKUP($A6,'[3]allergenen 6nr'!$A$1:$O$1310,4,FALSE)</f>
        <v>-</v>
      </c>
      <c r="BF6" s="201" t="str">
        <f>VLOOKUP($A6,'[3]allergenen 6nr'!$A$1:$O$1310,5,FALSE)</f>
        <v>X</v>
      </c>
      <c r="BG6" s="201" t="str">
        <f>VLOOKUP($A6,'[3]allergenen 6nr'!$A$1:$O$1310,6,FALSE)</f>
        <v>-</v>
      </c>
      <c r="BH6" s="201" t="str">
        <f>VLOOKUP($A6,'[3]allergenen 6nr'!$A$1:$O$1310,7,FALSE)</f>
        <v>-</v>
      </c>
      <c r="BI6" s="201" t="str">
        <f>VLOOKUP($A6,'[3]allergenen 6nr'!$A$1:$O$1310,8,FALSE)</f>
        <v>-</v>
      </c>
      <c r="BJ6" s="201" t="str">
        <f>VLOOKUP($A6,'[3]allergenen 6nr'!$A$1:$O$1310,9,FALSE)</f>
        <v>-</v>
      </c>
      <c r="BK6" s="201" t="str">
        <f>VLOOKUP($A6,'[3]allergenen 6nr'!$A$1:$O$1310,10,FALSE)</f>
        <v>-</v>
      </c>
      <c r="BL6" s="201" t="str">
        <f>VLOOKUP($A6,'[3]allergenen 6nr'!$A$1:$O$1310,11,FALSE)</f>
        <v>+</v>
      </c>
      <c r="BM6" s="201" t="str">
        <f>VLOOKUP($A6,'[3]allergenen 6nr'!$A$1:$O$1310,12,FALSE)</f>
        <v>-</v>
      </c>
      <c r="BN6" s="201" t="str">
        <f>VLOOKUP($A6,'[3]allergenen 6nr'!$A$1:$O$1310,13,FALSE)</f>
        <v>X</v>
      </c>
      <c r="BO6" s="201" t="str">
        <f>VLOOKUP($A6,'[3]allergenen 6nr'!$A$1:$O$1310,14,FALSE)</f>
        <v>-</v>
      </c>
      <c r="BP6" s="202" t="str">
        <f>VLOOKUP($A6,'[3]allergenen 6nr'!$A$1:$O$1310,15,FALSE)</f>
        <v>-</v>
      </c>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row>
    <row r="7" spans="1:173" x14ac:dyDescent="0.2">
      <c r="A7" s="89">
        <v>60920600</v>
      </c>
      <c r="B7" s="53" t="str">
        <f>VLOOKUP($A7,[1]maaltijden!$A$1:$IV$65536,4,FALSE)</f>
        <v>DMB KERVELSOEP 900G</v>
      </c>
      <c r="C7" s="118" t="str">
        <f>VLOOKUP($A7,[1]maaltijden!$A$1:$IV$65536,7,FALSE)</f>
        <v>C2227-1H</v>
      </c>
      <c r="D7" s="20" t="str">
        <f>VLOOKUP($A7,[1]maaltijden!$A$1:$IV$65536,10,FALSE)</f>
        <v>NVT</v>
      </c>
      <c r="E7" s="20" t="str">
        <f>VLOOKUP($A7,[1]maaltijden!$A$1:$IV$65536,13,FALSE)</f>
        <v>DMC X 6</v>
      </c>
      <c r="F7" s="20">
        <f t="shared" si="0"/>
        <v>0</v>
      </c>
      <c r="G7" s="20" t="str">
        <f>VLOOKUP($A7,[1]maaltijden!$A$1:$IV$65536,27,FALSE)</f>
        <v>! ! !</v>
      </c>
      <c r="H7" s="22">
        <f>VLOOKUP($A7,[1]maaltijden!$A$1:$IV$65536,21,FALSE)</f>
        <v>1</v>
      </c>
      <c r="I7" s="22">
        <f>VLOOKUP($A7,[1]maaltijden!$A$1:$IV$65536,21,FALSE)</f>
        <v>1</v>
      </c>
      <c r="J7" s="22">
        <f>VLOOKUP($A7,[1]maaltijden!$A$1:$IV$65536,18,FALSE)</f>
        <v>3</v>
      </c>
      <c r="K7" s="22">
        <f>VLOOKUP($A7,[1]maaltijden!$A$1:$IV$65536,17,FALSE)</f>
        <v>2</v>
      </c>
      <c r="L7" s="22">
        <f>VLOOKUP($A7,[1]maaltijden!$A$1:$IV$65536,20,FALSE)</f>
        <v>1750</v>
      </c>
      <c r="M7" s="22">
        <f>VLOOKUP($A7,[1]maaltijden!$A$1:$IV$65536,22,FALSE)</f>
        <v>1750</v>
      </c>
      <c r="N7" s="134">
        <v>0</v>
      </c>
      <c r="O7" s="21">
        <v>0</v>
      </c>
      <c r="P7" s="119">
        <v>0</v>
      </c>
      <c r="Q7" s="20">
        <v>1</v>
      </c>
      <c r="R7" s="120">
        <v>0</v>
      </c>
      <c r="S7" s="119">
        <v>0</v>
      </c>
      <c r="T7" s="22">
        <v>1</v>
      </c>
      <c r="U7" s="119">
        <v>0</v>
      </c>
      <c r="V7" s="22">
        <v>1</v>
      </c>
      <c r="W7" s="22">
        <v>1</v>
      </c>
      <c r="X7" s="22">
        <v>1</v>
      </c>
      <c r="Y7" s="22">
        <v>1</v>
      </c>
      <c r="Z7" s="22">
        <v>0</v>
      </c>
      <c r="AA7" s="22">
        <v>0</v>
      </c>
      <c r="AB7" s="50">
        <v>0</v>
      </c>
      <c r="AC7" s="50">
        <v>0</v>
      </c>
      <c r="AD7" s="50">
        <v>0</v>
      </c>
      <c r="AE7" s="50">
        <v>1</v>
      </c>
      <c r="AF7" s="50">
        <v>0</v>
      </c>
      <c r="AG7" s="164">
        <v>0</v>
      </c>
      <c r="AH7" s="165">
        <v>0</v>
      </c>
      <c r="AI7" s="165">
        <v>1</v>
      </c>
      <c r="AJ7" s="165">
        <v>0</v>
      </c>
      <c r="AK7" s="165">
        <v>0</v>
      </c>
      <c r="AL7" s="166">
        <v>1</v>
      </c>
      <c r="AM7" s="119">
        <v>0</v>
      </c>
      <c r="AN7" s="20" t="str">
        <f>IFERROR(INDEX([2]lijnopstellingsfiche!$AP$1:$AP$65536,MATCH(A7,[2]lijnopstellingsfiche!$AQ$1:$AQ$65536,0)),"")</f>
        <v>-</v>
      </c>
      <c r="AO7" s="22">
        <v>0</v>
      </c>
      <c r="AP7" s="22">
        <v>0</v>
      </c>
      <c r="AQ7" s="22">
        <v>2</v>
      </c>
      <c r="AR7" s="22">
        <v>0</v>
      </c>
      <c r="AS7" s="22">
        <v>0</v>
      </c>
      <c r="AT7" s="22">
        <v>0</v>
      </c>
      <c r="AU7" s="22">
        <v>0</v>
      </c>
      <c r="AV7" s="121">
        <v>0</v>
      </c>
      <c r="AW7" s="122">
        <v>0</v>
      </c>
      <c r="AX7" s="123">
        <v>0</v>
      </c>
      <c r="AY7" s="123">
        <v>1</v>
      </c>
      <c r="AZ7" s="123">
        <v>0</v>
      </c>
      <c r="BA7" s="51">
        <v>1</v>
      </c>
      <c r="BB7" s="20">
        <v>0</v>
      </c>
      <c r="BC7" s="21">
        <v>0</v>
      </c>
      <c r="BD7" s="200" t="str">
        <f>VLOOKUP($A7,'[3]allergenen 6nr'!$A$1:$O$1310,3,FALSE)</f>
        <v>-</v>
      </c>
      <c r="BE7" s="201" t="str">
        <f>VLOOKUP($A7,'[3]allergenen 6nr'!$A$1:$O$1310,4,FALSE)</f>
        <v>-</v>
      </c>
      <c r="BF7" s="201" t="str">
        <f>VLOOKUP($A7,'[3]allergenen 6nr'!$A$1:$O$1310,5,FALSE)</f>
        <v>+</v>
      </c>
      <c r="BG7" s="201" t="str">
        <f>VLOOKUP($A7,'[3]allergenen 6nr'!$A$1:$O$1310,6,FALSE)</f>
        <v>-</v>
      </c>
      <c r="BH7" s="201" t="str">
        <f>VLOOKUP($A7,'[3]allergenen 6nr'!$A$1:$O$1310,7,FALSE)</f>
        <v>+</v>
      </c>
      <c r="BI7" s="201" t="str">
        <f>VLOOKUP($A7,'[3]allergenen 6nr'!$A$1:$O$1310,8,FALSE)</f>
        <v>-</v>
      </c>
      <c r="BJ7" s="201" t="str">
        <f>VLOOKUP($A7,'[3]allergenen 6nr'!$A$1:$O$1310,9,FALSE)</f>
        <v>-</v>
      </c>
      <c r="BK7" s="201" t="str">
        <f>VLOOKUP($A7,'[3]allergenen 6nr'!$A$1:$O$1310,10,FALSE)</f>
        <v>-</v>
      </c>
      <c r="BL7" s="201" t="str">
        <f>VLOOKUP($A7,'[3]allergenen 6nr'!$A$1:$O$1310,11,FALSE)</f>
        <v>+</v>
      </c>
      <c r="BM7" s="201" t="str">
        <f>VLOOKUP($A7,'[3]allergenen 6nr'!$A$1:$O$1310,12,FALSE)</f>
        <v>-</v>
      </c>
      <c r="BN7" s="201" t="str">
        <f>VLOOKUP($A7,'[3]allergenen 6nr'!$A$1:$O$1310,13,FALSE)</f>
        <v>-</v>
      </c>
      <c r="BO7" s="201" t="str">
        <f>VLOOKUP($A7,'[3]allergenen 6nr'!$A$1:$O$1310,14,FALSE)</f>
        <v>-</v>
      </c>
      <c r="BP7" s="202" t="str">
        <f>VLOOKUP($A7,'[3]allergenen 6nr'!$A$1:$O$1310,15,FALSE)</f>
        <v>-</v>
      </c>
    </row>
    <row r="8" spans="1:173" s="92" customFormat="1" x14ac:dyDescent="0.2">
      <c r="A8" s="89">
        <v>60920700</v>
      </c>
      <c r="B8" s="53" t="str">
        <f>VLOOKUP($A8,[1]maaltijden!$A$1:$IV$65536,4,FALSE)</f>
        <v>DMB GROENTENSOEP 900G</v>
      </c>
      <c r="C8" s="118" t="str">
        <f>VLOOKUP($A8,[1]maaltijden!$A$1:$IV$65536,7,FALSE)</f>
        <v>C2227-1H</v>
      </c>
      <c r="D8" s="20" t="str">
        <f>VLOOKUP($A8,[1]maaltijden!$A$1:$IV$65536,10,FALSE)</f>
        <v>NVT</v>
      </c>
      <c r="E8" s="20" t="str">
        <f>VLOOKUP($A8,[1]maaltijden!$A$1:$IV$65536,13,FALSE)</f>
        <v>DMC X 6</v>
      </c>
      <c r="F8" s="20">
        <f t="shared" si="0"/>
        <v>0</v>
      </c>
      <c r="G8" s="91" t="str">
        <f>VLOOKUP($A8,[1]maaltijden!$A$1:$IV$65536,27,FALSE)</f>
        <v>! ! !</v>
      </c>
      <c r="H8" s="22">
        <f>VLOOKUP($A8,[1]maaltijden!$A$1:$IV$65536,21,FALSE)</f>
        <v>2</v>
      </c>
      <c r="I8" s="22">
        <f>VLOOKUP($A8,[1]maaltijden!$A$1:$IV$65536,21,FALSE)</f>
        <v>2</v>
      </c>
      <c r="J8" s="22">
        <f>VLOOKUP($A8,[1]maaltijden!$A$1:$IV$65536,18,FALSE)</f>
        <v>3</v>
      </c>
      <c r="K8" s="22">
        <f>VLOOKUP($A8,[1]maaltijden!$A$1:$IV$65536,17,FALSE)</f>
        <v>2</v>
      </c>
      <c r="L8" s="22">
        <f>VLOOKUP($A8,[1]maaltijden!$A$1:$IV$65536,20,FALSE)</f>
        <v>1750</v>
      </c>
      <c r="M8" s="22">
        <f>VLOOKUP($A8,[1]maaltijden!$A$1:$IV$65536,22,FALSE)</f>
        <v>1750</v>
      </c>
      <c r="N8" s="134">
        <v>0</v>
      </c>
      <c r="O8" s="21">
        <v>0</v>
      </c>
      <c r="P8" s="119">
        <v>0</v>
      </c>
      <c r="Q8" s="20">
        <v>1</v>
      </c>
      <c r="R8" s="120">
        <v>0</v>
      </c>
      <c r="S8" s="119">
        <v>0</v>
      </c>
      <c r="T8" s="22">
        <v>1</v>
      </c>
      <c r="U8" s="119">
        <v>0</v>
      </c>
      <c r="V8" s="22">
        <v>1</v>
      </c>
      <c r="W8" s="22">
        <v>1</v>
      </c>
      <c r="X8" s="22">
        <v>1</v>
      </c>
      <c r="Y8" s="22">
        <v>1</v>
      </c>
      <c r="Z8" s="22">
        <v>0</v>
      </c>
      <c r="AA8" s="22">
        <v>0</v>
      </c>
      <c r="AB8" s="50">
        <v>0</v>
      </c>
      <c r="AC8" s="50">
        <v>0</v>
      </c>
      <c r="AD8" s="50">
        <v>0</v>
      </c>
      <c r="AE8" s="50">
        <v>1</v>
      </c>
      <c r="AF8" s="50">
        <v>0</v>
      </c>
      <c r="AG8" s="164">
        <v>0</v>
      </c>
      <c r="AH8" s="165">
        <v>1</v>
      </c>
      <c r="AI8" s="165">
        <v>0</v>
      </c>
      <c r="AJ8" s="165">
        <v>0</v>
      </c>
      <c r="AK8" s="165">
        <v>0</v>
      </c>
      <c r="AL8" s="166">
        <v>0</v>
      </c>
      <c r="AM8" s="119">
        <v>0</v>
      </c>
      <c r="AN8" s="20" t="str">
        <f>IFERROR(INDEX([2]lijnopstellingsfiche!$AP$1:$AP$65536,MATCH(A8,[2]lijnopstellingsfiche!$AQ$1:$AQ$65536,0)),"")</f>
        <v>-</v>
      </c>
      <c r="AO8" s="22">
        <v>0</v>
      </c>
      <c r="AP8" s="22">
        <v>0</v>
      </c>
      <c r="AQ8" s="22">
        <v>2</v>
      </c>
      <c r="AR8" s="22">
        <v>0</v>
      </c>
      <c r="AS8" s="22">
        <v>0</v>
      </c>
      <c r="AT8" s="22">
        <v>0</v>
      </c>
      <c r="AU8" s="22">
        <v>0</v>
      </c>
      <c r="AV8" s="121">
        <v>0</v>
      </c>
      <c r="AW8" s="122">
        <v>0</v>
      </c>
      <c r="AX8" s="123">
        <v>0</v>
      </c>
      <c r="AY8" s="123">
        <v>1</v>
      </c>
      <c r="AZ8" s="123">
        <v>0</v>
      </c>
      <c r="BA8" s="51">
        <v>1</v>
      </c>
      <c r="BB8" s="20">
        <v>0</v>
      </c>
      <c r="BC8" s="21">
        <v>0</v>
      </c>
      <c r="BD8" s="200" t="str">
        <f>VLOOKUP($A8,'[3]allergenen 6nr'!$A$1:$O$1310,3,FALSE)</f>
        <v>-</v>
      </c>
      <c r="BE8" s="201" t="str">
        <f>VLOOKUP($A8,'[3]allergenen 6nr'!$A$1:$O$1310,4,FALSE)</f>
        <v>X</v>
      </c>
      <c r="BF8" s="201" t="str">
        <f>VLOOKUP($A8,'[3]allergenen 6nr'!$A$1:$O$1310,5,FALSE)</f>
        <v>+</v>
      </c>
      <c r="BG8" s="201" t="str">
        <f>VLOOKUP($A8,'[3]allergenen 6nr'!$A$1:$O$1310,6,FALSE)</f>
        <v>X</v>
      </c>
      <c r="BH8" s="201" t="str">
        <f>VLOOKUP($A8,'[3]allergenen 6nr'!$A$1:$O$1310,7,FALSE)</f>
        <v>-</v>
      </c>
      <c r="BI8" s="201" t="str">
        <f>VLOOKUP($A8,'[3]allergenen 6nr'!$A$1:$O$1310,8,FALSE)</f>
        <v>X</v>
      </c>
      <c r="BJ8" s="201" t="str">
        <f>VLOOKUP($A8,'[3]allergenen 6nr'!$A$1:$O$1310,9,FALSE)</f>
        <v>-</v>
      </c>
      <c r="BK8" s="201" t="str">
        <f>VLOOKUP($A8,'[3]allergenen 6nr'!$A$1:$O$1310,10,FALSE)</f>
        <v>-</v>
      </c>
      <c r="BL8" s="201" t="str">
        <f>VLOOKUP($A8,'[3]allergenen 6nr'!$A$1:$O$1310,11,FALSE)</f>
        <v>+</v>
      </c>
      <c r="BM8" s="201" t="str">
        <f>VLOOKUP($A8,'[3]allergenen 6nr'!$A$1:$O$1310,12,FALSE)</f>
        <v>-</v>
      </c>
      <c r="BN8" s="201" t="str">
        <f>VLOOKUP($A8,'[3]allergenen 6nr'!$A$1:$O$1310,13,FALSE)</f>
        <v>X</v>
      </c>
      <c r="BO8" s="201" t="str">
        <f>VLOOKUP($A8,'[3]allergenen 6nr'!$A$1:$O$1310,14,FALSE)</f>
        <v>-</v>
      </c>
      <c r="BP8" s="202" t="str">
        <f>VLOOKUP($A8,'[3]allergenen 6nr'!$A$1:$O$1310,15,FALSE)</f>
        <v>-</v>
      </c>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row>
    <row r="9" spans="1:173" x14ac:dyDescent="0.2">
      <c r="A9" s="89">
        <v>60920800</v>
      </c>
      <c r="B9" s="53" t="str">
        <f>VLOOKUP($A9,[1]maaltijden!$A$1:$IV$65536,4,FALSE)</f>
        <v>DMB TOMATENVELOUTE 900G</v>
      </c>
      <c r="C9" s="118" t="str">
        <f>VLOOKUP($A9,[1]maaltijden!$A$1:$IV$65536,7,FALSE)</f>
        <v>C2227-1H</v>
      </c>
      <c r="D9" s="20" t="str">
        <f>VLOOKUP($A9,[1]maaltijden!$A$1:$IV$65536,10,FALSE)</f>
        <v>NVT</v>
      </c>
      <c r="E9" s="20" t="str">
        <f>VLOOKUP($A9,[1]maaltijden!$A$1:$IV$65536,13,FALSE)</f>
        <v>DMC X 6</v>
      </c>
      <c r="F9" s="20">
        <f t="shared" si="0"/>
        <v>0</v>
      </c>
      <c r="G9" s="20" t="str">
        <f>VLOOKUP($A9,[1]maaltijden!$A$1:$IV$65536,27,FALSE)</f>
        <v>! !</v>
      </c>
      <c r="H9" s="22">
        <f>VLOOKUP($A9,[1]maaltijden!$A$1:$IV$65536,21,FALSE)</f>
        <v>1</v>
      </c>
      <c r="I9" s="22">
        <f>VLOOKUP($A9,[1]maaltijden!$A$1:$IV$65536,21,FALSE)</f>
        <v>1</v>
      </c>
      <c r="J9" s="22">
        <f>VLOOKUP($A9,[1]maaltijden!$A$1:$IV$65536,18,FALSE)</f>
        <v>3</v>
      </c>
      <c r="K9" s="22">
        <f>VLOOKUP($A9,[1]maaltijden!$A$1:$IV$65536,17,FALSE)</f>
        <v>2</v>
      </c>
      <c r="L9" s="22">
        <f>VLOOKUP($A9,[1]maaltijden!$A$1:$IV$65536,20,FALSE)</f>
        <v>1750</v>
      </c>
      <c r="M9" s="22">
        <f>VLOOKUP($A9,[1]maaltijden!$A$1:$IV$65536,22,FALSE)</f>
        <v>1750</v>
      </c>
      <c r="N9" s="134">
        <v>0</v>
      </c>
      <c r="O9" s="21">
        <v>0</v>
      </c>
      <c r="P9" s="119">
        <v>0</v>
      </c>
      <c r="Q9" s="20">
        <v>1</v>
      </c>
      <c r="R9" s="120">
        <v>0</v>
      </c>
      <c r="S9" s="119">
        <v>0</v>
      </c>
      <c r="T9" s="22">
        <v>1</v>
      </c>
      <c r="U9" s="119">
        <v>0</v>
      </c>
      <c r="V9" s="22">
        <v>1</v>
      </c>
      <c r="W9" s="22">
        <v>1</v>
      </c>
      <c r="X9" s="22">
        <v>1</v>
      </c>
      <c r="Y9" s="22">
        <v>1</v>
      </c>
      <c r="Z9" s="22">
        <v>0</v>
      </c>
      <c r="AA9" s="22">
        <v>0</v>
      </c>
      <c r="AB9" s="50">
        <v>0</v>
      </c>
      <c r="AC9" s="50">
        <v>0</v>
      </c>
      <c r="AD9" s="50">
        <v>0</v>
      </c>
      <c r="AE9" s="50">
        <v>1</v>
      </c>
      <c r="AF9" s="50">
        <v>0</v>
      </c>
      <c r="AG9" s="164">
        <v>0</v>
      </c>
      <c r="AH9" s="165">
        <v>0</v>
      </c>
      <c r="AI9" s="165">
        <v>1</v>
      </c>
      <c r="AJ9" s="165">
        <v>0</v>
      </c>
      <c r="AK9" s="165">
        <v>0</v>
      </c>
      <c r="AL9" s="166">
        <v>1</v>
      </c>
      <c r="AM9" s="119">
        <v>0</v>
      </c>
      <c r="AN9" s="20" t="str">
        <f>IFERROR(INDEX([2]lijnopstellingsfiche!$AP$1:$AP$65536,MATCH(A9,[2]lijnopstellingsfiche!$AQ$1:$AQ$65536,0)),"")</f>
        <v>-</v>
      </c>
      <c r="AO9" s="22">
        <v>0</v>
      </c>
      <c r="AP9" s="22">
        <v>0</v>
      </c>
      <c r="AQ9" s="22">
        <v>2</v>
      </c>
      <c r="AR9" s="22">
        <v>0</v>
      </c>
      <c r="AS9" s="22">
        <v>0</v>
      </c>
      <c r="AT9" s="22">
        <v>0</v>
      </c>
      <c r="AU9" s="22">
        <v>0</v>
      </c>
      <c r="AV9" s="121">
        <v>0</v>
      </c>
      <c r="AW9" s="19">
        <v>0</v>
      </c>
      <c r="AX9" s="20">
        <v>0</v>
      </c>
      <c r="AY9" s="20">
        <v>1</v>
      </c>
      <c r="AZ9" s="20">
        <v>0</v>
      </c>
      <c r="BA9" s="20">
        <v>1</v>
      </c>
      <c r="BB9" s="20">
        <v>0</v>
      </c>
      <c r="BC9" s="21">
        <v>0</v>
      </c>
      <c r="BD9" s="200" t="str">
        <f>VLOOKUP($A9,'[3]allergenen 6nr'!$A$1:$O$1310,3,FALSE)</f>
        <v>-</v>
      </c>
      <c r="BE9" s="201" t="str">
        <f>VLOOKUP($A9,'[3]allergenen 6nr'!$A$1:$O$1310,4,FALSE)</f>
        <v>-</v>
      </c>
      <c r="BF9" s="201" t="str">
        <f>VLOOKUP($A9,'[3]allergenen 6nr'!$A$1:$O$1310,5,FALSE)</f>
        <v>+</v>
      </c>
      <c r="BG9" s="201" t="str">
        <f>VLOOKUP($A9,'[3]allergenen 6nr'!$A$1:$O$1310,6,FALSE)</f>
        <v>-</v>
      </c>
      <c r="BH9" s="201" t="str">
        <f>VLOOKUP($A9,'[3]allergenen 6nr'!$A$1:$O$1310,7,FALSE)</f>
        <v>+</v>
      </c>
      <c r="BI9" s="201" t="str">
        <f>VLOOKUP($A9,'[3]allergenen 6nr'!$A$1:$O$1310,8,FALSE)</f>
        <v>-</v>
      </c>
      <c r="BJ9" s="201" t="str">
        <f>VLOOKUP($A9,'[3]allergenen 6nr'!$A$1:$O$1310,9,FALSE)</f>
        <v>-</v>
      </c>
      <c r="BK9" s="201" t="str">
        <f>VLOOKUP($A9,'[3]allergenen 6nr'!$A$1:$O$1310,10,FALSE)</f>
        <v>-</v>
      </c>
      <c r="BL9" s="201" t="str">
        <f>VLOOKUP($A9,'[3]allergenen 6nr'!$A$1:$O$1310,11,FALSE)</f>
        <v>-</v>
      </c>
      <c r="BM9" s="201" t="str">
        <f>VLOOKUP($A9,'[3]allergenen 6nr'!$A$1:$O$1310,12,FALSE)</f>
        <v>-</v>
      </c>
      <c r="BN9" s="201" t="str">
        <f>VLOOKUP($A9,'[3]allergenen 6nr'!$A$1:$O$1310,13,FALSE)</f>
        <v>-</v>
      </c>
      <c r="BO9" s="201" t="str">
        <f>VLOOKUP($A9,'[3]allergenen 6nr'!$A$1:$O$1310,14,FALSE)</f>
        <v>-</v>
      </c>
      <c r="BP9" s="202" t="str">
        <f>VLOOKUP($A9,'[3]allergenen 6nr'!$A$1:$O$1310,15,FALSE)</f>
        <v>-</v>
      </c>
    </row>
    <row r="10" spans="1:173" s="92" customFormat="1" x14ac:dyDescent="0.2">
      <c r="A10" s="89">
        <v>60920900</v>
      </c>
      <c r="B10" s="53" t="str">
        <f>VLOOKUP($A10,[1]maaltijden!$A$1:$IV$65536,4,FALSE)</f>
        <v>DMB POMPOENSOEP 900G</v>
      </c>
      <c r="C10" s="118" t="str">
        <f>VLOOKUP($A10,[1]maaltijden!$A$1:$IV$65536,7,FALSE)</f>
        <v>C2227-1H</v>
      </c>
      <c r="D10" s="20" t="str">
        <f>VLOOKUP($A10,[1]maaltijden!$A$1:$IV$65536,10,FALSE)</f>
        <v>NVT</v>
      </c>
      <c r="E10" s="20" t="str">
        <f>VLOOKUP($A10,[1]maaltijden!$A$1:$IV$65536,13,FALSE)</f>
        <v>DMC X 6</v>
      </c>
      <c r="F10" s="20">
        <f t="shared" si="0"/>
        <v>0</v>
      </c>
      <c r="G10" s="91" t="str">
        <f>VLOOKUP($A10,[1]maaltijden!$A$1:$IV$65536,27,FALSE)</f>
        <v>! !</v>
      </c>
      <c r="H10" s="22">
        <f>VLOOKUP($A10,[1]maaltijden!$A$1:$IV$65536,21,FALSE)</f>
        <v>1</v>
      </c>
      <c r="I10" s="22">
        <f>VLOOKUP($A10,[1]maaltijden!$A$1:$IV$65536,21,FALSE)</f>
        <v>1</v>
      </c>
      <c r="J10" s="22">
        <f>VLOOKUP($A10,[1]maaltijden!$A$1:$IV$65536,18,FALSE)</f>
        <v>3</v>
      </c>
      <c r="K10" s="22">
        <f>VLOOKUP($A10,[1]maaltijden!$A$1:$IV$65536,17,FALSE)</f>
        <v>2</v>
      </c>
      <c r="L10" s="22">
        <f>VLOOKUP($A10,[1]maaltijden!$A$1:$IV$65536,20,FALSE)</f>
        <v>1750</v>
      </c>
      <c r="M10" s="22">
        <f>VLOOKUP($A10,[1]maaltijden!$A$1:$IV$65536,22,FALSE)</f>
        <v>1750</v>
      </c>
      <c r="N10" s="134">
        <v>0</v>
      </c>
      <c r="O10" s="21">
        <v>0</v>
      </c>
      <c r="P10" s="119">
        <v>0</v>
      </c>
      <c r="Q10" s="20">
        <v>1</v>
      </c>
      <c r="R10" s="120">
        <v>0</v>
      </c>
      <c r="S10" s="119">
        <v>0</v>
      </c>
      <c r="T10" s="22">
        <v>1</v>
      </c>
      <c r="U10" s="119">
        <v>1</v>
      </c>
      <c r="V10" s="22">
        <v>1</v>
      </c>
      <c r="W10" s="22">
        <v>1</v>
      </c>
      <c r="X10" s="22">
        <v>1</v>
      </c>
      <c r="Y10" s="22">
        <v>1</v>
      </c>
      <c r="Z10" s="22">
        <v>0</v>
      </c>
      <c r="AA10" s="22">
        <v>0</v>
      </c>
      <c r="AB10" s="50">
        <v>0</v>
      </c>
      <c r="AC10" s="50">
        <v>0</v>
      </c>
      <c r="AD10" s="50">
        <v>0</v>
      </c>
      <c r="AE10" s="50">
        <v>0</v>
      </c>
      <c r="AF10" s="50">
        <v>0</v>
      </c>
      <c r="AG10" s="164">
        <v>0</v>
      </c>
      <c r="AH10" s="165">
        <v>0</v>
      </c>
      <c r="AI10" s="165">
        <v>1</v>
      </c>
      <c r="AJ10" s="165">
        <v>0</v>
      </c>
      <c r="AK10" s="165">
        <v>0</v>
      </c>
      <c r="AL10" s="166">
        <v>1</v>
      </c>
      <c r="AM10" s="119">
        <v>0</v>
      </c>
      <c r="AN10" s="20" t="str">
        <f>IFERROR(INDEX([2]lijnopstellingsfiche!$AP$1:$AP$65536,MATCH(A10,[2]lijnopstellingsfiche!$AQ$1:$AQ$65536,0)),"")</f>
        <v>-</v>
      </c>
      <c r="AO10" s="22">
        <v>0</v>
      </c>
      <c r="AP10" s="22">
        <v>0</v>
      </c>
      <c r="AQ10" s="22">
        <v>2</v>
      </c>
      <c r="AR10" s="22">
        <v>0</v>
      </c>
      <c r="AS10" s="22">
        <v>0</v>
      </c>
      <c r="AT10" s="22">
        <v>0</v>
      </c>
      <c r="AU10" s="22">
        <v>0</v>
      </c>
      <c r="AV10" s="121">
        <v>0</v>
      </c>
      <c r="AW10" s="19">
        <v>0</v>
      </c>
      <c r="AX10" s="20">
        <v>0</v>
      </c>
      <c r="AY10" s="20">
        <v>1</v>
      </c>
      <c r="AZ10" s="20">
        <v>0</v>
      </c>
      <c r="BA10" s="20">
        <v>1</v>
      </c>
      <c r="BB10" s="20">
        <v>0</v>
      </c>
      <c r="BC10" s="21">
        <v>0</v>
      </c>
      <c r="BD10" s="200" t="str">
        <f>VLOOKUP($A10,'[3]allergenen 6nr'!$A$1:$O$1310,3,FALSE)</f>
        <v>-</v>
      </c>
      <c r="BE10" s="201" t="str">
        <f>VLOOKUP($A10,'[3]allergenen 6nr'!$A$1:$O$1310,4,FALSE)</f>
        <v>-</v>
      </c>
      <c r="BF10" s="201" t="str">
        <f>VLOOKUP($A10,'[3]allergenen 6nr'!$A$1:$O$1310,5,FALSE)</f>
        <v>X</v>
      </c>
      <c r="BG10" s="201" t="str">
        <f>VLOOKUP($A10,'[3]allergenen 6nr'!$A$1:$O$1310,6,FALSE)</f>
        <v>-</v>
      </c>
      <c r="BH10" s="201" t="str">
        <f>VLOOKUP($A10,'[3]allergenen 6nr'!$A$1:$O$1310,7,FALSE)</f>
        <v>+</v>
      </c>
      <c r="BI10" s="201" t="str">
        <f>VLOOKUP($A10,'[3]allergenen 6nr'!$A$1:$O$1310,8,FALSE)</f>
        <v>X</v>
      </c>
      <c r="BJ10" s="201" t="str">
        <f>VLOOKUP($A10,'[3]allergenen 6nr'!$A$1:$O$1310,9,FALSE)</f>
        <v>-</v>
      </c>
      <c r="BK10" s="201" t="str">
        <f>VLOOKUP($A10,'[3]allergenen 6nr'!$A$1:$O$1310,10,FALSE)</f>
        <v>-</v>
      </c>
      <c r="BL10" s="201" t="str">
        <f>VLOOKUP($A10,'[3]allergenen 6nr'!$A$1:$O$1310,11,FALSE)</f>
        <v>X</v>
      </c>
      <c r="BM10" s="201" t="str">
        <f>VLOOKUP($A10,'[3]allergenen 6nr'!$A$1:$O$1310,12,FALSE)</f>
        <v>-</v>
      </c>
      <c r="BN10" s="201" t="str">
        <f>VLOOKUP($A10,'[3]allergenen 6nr'!$A$1:$O$1310,13,FALSE)</f>
        <v>-</v>
      </c>
      <c r="BO10" s="201" t="str">
        <f>VLOOKUP($A10,'[3]allergenen 6nr'!$A$1:$O$1310,14,FALSE)</f>
        <v>-</v>
      </c>
      <c r="BP10" s="202" t="str">
        <f>VLOOKUP($A10,'[3]allergenen 6nr'!$A$1:$O$1310,15,FALSE)</f>
        <v>-</v>
      </c>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row>
    <row r="11" spans="1:173" x14ac:dyDescent="0.2">
      <c r="A11" s="89">
        <v>60921000</v>
      </c>
      <c r="B11" s="53" t="str">
        <f>VLOOKUP($A11,[1]maaltijden!$A$1:$IV$65536,4,FALSE)</f>
        <v>DMB BROCCOLISOEP 900G</v>
      </c>
      <c r="C11" s="118" t="str">
        <f>VLOOKUP($A11,[1]maaltijden!$A$1:$IV$65536,7,FALSE)</f>
        <v>C2227-1H</v>
      </c>
      <c r="D11" s="20" t="str">
        <f>VLOOKUP($A11,[1]maaltijden!$A$1:$IV$65536,10,FALSE)</f>
        <v>NVT</v>
      </c>
      <c r="E11" s="20" t="str">
        <f>VLOOKUP($A11,[1]maaltijden!$A$1:$IV$65536,13,FALSE)</f>
        <v>DMC X 6</v>
      </c>
      <c r="F11" s="20">
        <f t="shared" si="0"/>
        <v>0</v>
      </c>
      <c r="G11" s="20" t="str">
        <f>VLOOKUP($A11,[1]maaltijden!$A$1:$IV$65536,27,FALSE)</f>
        <v>! ! !</v>
      </c>
      <c r="H11" s="22">
        <f>VLOOKUP($A11,[1]maaltijden!$A$1:$IV$65536,21,FALSE)</f>
        <v>1</v>
      </c>
      <c r="I11" s="22">
        <f>VLOOKUP($A11,[1]maaltijden!$A$1:$IV$65536,21,FALSE)</f>
        <v>1</v>
      </c>
      <c r="J11" s="22">
        <f>VLOOKUP($A11,[1]maaltijden!$A$1:$IV$65536,18,FALSE)</f>
        <v>3</v>
      </c>
      <c r="K11" s="22">
        <f>VLOOKUP($A11,[1]maaltijden!$A$1:$IV$65536,17,FALSE)</f>
        <v>2</v>
      </c>
      <c r="L11" s="22">
        <f>VLOOKUP($A11,[1]maaltijden!$A$1:$IV$65536,20,FALSE)</f>
        <v>1750</v>
      </c>
      <c r="M11" s="22">
        <f>VLOOKUP($A11,[1]maaltijden!$A$1:$IV$65536,22,FALSE)</f>
        <v>1750</v>
      </c>
      <c r="N11" s="134">
        <v>0</v>
      </c>
      <c r="O11" s="21">
        <v>0</v>
      </c>
      <c r="P11" s="119">
        <v>0</v>
      </c>
      <c r="Q11" s="20">
        <v>1</v>
      </c>
      <c r="R11" s="120">
        <v>0</v>
      </c>
      <c r="S11" s="119">
        <v>0</v>
      </c>
      <c r="T11" s="22">
        <v>1</v>
      </c>
      <c r="U11" s="119">
        <v>0</v>
      </c>
      <c r="V11" s="22">
        <v>1</v>
      </c>
      <c r="W11" s="22">
        <v>1</v>
      </c>
      <c r="X11" s="22">
        <v>1</v>
      </c>
      <c r="Y11" s="22">
        <v>1</v>
      </c>
      <c r="Z11" s="22">
        <v>0</v>
      </c>
      <c r="AA11" s="22">
        <v>0</v>
      </c>
      <c r="AB11" s="50">
        <v>0</v>
      </c>
      <c r="AC11" s="50">
        <v>0</v>
      </c>
      <c r="AD11" s="50">
        <v>0</v>
      </c>
      <c r="AE11" s="50">
        <v>1</v>
      </c>
      <c r="AF11" s="50">
        <v>0</v>
      </c>
      <c r="AG11" s="164">
        <v>0</v>
      </c>
      <c r="AH11" s="165">
        <v>0</v>
      </c>
      <c r="AI11" s="165">
        <v>1</v>
      </c>
      <c r="AJ11" s="165">
        <v>0</v>
      </c>
      <c r="AK11" s="165">
        <v>0</v>
      </c>
      <c r="AL11" s="166">
        <v>1</v>
      </c>
      <c r="AM11" s="119">
        <v>0</v>
      </c>
      <c r="AN11" s="20" t="str">
        <f>IFERROR(INDEX([2]lijnopstellingsfiche!$AP$1:$AP$65536,MATCH(A11,[2]lijnopstellingsfiche!$AQ$1:$AQ$65536,0)),"")</f>
        <v>-</v>
      </c>
      <c r="AO11" s="22">
        <v>0</v>
      </c>
      <c r="AP11" s="22">
        <v>0</v>
      </c>
      <c r="AQ11" s="22">
        <v>2</v>
      </c>
      <c r="AR11" s="22">
        <v>0</v>
      </c>
      <c r="AS11" s="22">
        <v>0</v>
      </c>
      <c r="AT11" s="22">
        <v>0</v>
      </c>
      <c r="AU11" s="22">
        <v>0</v>
      </c>
      <c r="AV11" s="121">
        <v>0</v>
      </c>
      <c r="AW11" s="19">
        <v>0</v>
      </c>
      <c r="AX11" s="20">
        <v>0</v>
      </c>
      <c r="AY11" s="20">
        <v>1</v>
      </c>
      <c r="AZ11" s="20">
        <v>0</v>
      </c>
      <c r="BA11" s="20">
        <v>1</v>
      </c>
      <c r="BB11" s="20">
        <v>0</v>
      </c>
      <c r="BC11" s="21">
        <v>0</v>
      </c>
      <c r="BD11" s="200" t="str">
        <f>VLOOKUP($A11,'[3]allergenen 6nr'!$A$1:$O$1310,3,FALSE)</f>
        <v>-</v>
      </c>
      <c r="BE11" s="201" t="str">
        <f>VLOOKUP($A11,'[3]allergenen 6nr'!$A$1:$O$1310,4,FALSE)</f>
        <v>-</v>
      </c>
      <c r="BF11" s="201" t="str">
        <f>VLOOKUP($A11,'[3]allergenen 6nr'!$A$1:$O$1310,5,FALSE)</f>
        <v>+</v>
      </c>
      <c r="BG11" s="201" t="str">
        <f>VLOOKUP($A11,'[3]allergenen 6nr'!$A$1:$O$1310,6,FALSE)</f>
        <v>-</v>
      </c>
      <c r="BH11" s="201" t="str">
        <f>VLOOKUP($A11,'[3]allergenen 6nr'!$A$1:$O$1310,7,FALSE)</f>
        <v>+</v>
      </c>
      <c r="BI11" s="201" t="str">
        <f>VLOOKUP($A11,'[3]allergenen 6nr'!$A$1:$O$1310,8,FALSE)</f>
        <v>-</v>
      </c>
      <c r="BJ11" s="201" t="str">
        <f>VLOOKUP($A11,'[3]allergenen 6nr'!$A$1:$O$1310,9,FALSE)</f>
        <v>-</v>
      </c>
      <c r="BK11" s="201" t="str">
        <f>VLOOKUP($A11,'[3]allergenen 6nr'!$A$1:$O$1310,10,FALSE)</f>
        <v>-</v>
      </c>
      <c r="BL11" s="201" t="str">
        <f>VLOOKUP($A11,'[3]allergenen 6nr'!$A$1:$O$1310,11,FALSE)</f>
        <v>+</v>
      </c>
      <c r="BM11" s="201" t="str">
        <f>VLOOKUP($A11,'[3]allergenen 6nr'!$A$1:$O$1310,12,FALSE)</f>
        <v>-</v>
      </c>
      <c r="BN11" s="201" t="str">
        <f>VLOOKUP($A11,'[3]allergenen 6nr'!$A$1:$O$1310,13,FALSE)</f>
        <v>-</v>
      </c>
      <c r="BO11" s="201" t="str">
        <f>VLOOKUP($A11,'[3]allergenen 6nr'!$A$1:$O$1310,14,FALSE)</f>
        <v>-</v>
      </c>
      <c r="BP11" s="202" t="str">
        <f>VLOOKUP($A11,'[3]allergenen 6nr'!$A$1:$O$1310,15,FALSE)</f>
        <v>-</v>
      </c>
    </row>
    <row r="12" spans="1:173" s="92" customFormat="1" x14ac:dyDescent="0.2">
      <c r="A12" s="89">
        <v>60921100</v>
      </c>
      <c r="B12" s="53" t="str">
        <f>VLOOKUP($A12,[1]maaltijden!$A$1:$IV$65536,4,FALSE)</f>
        <v>DMB CHAMPIGNONSOEP 900G</v>
      </c>
      <c r="C12" s="46" t="str">
        <f>VLOOKUP($A12,[1]maaltijden!$A$1:$IV$65536,7,FALSE)</f>
        <v>C2227-1H</v>
      </c>
      <c r="D12" s="22" t="str">
        <f>VLOOKUP($A12,[1]maaltijden!$A$1:$IV$65536,10,FALSE)</f>
        <v>NVT</v>
      </c>
      <c r="E12" s="22" t="str">
        <f>VLOOKUP($A12,[1]maaltijden!$A$1:$IV$65536,13,FALSE)</f>
        <v>DMC X 6</v>
      </c>
      <c r="F12" s="20">
        <f t="shared" si="0"/>
        <v>0</v>
      </c>
      <c r="G12" s="91" t="str">
        <f>VLOOKUP($A12,[1]maaltijden!$A$1:$IV$65536,27,FALSE)</f>
        <v>! ! !</v>
      </c>
      <c r="H12" s="22">
        <f>VLOOKUP($A12,[1]maaltijden!$A$1:$IV$65536,21,FALSE)</f>
        <v>1</v>
      </c>
      <c r="I12" s="22">
        <f>VLOOKUP($A12,[1]maaltijden!$A$1:$IV$65536,21,FALSE)</f>
        <v>1</v>
      </c>
      <c r="J12" s="22">
        <f>VLOOKUP($A12,[1]maaltijden!$A$1:$IV$65536,18,FALSE)</f>
        <v>3</v>
      </c>
      <c r="K12" s="22">
        <f>VLOOKUP($A12,[1]maaltijden!$A$1:$IV$65536,17,FALSE)</f>
        <v>2</v>
      </c>
      <c r="L12" s="22">
        <f>VLOOKUP($A12,[1]maaltijden!$A$1:$IV$65536,20,FALSE)</f>
        <v>1750</v>
      </c>
      <c r="M12" s="22">
        <f>VLOOKUP($A12,[1]maaltijden!$A$1:$IV$65536,22,FALSE)</f>
        <v>1750</v>
      </c>
      <c r="N12" s="134">
        <v>0</v>
      </c>
      <c r="O12" s="21">
        <v>0</v>
      </c>
      <c r="P12" s="119">
        <v>0</v>
      </c>
      <c r="Q12" s="20">
        <v>1</v>
      </c>
      <c r="R12" s="120">
        <v>0</v>
      </c>
      <c r="S12" s="19">
        <v>0</v>
      </c>
      <c r="T12" s="20">
        <v>1</v>
      </c>
      <c r="U12" s="19">
        <v>1</v>
      </c>
      <c r="V12" s="20">
        <v>1</v>
      </c>
      <c r="W12" s="20">
        <v>1</v>
      </c>
      <c r="X12" s="20">
        <v>1</v>
      </c>
      <c r="Y12" s="20">
        <v>1</v>
      </c>
      <c r="Z12" s="20">
        <v>0</v>
      </c>
      <c r="AA12" s="20">
        <v>0</v>
      </c>
      <c r="AB12" s="49">
        <v>0</v>
      </c>
      <c r="AC12" s="49">
        <v>0</v>
      </c>
      <c r="AD12" s="49">
        <v>0</v>
      </c>
      <c r="AE12" s="49">
        <v>0</v>
      </c>
      <c r="AF12" s="49">
        <v>0</v>
      </c>
      <c r="AG12" s="161">
        <v>0</v>
      </c>
      <c r="AH12" s="162">
        <v>0</v>
      </c>
      <c r="AI12" s="162">
        <v>1</v>
      </c>
      <c r="AJ12" s="162">
        <v>0</v>
      </c>
      <c r="AK12" s="162">
        <v>0</v>
      </c>
      <c r="AL12" s="163">
        <v>1</v>
      </c>
      <c r="AM12" s="19">
        <v>0</v>
      </c>
      <c r="AN12" s="20" t="str">
        <f>IFERROR(INDEX([2]lijnopstellingsfiche!$AP$1:$AP$65536,MATCH(A12,[2]lijnopstellingsfiche!$AQ$1:$AQ$65536,0)),"")</f>
        <v>-</v>
      </c>
      <c r="AO12" s="20">
        <v>0</v>
      </c>
      <c r="AP12" s="20">
        <v>0</v>
      </c>
      <c r="AQ12" s="20">
        <v>2</v>
      </c>
      <c r="AR12" s="20">
        <v>0</v>
      </c>
      <c r="AS12" s="20">
        <v>0</v>
      </c>
      <c r="AT12" s="20">
        <v>0</v>
      </c>
      <c r="AU12" s="20">
        <v>0</v>
      </c>
      <c r="AV12" s="23">
        <v>0</v>
      </c>
      <c r="AW12" s="19">
        <v>0</v>
      </c>
      <c r="AX12" s="20">
        <v>0</v>
      </c>
      <c r="AY12" s="20">
        <v>1</v>
      </c>
      <c r="AZ12" s="20">
        <v>0</v>
      </c>
      <c r="BA12" s="20">
        <v>1</v>
      </c>
      <c r="BB12" s="22">
        <v>0</v>
      </c>
      <c r="BC12" s="21">
        <v>0</v>
      </c>
      <c r="BD12" s="200" t="str">
        <f>VLOOKUP($A12,'[3]allergenen 6nr'!$A$1:$O$1310,3,FALSE)</f>
        <v>-</v>
      </c>
      <c r="BE12" s="201" t="str">
        <f>VLOOKUP($A12,'[3]allergenen 6nr'!$A$1:$O$1310,4,FALSE)</f>
        <v>-</v>
      </c>
      <c r="BF12" s="201" t="str">
        <f>VLOOKUP($A12,'[3]allergenen 6nr'!$A$1:$O$1310,5,FALSE)</f>
        <v>+</v>
      </c>
      <c r="BG12" s="201" t="str">
        <f>VLOOKUP($A12,'[3]allergenen 6nr'!$A$1:$O$1310,6,FALSE)</f>
        <v>X</v>
      </c>
      <c r="BH12" s="201" t="str">
        <f>VLOOKUP($A12,'[3]allergenen 6nr'!$A$1:$O$1310,7,FALSE)</f>
        <v>+</v>
      </c>
      <c r="BI12" s="201" t="str">
        <f>VLOOKUP($A12,'[3]allergenen 6nr'!$A$1:$O$1310,8,FALSE)</f>
        <v>X</v>
      </c>
      <c r="BJ12" s="201" t="str">
        <f>VLOOKUP($A12,'[3]allergenen 6nr'!$A$1:$O$1310,9,FALSE)</f>
        <v>-</v>
      </c>
      <c r="BK12" s="201" t="str">
        <f>VLOOKUP($A12,'[3]allergenen 6nr'!$A$1:$O$1310,10,FALSE)</f>
        <v>-</v>
      </c>
      <c r="BL12" s="201" t="str">
        <f>VLOOKUP($A12,'[3]allergenen 6nr'!$A$1:$O$1310,11,FALSE)</f>
        <v>+</v>
      </c>
      <c r="BM12" s="201" t="str">
        <f>VLOOKUP($A12,'[3]allergenen 6nr'!$A$1:$O$1310,12,FALSE)</f>
        <v>-</v>
      </c>
      <c r="BN12" s="201" t="str">
        <f>VLOOKUP($A12,'[3]allergenen 6nr'!$A$1:$O$1310,13,FALSE)</f>
        <v>X</v>
      </c>
      <c r="BO12" s="201" t="str">
        <f>VLOOKUP($A12,'[3]allergenen 6nr'!$A$1:$O$1310,14,FALSE)</f>
        <v>-</v>
      </c>
      <c r="BP12" s="202" t="str">
        <f>VLOOKUP($A12,'[3]allergenen 6nr'!$A$1:$O$1310,15,FALSE)</f>
        <v>-</v>
      </c>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row>
    <row r="13" spans="1:173" x14ac:dyDescent="0.2">
      <c r="A13" s="89">
        <v>60921200</v>
      </c>
      <c r="B13" s="53" t="str">
        <f>VLOOKUP($A13,[1]maaltijden!$A$1:$IV$65536,4,FALSE)</f>
        <v>DMB WORTELSOEP 900G</v>
      </c>
      <c r="C13" s="46" t="str">
        <f>VLOOKUP($A13,[1]maaltijden!$A$1:$IV$65536,7,FALSE)</f>
        <v>C2227-1H</v>
      </c>
      <c r="D13" s="22" t="str">
        <f>VLOOKUP($A13,[1]maaltijden!$A$1:$IV$65536,10,FALSE)</f>
        <v>NVT</v>
      </c>
      <c r="E13" s="22" t="str">
        <f>VLOOKUP($A13,[1]maaltijden!$A$1:$IV$65536,13,FALSE)</f>
        <v>DMC X 6</v>
      </c>
      <c r="F13" s="20">
        <f t="shared" si="0"/>
        <v>0</v>
      </c>
      <c r="G13" s="20" t="str">
        <f>VLOOKUP($A13,[1]maaltijden!$A$1:$IV$65536,27,FALSE)</f>
        <v>! ! !</v>
      </c>
      <c r="H13" s="22">
        <f>VLOOKUP($A13,[1]maaltijden!$A$1:$IV$65536,21,FALSE)</f>
        <v>1</v>
      </c>
      <c r="I13" s="22">
        <f>VLOOKUP($A13,[1]maaltijden!$A$1:$IV$65536,21,FALSE)</f>
        <v>1</v>
      </c>
      <c r="J13" s="22">
        <f>VLOOKUP($A13,[1]maaltijden!$A$1:$IV$65536,18,FALSE)</f>
        <v>3</v>
      </c>
      <c r="K13" s="22">
        <f>VLOOKUP($A13,[1]maaltijden!$A$1:$IV$65536,17,FALSE)</f>
        <v>1</v>
      </c>
      <c r="L13" s="22">
        <f>VLOOKUP($A13,[1]maaltijden!$A$1:$IV$65536,20,FALSE)</f>
        <v>1750</v>
      </c>
      <c r="M13" s="22">
        <f>VLOOKUP($A13,[1]maaltijden!$A$1:$IV$65536,22,FALSE)</f>
        <v>1750</v>
      </c>
      <c r="N13" s="134">
        <v>0</v>
      </c>
      <c r="O13" s="21">
        <v>0</v>
      </c>
      <c r="P13" s="119">
        <v>0</v>
      </c>
      <c r="Q13" s="20">
        <v>1</v>
      </c>
      <c r="R13" s="120">
        <v>0</v>
      </c>
      <c r="S13" s="19">
        <v>1</v>
      </c>
      <c r="T13" s="20">
        <v>1</v>
      </c>
      <c r="U13" s="19">
        <v>1</v>
      </c>
      <c r="V13" s="20">
        <v>1</v>
      </c>
      <c r="W13" s="20">
        <v>1</v>
      </c>
      <c r="X13" s="20">
        <v>1</v>
      </c>
      <c r="Y13" s="20">
        <v>1</v>
      </c>
      <c r="Z13" s="20">
        <v>0</v>
      </c>
      <c r="AA13" s="20">
        <v>0</v>
      </c>
      <c r="AB13" s="49">
        <v>0</v>
      </c>
      <c r="AC13" s="49">
        <v>0</v>
      </c>
      <c r="AD13" s="49">
        <v>0</v>
      </c>
      <c r="AE13" s="49">
        <v>0</v>
      </c>
      <c r="AF13" s="49">
        <v>0</v>
      </c>
      <c r="AG13" s="161">
        <v>0</v>
      </c>
      <c r="AH13" s="162">
        <v>0</v>
      </c>
      <c r="AI13" s="162">
        <v>1</v>
      </c>
      <c r="AJ13" s="162">
        <v>0</v>
      </c>
      <c r="AK13" s="162">
        <v>0</v>
      </c>
      <c r="AL13" s="163">
        <v>1</v>
      </c>
      <c r="AM13" s="19">
        <v>0</v>
      </c>
      <c r="AN13" s="20" t="str">
        <f>IFERROR(INDEX([2]lijnopstellingsfiche!$AP$1:$AP$65536,MATCH(A13,[2]lijnopstellingsfiche!$AQ$1:$AQ$65536,0)),"")</f>
        <v>-</v>
      </c>
      <c r="AO13" s="20">
        <v>0</v>
      </c>
      <c r="AP13" s="20">
        <v>0</v>
      </c>
      <c r="AQ13" s="20">
        <v>2</v>
      </c>
      <c r="AR13" s="20">
        <v>0</v>
      </c>
      <c r="AS13" s="20">
        <v>0</v>
      </c>
      <c r="AT13" s="20">
        <v>0</v>
      </c>
      <c r="AU13" s="20">
        <v>0</v>
      </c>
      <c r="AV13" s="23">
        <v>0</v>
      </c>
      <c r="AW13" s="111">
        <v>0</v>
      </c>
      <c r="AX13" s="112">
        <v>0</v>
      </c>
      <c r="AY13" s="112">
        <v>1</v>
      </c>
      <c r="AZ13" s="112">
        <v>0</v>
      </c>
      <c r="BA13" s="112">
        <v>1</v>
      </c>
      <c r="BB13" s="22">
        <v>0</v>
      </c>
      <c r="BC13" s="21">
        <v>0</v>
      </c>
      <c r="BD13" s="200" t="str">
        <f>VLOOKUP($A13,'[3]allergenen 6nr'!$A$1:$O$1310,3,FALSE)</f>
        <v>-</v>
      </c>
      <c r="BE13" s="201" t="str">
        <f>VLOOKUP($A13,'[3]allergenen 6nr'!$A$1:$O$1310,4,FALSE)</f>
        <v>-</v>
      </c>
      <c r="BF13" s="201" t="str">
        <f>VLOOKUP($A13,'[3]allergenen 6nr'!$A$1:$O$1310,5,FALSE)</f>
        <v>X</v>
      </c>
      <c r="BG13" s="201" t="str">
        <f>VLOOKUP($A13,'[3]allergenen 6nr'!$A$1:$O$1310,6,FALSE)</f>
        <v>-</v>
      </c>
      <c r="BH13" s="201" t="str">
        <f>VLOOKUP($A13,'[3]allergenen 6nr'!$A$1:$O$1310,7,FALSE)</f>
        <v>+</v>
      </c>
      <c r="BI13" s="201" t="str">
        <f>VLOOKUP($A13,'[3]allergenen 6nr'!$A$1:$O$1310,8,FALSE)</f>
        <v>X</v>
      </c>
      <c r="BJ13" s="201" t="str">
        <f>VLOOKUP($A13,'[3]allergenen 6nr'!$A$1:$O$1310,9,FALSE)</f>
        <v>-</v>
      </c>
      <c r="BK13" s="201" t="str">
        <f>VLOOKUP($A13,'[3]allergenen 6nr'!$A$1:$O$1310,10,FALSE)</f>
        <v>-</v>
      </c>
      <c r="BL13" s="201" t="str">
        <f>VLOOKUP($A13,'[3]allergenen 6nr'!$A$1:$O$1310,11,FALSE)</f>
        <v>+</v>
      </c>
      <c r="BM13" s="201" t="str">
        <f>VLOOKUP($A13,'[3]allergenen 6nr'!$A$1:$O$1310,12,FALSE)</f>
        <v>-</v>
      </c>
      <c r="BN13" s="201" t="str">
        <f>VLOOKUP($A13,'[3]allergenen 6nr'!$A$1:$O$1310,13,FALSE)</f>
        <v>-</v>
      </c>
      <c r="BO13" s="201" t="str">
        <f>VLOOKUP($A13,'[3]allergenen 6nr'!$A$1:$O$1310,14,FALSE)</f>
        <v>-</v>
      </c>
      <c r="BP13" s="202" t="str">
        <f>VLOOKUP($A13,'[3]allergenen 6nr'!$A$1:$O$1310,15,FALSE)</f>
        <v>-</v>
      </c>
    </row>
    <row r="14" spans="1:173" s="92" customFormat="1" x14ac:dyDescent="0.2">
      <c r="A14" s="89">
        <v>60921300</v>
      </c>
      <c r="B14" s="53" t="str">
        <f>VLOOKUP($A14,[1]maaltijden!$A$1:$IV$65536,4,FALSE)</f>
        <v>DMB BLOEMKOOLSOEP 900G</v>
      </c>
      <c r="C14" s="46" t="str">
        <f>VLOOKUP($A14,[1]maaltijden!$A$1:$IV$65536,7,FALSE)</f>
        <v>C2227-1H</v>
      </c>
      <c r="D14" s="22" t="str">
        <f>VLOOKUP($A14,[1]maaltijden!$A$1:$IV$65536,10,FALSE)</f>
        <v>NVT</v>
      </c>
      <c r="E14" s="22" t="str">
        <f>VLOOKUP($A14,[1]maaltijden!$A$1:$IV$65536,13,FALSE)</f>
        <v>DMC X 6</v>
      </c>
      <c r="F14" s="20">
        <f t="shared" si="0"/>
        <v>0</v>
      </c>
      <c r="G14" s="91" t="str">
        <f>VLOOKUP($A14,[1]maaltijden!$A$1:$IV$65536,27,FALSE)</f>
        <v>! ! !</v>
      </c>
      <c r="H14" s="22">
        <f>VLOOKUP($A14,[1]maaltijden!$A$1:$IV$65536,21,FALSE)</f>
        <v>2</v>
      </c>
      <c r="I14" s="22">
        <f>VLOOKUP($A14,[1]maaltijden!$A$1:$IV$65536,21,FALSE)</f>
        <v>2</v>
      </c>
      <c r="J14" s="22">
        <f>VLOOKUP($A14,[1]maaltijden!$A$1:$IV$65536,18,FALSE)</f>
        <v>3</v>
      </c>
      <c r="K14" s="22">
        <f>VLOOKUP($A14,[1]maaltijden!$A$1:$IV$65536,17,FALSE)</f>
        <v>1</v>
      </c>
      <c r="L14" s="22">
        <f>VLOOKUP($A14,[1]maaltijden!$A$1:$IV$65536,20,FALSE)</f>
        <v>1750</v>
      </c>
      <c r="M14" s="22">
        <f>VLOOKUP($A14,[1]maaltijden!$A$1:$IV$65536,22,FALSE)</f>
        <v>1750</v>
      </c>
      <c r="N14" s="134">
        <v>0</v>
      </c>
      <c r="O14" s="21">
        <v>0</v>
      </c>
      <c r="P14" s="19">
        <v>0</v>
      </c>
      <c r="Q14" s="20">
        <v>1</v>
      </c>
      <c r="R14" s="120">
        <v>0</v>
      </c>
      <c r="S14" s="19">
        <v>0</v>
      </c>
      <c r="T14" s="20">
        <v>1</v>
      </c>
      <c r="U14" s="19">
        <v>1</v>
      </c>
      <c r="V14" s="20">
        <v>1</v>
      </c>
      <c r="W14" s="20">
        <v>1</v>
      </c>
      <c r="X14" s="20">
        <v>1</v>
      </c>
      <c r="Y14" s="20">
        <v>1</v>
      </c>
      <c r="Z14" s="20">
        <v>0</v>
      </c>
      <c r="AA14" s="20">
        <v>0</v>
      </c>
      <c r="AB14" s="49">
        <v>0</v>
      </c>
      <c r="AC14" s="49">
        <v>0</v>
      </c>
      <c r="AD14" s="49">
        <v>0</v>
      </c>
      <c r="AE14" s="49">
        <v>0</v>
      </c>
      <c r="AF14" s="49">
        <v>0</v>
      </c>
      <c r="AG14" s="161">
        <v>0</v>
      </c>
      <c r="AH14" s="162">
        <v>1</v>
      </c>
      <c r="AI14" s="162">
        <v>0</v>
      </c>
      <c r="AJ14" s="162">
        <v>0</v>
      </c>
      <c r="AK14" s="162">
        <v>0</v>
      </c>
      <c r="AL14" s="163">
        <v>1</v>
      </c>
      <c r="AM14" s="19">
        <v>0</v>
      </c>
      <c r="AN14" s="20" t="str">
        <f>IFERROR(INDEX([2]lijnopstellingsfiche!$AP$1:$AP$65536,MATCH(A14,[2]lijnopstellingsfiche!$AQ$1:$AQ$65536,0)),"")</f>
        <v>-</v>
      </c>
      <c r="AO14" s="20">
        <v>0</v>
      </c>
      <c r="AP14" s="20">
        <v>0</v>
      </c>
      <c r="AQ14" s="20">
        <v>2</v>
      </c>
      <c r="AR14" s="20">
        <v>0</v>
      </c>
      <c r="AS14" s="20">
        <v>0</v>
      </c>
      <c r="AT14" s="20">
        <v>0</v>
      </c>
      <c r="AU14" s="20">
        <v>0</v>
      </c>
      <c r="AV14" s="23">
        <v>0</v>
      </c>
      <c r="AW14" s="111">
        <v>0</v>
      </c>
      <c r="AX14" s="112">
        <v>0</v>
      </c>
      <c r="AY14" s="112">
        <v>1</v>
      </c>
      <c r="AZ14" s="112">
        <v>0</v>
      </c>
      <c r="BA14" s="112">
        <v>1</v>
      </c>
      <c r="BB14" s="22">
        <v>0</v>
      </c>
      <c r="BC14" s="21">
        <v>0</v>
      </c>
      <c r="BD14" s="200" t="str">
        <f>VLOOKUP($A14,'[3]allergenen 6nr'!$A$1:$O$1310,3,FALSE)</f>
        <v>-</v>
      </c>
      <c r="BE14" s="201" t="str">
        <f>VLOOKUP($A14,'[3]allergenen 6nr'!$A$1:$O$1310,4,FALSE)</f>
        <v>-</v>
      </c>
      <c r="BF14" s="201" t="str">
        <f>VLOOKUP($A14,'[3]allergenen 6nr'!$A$1:$O$1310,5,FALSE)</f>
        <v>+</v>
      </c>
      <c r="BG14" s="201" t="str">
        <f>VLOOKUP($A14,'[3]allergenen 6nr'!$A$1:$O$1310,6,FALSE)</f>
        <v>-</v>
      </c>
      <c r="BH14" s="201" t="str">
        <f>VLOOKUP($A14,'[3]allergenen 6nr'!$A$1:$O$1310,7,FALSE)</f>
        <v>+</v>
      </c>
      <c r="BI14" s="201" t="str">
        <f>VLOOKUP($A14,'[3]allergenen 6nr'!$A$1:$O$1310,8,FALSE)</f>
        <v>-</v>
      </c>
      <c r="BJ14" s="201" t="str">
        <f>VLOOKUP($A14,'[3]allergenen 6nr'!$A$1:$O$1310,9,FALSE)</f>
        <v>-</v>
      </c>
      <c r="BK14" s="201" t="str">
        <f>VLOOKUP($A14,'[3]allergenen 6nr'!$A$1:$O$1310,10,FALSE)</f>
        <v>-</v>
      </c>
      <c r="BL14" s="201" t="str">
        <f>VLOOKUP($A14,'[3]allergenen 6nr'!$A$1:$O$1310,11,FALSE)</f>
        <v>+</v>
      </c>
      <c r="BM14" s="201" t="str">
        <f>VLOOKUP($A14,'[3]allergenen 6nr'!$A$1:$O$1310,12,FALSE)</f>
        <v>-</v>
      </c>
      <c r="BN14" s="201" t="str">
        <f>VLOOKUP($A14,'[3]allergenen 6nr'!$A$1:$O$1310,13,FALSE)</f>
        <v>-</v>
      </c>
      <c r="BO14" s="201" t="str">
        <f>VLOOKUP($A14,'[3]allergenen 6nr'!$A$1:$O$1310,14,FALSE)</f>
        <v>-</v>
      </c>
      <c r="BP14" s="202" t="str">
        <f>VLOOKUP($A14,'[3]allergenen 6nr'!$A$1:$O$1310,15,FALSE)</f>
        <v>-</v>
      </c>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row>
    <row r="15" spans="1:173" x14ac:dyDescent="0.2">
      <c r="A15" s="89">
        <v>61642400</v>
      </c>
      <c r="B15" s="53" t="str">
        <f>VLOOKUP($A15,[1]maaltijden!$A$1:$IV$65536,4,FALSE)</f>
        <v>COLR KIP WITLOOFSAUS PUREE 500G</v>
      </c>
      <c r="C15" s="46" t="str">
        <f>VLOOKUP($A15,[1]maaltijden!$A$1:$IV$65536,7,FALSE)</f>
        <v>C2227-2X</v>
      </c>
      <c r="D15" s="22" t="str">
        <f>VLOOKUP($A15,[1]maaltijden!$A$1:$IV$65536,10,FALSE)</f>
        <v>H10</v>
      </c>
      <c r="E15" s="22" t="str">
        <f>VLOOKUP($A15,[1]maaltijden!$A$1:$IV$65536,13,FALSE)</f>
        <v>H10X8</v>
      </c>
      <c r="F15" s="20">
        <f t="shared" si="0"/>
        <v>0</v>
      </c>
      <c r="G15" s="20" t="str">
        <f>VLOOKUP($A15,[1]maaltijden!$A$1:$IV$65536,27,FALSE)</f>
        <v>! !</v>
      </c>
      <c r="H15" s="22">
        <f>VLOOKUP($A15,[1]maaltijden!$A$1:$IV$65536,21,FALSE)</f>
        <v>2</v>
      </c>
      <c r="I15" s="22">
        <f>VLOOKUP($A15,[1]maaltijden!$A$1:$IV$65536,21,FALSE)</f>
        <v>2</v>
      </c>
      <c r="J15" s="22">
        <f>VLOOKUP($A15,[1]maaltijden!$A$1:$IV$65536,18,FALSE)</f>
        <v>2</v>
      </c>
      <c r="K15" s="22">
        <f>VLOOKUP($A15,[1]maaltijden!$A$1:$IV$65536,17,FALSE)</f>
        <v>2</v>
      </c>
      <c r="L15" s="22">
        <f>VLOOKUP($A15,[1]maaltijden!$A$1:$IV$65536,20,FALSE)</f>
        <v>2400</v>
      </c>
      <c r="M15" s="22">
        <f>VLOOKUP($A15,[1]maaltijden!$A$1:$IV$65536,22,FALSE)</f>
        <v>2400</v>
      </c>
      <c r="N15" s="134">
        <v>0</v>
      </c>
      <c r="O15" s="21">
        <v>0</v>
      </c>
      <c r="P15" s="19">
        <v>1</v>
      </c>
      <c r="Q15" s="20">
        <v>2</v>
      </c>
      <c r="R15" s="21">
        <v>0</v>
      </c>
      <c r="S15" s="19">
        <v>1</v>
      </c>
      <c r="T15" s="20">
        <v>1</v>
      </c>
      <c r="U15" s="19">
        <v>0</v>
      </c>
      <c r="V15" s="20">
        <v>1</v>
      </c>
      <c r="W15" s="20">
        <v>1</v>
      </c>
      <c r="X15" s="20">
        <v>1</v>
      </c>
      <c r="Y15" s="20">
        <v>1</v>
      </c>
      <c r="Z15" s="20">
        <v>0</v>
      </c>
      <c r="AA15" s="20">
        <v>0</v>
      </c>
      <c r="AB15" s="49">
        <v>0</v>
      </c>
      <c r="AC15" s="49">
        <v>0</v>
      </c>
      <c r="AD15" s="49">
        <v>0</v>
      </c>
      <c r="AE15" s="49">
        <v>1</v>
      </c>
      <c r="AF15" s="49">
        <v>0</v>
      </c>
      <c r="AG15" s="161">
        <v>0</v>
      </c>
      <c r="AH15" s="162">
        <v>1</v>
      </c>
      <c r="AI15" s="162">
        <v>1</v>
      </c>
      <c r="AJ15" s="162">
        <v>0</v>
      </c>
      <c r="AK15" s="162">
        <v>0</v>
      </c>
      <c r="AL15" s="163">
        <v>0</v>
      </c>
      <c r="AM15" s="19">
        <v>0</v>
      </c>
      <c r="AN15" s="20" t="str">
        <f>IFERROR(INDEX([2]lijnopstellingsfiche!$AP$1:$AP$65536,MATCH(A15,[2]lijnopstellingsfiche!$AQ$1:$AQ$65536,0)),"")</f>
        <v>-</v>
      </c>
      <c r="AO15" s="20">
        <v>0</v>
      </c>
      <c r="AP15" s="20">
        <v>0</v>
      </c>
      <c r="AQ15" s="20">
        <v>1</v>
      </c>
      <c r="AR15" s="20">
        <v>1</v>
      </c>
      <c r="AS15" s="20">
        <v>1</v>
      </c>
      <c r="AT15" s="20">
        <v>0</v>
      </c>
      <c r="AU15" s="20">
        <v>0</v>
      </c>
      <c r="AV15" s="23">
        <v>0</v>
      </c>
      <c r="AW15" s="111">
        <v>0</v>
      </c>
      <c r="AX15" s="112">
        <v>0</v>
      </c>
      <c r="AY15" s="112">
        <v>1</v>
      </c>
      <c r="AZ15" s="112">
        <v>1</v>
      </c>
      <c r="BA15" s="112">
        <v>0</v>
      </c>
      <c r="BB15" s="22">
        <v>1</v>
      </c>
      <c r="BC15" s="21">
        <v>0</v>
      </c>
      <c r="BD15" s="200" t="str">
        <f>VLOOKUP($A15,'[3]allergenen 6nr'!$A$1:$O$1310,3,FALSE)</f>
        <v>-</v>
      </c>
      <c r="BE15" s="201" t="str">
        <f>VLOOKUP($A15,'[3]allergenen 6nr'!$A$1:$O$1310,4,FALSE)</f>
        <v>+</v>
      </c>
      <c r="BF15" s="201" t="str">
        <f>VLOOKUP($A15,'[3]allergenen 6nr'!$A$1:$O$1310,5,FALSE)</f>
        <v>+</v>
      </c>
      <c r="BG15" s="201" t="str">
        <f>VLOOKUP($A15,'[3]allergenen 6nr'!$A$1:$O$1310,6,FALSE)</f>
        <v>-</v>
      </c>
      <c r="BH15" s="201" t="str">
        <f>VLOOKUP($A15,'[3]allergenen 6nr'!$A$1:$O$1310,7,FALSE)</f>
        <v>+</v>
      </c>
      <c r="BI15" s="201" t="str">
        <f>VLOOKUP($A15,'[3]allergenen 6nr'!$A$1:$O$1310,8,FALSE)</f>
        <v>X</v>
      </c>
      <c r="BJ15" s="201" t="str">
        <f>VLOOKUP($A15,'[3]allergenen 6nr'!$A$1:$O$1310,9,FALSE)</f>
        <v>-</v>
      </c>
      <c r="BK15" s="201" t="str">
        <f>VLOOKUP($A15,'[3]allergenen 6nr'!$A$1:$O$1310,10,FALSE)</f>
        <v>-</v>
      </c>
      <c r="BL15" s="201" t="str">
        <f>VLOOKUP($A15,'[3]allergenen 6nr'!$A$1:$O$1310,11,FALSE)</f>
        <v>X</v>
      </c>
      <c r="BM15" s="201" t="str">
        <f>VLOOKUP($A15,'[3]allergenen 6nr'!$A$1:$O$1310,12,FALSE)</f>
        <v>-</v>
      </c>
      <c r="BN15" s="201" t="str">
        <f>VLOOKUP($A15,'[3]allergenen 6nr'!$A$1:$O$1310,13,FALSE)</f>
        <v>-</v>
      </c>
      <c r="BO15" s="201" t="str">
        <f>VLOOKUP($A15,'[3]allergenen 6nr'!$A$1:$O$1310,14,FALSE)</f>
        <v>-</v>
      </c>
      <c r="BP15" s="202" t="str">
        <f>VLOOKUP($A15,'[3]allergenen 6nr'!$A$1:$O$1310,15,FALSE)</f>
        <v>-</v>
      </c>
    </row>
    <row r="16" spans="1:173" s="92" customFormat="1" x14ac:dyDescent="0.2">
      <c r="A16" s="89">
        <v>61642500</v>
      </c>
      <c r="B16" s="53" t="str">
        <f>VLOOKUP($A16,[1]maaltijden!$A$1:$IV$65536,4,FALSE)</f>
        <v>COLR BALLETJES TOMATENSAUS BOONTJES PUREE 500G</v>
      </c>
      <c r="C16" s="46" t="str">
        <f>VLOOKUP($A16,[1]maaltijden!$A$1:$IV$65536,7,FALSE)</f>
        <v>C2227-2X</v>
      </c>
      <c r="D16" s="22" t="str">
        <f>VLOOKUP($A16,[1]maaltijden!$A$1:$IV$65536,10,FALSE)</f>
        <v>H10</v>
      </c>
      <c r="E16" s="22" t="str">
        <f>VLOOKUP($A16,[1]maaltijden!$A$1:$IV$65536,13,FALSE)</f>
        <v>H10X8</v>
      </c>
      <c r="F16" s="20">
        <f t="shared" si="0"/>
        <v>0</v>
      </c>
      <c r="G16" s="91" t="str">
        <f>VLOOKUP($A16,[1]maaltijden!$A$1:$IV$65536,27,FALSE)</f>
        <v>! !</v>
      </c>
      <c r="H16" s="22">
        <f>VLOOKUP($A16,[1]maaltijden!$A$1:$IV$65536,21,FALSE)</f>
        <v>5</v>
      </c>
      <c r="I16" s="22">
        <f>VLOOKUP($A16,[1]maaltijden!$A$1:$IV$65536,21,FALSE)</f>
        <v>5</v>
      </c>
      <c r="J16" s="22">
        <f>VLOOKUP($A16,[1]maaltijden!$A$1:$IV$65536,18,FALSE)</f>
        <v>2</v>
      </c>
      <c r="K16" s="22">
        <f>VLOOKUP($A16,[1]maaltijden!$A$1:$IV$65536,17,FALSE)</f>
        <v>3</v>
      </c>
      <c r="L16" s="22">
        <f>VLOOKUP($A16,[1]maaltijden!$A$1:$IV$65536,20,FALSE)</f>
        <v>2200</v>
      </c>
      <c r="M16" s="22">
        <f>VLOOKUP($A16,[1]maaltijden!$A$1:$IV$65536,22,FALSE)</f>
        <v>2200</v>
      </c>
      <c r="N16" s="134">
        <v>0</v>
      </c>
      <c r="O16" s="21">
        <v>0</v>
      </c>
      <c r="P16" s="19">
        <v>1</v>
      </c>
      <c r="Q16" s="20">
        <v>2</v>
      </c>
      <c r="R16" s="21">
        <v>0</v>
      </c>
      <c r="S16" s="19">
        <v>1</v>
      </c>
      <c r="T16" s="20">
        <v>1</v>
      </c>
      <c r="U16" s="19">
        <v>1</v>
      </c>
      <c r="V16" s="20">
        <v>1</v>
      </c>
      <c r="W16" s="20">
        <v>1</v>
      </c>
      <c r="X16" s="20">
        <v>1</v>
      </c>
      <c r="Y16" s="20">
        <v>1</v>
      </c>
      <c r="Z16" s="20">
        <v>0</v>
      </c>
      <c r="AA16" s="20">
        <v>0</v>
      </c>
      <c r="AB16" s="49">
        <v>0</v>
      </c>
      <c r="AC16" s="49">
        <v>0</v>
      </c>
      <c r="AD16" s="49">
        <v>0</v>
      </c>
      <c r="AE16" s="49">
        <v>0</v>
      </c>
      <c r="AF16" s="49">
        <v>0</v>
      </c>
      <c r="AG16" s="161">
        <v>0</v>
      </c>
      <c r="AH16" s="162">
        <v>2</v>
      </c>
      <c r="AI16" s="162">
        <v>1</v>
      </c>
      <c r="AJ16" s="162">
        <v>0</v>
      </c>
      <c r="AK16" s="162">
        <v>0</v>
      </c>
      <c r="AL16" s="163">
        <v>0</v>
      </c>
      <c r="AM16" s="19">
        <v>0</v>
      </c>
      <c r="AN16" s="20" t="str">
        <f>IFERROR(INDEX([2]lijnopstellingsfiche!$AP$1:$AP$65536,MATCH(A16,[2]lijnopstellingsfiche!$AQ$1:$AQ$65536,0)),"")</f>
        <v>-</v>
      </c>
      <c r="AO16" s="20">
        <v>0</v>
      </c>
      <c r="AP16" s="20">
        <v>0</v>
      </c>
      <c r="AQ16" s="20">
        <v>1</v>
      </c>
      <c r="AR16" s="20">
        <v>1</v>
      </c>
      <c r="AS16" s="20">
        <v>1</v>
      </c>
      <c r="AT16" s="20">
        <v>0</v>
      </c>
      <c r="AU16" s="20">
        <v>0</v>
      </c>
      <c r="AV16" s="23">
        <v>0</v>
      </c>
      <c r="AW16" s="111">
        <v>1</v>
      </c>
      <c r="AX16" s="112">
        <v>0</v>
      </c>
      <c r="AY16" s="112">
        <v>1</v>
      </c>
      <c r="AZ16" s="112">
        <v>1</v>
      </c>
      <c r="BA16" s="112">
        <v>0</v>
      </c>
      <c r="BB16" s="22">
        <v>1</v>
      </c>
      <c r="BC16" s="21">
        <v>0</v>
      </c>
      <c r="BD16" s="200" t="str">
        <f>VLOOKUP($A16,'[3]allergenen 6nr'!$A$1:$O$1310,3,FALSE)</f>
        <v>-</v>
      </c>
      <c r="BE16" s="201" t="str">
        <f>VLOOKUP($A16,'[3]allergenen 6nr'!$A$1:$O$1310,4,FALSE)</f>
        <v>+</v>
      </c>
      <c r="BF16" s="201" t="str">
        <f>VLOOKUP($A16,'[3]allergenen 6nr'!$A$1:$O$1310,5,FALSE)</f>
        <v>+</v>
      </c>
      <c r="BG16" s="201" t="str">
        <f>VLOOKUP($A16,'[3]allergenen 6nr'!$A$1:$O$1310,6,FALSE)</f>
        <v>X</v>
      </c>
      <c r="BH16" s="201" t="str">
        <f>VLOOKUP($A16,'[3]allergenen 6nr'!$A$1:$O$1310,7,FALSE)</f>
        <v>+</v>
      </c>
      <c r="BI16" s="201" t="str">
        <f>VLOOKUP($A16,'[3]allergenen 6nr'!$A$1:$O$1310,8,FALSE)</f>
        <v>X</v>
      </c>
      <c r="BJ16" s="201" t="str">
        <f>VLOOKUP($A16,'[3]allergenen 6nr'!$A$1:$O$1310,9,FALSE)</f>
        <v>X</v>
      </c>
      <c r="BK16" s="201" t="str">
        <f>VLOOKUP($A16,'[3]allergenen 6nr'!$A$1:$O$1310,10,FALSE)</f>
        <v>X</v>
      </c>
      <c r="BL16" s="201" t="str">
        <f>VLOOKUP($A16,'[3]allergenen 6nr'!$A$1:$O$1310,11,FALSE)</f>
        <v>X</v>
      </c>
      <c r="BM16" s="201" t="str">
        <f>VLOOKUP($A16,'[3]allergenen 6nr'!$A$1:$O$1310,12,FALSE)</f>
        <v>-</v>
      </c>
      <c r="BN16" s="201" t="str">
        <f>VLOOKUP($A16,'[3]allergenen 6nr'!$A$1:$O$1310,13,FALSE)</f>
        <v>X</v>
      </c>
      <c r="BO16" s="201" t="str">
        <f>VLOOKUP($A16,'[3]allergenen 6nr'!$A$1:$O$1310,14,FALSE)</f>
        <v>X</v>
      </c>
      <c r="BP16" s="202" t="str">
        <f>VLOOKUP($A16,'[3]allergenen 6nr'!$A$1:$O$1310,15,FALSE)</f>
        <v>X</v>
      </c>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row>
    <row r="17" spans="1:173" x14ac:dyDescent="0.2">
      <c r="A17" s="89">
        <v>61642700</v>
      </c>
      <c r="B17" s="53" t="str">
        <f>VLOOKUP($A17,[1]maaltijden!$A$1:$IV$65536,4,FALSE)</f>
        <v>COLR TAGLIATELLE CARBONARA GROENTEMIX 500G</v>
      </c>
      <c r="C17" s="46" t="str">
        <f>VLOOKUP($A17,[1]maaltijden!$A$1:$IV$65536,7,FALSE)</f>
        <v>C2227-1E</v>
      </c>
      <c r="D17" s="22" t="str">
        <f>VLOOKUP($A17,[1]maaltijden!$A$1:$IV$65536,10,FALSE)</f>
        <v>H10</v>
      </c>
      <c r="E17" s="22" t="str">
        <f>VLOOKUP($A17,[1]maaltijden!$A$1:$IV$65536,13,FALSE)</f>
        <v>H10X8</v>
      </c>
      <c r="F17" s="20">
        <f t="shared" si="0"/>
        <v>0</v>
      </c>
      <c r="G17" s="20" t="str">
        <f>VLOOKUP($A17,[1]maaltijden!$A$1:$IV$65536,27,FALSE)</f>
        <v>! !</v>
      </c>
      <c r="H17" s="22">
        <f>VLOOKUP($A17,[1]maaltijden!$A$1:$IV$65536,21,FALSE)</f>
        <v>5</v>
      </c>
      <c r="I17" s="22">
        <f>VLOOKUP($A17,[1]maaltijden!$A$1:$IV$65536,21,FALSE)</f>
        <v>5</v>
      </c>
      <c r="J17" s="22">
        <f>VLOOKUP($A17,[1]maaltijden!$A$1:$IV$65536,18,FALSE)</f>
        <v>2</v>
      </c>
      <c r="K17" s="22">
        <f>VLOOKUP($A17,[1]maaltijden!$A$1:$IV$65536,17,FALSE)</f>
        <v>3</v>
      </c>
      <c r="L17" s="22">
        <f>VLOOKUP($A17,[1]maaltijden!$A$1:$IV$65536,20,FALSE)</f>
        <v>2200</v>
      </c>
      <c r="M17" s="22">
        <f>VLOOKUP($A17,[1]maaltijden!$A$1:$IV$65536,22,FALSE)</f>
        <v>2200</v>
      </c>
      <c r="N17" s="134">
        <v>0</v>
      </c>
      <c r="O17" s="21">
        <v>0</v>
      </c>
      <c r="P17" s="19">
        <v>1</v>
      </c>
      <c r="Q17" s="20">
        <v>2</v>
      </c>
      <c r="R17" s="21">
        <v>0</v>
      </c>
      <c r="S17" s="19">
        <v>1</v>
      </c>
      <c r="T17" s="20">
        <v>1</v>
      </c>
      <c r="U17" s="19">
        <v>1</v>
      </c>
      <c r="V17" s="20">
        <v>1</v>
      </c>
      <c r="W17" s="20">
        <v>1</v>
      </c>
      <c r="X17" s="20">
        <v>1</v>
      </c>
      <c r="Y17" s="20">
        <v>1</v>
      </c>
      <c r="Z17" s="20">
        <v>0</v>
      </c>
      <c r="AA17" s="20">
        <v>0</v>
      </c>
      <c r="AB17" s="49">
        <v>0</v>
      </c>
      <c r="AC17" s="49">
        <v>0</v>
      </c>
      <c r="AD17" s="49">
        <v>0</v>
      </c>
      <c r="AE17" s="49">
        <v>0</v>
      </c>
      <c r="AF17" s="49">
        <v>0</v>
      </c>
      <c r="AG17" s="161">
        <v>1</v>
      </c>
      <c r="AH17" s="162">
        <v>2</v>
      </c>
      <c r="AI17" s="162">
        <v>1</v>
      </c>
      <c r="AJ17" s="162">
        <v>1</v>
      </c>
      <c r="AK17" s="162">
        <v>0</v>
      </c>
      <c r="AL17" s="163">
        <v>0</v>
      </c>
      <c r="AM17" s="19">
        <v>1</v>
      </c>
      <c r="AN17" s="20" t="str">
        <f>IFERROR(INDEX([2]lijnopstellingsfiche!$AP$1:$AP$65536,MATCH(A17,[2]lijnopstellingsfiche!$AQ$1:$AQ$65536,0)),"")</f>
        <v>-</v>
      </c>
      <c r="AO17" s="20">
        <v>0</v>
      </c>
      <c r="AP17" s="20">
        <v>1</v>
      </c>
      <c r="AQ17" s="20">
        <v>2</v>
      </c>
      <c r="AR17" s="20">
        <v>0</v>
      </c>
      <c r="AS17" s="20">
        <v>0</v>
      </c>
      <c r="AT17" s="20">
        <v>0</v>
      </c>
      <c r="AU17" s="20">
        <v>0</v>
      </c>
      <c r="AV17" s="23">
        <v>0</v>
      </c>
      <c r="AW17" s="111">
        <v>1</v>
      </c>
      <c r="AX17" s="112">
        <v>0</v>
      </c>
      <c r="AY17" s="112">
        <v>1</v>
      </c>
      <c r="AZ17" s="112">
        <v>1</v>
      </c>
      <c r="BA17" s="112">
        <v>0</v>
      </c>
      <c r="BB17" s="22">
        <v>1</v>
      </c>
      <c r="BC17" s="21">
        <v>0</v>
      </c>
      <c r="BD17" s="200" t="str">
        <f>VLOOKUP($A17,'[3]allergenen 6nr'!$A$1:$O$1310,3,FALSE)</f>
        <v>-</v>
      </c>
      <c r="BE17" s="201" t="str">
        <f>VLOOKUP($A17,'[3]allergenen 6nr'!$A$1:$O$1310,4,FALSE)</f>
        <v>+</v>
      </c>
      <c r="BF17" s="201" t="str">
        <f>VLOOKUP($A17,'[3]allergenen 6nr'!$A$1:$O$1310,5,FALSE)</f>
        <v>+</v>
      </c>
      <c r="BG17" s="201" t="str">
        <f>VLOOKUP($A17,'[3]allergenen 6nr'!$A$1:$O$1310,6,FALSE)</f>
        <v>X</v>
      </c>
      <c r="BH17" s="201" t="str">
        <f>VLOOKUP($A17,'[3]allergenen 6nr'!$A$1:$O$1310,7,FALSE)</f>
        <v>+</v>
      </c>
      <c r="BI17" s="201" t="str">
        <f>VLOOKUP($A17,'[3]allergenen 6nr'!$A$1:$O$1310,8,FALSE)</f>
        <v>X</v>
      </c>
      <c r="BJ17" s="201" t="str">
        <f>VLOOKUP($A17,'[3]allergenen 6nr'!$A$1:$O$1310,9,FALSE)</f>
        <v>-</v>
      </c>
      <c r="BK17" s="201" t="str">
        <f>VLOOKUP($A17,'[3]allergenen 6nr'!$A$1:$O$1310,10,FALSE)</f>
        <v>-</v>
      </c>
      <c r="BL17" s="201" t="str">
        <f>VLOOKUP($A17,'[3]allergenen 6nr'!$A$1:$O$1310,11,FALSE)</f>
        <v>-</v>
      </c>
      <c r="BM17" s="201" t="str">
        <f>VLOOKUP($A17,'[3]allergenen 6nr'!$A$1:$O$1310,12,FALSE)</f>
        <v>-</v>
      </c>
      <c r="BN17" s="201" t="str">
        <f>VLOOKUP($A17,'[3]allergenen 6nr'!$A$1:$O$1310,13,FALSE)</f>
        <v>X</v>
      </c>
      <c r="BO17" s="201" t="str">
        <f>VLOOKUP($A17,'[3]allergenen 6nr'!$A$1:$O$1310,14,FALSE)</f>
        <v>-</v>
      </c>
      <c r="BP17" s="202" t="str">
        <f>VLOOKUP($A17,'[3]allergenen 6nr'!$A$1:$O$1310,15,FALSE)</f>
        <v>-</v>
      </c>
    </row>
    <row r="18" spans="1:173" s="92" customFormat="1" x14ac:dyDescent="0.2">
      <c r="A18" s="89">
        <v>61642800</v>
      </c>
      <c r="B18" s="53" t="str">
        <f>VLOOKUP($A18,[1]maaltijden!$A$1:$IV$65536,4,FALSE)</f>
        <v>COLR KIP CURRY BASMATI GROENE GROENTEN 500g</v>
      </c>
      <c r="C18" s="46" t="str">
        <f>VLOOKUP($A18,[1]maaltijden!$A$1:$IV$65536,7,FALSE)</f>
        <v>C2227-2X</v>
      </c>
      <c r="D18" s="22" t="str">
        <f>VLOOKUP($A18,[1]maaltijden!$A$1:$IV$65536,10,FALSE)</f>
        <v>H10</v>
      </c>
      <c r="E18" s="22" t="str">
        <f>VLOOKUP($A18,[1]maaltijden!$A$1:$IV$65536,13,FALSE)</f>
        <v>H10X8</v>
      </c>
      <c r="F18" s="20">
        <f t="shared" si="0"/>
        <v>0</v>
      </c>
      <c r="G18" s="91" t="str">
        <f>VLOOKUP($A18,[1]maaltijden!$A$1:$IV$65536,27,FALSE)</f>
        <v>! !</v>
      </c>
      <c r="H18" s="22">
        <f>VLOOKUP($A18,[1]maaltijden!$A$1:$IV$65536,21,FALSE)</f>
        <v>6</v>
      </c>
      <c r="I18" s="22">
        <f>VLOOKUP($A18,[1]maaltijden!$A$1:$IV$65536,21,FALSE)</f>
        <v>6</v>
      </c>
      <c r="J18" s="22">
        <f>VLOOKUP($A18,[1]maaltijden!$A$1:$IV$65536,18,FALSE)</f>
        <v>2</v>
      </c>
      <c r="K18" s="22">
        <f>VLOOKUP($A18,[1]maaltijden!$A$1:$IV$65536,17,FALSE)</f>
        <v>3</v>
      </c>
      <c r="L18" s="22">
        <f>VLOOKUP($A18,[1]maaltijden!$A$1:$IV$65536,20,FALSE)</f>
        <v>2200</v>
      </c>
      <c r="M18" s="22">
        <f>VLOOKUP($A18,[1]maaltijden!$A$1:$IV$65536,22,FALSE)</f>
        <v>2200</v>
      </c>
      <c r="N18" s="134">
        <v>0</v>
      </c>
      <c r="O18" s="21">
        <v>0</v>
      </c>
      <c r="P18" s="19">
        <v>1</v>
      </c>
      <c r="Q18" s="20">
        <v>2</v>
      </c>
      <c r="R18" s="21">
        <v>0</v>
      </c>
      <c r="S18" s="19">
        <v>1</v>
      </c>
      <c r="T18" s="20">
        <v>1</v>
      </c>
      <c r="U18" s="19">
        <v>1</v>
      </c>
      <c r="V18" s="20">
        <v>1</v>
      </c>
      <c r="W18" s="20">
        <v>1</v>
      </c>
      <c r="X18" s="20">
        <v>1</v>
      </c>
      <c r="Y18" s="20">
        <v>1</v>
      </c>
      <c r="Z18" s="20">
        <v>0</v>
      </c>
      <c r="AA18" s="20">
        <v>0</v>
      </c>
      <c r="AB18" s="49">
        <v>0</v>
      </c>
      <c r="AC18" s="49">
        <v>0</v>
      </c>
      <c r="AD18" s="49">
        <v>0</v>
      </c>
      <c r="AE18" s="49">
        <v>0</v>
      </c>
      <c r="AF18" s="49">
        <v>0</v>
      </c>
      <c r="AG18" s="161">
        <v>1</v>
      </c>
      <c r="AH18" s="162">
        <v>1</v>
      </c>
      <c r="AI18" s="162">
        <v>0</v>
      </c>
      <c r="AJ18" s="162">
        <v>1</v>
      </c>
      <c r="AK18" s="162">
        <v>0</v>
      </c>
      <c r="AL18" s="163">
        <v>0</v>
      </c>
      <c r="AM18" s="19">
        <v>1</v>
      </c>
      <c r="AN18" s="20" t="str">
        <f>IFERROR(INDEX([2]lijnopstellingsfiche!$AP$1:$AP$65536,MATCH(A18,[2]lijnopstellingsfiche!$AQ$1:$AQ$65536,0)),"")</f>
        <v>-</v>
      </c>
      <c r="AO18" s="20">
        <v>0</v>
      </c>
      <c r="AP18" s="20">
        <v>0</v>
      </c>
      <c r="AQ18" s="20">
        <v>1</v>
      </c>
      <c r="AR18" s="20">
        <v>0</v>
      </c>
      <c r="AS18" s="20">
        <v>1</v>
      </c>
      <c r="AT18" s="20">
        <v>0</v>
      </c>
      <c r="AU18" s="20">
        <v>0</v>
      </c>
      <c r="AV18" s="23">
        <v>0</v>
      </c>
      <c r="AW18" s="111">
        <v>1</v>
      </c>
      <c r="AX18" s="112">
        <v>0</v>
      </c>
      <c r="AY18" s="112">
        <v>1</v>
      </c>
      <c r="AZ18" s="112">
        <v>1</v>
      </c>
      <c r="BA18" s="112">
        <v>0</v>
      </c>
      <c r="BB18" s="22">
        <v>1</v>
      </c>
      <c r="BC18" s="21">
        <v>0</v>
      </c>
      <c r="BD18" s="200" t="str">
        <f>VLOOKUP($A18,'[3]allergenen 6nr'!$A$1:$O$1310,3,FALSE)</f>
        <v>-</v>
      </c>
      <c r="BE18" s="201" t="str">
        <f>VLOOKUP($A18,'[3]allergenen 6nr'!$A$1:$O$1310,4,FALSE)</f>
        <v>X</v>
      </c>
      <c r="BF18" s="201" t="str">
        <f>VLOOKUP($A18,'[3]allergenen 6nr'!$A$1:$O$1310,5,FALSE)</f>
        <v>+</v>
      </c>
      <c r="BG18" s="201" t="str">
        <f>VLOOKUP($A18,'[3]allergenen 6nr'!$A$1:$O$1310,6,FALSE)</f>
        <v>X</v>
      </c>
      <c r="BH18" s="201" t="str">
        <f>VLOOKUP($A18,'[3]allergenen 6nr'!$A$1:$O$1310,7,FALSE)</f>
        <v>+</v>
      </c>
      <c r="BI18" s="201" t="str">
        <f>VLOOKUP($A18,'[3]allergenen 6nr'!$A$1:$O$1310,8,FALSE)</f>
        <v>X</v>
      </c>
      <c r="BJ18" s="201" t="str">
        <f>VLOOKUP($A18,'[3]allergenen 6nr'!$A$1:$O$1310,9,FALSE)</f>
        <v>-</v>
      </c>
      <c r="BK18" s="201" t="str">
        <f>VLOOKUP($A18,'[3]allergenen 6nr'!$A$1:$O$1310,10,FALSE)</f>
        <v>-</v>
      </c>
      <c r="BL18" s="201" t="str">
        <f>VLOOKUP($A18,'[3]allergenen 6nr'!$A$1:$O$1310,11,FALSE)</f>
        <v>-</v>
      </c>
      <c r="BM18" s="201" t="str">
        <f>VLOOKUP($A18,'[3]allergenen 6nr'!$A$1:$O$1310,12,FALSE)</f>
        <v>-</v>
      </c>
      <c r="BN18" s="201" t="str">
        <f>VLOOKUP($A18,'[3]allergenen 6nr'!$A$1:$O$1310,13,FALSE)</f>
        <v>X</v>
      </c>
      <c r="BO18" s="201" t="str">
        <f>VLOOKUP($A18,'[3]allergenen 6nr'!$A$1:$O$1310,14,FALSE)</f>
        <v>-</v>
      </c>
      <c r="BP18" s="202" t="str">
        <f>VLOOKUP($A18,'[3]allergenen 6nr'!$A$1:$O$1310,15,FALSE)</f>
        <v>-</v>
      </c>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row>
    <row r="19" spans="1:173" x14ac:dyDescent="0.2">
      <c r="A19" s="89">
        <v>61659300</v>
      </c>
      <c r="B19" s="53" t="str">
        <f>VLOOKUP($A19,[1]maaltijden!$A$1:$IV$65536,4,FALSE)</f>
        <v>ALDI BE RUNDSTONG BR MADEIRASAUS 750G</v>
      </c>
      <c r="C19" s="46" t="str">
        <f>VLOOKUP($A19,[1]maaltijden!$A$1:$IV$65536,7,FALSE)</f>
        <v>C2227-1E</v>
      </c>
      <c r="D19" s="22" t="str">
        <f>VLOOKUP($A19,[1]maaltijden!$A$1:$IV$65536,10,FALSE)</f>
        <v>H10</v>
      </c>
      <c r="E19" s="22" t="str">
        <f>VLOOKUP($A19,[1]maaltijden!$A$1:$IV$65536,13,FALSE)</f>
        <v>H10x18</v>
      </c>
      <c r="F19" s="20">
        <f t="shared" si="0"/>
        <v>0</v>
      </c>
      <c r="G19" s="20" t="str">
        <f>VLOOKUP($A19,[1]maaltijden!$A$1:$IV$65536,27,FALSE)</f>
        <v>! ! !</v>
      </c>
      <c r="H19" s="22">
        <f>VLOOKUP($A19,[1]maaltijden!$A$1:$IV$65536,21,FALSE)</f>
        <v>5</v>
      </c>
      <c r="I19" s="22">
        <f>VLOOKUP($A19,[1]maaltijden!$A$1:$IV$65536,21,FALSE)</f>
        <v>5</v>
      </c>
      <c r="J19" s="22">
        <f>VLOOKUP($A19,[1]maaltijden!$A$1:$IV$65536,18,FALSE)</f>
        <v>2</v>
      </c>
      <c r="K19" s="22">
        <f>VLOOKUP($A19,[1]maaltijden!$A$1:$IV$65536,17,FALSE)</f>
        <v>2</v>
      </c>
      <c r="L19" s="22">
        <f>VLOOKUP($A19,[1]maaltijden!$A$1:$IV$65536,20,FALSE)</f>
        <v>2000</v>
      </c>
      <c r="M19" s="22">
        <v>2000</v>
      </c>
      <c r="N19" s="135" t="s">
        <v>351</v>
      </c>
      <c r="O19" s="21">
        <v>0</v>
      </c>
      <c r="P19" s="19">
        <v>1</v>
      </c>
      <c r="Q19" s="20">
        <v>0</v>
      </c>
      <c r="R19" s="21">
        <v>0</v>
      </c>
      <c r="S19" s="19">
        <v>1</v>
      </c>
      <c r="T19" s="20">
        <v>0</v>
      </c>
      <c r="U19" s="19">
        <v>0</v>
      </c>
      <c r="V19" s="20">
        <v>1</v>
      </c>
      <c r="W19" s="20">
        <v>1</v>
      </c>
      <c r="X19" s="20">
        <v>1</v>
      </c>
      <c r="Y19" s="20">
        <v>1</v>
      </c>
      <c r="Z19" s="20">
        <v>0</v>
      </c>
      <c r="AA19" s="20">
        <v>1</v>
      </c>
      <c r="AB19" s="49">
        <v>0</v>
      </c>
      <c r="AC19" s="49">
        <v>0</v>
      </c>
      <c r="AD19" s="49">
        <v>0</v>
      </c>
      <c r="AE19" s="49">
        <v>1</v>
      </c>
      <c r="AF19" s="49">
        <v>0</v>
      </c>
      <c r="AG19" s="161">
        <v>0</v>
      </c>
      <c r="AH19" s="162">
        <v>0</v>
      </c>
      <c r="AI19" s="162">
        <v>3</v>
      </c>
      <c r="AJ19" s="162">
        <v>0</v>
      </c>
      <c r="AK19" s="162">
        <v>0</v>
      </c>
      <c r="AL19" s="163">
        <v>0</v>
      </c>
      <c r="AM19" s="19">
        <v>0</v>
      </c>
      <c r="AN19" s="20" t="str">
        <f>IFERROR(INDEX([2]lijnopstellingsfiche!$AP$1:$AP$65536,MATCH(A19,[2]lijnopstellingsfiche!$AQ$1:$AQ$65536,0)),"")</f>
        <v>-</v>
      </c>
      <c r="AO19" s="20">
        <v>0</v>
      </c>
      <c r="AP19" s="20">
        <v>0</v>
      </c>
      <c r="AQ19" s="20">
        <v>2</v>
      </c>
      <c r="AR19" s="20">
        <v>0</v>
      </c>
      <c r="AS19" s="20">
        <v>1</v>
      </c>
      <c r="AT19" s="20">
        <v>0</v>
      </c>
      <c r="AU19" s="20">
        <v>0</v>
      </c>
      <c r="AV19" s="23">
        <v>0</v>
      </c>
      <c r="AW19" s="111">
        <v>1</v>
      </c>
      <c r="AX19" s="112">
        <v>0</v>
      </c>
      <c r="AY19" s="112">
        <v>1</v>
      </c>
      <c r="AZ19" s="112">
        <v>1</v>
      </c>
      <c r="BA19" s="112">
        <v>0</v>
      </c>
      <c r="BB19" s="22">
        <v>1</v>
      </c>
      <c r="BC19" s="21">
        <v>0</v>
      </c>
      <c r="BD19" s="200" t="str">
        <f>VLOOKUP($A19,'[3]allergenen 6nr'!$A$1:$O$1310,3,FALSE)</f>
        <v>-</v>
      </c>
      <c r="BE19" s="201" t="str">
        <f>VLOOKUP($A19,'[3]allergenen 6nr'!$A$1:$O$1310,4,FALSE)</f>
        <v>-</v>
      </c>
      <c r="BF19" s="201" t="str">
        <f>VLOOKUP($A19,'[3]allergenen 6nr'!$A$1:$O$1310,5,FALSE)</f>
        <v>+</v>
      </c>
      <c r="BG19" s="201" t="str">
        <f>VLOOKUP($A19,'[3]allergenen 6nr'!$A$1:$O$1310,6,FALSE)</f>
        <v>X</v>
      </c>
      <c r="BH19" s="201" t="str">
        <f>VLOOKUP($A19,'[3]allergenen 6nr'!$A$1:$O$1310,7,FALSE)</f>
        <v>-</v>
      </c>
      <c r="BI19" s="201" t="str">
        <f>VLOOKUP($A19,'[3]allergenen 6nr'!$A$1:$O$1310,8,FALSE)</f>
        <v>X</v>
      </c>
      <c r="BJ19" s="201" t="str">
        <f>VLOOKUP($A19,'[3]allergenen 6nr'!$A$1:$O$1310,9,FALSE)</f>
        <v>-</v>
      </c>
      <c r="BK19" s="201" t="str">
        <f>VLOOKUP($A19,'[3]allergenen 6nr'!$A$1:$O$1310,10,FALSE)</f>
        <v>-</v>
      </c>
      <c r="BL19" s="201" t="str">
        <f>VLOOKUP($A19,'[3]allergenen 6nr'!$A$1:$O$1310,11,FALSE)</f>
        <v>+</v>
      </c>
      <c r="BM19" s="201" t="str">
        <f>VLOOKUP($A19,'[3]allergenen 6nr'!$A$1:$O$1310,12,FALSE)</f>
        <v>-</v>
      </c>
      <c r="BN19" s="201" t="str">
        <f>VLOOKUP($A19,'[3]allergenen 6nr'!$A$1:$O$1310,13,FALSE)</f>
        <v>X</v>
      </c>
      <c r="BO19" s="201" t="str">
        <f>VLOOKUP($A19,'[3]allergenen 6nr'!$A$1:$O$1310,14,FALSE)</f>
        <v>-</v>
      </c>
      <c r="BP19" s="202" t="str">
        <f>VLOOKUP($A19,'[3]allergenen 6nr'!$A$1:$O$1310,15,FALSE)</f>
        <v>-</v>
      </c>
    </row>
    <row r="20" spans="1:173" x14ac:dyDescent="0.2">
      <c r="A20" s="89">
        <v>61672000</v>
      </c>
      <c r="B20" s="53" t="str">
        <f>VLOOKUP($A20,[1]maaltijden!$A$1:$IV$65536,4,FALSE)</f>
        <v>APETITO EW AVV BAMI GORENG KIPSATE 475G</v>
      </c>
      <c r="C20" s="46" t="str">
        <f>VLOOKUP($A20,[1]maaltijden!$A$1:$IV$65536,7,FALSE)</f>
        <v>C2227-2X WIT</v>
      </c>
      <c r="D20" s="22" t="str">
        <f>VLOOKUP($A20,[1]maaltijden!$A$1:$IV$65536,10,FALSE)</f>
        <v>NVT</v>
      </c>
      <c r="E20" s="22" t="str">
        <f>VLOOKUP($A20,[1]maaltijden!$A$1:$IV$65536,13,FALSE)</f>
        <v>C2227X8</v>
      </c>
      <c r="F20" s="20">
        <f t="shared" si="0"/>
        <v>0</v>
      </c>
      <c r="G20" s="20" t="str">
        <f>VLOOKUP($A20,[1]maaltijden!$A$1:$IV$65536,27,FALSE)</f>
        <v>X</v>
      </c>
      <c r="H20" s="22">
        <f>VLOOKUP($A20,[1]maaltijden!$A$1:$IV$65536,21,FALSE)</f>
        <v>5</v>
      </c>
      <c r="I20" s="22">
        <v>9</v>
      </c>
      <c r="J20" s="22">
        <f>VLOOKUP($A20,[1]maaltijden!$A$1:$IV$65536,18,FALSE)</f>
        <v>3</v>
      </c>
      <c r="K20" s="22">
        <f>VLOOKUP($A20,[1]maaltijden!$A$1:$IV$65536,17,FALSE)</f>
        <v>3</v>
      </c>
      <c r="L20" s="22">
        <f>VLOOKUP($A20,[1]maaltijden!$A$1:$IV$65536,20,FALSE)</f>
        <v>2200</v>
      </c>
      <c r="M20" s="22">
        <v>2001</v>
      </c>
      <c r="N20" s="135" t="s">
        <v>468</v>
      </c>
      <c r="O20" s="21">
        <v>0</v>
      </c>
      <c r="P20" s="19">
        <v>0</v>
      </c>
      <c r="Q20" s="20">
        <v>1</v>
      </c>
      <c r="R20" s="21">
        <v>0</v>
      </c>
      <c r="S20" s="19">
        <v>0</v>
      </c>
      <c r="T20" s="20">
        <v>1</v>
      </c>
      <c r="U20" s="19">
        <v>1</v>
      </c>
      <c r="V20" s="20">
        <v>1</v>
      </c>
      <c r="W20" s="20">
        <v>1</v>
      </c>
      <c r="X20" s="20">
        <v>1</v>
      </c>
      <c r="Y20" s="20">
        <v>1</v>
      </c>
      <c r="Z20" s="20">
        <v>0</v>
      </c>
      <c r="AA20" s="20">
        <v>0</v>
      </c>
      <c r="AB20" s="49">
        <v>0</v>
      </c>
      <c r="AC20" s="49">
        <v>1</v>
      </c>
      <c r="AD20" s="49">
        <v>1</v>
      </c>
      <c r="AE20" s="49">
        <v>0</v>
      </c>
      <c r="AF20" s="49">
        <v>0</v>
      </c>
      <c r="AG20" s="173">
        <v>1</v>
      </c>
      <c r="AH20" s="174">
        <v>1</v>
      </c>
      <c r="AI20" s="174">
        <v>1</v>
      </c>
      <c r="AJ20" s="174">
        <v>1</v>
      </c>
      <c r="AK20" s="174">
        <v>0</v>
      </c>
      <c r="AL20" s="175">
        <v>0</v>
      </c>
      <c r="AM20" s="19">
        <v>0</v>
      </c>
      <c r="AN20" s="20">
        <f>IFERROR(INDEX([2]lijnopstellingsfiche!$AP$1:$AP$65536,MATCH(A20,[2]lijnopstellingsfiche!$AQ$1:$AQ$65536,0)),"")</f>
        <v>1</v>
      </c>
      <c r="AO20" s="20">
        <v>1</v>
      </c>
      <c r="AP20" s="20">
        <v>0</v>
      </c>
      <c r="AQ20" s="20">
        <v>1</v>
      </c>
      <c r="AR20" s="20">
        <v>0</v>
      </c>
      <c r="AS20" s="20">
        <v>0</v>
      </c>
      <c r="AT20" s="20">
        <v>1</v>
      </c>
      <c r="AU20" s="20">
        <v>0</v>
      </c>
      <c r="AV20" s="23">
        <v>0</v>
      </c>
      <c r="AW20" s="111">
        <v>0</v>
      </c>
      <c r="AX20" s="112">
        <v>0</v>
      </c>
      <c r="AY20" s="112">
        <v>0</v>
      </c>
      <c r="AZ20" s="112">
        <v>0</v>
      </c>
      <c r="BA20" s="112">
        <v>1</v>
      </c>
      <c r="BB20" s="22">
        <v>0</v>
      </c>
      <c r="BC20" s="21">
        <v>0</v>
      </c>
      <c r="BD20" s="200"/>
      <c r="BE20" s="201"/>
      <c r="BF20" s="201"/>
      <c r="BG20" s="201"/>
      <c r="BH20" s="201"/>
      <c r="BI20" s="201"/>
      <c r="BJ20" s="201"/>
      <c r="BK20" s="201"/>
      <c r="BL20" s="201"/>
      <c r="BM20" s="201"/>
      <c r="BN20" s="201"/>
      <c r="BO20" s="201"/>
      <c r="BP20" s="202"/>
    </row>
    <row r="21" spans="1:173" s="92" customFormat="1" x14ac:dyDescent="0.2">
      <c r="A21" s="89">
        <v>61672100</v>
      </c>
      <c r="B21" s="53" t="str">
        <f>VLOOKUP($A21,[1]maaltijden!$A$1:$IV$65536,4,FALSE)</f>
        <v>APETITO EW AVV NASI GORENG KIPSATE 475G</v>
      </c>
      <c r="C21" s="46" t="str">
        <f>VLOOKUP($A21,[1]maaltijden!$A$1:$IV$65536,7,FALSE)</f>
        <v>C2227-2X WIT</v>
      </c>
      <c r="D21" s="22" t="str">
        <f>VLOOKUP($A21,[1]maaltijden!$A$1:$IV$65536,10,FALSE)</f>
        <v>NVT</v>
      </c>
      <c r="E21" s="22" t="str">
        <f>VLOOKUP($A21,[1]maaltijden!$A$1:$IV$65536,13,FALSE)</f>
        <v>C2227X8</v>
      </c>
      <c r="F21" s="20">
        <f t="shared" si="0"/>
        <v>0</v>
      </c>
      <c r="G21" s="91" t="str">
        <f>VLOOKUP($A21,[1]maaltijden!$A$1:$IV$65536,27,FALSE)</f>
        <v>X</v>
      </c>
      <c r="H21" s="22">
        <f>VLOOKUP($A21,[1]maaltijden!$A$1:$IV$65536,21,FALSE)</f>
        <v>5</v>
      </c>
      <c r="I21" s="22">
        <f>VLOOKUP($A21,[1]maaltijden!$A$1:$IV$65536,21,FALSE)</f>
        <v>5</v>
      </c>
      <c r="J21" s="22">
        <f>VLOOKUP($A21,[1]maaltijden!$A$1:$IV$65536,18,FALSE)</f>
        <v>3</v>
      </c>
      <c r="K21" s="22">
        <f>VLOOKUP($A21,[1]maaltijden!$A$1:$IV$65536,17,FALSE)</f>
        <v>3</v>
      </c>
      <c r="L21" s="22" t="s">
        <v>33</v>
      </c>
      <c r="M21" s="22">
        <f>VLOOKUP($A21,[1]maaltijden!$A$1:$IV$65536,22,FALSE)</f>
        <v>2200</v>
      </c>
      <c r="N21" s="135"/>
      <c r="O21" s="21">
        <v>0</v>
      </c>
      <c r="P21" s="19">
        <v>0</v>
      </c>
      <c r="Q21" s="20">
        <v>1</v>
      </c>
      <c r="R21" s="21">
        <v>0</v>
      </c>
      <c r="S21" s="19">
        <v>0</v>
      </c>
      <c r="T21" s="20">
        <v>1</v>
      </c>
      <c r="U21" s="19">
        <v>1</v>
      </c>
      <c r="V21" s="20">
        <v>1</v>
      </c>
      <c r="W21" s="20">
        <v>1</v>
      </c>
      <c r="X21" s="20">
        <v>1</v>
      </c>
      <c r="Y21" s="20">
        <v>1</v>
      </c>
      <c r="Z21" s="20">
        <v>0</v>
      </c>
      <c r="AA21" s="20">
        <v>0</v>
      </c>
      <c r="AB21" s="49">
        <v>0</v>
      </c>
      <c r="AC21" s="49">
        <v>1</v>
      </c>
      <c r="AD21" s="49">
        <v>1</v>
      </c>
      <c r="AE21" s="49">
        <v>0</v>
      </c>
      <c r="AF21" s="49">
        <v>0</v>
      </c>
      <c r="AG21" s="161">
        <v>1</v>
      </c>
      <c r="AH21" s="162">
        <v>1</v>
      </c>
      <c r="AI21" s="162">
        <v>1</v>
      </c>
      <c r="AJ21" s="162">
        <v>1</v>
      </c>
      <c r="AK21" s="162">
        <v>0</v>
      </c>
      <c r="AL21" s="163">
        <v>0</v>
      </c>
      <c r="AM21" s="19">
        <v>0</v>
      </c>
      <c r="AN21" s="20">
        <f>IFERROR(INDEX([2]lijnopstellingsfiche!$AP$1:$AP$65536,MATCH(A21,[2]lijnopstellingsfiche!$AQ$1:$AQ$65536,0)),"")</f>
        <v>1</v>
      </c>
      <c r="AO21" s="20">
        <v>1</v>
      </c>
      <c r="AP21" s="20">
        <v>0</v>
      </c>
      <c r="AQ21" s="20">
        <v>1</v>
      </c>
      <c r="AR21" s="20">
        <v>0</v>
      </c>
      <c r="AS21" s="20">
        <v>0</v>
      </c>
      <c r="AT21" s="20">
        <v>1</v>
      </c>
      <c r="AU21" s="20">
        <v>0</v>
      </c>
      <c r="AV21" s="23">
        <v>0</v>
      </c>
      <c r="AW21" s="111">
        <v>0</v>
      </c>
      <c r="AX21" s="112">
        <v>0</v>
      </c>
      <c r="AY21" s="112">
        <v>0</v>
      </c>
      <c r="AZ21" s="112">
        <v>0</v>
      </c>
      <c r="BA21" s="112">
        <v>1</v>
      </c>
      <c r="BB21" s="22">
        <v>0</v>
      </c>
      <c r="BC21" s="21">
        <v>0</v>
      </c>
      <c r="BD21" s="200" t="str">
        <f>VLOOKUP($A21,'[3]allergenen 6nr'!$A$1:$O$1310,3,FALSE)</f>
        <v>+</v>
      </c>
      <c r="BE21" s="201" t="str">
        <f>VLOOKUP($A21,'[3]allergenen 6nr'!$A$1:$O$1310,4,FALSE)</f>
        <v>+</v>
      </c>
      <c r="BF21" s="201" t="str">
        <f>VLOOKUP($A21,'[3]allergenen 6nr'!$A$1:$O$1310,5,FALSE)</f>
        <v>+</v>
      </c>
      <c r="BG21" s="201" t="str">
        <f>VLOOKUP($A21,'[3]allergenen 6nr'!$A$1:$O$1310,6,FALSE)</f>
        <v>-</v>
      </c>
      <c r="BH21" s="201" t="str">
        <f>VLOOKUP($A21,'[3]allergenen 6nr'!$A$1:$O$1310,7,FALSE)</f>
        <v>-</v>
      </c>
      <c r="BI21" s="201" t="str">
        <f>VLOOKUP($A21,'[3]allergenen 6nr'!$A$1:$O$1310,8,FALSE)</f>
        <v>-</v>
      </c>
      <c r="BJ21" s="201" t="str">
        <f>VLOOKUP($A21,'[3]allergenen 6nr'!$A$1:$O$1310,9,FALSE)</f>
        <v>-</v>
      </c>
      <c r="BK21" s="201" t="str">
        <f>VLOOKUP($A21,'[3]allergenen 6nr'!$A$1:$O$1310,10,FALSE)</f>
        <v>-</v>
      </c>
      <c r="BL21" s="201" t="str">
        <f>VLOOKUP($A21,'[3]allergenen 6nr'!$A$1:$O$1310,11,FALSE)</f>
        <v>+</v>
      </c>
      <c r="BM21" s="201" t="str">
        <f>VLOOKUP($A21,'[3]allergenen 6nr'!$A$1:$O$1310,12,FALSE)</f>
        <v>-</v>
      </c>
      <c r="BN21" s="201" t="str">
        <f>VLOOKUP($A21,'[3]allergenen 6nr'!$A$1:$O$1310,13,FALSE)</f>
        <v>+</v>
      </c>
      <c r="BO21" s="201" t="str">
        <f>VLOOKUP($A21,'[3]allergenen 6nr'!$A$1:$O$1310,14,FALSE)</f>
        <v>-</v>
      </c>
      <c r="BP21" s="202" t="str">
        <f>VLOOKUP($A21,'[3]allergenen 6nr'!$A$1:$O$1310,15,FALSE)</f>
        <v>-</v>
      </c>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row>
    <row r="22" spans="1:173" x14ac:dyDescent="0.2">
      <c r="A22" s="89">
        <v>61672200</v>
      </c>
      <c r="B22" s="53" t="str">
        <f>VLOOKUP($A22,[1]maaltijden!$A$1:$IV$65536,4,FALSE)</f>
        <v>APETITO EW AVV BAMI GORENG KIPSATE NA ARM 475G</v>
      </c>
      <c r="C22" s="46" t="str">
        <f>VLOOKUP($A22,[1]maaltijden!$A$1:$IV$65536,7,FALSE)</f>
        <v>C2227-2X WIT</v>
      </c>
      <c r="D22" s="22" t="str">
        <f>VLOOKUP($A22,[1]maaltijden!$A$1:$IV$65536,10,FALSE)</f>
        <v>NVT</v>
      </c>
      <c r="E22" s="22" t="str">
        <f>VLOOKUP($A22,[1]maaltijden!$A$1:$IV$65536,13,FALSE)</f>
        <v>C2227X8</v>
      </c>
      <c r="F22" s="20">
        <f t="shared" si="0"/>
        <v>0</v>
      </c>
      <c r="G22" s="20" t="str">
        <f>VLOOKUP($A22,[1]maaltijden!$A$1:$IV$65536,27,FALSE)</f>
        <v>X</v>
      </c>
      <c r="H22" s="22">
        <f>VLOOKUP($A22,[1]maaltijden!$A$1:$IV$65536,21,FALSE)</f>
        <v>5</v>
      </c>
      <c r="I22" s="22">
        <f>VLOOKUP($A22,[1]maaltijden!$A$1:$IV$65536,21,FALSE)</f>
        <v>5</v>
      </c>
      <c r="J22" s="22">
        <f>VLOOKUP($A22,[1]maaltijden!$A$1:$IV$65536,18,FALSE)</f>
        <v>3</v>
      </c>
      <c r="K22" s="22">
        <f>VLOOKUP($A22,[1]maaltijden!$A$1:$IV$65536,17,FALSE)</f>
        <v>3</v>
      </c>
      <c r="L22" s="22" t="s">
        <v>33</v>
      </c>
      <c r="M22" s="22">
        <f>VLOOKUP($A22,[1]maaltijden!$A$1:$IV$65536,22,FALSE)</f>
        <v>2200</v>
      </c>
      <c r="N22" s="135"/>
      <c r="O22" s="21">
        <v>0</v>
      </c>
      <c r="P22" s="19">
        <v>0</v>
      </c>
      <c r="Q22" s="20">
        <v>1</v>
      </c>
      <c r="R22" s="21">
        <v>0</v>
      </c>
      <c r="S22" s="19">
        <v>0</v>
      </c>
      <c r="T22" s="20">
        <v>1</v>
      </c>
      <c r="U22" s="19">
        <v>1</v>
      </c>
      <c r="V22" s="20">
        <v>1</v>
      </c>
      <c r="W22" s="20">
        <v>1</v>
      </c>
      <c r="X22" s="20">
        <v>1</v>
      </c>
      <c r="Y22" s="20">
        <v>1</v>
      </c>
      <c r="Z22" s="20">
        <v>0</v>
      </c>
      <c r="AA22" s="20">
        <v>0</v>
      </c>
      <c r="AB22" s="49">
        <v>0</v>
      </c>
      <c r="AC22" s="49">
        <v>1</v>
      </c>
      <c r="AD22" s="49">
        <v>1</v>
      </c>
      <c r="AE22" s="49">
        <v>0</v>
      </c>
      <c r="AF22" s="49">
        <v>0</v>
      </c>
      <c r="AG22" s="161">
        <v>1</v>
      </c>
      <c r="AH22" s="162">
        <v>1</v>
      </c>
      <c r="AI22" s="162">
        <v>1</v>
      </c>
      <c r="AJ22" s="162">
        <v>1</v>
      </c>
      <c r="AK22" s="162">
        <v>0</v>
      </c>
      <c r="AL22" s="163">
        <v>0</v>
      </c>
      <c r="AM22" s="19">
        <v>0</v>
      </c>
      <c r="AN22" s="20">
        <f>IFERROR(INDEX([2]lijnopstellingsfiche!$AP$1:$AP$65536,MATCH(A22,[2]lijnopstellingsfiche!$AQ$1:$AQ$65536,0)),"")</f>
        <v>1</v>
      </c>
      <c r="AO22" s="20">
        <v>1</v>
      </c>
      <c r="AP22" s="20">
        <v>0</v>
      </c>
      <c r="AQ22" s="20">
        <v>1</v>
      </c>
      <c r="AR22" s="20">
        <v>0</v>
      </c>
      <c r="AS22" s="20">
        <v>0</v>
      </c>
      <c r="AT22" s="20">
        <v>1</v>
      </c>
      <c r="AU22" s="20">
        <v>0</v>
      </c>
      <c r="AV22" s="23">
        <v>0</v>
      </c>
      <c r="AW22" s="111">
        <v>0</v>
      </c>
      <c r="AX22" s="112">
        <v>0</v>
      </c>
      <c r="AY22" s="112">
        <v>0</v>
      </c>
      <c r="AZ22" s="112">
        <v>0</v>
      </c>
      <c r="BA22" s="112">
        <v>1</v>
      </c>
      <c r="BB22" s="22">
        <v>0</v>
      </c>
      <c r="BC22" s="21">
        <v>0</v>
      </c>
      <c r="BD22" s="200" t="str">
        <f>VLOOKUP($A22,'[3]allergenen 6nr'!$A$1:$O$1310,3,FALSE)</f>
        <v>+</v>
      </c>
      <c r="BE22" s="201" t="str">
        <f>VLOOKUP($A22,'[3]allergenen 6nr'!$A$1:$O$1310,4,FALSE)</f>
        <v>+</v>
      </c>
      <c r="BF22" s="201" t="str">
        <f>VLOOKUP($A22,'[3]allergenen 6nr'!$A$1:$O$1310,5,FALSE)</f>
        <v>+</v>
      </c>
      <c r="BG22" s="201" t="str">
        <f>VLOOKUP($A22,'[3]allergenen 6nr'!$A$1:$O$1310,6,FALSE)</f>
        <v>X</v>
      </c>
      <c r="BH22" s="201" t="str">
        <f>VLOOKUP($A22,'[3]allergenen 6nr'!$A$1:$O$1310,7,FALSE)</f>
        <v>-</v>
      </c>
      <c r="BI22" s="201" t="str">
        <f>VLOOKUP($A22,'[3]allergenen 6nr'!$A$1:$O$1310,8,FALSE)</f>
        <v>X</v>
      </c>
      <c r="BJ22" s="201" t="str">
        <f>VLOOKUP($A22,'[3]allergenen 6nr'!$A$1:$O$1310,9,FALSE)</f>
        <v>-</v>
      </c>
      <c r="BK22" s="201" t="str">
        <f>VLOOKUP($A22,'[3]allergenen 6nr'!$A$1:$O$1310,10,FALSE)</f>
        <v>-</v>
      </c>
      <c r="BL22" s="201" t="str">
        <f>VLOOKUP($A22,'[3]allergenen 6nr'!$A$1:$O$1310,11,FALSE)</f>
        <v>-</v>
      </c>
      <c r="BM22" s="201" t="str">
        <f>VLOOKUP($A22,'[3]allergenen 6nr'!$A$1:$O$1310,12,FALSE)</f>
        <v>-</v>
      </c>
      <c r="BN22" s="201" t="str">
        <f>VLOOKUP($A22,'[3]allergenen 6nr'!$A$1:$O$1310,13,FALSE)</f>
        <v>X</v>
      </c>
      <c r="BO22" s="201" t="str">
        <f>VLOOKUP($A22,'[3]allergenen 6nr'!$A$1:$O$1310,14,FALSE)</f>
        <v>-</v>
      </c>
      <c r="BP22" s="202" t="str">
        <f>VLOOKUP($A22,'[3]allergenen 6nr'!$A$1:$O$1310,15,FALSE)</f>
        <v>-</v>
      </c>
    </row>
    <row r="23" spans="1:173" s="92" customFormat="1" x14ac:dyDescent="0.2">
      <c r="A23" s="89">
        <v>61672300</v>
      </c>
      <c r="B23" s="53" t="str">
        <f>VLOOKUP($A23,[1]maaltijden!$A$1:$IV$65536,4,FALSE)</f>
        <v>APETITO LASAGNE BOLOGNAISE 570G</v>
      </c>
      <c r="C23" s="46" t="str">
        <f>VLOOKUP($A23,[1]maaltijden!$A$1:$IV$65536,7,FALSE)</f>
        <v>C2227-1E</v>
      </c>
      <c r="D23" s="22" t="str">
        <f>VLOOKUP($A23,[1]maaltijden!$A$1:$IV$65536,10,FALSE)</f>
        <v>NVT</v>
      </c>
      <c r="E23" s="22" t="str">
        <f>VLOOKUP($A23,[1]maaltijden!$A$1:$IV$65536,13,FALSE)</f>
        <v>C2227X8</v>
      </c>
      <c r="F23" s="20">
        <f t="shared" si="0"/>
        <v>0</v>
      </c>
      <c r="G23" s="91" t="str">
        <f>VLOOKUP($A23,[1]maaltijden!$A$1:$IV$65536,27,FALSE)</f>
        <v>! ! !</v>
      </c>
      <c r="H23" s="22">
        <f>VLOOKUP($A23,[1]maaltijden!$A$1:$IV$65536,21,FALSE)</f>
        <v>4</v>
      </c>
      <c r="I23" s="22">
        <f>VLOOKUP($A23,[1]maaltijden!$A$1:$IV$65536,21,FALSE)</f>
        <v>4</v>
      </c>
      <c r="J23" s="22">
        <f>VLOOKUP($A23,[1]maaltijden!$A$1:$IV$65536,18,FALSE)</f>
        <v>3</v>
      </c>
      <c r="K23" s="22">
        <f>VLOOKUP($A23,[1]maaltijden!$A$1:$IV$65536,17,FALSE)</f>
        <v>2</v>
      </c>
      <c r="L23" s="22" t="s">
        <v>33</v>
      </c>
      <c r="M23" s="22">
        <f>VLOOKUP($A23,[1]maaltijden!$A$1:$IV$65536,22,FALSE)</f>
        <v>2200</v>
      </c>
      <c r="N23" s="135"/>
      <c r="O23" s="21">
        <v>0</v>
      </c>
      <c r="P23" s="19">
        <v>0</v>
      </c>
      <c r="Q23" s="20">
        <v>1</v>
      </c>
      <c r="R23" s="21">
        <v>0</v>
      </c>
      <c r="S23" s="19">
        <v>0</v>
      </c>
      <c r="T23" s="20">
        <v>1</v>
      </c>
      <c r="U23" s="19">
        <v>0</v>
      </c>
      <c r="V23" s="20">
        <v>1</v>
      </c>
      <c r="W23" s="20">
        <v>1</v>
      </c>
      <c r="X23" s="20">
        <v>1</v>
      </c>
      <c r="Y23" s="20">
        <v>1</v>
      </c>
      <c r="Z23" s="20">
        <v>0</v>
      </c>
      <c r="AA23" s="20">
        <v>0</v>
      </c>
      <c r="AB23" s="49">
        <v>1</v>
      </c>
      <c r="AC23" s="49">
        <v>0</v>
      </c>
      <c r="AD23" s="49">
        <v>0</v>
      </c>
      <c r="AE23" s="49">
        <v>0</v>
      </c>
      <c r="AF23" s="49">
        <v>0</v>
      </c>
      <c r="AG23" s="161">
        <v>0</v>
      </c>
      <c r="AH23" s="162">
        <v>2</v>
      </c>
      <c r="AI23" s="162">
        <v>0</v>
      </c>
      <c r="AJ23" s="162">
        <v>0</v>
      </c>
      <c r="AK23" s="162">
        <v>0</v>
      </c>
      <c r="AL23" s="163">
        <v>0</v>
      </c>
      <c r="AM23" s="19">
        <v>0</v>
      </c>
      <c r="AN23" s="20" t="str">
        <f>IFERROR(INDEX([2]lijnopstellingsfiche!$AP$1:$AP$65536,MATCH(A23,[2]lijnopstellingsfiche!$AQ$1:$AQ$65536,0)),"")</f>
        <v>-</v>
      </c>
      <c r="AO23" s="20">
        <v>0</v>
      </c>
      <c r="AP23" s="20">
        <v>1</v>
      </c>
      <c r="AQ23" s="20">
        <v>4</v>
      </c>
      <c r="AR23" s="20">
        <v>0</v>
      </c>
      <c r="AS23" s="20">
        <v>0</v>
      </c>
      <c r="AT23" s="20">
        <v>0</v>
      </c>
      <c r="AU23" s="20">
        <v>0</v>
      </c>
      <c r="AV23" s="23">
        <v>0</v>
      </c>
      <c r="AW23" s="19">
        <v>0</v>
      </c>
      <c r="AX23" s="20">
        <v>0</v>
      </c>
      <c r="AY23" s="20">
        <v>0</v>
      </c>
      <c r="AZ23" s="20">
        <v>0</v>
      </c>
      <c r="BA23" s="20">
        <v>1</v>
      </c>
      <c r="BB23" s="22">
        <v>0</v>
      </c>
      <c r="BC23" s="21">
        <v>0</v>
      </c>
      <c r="BD23" s="200" t="str">
        <f>VLOOKUP($A23,'[3]allergenen 6nr'!$A$1:$O$1310,3,FALSE)</f>
        <v>-</v>
      </c>
      <c r="BE23" s="201" t="str">
        <f>VLOOKUP($A23,'[3]allergenen 6nr'!$A$1:$O$1310,4,FALSE)</f>
        <v>+</v>
      </c>
      <c r="BF23" s="201" t="str">
        <f>VLOOKUP($A23,'[3]allergenen 6nr'!$A$1:$O$1310,5,FALSE)</f>
        <v>+</v>
      </c>
      <c r="BG23" s="201" t="str">
        <f>VLOOKUP($A23,'[3]allergenen 6nr'!$A$1:$O$1310,6,FALSE)</f>
        <v>-</v>
      </c>
      <c r="BH23" s="201" t="str">
        <f>VLOOKUP($A23,'[3]allergenen 6nr'!$A$1:$O$1310,7,FALSE)</f>
        <v>+</v>
      </c>
      <c r="BI23" s="201" t="str">
        <f>VLOOKUP($A23,'[3]allergenen 6nr'!$A$1:$O$1310,8,FALSE)</f>
        <v>-</v>
      </c>
      <c r="BJ23" s="201" t="str">
        <f>VLOOKUP($A23,'[3]allergenen 6nr'!$A$1:$O$1310,9,FALSE)</f>
        <v>-</v>
      </c>
      <c r="BK23" s="201" t="str">
        <f>VLOOKUP($A23,'[3]allergenen 6nr'!$A$1:$O$1310,10,FALSE)</f>
        <v>X</v>
      </c>
      <c r="BL23" s="201" t="str">
        <f>VLOOKUP($A23,'[3]allergenen 6nr'!$A$1:$O$1310,11,FALSE)</f>
        <v>+</v>
      </c>
      <c r="BM23" s="201" t="str">
        <f>VLOOKUP($A23,'[3]allergenen 6nr'!$A$1:$O$1310,12,FALSE)</f>
        <v>-</v>
      </c>
      <c r="BN23" s="201" t="str">
        <f>VLOOKUP($A23,'[3]allergenen 6nr'!$A$1:$O$1310,13,FALSE)</f>
        <v>X</v>
      </c>
      <c r="BO23" s="201" t="str">
        <f>VLOOKUP($A23,'[3]allergenen 6nr'!$A$1:$O$1310,14,FALSE)</f>
        <v>X</v>
      </c>
      <c r="BP23" s="202" t="str">
        <f>VLOOKUP($A23,'[3]allergenen 6nr'!$A$1:$O$1310,15,FALSE)</f>
        <v>-</v>
      </c>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row>
    <row r="24" spans="1:173" x14ac:dyDescent="0.2">
      <c r="A24" s="89">
        <v>61686000</v>
      </c>
      <c r="B24" s="53" t="str">
        <f>VLOOKUP($A24,[1]maaltijden!$A$1:$IV$65536,4,FALSE)</f>
        <v>LIDL BE AARDAPPELGRATIN XXL 800G</v>
      </c>
      <c r="C24" s="46" t="str">
        <f>VLOOKUP($A24,[1]maaltijden!$A$1:$IV$65536,7,FALSE)</f>
        <v>C2227-1E</v>
      </c>
      <c r="D24" s="22" t="str">
        <f>VLOOKUP($A24,[1]maaltijden!$A$1:$IV$65536,10,FALSE)</f>
        <v>H10</v>
      </c>
      <c r="E24" s="22" t="str">
        <f>VLOOKUP($A24,[1]maaltijden!$A$1:$IV$65536,13,FALSE)</f>
        <v>H10X8</v>
      </c>
      <c r="F24" s="20">
        <f t="shared" si="0"/>
        <v>0</v>
      </c>
      <c r="G24" s="20" t="str">
        <f>VLOOKUP($A24,[1]maaltijden!$A$1:$IV$65536,27,FALSE)</f>
        <v>! !</v>
      </c>
      <c r="H24" s="22">
        <f>VLOOKUP($A24,[1]maaltijden!$A$1:$IV$65536,21,FALSE)</f>
        <v>3</v>
      </c>
      <c r="I24" s="22">
        <f>VLOOKUP($A24,[1]maaltijden!$A$1:$IV$65536,21,FALSE)</f>
        <v>3</v>
      </c>
      <c r="J24" s="22">
        <f>VLOOKUP($A24,[1]maaltijden!$A$1:$IV$65536,18,FALSE)</f>
        <v>2</v>
      </c>
      <c r="K24" s="22">
        <f>VLOOKUP($A24,[1]maaltijden!$A$1:$IV$65536,17,FALSE)</f>
        <v>1</v>
      </c>
      <c r="L24" s="22">
        <f>VLOOKUP($A24,[1]maaltijden!$A$1:$IV$65536,20,FALSE)</f>
        <v>1750</v>
      </c>
      <c r="M24" s="22">
        <f>VLOOKUP($A24,[1]maaltijden!$A$1:$IV$65536,22,FALSE)</f>
        <v>1750</v>
      </c>
      <c r="N24" s="134">
        <v>0</v>
      </c>
      <c r="O24" s="21">
        <v>0</v>
      </c>
      <c r="P24" s="19">
        <v>1</v>
      </c>
      <c r="Q24" s="20">
        <v>2</v>
      </c>
      <c r="R24" s="21">
        <v>0</v>
      </c>
      <c r="S24" s="19">
        <v>1</v>
      </c>
      <c r="T24" s="20">
        <v>1</v>
      </c>
      <c r="U24" s="19">
        <v>1</v>
      </c>
      <c r="V24" s="20">
        <v>1</v>
      </c>
      <c r="W24" s="20">
        <v>1</v>
      </c>
      <c r="X24" s="20">
        <v>1</v>
      </c>
      <c r="Y24" s="20">
        <v>1</v>
      </c>
      <c r="Z24" s="20">
        <v>0</v>
      </c>
      <c r="AA24" s="20">
        <v>0</v>
      </c>
      <c r="AB24" s="49">
        <v>0</v>
      </c>
      <c r="AC24" s="49">
        <v>0</v>
      </c>
      <c r="AD24" s="49">
        <v>0</v>
      </c>
      <c r="AE24" s="49">
        <v>1</v>
      </c>
      <c r="AF24" s="49">
        <v>0</v>
      </c>
      <c r="AG24" s="161">
        <v>0</v>
      </c>
      <c r="AH24" s="162">
        <v>2</v>
      </c>
      <c r="AI24" s="162">
        <v>0</v>
      </c>
      <c r="AJ24" s="162">
        <v>0</v>
      </c>
      <c r="AK24" s="162">
        <v>0</v>
      </c>
      <c r="AL24" s="163">
        <v>0</v>
      </c>
      <c r="AM24" s="19">
        <v>0</v>
      </c>
      <c r="AN24" s="20">
        <f>IFERROR(INDEX([2]lijnopstellingsfiche!$AP$1:$AP$65536,MATCH(A24,[2]lijnopstellingsfiche!$AQ$1:$AQ$65536,0)),"")</f>
        <v>1</v>
      </c>
      <c r="AO24" s="20">
        <v>0</v>
      </c>
      <c r="AP24" s="20">
        <v>1</v>
      </c>
      <c r="AQ24" s="20">
        <v>2</v>
      </c>
      <c r="AR24" s="20">
        <v>0</v>
      </c>
      <c r="AS24" s="20">
        <v>1</v>
      </c>
      <c r="AT24" s="20">
        <v>0</v>
      </c>
      <c r="AU24" s="20">
        <v>0</v>
      </c>
      <c r="AV24" s="23">
        <v>0</v>
      </c>
      <c r="AW24" s="111">
        <v>1</v>
      </c>
      <c r="AX24" s="112">
        <v>0</v>
      </c>
      <c r="AY24" s="112">
        <v>1</v>
      </c>
      <c r="AZ24" s="112">
        <v>1</v>
      </c>
      <c r="BA24" s="112">
        <v>0</v>
      </c>
      <c r="BB24" s="22">
        <v>1</v>
      </c>
      <c r="BC24" s="21">
        <v>0</v>
      </c>
      <c r="BD24" s="200" t="str">
        <f>VLOOKUP($A24,'[3]allergenen 6nr'!$A$1:$O$1310,3,FALSE)</f>
        <v>-</v>
      </c>
      <c r="BE24" s="201" t="str">
        <f>VLOOKUP($A24,'[3]allergenen 6nr'!$A$1:$O$1310,4,FALSE)</f>
        <v>-</v>
      </c>
      <c r="BF24" s="201" t="str">
        <f>VLOOKUP($A24,'[3]allergenen 6nr'!$A$1:$O$1310,5,FALSE)</f>
        <v>+</v>
      </c>
      <c r="BG24" s="201" t="str">
        <f>VLOOKUP($A24,'[3]allergenen 6nr'!$A$1:$O$1310,6,FALSE)</f>
        <v>X</v>
      </c>
      <c r="BH24" s="201" t="str">
        <f>VLOOKUP($A24,'[3]allergenen 6nr'!$A$1:$O$1310,7,FALSE)</f>
        <v>+</v>
      </c>
      <c r="BI24" s="201" t="str">
        <f>VLOOKUP($A24,'[3]allergenen 6nr'!$A$1:$O$1310,8,FALSE)</f>
        <v>X</v>
      </c>
      <c r="BJ24" s="201" t="str">
        <f>VLOOKUP($A24,'[3]allergenen 6nr'!$A$1:$O$1310,9,FALSE)</f>
        <v>-</v>
      </c>
      <c r="BK24" s="201" t="str">
        <f>VLOOKUP($A24,'[3]allergenen 6nr'!$A$1:$O$1310,10,FALSE)</f>
        <v>-</v>
      </c>
      <c r="BL24" s="201" t="str">
        <f>VLOOKUP($A24,'[3]allergenen 6nr'!$A$1:$O$1310,11,FALSE)</f>
        <v>-</v>
      </c>
      <c r="BM24" s="201" t="str">
        <f>VLOOKUP($A24,'[3]allergenen 6nr'!$A$1:$O$1310,12,FALSE)</f>
        <v>-</v>
      </c>
      <c r="BN24" s="201" t="str">
        <f>VLOOKUP($A24,'[3]allergenen 6nr'!$A$1:$O$1310,13,FALSE)</f>
        <v>X</v>
      </c>
      <c r="BO24" s="201" t="str">
        <f>VLOOKUP($A24,'[3]allergenen 6nr'!$A$1:$O$1310,14,FALSE)</f>
        <v>-</v>
      </c>
      <c r="BP24" s="202" t="str">
        <f>VLOOKUP($A24,'[3]allergenen 6nr'!$A$1:$O$1310,15,FALSE)</f>
        <v>-</v>
      </c>
    </row>
    <row r="25" spans="1:173" s="92" customFormat="1" x14ac:dyDescent="0.2">
      <c r="A25" s="89">
        <v>61690500</v>
      </c>
      <c r="B25" s="53" t="str">
        <f>VLOOKUP($A25,[1]maaltijden!$A$1:$IV$65536,4,FALSE)</f>
        <v>BOF BE RUNDSTONG MADEIRASAUS MET PUREE 450G</v>
      </c>
      <c r="C25" s="46" t="str">
        <f>VLOOKUP($A25,[1]maaltijden!$A$1:$IV$65536,7,FALSE)</f>
        <v>C2227-2X</v>
      </c>
      <c r="D25" s="22" t="str">
        <f>VLOOKUP($A25,[1]maaltijden!$A$1:$IV$65536,10,FALSE)</f>
        <v>H10</v>
      </c>
      <c r="E25" s="22" t="str">
        <f>VLOOKUP($A25,[1]maaltijden!$A$1:$IV$65536,13,FALSE)</f>
        <v>H10X8</v>
      </c>
      <c r="F25" s="20">
        <f t="shared" si="0"/>
        <v>0</v>
      </c>
      <c r="G25" s="91" t="str">
        <f>VLOOKUP($A25,[1]maaltijden!$A$1:$IV$65536,27,FALSE)</f>
        <v>! ! !</v>
      </c>
      <c r="H25" s="22">
        <f>VLOOKUP($A25,[1]maaltijden!$A$1:$IV$65536,21,FALSE)</f>
        <v>7</v>
      </c>
      <c r="I25" s="22">
        <f>VLOOKUP($A25,[1]maaltijden!$A$1:$IV$65536,21,FALSE)</f>
        <v>7</v>
      </c>
      <c r="J25" s="22">
        <f>VLOOKUP($A25,[1]maaltijden!$A$1:$IV$65536,18,FALSE)</f>
        <v>2</v>
      </c>
      <c r="K25" s="22">
        <f>VLOOKUP($A25,[1]maaltijden!$A$1:$IV$65536,17,FALSE)</f>
        <v>2</v>
      </c>
      <c r="L25" s="22">
        <f>VLOOKUP($A25,[1]maaltijden!$A$1:$IV$65536,20,FALSE)</f>
        <v>2200</v>
      </c>
      <c r="M25" s="22">
        <f>VLOOKUP($A25,[1]maaltijden!$A$1:$IV$65536,22,FALSE)</f>
        <v>2200</v>
      </c>
      <c r="N25" s="134">
        <v>0</v>
      </c>
      <c r="O25" s="21">
        <v>0</v>
      </c>
      <c r="P25" s="19">
        <v>1</v>
      </c>
      <c r="Q25" s="20">
        <v>2</v>
      </c>
      <c r="R25" s="21">
        <v>0</v>
      </c>
      <c r="S25" s="19">
        <v>1</v>
      </c>
      <c r="T25" s="20">
        <v>1</v>
      </c>
      <c r="U25" s="19">
        <v>0</v>
      </c>
      <c r="V25" s="20">
        <v>1</v>
      </c>
      <c r="W25" s="20">
        <v>1</v>
      </c>
      <c r="X25" s="20">
        <v>1</v>
      </c>
      <c r="Y25" s="20">
        <v>1</v>
      </c>
      <c r="Z25" s="20">
        <v>0</v>
      </c>
      <c r="AA25" s="20">
        <v>1</v>
      </c>
      <c r="AB25" s="20">
        <v>0</v>
      </c>
      <c r="AC25" s="20">
        <v>0</v>
      </c>
      <c r="AD25" s="20">
        <v>0</v>
      </c>
      <c r="AE25" s="49">
        <v>1</v>
      </c>
      <c r="AF25" s="56">
        <v>0</v>
      </c>
      <c r="AG25" s="161">
        <v>0</v>
      </c>
      <c r="AH25" s="162">
        <v>2</v>
      </c>
      <c r="AI25" s="162">
        <v>0</v>
      </c>
      <c r="AJ25" s="162">
        <v>0</v>
      </c>
      <c r="AK25" s="162">
        <v>0</v>
      </c>
      <c r="AL25" s="163">
        <v>0</v>
      </c>
      <c r="AM25" s="19">
        <v>0</v>
      </c>
      <c r="AN25" s="20">
        <f>IFERROR(INDEX([2]lijnopstellingsfiche!$AP$1:$AP$65536,MATCH(A25,[2]lijnopstellingsfiche!$AQ$1:$AQ$65536,0)),"")</f>
        <v>5</v>
      </c>
      <c r="AO25" s="20">
        <v>0</v>
      </c>
      <c r="AP25" s="20">
        <v>0</v>
      </c>
      <c r="AQ25" s="20">
        <v>2</v>
      </c>
      <c r="AR25" s="20">
        <v>1</v>
      </c>
      <c r="AS25" s="20">
        <v>0</v>
      </c>
      <c r="AT25" s="20">
        <v>0</v>
      </c>
      <c r="AU25" s="20">
        <v>0</v>
      </c>
      <c r="AV25" s="92">
        <v>0</v>
      </c>
      <c r="AW25" s="111">
        <v>1</v>
      </c>
      <c r="AX25" s="112">
        <v>0</v>
      </c>
      <c r="AY25" s="112">
        <v>1</v>
      </c>
      <c r="AZ25" s="112">
        <v>1</v>
      </c>
      <c r="BA25" s="112">
        <v>0</v>
      </c>
      <c r="BB25" s="22">
        <v>1</v>
      </c>
      <c r="BC25" s="21">
        <v>0</v>
      </c>
      <c r="BD25" s="200" t="str">
        <f>VLOOKUP($A25,'[3]allergenen 6nr'!$A$1:$O$1310,3,FALSE)</f>
        <v>-</v>
      </c>
      <c r="BE25" s="201" t="str">
        <f>VLOOKUP($A25,'[3]allergenen 6nr'!$A$1:$O$1310,4,FALSE)</f>
        <v>+</v>
      </c>
      <c r="BF25" s="201" t="str">
        <f>VLOOKUP($A25,'[3]allergenen 6nr'!$A$1:$O$1310,5,FALSE)</f>
        <v>+</v>
      </c>
      <c r="BG25" s="201" t="str">
        <f>VLOOKUP($A25,'[3]allergenen 6nr'!$A$1:$O$1310,6,FALSE)</f>
        <v>X</v>
      </c>
      <c r="BH25" s="201" t="str">
        <f>VLOOKUP($A25,'[3]allergenen 6nr'!$A$1:$O$1310,7,FALSE)</f>
        <v>+</v>
      </c>
      <c r="BI25" s="201" t="str">
        <f>VLOOKUP($A25,'[3]allergenen 6nr'!$A$1:$O$1310,8,FALSE)</f>
        <v>X</v>
      </c>
      <c r="BJ25" s="201" t="str">
        <f>VLOOKUP($A25,'[3]allergenen 6nr'!$A$1:$O$1310,9,FALSE)</f>
        <v>-</v>
      </c>
      <c r="BK25" s="201" t="str">
        <f>VLOOKUP($A25,'[3]allergenen 6nr'!$A$1:$O$1310,10,FALSE)</f>
        <v>-</v>
      </c>
      <c r="BL25" s="201" t="str">
        <f>VLOOKUP($A25,'[3]allergenen 6nr'!$A$1:$O$1310,11,FALSE)</f>
        <v>+</v>
      </c>
      <c r="BM25" s="201" t="str">
        <f>VLOOKUP($A25,'[3]allergenen 6nr'!$A$1:$O$1310,12,FALSE)</f>
        <v>-</v>
      </c>
      <c r="BN25" s="201" t="str">
        <f>VLOOKUP($A25,'[3]allergenen 6nr'!$A$1:$O$1310,13,FALSE)</f>
        <v>X</v>
      </c>
      <c r="BO25" s="201" t="str">
        <f>VLOOKUP($A25,'[3]allergenen 6nr'!$A$1:$O$1310,14,FALSE)</f>
        <v>-</v>
      </c>
      <c r="BP25" s="202" t="str">
        <f>VLOOKUP($A25,'[3]allergenen 6nr'!$A$1:$O$1310,15,FALSE)</f>
        <v>-</v>
      </c>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row>
    <row r="26" spans="1:173" x14ac:dyDescent="0.2">
      <c r="A26" s="89">
        <v>61691400</v>
      </c>
      <c r="B26" s="53" t="str">
        <f>VLOOKUP($A26,[1]maaltijden!$A$1:$IV$65536,4,FALSE)</f>
        <v xml:space="preserve">BOF BE HAMBURGER AJUINSAUS VIERGROENTENSTAMPPOT 500G </v>
      </c>
      <c r="C26" s="46" t="str">
        <f>VLOOKUP($A26,[1]maaltijden!$A$1:$IV$65536,7,FALSE)</f>
        <v>C2227-2X</v>
      </c>
      <c r="D26" s="22" t="str">
        <f>VLOOKUP($A26,[1]maaltijden!$A$1:$IV$65536,10,FALSE)</f>
        <v>H10</v>
      </c>
      <c r="E26" s="22" t="str">
        <f>VLOOKUP($A26,[1]maaltijden!$A$1:$IV$65536,13,FALSE)</f>
        <v>H10X8</v>
      </c>
      <c r="F26" s="20">
        <f t="shared" si="0"/>
        <v>0</v>
      </c>
      <c r="G26" s="20" t="str">
        <f>VLOOKUP($A26,[1]maaltijden!$A$1:$IV$65536,27,FALSE)</f>
        <v>! !</v>
      </c>
      <c r="H26" s="22">
        <f>VLOOKUP($A26,[1]maaltijden!$A$1:$IV$65536,21,FALSE)</f>
        <v>3</v>
      </c>
      <c r="I26" s="22">
        <f>VLOOKUP($A26,[1]maaltijden!$A$1:$IV$65536,21,FALSE)</f>
        <v>3</v>
      </c>
      <c r="J26" s="22">
        <f>VLOOKUP($A26,[1]maaltijden!$A$1:$IV$65536,18,FALSE)</f>
        <v>2</v>
      </c>
      <c r="K26" s="22">
        <f>VLOOKUP($A26,[1]maaltijden!$A$1:$IV$65536,17,FALSE)</f>
        <v>2.5</v>
      </c>
      <c r="L26" s="22">
        <f>VLOOKUP($A26,[1]maaltijden!$A$1:$IV$65536,20,FALSE)</f>
        <v>2000</v>
      </c>
      <c r="M26" s="22">
        <f>VLOOKUP($A26,[1]maaltijden!$A$1:$IV$65536,22,FALSE)</f>
        <v>2000</v>
      </c>
      <c r="N26" s="134">
        <v>0</v>
      </c>
      <c r="O26" s="21">
        <v>0</v>
      </c>
      <c r="P26" s="19">
        <v>1</v>
      </c>
      <c r="Q26" s="20">
        <v>2</v>
      </c>
      <c r="R26" s="21">
        <v>0</v>
      </c>
      <c r="S26" s="19">
        <v>1</v>
      </c>
      <c r="T26" s="20">
        <v>1</v>
      </c>
      <c r="U26" s="19">
        <v>0</v>
      </c>
      <c r="V26" s="20">
        <v>1</v>
      </c>
      <c r="W26" s="20">
        <v>1</v>
      </c>
      <c r="X26" s="20">
        <v>1</v>
      </c>
      <c r="Y26" s="20">
        <v>1</v>
      </c>
      <c r="Z26" s="20">
        <v>0</v>
      </c>
      <c r="AA26" s="20">
        <v>0</v>
      </c>
      <c r="AB26" s="49">
        <v>0</v>
      </c>
      <c r="AC26" s="49">
        <v>0</v>
      </c>
      <c r="AD26" s="49">
        <v>0</v>
      </c>
      <c r="AE26" s="49">
        <v>1</v>
      </c>
      <c r="AF26" s="49">
        <v>0</v>
      </c>
      <c r="AG26" s="161">
        <v>0</v>
      </c>
      <c r="AH26" s="162">
        <v>2</v>
      </c>
      <c r="AI26" s="162">
        <v>1</v>
      </c>
      <c r="AJ26" s="162">
        <v>0</v>
      </c>
      <c r="AK26" s="162">
        <v>0</v>
      </c>
      <c r="AL26" s="163">
        <v>0</v>
      </c>
      <c r="AM26" s="19">
        <v>0</v>
      </c>
      <c r="AN26" s="20" t="str">
        <f>IFERROR(INDEX([2]lijnopstellingsfiche!$AP$1:$AP$65536,MATCH(A26,[2]lijnopstellingsfiche!$AQ$1:$AQ$65536,0)),"")</f>
        <v>-</v>
      </c>
      <c r="AO26" s="20">
        <v>0</v>
      </c>
      <c r="AP26" s="20">
        <v>0</v>
      </c>
      <c r="AQ26" s="20">
        <v>1</v>
      </c>
      <c r="AR26" s="20">
        <v>1</v>
      </c>
      <c r="AS26" s="11">
        <v>0</v>
      </c>
      <c r="AT26" s="20">
        <v>0</v>
      </c>
      <c r="AU26" s="20">
        <v>0</v>
      </c>
      <c r="AV26" s="23">
        <v>0</v>
      </c>
      <c r="AW26" s="111">
        <v>1</v>
      </c>
      <c r="AX26" s="112">
        <v>0</v>
      </c>
      <c r="AY26" s="112">
        <v>1</v>
      </c>
      <c r="AZ26" s="112">
        <v>1</v>
      </c>
      <c r="BA26" s="112">
        <v>0</v>
      </c>
      <c r="BB26" s="22">
        <v>1</v>
      </c>
      <c r="BC26" s="21">
        <v>0</v>
      </c>
      <c r="BD26" s="200" t="str">
        <f>VLOOKUP($A26,'[3]allergenen 6nr'!$A$1:$O$1310,3,FALSE)</f>
        <v>-</v>
      </c>
      <c r="BE26" s="201" t="str">
        <f>VLOOKUP($A26,'[3]allergenen 6nr'!$A$1:$O$1310,4,FALSE)</f>
        <v>X</v>
      </c>
      <c r="BF26" s="201" t="str">
        <f>VLOOKUP($A26,'[3]allergenen 6nr'!$A$1:$O$1310,5,FALSE)</f>
        <v>+</v>
      </c>
      <c r="BG26" s="201" t="str">
        <f>VLOOKUP($A26,'[3]allergenen 6nr'!$A$1:$O$1310,6,FALSE)</f>
        <v>X</v>
      </c>
      <c r="BH26" s="201" t="str">
        <f>VLOOKUP($A26,'[3]allergenen 6nr'!$A$1:$O$1310,7,FALSE)</f>
        <v>+</v>
      </c>
      <c r="BI26" s="201" t="str">
        <f>VLOOKUP($A26,'[3]allergenen 6nr'!$A$1:$O$1310,8,FALSE)</f>
        <v>X</v>
      </c>
      <c r="BJ26" s="201" t="str">
        <f>VLOOKUP($A26,'[3]allergenen 6nr'!$A$1:$O$1310,9,FALSE)</f>
        <v>-</v>
      </c>
      <c r="BK26" s="201" t="str">
        <f>VLOOKUP($A26,'[3]allergenen 6nr'!$A$1:$O$1310,10,FALSE)</f>
        <v>-</v>
      </c>
      <c r="BL26" s="201" t="str">
        <f>VLOOKUP($A26,'[3]allergenen 6nr'!$A$1:$O$1310,11,FALSE)</f>
        <v>X</v>
      </c>
      <c r="BM26" s="201" t="str">
        <f>VLOOKUP($A26,'[3]allergenen 6nr'!$A$1:$O$1310,12,FALSE)</f>
        <v>-</v>
      </c>
      <c r="BN26" s="201" t="str">
        <f>VLOOKUP($A26,'[3]allergenen 6nr'!$A$1:$O$1310,13,FALSE)</f>
        <v>X</v>
      </c>
      <c r="BO26" s="201" t="str">
        <f>VLOOKUP($A26,'[3]allergenen 6nr'!$A$1:$O$1310,14,FALSE)</f>
        <v>-</v>
      </c>
      <c r="BP26" s="202" t="str">
        <f>VLOOKUP($A26,'[3]allergenen 6nr'!$A$1:$O$1310,15,FALSE)</f>
        <v>-</v>
      </c>
    </row>
    <row r="27" spans="1:173" s="92" customFormat="1" x14ac:dyDescent="0.2">
      <c r="A27" s="89">
        <v>61691500</v>
      </c>
      <c r="B27" s="53" t="str">
        <f>VLOOKUP($A27,[1]maaltijden!$A$1:$IV$65536,4,FALSE)</f>
        <v>BOF BE HAMWITLOOFROLLETJE IN KAASSAUS 800G</v>
      </c>
      <c r="C27" s="46" t="str">
        <f>VLOOKUP($A27,[1]maaltijden!$A$1:$IV$65536,7,FALSE)</f>
        <v>C2227-1E</v>
      </c>
      <c r="D27" s="22" t="str">
        <f>VLOOKUP($A27,[1]maaltijden!$A$1:$IV$65536,10,FALSE)</f>
        <v>H10</v>
      </c>
      <c r="E27" s="22" t="str">
        <f>VLOOKUP($A27,[1]maaltijden!$A$1:$IV$65536,13,FALSE)</f>
        <v>H10X8</v>
      </c>
      <c r="F27" s="20">
        <f t="shared" si="0"/>
        <v>0</v>
      </c>
      <c r="G27" s="91" t="str">
        <f>VLOOKUP($A27,[1]maaltijden!$A$1:$IV$65536,27,FALSE)</f>
        <v>! !</v>
      </c>
      <c r="H27" s="22">
        <f>VLOOKUP($A27,[1]maaltijden!$A$1:$IV$65536,21,FALSE)</f>
        <v>12</v>
      </c>
      <c r="I27" s="22">
        <f>VLOOKUP($A27,[1]maaltijden!$A$1:$IV$65536,21,FALSE)</f>
        <v>12</v>
      </c>
      <c r="J27" s="22">
        <f>VLOOKUP($A27,[1]maaltijden!$A$1:$IV$65536,18,FALSE)</f>
        <v>2</v>
      </c>
      <c r="K27" s="22">
        <f>VLOOKUP($A27,[1]maaltijden!$A$1:$IV$65536,17,FALSE)</f>
        <v>2</v>
      </c>
      <c r="L27" s="22">
        <f>VLOOKUP($A27,[1]maaltijden!$A$1:$IV$65536,20,FALSE)</f>
        <v>950</v>
      </c>
      <c r="M27" s="22">
        <f>VLOOKUP($A27,[1]maaltijden!$A$1:$IV$65536,22,FALSE)</f>
        <v>950</v>
      </c>
      <c r="N27" s="134">
        <v>0</v>
      </c>
      <c r="O27" s="21">
        <v>0</v>
      </c>
      <c r="P27" s="19">
        <v>1</v>
      </c>
      <c r="Q27" s="20">
        <v>2</v>
      </c>
      <c r="R27" s="21">
        <v>0</v>
      </c>
      <c r="S27" s="19">
        <v>1</v>
      </c>
      <c r="T27" s="20">
        <v>1</v>
      </c>
      <c r="U27" s="19">
        <v>0</v>
      </c>
      <c r="V27" s="20">
        <v>1</v>
      </c>
      <c r="W27" s="20">
        <v>1</v>
      </c>
      <c r="X27" s="20">
        <v>1</v>
      </c>
      <c r="Y27" s="20">
        <v>1</v>
      </c>
      <c r="Z27" s="20">
        <v>1</v>
      </c>
      <c r="AA27" s="20">
        <v>0</v>
      </c>
      <c r="AB27" s="49">
        <v>0</v>
      </c>
      <c r="AC27" s="49">
        <v>1</v>
      </c>
      <c r="AD27" s="49">
        <v>0</v>
      </c>
      <c r="AE27" s="49">
        <v>1</v>
      </c>
      <c r="AF27" s="49">
        <v>0</v>
      </c>
      <c r="AG27" s="161">
        <v>0</v>
      </c>
      <c r="AH27" s="162">
        <v>1</v>
      </c>
      <c r="AI27" s="162">
        <v>0</v>
      </c>
      <c r="AJ27" s="162">
        <v>0</v>
      </c>
      <c r="AK27" s="162">
        <v>0</v>
      </c>
      <c r="AL27" s="163">
        <v>0</v>
      </c>
      <c r="AM27" s="19">
        <v>0</v>
      </c>
      <c r="AN27" s="20">
        <f>IFERROR(INDEX([2]lijnopstellingsfiche!$AP$1:$AP$65536,MATCH(A27,[2]lijnopstellingsfiche!$AQ$1:$AQ$65536,0)),"")</f>
        <v>10</v>
      </c>
      <c r="AO27" s="20">
        <v>0</v>
      </c>
      <c r="AP27" s="20">
        <v>1</v>
      </c>
      <c r="AQ27" s="20">
        <v>1</v>
      </c>
      <c r="AR27" s="20">
        <v>0</v>
      </c>
      <c r="AS27" s="20">
        <v>0</v>
      </c>
      <c r="AT27" s="20">
        <v>0</v>
      </c>
      <c r="AU27" s="20">
        <v>0</v>
      </c>
      <c r="AV27" s="23">
        <v>0</v>
      </c>
      <c r="AW27" s="111">
        <v>1</v>
      </c>
      <c r="AX27" s="112">
        <v>0</v>
      </c>
      <c r="AY27" s="112">
        <v>1</v>
      </c>
      <c r="AZ27" s="112">
        <v>1</v>
      </c>
      <c r="BA27" s="112">
        <v>0</v>
      </c>
      <c r="BB27" s="22">
        <v>1</v>
      </c>
      <c r="BC27" s="21">
        <v>0</v>
      </c>
      <c r="BD27" s="200" t="str">
        <f>VLOOKUP($A27,'[3]allergenen 6nr'!$A$1:$O$1310,3,FALSE)</f>
        <v>-</v>
      </c>
      <c r="BE27" s="201" t="str">
        <f>VLOOKUP($A27,'[3]allergenen 6nr'!$A$1:$O$1310,4,FALSE)</f>
        <v>-</v>
      </c>
      <c r="BF27" s="201" t="str">
        <f>VLOOKUP($A27,'[3]allergenen 6nr'!$A$1:$O$1310,5,FALSE)</f>
        <v>+</v>
      </c>
      <c r="BG27" s="201" t="str">
        <f>VLOOKUP($A27,'[3]allergenen 6nr'!$A$1:$O$1310,6,FALSE)</f>
        <v>X</v>
      </c>
      <c r="BH27" s="201" t="str">
        <f>VLOOKUP($A27,'[3]allergenen 6nr'!$A$1:$O$1310,7,FALSE)</f>
        <v>+</v>
      </c>
      <c r="BI27" s="201" t="str">
        <f>VLOOKUP($A27,'[3]allergenen 6nr'!$A$1:$O$1310,8,FALSE)</f>
        <v>X</v>
      </c>
      <c r="BJ27" s="201" t="str">
        <f>VLOOKUP($A27,'[3]allergenen 6nr'!$A$1:$O$1310,9,FALSE)</f>
        <v>-</v>
      </c>
      <c r="BK27" s="201" t="str">
        <f>VLOOKUP($A27,'[3]allergenen 6nr'!$A$1:$O$1310,10,FALSE)</f>
        <v>-</v>
      </c>
      <c r="BL27" s="201" t="str">
        <f>VLOOKUP($A27,'[3]allergenen 6nr'!$A$1:$O$1310,11,FALSE)</f>
        <v>-</v>
      </c>
      <c r="BM27" s="201" t="str">
        <f>VLOOKUP($A27,'[3]allergenen 6nr'!$A$1:$O$1310,12,FALSE)</f>
        <v>-</v>
      </c>
      <c r="BN27" s="201" t="str">
        <f>VLOOKUP($A27,'[3]allergenen 6nr'!$A$1:$O$1310,13,FALSE)</f>
        <v>X</v>
      </c>
      <c r="BO27" s="201" t="str">
        <f>VLOOKUP($A27,'[3]allergenen 6nr'!$A$1:$O$1310,14,FALSE)</f>
        <v>-</v>
      </c>
      <c r="BP27" s="202" t="str">
        <f>VLOOKUP($A27,'[3]allergenen 6nr'!$A$1:$O$1310,15,FALSE)</f>
        <v>-</v>
      </c>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row>
    <row r="28" spans="1:173" x14ac:dyDescent="0.2">
      <c r="A28" s="89">
        <v>61691800</v>
      </c>
      <c r="B28" s="53" t="str">
        <f>VLOOKUP($A28,[1]maaltijden!$A$1:$IV$65536,4,FALSE)</f>
        <v>BOF BE KALKOEN WITBIERSAUS WORT BROCCOLI GRATIN 480G</v>
      </c>
      <c r="C28" s="46" t="str">
        <f>VLOOKUP($A28,[1]maaltijden!$A$1:$IV$65536,7,FALSE)</f>
        <v>C2227-3C</v>
      </c>
      <c r="D28" s="22" t="str">
        <f>VLOOKUP($A28,[1]maaltijden!$A$1:$IV$65536,10,FALSE)</f>
        <v>H10</v>
      </c>
      <c r="E28" s="22" t="str">
        <f>VLOOKUP($A28,[1]maaltijden!$A$1:$IV$65536,13,FALSE)</f>
        <v>H10X8</v>
      </c>
      <c r="F28" s="20">
        <f t="shared" si="0"/>
        <v>0</v>
      </c>
      <c r="G28" s="20" t="str">
        <f>VLOOKUP($A28,[1]maaltijden!$A$1:$IV$65536,27,FALSE)</f>
        <v>! !</v>
      </c>
      <c r="H28" s="22">
        <f>VLOOKUP($A28,[1]maaltijden!$A$1:$IV$65536,21,FALSE)</f>
        <v>10</v>
      </c>
      <c r="I28" s="22">
        <f>VLOOKUP($A28,[1]maaltijden!$A$1:$IV$65536,21,FALSE)</f>
        <v>10</v>
      </c>
      <c r="J28" s="22">
        <f>VLOOKUP($A28,[1]maaltijden!$A$1:$IV$65536,18,FALSE)</f>
        <v>2</v>
      </c>
      <c r="K28" s="22">
        <f>VLOOKUP($A28,[1]maaltijden!$A$1:$IV$65536,17,FALSE)</f>
        <v>3</v>
      </c>
      <c r="L28" s="22">
        <f>VLOOKUP($A28,[1]maaltijden!$A$1:$IV$65536,20,FALSE)</f>
        <v>1500</v>
      </c>
      <c r="M28" s="22">
        <f>VLOOKUP($A28,[1]maaltijden!$A$1:$IV$65536,22,FALSE)</f>
        <v>1500</v>
      </c>
      <c r="N28" s="134">
        <v>0</v>
      </c>
      <c r="O28" s="21">
        <v>0</v>
      </c>
      <c r="P28" s="19">
        <v>1</v>
      </c>
      <c r="Q28" s="20">
        <v>2</v>
      </c>
      <c r="R28" s="21">
        <v>0</v>
      </c>
      <c r="S28" s="19">
        <v>1</v>
      </c>
      <c r="T28" s="20">
        <v>1</v>
      </c>
      <c r="U28" s="19">
        <v>0</v>
      </c>
      <c r="V28" s="20">
        <v>1</v>
      </c>
      <c r="W28" s="20">
        <v>1</v>
      </c>
      <c r="X28" s="20">
        <v>1</v>
      </c>
      <c r="Y28" s="20">
        <v>1</v>
      </c>
      <c r="Z28" s="20">
        <v>1</v>
      </c>
      <c r="AA28" s="20">
        <v>0</v>
      </c>
      <c r="AB28" s="49">
        <v>0</v>
      </c>
      <c r="AC28" s="49">
        <v>0</v>
      </c>
      <c r="AD28" s="49">
        <v>0</v>
      </c>
      <c r="AE28" s="49">
        <v>1</v>
      </c>
      <c r="AF28" s="49">
        <v>0</v>
      </c>
      <c r="AG28" s="161">
        <v>0</v>
      </c>
      <c r="AH28" s="162">
        <v>1</v>
      </c>
      <c r="AI28" s="162">
        <v>1</v>
      </c>
      <c r="AJ28" s="162">
        <v>1</v>
      </c>
      <c r="AK28" s="162">
        <v>0</v>
      </c>
      <c r="AL28" s="163">
        <v>0</v>
      </c>
      <c r="AM28" s="19">
        <v>0</v>
      </c>
      <c r="AN28" s="20">
        <f>IFERROR(INDEX([2]lijnopstellingsfiche!$AP$1:$AP$65536,MATCH(A28,[2]lijnopstellingsfiche!$AQ$1:$AQ$65536,0)),"")</f>
        <v>3</v>
      </c>
      <c r="AO28" s="20">
        <v>0</v>
      </c>
      <c r="AP28" s="20">
        <v>0</v>
      </c>
      <c r="AQ28" s="20">
        <v>2</v>
      </c>
      <c r="AR28" s="20">
        <v>0</v>
      </c>
      <c r="AS28" s="20">
        <v>0</v>
      </c>
      <c r="AT28" s="20">
        <v>0</v>
      </c>
      <c r="AU28" s="20">
        <v>0</v>
      </c>
      <c r="AV28" s="23">
        <v>0</v>
      </c>
      <c r="AW28" s="111">
        <v>1</v>
      </c>
      <c r="AX28" s="112">
        <v>0</v>
      </c>
      <c r="AY28" s="112">
        <v>1</v>
      </c>
      <c r="AZ28" s="112">
        <v>1</v>
      </c>
      <c r="BA28" s="112">
        <v>0</v>
      </c>
      <c r="BB28" s="22">
        <v>1</v>
      </c>
      <c r="BC28" s="21">
        <v>0</v>
      </c>
      <c r="BD28" s="200" t="str">
        <f>VLOOKUP($A28,'[3]allergenen 6nr'!$A$1:$O$1310,3,FALSE)</f>
        <v>-</v>
      </c>
      <c r="BE28" s="201" t="str">
        <f>VLOOKUP($A28,'[3]allergenen 6nr'!$A$1:$O$1310,4,FALSE)</f>
        <v>X</v>
      </c>
      <c r="BF28" s="201" t="str">
        <f>VLOOKUP($A28,'[3]allergenen 6nr'!$A$1:$O$1310,5,FALSE)</f>
        <v>+</v>
      </c>
      <c r="BG28" s="201" t="str">
        <f>VLOOKUP($A28,'[3]allergenen 6nr'!$A$1:$O$1310,6,FALSE)</f>
        <v>X</v>
      </c>
      <c r="BH28" s="201" t="str">
        <f>VLOOKUP($A28,'[3]allergenen 6nr'!$A$1:$O$1310,7,FALSE)</f>
        <v>+</v>
      </c>
      <c r="BI28" s="201" t="str">
        <f>VLOOKUP($A28,'[3]allergenen 6nr'!$A$1:$O$1310,8,FALSE)</f>
        <v>X</v>
      </c>
      <c r="BJ28" s="201" t="str">
        <f>VLOOKUP($A28,'[3]allergenen 6nr'!$A$1:$O$1310,9,FALSE)</f>
        <v>-</v>
      </c>
      <c r="BK28" s="201" t="str">
        <f>VLOOKUP($A28,'[3]allergenen 6nr'!$A$1:$O$1310,10,FALSE)</f>
        <v>-</v>
      </c>
      <c r="BL28" s="201" t="str">
        <f>VLOOKUP($A28,'[3]allergenen 6nr'!$A$1:$O$1310,11,FALSE)</f>
        <v>-</v>
      </c>
      <c r="BM28" s="201" t="str">
        <f>VLOOKUP($A28,'[3]allergenen 6nr'!$A$1:$O$1310,12,FALSE)</f>
        <v>-</v>
      </c>
      <c r="BN28" s="201" t="str">
        <f>VLOOKUP($A28,'[3]allergenen 6nr'!$A$1:$O$1310,13,FALSE)</f>
        <v>X</v>
      </c>
      <c r="BO28" s="201" t="str">
        <f>VLOOKUP($A28,'[3]allergenen 6nr'!$A$1:$O$1310,14,FALSE)</f>
        <v>-</v>
      </c>
      <c r="BP28" s="202" t="str">
        <f>VLOOKUP($A28,'[3]allergenen 6nr'!$A$1:$O$1310,15,FALSE)</f>
        <v>-</v>
      </c>
    </row>
    <row r="29" spans="1:173" s="92" customFormat="1" x14ac:dyDescent="0.2">
      <c r="A29" s="89">
        <v>61693700</v>
      </c>
      <c r="B29" s="53" t="str">
        <f>VLOOKUP($A29,[1]maaltijden!$A$1:$IV$65536,4,FALSE)</f>
        <v>BOF BE HAM WITLOOFROLLETJES PUREE 500G</v>
      </c>
      <c r="C29" s="46" t="str">
        <f>VLOOKUP($A29,[1]maaltijden!$A$1:$IV$65536,7,FALSE)</f>
        <v>C2227-2X</v>
      </c>
      <c r="D29" s="22" t="str">
        <f>VLOOKUP($A29,[1]maaltijden!$A$1:$IV$65536,10,FALSE)</f>
        <v>H10</v>
      </c>
      <c r="E29" s="22" t="str">
        <f>VLOOKUP($A29,[1]maaltijden!$A$1:$IV$65536,13,FALSE)</f>
        <v>H10X8</v>
      </c>
      <c r="F29" s="20">
        <f t="shared" si="0"/>
        <v>0</v>
      </c>
      <c r="G29" s="91" t="str">
        <f>VLOOKUP($A29,[1]maaltijden!$A$1:$IV$65536,27,FALSE)</f>
        <v>! !</v>
      </c>
      <c r="H29" s="22">
        <f>VLOOKUP($A29,[1]maaltijden!$A$1:$IV$65536,21,FALSE)</f>
        <v>11</v>
      </c>
      <c r="I29" s="22">
        <f>VLOOKUP($A29,[1]maaltijden!$A$1:$IV$65536,21,FALSE)</f>
        <v>11</v>
      </c>
      <c r="J29" s="22">
        <f>VLOOKUP($A29,[1]maaltijden!$A$1:$IV$65536,18,FALSE)</f>
        <v>2</v>
      </c>
      <c r="K29" s="22">
        <f>VLOOKUP($A29,[1]maaltijden!$A$1:$IV$65536,17,FALSE)</f>
        <v>2</v>
      </c>
      <c r="L29" s="22">
        <f>VLOOKUP($A29,[1]maaltijden!$A$1:$IV$65536,20,FALSE)</f>
        <v>1500</v>
      </c>
      <c r="M29" s="22">
        <f>VLOOKUP($A29,[1]maaltijden!$A$1:$IV$65536,22,FALSE)</f>
        <v>1500</v>
      </c>
      <c r="N29" s="134">
        <v>0</v>
      </c>
      <c r="O29" s="21">
        <v>0</v>
      </c>
      <c r="P29" s="19">
        <v>1</v>
      </c>
      <c r="Q29" s="20">
        <v>2</v>
      </c>
      <c r="R29" s="21">
        <v>0</v>
      </c>
      <c r="S29" s="19">
        <v>1</v>
      </c>
      <c r="T29" s="20">
        <v>1</v>
      </c>
      <c r="U29" s="19">
        <v>0</v>
      </c>
      <c r="V29" s="20">
        <v>1</v>
      </c>
      <c r="W29" s="20">
        <v>1</v>
      </c>
      <c r="X29" s="20">
        <v>1</v>
      </c>
      <c r="Y29" s="20">
        <v>1</v>
      </c>
      <c r="Z29" s="20">
        <v>1</v>
      </c>
      <c r="AA29" s="20">
        <v>0</v>
      </c>
      <c r="AB29" s="49">
        <v>0</v>
      </c>
      <c r="AC29" s="49">
        <v>1</v>
      </c>
      <c r="AD29" s="49">
        <v>0</v>
      </c>
      <c r="AE29" s="49">
        <v>1</v>
      </c>
      <c r="AF29" s="49">
        <v>0</v>
      </c>
      <c r="AG29" s="161">
        <v>0</v>
      </c>
      <c r="AH29" s="162">
        <v>2</v>
      </c>
      <c r="AI29" s="162">
        <v>0</v>
      </c>
      <c r="AJ29" s="162">
        <v>0</v>
      </c>
      <c r="AK29" s="162">
        <v>0</v>
      </c>
      <c r="AL29" s="163">
        <v>0</v>
      </c>
      <c r="AM29" s="19">
        <v>0</v>
      </c>
      <c r="AN29" s="20">
        <f>IFERROR(INDEX([2]lijnopstellingsfiche!$AP$1:$AP$65536,MATCH(A29,[2]lijnopstellingsfiche!$AQ$1:$AQ$65536,0)),"")</f>
        <v>9</v>
      </c>
      <c r="AO29" s="20">
        <v>0</v>
      </c>
      <c r="AP29" s="20">
        <v>0</v>
      </c>
      <c r="AQ29" s="20">
        <v>1</v>
      </c>
      <c r="AR29" s="20">
        <v>1</v>
      </c>
      <c r="AS29" s="20">
        <v>0</v>
      </c>
      <c r="AT29" s="20">
        <v>0</v>
      </c>
      <c r="AU29" s="20">
        <v>0</v>
      </c>
      <c r="AV29" s="23">
        <v>0</v>
      </c>
      <c r="AW29" s="111">
        <v>1</v>
      </c>
      <c r="AX29" s="112">
        <v>0</v>
      </c>
      <c r="AY29" s="112">
        <v>1</v>
      </c>
      <c r="AZ29" s="112">
        <v>1</v>
      </c>
      <c r="BA29" s="112">
        <v>0</v>
      </c>
      <c r="BB29" s="22">
        <v>1</v>
      </c>
      <c r="BC29" s="21">
        <v>0</v>
      </c>
      <c r="BD29" s="200" t="str">
        <f>VLOOKUP($A29,'[3]allergenen 6nr'!$A$1:$O$1310,3,FALSE)</f>
        <v>-</v>
      </c>
      <c r="BE29" s="201" t="str">
        <f>VLOOKUP($A29,'[3]allergenen 6nr'!$A$1:$O$1310,4,FALSE)</f>
        <v>+</v>
      </c>
      <c r="BF29" s="201" t="str">
        <f>VLOOKUP($A29,'[3]allergenen 6nr'!$A$1:$O$1310,5,FALSE)</f>
        <v>+</v>
      </c>
      <c r="BG29" s="201" t="str">
        <f>VLOOKUP($A29,'[3]allergenen 6nr'!$A$1:$O$1310,6,FALSE)</f>
        <v>X</v>
      </c>
      <c r="BH29" s="201" t="str">
        <f>VLOOKUP($A29,'[3]allergenen 6nr'!$A$1:$O$1310,7,FALSE)</f>
        <v>+</v>
      </c>
      <c r="BI29" s="201" t="str">
        <f>VLOOKUP($A29,'[3]allergenen 6nr'!$A$1:$O$1310,8,FALSE)</f>
        <v>X</v>
      </c>
      <c r="BJ29" s="201" t="str">
        <f>VLOOKUP($A29,'[3]allergenen 6nr'!$A$1:$O$1310,9,FALSE)</f>
        <v>-</v>
      </c>
      <c r="BK29" s="201" t="str">
        <f>VLOOKUP($A29,'[3]allergenen 6nr'!$A$1:$O$1310,10,FALSE)</f>
        <v>-</v>
      </c>
      <c r="BL29" s="201" t="str">
        <f>VLOOKUP($A29,'[3]allergenen 6nr'!$A$1:$O$1310,11,FALSE)</f>
        <v>-</v>
      </c>
      <c r="BM29" s="201" t="str">
        <f>VLOOKUP($A29,'[3]allergenen 6nr'!$A$1:$O$1310,12,FALSE)</f>
        <v>-</v>
      </c>
      <c r="BN29" s="201" t="str">
        <f>VLOOKUP($A29,'[3]allergenen 6nr'!$A$1:$O$1310,13,FALSE)</f>
        <v>X</v>
      </c>
      <c r="BO29" s="201" t="str">
        <f>VLOOKUP($A29,'[3]allergenen 6nr'!$A$1:$O$1310,14,FALSE)</f>
        <v>-</v>
      </c>
      <c r="BP29" s="202" t="str">
        <f>VLOOKUP($A29,'[3]allergenen 6nr'!$A$1:$O$1310,15,FALSE)</f>
        <v>-</v>
      </c>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row>
    <row r="30" spans="1:173" x14ac:dyDescent="0.2">
      <c r="A30" s="89">
        <v>61693800</v>
      </c>
      <c r="B30" s="53" t="str">
        <f>VLOOKUP($A30,[1]maaltijden!$A$1:$IV$65536,4,FALSE)</f>
        <v>BOF BE ZALM ASC BEARNAISE BONEN SJALOTTENPUREE 450G</v>
      </c>
      <c r="C30" s="46" t="str">
        <f>VLOOKUP($A30,[1]maaltijden!$A$1:$IV$65536,7,FALSE)</f>
        <v>C2227-3C</v>
      </c>
      <c r="D30" s="22" t="str">
        <f>VLOOKUP($A30,[1]maaltijden!$A$1:$IV$65536,10,FALSE)</f>
        <v>H10</v>
      </c>
      <c r="E30" s="22" t="str">
        <f>VLOOKUP($A30,[1]maaltijden!$A$1:$IV$65536,13,FALSE)</f>
        <v>H10X8</v>
      </c>
      <c r="F30" s="20">
        <f t="shared" si="0"/>
        <v>0</v>
      </c>
      <c r="G30" s="20" t="str">
        <f>VLOOKUP($A30,[1]maaltijden!$A$1:$IV$65536,27,FALSE)</f>
        <v>! ! ! !</v>
      </c>
      <c r="H30" s="22">
        <f>VLOOKUP($A30,[1]maaltijden!$A$1:$IV$65536,21,FALSE)</f>
        <v>5</v>
      </c>
      <c r="I30" s="22">
        <f>VLOOKUP($A30,[1]maaltijden!$A$1:$IV$65536,21,FALSE)</f>
        <v>5</v>
      </c>
      <c r="J30" s="22">
        <f>VLOOKUP($A30,[1]maaltijden!$A$1:$IV$65536,18,FALSE)</f>
        <v>2</v>
      </c>
      <c r="K30" s="22">
        <f>VLOOKUP($A30,[1]maaltijden!$A$1:$IV$65536,17,FALSE)</f>
        <v>3</v>
      </c>
      <c r="L30" s="22">
        <f>VLOOKUP($A30,[1]maaltijden!$A$1:$IV$65536,20,FALSE)</f>
        <v>2000</v>
      </c>
      <c r="M30" s="22">
        <f>VLOOKUP($A30,[1]maaltijden!$A$1:$IV$65536,22,FALSE)</f>
        <v>2000</v>
      </c>
      <c r="N30" s="134">
        <v>0</v>
      </c>
      <c r="O30" s="21">
        <v>0</v>
      </c>
      <c r="P30" s="19">
        <v>1</v>
      </c>
      <c r="Q30" s="20">
        <v>2</v>
      </c>
      <c r="R30" s="21">
        <v>0</v>
      </c>
      <c r="S30" s="19">
        <v>1</v>
      </c>
      <c r="T30" s="20">
        <v>1</v>
      </c>
      <c r="U30" s="19">
        <v>1</v>
      </c>
      <c r="V30" s="20">
        <v>1</v>
      </c>
      <c r="W30" s="20">
        <v>1</v>
      </c>
      <c r="X30" s="20">
        <v>1</v>
      </c>
      <c r="Y30" s="20">
        <v>1</v>
      </c>
      <c r="Z30" s="20">
        <v>0</v>
      </c>
      <c r="AA30" s="20">
        <v>0</v>
      </c>
      <c r="AB30" s="49">
        <v>0</v>
      </c>
      <c r="AC30" s="49">
        <v>0</v>
      </c>
      <c r="AD30" s="49">
        <v>0</v>
      </c>
      <c r="AE30" s="49">
        <v>0</v>
      </c>
      <c r="AF30" s="49">
        <v>1</v>
      </c>
      <c r="AG30" s="161">
        <v>0</v>
      </c>
      <c r="AH30" s="162">
        <v>2</v>
      </c>
      <c r="AI30" s="162">
        <v>1</v>
      </c>
      <c r="AJ30" s="162">
        <v>0</v>
      </c>
      <c r="AK30" s="162">
        <v>0</v>
      </c>
      <c r="AL30" s="163">
        <v>0</v>
      </c>
      <c r="AM30" s="19">
        <v>0</v>
      </c>
      <c r="AN30" s="20" t="str">
        <f>IFERROR(INDEX([2]lijnopstellingsfiche!$AP$1:$AP$65536,MATCH(A30,[2]lijnopstellingsfiche!$AQ$1:$AQ$65536,0)),"")</f>
        <v>-</v>
      </c>
      <c r="AO30" s="20">
        <v>0</v>
      </c>
      <c r="AP30" s="20">
        <v>0</v>
      </c>
      <c r="AQ30" s="20">
        <v>1</v>
      </c>
      <c r="AR30" s="20">
        <v>1</v>
      </c>
      <c r="AS30" s="20">
        <v>0</v>
      </c>
      <c r="AT30" s="20">
        <v>0</v>
      </c>
      <c r="AU30" s="20">
        <v>0</v>
      </c>
      <c r="AV30" s="23">
        <v>0</v>
      </c>
      <c r="AW30" s="111">
        <v>1</v>
      </c>
      <c r="AX30" s="112">
        <v>0</v>
      </c>
      <c r="AY30" s="112">
        <v>1</v>
      </c>
      <c r="AZ30" s="112">
        <v>1</v>
      </c>
      <c r="BA30" s="112">
        <v>0</v>
      </c>
      <c r="BB30" s="22">
        <v>1</v>
      </c>
      <c r="BC30" s="21">
        <v>0</v>
      </c>
      <c r="BD30" s="200" t="str">
        <f>VLOOKUP($A30,'[3]allergenen 6nr'!$A$1:$O$1310,3,FALSE)</f>
        <v>-</v>
      </c>
      <c r="BE30" s="201" t="str">
        <f>VLOOKUP($A30,'[3]allergenen 6nr'!$A$1:$O$1310,4,FALSE)</f>
        <v>-</v>
      </c>
      <c r="BF30" s="201" t="str">
        <f>VLOOKUP($A30,'[3]allergenen 6nr'!$A$1:$O$1310,5,FALSE)</f>
        <v>+</v>
      </c>
      <c r="BG30" s="201" t="str">
        <f>VLOOKUP($A30,'[3]allergenen 6nr'!$A$1:$O$1310,6,FALSE)</f>
        <v>X</v>
      </c>
      <c r="BH30" s="201" t="str">
        <f>VLOOKUP($A30,'[3]allergenen 6nr'!$A$1:$O$1310,7,FALSE)</f>
        <v>+</v>
      </c>
      <c r="BI30" s="201" t="str">
        <f>VLOOKUP($A30,'[3]allergenen 6nr'!$A$1:$O$1310,8,FALSE)</f>
        <v>X</v>
      </c>
      <c r="BJ30" s="201" t="str">
        <f>VLOOKUP($A30,'[3]allergenen 6nr'!$A$1:$O$1310,9,FALSE)</f>
        <v>-</v>
      </c>
      <c r="BK30" s="201" t="str">
        <f>VLOOKUP($A30,'[3]allergenen 6nr'!$A$1:$O$1310,10,FALSE)</f>
        <v>X</v>
      </c>
      <c r="BL30" s="201" t="str">
        <f>VLOOKUP($A30,'[3]allergenen 6nr'!$A$1:$O$1310,11,FALSE)</f>
        <v>-</v>
      </c>
      <c r="BM30" s="201" t="str">
        <f>VLOOKUP($A30,'[3]allergenen 6nr'!$A$1:$O$1310,12,FALSE)</f>
        <v>-</v>
      </c>
      <c r="BN30" s="201" t="str">
        <f>VLOOKUP($A30,'[3]allergenen 6nr'!$A$1:$O$1310,13,FALSE)</f>
        <v>X</v>
      </c>
      <c r="BO30" s="201" t="str">
        <f>VLOOKUP($A30,'[3]allergenen 6nr'!$A$1:$O$1310,14,FALSE)</f>
        <v>+</v>
      </c>
      <c r="BP30" s="202" t="str">
        <f>VLOOKUP($A30,'[3]allergenen 6nr'!$A$1:$O$1310,15,FALSE)</f>
        <v>X</v>
      </c>
    </row>
    <row r="31" spans="1:173" s="92" customFormat="1" x14ac:dyDescent="0.2">
      <c r="A31" s="89">
        <v>61694000</v>
      </c>
      <c r="B31" s="53" t="str">
        <f>VLOOKUP($A31,[1]maaltijden!$A$1:$IV$65536,4,FALSE)</f>
        <v>BOF BE RUNDSTOOFPOTJE WORTELSTAMPPOT 500G</v>
      </c>
      <c r="C31" s="46" t="str">
        <f>VLOOKUP($A31,[1]maaltijden!$A$1:$IV$65536,7,FALSE)</f>
        <v>C2227-2X</v>
      </c>
      <c r="D31" s="22" t="str">
        <f>VLOOKUP($A31,[1]maaltijden!$A$1:$IV$65536,10,FALSE)</f>
        <v>H10</v>
      </c>
      <c r="E31" s="22" t="str">
        <f>VLOOKUP($A31,[1]maaltijden!$A$1:$IV$65536,13,FALSE)</f>
        <v>H10X8</v>
      </c>
      <c r="F31" s="20">
        <f t="shared" si="0"/>
        <v>0</v>
      </c>
      <c r="G31" s="91" t="str">
        <f>VLOOKUP($A31,[1]maaltijden!$A$1:$IV$65536,27,FALSE)</f>
        <v>! !</v>
      </c>
      <c r="H31" s="22">
        <f>VLOOKUP($A31,[1]maaltijden!$A$1:$IV$65536,21,FALSE)</f>
        <v>3</v>
      </c>
      <c r="I31" s="22">
        <f>VLOOKUP($A31,[1]maaltijden!$A$1:$IV$65536,21,FALSE)</f>
        <v>3</v>
      </c>
      <c r="J31" s="22">
        <f>VLOOKUP($A31,[1]maaltijden!$A$1:$IV$65536,18,FALSE)</f>
        <v>2</v>
      </c>
      <c r="K31" s="22">
        <f>VLOOKUP($A31,[1]maaltijden!$A$1:$IV$65536,17,FALSE)</f>
        <v>3</v>
      </c>
      <c r="L31" s="22">
        <f>VLOOKUP($A31,[1]maaltijden!$A$1:$IV$65536,20,FALSE)</f>
        <v>2200</v>
      </c>
      <c r="M31" s="22">
        <f>VLOOKUP($A31,[1]maaltijden!$A$1:$IV$65536,22,FALSE)</f>
        <v>2200</v>
      </c>
      <c r="N31" s="134">
        <v>0</v>
      </c>
      <c r="O31" s="21">
        <v>0</v>
      </c>
      <c r="P31" s="19">
        <v>1</v>
      </c>
      <c r="Q31" s="20">
        <v>2</v>
      </c>
      <c r="R31" s="21">
        <v>0</v>
      </c>
      <c r="S31" s="19">
        <v>1</v>
      </c>
      <c r="T31" s="20">
        <v>1</v>
      </c>
      <c r="U31" s="19">
        <v>1</v>
      </c>
      <c r="V31" s="20">
        <v>1</v>
      </c>
      <c r="W31" s="20">
        <v>1</v>
      </c>
      <c r="X31" s="20">
        <v>1</v>
      </c>
      <c r="Y31" s="20">
        <v>1</v>
      </c>
      <c r="Z31" s="20">
        <v>0</v>
      </c>
      <c r="AA31" s="20">
        <v>0</v>
      </c>
      <c r="AB31" s="49">
        <v>0</v>
      </c>
      <c r="AC31" s="49">
        <v>0</v>
      </c>
      <c r="AD31" s="49">
        <v>0</v>
      </c>
      <c r="AE31" s="49">
        <v>1</v>
      </c>
      <c r="AF31" s="49">
        <v>0</v>
      </c>
      <c r="AG31" s="161">
        <v>0</v>
      </c>
      <c r="AH31" s="162">
        <v>2</v>
      </c>
      <c r="AI31" s="162">
        <v>1</v>
      </c>
      <c r="AJ31" s="162">
        <v>0</v>
      </c>
      <c r="AK31" s="162">
        <v>0</v>
      </c>
      <c r="AL31" s="163">
        <v>0</v>
      </c>
      <c r="AM31" s="19">
        <v>0</v>
      </c>
      <c r="AN31" s="20" t="str">
        <f>IFERROR(INDEX([2]lijnopstellingsfiche!$AP$1:$AP$65536,MATCH(A31,[2]lijnopstellingsfiche!$AQ$1:$AQ$65536,0)),"")</f>
        <v>-</v>
      </c>
      <c r="AO31" s="20">
        <v>0</v>
      </c>
      <c r="AP31" s="20">
        <v>0</v>
      </c>
      <c r="AQ31" s="20">
        <v>1</v>
      </c>
      <c r="AR31" s="20">
        <v>1</v>
      </c>
      <c r="AS31" s="20">
        <v>1</v>
      </c>
      <c r="AT31" s="20">
        <v>0</v>
      </c>
      <c r="AU31" s="20">
        <v>0</v>
      </c>
      <c r="AV31" s="23">
        <v>0</v>
      </c>
      <c r="AW31" s="111">
        <v>1</v>
      </c>
      <c r="AX31" s="112">
        <v>0</v>
      </c>
      <c r="AY31" s="112">
        <v>1</v>
      </c>
      <c r="AZ31" s="112">
        <v>1</v>
      </c>
      <c r="BA31" s="112">
        <v>0</v>
      </c>
      <c r="BB31" s="22">
        <v>1</v>
      </c>
      <c r="BC31" s="21">
        <v>0</v>
      </c>
      <c r="BD31" s="200" t="str">
        <f>VLOOKUP($A31,'[3]allergenen 6nr'!$A$1:$O$1310,3,FALSE)</f>
        <v>-</v>
      </c>
      <c r="BE31" s="201" t="str">
        <f>VLOOKUP($A31,'[3]allergenen 6nr'!$A$1:$O$1310,4,FALSE)</f>
        <v>X</v>
      </c>
      <c r="BF31" s="201" t="str">
        <f>VLOOKUP($A31,'[3]allergenen 6nr'!$A$1:$O$1310,5,FALSE)</f>
        <v>X</v>
      </c>
      <c r="BG31" s="201" t="str">
        <f>VLOOKUP($A31,'[3]allergenen 6nr'!$A$1:$O$1310,6,FALSE)</f>
        <v>-</v>
      </c>
      <c r="BH31" s="201" t="str">
        <f>VLOOKUP($A31,'[3]allergenen 6nr'!$A$1:$O$1310,7,FALSE)</f>
        <v>+</v>
      </c>
      <c r="BI31" s="201" t="str">
        <f>VLOOKUP($A31,'[3]allergenen 6nr'!$A$1:$O$1310,8,FALSE)</f>
        <v>X</v>
      </c>
      <c r="BJ31" s="201" t="str">
        <f>VLOOKUP($A31,'[3]allergenen 6nr'!$A$1:$O$1310,9,FALSE)</f>
        <v>-</v>
      </c>
      <c r="BK31" s="201" t="str">
        <f>VLOOKUP($A31,'[3]allergenen 6nr'!$A$1:$O$1310,10,FALSE)</f>
        <v>-</v>
      </c>
      <c r="BL31" s="201" t="str">
        <f>VLOOKUP($A31,'[3]allergenen 6nr'!$A$1:$O$1310,11,FALSE)</f>
        <v>-</v>
      </c>
      <c r="BM31" s="201" t="str">
        <f>VLOOKUP($A31,'[3]allergenen 6nr'!$A$1:$O$1310,12,FALSE)</f>
        <v>-</v>
      </c>
      <c r="BN31" s="201" t="str">
        <f>VLOOKUP($A31,'[3]allergenen 6nr'!$A$1:$O$1310,13,FALSE)</f>
        <v>X</v>
      </c>
      <c r="BO31" s="201" t="str">
        <f>VLOOKUP($A31,'[3]allergenen 6nr'!$A$1:$O$1310,14,FALSE)</f>
        <v>-</v>
      </c>
      <c r="BP31" s="202" t="str">
        <f>VLOOKUP($A31,'[3]allergenen 6nr'!$A$1:$O$1310,15,FALSE)</f>
        <v>-</v>
      </c>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row>
    <row r="32" spans="1:173" s="92" customFormat="1" x14ac:dyDescent="0.2">
      <c r="A32" s="89">
        <v>61694200</v>
      </c>
      <c r="B32" s="53" t="str">
        <f>VLOOKUP($A32,[1]maaltijden!$A$1:$IV$65536,4,FALSE)</f>
        <v>BOF BE KROKANTE VIS MSC ROOMSPINAZIE PUREE 450G</v>
      </c>
      <c r="C32" s="46" t="str">
        <f>VLOOKUP($A32,[1]maaltijden!$A$1:$IV$65536,7,FALSE)</f>
        <v>C2227-3C</v>
      </c>
      <c r="D32" s="22" t="str">
        <f>VLOOKUP($A32,[1]maaltijden!$A$1:$IV$65536,10,FALSE)</f>
        <v>H10</v>
      </c>
      <c r="E32" s="22" t="str">
        <f>VLOOKUP($A32,[1]maaltijden!$A$1:$IV$65536,13,FALSE)</f>
        <v>H10X8</v>
      </c>
      <c r="F32" s="20">
        <f t="shared" si="0"/>
        <v>0</v>
      </c>
      <c r="G32" s="91" t="str">
        <f>VLOOKUP($A32,[1]maaltijden!$A$1:$IV$65536,27,FALSE)</f>
        <v>! ! ! !</v>
      </c>
      <c r="H32" s="22">
        <f>VLOOKUP($A32,[1]maaltijden!$A$1:$IV$65536,21,FALSE)</f>
        <v>2</v>
      </c>
      <c r="I32" s="22">
        <f>VLOOKUP($A32,[1]maaltijden!$A$1:$IV$65536,21,FALSE)</f>
        <v>2</v>
      </c>
      <c r="J32" s="22">
        <f>VLOOKUP($A32,[1]maaltijden!$A$1:$IV$65536,18,FALSE)</f>
        <v>2</v>
      </c>
      <c r="K32" s="22">
        <f>VLOOKUP($A32,[1]maaltijden!$A$1:$IV$65536,17,FALSE)</f>
        <v>2</v>
      </c>
      <c r="L32" s="22">
        <f>VLOOKUP($A32,[1]maaltijden!$A$1:$IV$65536,20,FALSE)</f>
        <v>2200</v>
      </c>
      <c r="M32" s="22">
        <f>VLOOKUP($A32,[1]maaltijden!$A$1:$IV$65536,22,FALSE)</f>
        <v>2200</v>
      </c>
      <c r="N32" s="134">
        <v>0</v>
      </c>
      <c r="O32" s="21">
        <v>0</v>
      </c>
      <c r="P32" s="19">
        <v>1</v>
      </c>
      <c r="Q32" s="20">
        <v>2</v>
      </c>
      <c r="R32" s="21">
        <v>0</v>
      </c>
      <c r="S32" s="19">
        <v>1</v>
      </c>
      <c r="T32" s="20">
        <v>1</v>
      </c>
      <c r="U32" s="19">
        <v>1</v>
      </c>
      <c r="V32" s="20">
        <v>1</v>
      </c>
      <c r="W32" s="20">
        <v>1</v>
      </c>
      <c r="X32" s="20">
        <v>1</v>
      </c>
      <c r="Y32" s="20">
        <v>1</v>
      </c>
      <c r="Z32" s="20">
        <v>0</v>
      </c>
      <c r="AA32" s="20">
        <v>0</v>
      </c>
      <c r="AB32" s="49">
        <v>0</v>
      </c>
      <c r="AC32" s="49">
        <v>0</v>
      </c>
      <c r="AD32" s="49">
        <v>0</v>
      </c>
      <c r="AE32" s="49">
        <v>1</v>
      </c>
      <c r="AF32" s="49">
        <v>0</v>
      </c>
      <c r="AG32" s="161">
        <v>0</v>
      </c>
      <c r="AH32" s="162">
        <v>2</v>
      </c>
      <c r="AI32" s="162">
        <v>1</v>
      </c>
      <c r="AJ32" s="162">
        <v>0</v>
      </c>
      <c r="AK32" s="162">
        <v>0</v>
      </c>
      <c r="AL32" s="163">
        <v>0</v>
      </c>
      <c r="AM32" s="19">
        <v>0</v>
      </c>
      <c r="AN32" s="20" t="str">
        <f>IFERROR(INDEX([2]lijnopstellingsfiche!$AP$1:$AP$65536,MATCH(A32,[2]lijnopstellingsfiche!$AQ$1:$AQ$65536,0)),"")</f>
        <v>-</v>
      </c>
      <c r="AO32" s="20">
        <v>0</v>
      </c>
      <c r="AP32" s="20">
        <v>0</v>
      </c>
      <c r="AQ32" s="20">
        <v>1</v>
      </c>
      <c r="AR32" s="20">
        <v>1</v>
      </c>
      <c r="AS32" s="20">
        <v>0</v>
      </c>
      <c r="AT32" s="20">
        <v>0</v>
      </c>
      <c r="AU32" s="20">
        <v>0</v>
      </c>
      <c r="AV32" s="23">
        <v>0</v>
      </c>
      <c r="AW32" s="111">
        <v>1</v>
      </c>
      <c r="AX32" s="112">
        <v>0</v>
      </c>
      <c r="AY32" s="112">
        <v>1</v>
      </c>
      <c r="AZ32" s="112">
        <v>1</v>
      </c>
      <c r="BA32" s="112">
        <v>0</v>
      </c>
      <c r="BB32" s="22">
        <v>1</v>
      </c>
      <c r="BC32" s="21">
        <v>0</v>
      </c>
      <c r="BD32" s="200" t="str">
        <f>VLOOKUP($A32,'[3]allergenen 6nr'!$A$1:$O$1310,3,FALSE)</f>
        <v>-</v>
      </c>
      <c r="BE32" s="201" t="str">
        <f>VLOOKUP($A32,'[3]allergenen 6nr'!$A$1:$O$1310,4,FALSE)</f>
        <v>+</v>
      </c>
      <c r="BF32" s="201" t="str">
        <f>VLOOKUP($A32,'[3]allergenen 6nr'!$A$1:$O$1310,5,FALSE)</f>
        <v>+</v>
      </c>
      <c r="BG32" s="201" t="str">
        <f>VLOOKUP($A32,'[3]allergenen 6nr'!$A$1:$O$1310,6,FALSE)</f>
        <v>-</v>
      </c>
      <c r="BH32" s="201" t="str">
        <f>VLOOKUP($A32,'[3]allergenen 6nr'!$A$1:$O$1310,7,FALSE)</f>
        <v>+</v>
      </c>
      <c r="BI32" s="201" t="str">
        <f>VLOOKUP($A32,'[3]allergenen 6nr'!$A$1:$O$1310,8,FALSE)</f>
        <v>-</v>
      </c>
      <c r="BJ32" s="201" t="str">
        <f>VLOOKUP($A32,'[3]allergenen 6nr'!$A$1:$O$1310,9,FALSE)</f>
        <v>-</v>
      </c>
      <c r="BK32" s="201" t="str">
        <f>VLOOKUP($A32,'[3]allergenen 6nr'!$A$1:$O$1310,10,FALSE)</f>
        <v>-</v>
      </c>
      <c r="BL32" s="201" t="str">
        <f>VLOOKUP($A32,'[3]allergenen 6nr'!$A$1:$O$1310,11,FALSE)</f>
        <v>-</v>
      </c>
      <c r="BM32" s="201" t="str">
        <f>VLOOKUP($A32,'[3]allergenen 6nr'!$A$1:$O$1310,12,FALSE)</f>
        <v>-</v>
      </c>
      <c r="BN32" s="201" t="str">
        <f>VLOOKUP($A32,'[3]allergenen 6nr'!$A$1:$O$1310,13,FALSE)</f>
        <v>-</v>
      </c>
      <c r="BO32" s="201" t="str">
        <f>VLOOKUP($A32,'[3]allergenen 6nr'!$A$1:$O$1310,14,FALSE)</f>
        <v>+</v>
      </c>
      <c r="BP32" s="202" t="str">
        <f>VLOOKUP($A32,'[3]allergenen 6nr'!$A$1:$O$1310,15,FALSE)</f>
        <v>-</v>
      </c>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row>
    <row r="33" spans="1:173" x14ac:dyDescent="0.2">
      <c r="A33" s="89">
        <v>61694300</v>
      </c>
      <c r="B33" s="53" t="str">
        <f>VLOOKUP($A33,[1]maaltijden!$A$1:$IV$65536,4,FALSE)</f>
        <v>BOF BE KIPHAASJE ARCHIDUC WORTEL ERWT AARDAP 460G</v>
      </c>
      <c r="C33" s="46" t="str">
        <f>VLOOKUP($A33,[1]maaltijden!$A$1:$IV$65536,7,FALSE)</f>
        <v>C2227-3C</v>
      </c>
      <c r="D33" s="22" t="str">
        <f>VLOOKUP($A33,[1]maaltijden!$A$1:$IV$65536,10,FALSE)</f>
        <v>H10</v>
      </c>
      <c r="E33" s="22" t="str">
        <f>VLOOKUP($A33,[1]maaltijden!$A$1:$IV$65536,13,FALSE)</f>
        <v>H10X8</v>
      </c>
      <c r="F33" s="20">
        <f t="shared" si="0"/>
        <v>0</v>
      </c>
      <c r="G33" s="20" t="str">
        <f>VLOOKUP($A33,[1]maaltijden!$A$1:$IV$65536,27,FALSE)</f>
        <v>! !</v>
      </c>
      <c r="H33" s="22">
        <f>VLOOKUP($A33,[1]maaltijden!$A$1:$IV$65536,21,FALSE)</f>
        <v>6</v>
      </c>
      <c r="I33" s="22">
        <f>VLOOKUP($A33,[1]maaltijden!$A$1:$IV$65536,21,FALSE)</f>
        <v>6</v>
      </c>
      <c r="J33" s="22">
        <f>VLOOKUP($A33,[1]maaltijden!$A$1:$IV$65536,18,FALSE)</f>
        <v>2</v>
      </c>
      <c r="K33" s="22">
        <f>VLOOKUP($A33,[1]maaltijden!$A$1:$IV$65536,17,FALSE)</f>
        <v>2</v>
      </c>
      <c r="L33" s="22">
        <f>VLOOKUP($A33,[1]maaltijden!$A$1:$IV$65536,20,FALSE)</f>
        <v>2200</v>
      </c>
      <c r="M33" s="22">
        <f>VLOOKUP($A33,[1]maaltijden!$A$1:$IV$65536,22,FALSE)</f>
        <v>2200</v>
      </c>
      <c r="N33" s="134">
        <v>0</v>
      </c>
      <c r="O33" s="21">
        <v>0</v>
      </c>
      <c r="P33" s="19">
        <v>1</v>
      </c>
      <c r="Q33" s="20">
        <v>2</v>
      </c>
      <c r="R33" s="21">
        <v>0</v>
      </c>
      <c r="S33" s="19">
        <v>1</v>
      </c>
      <c r="T33" s="20">
        <v>1</v>
      </c>
      <c r="U33" s="19">
        <v>1</v>
      </c>
      <c r="V33" s="20">
        <v>1</v>
      </c>
      <c r="W33" s="20">
        <v>1</v>
      </c>
      <c r="X33" s="20">
        <v>1</v>
      </c>
      <c r="Y33" s="20">
        <v>1</v>
      </c>
      <c r="Z33" s="20">
        <v>0</v>
      </c>
      <c r="AA33" s="20">
        <v>0</v>
      </c>
      <c r="AB33" s="49">
        <v>0</v>
      </c>
      <c r="AC33" s="49">
        <v>0</v>
      </c>
      <c r="AD33" s="49">
        <v>0</v>
      </c>
      <c r="AE33" s="49">
        <v>0</v>
      </c>
      <c r="AF33" s="49">
        <v>0</v>
      </c>
      <c r="AG33" s="161">
        <v>0</v>
      </c>
      <c r="AH33" s="162">
        <v>2</v>
      </c>
      <c r="AI33" s="162">
        <v>1</v>
      </c>
      <c r="AJ33" s="162">
        <v>0</v>
      </c>
      <c r="AK33" s="162">
        <v>0</v>
      </c>
      <c r="AL33" s="163">
        <v>0</v>
      </c>
      <c r="AM33" s="19">
        <v>0</v>
      </c>
      <c r="AN33" s="20" t="str">
        <f>IFERROR(INDEX([2]lijnopstellingsfiche!$AP$1:$AP$65536,MATCH(A33,[2]lijnopstellingsfiche!$AQ$1:$AQ$65536,0)),"")</f>
        <v>-</v>
      </c>
      <c r="AO33" s="20">
        <v>0</v>
      </c>
      <c r="AP33" s="20">
        <v>0</v>
      </c>
      <c r="AQ33" s="20">
        <v>1</v>
      </c>
      <c r="AR33" s="20">
        <v>0</v>
      </c>
      <c r="AS33" s="20">
        <v>1</v>
      </c>
      <c r="AT33" s="20">
        <v>0</v>
      </c>
      <c r="AU33" s="20">
        <v>0</v>
      </c>
      <c r="AV33" s="23">
        <v>0</v>
      </c>
      <c r="AW33" s="111">
        <v>1</v>
      </c>
      <c r="AX33" s="112">
        <v>0</v>
      </c>
      <c r="AY33" s="112">
        <v>1</v>
      </c>
      <c r="AZ33" s="112">
        <v>1</v>
      </c>
      <c r="BA33" s="112">
        <v>0</v>
      </c>
      <c r="BB33" s="22">
        <v>1</v>
      </c>
      <c r="BC33" s="21">
        <v>0</v>
      </c>
      <c r="BD33" s="200" t="str">
        <f>VLOOKUP($A33,'[3]allergenen 6nr'!$A$1:$O$1310,3,FALSE)</f>
        <v>-</v>
      </c>
      <c r="BE33" s="201" t="str">
        <f>VLOOKUP($A33,'[3]allergenen 6nr'!$A$1:$O$1310,4,FALSE)</f>
        <v>X</v>
      </c>
      <c r="BF33" s="201" t="str">
        <f>VLOOKUP($A33,'[3]allergenen 6nr'!$A$1:$O$1310,5,FALSE)</f>
        <v>+</v>
      </c>
      <c r="BG33" s="201" t="str">
        <f>VLOOKUP($A33,'[3]allergenen 6nr'!$A$1:$O$1310,6,FALSE)</f>
        <v>X</v>
      </c>
      <c r="BH33" s="201" t="str">
        <f>VLOOKUP($A33,'[3]allergenen 6nr'!$A$1:$O$1310,7,FALSE)</f>
        <v>+</v>
      </c>
      <c r="BI33" s="201" t="str">
        <f>VLOOKUP($A33,'[3]allergenen 6nr'!$A$1:$O$1310,8,FALSE)</f>
        <v>X</v>
      </c>
      <c r="BJ33" s="201" t="str">
        <f>VLOOKUP($A33,'[3]allergenen 6nr'!$A$1:$O$1310,9,FALSE)</f>
        <v>-</v>
      </c>
      <c r="BK33" s="201" t="str">
        <f>VLOOKUP($A33,'[3]allergenen 6nr'!$A$1:$O$1310,10,FALSE)</f>
        <v>-</v>
      </c>
      <c r="BL33" s="201" t="str">
        <f>VLOOKUP($A33,'[3]allergenen 6nr'!$A$1:$O$1310,11,FALSE)</f>
        <v>-</v>
      </c>
      <c r="BM33" s="201" t="str">
        <f>VLOOKUP($A33,'[3]allergenen 6nr'!$A$1:$O$1310,12,FALSE)</f>
        <v>-</v>
      </c>
      <c r="BN33" s="201" t="str">
        <f>VLOOKUP($A33,'[3]allergenen 6nr'!$A$1:$O$1310,13,FALSE)</f>
        <v>X</v>
      </c>
      <c r="BO33" s="201" t="str">
        <f>VLOOKUP($A33,'[3]allergenen 6nr'!$A$1:$O$1310,14,FALSE)</f>
        <v>-</v>
      </c>
      <c r="BP33" s="202" t="str">
        <f>VLOOKUP($A33,'[3]allergenen 6nr'!$A$1:$O$1310,15,FALSE)</f>
        <v>-</v>
      </c>
    </row>
    <row r="34" spans="1:173" s="92" customFormat="1" x14ac:dyDescent="0.2">
      <c r="A34" s="126">
        <v>61694400</v>
      </c>
      <c r="B34" s="53" t="str">
        <f>VLOOKUP($A34,[1]maaltijden!$A$1:$IV$65536,4,FALSE)</f>
        <v>BOF BE BOERENWORST MOSTERDSAUS WORT COUR AARD 420G</v>
      </c>
      <c r="C34" s="46" t="str">
        <f>VLOOKUP($A34,[1]maaltijden!$A$1:$IV$65536,7,FALSE)</f>
        <v>C2227-3C</v>
      </c>
      <c r="D34" s="22" t="str">
        <f>VLOOKUP($A34,[1]maaltijden!$A$1:$IV$65536,10,FALSE)</f>
        <v>H10</v>
      </c>
      <c r="E34" s="22" t="str">
        <f>VLOOKUP($A34,[1]maaltijden!$A$1:$IV$65536,13,FALSE)</f>
        <v>H10X8</v>
      </c>
      <c r="F34" s="20">
        <f t="shared" si="0"/>
        <v>0</v>
      </c>
      <c r="G34" s="20">
        <f>VLOOKUP($A34,[1]maaltijden!$A$1:$IV$65536,27,FALSE)</f>
        <v>0</v>
      </c>
      <c r="H34" s="130">
        <f>VLOOKUP($A34,[1]maaltijden!$A$1:$IV$65536,21,FALSE)</f>
        <v>0</v>
      </c>
      <c r="I34" s="130">
        <f>VLOOKUP($A34,[1]maaltijden!$A$1:$IV$65536,21,FALSE)</f>
        <v>0</v>
      </c>
      <c r="J34" s="130">
        <f>VLOOKUP($A34,[1]maaltijden!$A$1:$IV$65536,18,FALSE)</f>
        <v>0</v>
      </c>
      <c r="K34" s="130">
        <f>VLOOKUP($A34,[1]maaltijden!$A$1:$IV$65536,17,FALSE)</f>
        <v>0</v>
      </c>
      <c r="L34" s="130">
        <f>VLOOKUP($A34,[1]maaltijden!$A$1:$IV$65536,20,FALSE)</f>
        <v>0</v>
      </c>
      <c r="M34" s="130">
        <f>VLOOKUP($A34,[1]maaltijden!$A$1:$IV$65536,22,FALSE)</f>
        <v>0</v>
      </c>
      <c r="N34" s="134">
        <v>0</v>
      </c>
      <c r="O34" s="21">
        <v>0</v>
      </c>
      <c r="P34" s="19">
        <v>1</v>
      </c>
      <c r="Q34" s="20">
        <v>2</v>
      </c>
      <c r="R34" s="21">
        <v>0</v>
      </c>
      <c r="S34" s="19">
        <v>1</v>
      </c>
      <c r="T34" s="20">
        <v>1</v>
      </c>
      <c r="U34" s="128"/>
      <c r="V34" s="129"/>
      <c r="W34" s="129"/>
      <c r="X34" s="129"/>
      <c r="Y34" s="129"/>
      <c r="Z34" s="129"/>
      <c r="AA34" s="129"/>
      <c r="AB34" s="131"/>
      <c r="AC34" s="131"/>
      <c r="AD34" s="131"/>
      <c r="AE34" s="131"/>
      <c r="AF34" s="131"/>
      <c r="AG34" s="161">
        <v>0</v>
      </c>
      <c r="AH34" s="162">
        <v>1</v>
      </c>
      <c r="AI34" s="162">
        <v>0</v>
      </c>
      <c r="AJ34" s="162">
        <v>1</v>
      </c>
      <c r="AK34" s="162">
        <v>0</v>
      </c>
      <c r="AL34" s="163">
        <v>0</v>
      </c>
      <c r="AM34" s="128">
        <v>0</v>
      </c>
      <c r="AN34" s="20">
        <f>IFERROR(INDEX([2]lijnopstellingsfiche!$AP$1:$AP$65536,MATCH(A34,[2]lijnopstellingsfiche!$AQ$1:$AQ$65536,0)),"")</f>
        <v>1</v>
      </c>
      <c r="AO34" s="129"/>
      <c r="AP34" s="129"/>
      <c r="AQ34" s="129"/>
      <c r="AR34" s="129"/>
      <c r="AS34" s="129"/>
      <c r="AT34" s="129"/>
      <c r="AU34" s="129"/>
      <c r="AV34" s="132">
        <v>0</v>
      </c>
      <c r="AW34" s="179"/>
      <c r="AX34" s="180"/>
      <c r="AY34" s="180"/>
      <c r="AZ34" s="112">
        <v>1</v>
      </c>
      <c r="BA34" s="180"/>
      <c r="BB34" s="130">
        <v>1</v>
      </c>
      <c r="BC34" s="181"/>
      <c r="BD34" s="203" t="e">
        <f>VLOOKUP($A34,'[3]allergenen 6nr'!$A$1:$O$1310,3,FALSE)</f>
        <v>#N/A</v>
      </c>
      <c r="BE34" s="204" t="e">
        <f>VLOOKUP($A34,'[3]allergenen 6nr'!$A$1:$O$1310,4,FALSE)</f>
        <v>#N/A</v>
      </c>
      <c r="BF34" s="204" t="e">
        <f>VLOOKUP($A34,'[3]allergenen 6nr'!$A$1:$O$1310,5,FALSE)</f>
        <v>#N/A</v>
      </c>
      <c r="BG34" s="204" t="e">
        <f>VLOOKUP($A34,'[3]allergenen 6nr'!$A$1:$O$1310,6,FALSE)</f>
        <v>#N/A</v>
      </c>
      <c r="BH34" s="204" t="e">
        <f>VLOOKUP($A34,'[3]allergenen 6nr'!$A$1:$O$1310,7,FALSE)</f>
        <v>#N/A</v>
      </c>
      <c r="BI34" s="204" t="e">
        <f>VLOOKUP($A34,'[3]allergenen 6nr'!$A$1:$O$1310,8,FALSE)</f>
        <v>#N/A</v>
      </c>
      <c r="BJ34" s="204" t="e">
        <f>VLOOKUP($A34,'[3]allergenen 6nr'!$A$1:$O$1310,9,FALSE)</f>
        <v>#N/A</v>
      </c>
      <c r="BK34" s="204" t="e">
        <f>VLOOKUP($A34,'[3]allergenen 6nr'!$A$1:$O$1310,10,FALSE)</f>
        <v>#N/A</v>
      </c>
      <c r="BL34" s="204" t="e">
        <f>VLOOKUP($A34,'[3]allergenen 6nr'!$A$1:$O$1310,11,FALSE)</f>
        <v>#N/A</v>
      </c>
      <c r="BM34" s="204" t="e">
        <f>VLOOKUP($A34,'[3]allergenen 6nr'!$A$1:$O$1310,12,FALSE)</f>
        <v>#N/A</v>
      </c>
      <c r="BN34" s="204" t="e">
        <f>VLOOKUP($A34,'[3]allergenen 6nr'!$A$1:$O$1310,13,FALSE)</f>
        <v>#N/A</v>
      </c>
      <c r="BO34" s="204" t="e">
        <f>VLOOKUP($A34,'[3]allergenen 6nr'!$A$1:$O$1310,14,FALSE)</f>
        <v>#N/A</v>
      </c>
      <c r="BP34" s="205" t="e">
        <f>VLOOKUP($A34,'[3]allergenen 6nr'!$A$1:$O$1310,15,FALSE)</f>
        <v>#N/A</v>
      </c>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row>
    <row r="35" spans="1:173" x14ac:dyDescent="0.2">
      <c r="A35" s="89">
        <v>61694500</v>
      </c>
      <c r="B35" s="53" t="str">
        <f>VLOOKUP($A35,[1]maaltijden!$A$1:$IV$65536,4,FALSE)</f>
        <v>BOF BE KALKOENHAASJE FINE CHAMPAGNE 450G</v>
      </c>
      <c r="C35" s="46" t="str">
        <f>VLOOKUP($A35,[1]maaltijden!$A$1:$IV$65536,7,FALSE)</f>
        <v>C2227-1E</v>
      </c>
      <c r="D35" s="22" t="str">
        <f>VLOOKUP($A35,[1]maaltijden!$A$1:$IV$65536,10,FALSE)</f>
        <v>H10</v>
      </c>
      <c r="E35" s="22" t="str">
        <f>VLOOKUP($A35,[1]maaltijden!$A$1:$IV$65536,13,FALSE)</f>
        <v>H10X8</v>
      </c>
      <c r="F35" s="20">
        <f t="shared" si="0"/>
        <v>0</v>
      </c>
      <c r="G35" s="20" t="str">
        <f>VLOOKUP($A35,[1]maaltijden!$A$1:$IV$65536,27,FALSE)</f>
        <v>! !</v>
      </c>
      <c r="H35" s="22">
        <f>VLOOKUP($A35,[1]maaltijden!$A$1:$IV$65536,21,FALSE)</f>
        <v>10</v>
      </c>
      <c r="I35" s="22">
        <f>VLOOKUP($A35,[1]maaltijden!$A$1:$IV$65536,21,FALSE)</f>
        <v>10</v>
      </c>
      <c r="J35" s="22">
        <f>VLOOKUP($A35,[1]maaltijden!$A$1:$IV$65536,18,FALSE)</f>
        <v>2</v>
      </c>
      <c r="K35" s="22">
        <f>VLOOKUP($A35,[1]maaltijden!$A$1:$IV$65536,17,FALSE)</f>
        <v>1</v>
      </c>
      <c r="L35" s="22">
        <f>VLOOKUP($A35,[1]maaltijden!$A$1:$IV$65536,20,FALSE)</f>
        <v>2200</v>
      </c>
      <c r="M35" s="22">
        <f>VLOOKUP($A35,[1]maaltijden!$A$1:$IV$65536,22,FALSE)</f>
        <v>2200</v>
      </c>
      <c r="N35" s="136">
        <v>0</v>
      </c>
      <c r="O35" s="21">
        <v>0</v>
      </c>
      <c r="P35" s="19">
        <v>1</v>
      </c>
      <c r="Q35" s="20">
        <v>2</v>
      </c>
      <c r="R35" s="21">
        <v>0</v>
      </c>
      <c r="S35" s="19">
        <v>1</v>
      </c>
      <c r="T35" s="20">
        <v>1</v>
      </c>
      <c r="U35" s="19">
        <v>0</v>
      </c>
      <c r="V35" s="20">
        <v>1</v>
      </c>
      <c r="W35" s="20">
        <v>1</v>
      </c>
      <c r="X35" s="20">
        <v>1</v>
      </c>
      <c r="Y35" s="20">
        <v>1</v>
      </c>
      <c r="Z35" s="20">
        <v>1</v>
      </c>
      <c r="AA35" s="20">
        <v>1</v>
      </c>
      <c r="AB35" s="49">
        <v>0</v>
      </c>
      <c r="AC35" s="49">
        <v>0</v>
      </c>
      <c r="AD35" s="49">
        <v>0</v>
      </c>
      <c r="AE35" s="49">
        <v>0</v>
      </c>
      <c r="AF35" s="49">
        <v>0</v>
      </c>
      <c r="AG35" s="161">
        <v>0</v>
      </c>
      <c r="AH35" s="162">
        <v>1</v>
      </c>
      <c r="AI35" s="162">
        <v>1</v>
      </c>
      <c r="AJ35" s="162">
        <v>0</v>
      </c>
      <c r="AK35" s="162">
        <v>0</v>
      </c>
      <c r="AL35" s="163">
        <v>0</v>
      </c>
      <c r="AM35" s="19">
        <v>0</v>
      </c>
      <c r="AN35" s="20">
        <f>IFERROR(INDEX([2]lijnopstellingsfiche!$AP$1:$AP$65536,MATCH(A35,[2]lijnopstellingsfiche!$AQ$1:$AQ$65536,0)),"")</f>
        <v>8</v>
      </c>
      <c r="AO35" s="20">
        <v>0</v>
      </c>
      <c r="AP35" s="20">
        <v>0</v>
      </c>
      <c r="AQ35" s="20">
        <v>2</v>
      </c>
      <c r="AR35" s="20">
        <v>0</v>
      </c>
      <c r="AS35" s="20">
        <v>0</v>
      </c>
      <c r="AT35" s="20">
        <v>0</v>
      </c>
      <c r="AU35" s="20">
        <v>0</v>
      </c>
      <c r="AV35" s="23">
        <v>0</v>
      </c>
      <c r="AW35" s="111">
        <v>1</v>
      </c>
      <c r="AX35" s="112">
        <v>0</v>
      </c>
      <c r="AY35" s="112">
        <v>1</v>
      </c>
      <c r="AZ35" s="112">
        <v>1</v>
      </c>
      <c r="BA35" s="112">
        <v>0</v>
      </c>
      <c r="BB35" s="22">
        <v>1</v>
      </c>
      <c r="BC35" s="21">
        <v>0</v>
      </c>
      <c r="BD35" s="200" t="str">
        <f>VLOOKUP($A35,'[3]allergenen 6nr'!$A$1:$O$1310,3,FALSE)</f>
        <v>-</v>
      </c>
      <c r="BE35" s="201" t="str">
        <f>VLOOKUP($A35,'[3]allergenen 6nr'!$A$1:$O$1310,4,FALSE)</f>
        <v>X</v>
      </c>
      <c r="BF35" s="201" t="str">
        <f>VLOOKUP($A35,'[3]allergenen 6nr'!$A$1:$O$1310,5,FALSE)</f>
        <v>+</v>
      </c>
      <c r="BG35" s="201" t="str">
        <f>VLOOKUP($A35,'[3]allergenen 6nr'!$A$1:$O$1310,6,FALSE)</f>
        <v>X</v>
      </c>
      <c r="BH35" s="201" t="str">
        <f>VLOOKUP($A35,'[3]allergenen 6nr'!$A$1:$O$1310,7,FALSE)</f>
        <v>+</v>
      </c>
      <c r="BI35" s="201" t="str">
        <f>VLOOKUP($A35,'[3]allergenen 6nr'!$A$1:$O$1310,8,FALSE)</f>
        <v>X</v>
      </c>
      <c r="BJ35" s="201" t="str">
        <f>VLOOKUP($A35,'[3]allergenen 6nr'!$A$1:$O$1310,9,FALSE)</f>
        <v>-</v>
      </c>
      <c r="BK35" s="201" t="str">
        <f>VLOOKUP($A35,'[3]allergenen 6nr'!$A$1:$O$1310,10,FALSE)</f>
        <v>-</v>
      </c>
      <c r="BL35" s="201" t="str">
        <f>VLOOKUP($A35,'[3]allergenen 6nr'!$A$1:$O$1310,11,FALSE)</f>
        <v>-</v>
      </c>
      <c r="BM35" s="201" t="str">
        <f>VLOOKUP($A35,'[3]allergenen 6nr'!$A$1:$O$1310,12,FALSE)</f>
        <v>-</v>
      </c>
      <c r="BN35" s="201" t="str">
        <f>VLOOKUP($A35,'[3]allergenen 6nr'!$A$1:$O$1310,13,FALSE)</f>
        <v>X</v>
      </c>
      <c r="BO35" s="201" t="str">
        <f>VLOOKUP($A35,'[3]allergenen 6nr'!$A$1:$O$1310,14,FALSE)</f>
        <v>-</v>
      </c>
      <c r="BP35" s="202" t="str">
        <f>VLOOKUP($A35,'[3]allergenen 6nr'!$A$1:$O$1310,15,FALSE)</f>
        <v>-</v>
      </c>
    </row>
    <row r="36" spans="1:173" s="105" customFormat="1" x14ac:dyDescent="0.2">
      <c r="A36" s="89">
        <v>61694600</v>
      </c>
      <c r="B36" s="53" t="str">
        <f>VLOOKUP($A36,[1]maaltijden!$A$1:$IV$65536,4,FALSE)</f>
        <v>BOF BE VA GEBRAAD BOONTJES PUREE 450G</v>
      </c>
      <c r="C36" s="46" t="str">
        <f>VLOOKUP($A36,[1]maaltijden!$A$1:$IV$65536,7,FALSE)</f>
        <v>C2227-2X</v>
      </c>
      <c r="D36" s="22" t="str">
        <f>VLOOKUP($A36,[1]maaltijden!$A$1:$IV$65536,10,FALSE)</f>
        <v>H10</v>
      </c>
      <c r="E36" s="22" t="str">
        <f>VLOOKUP($A36,[1]maaltijden!$A$1:$IV$65536,13,FALSE)</f>
        <v>H10X8</v>
      </c>
      <c r="F36" s="20">
        <f t="shared" si="0"/>
        <v>0</v>
      </c>
      <c r="G36" s="104" t="str">
        <f>VLOOKUP($A36,[1]maaltijden!$A$1:$IV$65536,27,FALSE)</f>
        <v>! ! !</v>
      </c>
      <c r="H36" s="22">
        <f>VLOOKUP($A36,[1]maaltijden!$A$1:$IV$65536,21,FALSE)</f>
        <v>9</v>
      </c>
      <c r="I36" s="22">
        <f>VLOOKUP($A36,[1]maaltijden!$A$1:$IV$65536,21,FALSE)</f>
        <v>9</v>
      </c>
      <c r="J36" s="22">
        <f>VLOOKUP($A36,[1]maaltijden!$A$1:$IV$65536,18,FALSE)</f>
        <v>2</v>
      </c>
      <c r="K36" s="22">
        <f>VLOOKUP($A36,[1]maaltijden!$A$1:$IV$65536,17,FALSE)</f>
        <v>3</v>
      </c>
      <c r="L36" s="22">
        <f>VLOOKUP($A36,[1]maaltijden!$A$1:$IV$65536,20,FALSE)</f>
        <v>2000</v>
      </c>
      <c r="M36" s="22">
        <f>VLOOKUP($A36,[1]maaltijden!$A$1:$IV$65536,22,FALSE)</f>
        <v>2000</v>
      </c>
      <c r="N36" s="136">
        <v>0</v>
      </c>
      <c r="O36" s="21">
        <v>0</v>
      </c>
      <c r="P36" s="19">
        <v>1</v>
      </c>
      <c r="Q36" s="20">
        <v>2</v>
      </c>
      <c r="R36" s="21">
        <v>0</v>
      </c>
      <c r="S36" s="19">
        <v>1</v>
      </c>
      <c r="T36" s="20">
        <v>1</v>
      </c>
      <c r="U36" s="19">
        <v>0</v>
      </c>
      <c r="V36" s="20">
        <v>0</v>
      </c>
      <c r="W36" s="20">
        <v>0</v>
      </c>
      <c r="X36" s="20">
        <v>1</v>
      </c>
      <c r="Y36" s="20">
        <v>1</v>
      </c>
      <c r="Z36" s="20">
        <v>1</v>
      </c>
      <c r="AA36" s="20">
        <v>0</v>
      </c>
      <c r="AB36" s="11">
        <v>0</v>
      </c>
      <c r="AC36" s="49">
        <v>0</v>
      </c>
      <c r="AD36" s="49">
        <v>0</v>
      </c>
      <c r="AE36" s="49">
        <v>1</v>
      </c>
      <c r="AF36" s="49">
        <v>0</v>
      </c>
      <c r="AG36" s="161">
        <v>0</v>
      </c>
      <c r="AH36" s="162">
        <v>2</v>
      </c>
      <c r="AI36" s="162">
        <v>1</v>
      </c>
      <c r="AJ36" s="162">
        <v>0</v>
      </c>
      <c r="AK36" s="162">
        <v>0</v>
      </c>
      <c r="AL36" s="163">
        <v>0</v>
      </c>
      <c r="AM36" s="19">
        <v>0</v>
      </c>
      <c r="AN36" s="20">
        <f>IFERROR(INDEX([2]lijnopstellingsfiche!$AP$1:$AP$65536,MATCH(A36,[2]lijnopstellingsfiche!$AQ$1:$AQ$65536,0)),"")</f>
        <v>5</v>
      </c>
      <c r="AO36" s="20">
        <v>0</v>
      </c>
      <c r="AP36" s="20">
        <v>0</v>
      </c>
      <c r="AQ36" s="20">
        <v>1</v>
      </c>
      <c r="AR36" s="20">
        <v>1</v>
      </c>
      <c r="AS36" s="20">
        <v>0</v>
      </c>
      <c r="AT36" s="20">
        <v>0</v>
      </c>
      <c r="AU36" s="20">
        <v>0</v>
      </c>
      <c r="AV36" s="23">
        <v>0</v>
      </c>
      <c r="AW36" s="111">
        <v>1</v>
      </c>
      <c r="AX36" s="112">
        <v>0</v>
      </c>
      <c r="AY36" s="112">
        <v>1</v>
      </c>
      <c r="AZ36" s="112">
        <v>1</v>
      </c>
      <c r="BA36" s="112">
        <v>0</v>
      </c>
      <c r="BB36" s="22">
        <v>1</v>
      </c>
      <c r="BC36" s="21">
        <v>0</v>
      </c>
      <c r="BD36" s="200" t="str">
        <f>VLOOKUP($A36,'[3]allergenen 6nr'!$A$1:$O$1310,3,FALSE)</f>
        <v>-</v>
      </c>
      <c r="BE36" s="201" t="str">
        <f>VLOOKUP($A36,'[3]allergenen 6nr'!$A$1:$O$1310,4,FALSE)</f>
        <v>-</v>
      </c>
      <c r="BF36" s="201" t="str">
        <f>VLOOKUP($A36,'[3]allergenen 6nr'!$A$1:$O$1310,5,FALSE)</f>
        <v>+</v>
      </c>
      <c r="BG36" s="201" t="str">
        <f>VLOOKUP($A36,'[3]allergenen 6nr'!$A$1:$O$1310,6,FALSE)</f>
        <v>X</v>
      </c>
      <c r="BH36" s="201" t="str">
        <f>VLOOKUP($A36,'[3]allergenen 6nr'!$A$1:$O$1310,7,FALSE)</f>
        <v>+</v>
      </c>
      <c r="BI36" s="201" t="str">
        <f>VLOOKUP($A36,'[3]allergenen 6nr'!$A$1:$O$1310,8,FALSE)</f>
        <v>+</v>
      </c>
      <c r="BJ36" s="201" t="str">
        <f>VLOOKUP($A36,'[3]allergenen 6nr'!$A$1:$O$1310,9,FALSE)</f>
        <v>-</v>
      </c>
      <c r="BK36" s="201" t="str">
        <f>VLOOKUP($A36,'[3]allergenen 6nr'!$A$1:$O$1310,10,FALSE)</f>
        <v>-</v>
      </c>
      <c r="BL36" s="201" t="str">
        <f>VLOOKUP($A36,'[3]allergenen 6nr'!$A$1:$O$1310,11,FALSE)</f>
        <v>-</v>
      </c>
      <c r="BM36" s="201" t="str">
        <f>VLOOKUP($A36,'[3]allergenen 6nr'!$A$1:$O$1310,12,FALSE)</f>
        <v>-</v>
      </c>
      <c r="BN36" s="201" t="str">
        <f>VLOOKUP($A36,'[3]allergenen 6nr'!$A$1:$O$1310,13,FALSE)</f>
        <v>X</v>
      </c>
      <c r="BO36" s="201" t="str">
        <f>VLOOKUP($A36,'[3]allergenen 6nr'!$A$1:$O$1310,14,FALSE)</f>
        <v>-</v>
      </c>
      <c r="BP36" s="202" t="str">
        <f>VLOOKUP($A36,'[3]allergenen 6nr'!$A$1:$O$1310,15,FALSE)</f>
        <v>-</v>
      </c>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row>
    <row r="37" spans="1:173" x14ac:dyDescent="0.2">
      <c r="A37" s="89">
        <v>61694700</v>
      </c>
      <c r="B37" s="53" t="str">
        <f>VLOOKUP($A37,[1]maaltijden!$A$1:$IV$65536,4,FALSE)</f>
        <v>BOF BE KIP KERRIESAUS RIJST 450G</v>
      </c>
      <c r="C37" s="46" t="str">
        <f>VLOOKUP($A37,[1]maaltijden!$A$1:$IV$65536,7,FALSE)</f>
        <v>C2227-2X</v>
      </c>
      <c r="D37" s="22" t="str">
        <f>VLOOKUP($A37,[1]maaltijden!$A$1:$IV$65536,10,FALSE)</f>
        <v>H10</v>
      </c>
      <c r="E37" s="22" t="str">
        <f>VLOOKUP($A37,[1]maaltijden!$A$1:$IV$65536,13,FALSE)</f>
        <v>H10X8</v>
      </c>
      <c r="F37" s="20">
        <f t="shared" si="0"/>
        <v>0</v>
      </c>
      <c r="G37" s="20" t="str">
        <f>VLOOKUP($A37,[1]maaltijden!$A$1:$IV$65536,27,FALSE)</f>
        <v>! ! !</v>
      </c>
      <c r="H37" s="22">
        <f>VLOOKUP($A37,[1]maaltijden!$A$1:$IV$65536,21,FALSE)</f>
        <v>5</v>
      </c>
      <c r="I37" s="22">
        <f>VLOOKUP($A37,[1]maaltijden!$A$1:$IV$65536,21,FALSE)</f>
        <v>5</v>
      </c>
      <c r="J37" s="22">
        <f>VLOOKUP($A37,[1]maaltijden!$A$1:$IV$65536,18,FALSE)</f>
        <v>2</v>
      </c>
      <c r="K37" s="22">
        <f>VLOOKUP($A37,[1]maaltijden!$A$1:$IV$65536,17,FALSE)</f>
        <v>2</v>
      </c>
      <c r="L37" s="22">
        <f>VLOOKUP($A37,[1]maaltijden!$A$1:$IV$65536,20,FALSE)</f>
        <v>2200</v>
      </c>
      <c r="M37" s="22">
        <f>VLOOKUP($A37,[1]maaltijden!$A$1:$IV$65536,22,FALSE)</f>
        <v>2200</v>
      </c>
      <c r="N37" s="136" t="s">
        <v>397</v>
      </c>
      <c r="O37" s="21">
        <v>0</v>
      </c>
      <c r="P37" s="19">
        <v>1</v>
      </c>
      <c r="Q37" s="20">
        <v>2</v>
      </c>
      <c r="R37" s="21">
        <v>0</v>
      </c>
      <c r="S37" s="19">
        <v>1</v>
      </c>
      <c r="T37" s="20">
        <v>1</v>
      </c>
      <c r="U37" s="19">
        <v>1</v>
      </c>
      <c r="V37" s="20">
        <v>1</v>
      </c>
      <c r="W37" s="20">
        <v>1</v>
      </c>
      <c r="X37" s="20">
        <v>1</v>
      </c>
      <c r="Y37" s="20">
        <v>1</v>
      </c>
      <c r="Z37" s="20">
        <v>0</v>
      </c>
      <c r="AA37" s="20">
        <v>0</v>
      </c>
      <c r="AB37" s="49">
        <v>0</v>
      </c>
      <c r="AC37" s="49">
        <v>0</v>
      </c>
      <c r="AD37" s="49">
        <v>0</v>
      </c>
      <c r="AE37" s="49">
        <v>0</v>
      </c>
      <c r="AF37" s="49">
        <v>0</v>
      </c>
      <c r="AG37" s="161">
        <v>1</v>
      </c>
      <c r="AH37" s="162">
        <v>1</v>
      </c>
      <c r="AI37" s="162">
        <v>0</v>
      </c>
      <c r="AJ37" s="162">
        <v>0</v>
      </c>
      <c r="AK37" s="162">
        <v>0</v>
      </c>
      <c r="AL37" s="163">
        <v>0</v>
      </c>
      <c r="AM37" s="19">
        <v>0</v>
      </c>
      <c r="AN37" s="20">
        <f>IFERROR(INDEX([2]lijnopstellingsfiche!$AP$1:$AP$65536,MATCH(A37,[2]lijnopstellingsfiche!$AQ$1:$AQ$65536,0)),"")</f>
        <v>1</v>
      </c>
      <c r="AO37" s="20">
        <v>0</v>
      </c>
      <c r="AP37" s="20">
        <v>0</v>
      </c>
      <c r="AQ37" s="20">
        <v>1</v>
      </c>
      <c r="AR37" s="20">
        <v>0</v>
      </c>
      <c r="AS37" s="20">
        <v>1</v>
      </c>
      <c r="AT37" s="20">
        <v>0</v>
      </c>
      <c r="AU37" s="20">
        <v>0</v>
      </c>
      <c r="AV37" s="23">
        <v>0</v>
      </c>
      <c r="AW37" s="111">
        <v>1</v>
      </c>
      <c r="AX37" s="112">
        <v>0</v>
      </c>
      <c r="AY37" s="112">
        <v>1</v>
      </c>
      <c r="AZ37" s="112">
        <v>1</v>
      </c>
      <c r="BA37" s="112">
        <v>0</v>
      </c>
      <c r="BB37" s="20">
        <v>1</v>
      </c>
      <c r="BC37" s="21">
        <v>1</v>
      </c>
      <c r="BD37" s="200" t="str">
        <f>VLOOKUP($A37,'[3]allergenen 6nr'!$A$1:$O$1310,3,FALSE)</f>
        <v>-</v>
      </c>
      <c r="BE37" s="201" t="str">
        <f>VLOOKUP($A37,'[3]allergenen 6nr'!$A$1:$O$1310,4,FALSE)</f>
        <v>X</v>
      </c>
      <c r="BF37" s="201" t="str">
        <f>VLOOKUP($A37,'[3]allergenen 6nr'!$A$1:$O$1310,5,FALSE)</f>
        <v>+</v>
      </c>
      <c r="BG37" s="201" t="str">
        <f>VLOOKUP($A37,'[3]allergenen 6nr'!$A$1:$O$1310,6,FALSE)</f>
        <v>X</v>
      </c>
      <c r="BH37" s="201" t="str">
        <f>VLOOKUP($A37,'[3]allergenen 6nr'!$A$1:$O$1310,7,FALSE)</f>
        <v>+</v>
      </c>
      <c r="BI37" s="201" t="str">
        <f>VLOOKUP($A37,'[3]allergenen 6nr'!$A$1:$O$1310,8,FALSE)</f>
        <v>X</v>
      </c>
      <c r="BJ37" s="201" t="str">
        <f>VLOOKUP($A37,'[3]allergenen 6nr'!$A$1:$O$1310,9,FALSE)</f>
        <v>-</v>
      </c>
      <c r="BK37" s="201" t="str">
        <f>VLOOKUP($A37,'[3]allergenen 6nr'!$A$1:$O$1310,10,FALSE)</f>
        <v>-</v>
      </c>
      <c r="BL37" s="201" t="str">
        <f>VLOOKUP($A37,'[3]allergenen 6nr'!$A$1:$O$1310,11,FALSE)</f>
        <v>+</v>
      </c>
      <c r="BM37" s="201" t="str">
        <f>VLOOKUP($A37,'[3]allergenen 6nr'!$A$1:$O$1310,12,FALSE)</f>
        <v>-</v>
      </c>
      <c r="BN37" s="201" t="str">
        <f>VLOOKUP($A37,'[3]allergenen 6nr'!$A$1:$O$1310,13,FALSE)</f>
        <v>X</v>
      </c>
      <c r="BO37" s="201" t="str">
        <f>VLOOKUP($A37,'[3]allergenen 6nr'!$A$1:$O$1310,14,FALSE)</f>
        <v>-</v>
      </c>
      <c r="BP37" s="202" t="str">
        <f>VLOOKUP($A37,'[3]allergenen 6nr'!$A$1:$O$1310,15,FALSE)</f>
        <v>-</v>
      </c>
    </row>
    <row r="38" spans="1:173" x14ac:dyDescent="0.2">
      <c r="A38" s="89">
        <v>61694800</v>
      </c>
      <c r="B38" s="53" t="str">
        <f>VLOOKUP($A38,[1]maaltijden!$A$1:$IV$65536,4,FALSE)</f>
        <v>BOF BE BALLETJES TOMATENSAUS PUREE 450G</v>
      </c>
      <c r="C38" s="46" t="str">
        <f>VLOOKUP($A38,[1]maaltijden!$A$1:$IV$65536,7,FALSE)</f>
        <v>C2227-2X</v>
      </c>
      <c r="D38" s="22" t="str">
        <f>VLOOKUP($A38,[1]maaltijden!$A$1:$IV$65536,10,FALSE)</f>
        <v>H10</v>
      </c>
      <c r="E38" s="22" t="str">
        <f>VLOOKUP($A38,[1]maaltijden!$A$1:$IV$65536,13,FALSE)</f>
        <v>H10X8</v>
      </c>
      <c r="F38" s="20">
        <f t="shared" si="0"/>
        <v>0</v>
      </c>
      <c r="G38" s="104" t="str">
        <f>VLOOKUP($A38,[1]maaltijden!$A$1:$IV$65536,27,FALSE)</f>
        <v>! !</v>
      </c>
      <c r="H38" s="22">
        <f>VLOOKUP($A38,[1]maaltijden!$A$1:$IV$65536,21,FALSE)</f>
        <v>3</v>
      </c>
      <c r="I38" s="22">
        <f>VLOOKUP($A38,[1]maaltijden!$A$1:$IV$65536,21,FALSE)</f>
        <v>3</v>
      </c>
      <c r="J38" s="22">
        <f>VLOOKUP($A38,[1]maaltijden!$A$1:$IV$65536,18,FALSE)</f>
        <v>4</v>
      </c>
      <c r="K38" s="22">
        <f>VLOOKUP($A38,[1]maaltijden!$A$1:$IV$65536,17,FALSE)</f>
        <v>2</v>
      </c>
      <c r="L38" s="22">
        <f>VLOOKUP($A38,[1]maaltijden!$A$1:$IV$65536,20,FALSE)</f>
        <v>2200</v>
      </c>
      <c r="M38" s="22">
        <f>VLOOKUP($A38,[1]maaltijden!$A$1:$IV$65536,22,FALSE)</f>
        <v>2200</v>
      </c>
      <c r="N38" s="136" t="s">
        <v>398</v>
      </c>
      <c r="O38" s="21">
        <v>0</v>
      </c>
      <c r="P38" s="19">
        <v>1</v>
      </c>
      <c r="Q38" s="20">
        <v>2</v>
      </c>
      <c r="R38" s="21">
        <v>0</v>
      </c>
      <c r="S38" s="19">
        <v>1</v>
      </c>
      <c r="T38" s="20">
        <v>1</v>
      </c>
      <c r="U38" s="19">
        <v>1</v>
      </c>
      <c r="V38" s="20">
        <v>1</v>
      </c>
      <c r="W38" s="20">
        <v>1</v>
      </c>
      <c r="X38" s="20">
        <v>1</v>
      </c>
      <c r="Y38" s="20">
        <v>1</v>
      </c>
      <c r="Z38" s="20">
        <v>0</v>
      </c>
      <c r="AA38" s="20">
        <v>0</v>
      </c>
      <c r="AB38" s="49">
        <v>0</v>
      </c>
      <c r="AC38" s="49">
        <v>0</v>
      </c>
      <c r="AD38" s="49">
        <v>0</v>
      </c>
      <c r="AE38" s="49">
        <v>0</v>
      </c>
      <c r="AF38" s="49">
        <v>0</v>
      </c>
      <c r="AG38" s="161">
        <v>0</v>
      </c>
      <c r="AH38" s="162">
        <v>1</v>
      </c>
      <c r="AI38" s="162">
        <v>1</v>
      </c>
      <c r="AJ38" s="162">
        <v>0</v>
      </c>
      <c r="AK38" s="162">
        <v>0</v>
      </c>
      <c r="AL38" s="163">
        <v>0</v>
      </c>
      <c r="AM38" s="19">
        <v>0</v>
      </c>
      <c r="AN38" s="20">
        <f>IFERROR(INDEX([2]lijnopstellingsfiche!$AP$1:$AP$65536,MATCH(A38,[2]lijnopstellingsfiche!$AQ$1:$AQ$65536,0)),"")</f>
        <v>1</v>
      </c>
      <c r="AO38" s="20">
        <v>0</v>
      </c>
      <c r="AP38" s="20">
        <v>0</v>
      </c>
      <c r="AQ38" s="20">
        <v>1</v>
      </c>
      <c r="AR38" s="20">
        <v>1</v>
      </c>
      <c r="AS38" s="20">
        <v>1</v>
      </c>
      <c r="AT38" s="20">
        <v>0</v>
      </c>
      <c r="AU38" s="20">
        <v>0</v>
      </c>
      <c r="AV38" s="23">
        <v>0</v>
      </c>
      <c r="AW38" s="111">
        <v>1</v>
      </c>
      <c r="AX38" s="112">
        <v>0</v>
      </c>
      <c r="AY38" s="112">
        <v>1</v>
      </c>
      <c r="AZ38" s="112">
        <v>1</v>
      </c>
      <c r="BA38" s="112">
        <v>0</v>
      </c>
      <c r="BB38" s="20">
        <v>1</v>
      </c>
      <c r="BC38" s="21">
        <v>1</v>
      </c>
      <c r="BD38" s="200" t="str">
        <f>VLOOKUP($A38,'[3]allergenen 6nr'!$A$1:$O$1310,3,FALSE)</f>
        <v>-</v>
      </c>
      <c r="BE38" s="201" t="str">
        <f>VLOOKUP($A38,'[3]allergenen 6nr'!$A$1:$O$1310,4,FALSE)</f>
        <v>+</v>
      </c>
      <c r="BF38" s="201" t="str">
        <f>VLOOKUP($A38,'[3]allergenen 6nr'!$A$1:$O$1310,5,FALSE)</f>
        <v>+</v>
      </c>
      <c r="BG38" s="201" t="str">
        <f>VLOOKUP($A38,'[3]allergenen 6nr'!$A$1:$O$1310,6,FALSE)</f>
        <v>X</v>
      </c>
      <c r="BH38" s="201" t="str">
        <f>VLOOKUP($A38,'[3]allergenen 6nr'!$A$1:$O$1310,7,FALSE)</f>
        <v>+</v>
      </c>
      <c r="BI38" s="201" t="str">
        <f>VLOOKUP($A38,'[3]allergenen 6nr'!$A$1:$O$1310,8,FALSE)</f>
        <v>X</v>
      </c>
      <c r="BJ38" s="201" t="str">
        <f>VLOOKUP($A38,'[3]allergenen 6nr'!$A$1:$O$1310,9,FALSE)</f>
        <v>X</v>
      </c>
      <c r="BK38" s="201" t="str">
        <f>VLOOKUP($A38,'[3]allergenen 6nr'!$A$1:$O$1310,10,FALSE)</f>
        <v>X</v>
      </c>
      <c r="BL38" s="201" t="str">
        <f>VLOOKUP($A38,'[3]allergenen 6nr'!$A$1:$O$1310,11,FALSE)</f>
        <v>X</v>
      </c>
      <c r="BM38" s="201" t="str">
        <f>VLOOKUP($A38,'[3]allergenen 6nr'!$A$1:$O$1310,12,FALSE)</f>
        <v>-</v>
      </c>
      <c r="BN38" s="201" t="str">
        <f>VLOOKUP($A38,'[3]allergenen 6nr'!$A$1:$O$1310,13,FALSE)</f>
        <v>X</v>
      </c>
      <c r="BO38" s="201" t="str">
        <f>VLOOKUP($A38,'[3]allergenen 6nr'!$A$1:$O$1310,14,FALSE)</f>
        <v>X</v>
      </c>
      <c r="BP38" s="202" t="str">
        <f>VLOOKUP($A38,'[3]allergenen 6nr'!$A$1:$O$1310,15,FALSE)</f>
        <v>X</v>
      </c>
    </row>
    <row r="39" spans="1:173" x14ac:dyDescent="0.2">
      <c r="A39" s="89">
        <v>61694900</v>
      </c>
      <c r="B39" s="53" t="str">
        <f>VLOOKUP($A39,[1]maaltijden!$A$1:$IV$65536,4,FALSE)</f>
        <v>BOF BE BALLETJES LUIKSE SAUS GEBAKKEN AARD 450G</v>
      </c>
      <c r="C39" s="46" t="str">
        <f>VLOOKUP($A39,[1]maaltijden!$A$1:$IV$65536,7,FALSE)</f>
        <v>C2227-2X</v>
      </c>
      <c r="D39" s="22" t="str">
        <f>VLOOKUP($A39,[1]maaltijden!$A$1:$IV$65536,10,FALSE)</f>
        <v>H10</v>
      </c>
      <c r="E39" s="22" t="str">
        <f>VLOOKUP($A39,[1]maaltijden!$A$1:$IV$65536,13,FALSE)</f>
        <v>H10X8</v>
      </c>
      <c r="F39" s="20">
        <f t="shared" si="0"/>
        <v>0</v>
      </c>
      <c r="G39" s="20" t="str">
        <f>VLOOKUP($A39,[1]maaltijden!$A$1:$IV$65536,27,FALSE)</f>
        <v>! !</v>
      </c>
      <c r="H39" s="22">
        <f>VLOOKUP($A39,[1]maaltijden!$A$1:$IV$65536,21,FALSE)</f>
        <v>5</v>
      </c>
      <c r="I39" s="22">
        <f>VLOOKUP($A39,[1]maaltijden!$A$1:$IV$65536,21,FALSE)</f>
        <v>5</v>
      </c>
      <c r="J39" s="22">
        <f>VLOOKUP($A39,[1]maaltijden!$A$1:$IV$65536,18,FALSE)</f>
        <v>4</v>
      </c>
      <c r="K39" s="22">
        <f>VLOOKUP($A39,[1]maaltijden!$A$1:$IV$65536,17,FALSE)</f>
        <v>1</v>
      </c>
      <c r="L39" s="22">
        <f>VLOOKUP($A39,[1]maaltijden!$A$1:$IV$65536,20,FALSE)</f>
        <v>2000</v>
      </c>
      <c r="M39" s="22">
        <f>VLOOKUP($A39,[1]maaltijden!$A$1:$IV$65536,22,FALSE)</f>
        <v>2000</v>
      </c>
      <c r="N39" s="136">
        <v>0</v>
      </c>
      <c r="O39" s="21">
        <v>0</v>
      </c>
      <c r="P39" s="19">
        <v>1</v>
      </c>
      <c r="Q39" s="20">
        <v>2</v>
      </c>
      <c r="R39" s="21">
        <v>0</v>
      </c>
      <c r="S39" s="19">
        <v>1</v>
      </c>
      <c r="T39" s="20">
        <v>1</v>
      </c>
      <c r="U39" s="19">
        <v>1</v>
      </c>
      <c r="V39" s="20">
        <v>1</v>
      </c>
      <c r="W39" s="20">
        <v>1</v>
      </c>
      <c r="X39" s="20">
        <v>1</v>
      </c>
      <c r="Y39" s="20">
        <v>1</v>
      </c>
      <c r="Z39" s="20">
        <v>0</v>
      </c>
      <c r="AA39" s="20">
        <v>0</v>
      </c>
      <c r="AB39" s="49">
        <v>0</v>
      </c>
      <c r="AC39" s="49">
        <v>0</v>
      </c>
      <c r="AD39" s="49">
        <v>0</v>
      </c>
      <c r="AE39" s="49">
        <v>0</v>
      </c>
      <c r="AF39" s="49">
        <v>0</v>
      </c>
      <c r="AG39" s="161">
        <v>0</v>
      </c>
      <c r="AH39" s="162">
        <v>1</v>
      </c>
      <c r="AI39" s="162">
        <v>0</v>
      </c>
      <c r="AJ39" s="162">
        <v>0</v>
      </c>
      <c r="AK39" s="162">
        <v>0</v>
      </c>
      <c r="AL39" s="163">
        <v>0</v>
      </c>
      <c r="AM39" s="19">
        <v>0</v>
      </c>
      <c r="AN39" s="20">
        <f>IFERROR(INDEX([2]lijnopstellingsfiche!$AP$1:$AP$65536,MATCH(A39,[2]lijnopstellingsfiche!$AQ$1:$AQ$65536,0)),"")</f>
        <v>1</v>
      </c>
      <c r="AO39" s="20">
        <v>0</v>
      </c>
      <c r="AP39" s="20">
        <v>0</v>
      </c>
      <c r="AQ39" s="20">
        <v>1</v>
      </c>
      <c r="AR39" s="20">
        <v>0</v>
      </c>
      <c r="AS39" s="20">
        <v>1</v>
      </c>
      <c r="AT39" s="20">
        <v>0</v>
      </c>
      <c r="AU39" s="20">
        <v>0</v>
      </c>
      <c r="AV39" s="23">
        <v>0</v>
      </c>
      <c r="AW39" s="111">
        <v>1</v>
      </c>
      <c r="AX39" s="112">
        <v>0</v>
      </c>
      <c r="AY39" s="112">
        <v>1</v>
      </c>
      <c r="AZ39" s="112">
        <v>1</v>
      </c>
      <c r="BA39" s="112">
        <v>0</v>
      </c>
      <c r="BB39" s="20">
        <v>1</v>
      </c>
      <c r="BC39" s="21">
        <v>0</v>
      </c>
      <c r="BD39" s="200" t="str">
        <f>VLOOKUP($A39,'[3]allergenen 6nr'!$A$1:$O$1310,3,FALSE)</f>
        <v>-</v>
      </c>
      <c r="BE39" s="201" t="str">
        <f>VLOOKUP($A39,'[3]allergenen 6nr'!$A$1:$O$1310,4,FALSE)</f>
        <v>X</v>
      </c>
      <c r="BF39" s="201" t="str">
        <f>VLOOKUP($A39,'[3]allergenen 6nr'!$A$1:$O$1310,5,FALSE)</f>
        <v>+</v>
      </c>
      <c r="BG39" s="201" t="str">
        <f>VLOOKUP($A39,'[3]allergenen 6nr'!$A$1:$O$1310,6,FALSE)</f>
        <v>-</v>
      </c>
      <c r="BH39" s="201" t="str">
        <f>VLOOKUP($A39,'[3]allergenen 6nr'!$A$1:$O$1310,7,FALSE)</f>
        <v>X</v>
      </c>
      <c r="BI39" s="201" t="str">
        <f>VLOOKUP($A39,'[3]allergenen 6nr'!$A$1:$O$1310,8,FALSE)</f>
        <v>X</v>
      </c>
      <c r="BJ39" s="201" t="str">
        <f>VLOOKUP($A39,'[3]allergenen 6nr'!$A$1:$O$1310,9,FALSE)</f>
        <v>X</v>
      </c>
      <c r="BK39" s="201" t="str">
        <f>VLOOKUP($A39,'[3]allergenen 6nr'!$A$1:$O$1310,10,FALSE)</f>
        <v>X</v>
      </c>
      <c r="BL39" s="201" t="str">
        <f>VLOOKUP($A39,'[3]allergenen 6nr'!$A$1:$O$1310,11,FALSE)</f>
        <v>X</v>
      </c>
      <c r="BM39" s="201" t="str">
        <f>VLOOKUP($A39,'[3]allergenen 6nr'!$A$1:$O$1310,12,FALSE)</f>
        <v>-</v>
      </c>
      <c r="BN39" s="201" t="str">
        <f>VLOOKUP($A39,'[3]allergenen 6nr'!$A$1:$O$1310,13,FALSE)</f>
        <v>X</v>
      </c>
      <c r="BO39" s="201" t="str">
        <f>VLOOKUP($A39,'[3]allergenen 6nr'!$A$1:$O$1310,14,FALSE)</f>
        <v>X</v>
      </c>
      <c r="BP39" s="202" t="str">
        <f>VLOOKUP($A39,'[3]allergenen 6nr'!$A$1:$O$1310,15,FALSE)</f>
        <v>X</v>
      </c>
    </row>
    <row r="40" spans="1:173" x14ac:dyDescent="0.2">
      <c r="A40" s="89">
        <v>61695000</v>
      </c>
      <c r="B40" s="53" t="str">
        <f>VLOOKUP($A40,[1]maaltijden!$A$1:$IV$65536,4,FALSE)</f>
        <v>BOF BE KABELJAUW MSC FIJNE GROENTEN PUREE 450G</v>
      </c>
      <c r="C40" s="46" t="str">
        <f>VLOOKUP($A40,[1]maaltijden!$A$1:$IV$65536,7,FALSE)</f>
        <v>C2227-2X</v>
      </c>
      <c r="D40" s="22" t="str">
        <f>VLOOKUP($A40,[1]maaltijden!$A$1:$IV$65536,10,FALSE)</f>
        <v>H10</v>
      </c>
      <c r="E40" s="22" t="str">
        <f>VLOOKUP($A40,[1]maaltijden!$A$1:$IV$65536,13,FALSE)</f>
        <v>H10X8</v>
      </c>
      <c r="F40" s="20">
        <f t="shared" si="0"/>
        <v>0</v>
      </c>
      <c r="G40" s="104" t="str">
        <f>VLOOKUP($A40,[1]maaltijden!$A$1:$IV$65536,27,FALSE)</f>
        <v>! ! ! !</v>
      </c>
      <c r="H40" s="22">
        <f>VLOOKUP($A40,[1]maaltijden!$A$1:$IV$65536,21,FALSE)</f>
        <v>3</v>
      </c>
      <c r="I40" s="22">
        <f>VLOOKUP($A40,[1]maaltijden!$A$1:$IV$65536,21,FALSE)</f>
        <v>3</v>
      </c>
      <c r="J40" s="22">
        <f>VLOOKUP($A40,[1]maaltijden!$A$1:$IV$65536,18,FALSE)</f>
        <v>2</v>
      </c>
      <c r="K40" s="22">
        <f>VLOOKUP($A40,[1]maaltijden!$A$1:$IV$65536,17,FALSE)</f>
        <v>3</v>
      </c>
      <c r="L40" s="22">
        <f>VLOOKUP($A40,[1]maaltijden!$A$1:$IV$65536,20,FALSE)</f>
        <v>2200</v>
      </c>
      <c r="M40" s="22">
        <f>VLOOKUP($A40,[1]maaltijden!$A$1:$IV$65536,22,FALSE)</f>
        <v>2200</v>
      </c>
      <c r="N40" s="136" t="s">
        <v>398</v>
      </c>
      <c r="O40" s="21">
        <v>0</v>
      </c>
      <c r="P40" s="19">
        <v>1</v>
      </c>
      <c r="Q40" s="20">
        <v>2</v>
      </c>
      <c r="R40" s="21">
        <v>0</v>
      </c>
      <c r="S40" s="19">
        <v>1</v>
      </c>
      <c r="T40" s="20">
        <v>1</v>
      </c>
      <c r="U40" s="19">
        <v>1</v>
      </c>
      <c r="V40" s="20">
        <v>1</v>
      </c>
      <c r="W40" s="20">
        <v>1</v>
      </c>
      <c r="X40" s="20">
        <v>1</v>
      </c>
      <c r="Y40" s="20">
        <v>1</v>
      </c>
      <c r="Z40" s="20">
        <v>0</v>
      </c>
      <c r="AA40" s="20">
        <v>0</v>
      </c>
      <c r="AB40" s="49">
        <v>0</v>
      </c>
      <c r="AC40" s="49">
        <v>0</v>
      </c>
      <c r="AD40" s="49">
        <v>0</v>
      </c>
      <c r="AE40" s="49">
        <v>0</v>
      </c>
      <c r="AF40" s="49">
        <v>1</v>
      </c>
      <c r="AG40" s="161">
        <v>0</v>
      </c>
      <c r="AH40" s="162">
        <v>2</v>
      </c>
      <c r="AI40" s="162">
        <v>1</v>
      </c>
      <c r="AJ40" s="162">
        <v>0</v>
      </c>
      <c r="AK40" s="162">
        <v>0</v>
      </c>
      <c r="AL40" s="163">
        <v>0</v>
      </c>
      <c r="AM40" s="19">
        <v>0</v>
      </c>
      <c r="AN40" s="20" t="str">
        <f>IFERROR(INDEX([2]lijnopstellingsfiche!$AP$1:$AP$65536,MATCH(A40,[2]lijnopstellingsfiche!$AQ$1:$AQ$65536,0)),"")</f>
        <v>-</v>
      </c>
      <c r="AO40" s="20">
        <v>0</v>
      </c>
      <c r="AP40" s="20">
        <v>0</v>
      </c>
      <c r="AQ40" s="20">
        <v>1</v>
      </c>
      <c r="AR40" s="20">
        <v>1</v>
      </c>
      <c r="AS40" s="20">
        <v>0</v>
      </c>
      <c r="AT40" s="20">
        <v>0</v>
      </c>
      <c r="AU40" s="20">
        <v>0</v>
      </c>
      <c r="AV40" s="23">
        <v>0</v>
      </c>
      <c r="AW40" s="111">
        <v>1</v>
      </c>
      <c r="AX40" s="112">
        <v>0</v>
      </c>
      <c r="AY40" s="112">
        <v>1</v>
      </c>
      <c r="AZ40" s="112">
        <v>1</v>
      </c>
      <c r="BA40" s="112">
        <v>0</v>
      </c>
      <c r="BB40" s="20">
        <v>1</v>
      </c>
      <c r="BC40" s="21">
        <v>0</v>
      </c>
      <c r="BD40" s="200" t="str">
        <f>VLOOKUP($A40,'[3]allergenen 6nr'!$A$1:$O$1310,3,FALSE)</f>
        <v>-</v>
      </c>
      <c r="BE40" s="201" t="str">
        <f>VLOOKUP($A40,'[3]allergenen 6nr'!$A$1:$O$1310,4,FALSE)</f>
        <v>+</v>
      </c>
      <c r="BF40" s="201" t="str">
        <f>VLOOKUP($A40,'[3]allergenen 6nr'!$A$1:$O$1310,5,FALSE)</f>
        <v>-</v>
      </c>
      <c r="BG40" s="201" t="str">
        <f>VLOOKUP($A40,'[3]allergenen 6nr'!$A$1:$O$1310,6,FALSE)</f>
        <v>-</v>
      </c>
      <c r="BH40" s="201" t="str">
        <f>VLOOKUP($A40,'[3]allergenen 6nr'!$A$1:$O$1310,7,FALSE)</f>
        <v>+</v>
      </c>
      <c r="BI40" s="201" t="str">
        <f>VLOOKUP($A40,'[3]allergenen 6nr'!$A$1:$O$1310,8,FALSE)</f>
        <v>-</v>
      </c>
      <c r="BJ40" s="201" t="str">
        <f>VLOOKUP($A40,'[3]allergenen 6nr'!$A$1:$O$1310,9,FALSE)</f>
        <v>-</v>
      </c>
      <c r="BK40" s="201" t="str">
        <f>VLOOKUP($A40,'[3]allergenen 6nr'!$A$1:$O$1310,10,FALSE)</f>
        <v>X</v>
      </c>
      <c r="BL40" s="201" t="str">
        <f>VLOOKUP($A40,'[3]allergenen 6nr'!$A$1:$O$1310,11,FALSE)</f>
        <v>-</v>
      </c>
      <c r="BM40" s="201" t="str">
        <f>VLOOKUP($A40,'[3]allergenen 6nr'!$A$1:$O$1310,12,FALSE)</f>
        <v>-</v>
      </c>
      <c r="BN40" s="201" t="str">
        <f>VLOOKUP($A40,'[3]allergenen 6nr'!$A$1:$O$1310,13,FALSE)</f>
        <v>-</v>
      </c>
      <c r="BO40" s="201" t="str">
        <f>VLOOKUP($A40,'[3]allergenen 6nr'!$A$1:$O$1310,14,FALSE)</f>
        <v>+</v>
      </c>
      <c r="BP40" s="202" t="str">
        <f>VLOOKUP($A40,'[3]allergenen 6nr'!$A$1:$O$1310,15,FALSE)</f>
        <v>X</v>
      </c>
    </row>
    <row r="41" spans="1:173" x14ac:dyDescent="0.2">
      <c r="A41" s="89">
        <v>61695100</v>
      </c>
      <c r="B41" s="53" t="str">
        <f>VLOOKUP($A41,[1]maaltijden!$A$1:$IV$65536,4,FALSE)</f>
        <v>BOF BE KABELJAUW MSC PREIROOM PUREE 450G</v>
      </c>
      <c r="C41" s="46" t="str">
        <f>VLOOKUP($A41,[1]maaltijden!$A$1:$IV$65536,7,FALSE)</f>
        <v>C2227-2X</v>
      </c>
      <c r="D41" s="22" t="str">
        <f>VLOOKUP($A41,[1]maaltijden!$A$1:$IV$65536,10,FALSE)</f>
        <v>H10</v>
      </c>
      <c r="E41" s="22" t="str">
        <f>VLOOKUP($A41,[1]maaltijden!$A$1:$IV$65536,13,FALSE)</f>
        <v>H10X8</v>
      </c>
      <c r="F41" s="20">
        <f t="shared" si="0"/>
        <v>0</v>
      </c>
      <c r="G41" s="20" t="str">
        <f>VLOOKUP($A41,[1]maaltijden!$A$1:$IV$65536,27,FALSE)</f>
        <v>! ! ! !</v>
      </c>
      <c r="H41" s="22">
        <f>VLOOKUP($A41,[1]maaltijden!$A$1:$IV$65536,21,FALSE)</f>
        <v>4</v>
      </c>
      <c r="I41" s="22">
        <f>VLOOKUP($A41,[1]maaltijden!$A$1:$IV$65536,21,FALSE)</f>
        <v>4</v>
      </c>
      <c r="J41" s="22">
        <f>VLOOKUP($A41,[1]maaltijden!$A$1:$IV$65536,18,FALSE)</f>
        <v>2</v>
      </c>
      <c r="K41" s="22">
        <f>VLOOKUP($A41,[1]maaltijden!$A$1:$IV$65536,17,FALSE)</f>
        <v>3</v>
      </c>
      <c r="L41" s="22">
        <f>VLOOKUP($A41,[1]maaltijden!$A$1:$IV$65536,20,FALSE)</f>
        <v>2200</v>
      </c>
      <c r="M41" s="22">
        <f>VLOOKUP($A41,[1]maaltijden!$A$1:$IV$65536,22,FALSE)</f>
        <v>2200</v>
      </c>
      <c r="N41" s="136" t="s">
        <v>398</v>
      </c>
      <c r="O41" s="21">
        <v>0</v>
      </c>
      <c r="P41" s="19">
        <v>1</v>
      </c>
      <c r="Q41" s="20">
        <v>2</v>
      </c>
      <c r="R41" s="21">
        <v>0</v>
      </c>
      <c r="S41" s="19">
        <v>1</v>
      </c>
      <c r="T41" s="20">
        <v>1</v>
      </c>
      <c r="U41" s="19">
        <v>1</v>
      </c>
      <c r="V41" s="20">
        <v>1</v>
      </c>
      <c r="W41" s="20">
        <v>1</v>
      </c>
      <c r="X41" s="20">
        <v>1</v>
      </c>
      <c r="Y41" s="20">
        <v>1</v>
      </c>
      <c r="Z41" s="20">
        <v>0</v>
      </c>
      <c r="AA41" s="20">
        <v>0</v>
      </c>
      <c r="AB41" s="49">
        <v>0</v>
      </c>
      <c r="AC41" s="49">
        <v>0</v>
      </c>
      <c r="AD41" s="49">
        <v>0</v>
      </c>
      <c r="AE41" s="49">
        <v>0</v>
      </c>
      <c r="AF41" s="49">
        <v>0</v>
      </c>
      <c r="AG41" s="161">
        <v>0</v>
      </c>
      <c r="AH41" s="162">
        <v>2</v>
      </c>
      <c r="AI41" s="162">
        <v>1</v>
      </c>
      <c r="AJ41" s="162">
        <v>0</v>
      </c>
      <c r="AK41" s="162">
        <v>0</v>
      </c>
      <c r="AL41" s="163">
        <v>0</v>
      </c>
      <c r="AM41" s="19">
        <v>0</v>
      </c>
      <c r="AN41" s="20" t="str">
        <f>IFERROR(INDEX([2]lijnopstellingsfiche!$AP$1:$AP$65536,MATCH(A41,[2]lijnopstellingsfiche!$AQ$1:$AQ$65536,0)),"")</f>
        <v>-</v>
      </c>
      <c r="AO41" s="20">
        <v>0</v>
      </c>
      <c r="AP41" s="20">
        <v>0</v>
      </c>
      <c r="AQ41" s="20">
        <v>1</v>
      </c>
      <c r="AR41" s="20">
        <v>1</v>
      </c>
      <c r="AS41" s="20">
        <v>0</v>
      </c>
      <c r="AT41" s="20">
        <v>0</v>
      </c>
      <c r="AU41" s="20">
        <v>0</v>
      </c>
      <c r="AV41" s="23">
        <v>0</v>
      </c>
      <c r="AW41" s="111">
        <v>1</v>
      </c>
      <c r="AX41" s="112">
        <v>0</v>
      </c>
      <c r="AY41" s="112">
        <v>1</v>
      </c>
      <c r="AZ41" s="112">
        <v>1</v>
      </c>
      <c r="BA41" s="112">
        <v>0</v>
      </c>
      <c r="BB41" s="20">
        <v>1</v>
      </c>
      <c r="BC41" s="21">
        <v>0</v>
      </c>
      <c r="BD41" s="200" t="str">
        <f>VLOOKUP($A41,'[3]allergenen 6nr'!$A$1:$O$1310,3,FALSE)</f>
        <v>-</v>
      </c>
      <c r="BE41" s="201" t="str">
        <f>VLOOKUP($A41,'[3]allergenen 6nr'!$A$1:$O$1310,4,FALSE)</f>
        <v>+</v>
      </c>
      <c r="BF41" s="201" t="str">
        <f>VLOOKUP($A41,'[3]allergenen 6nr'!$A$1:$O$1310,5,FALSE)</f>
        <v>+</v>
      </c>
      <c r="BG41" s="201" t="str">
        <f>VLOOKUP($A41,'[3]allergenen 6nr'!$A$1:$O$1310,6,FALSE)</f>
        <v>X</v>
      </c>
      <c r="BH41" s="201" t="str">
        <f>VLOOKUP($A41,'[3]allergenen 6nr'!$A$1:$O$1310,7,FALSE)</f>
        <v>+</v>
      </c>
      <c r="BI41" s="201" t="str">
        <f>VLOOKUP($A41,'[3]allergenen 6nr'!$A$1:$O$1310,8,FALSE)</f>
        <v>X</v>
      </c>
      <c r="BJ41" s="201" t="str">
        <f>VLOOKUP($A41,'[3]allergenen 6nr'!$A$1:$O$1310,9,FALSE)</f>
        <v>-</v>
      </c>
      <c r="BK41" s="201" t="str">
        <f>VLOOKUP($A41,'[3]allergenen 6nr'!$A$1:$O$1310,10,FALSE)</f>
        <v>X</v>
      </c>
      <c r="BL41" s="201" t="str">
        <f>VLOOKUP($A41,'[3]allergenen 6nr'!$A$1:$O$1310,11,FALSE)</f>
        <v>-</v>
      </c>
      <c r="BM41" s="201" t="str">
        <f>VLOOKUP($A41,'[3]allergenen 6nr'!$A$1:$O$1310,12,FALSE)</f>
        <v>-</v>
      </c>
      <c r="BN41" s="201" t="str">
        <f>VLOOKUP($A41,'[3]allergenen 6nr'!$A$1:$O$1310,13,FALSE)</f>
        <v>X</v>
      </c>
      <c r="BO41" s="201" t="str">
        <f>VLOOKUP($A41,'[3]allergenen 6nr'!$A$1:$O$1310,14,FALSE)</f>
        <v>+</v>
      </c>
      <c r="BP41" s="202" t="str">
        <f>VLOOKUP($A41,'[3]allergenen 6nr'!$A$1:$O$1310,15,FALSE)</f>
        <v>X</v>
      </c>
    </row>
    <row r="42" spans="1:173" x14ac:dyDescent="0.2">
      <c r="A42" s="89">
        <v>61695200</v>
      </c>
      <c r="B42" s="53" t="str">
        <f>VLOOKUP($A42,[1]maaltijden!$A$1:$IV$65536,4,FALSE)</f>
        <v>BOF BE OOSTENDS VISPANNETJE ASC MSC 420G</v>
      </c>
      <c r="C42" s="46" t="str">
        <f>VLOOKUP($A42,[1]maaltijden!$A$1:$IV$65536,7,FALSE)</f>
        <v>C2227-1E</v>
      </c>
      <c r="D42" s="22" t="str">
        <f>VLOOKUP($A42,[1]maaltijden!$A$1:$IV$65536,10,FALSE)</f>
        <v>H10</v>
      </c>
      <c r="E42" s="22" t="str">
        <f>VLOOKUP($A42,[1]maaltijden!$A$1:$IV$65536,13,FALSE)</f>
        <v>H10X8</v>
      </c>
      <c r="F42" s="20">
        <f t="shared" si="0"/>
        <v>0</v>
      </c>
      <c r="G42" s="104" t="str">
        <f>VLOOKUP($A42,[1]maaltijden!$A$1:$IV$65536,27,FALSE)</f>
        <v>! ! ! !</v>
      </c>
      <c r="H42" s="22">
        <f>VLOOKUP($A42,[1]maaltijden!$A$1:$IV$65536,21,FALSE)</f>
        <v>8</v>
      </c>
      <c r="I42" s="22">
        <f>VLOOKUP($A42,[1]maaltijden!$A$1:$IV$65536,21,FALSE)</f>
        <v>8</v>
      </c>
      <c r="J42" s="22">
        <f>VLOOKUP($A42,[1]maaltijden!$A$1:$IV$65536,18,FALSE)</f>
        <v>2</v>
      </c>
      <c r="K42" s="22">
        <f>VLOOKUP($A42,[1]maaltijden!$A$1:$IV$65536,17,FALSE)</f>
        <v>1</v>
      </c>
      <c r="L42" s="22">
        <f>VLOOKUP($A42,[1]maaltijden!$A$1:$IV$65536,20,FALSE)</f>
        <v>2200</v>
      </c>
      <c r="M42" s="22">
        <f>VLOOKUP($A42,[1]maaltijden!$A$1:$IV$65536,22,FALSE)</f>
        <v>2200</v>
      </c>
      <c r="N42" s="136">
        <v>0</v>
      </c>
      <c r="O42" s="21">
        <v>0</v>
      </c>
      <c r="P42" s="19">
        <v>1</v>
      </c>
      <c r="Q42" s="20">
        <v>2</v>
      </c>
      <c r="R42" s="21">
        <v>0</v>
      </c>
      <c r="S42" s="19">
        <v>1</v>
      </c>
      <c r="T42" s="20">
        <v>1</v>
      </c>
      <c r="U42" s="19">
        <v>1</v>
      </c>
      <c r="V42" s="20">
        <v>1</v>
      </c>
      <c r="W42" s="20">
        <v>1</v>
      </c>
      <c r="X42" s="20">
        <v>1</v>
      </c>
      <c r="Y42" s="20">
        <v>1</v>
      </c>
      <c r="Z42" s="20">
        <v>0</v>
      </c>
      <c r="AA42" s="20">
        <v>0</v>
      </c>
      <c r="AB42" s="49">
        <v>0</v>
      </c>
      <c r="AC42" s="49">
        <v>0</v>
      </c>
      <c r="AD42" s="49">
        <v>0</v>
      </c>
      <c r="AE42" s="49">
        <v>0</v>
      </c>
      <c r="AF42" s="49">
        <v>0</v>
      </c>
      <c r="AG42" s="161">
        <v>0</v>
      </c>
      <c r="AH42" s="162">
        <v>1</v>
      </c>
      <c r="AI42" s="162">
        <v>0</v>
      </c>
      <c r="AJ42" s="162">
        <v>0</v>
      </c>
      <c r="AK42" s="162">
        <v>0</v>
      </c>
      <c r="AL42" s="163">
        <v>0</v>
      </c>
      <c r="AM42" s="19">
        <v>0</v>
      </c>
      <c r="AN42" s="20" t="str">
        <f>IFERROR(INDEX([2]lijnopstellingsfiche!$AP$1:$AP$65536,MATCH(A42,[2]lijnopstellingsfiche!$AQ$1:$AQ$65536,0)),"")</f>
        <v>-</v>
      </c>
      <c r="AO42" s="20">
        <v>0</v>
      </c>
      <c r="AP42" s="20">
        <v>1</v>
      </c>
      <c r="AQ42" s="20">
        <v>2</v>
      </c>
      <c r="AR42" s="20">
        <v>0</v>
      </c>
      <c r="AS42" s="20">
        <v>0</v>
      </c>
      <c r="AT42" s="20">
        <v>0</v>
      </c>
      <c r="AU42" s="20">
        <v>0</v>
      </c>
      <c r="AV42" s="23">
        <v>0</v>
      </c>
      <c r="AW42" s="111">
        <v>1</v>
      </c>
      <c r="AX42" s="112">
        <v>0</v>
      </c>
      <c r="AY42" s="112">
        <v>1</v>
      </c>
      <c r="AZ42" s="112">
        <v>1</v>
      </c>
      <c r="BA42" s="112">
        <v>0</v>
      </c>
      <c r="BB42" s="20">
        <v>1</v>
      </c>
      <c r="BC42" s="21">
        <v>0</v>
      </c>
      <c r="BD42" s="200" t="str">
        <f>VLOOKUP($A42,'[3]allergenen 6nr'!$A$1:$O$1310,3,FALSE)</f>
        <v>-</v>
      </c>
      <c r="BE42" s="201" t="str">
        <f>VLOOKUP($A42,'[3]allergenen 6nr'!$A$1:$O$1310,4,FALSE)</f>
        <v>-</v>
      </c>
      <c r="BF42" s="201" t="str">
        <f>VLOOKUP($A42,'[3]allergenen 6nr'!$A$1:$O$1310,5,FALSE)</f>
        <v>+</v>
      </c>
      <c r="BG42" s="201" t="str">
        <f>VLOOKUP($A42,'[3]allergenen 6nr'!$A$1:$O$1310,6,FALSE)</f>
        <v>X</v>
      </c>
      <c r="BH42" s="201" t="str">
        <f>VLOOKUP($A42,'[3]allergenen 6nr'!$A$1:$O$1310,7,FALSE)</f>
        <v>+</v>
      </c>
      <c r="BI42" s="201" t="str">
        <f>VLOOKUP($A42,'[3]allergenen 6nr'!$A$1:$O$1310,8,FALSE)</f>
        <v>X</v>
      </c>
      <c r="BJ42" s="201" t="str">
        <f>VLOOKUP($A42,'[3]allergenen 6nr'!$A$1:$O$1310,9,FALSE)</f>
        <v>-</v>
      </c>
      <c r="BK42" s="201" t="str">
        <f>VLOOKUP($A42,'[3]allergenen 6nr'!$A$1:$O$1310,10,FALSE)</f>
        <v>X</v>
      </c>
      <c r="BL42" s="201" t="str">
        <f>VLOOKUP($A42,'[3]allergenen 6nr'!$A$1:$O$1310,11,FALSE)</f>
        <v>+</v>
      </c>
      <c r="BM42" s="201" t="str">
        <f>VLOOKUP($A42,'[3]allergenen 6nr'!$A$1:$O$1310,12,FALSE)</f>
        <v>-</v>
      </c>
      <c r="BN42" s="201" t="str">
        <f>VLOOKUP($A42,'[3]allergenen 6nr'!$A$1:$O$1310,13,FALSE)</f>
        <v>X</v>
      </c>
      <c r="BO42" s="201" t="str">
        <f>VLOOKUP($A42,'[3]allergenen 6nr'!$A$1:$O$1310,14,FALSE)</f>
        <v>+</v>
      </c>
      <c r="BP42" s="202" t="str">
        <f>VLOOKUP($A42,'[3]allergenen 6nr'!$A$1:$O$1310,15,FALSE)</f>
        <v>X</v>
      </c>
    </row>
    <row r="43" spans="1:173" x14ac:dyDescent="0.2">
      <c r="A43" s="89">
        <v>61695300</v>
      </c>
      <c r="B43" s="53" t="str">
        <f>VLOOKUP($A43,[1]maaltijden!$A$1:$IV$65536,4,FALSE)</f>
        <v>BOF BE HERTENSTOOFPOT APPEL VEENB POMPOENPUR 450G</v>
      </c>
      <c r="C43" s="46" t="str">
        <f>VLOOKUP($A43,[1]maaltijden!$A$1:$IV$65536,7,FALSE)</f>
        <v>C2227-3C</v>
      </c>
      <c r="D43" s="22" t="str">
        <f>VLOOKUP($A43,[1]maaltijden!$A$1:$IV$65536,10,FALSE)</f>
        <v>H10</v>
      </c>
      <c r="E43" s="22" t="str">
        <f>VLOOKUP($A43,[1]maaltijden!$A$1:$IV$65536,13,FALSE)</f>
        <v>H10X8</v>
      </c>
      <c r="F43" s="20">
        <f t="shared" si="0"/>
        <v>0</v>
      </c>
      <c r="G43" s="20" t="str">
        <f>VLOOKUP($A43,[1]maaltijden!$A$1:$IV$65536,27,FALSE)</f>
        <v>! !</v>
      </c>
      <c r="H43" s="22">
        <f>VLOOKUP($A43,[1]maaltijden!$A$1:$IV$65536,21,FALSE)</f>
        <v>8</v>
      </c>
      <c r="I43" s="22">
        <f>VLOOKUP($A43,[1]maaltijden!$A$1:$IV$65536,21,FALSE)</f>
        <v>8</v>
      </c>
      <c r="J43" s="22">
        <f>VLOOKUP($A43,[1]maaltijden!$A$1:$IV$65536,18,FALSE)</f>
        <v>2</v>
      </c>
      <c r="K43" s="22">
        <f>VLOOKUP($A43,[1]maaltijden!$A$1:$IV$65536,17,FALSE)</f>
        <v>3</v>
      </c>
      <c r="L43" s="22">
        <f>VLOOKUP($A43,[1]maaltijden!$A$1:$IV$65536,20,FALSE)</f>
        <v>1750</v>
      </c>
      <c r="M43" s="22">
        <f>VLOOKUP($A43,[1]maaltijden!$A$1:$IV$65536,22,FALSE)</f>
        <v>1750</v>
      </c>
      <c r="N43" s="135" t="s">
        <v>399</v>
      </c>
      <c r="O43" s="21">
        <v>0</v>
      </c>
      <c r="P43" s="19">
        <v>1</v>
      </c>
      <c r="Q43" s="20">
        <v>2</v>
      </c>
      <c r="R43" s="21">
        <v>0</v>
      </c>
      <c r="S43" s="19">
        <v>1</v>
      </c>
      <c r="T43" s="20">
        <v>1</v>
      </c>
      <c r="U43" s="19">
        <v>1</v>
      </c>
      <c r="V43" s="20">
        <v>0</v>
      </c>
      <c r="W43" s="20">
        <v>0</v>
      </c>
      <c r="X43" s="20">
        <v>1</v>
      </c>
      <c r="Y43" s="20">
        <v>1</v>
      </c>
      <c r="Z43" s="20">
        <v>0</v>
      </c>
      <c r="AA43" s="20">
        <v>1</v>
      </c>
      <c r="AB43" s="49">
        <v>0</v>
      </c>
      <c r="AC43" s="49">
        <v>0</v>
      </c>
      <c r="AD43" s="49">
        <v>0</v>
      </c>
      <c r="AE43" s="49">
        <v>1</v>
      </c>
      <c r="AF43" s="49">
        <v>0</v>
      </c>
      <c r="AG43" s="161">
        <v>0</v>
      </c>
      <c r="AH43" s="162">
        <v>3</v>
      </c>
      <c r="AI43" s="162">
        <v>1</v>
      </c>
      <c r="AJ43" s="162">
        <v>0</v>
      </c>
      <c r="AK43" s="162">
        <v>0</v>
      </c>
      <c r="AL43" s="163">
        <v>0</v>
      </c>
      <c r="AM43" s="19">
        <v>0</v>
      </c>
      <c r="AN43" s="20">
        <f>IFERROR(INDEX([2]lijnopstellingsfiche!$AP$1:$AP$65536,MATCH(A43,[2]lijnopstellingsfiche!$AQ$1:$AQ$65536,0)),"")</f>
        <v>5</v>
      </c>
      <c r="AO43" s="20">
        <v>0</v>
      </c>
      <c r="AP43" s="20">
        <v>0</v>
      </c>
      <c r="AQ43" s="20">
        <v>2</v>
      </c>
      <c r="AR43" s="20">
        <v>1</v>
      </c>
      <c r="AS43" s="20">
        <v>0</v>
      </c>
      <c r="AT43" s="20">
        <v>0</v>
      </c>
      <c r="AU43" s="20">
        <v>0</v>
      </c>
      <c r="AV43" s="23">
        <v>0</v>
      </c>
      <c r="AW43" s="108">
        <v>1</v>
      </c>
      <c r="AX43" s="108">
        <v>0</v>
      </c>
      <c r="AY43" s="108">
        <v>1</v>
      </c>
      <c r="AZ43" s="112">
        <v>1</v>
      </c>
      <c r="BA43" s="114">
        <v>0</v>
      </c>
      <c r="BB43" s="20">
        <v>1</v>
      </c>
      <c r="BC43" s="113">
        <v>0</v>
      </c>
      <c r="BD43" s="200" t="str">
        <f>VLOOKUP($A43,'[3]allergenen 6nr'!$A$1:$O$1310,3,FALSE)</f>
        <v>-</v>
      </c>
      <c r="BE43" s="201" t="str">
        <f>VLOOKUP($A43,'[3]allergenen 6nr'!$A$1:$O$1310,4,FALSE)</f>
        <v>-</v>
      </c>
      <c r="BF43" s="201" t="str">
        <f>VLOOKUP($A43,'[3]allergenen 6nr'!$A$1:$O$1310,5,FALSE)</f>
        <v>+</v>
      </c>
      <c r="BG43" s="201" t="str">
        <f>VLOOKUP($A43,'[3]allergenen 6nr'!$A$1:$O$1310,6,FALSE)</f>
        <v>X</v>
      </c>
      <c r="BH43" s="201" t="str">
        <f>VLOOKUP($A43,'[3]allergenen 6nr'!$A$1:$O$1310,7,FALSE)</f>
        <v>+</v>
      </c>
      <c r="BI43" s="201" t="str">
        <f>VLOOKUP($A43,'[3]allergenen 6nr'!$A$1:$O$1310,8,FALSE)</f>
        <v>X</v>
      </c>
      <c r="BJ43" s="201" t="str">
        <f>VLOOKUP($A43,'[3]allergenen 6nr'!$A$1:$O$1310,9,FALSE)</f>
        <v>-</v>
      </c>
      <c r="BK43" s="201" t="str">
        <f>VLOOKUP($A43,'[3]allergenen 6nr'!$A$1:$O$1310,10,FALSE)</f>
        <v>-</v>
      </c>
      <c r="BL43" s="201" t="str">
        <f>VLOOKUP($A43,'[3]allergenen 6nr'!$A$1:$O$1310,11,FALSE)</f>
        <v>-</v>
      </c>
      <c r="BM43" s="201" t="str">
        <f>VLOOKUP($A43,'[3]allergenen 6nr'!$A$1:$O$1310,12,FALSE)</f>
        <v>-</v>
      </c>
      <c r="BN43" s="201" t="str">
        <f>VLOOKUP($A43,'[3]allergenen 6nr'!$A$1:$O$1310,13,FALSE)</f>
        <v>X</v>
      </c>
      <c r="BO43" s="201" t="str">
        <f>VLOOKUP($A43,'[3]allergenen 6nr'!$A$1:$O$1310,14,FALSE)</f>
        <v>-</v>
      </c>
      <c r="BP43" s="202" t="str">
        <f>VLOOKUP($A43,'[3]allergenen 6nr'!$A$1:$O$1310,15,FALSE)</f>
        <v>-</v>
      </c>
    </row>
    <row r="44" spans="1:173" x14ac:dyDescent="0.2">
      <c r="A44" s="89">
        <v>61695400</v>
      </c>
      <c r="B44" s="53" t="str">
        <f>VLOOKUP($A44,[1]maaltijden!$A$1:$IV$65536,4,FALSE)</f>
        <v>BOF BE JACHTSCHOTEL RODE KOOL PUREE 450G</v>
      </c>
      <c r="C44" s="46" t="str">
        <f>VLOOKUP($A44,[1]maaltijden!$A$1:$IV$65536,7,FALSE)</f>
        <v>C2227-3C</v>
      </c>
      <c r="D44" s="22" t="str">
        <f>VLOOKUP($A44,[1]maaltijden!$A$1:$IV$65536,10,FALSE)</f>
        <v>H10</v>
      </c>
      <c r="E44" s="22" t="str">
        <f>VLOOKUP($A44,[1]maaltijden!$A$1:$IV$65536,13,FALSE)</f>
        <v>H10X8</v>
      </c>
      <c r="F44" s="20">
        <f t="shared" si="0"/>
        <v>0</v>
      </c>
      <c r="G44" s="20" t="str">
        <f>VLOOKUP($A44,[1]maaltijden!$A$1:$IV$65536,27,FALSE)</f>
        <v>! ! !</v>
      </c>
      <c r="H44" s="22">
        <f>VLOOKUP($A44,[1]maaltijden!$A$1:$IV$65536,21,FALSE)</f>
        <v>8</v>
      </c>
      <c r="I44" s="22">
        <f>VLOOKUP($A44,[1]maaltijden!$A$1:$IV$65536,21,FALSE)</f>
        <v>8</v>
      </c>
      <c r="J44" s="22">
        <f>VLOOKUP($A44,[1]maaltijden!$A$1:$IV$65536,18,FALSE)</f>
        <v>2</v>
      </c>
      <c r="K44" s="22">
        <f>VLOOKUP($A44,[1]maaltijden!$A$1:$IV$65536,17,FALSE)</f>
        <v>3</v>
      </c>
      <c r="L44" s="22">
        <f>VLOOKUP($A44,[1]maaltijden!$A$1:$IV$65536,20,FALSE)</f>
        <v>1750</v>
      </c>
      <c r="M44" s="22">
        <f>VLOOKUP($A44,[1]maaltijden!$A$1:$IV$65536,22,FALSE)</f>
        <v>1750</v>
      </c>
      <c r="N44" s="136" t="s">
        <v>398</v>
      </c>
      <c r="O44" s="21">
        <v>0</v>
      </c>
      <c r="P44" s="19">
        <v>1</v>
      </c>
      <c r="Q44" s="20">
        <v>2</v>
      </c>
      <c r="R44" s="21">
        <v>0</v>
      </c>
      <c r="S44" s="19">
        <v>1</v>
      </c>
      <c r="T44" s="20">
        <v>1</v>
      </c>
      <c r="U44" s="19">
        <v>0</v>
      </c>
      <c r="V44" s="20">
        <v>1</v>
      </c>
      <c r="W44" s="20">
        <v>1</v>
      </c>
      <c r="X44" s="20">
        <v>1</v>
      </c>
      <c r="Y44" s="20">
        <v>1</v>
      </c>
      <c r="Z44" s="20">
        <v>1</v>
      </c>
      <c r="AA44" s="20">
        <v>0</v>
      </c>
      <c r="AB44" s="49">
        <v>0</v>
      </c>
      <c r="AC44" s="49">
        <v>0</v>
      </c>
      <c r="AD44" s="49">
        <v>0</v>
      </c>
      <c r="AE44" s="49">
        <v>1</v>
      </c>
      <c r="AF44" s="49">
        <v>0</v>
      </c>
      <c r="AG44" s="161">
        <v>0</v>
      </c>
      <c r="AH44" s="162">
        <v>2</v>
      </c>
      <c r="AI44" s="162">
        <v>1</v>
      </c>
      <c r="AJ44" s="162">
        <v>0</v>
      </c>
      <c r="AK44" s="162">
        <v>0</v>
      </c>
      <c r="AL44" s="163">
        <v>0</v>
      </c>
      <c r="AM44" s="19">
        <v>0</v>
      </c>
      <c r="AN44" s="20">
        <f>IFERROR(INDEX([2]lijnopstellingsfiche!$AP$1:$AP$65536,MATCH(A44,[2]lijnopstellingsfiche!$AQ$1:$AQ$65536,0)),"")</f>
        <v>5</v>
      </c>
      <c r="AO44" s="20">
        <v>0</v>
      </c>
      <c r="AP44" s="20">
        <v>0</v>
      </c>
      <c r="AQ44" s="20">
        <v>2</v>
      </c>
      <c r="AR44" s="20">
        <v>1</v>
      </c>
      <c r="AS44" s="20">
        <v>0</v>
      </c>
      <c r="AT44" s="20">
        <v>0</v>
      </c>
      <c r="AU44" s="20">
        <v>0</v>
      </c>
      <c r="AV44" s="23">
        <v>0</v>
      </c>
      <c r="AW44" s="108">
        <v>1</v>
      </c>
      <c r="AX44" s="108">
        <v>0</v>
      </c>
      <c r="AY44" s="108">
        <v>1</v>
      </c>
      <c r="AZ44" s="112">
        <v>1</v>
      </c>
      <c r="BA44" s="114">
        <v>0</v>
      </c>
      <c r="BB44" s="20">
        <v>1</v>
      </c>
      <c r="BC44" s="113">
        <v>0</v>
      </c>
      <c r="BD44" s="200" t="str">
        <f>VLOOKUP($A44,'[3]allergenen 6nr'!$A$1:$O$1310,3,FALSE)</f>
        <v>-</v>
      </c>
      <c r="BE44" s="201" t="str">
        <f>VLOOKUP($A44,'[3]allergenen 6nr'!$A$1:$O$1310,4,FALSE)</f>
        <v>+</v>
      </c>
      <c r="BF44" s="201" t="str">
        <f>VLOOKUP($A44,'[3]allergenen 6nr'!$A$1:$O$1310,5,FALSE)</f>
        <v>+</v>
      </c>
      <c r="BG44" s="201" t="str">
        <f>VLOOKUP($A44,'[3]allergenen 6nr'!$A$1:$O$1310,6,FALSE)</f>
        <v>X</v>
      </c>
      <c r="BH44" s="201" t="str">
        <f>VLOOKUP($A44,'[3]allergenen 6nr'!$A$1:$O$1310,7,FALSE)</f>
        <v>+</v>
      </c>
      <c r="BI44" s="201" t="str">
        <f>VLOOKUP($A44,'[3]allergenen 6nr'!$A$1:$O$1310,8,FALSE)</f>
        <v>+</v>
      </c>
      <c r="BJ44" s="201" t="str">
        <f>VLOOKUP($A44,'[3]allergenen 6nr'!$A$1:$O$1310,9,FALSE)</f>
        <v>-</v>
      </c>
      <c r="BK44" s="201" t="str">
        <f>VLOOKUP($A44,'[3]allergenen 6nr'!$A$1:$O$1310,10,FALSE)</f>
        <v>-</v>
      </c>
      <c r="BL44" s="201" t="str">
        <f>VLOOKUP($A44,'[3]allergenen 6nr'!$A$1:$O$1310,11,FALSE)</f>
        <v>-</v>
      </c>
      <c r="BM44" s="201" t="str">
        <f>VLOOKUP($A44,'[3]allergenen 6nr'!$A$1:$O$1310,12,FALSE)</f>
        <v>-</v>
      </c>
      <c r="BN44" s="201" t="str">
        <f>VLOOKUP($A44,'[3]allergenen 6nr'!$A$1:$O$1310,13,FALSE)</f>
        <v>X</v>
      </c>
      <c r="BO44" s="201" t="str">
        <f>VLOOKUP($A44,'[3]allergenen 6nr'!$A$1:$O$1310,14,FALSE)</f>
        <v>-</v>
      </c>
      <c r="BP44" s="202" t="str">
        <f>VLOOKUP($A44,'[3]allergenen 6nr'!$A$1:$O$1310,15,FALSE)</f>
        <v>-</v>
      </c>
    </row>
    <row r="45" spans="1:173" x14ac:dyDescent="0.2">
      <c r="A45" s="89">
        <v>61695500</v>
      </c>
      <c r="B45" s="53" t="str">
        <f>VLOOKUP($A45,[1]maaltijden!$A$1:$IV$65536,4,FALSE)</f>
        <v>BOF BE VARKENSHAASJE PEPERROOM WORTELEN PUREE 450G</v>
      </c>
      <c r="C45" s="46" t="str">
        <f>VLOOKUP($A45,[1]maaltijden!$A$1:$IV$65536,7,FALSE)</f>
        <v>C2227-3C</v>
      </c>
      <c r="D45" s="22" t="str">
        <f>VLOOKUP($A45,[1]maaltijden!$A$1:$IV$65536,10,FALSE)</f>
        <v>H10</v>
      </c>
      <c r="E45" s="22" t="str">
        <f>VLOOKUP($A45,[1]maaltijden!$A$1:$IV$65536,13,FALSE)</f>
        <v>H10X8</v>
      </c>
      <c r="F45" s="20">
        <f t="shared" si="0"/>
        <v>0</v>
      </c>
      <c r="G45" s="20" t="str">
        <f>VLOOKUP($A45,[1]maaltijden!$A$1:$IV$65536,27,FALSE)</f>
        <v>! !</v>
      </c>
      <c r="H45" s="22">
        <f>VLOOKUP($A45,[1]maaltijden!$A$1:$IV$65536,21,FALSE)</f>
        <v>9</v>
      </c>
      <c r="I45" s="22">
        <f>VLOOKUP($A45,[1]maaltijden!$A$1:$IV$65536,21,FALSE)</f>
        <v>9</v>
      </c>
      <c r="J45" s="22">
        <f>VLOOKUP($A45,[1]maaltijden!$A$1:$IV$65536,18,FALSE)</f>
        <v>2</v>
      </c>
      <c r="K45" s="22">
        <f>VLOOKUP($A45,[1]maaltijden!$A$1:$IV$65536,17,FALSE)</f>
        <v>3</v>
      </c>
      <c r="L45" s="22">
        <f>VLOOKUP($A45,[1]maaltijden!$A$1:$IV$65536,20,FALSE)</f>
        <v>1750</v>
      </c>
      <c r="M45" s="22">
        <f>VLOOKUP($A45,[1]maaltijden!$A$1:$IV$65536,22,FALSE)</f>
        <v>1750</v>
      </c>
      <c r="N45" s="135"/>
      <c r="O45" s="50"/>
      <c r="P45" s="19">
        <v>1</v>
      </c>
      <c r="Q45" s="20">
        <v>2</v>
      </c>
      <c r="R45" s="21">
        <v>0</v>
      </c>
      <c r="S45" s="19">
        <v>1</v>
      </c>
      <c r="T45" s="20">
        <v>1</v>
      </c>
      <c r="U45" s="19">
        <v>0</v>
      </c>
      <c r="V45" s="20">
        <v>1</v>
      </c>
      <c r="W45" s="20">
        <v>1</v>
      </c>
      <c r="X45" s="20">
        <v>1</v>
      </c>
      <c r="Y45" s="20">
        <v>1</v>
      </c>
      <c r="Z45" s="20">
        <v>1</v>
      </c>
      <c r="AA45" s="20">
        <v>0</v>
      </c>
      <c r="AB45" s="49">
        <v>0</v>
      </c>
      <c r="AC45" s="49">
        <v>0</v>
      </c>
      <c r="AD45" s="49">
        <v>0</v>
      </c>
      <c r="AE45" s="49">
        <v>1</v>
      </c>
      <c r="AF45" s="49">
        <v>0</v>
      </c>
      <c r="AG45" s="161">
        <v>0</v>
      </c>
      <c r="AH45" s="162">
        <v>2</v>
      </c>
      <c r="AI45" s="162">
        <v>1</v>
      </c>
      <c r="AJ45" s="162">
        <v>0</v>
      </c>
      <c r="AK45" s="162">
        <v>0</v>
      </c>
      <c r="AL45" s="163">
        <v>0</v>
      </c>
      <c r="AM45" s="19">
        <v>0</v>
      </c>
      <c r="AN45" s="20">
        <f>IFERROR(INDEX([2]lijnopstellingsfiche!$AP$1:$AP$65536,MATCH(A45,[2]lijnopstellingsfiche!$AQ$1:$AQ$65536,0)),"")</f>
        <v>5</v>
      </c>
      <c r="AO45" s="20">
        <v>0</v>
      </c>
      <c r="AP45" s="20">
        <v>0</v>
      </c>
      <c r="AQ45" s="20">
        <v>1</v>
      </c>
      <c r="AR45" s="20">
        <v>1</v>
      </c>
      <c r="AS45" s="20">
        <v>0</v>
      </c>
      <c r="AT45" s="20">
        <v>0</v>
      </c>
      <c r="AU45" s="20">
        <v>0</v>
      </c>
      <c r="AV45" s="23">
        <v>0</v>
      </c>
      <c r="AW45" s="108">
        <v>1</v>
      </c>
      <c r="AX45" s="108">
        <v>0</v>
      </c>
      <c r="AY45" s="108">
        <v>1</v>
      </c>
      <c r="AZ45" s="112">
        <v>1</v>
      </c>
      <c r="BA45" s="114">
        <v>0</v>
      </c>
      <c r="BB45" s="20">
        <v>1</v>
      </c>
      <c r="BC45" s="113">
        <v>0</v>
      </c>
      <c r="BD45" s="203" t="str">
        <f>VLOOKUP($A45,'[3]allergenen 6nr'!$A$1:$O$1310,3,FALSE)</f>
        <v>-</v>
      </c>
      <c r="BE45" s="204" t="str">
        <f>VLOOKUP($A45,'[3]allergenen 6nr'!$A$1:$O$1310,4,FALSE)</f>
        <v>+</v>
      </c>
      <c r="BF45" s="204" t="str">
        <f>VLOOKUP($A45,'[3]allergenen 6nr'!$A$1:$O$1310,5,FALSE)</f>
        <v>+</v>
      </c>
      <c r="BG45" s="204" t="str">
        <f>VLOOKUP($A45,'[3]allergenen 6nr'!$A$1:$O$1310,6,FALSE)</f>
        <v>X</v>
      </c>
      <c r="BH45" s="204" t="str">
        <f>VLOOKUP($A45,'[3]allergenen 6nr'!$A$1:$O$1310,7,FALSE)</f>
        <v>+</v>
      </c>
      <c r="BI45" s="204" t="str">
        <f>VLOOKUP($A45,'[3]allergenen 6nr'!$A$1:$O$1310,8,FALSE)</f>
        <v>X</v>
      </c>
      <c r="BJ45" s="204" t="str">
        <f>VLOOKUP($A45,'[3]allergenen 6nr'!$A$1:$O$1310,9,FALSE)</f>
        <v>-</v>
      </c>
      <c r="BK45" s="204" t="str">
        <f>VLOOKUP($A45,'[3]allergenen 6nr'!$A$1:$O$1310,10,FALSE)</f>
        <v>-</v>
      </c>
      <c r="BL45" s="204" t="str">
        <f>VLOOKUP($A45,'[3]allergenen 6nr'!$A$1:$O$1310,11,FALSE)</f>
        <v>-</v>
      </c>
      <c r="BM45" s="204" t="str">
        <f>VLOOKUP($A45,'[3]allergenen 6nr'!$A$1:$O$1310,12,FALSE)</f>
        <v>-</v>
      </c>
      <c r="BN45" s="204" t="str">
        <f>VLOOKUP($A45,'[3]allergenen 6nr'!$A$1:$O$1310,13,FALSE)</f>
        <v>X</v>
      </c>
      <c r="BO45" s="204" t="str">
        <f>VLOOKUP($A45,'[3]allergenen 6nr'!$A$1:$O$1310,14,FALSE)</f>
        <v>-</v>
      </c>
      <c r="BP45" s="205" t="str">
        <f>VLOOKUP($A45,'[3]allergenen 6nr'!$A$1:$O$1310,15,FALSE)</f>
        <v>-</v>
      </c>
    </row>
    <row r="46" spans="1:173" x14ac:dyDescent="0.2">
      <c r="A46" s="89">
        <v>61695600</v>
      </c>
      <c r="B46" s="53" t="str">
        <f>VLOOKUP($A46,[1]maaltijden!$A$1:$IV$65536,4,FALSE)</f>
        <v>BOF BE BLINDE VINK RODE KOOL AARD.KUBUS 450G</v>
      </c>
      <c r="C46" s="46" t="str">
        <f>VLOOKUP($A46,[1]maaltijden!$A$1:$IV$65536,7,FALSE)</f>
        <v>C2227-3C</v>
      </c>
      <c r="D46" s="22" t="str">
        <f>VLOOKUP($A46,[1]maaltijden!$A$1:$IV$65536,10,FALSE)</f>
        <v>H10</v>
      </c>
      <c r="E46" s="22" t="str">
        <f>VLOOKUP($A46,[1]maaltijden!$A$1:$IV$65536,13,FALSE)</f>
        <v>H10X8</v>
      </c>
      <c r="F46" s="20">
        <f t="shared" si="0"/>
        <v>0</v>
      </c>
      <c r="G46" s="20" t="str">
        <f>VLOOKUP($A46,[1]maaltijden!$A$1:$IV$65536,27,FALSE)</f>
        <v>! !</v>
      </c>
      <c r="H46" s="22">
        <f>VLOOKUP($A46,[1]maaltijden!$A$1:$IV$65536,21,FALSE)</f>
        <v>5</v>
      </c>
      <c r="I46" s="22">
        <f>VLOOKUP($A46,[1]maaltijden!$A$1:$IV$65536,21,FALSE)</f>
        <v>5</v>
      </c>
      <c r="J46" s="22">
        <f>VLOOKUP($A46,[1]maaltijden!$A$1:$IV$65536,18,FALSE)</f>
        <v>2</v>
      </c>
      <c r="K46" s="22">
        <f>VLOOKUP($A46,[1]maaltijden!$A$1:$IV$65536,17,FALSE)</f>
        <v>3</v>
      </c>
      <c r="L46" s="22">
        <f>VLOOKUP($A46,[1]maaltijden!$A$1:$IV$65536,20,FALSE)</f>
        <v>2200</v>
      </c>
      <c r="M46" s="22">
        <f>VLOOKUP($A46,[1]maaltijden!$A$1:$IV$65536,22,FALSE)</f>
        <v>2200</v>
      </c>
      <c r="N46" s="135">
        <v>0</v>
      </c>
      <c r="O46" s="50">
        <v>0</v>
      </c>
      <c r="P46" s="19">
        <v>1</v>
      </c>
      <c r="Q46" s="20">
        <v>2</v>
      </c>
      <c r="R46" s="21">
        <v>0</v>
      </c>
      <c r="S46" s="19">
        <v>1</v>
      </c>
      <c r="T46" s="20">
        <v>1</v>
      </c>
      <c r="U46" s="19">
        <v>0</v>
      </c>
      <c r="V46" s="20">
        <v>1</v>
      </c>
      <c r="W46" s="20">
        <v>1</v>
      </c>
      <c r="X46" s="20">
        <v>1</v>
      </c>
      <c r="Y46" s="20">
        <v>1</v>
      </c>
      <c r="Z46" s="20">
        <v>1</v>
      </c>
      <c r="AA46" s="20">
        <v>0</v>
      </c>
      <c r="AB46" s="49">
        <v>0</v>
      </c>
      <c r="AC46" s="49">
        <v>0</v>
      </c>
      <c r="AD46" s="49">
        <v>0</v>
      </c>
      <c r="AE46" s="49">
        <v>1</v>
      </c>
      <c r="AF46" s="49">
        <v>0</v>
      </c>
      <c r="AG46" s="161">
        <v>0</v>
      </c>
      <c r="AH46" s="162">
        <v>1</v>
      </c>
      <c r="AI46" s="162">
        <v>1</v>
      </c>
      <c r="AJ46" s="162">
        <v>0</v>
      </c>
      <c r="AK46" s="162">
        <v>0</v>
      </c>
      <c r="AL46" s="163">
        <v>0</v>
      </c>
      <c r="AM46" s="19">
        <v>0</v>
      </c>
      <c r="AN46" s="20" t="str">
        <f>IFERROR(INDEX([2]lijnopstellingsfiche!$AP$1:$AP$65536,MATCH(A46,[2]lijnopstellingsfiche!$AQ$1:$AQ$65536,0)),"")</f>
        <v>-</v>
      </c>
      <c r="AO46" s="20">
        <v>0</v>
      </c>
      <c r="AP46" s="20">
        <v>0</v>
      </c>
      <c r="AQ46" s="20">
        <v>1</v>
      </c>
      <c r="AR46" s="20">
        <v>1</v>
      </c>
      <c r="AS46" s="20">
        <v>0</v>
      </c>
      <c r="AT46" s="20">
        <v>0</v>
      </c>
      <c r="AU46" s="20">
        <v>0</v>
      </c>
      <c r="AV46" s="23">
        <v>0</v>
      </c>
      <c r="AW46" s="108">
        <v>1</v>
      </c>
      <c r="AX46" s="108">
        <v>0</v>
      </c>
      <c r="AY46" s="108">
        <v>1</v>
      </c>
      <c r="AZ46" s="112">
        <v>1</v>
      </c>
      <c r="BA46" s="114">
        <v>0</v>
      </c>
      <c r="BB46" s="20">
        <v>1</v>
      </c>
      <c r="BC46" s="113">
        <v>0</v>
      </c>
      <c r="BD46" s="200" t="str">
        <f>VLOOKUP($A46,'[3]allergenen 6nr'!$A$1:$O$1310,3,FALSE)</f>
        <v>-</v>
      </c>
      <c r="BE46" s="201" t="str">
        <f>VLOOKUP($A46,'[3]allergenen 6nr'!$A$1:$O$1310,4,FALSE)</f>
        <v>X</v>
      </c>
      <c r="BF46" s="201" t="str">
        <f>VLOOKUP($A46,'[3]allergenen 6nr'!$A$1:$O$1310,5,FALSE)</f>
        <v>+</v>
      </c>
      <c r="BG46" s="201" t="str">
        <f>VLOOKUP($A46,'[3]allergenen 6nr'!$A$1:$O$1310,6,FALSE)</f>
        <v>X</v>
      </c>
      <c r="BH46" s="201" t="str">
        <f>VLOOKUP($A46,'[3]allergenen 6nr'!$A$1:$O$1310,7,FALSE)</f>
        <v>X</v>
      </c>
      <c r="BI46" s="201" t="str">
        <f>VLOOKUP($A46,'[3]allergenen 6nr'!$A$1:$O$1310,8,FALSE)</f>
        <v>X</v>
      </c>
      <c r="BJ46" s="201" t="str">
        <f>VLOOKUP($A46,'[3]allergenen 6nr'!$A$1:$O$1310,9,FALSE)</f>
        <v>X</v>
      </c>
      <c r="BK46" s="201" t="str">
        <f>VLOOKUP($A46,'[3]allergenen 6nr'!$A$1:$O$1310,10,FALSE)</f>
        <v>X</v>
      </c>
      <c r="BL46" s="201" t="str">
        <f>VLOOKUP($A46,'[3]allergenen 6nr'!$A$1:$O$1310,11,FALSE)</f>
        <v>X</v>
      </c>
      <c r="BM46" s="201" t="str">
        <f>VLOOKUP($A46,'[3]allergenen 6nr'!$A$1:$O$1310,12,FALSE)</f>
        <v>-</v>
      </c>
      <c r="BN46" s="201" t="str">
        <f>VLOOKUP($A46,'[3]allergenen 6nr'!$A$1:$O$1310,13,FALSE)</f>
        <v>X</v>
      </c>
      <c r="BO46" s="201" t="str">
        <f>VLOOKUP($A46,'[3]allergenen 6nr'!$A$1:$O$1310,14,FALSE)</f>
        <v>X</v>
      </c>
      <c r="BP46" s="202" t="str">
        <f>VLOOKUP($A46,'[3]allergenen 6nr'!$A$1:$O$1310,15,FALSE)</f>
        <v>-</v>
      </c>
    </row>
    <row r="47" spans="1:173" x14ac:dyDescent="0.2">
      <c r="A47" s="89">
        <v>61695700</v>
      </c>
      <c r="B47" s="53" t="str">
        <f>VLOOKUP($A47,[1]maaltijden!$A$1:$IV$65536,4,FALSE)</f>
        <v>BOF BE CHIPOLATA BLOEMKOOL PUREE 450G</v>
      </c>
      <c r="C47" s="46" t="str">
        <f>VLOOKUP($A47,[1]maaltijden!$A$1:$IV$65536,7,FALSE)</f>
        <v>C2227-3C</v>
      </c>
      <c r="D47" s="22" t="str">
        <f>VLOOKUP($A47,[1]maaltijden!$A$1:$IV$65536,10,FALSE)</f>
        <v>H10</v>
      </c>
      <c r="E47" s="22" t="str">
        <f>VLOOKUP($A47,[1]maaltijden!$A$1:$IV$65536,13,FALSE)</f>
        <v>H10X8</v>
      </c>
      <c r="F47" s="20">
        <f t="shared" si="0"/>
        <v>0</v>
      </c>
      <c r="G47" s="20" t="str">
        <f>VLOOKUP($A47,[1]maaltijden!$A$1:$IV$65536,27,FALSE)</f>
        <v>! !</v>
      </c>
      <c r="H47" s="22">
        <f>VLOOKUP($A47,[1]maaltijden!$A$1:$IV$65536,21,FALSE)</f>
        <v>6</v>
      </c>
      <c r="I47" s="22">
        <f>VLOOKUP($A47,[1]maaltijden!$A$1:$IV$65536,21,FALSE)</f>
        <v>6</v>
      </c>
      <c r="J47" s="22">
        <f>VLOOKUP($A47,[1]maaltijden!$A$1:$IV$65536,18,FALSE)</f>
        <v>2</v>
      </c>
      <c r="K47" s="22">
        <f>VLOOKUP($A47,[1]maaltijden!$A$1:$IV$65536,17,FALSE)</f>
        <v>3</v>
      </c>
      <c r="L47" s="22">
        <f>VLOOKUP($A47,[1]maaltijden!$A$1:$IV$65536,20,FALSE)</f>
        <v>2200</v>
      </c>
      <c r="M47" s="22">
        <f>VLOOKUP($A47,[1]maaltijden!$A$1:$IV$65536,22,FALSE)</f>
        <v>2200</v>
      </c>
      <c r="N47" s="136" t="s">
        <v>398</v>
      </c>
      <c r="O47" s="50">
        <v>0</v>
      </c>
      <c r="P47" s="19">
        <v>1</v>
      </c>
      <c r="Q47" s="20">
        <v>2</v>
      </c>
      <c r="R47" s="21">
        <v>0</v>
      </c>
      <c r="S47" s="19">
        <v>1</v>
      </c>
      <c r="T47" s="20">
        <v>1</v>
      </c>
      <c r="U47" s="19">
        <v>0</v>
      </c>
      <c r="V47" s="20">
        <v>1</v>
      </c>
      <c r="W47" s="20">
        <v>1</v>
      </c>
      <c r="X47" s="20">
        <v>1</v>
      </c>
      <c r="Y47" s="20">
        <v>1</v>
      </c>
      <c r="Z47" s="20">
        <v>1</v>
      </c>
      <c r="AA47" s="20">
        <v>0</v>
      </c>
      <c r="AB47" s="49">
        <v>0</v>
      </c>
      <c r="AC47" s="49">
        <v>0</v>
      </c>
      <c r="AD47" s="49">
        <v>0</v>
      </c>
      <c r="AE47" s="49">
        <v>1</v>
      </c>
      <c r="AF47" s="49">
        <v>0</v>
      </c>
      <c r="AG47" s="161">
        <v>0</v>
      </c>
      <c r="AH47" s="162">
        <v>3</v>
      </c>
      <c r="AI47" s="162">
        <v>0</v>
      </c>
      <c r="AJ47" s="162">
        <v>0</v>
      </c>
      <c r="AK47" s="162">
        <v>0</v>
      </c>
      <c r="AL47" s="163">
        <v>0</v>
      </c>
      <c r="AM47" s="19">
        <v>0</v>
      </c>
      <c r="AN47" s="20" t="str">
        <f>IFERROR(INDEX([2]lijnopstellingsfiche!$AP$1:$AP$65536,MATCH(A47,[2]lijnopstellingsfiche!$AQ$1:$AQ$65536,0)),"")</f>
        <v>-</v>
      </c>
      <c r="AO47" s="20">
        <v>0</v>
      </c>
      <c r="AP47" s="20">
        <v>0</v>
      </c>
      <c r="AQ47" s="20">
        <v>3</v>
      </c>
      <c r="AR47" s="20">
        <v>1</v>
      </c>
      <c r="AS47" s="20">
        <v>0</v>
      </c>
      <c r="AT47" s="20">
        <v>0</v>
      </c>
      <c r="AU47" s="20">
        <v>0</v>
      </c>
      <c r="AV47" s="23">
        <v>0</v>
      </c>
      <c r="AW47" s="108">
        <v>1</v>
      </c>
      <c r="AX47" s="108">
        <v>0</v>
      </c>
      <c r="AY47" s="108">
        <v>1</v>
      </c>
      <c r="AZ47" s="112">
        <v>1</v>
      </c>
      <c r="BA47" s="114">
        <v>0</v>
      </c>
      <c r="BB47" s="20">
        <v>1</v>
      </c>
      <c r="BC47" s="113">
        <v>0</v>
      </c>
      <c r="BD47" s="200" t="str">
        <f>VLOOKUP($A47,'[3]allergenen 6nr'!$A$1:$O$1310,3,FALSE)</f>
        <v>X</v>
      </c>
      <c r="BE47" s="201" t="str">
        <f>VLOOKUP($A47,'[3]allergenen 6nr'!$A$1:$O$1310,4,FALSE)</f>
        <v>+</v>
      </c>
      <c r="BF47" s="201" t="str">
        <f>VLOOKUP($A47,'[3]allergenen 6nr'!$A$1:$O$1310,5,FALSE)</f>
        <v>+</v>
      </c>
      <c r="BG47" s="201" t="str">
        <f>VLOOKUP($A47,'[3]allergenen 6nr'!$A$1:$O$1310,6,FALSE)</f>
        <v>X</v>
      </c>
      <c r="BH47" s="201" t="str">
        <f>VLOOKUP($A47,'[3]allergenen 6nr'!$A$1:$O$1310,7,FALSE)</f>
        <v>+</v>
      </c>
      <c r="BI47" s="201" t="str">
        <f>VLOOKUP($A47,'[3]allergenen 6nr'!$A$1:$O$1310,8,FALSE)</f>
        <v>X</v>
      </c>
      <c r="BJ47" s="201" t="str">
        <f>VLOOKUP($A47,'[3]allergenen 6nr'!$A$1:$O$1310,9,FALSE)</f>
        <v>X</v>
      </c>
      <c r="BK47" s="201" t="str">
        <f>VLOOKUP($A47,'[3]allergenen 6nr'!$A$1:$O$1310,10,FALSE)</f>
        <v>X</v>
      </c>
      <c r="BL47" s="201" t="str">
        <f>VLOOKUP($A47,'[3]allergenen 6nr'!$A$1:$O$1310,11,FALSE)</f>
        <v>X</v>
      </c>
      <c r="BM47" s="201" t="str">
        <f>VLOOKUP($A47,'[3]allergenen 6nr'!$A$1:$O$1310,12,FALSE)</f>
        <v>X</v>
      </c>
      <c r="BN47" s="201" t="str">
        <f>VLOOKUP($A47,'[3]allergenen 6nr'!$A$1:$O$1310,13,FALSE)</f>
        <v>X</v>
      </c>
      <c r="BO47" s="201" t="str">
        <f>VLOOKUP($A47,'[3]allergenen 6nr'!$A$1:$O$1310,14,FALSE)</f>
        <v>X</v>
      </c>
      <c r="BP47" s="202" t="str">
        <f>VLOOKUP($A47,'[3]allergenen 6nr'!$A$1:$O$1310,15,FALSE)</f>
        <v>X</v>
      </c>
    </row>
    <row r="48" spans="1:173" x14ac:dyDescent="0.2">
      <c r="A48" s="89">
        <v>61699500</v>
      </c>
      <c r="B48" s="53" t="str">
        <f>VLOOKUP($A48,[1]maaltijden!$A$1:$IV$65536,4,FALSE)</f>
        <v>BOF DE KIP BROCCOLI BLOEMKOOLROSTI 420G</v>
      </c>
      <c r="C48" s="46" t="str">
        <f>VLOOKUP($A48,[1]maaltijden!$A$1:$IV$65536,7,FALSE)</f>
        <v>C2227-2X</v>
      </c>
      <c r="D48" s="22" t="str">
        <f>VLOOKUP($A48,[1]maaltijden!$A$1:$IV$65536,10,FALSE)</f>
        <v>H10</v>
      </c>
      <c r="E48" s="22" t="str">
        <f>VLOOKUP($A48,[1]maaltijden!$A$1:$IV$65536,13,FALSE)</f>
        <v>H10X8</v>
      </c>
      <c r="F48" s="20">
        <f t="shared" si="0"/>
        <v>0</v>
      </c>
      <c r="G48" s="20" t="str">
        <f>VLOOKUP($A48,[1]maaltijden!$A$1:$IV$65536,27,FALSE)</f>
        <v>! !</v>
      </c>
      <c r="H48" s="22">
        <f>VLOOKUP($A48,[1]maaltijden!$A$1:$IV$65536,21,FALSE)</f>
        <v>7</v>
      </c>
      <c r="I48" s="22">
        <f>VLOOKUP($A48,[1]maaltijden!$A$1:$IV$65536,21,FALSE)</f>
        <v>7</v>
      </c>
      <c r="J48" s="22">
        <f>VLOOKUP($A48,[1]maaltijden!$A$1:$IV$65536,18,FALSE)</f>
        <v>2</v>
      </c>
      <c r="K48" s="22">
        <f>VLOOKUP($A48,[1]maaltijden!$A$1:$IV$65536,17,FALSE)</f>
        <v>2</v>
      </c>
      <c r="L48" s="22">
        <f>VLOOKUP($A48,[1]maaltijden!$A$1:$IV$65536,20,FALSE)</f>
        <v>2200</v>
      </c>
      <c r="M48" s="22">
        <f>VLOOKUP($A48,[1]maaltijden!$A$1:$IV$65536,22,FALSE)</f>
        <v>2200</v>
      </c>
      <c r="N48" s="135">
        <v>0</v>
      </c>
      <c r="O48" s="50">
        <v>0</v>
      </c>
      <c r="P48" s="19">
        <v>1</v>
      </c>
      <c r="Q48" s="20">
        <v>2</v>
      </c>
      <c r="R48" s="21">
        <v>0</v>
      </c>
      <c r="S48" s="19">
        <v>1</v>
      </c>
      <c r="T48" s="20">
        <v>1</v>
      </c>
      <c r="U48" s="19">
        <v>1</v>
      </c>
      <c r="V48" s="20">
        <v>1</v>
      </c>
      <c r="W48" s="20">
        <v>1</v>
      </c>
      <c r="X48" s="20">
        <v>1</v>
      </c>
      <c r="Y48" s="20">
        <v>1</v>
      </c>
      <c r="Z48" s="20">
        <v>0</v>
      </c>
      <c r="AA48" s="20">
        <v>0</v>
      </c>
      <c r="AB48" s="49">
        <v>0</v>
      </c>
      <c r="AC48" s="49">
        <v>0</v>
      </c>
      <c r="AD48" s="49">
        <v>0</v>
      </c>
      <c r="AE48" s="49">
        <v>0</v>
      </c>
      <c r="AF48" s="49">
        <v>0</v>
      </c>
      <c r="AG48" s="161">
        <v>0</v>
      </c>
      <c r="AH48" s="162">
        <v>2</v>
      </c>
      <c r="AI48" s="162">
        <v>0</v>
      </c>
      <c r="AJ48" s="162">
        <v>1</v>
      </c>
      <c r="AK48" s="162">
        <v>0</v>
      </c>
      <c r="AL48" s="163">
        <v>0</v>
      </c>
      <c r="AM48" s="19">
        <v>0</v>
      </c>
      <c r="AN48" s="20" t="str">
        <f>IFERROR(INDEX([2]lijnopstellingsfiche!$AP$1:$AP$65536,MATCH(A48,[2]lijnopstellingsfiche!$AQ$1:$AQ$65536,0)),"")</f>
        <v>-</v>
      </c>
      <c r="AO48" s="20">
        <v>0</v>
      </c>
      <c r="AP48" s="20">
        <v>0</v>
      </c>
      <c r="AQ48" s="20">
        <v>1</v>
      </c>
      <c r="AR48" s="20">
        <v>0</v>
      </c>
      <c r="AS48" s="20">
        <v>1</v>
      </c>
      <c r="AT48" s="20">
        <v>0</v>
      </c>
      <c r="AU48" s="20">
        <v>0</v>
      </c>
      <c r="AV48" s="23">
        <v>0</v>
      </c>
      <c r="AW48" s="108">
        <v>1</v>
      </c>
      <c r="AX48" s="108">
        <v>0</v>
      </c>
      <c r="AY48" s="108">
        <v>1</v>
      </c>
      <c r="AZ48" s="112">
        <v>1</v>
      </c>
      <c r="BA48" s="114">
        <v>0</v>
      </c>
      <c r="BB48" s="20">
        <v>1</v>
      </c>
      <c r="BC48" s="113">
        <v>0</v>
      </c>
      <c r="BD48" s="200" t="str">
        <f>VLOOKUP($A48,'[3]allergenen 6nr'!$A$1:$O$1310,3,FALSE)</f>
        <v>-</v>
      </c>
      <c r="BE48" s="201" t="str">
        <f>VLOOKUP($A48,'[3]allergenen 6nr'!$A$1:$O$1310,4,FALSE)</f>
        <v>X</v>
      </c>
      <c r="BF48" s="201" t="str">
        <f>VLOOKUP($A48,'[3]allergenen 6nr'!$A$1:$O$1310,5,FALSE)</f>
        <v>X</v>
      </c>
      <c r="BG48" s="201" t="str">
        <f>VLOOKUP($A48,'[3]allergenen 6nr'!$A$1:$O$1310,6,FALSE)</f>
        <v>-</v>
      </c>
      <c r="BH48" s="201" t="str">
        <f>VLOOKUP($A48,'[3]allergenen 6nr'!$A$1:$O$1310,7,FALSE)</f>
        <v>+</v>
      </c>
      <c r="BI48" s="201" t="str">
        <f>VLOOKUP($A48,'[3]allergenen 6nr'!$A$1:$O$1310,8,FALSE)</f>
        <v>-</v>
      </c>
      <c r="BJ48" s="201" t="str">
        <f>VLOOKUP($A48,'[3]allergenen 6nr'!$A$1:$O$1310,9,FALSE)</f>
        <v>-</v>
      </c>
      <c r="BK48" s="201" t="str">
        <f>VLOOKUP($A48,'[3]allergenen 6nr'!$A$1:$O$1310,10,FALSE)</f>
        <v>-</v>
      </c>
      <c r="BL48" s="201" t="str">
        <f>VLOOKUP($A48,'[3]allergenen 6nr'!$A$1:$O$1310,11,FALSE)</f>
        <v>-</v>
      </c>
      <c r="BM48" s="201" t="str">
        <f>VLOOKUP($A48,'[3]allergenen 6nr'!$A$1:$O$1310,12,FALSE)</f>
        <v>-</v>
      </c>
      <c r="BN48" s="201" t="str">
        <f>VLOOKUP($A48,'[3]allergenen 6nr'!$A$1:$O$1310,13,FALSE)</f>
        <v>-</v>
      </c>
      <c r="BO48" s="201" t="str">
        <f>VLOOKUP($A48,'[3]allergenen 6nr'!$A$1:$O$1310,14,FALSE)</f>
        <v>-</v>
      </c>
      <c r="BP48" s="202" t="str">
        <f>VLOOKUP($A48,'[3]allergenen 6nr'!$A$1:$O$1310,15,FALSE)</f>
        <v>-</v>
      </c>
    </row>
    <row r="49" spans="1:68" x14ac:dyDescent="0.2">
      <c r="A49" s="89">
        <v>61699600</v>
      </c>
      <c r="B49" s="53" t="str">
        <f>VLOOKUP($A49,[1]maaltijden!$A$1:$IV$65536,4,FALSE)</f>
        <v>BOF DE KIP MADAGASCAR RIJST 420G</v>
      </c>
      <c r="C49" s="46" t="str">
        <f>VLOOKUP($A49,[1]maaltijden!$A$1:$IV$65536,7,FALSE)</f>
        <v>C2227-2X</v>
      </c>
      <c r="D49" s="22" t="str">
        <f>VLOOKUP($A49,[1]maaltijden!$A$1:$IV$65536,10,FALSE)</f>
        <v>H10</v>
      </c>
      <c r="E49" s="22" t="str">
        <f>VLOOKUP($A49,[1]maaltijden!$A$1:$IV$65536,13,FALSE)</f>
        <v>H10X8</v>
      </c>
      <c r="F49" s="20">
        <f t="shared" si="0"/>
        <v>0</v>
      </c>
      <c r="G49" s="20" t="str">
        <f>VLOOKUP($A49,[1]maaltijden!$A$1:$IV$65536,27,FALSE)</f>
        <v>! ! !</v>
      </c>
      <c r="H49" s="22">
        <f>VLOOKUP($A49,[1]maaltijden!$A$1:$IV$65536,21,FALSE)</f>
        <v>4</v>
      </c>
      <c r="I49" s="22">
        <f>VLOOKUP($A49,[1]maaltijden!$A$1:$IV$65536,21,FALSE)</f>
        <v>4</v>
      </c>
      <c r="J49" s="22">
        <f>VLOOKUP($A49,[1]maaltijden!$A$1:$IV$65536,18,FALSE)</f>
        <v>2</v>
      </c>
      <c r="K49" s="22">
        <f>VLOOKUP($A49,[1]maaltijden!$A$1:$IV$65536,17,FALSE)</f>
        <v>2</v>
      </c>
      <c r="L49" s="22">
        <f>VLOOKUP($A49,[1]maaltijden!$A$1:$IV$65536,20,FALSE)</f>
        <v>2200</v>
      </c>
      <c r="M49" s="22">
        <f>VLOOKUP($A49,[1]maaltijden!$A$1:$IV$65536,22,FALSE)</f>
        <v>2200</v>
      </c>
      <c r="N49" s="135">
        <v>0</v>
      </c>
      <c r="O49" s="50">
        <v>0</v>
      </c>
      <c r="P49" s="19">
        <v>1</v>
      </c>
      <c r="Q49" s="20">
        <v>2</v>
      </c>
      <c r="R49" s="21">
        <v>0</v>
      </c>
      <c r="S49" s="19">
        <v>1</v>
      </c>
      <c r="T49" s="20">
        <v>1</v>
      </c>
      <c r="U49" s="19">
        <v>0</v>
      </c>
      <c r="V49" s="20">
        <v>1</v>
      </c>
      <c r="W49" s="20">
        <v>1</v>
      </c>
      <c r="X49" s="20">
        <v>1</v>
      </c>
      <c r="Y49" s="20">
        <v>1</v>
      </c>
      <c r="Z49" s="20">
        <v>1</v>
      </c>
      <c r="AA49" s="20">
        <v>0</v>
      </c>
      <c r="AB49" s="49">
        <v>0</v>
      </c>
      <c r="AC49" s="49">
        <v>0</v>
      </c>
      <c r="AD49" s="49">
        <v>0</v>
      </c>
      <c r="AE49" s="49">
        <v>1</v>
      </c>
      <c r="AF49" s="49">
        <v>0</v>
      </c>
      <c r="AG49" s="161">
        <v>1</v>
      </c>
      <c r="AH49" s="162">
        <v>0</v>
      </c>
      <c r="AI49" s="162">
        <v>1</v>
      </c>
      <c r="AJ49" s="162">
        <v>0</v>
      </c>
      <c r="AK49" s="162">
        <v>0</v>
      </c>
      <c r="AL49" s="163">
        <v>0</v>
      </c>
      <c r="AM49" s="19">
        <v>1</v>
      </c>
      <c r="AN49" s="20" t="str">
        <f>IFERROR(INDEX([2]lijnopstellingsfiche!$AP$1:$AP$65536,MATCH(A49,[2]lijnopstellingsfiche!$AQ$1:$AQ$65536,0)),"")</f>
        <v>-</v>
      </c>
      <c r="AO49" s="20">
        <v>0</v>
      </c>
      <c r="AP49" s="20">
        <v>0</v>
      </c>
      <c r="AQ49" s="20">
        <v>2</v>
      </c>
      <c r="AR49" s="20">
        <v>0</v>
      </c>
      <c r="AS49" s="20">
        <v>0</v>
      </c>
      <c r="AT49" s="20">
        <v>0</v>
      </c>
      <c r="AU49" s="20">
        <v>0</v>
      </c>
      <c r="AV49" s="23">
        <v>0</v>
      </c>
      <c r="AW49" s="108">
        <v>1</v>
      </c>
      <c r="AX49" s="108">
        <v>0</v>
      </c>
      <c r="AY49" s="108">
        <v>1</v>
      </c>
      <c r="AZ49" s="112">
        <v>1</v>
      </c>
      <c r="BA49" s="114">
        <v>0</v>
      </c>
      <c r="BB49" s="20">
        <v>1</v>
      </c>
      <c r="BC49" s="113">
        <v>0</v>
      </c>
      <c r="BD49" s="200" t="str">
        <f>VLOOKUP($A49,'[3]allergenen 6nr'!$A$1:$O$1310,3,FALSE)</f>
        <v>-</v>
      </c>
      <c r="BE49" s="201" t="str">
        <f>VLOOKUP($A49,'[3]allergenen 6nr'!$A$1:$O$1310,4,FALSE)</f>
        <v>X</v>
      </c>
      <c r="BF49" s="201" t="str">
        <f>VLOOKUP($A49,'[3]allergenen 6nr'!$A$1:$O$1310,5,FALSE)</f>
        <v>-</v>
      </c>
      <c r="BG49" s="201" t="str">
        <f>VLOOKUP($A49,'[3]allergenen 6nr'!$A$1:$O$1310,6,FALSE)</f>
        <v>-</v>
      </c>
      <c r="BH49" s="201" t="str">
        <f>VLOOKUP($A49,'[3]allergenen 6nr'!$A$1:$O$1310,7,FALSE)</f>
        <v>+</v>
      </c>
      <c r="BI49" s="201" t="str">
        <f>VLOOKUP($A49,'[3]allergenen 6nr'!$A$1:$O$1310,8,FALSE)</f>
        <v>+</v>
      </c>
      <c r="BJ49" s="201" t="str">
        <f>VLOOKUP($A49,'[3]allergenen 6nr'!$A$1:$O$1310,9,FALSE)</f>
        <v>-</v>
      </c>
      <c r="BK49" s="201" t="str">
        <f>VLOOKUP($A49,'[3]allergenen 6nr'!$A$1:$O$1310,10,FALSE)</f>
        <v>-</v>
      </c>
      <c r="BL49" s="201" t="str">
        <f>VLOOKUP($A49,'[3]allergenen 6nr'!$A$1:$O$1310,11,FALSE)</f>
        <v>+</v>
      </c>
      <c r="BM49" s="201" t="str">
        <f>VLOOKUP($A49,'[3]allergenen 6nr'!$A$1:$O$1310,12,FALSE)</f>
        <v>-</v>
      </c>
      <c r="BN49" s="201" t="str">
        <f>VLOOKUP($A49,'[3]allergenen 6nr'!$A$1:$O$1310,13,FALSE)</f>
        <v>-</v>
      </c>
      <c r="BO49" s="201" t="str">
        <f>VLOOKUP($A49,'[3]allergenen 6nr'!$A$1:$O$1310,14,FALSE)</f>
        <v>-</v>
      </c>
      <c r="BP49" s="202" t="str">
        <f>VLOOKUP($A49,'[3]allergenen 6nr'!$A$1:$O$1310,15,FALSE)</f>
        <v>-</v>
      </c>
    </row>
    <row r="50" spans="1:68" x14ac:dyDescent="0.2">
      <c r="A50" s="89">
        <v>63110200</v>
      </c>
      <c r="B50" s="53" t="str">
        <f>VLOOKUP($A50,[1]maaltijden!$A$1:$IV$65536,4,FALSE)</f>
        <v>ALDI BE VISPAN MSC PREISAUS 300G (MIXED)</v>
      </c>
      <c r="C50" s="46" t="str">
        <f>VLOOKUP($A50,[1]maaltijden!$A$1:$IV$65536,7,FALSE)</f>
        <v>C2187-1F</v>
      </c>
      <c r="D50" s="22" t="str">
        <f>VLOOKUP($A50,[1]maaltijden!$A$1:$IV$65536,10,FALSE)</f>
        <v>H11</v>
      </c>
      <c r="E50" s="22" t="str">
        <f>VLOOKUP($A50,[1]maaltijden!$A$1:$IV$65536,13,FALSE)</f>
        <v>H11X24</v>
      </c>
      <c r="F50" s="20">
        <f t="shared" si="0"/>
        <v>0</v>
      </c>
      <c r="G50" s="20" t="str">
        <f>VLOOKUP($A50,[1]maaltijden!$A$1:$IV$65536,27,FALSE)</f>
        <v>! ! ! !</v>
      </c>
      <c r="H50" s="22">
        <f>VLOOKUP($A50,[1]maaltijden!$A$1:$IV$65536,21,FALSE)</f>
        <v>2</v>
      </c>
      <c r="I50" s="22">
        <f>VLOOKUP($A50,[1]maaltijden!$A$1:$IV$65536,21,FALSE)</f>
        <v>2</v>
      </c>
      <c r="J50" s="22">
        <f>VLOOKUP($A50,[1]maaltijden!$A$1:$IV$65536,18,FALSE)</f>
        <v>2</v>
      </c>
      <c r="K50" s="22">
        <f>VLOOKUP($A50,[1]maaltijden!$A$1:$IV$65536,17,FALSE)</f>
        <v>2</v>
      </c>
      <c r="L50" s="22">
        <f>VLOOKUP($A50,[1]maaltijden!$A$1:$IV$65536,20,FALSE)</f>
        <v>3500</v>
      </c>
      <c r="M50" s="22">
        <f>VLOOKUP($A50,[1]maaltijden!$A$1:$IV$65536,22,FALSE)</f>
        <v>3500</v>
      </c>
      <c r="N50" s="135">
        <v>0</v>
      </c>
      <c r="O50" s="50">
        <v>0</v>
      </c>
      <c r="P50" s="19">
        <v>1</v>
      </c>
      <c r="Q50" s="20">
        <v>2</v>
      </c>
      <c r="R50" s="21">
        <v>0</v>
      </c>
      <c r="S50" s="19">
        <v>1</v>
      </c>
      <c r="T50" s="20">
        <v>1</v>
      </c>
      <c r="U50" s="19">
        <v>1</v>
      </c>
      <c r="V50" s="20">
        <v>1</v>
      </c>
      <c r="W50" s="11">
        <v>1</v>
      </c>
      <c r="X50" s="20">
        <v>1</v>
      </c>
      <c r="Y50" s="20">
        <v>1</v>
      </c>
      <c r="Z50" s="20">
        <v>0</v>
      </c>
      <c r="AA50" s="20">
        <v>0</v>
      </c>
      <c r="AB50" s="49">
        <v>0</v>
      </c>
      <c r="AC50" s="49">
        <v>0</v>
      </c>
      <c r="AD50" s="49">
        <v>0</v>
      </c>
      <c r="AE50" s="49">
        <v>0</v>
      </c>
      <c r="AF50" s="49">
        <v>0</v>
      </c>
      <c r="AG50" s="161">
        <v>0</v>
      </c>
      <c r="AH50" s="162">
        <v>1</v>
      </c>
      <c r="AI50" s="162">
        <v>0</v>
      </c>
      <c r="AJ50" s="162">
        <v>0</v>
      </c>
      <c r="AK50" s="162">
        <v>0</v>
      </c>
      <c r="AL50" s="163">
        <v>0</v>
      </c>
      <c r="AM50" s="19">
        <v>0</v>
      </c>
      <c r="AN50" s="20" t="str">
        <f>IFERROR(INDEX([2]lijnopstellingsfiche!$AP$1:$AP$65536,MATCH(A50,[2]lijnopstellingsfiche!$AQ$1:$AQ$65536,0)),"")</f>
        <v>-</v>
      </c>
      <c r="AO50" s="20">
        <v>0</v>
      </c>
      <c r="AP50" s="20">
        <v>0</v>
      </c>
      <c r="AQ50" s="20">
        <v>2</v>
      </c>
      <c r="AR50" s="20">
        <v>0</v>
      </c>
      <c r="AS50" s="20">
        <v>1</v>
      </c>
      <c r="AT50" s="20">
        <v>0</v>
      </c>
      <c r="AU50" s="20">
        <v>0</v>
      </c>
      <c r="AV50" s="23">
        <v>0</v>
      </c>
      <c r="AW50" s="108">
        <v>1</v>
      </c>
      <c r="AX50" s="108">
        <v>0</v>
      </c>
      <c r="AY50" s="108">
        <v>1</v>
      </c>
      <c r="AZ50" s="112">
        <v>1</v>
      </c>
      <c r="BA50" s="114">
        <v>0</v>
      </c>
      <c r="BB50" s="20">
        <v>0</v>
      </c>
      <c r="BC50" s="113">
        <v>0</v>
      </c>
      <c r="BD50" s="200" t="str">
        <f>VLOOKUP($A50,'[3]allergenen 6nr'!$A$1:$O$1310,3,FALSE)</f>
        <v>-</v>
      </c>
      <c r="BE50" s="201" t="str">
        <f>VLOOKUP($A50,'[3]allergenen 6nr'!$A$1:$O$1310,4,FALSE)</f>
        <v>-</v>
      </c>
      <c r="BF50" s="201" t="str">
        <f>VLOOKUP($A50,'[3]allergenen 6nr'!$A$1:$O$1310,5,FALSE)</f>
        <v>+</v>
      </c>
      <c r="BG50" s="201" t="str">
        <f>VLOOKUP($A50,'[3]allergenen 6nr'!$A$1:$O$1310,6,FALSE)</f>
        <v>X</v>
      </c>
      <c r="BH50" s="201" t="str">
        <f>VLOOKUP($A50,'[3]allergenen 6nr'!$A$1:$O$1310,7,FALSE)</f>
        <v>+</v>
      </c>
      <c r="BI50" s="201" t="str">
        <f>VLOOKUP($A50,'[3]allergenen 6nr'!$A$1:$O$1310,8,FALSE)</f>
        <v>X</v>
      </c>
      <c r="BJ50" s="201" t="str">
        <f>VLOOKUP($A50,'[3]allergenen 6nr'!$A$1:$O$1310,9,FALSE)</f>
        <v>-</v>
      </c>
      <c r="BK50" s="201" t="str">
        <f>VLOOKUP($A50,'[3]allergenen 6nr'!$A$1:$O$1310,10,FALSE)</f>
        <v>X</v>
      </c>
      <c r="BL50" s="201" t="str">
        <f>VLOOKUP($A50,'[3]allergenen 6nr'!$A$1:$O$1310,11,FALSE)</f>
        <v>+</v>
      </c>
      <c r="BM50" s="201" t="str">
        <f>VLOOKUP($A50,'[3]allergenen 6nr'!$A$1:$O$1310,12,FALSE)</f>
        <v>-</v>
      </c>
      <c r="BN50" s="201" t="str">
        <f>VLOOKUP($A50,'[3]allergenen 6nr'!$A$1:$O$1310,13,FALSE)</f>
        <v>X</v>
      </c>
      <c r="BO50" s="201" t="str">
        <f>VLOOKUP($A50,'[3]allergenen 6nr'!$A$1:$O$1310,14,FALSE)</f>
        <v>+</v>
      </c>
      <c r="BP50" s="202" t="str">
        <f>VLOOKUP($A50,'[3]allergenen 6nr'!$A$1:$O$1310,15,FALSE)</f>
        <v>X</v>
      </c>
    </row>
    <row r="51" spans="1:68" x14ac:dyDescent="0.2">
      <c r="A51" s="89">
        <v>63110300</v>
      </c>
      <c r="B51" s="53" t="str">
        <f>VLOOKUP($A51,[1]maaltijden!$A$1:$IV$65536,4,FALSE)</f>
        <v>ALDI BE VISPAN MSC ASC WITTE WIJNSAUS 300G (MIXED)</v>
      </c>
      <c r="C51" s="46" t="str">
        <f>VLOOKUP($A51,[1]maaltijden!$A$1:$IV$65536,7,FALSE)</f>
        <v>C2187-1F</v>
      </c>
      <c r="D51" s="22" t="str">
        <f>VLOOKUP($A51,[1]maaltijden!$A$1:$IV$65536,10,FALSE)</f>
        <v>H11</v>
      </c>
      <c r="E51" s="22" t="str">
        <f>VLOOKUP($A51,[1]maaltijden!$A$1:$IV$65536,13,FALSE)</f>
        <v>H11X24</v>
      </c>
      <c r="F51" s="20">
        <f t="shared" si="0"/>
        <v>0</v>
      </c>
      <c r="G51" s="20" t="str">
        <f>VLOOKUP($A51,[1]maaltijden!$A$1:$IV$65536,27,FALSE)</f>
        <v>! ! ! !</v>
      </c>
      <c r="H51" s="22">
        <f>VLOOKUP($A51,[1]maaltijden!$A$1:$IV$65536,21,FALSE)</f>
        <v>7</v>
      </c>
      <c r="I51" s="22">
        <f>VLOOKUP($A51,[1]maaltijden!$A$1:$IV$65536,21,FALSE)</f>
        <v>7</v>
      </c>
      <c r="J51" s="22">
        <f>VLOOKUP($A51,[1]maaltijden!$A$1:$IV$65536,18,FALSE)</f>
        <v>2</v>
      </c>
      <c r="K51" s="22">
        <f>VLOOKUP($A51,[1]maaltijden!$A$1:$IV$65536,17,FALSE)</f>
        <v>2</v>
      </c>
      <c r="L51" s="22">
        <f>VLOOKUP($A51,[1]maaltijden!$A$1:$IV$65536,20,FALSE)</f>
        <v>3500</v>
      </c>
      <c r="M51" s="22">
        <f>VLOOKUP($A51,[1]maaltijden!$A$1:$IV$65536,22,FALSE)</f>
        <v>3500</v>
      </c>
      <c r="N51" s="135">
        <v>0</v>
      </c>
      <c r="O51" s="50">
        <v>0</v>
      </c>
      <c r="P51" s="19">
        <v>1</v>
      </c>
      <c r="Q51" s="20">
        <v>2</v>
      </c>
      <c r="R51" s="21">
        <v>0</v>
      </c>
      <c r="S51" s="19">
        <v>1</v>
      </c>
      <c r="T51" s="20">
        <v>1</v>
      </c>
      <c r="U51" s="19">
        <v>1</v>
      </c>
      <c r="V51" s="20">
        <v>1</v>
      </c>
      <c r="W51" s="20">
        <v>1</v>
      </c>
      <c r="X51" s="20">
        <v>1</v>
      </c>
      <c r="Y51" s="20">
        <v>1</v>
      </c>
      <c r="Z51" s="20">
        <v>0</v>
      </c>
      <c r="AA51" s="20">
        <v>0</v>
      </c>
      <c r="AB51" s="49">
        <v>0</v>
      </c>
      <c r="AC51" s="49">
        <v>0</v>
      </c>
      <c r="AD51" s="49">
        <v>0</v>
      </c>
      <c r="AE51" s="49">
        <v>0</v>
      </c>
      <c r="AF51" s="49">
        <v>0</v>
      </c>
      <c r="AG51" s="161">
        <v>0</v>
      </c>
      <c r="AH51" s="162">
        <v>1</v>
      </c>
      <c r="AI51" s="162">
        <v>0</v>
      </c>
      <c r="AJ51" s="162">
        <v>0</v>
      </c>
      <c r="AK51" s="162">
        <v>0</v>
      </c>
      <c r="AL51" s="163">
        <v>0</v>
      </c>
      <c r="AM51" s="19">
        <v>0</v>
      </c>
      <c r="AN51" s="20" t="str">
        <f>IFERROR(INDEX([2]lijnopstellingsfiche!$AP$1:$AP$65536,MATCH(A51,[2]lijnopstellingsfiche!$AQ$1:$AQ$65536,0)),"")</f>
        <v>-</v>
      </c>
      <c r="AO51" s="20">
        <v>0</v>
      </c>
      <c r="AP51" s="20">
        <v>0</v>
      </c>
      <c r="AQ51" s="20">
        <v>2</v>
      </c>
      <c r="AR51" s="20">
        <v>0</v>
      </c>
      <c r="AS51" s="20">
        <v>1</v>
      </c>
      <c r="AT51" s="20">
        <v>0</v>
      </c>
      <c r="AU51" s="20">
        <v>0</v>
      </c>
      <c r="AV51" s="23">
        <v>0</v>
      </c>
      <c r="AW51" s="108">
        <v>1</v>
      </c>
      <c r="AX51" s="108">
        <v>0</v>
      </c>
      <c r="AY51" s="108">
        <v>1</v>
      </c>
      <c r="AZ51" s="112">
        <v>1</v>
      </c>
      <c r="BA51" s="114">
        <v>0</v>
      </c>
      <c r="BB51" s="20">
        <v>0</v>
      </c>
      <c r="BC51" s="113">
        <v>0</v>
      </c>
      <c r="BD51" s="200" t="str">
        <f>VLOOKUP($A51,'[3]allergenen 6nr'!$A$1:$O$1310,3,FALSE)</f>
        <v>-</v>
      </c>
      <c r="BE51" s="201" t="str">
        <f>VLOOKUP($A51,'[3]allergenen 6nr'!$A$1:$O$1310,4,FALSE)</f>
        <v>-</v>
      </c>
      <c r="BF51" s="201" t="str">
        <f>VLOOKUP($A51,'[3]allergenen 6nr'!$A$1:$O$1310,5,FALSE)</f>
        <v>+</v>
      </c>
      <c r="BG51" s="201" t="str">
        <f>VLOOKUP($A51,'[3]allergenen 6nr'!$A$1:$O$1310,6,FALSE)</f>
        <v>X</v>
      </c>
      <c r="BH51" s="201" t="str">
        <f>VLOOKUP($A51,'[3]allergenen 6nr'!$A$1:$O$1310,7,FALSE)</f>
        <v>+</v>
      </c>
      <c r="BI51" s="201" t="str">
        <f>VLOOKUP($A51,'[3]allergenen 6nr'!$A$1:$O$1310,8,FALSE)</f>
        <v>X</v>
      </c>
      <c r="BJ51" s="201" t="str">
        <f>VLOOKUP($A51,'[3]allergenen 6nr'!$A$1:$O$1310,9,FALSE)</f>
        <v>-</v>
      </c>
      <c r="BK51" s="201" t="str">
        <f>VLOOKUP($A51,'[3]allergenen 6nr'!$A$1:$O$1310,10,FALSE)</f>
        <v>+</v>
      </c>
      <c r="BL51" s="201" t="str">
        <f>VLOOKUP($A51,'[3]allergenen 6nr'!$A$1:$O$1310,11,FALSE)</f>
        <v>+</v>
      </c>
      <c r="BM51" s="201" t="str">
        <f>VLOOKUP($A51,'[3]allergenen 6nr'!$A$1:$O$1310,12,FALSE)</f>
        <v>-</v>
      </c>
      <c r="BN51" s="201" t="str">
        <f>VLOOKUP($A51,'[3]allergenen 6nr'!$A$1:$O$1310,13,FALSE)</f>
        <v>X</v>
      </c>
      <c r="BO51" s="201" t="str">
        <f>VLOOKUP($A51,'[3]allergenen 6nr'!$A$1:$O$1310,14,FALSE)</f>
        <v>+</v>
      </c>
      <c r="BP51" s="202" t="str">
        <f>VLOOKUP($A51,'[3]allergenen 6nr'!$A$1:$O$1310,15,FALSE)</f>
        <v>+</v>
      </c>
    </row>
    <row r="52" spans="1:68" x14ac:dyDescent="0.2">
      <c r="A52" s="89">
        <v>63110700</v>
      </c>
      <c r="B52" s="53" t="str">
        <f>VLOOKUP($A52,[1]maaltijden!$A$1:$IV$65536,4,FALSE)</f>
        <v>ALDI BE SCAMPI ASC LOOKSAUS 250G (MIXED)</v>
      </c>
      <c r="C52" s="46" t="str">
        <f>VLOOKUP($A52,[1]maaltijden!$A$1:$IV$65536,7,FALSE)</f>
        <v>C2187-1F</v>
      </c>
      <c r="D52" s="22" t="str">
        <f>VLOOKUP($A52,[1]maaltijden!$A$1:$IV$65536,10,FALSE)</f>
        <v>H11</v>
      </c>
      <c r="E52" s="22" t="str">
        <f>VLOOKUP($A52,[1]maaltijden!$A$1:$IV$65536,13,FALSE)</f>
        <v>H11x10</v>
      </c>
      <c r="F52" s="20">
        <f t="shared" si="0"/>
        <v>0</v>
      </c>
      <c r="G52" s="20" t="str">
        <f>VLOOKUP($A52,[1]maaltijden!$A$1:$IV$65536,27,FALSE)</f>
        <v>! ! ! !</v>
      </c>
      <c r="H52" s="22">
        <f>VLOOKUP($A52,[1]maaltijden!$A$1:$IV$65536,21,FALSE)</f>
        <v>2</v>
      </c>
      <c r="I52" s="22">
        <f>VLOOKUP($A52,[1]maaltijden!$A$1:$IV$65536,21,FALSE)</f>
        <v>2</v>
      </c>
      <c r="J52" s="22">
        <f>VLOOKUP($A52,[1]maaltijden!$A$1:$IV$65536,18,FALSE)</f>
        <v>2</v>
      </c>
      <c r="K52" s="22">
        <f>VLOOKUP($A52,[1]maaltijden!$A$1:$IV$65536,17,FALSE)</f>
        <v>1</v>
      </c>
      <c r="L52" s="22">
        <f>VLOOKUP($A52,[1]maaltijden!$A$1:$IV$65536,20,FALSE)</f>
        <v>3500</v>
      </c>
      <c r="M52" s="22">
        <f>VLOOKUP($A52,[1]maaltijden!$A$1:$IV$65536,22,FALSE)</f>
        <v>3500</v>
      </c>
      <c r="N52" s="135">
        <v>0</v>
      </c>
      <c r="O52" s="50">
        <v>0</v>
      </c>
      <c r="P52" s="19">
        <v>1</v>
      </c>
      <c r="Q52" s="20">
        <v>2</v>
      </c>
      <c r="R52" s="21">
        <v>0</v>
      </c>
      <c r="S52" s="19">
        <v>1</v>
      </c>
      <c r="T52" s="20">
        <v>1</v>
      </c>
      <c r="U52" s="19">
        <v>1</v>
      </c>
      <c r="V52" s="20">
        <v>1</v>
      </c>
      <c r="W52" s="20">
        <v>1</v>
      </c>
      <c r="X52" s="20">
        <v>1</v>
      </c>
      <c r="Y52" s="20">
        <v>1</v>
      </c>
      <c r="Z52" s="20">
        <v>0</v>
      </c>
      <c r="AA52" s="20">
        <v>0</v>
      </c>
      <c r="AB52" s="49">
        <v>0</v>
      </c>
      <c r="AC52" s="49">
        <v>0</v>
      </c>
      <c r="AD52" s="49">
        <v>0</v>
      </c>
      <c r="AE52" s="49">
        <v>0</v>
      </c>
      <c r="AF52" s="49">
        <v>0</v>
      </c>
      <c r="AG52" s="161">
        <v>0</v>
      </c>
      <c r="AH52" s="162">
        <v>1</v>
      </c>
      <c r="AI52" s="162">
        <v>0</v>
      </c>
      <c r="AJ52" s="162">
        <v>0</v>
      </c>
      <c r="AK52" s="162">
        <v>0</v>
      </c>
      <c r="AL52" s="163">
        <v>0</v>
      </c>
      <c r="AM52" s="19">
        <v>0</v>
      </c>
      <c r="AN52" s="20">
        <f>IFERROR(INDEX([2]lijnopstellingsfiche!$AP$1:$AP$65536,MATCH(A52,[2]lijnopstellingsfiche!$AQ$1:$AQ$65536,0)),"")</f>
        <v>1</v>
      </c>
      <c r="AO52" s="20">
        <v>0</v>
      </c>
      <c r="AP52" s="20">
        <v>0</v>
      </c>
      <c r="AQ52" s="20">
        <v>2</v>
      </c>
      <c r="AR52" s="20">
        <v>0</v>
      </c>
      <c r="AS52" s="20">
        <v>1</v>
      </c>
      <c r="AT52" s="20">
        <v>0</v>
      </c>
      <c r="AU52" s="20">
        <v>0</v>
      </c>
      <c r="AV52" s="23">
        <v>0</v>
      </c>
      <c r="AW52" s="108">
        <v>1</v>
      </c>
      <c r="AX52" s="108">
        <v>0</v>
      </c>
      <c r="AY52" s="108">
        <v>1</v>
      </c>
      <c r="AZ52" s="112">
        <v>1</v>
      </c>
      <c r="BA52" s="114">
        <v>0</v>
      </c>
      <c r="BB52" s="20">
        <v>0</v>
      </c>
      <c r="BC52" s="113">
        <v>0</v>
      </c>
      <c r="BD52" s="200" t="str">
        <f>VLOOKUP($A52,'[3]allergenen 6nr'!$A$1:$O$1310,3,FALSE)</f>
        <v>-</v>
      </c>
      <c r="BE52" s="201" t="str">
        <f>VLOOKUP($A52,'[3]allergenen 6nr'!$A$1:$O$1310,4,FALSE)</f>
        <v>-</v>
      </c>
      <c r="BF52" s="201" t="str">
        <f>VLOOKUP($A52,'[3]allergenen 6nr'!$A$1:$O$1310,5,FALSE)</f>
        <v>-</v>
      </c>
      <c r="BG52" s="201" t="str">
        <f>VLOOKUP($A52,'[3]allergenen 6nr'!$A$1:$O$1310,6,FALSE)</f>
        <v>-</v>
      </c>
      <c r="BH52" s="201" t="str">
        <f>VLOOKUP($A52,'[3]allergenen 6nr'!$A$1:$O$1310,7,FALSE)</f>
        <v>+</v>
      </c>
      <c r="BI52" s="201" t="str">
        <f>VLOOKUP($A52,'[3]allergenen 6nr'!$A$1:$O$1310,8,FALSE)</f>
        <v>-</v>
      </c>
      <c r="BJ52" s="201" t="str">
        <f>VLOOKUP($A52,'[3]allergenen 6nr'!$A$1:$O$1310,9,FALSE)</f>
        <v>-</v>
      </c>
      <c r="BK52" s="201" t="str">
        <f>VLOOKUP($A52,'[3]allergenen 6nr'!$A$1:$O$1310,10,FALSE)</f>
        <v>+</v>
      </c>
      <c r="BL52" s="201" t="str">
        <f>VLOOKUP($A52,'[3]allergenen 6nr'!$A$1:$O$1310,11,FALSE)</f>
        <v>+</v>
      </c>
      <c r="BM52" s="201" t="str">
        <f>VLOOKUP($A52,'[3]allergenen 6nr'!$A$1:$O$1310,12,FALSE)</f>
        <v>-</v>
      </c>
      <c r="BN52" s="201" t="str">
        <f>VLOOKUP($A52,'[3]allergenen 6nr'!$A$1:$O$1310,13,FALSE)</f>
        <v>-</v>
      </c>
      <c r="BO52" s="201" t="str">
        <f>VLOOKUP($A52,'[3]allergenen 6nr'!$A$1:$O$1310,14,FALSE)</f>
        <v>-</v>
      </c>
      <c r="BP52" s="202" t="str">
        <f>VLOOKUP($A52,'[3]allergenen 6nr'!$A$1:$O$1310,15,FALSE)</f>
        <v>-</v>
      </c>
    </row>
    <row r="53" spans="1:68" x14ac:dyDescent="0.2">
      <c r="A53" s="89">
        <v>63110800</v>
      </c>
      <c r="B53" s="53" t="str">
        <f>VLOOKUP($A53,[1]maaltijden!$A$1:$IV$65536,4,FALSE)</f>
        <v>ALDI BE SCAMPI ASC DIABOLIQUE 250G (MIXED)</v>
      </c>
      <c r="C53" s="46" t="str">
        <f>VLOOKUP($A53,[1]maaltijden!$A$1:$IV$65536,7,FALSE)</f>
        <v>C2187-1F</v>
      </c>
      <c r="D53" s="22" t="str">
        <f>VLOOKUP($A53,[1]maaltijden!$A$1:$IV$65536,10,FALSE)</f>
        <v>H11</v>
      </c>
      <c r="E53" s="22" t="str">
        <f>VLOOKUP($A53,[1]maaltijden!$A$1:$IV$65536,13,FALSE)</f>
        <v>H11x10</v>
      </c>
      <c r="F53" s="20">
        <f t="shared" si="0"/>
        <v>0</v>
      </c>
      <c r="G53" s="20" t="str">
        <f>VLOOKUP($A53,[1]maaltijden!$A$1:$IV$65536,27,FALSE)</f>
        <v>! ! ! !</v>
      </c>
      <c r="H53" s="22">
        <f>VLOOKUP($A53,[1]maaltijden!$A$1:$IV$65536,21,FALSE)</f>
        <v>2</v>
      </c>
      <c r="I53" s="22">
        <f>VLOOKUP($A53,[1]maaltijden!$A$1:$IV$65536,21,FALSE)</f>
        <v>2</v>
      </c>
      <c r="J53" s="22">
        <f>VLOOKUP($A53,[1]maaltijden!$A$1:$IV$65536,18,FALSE)</f>
        <v>2</v>
      </c>
      <c r="K53" s="22">
        <f>VLOOKUP($A53,[1]maaltijden!$A$1:$IV$65536,17,FALSE)</f>
        <v>1</v>
      </c>
      <c r="L53" s="22">
        <f>VLOOKUP($A53,[1]maaltijden!$A$1:$IV$65536,20,FALSE)</f>
        <v>3500</v>
      </c>
      <c r="M53" s="22">
        <f>VLOOKUP($A53,[1]maaltijden!$A$1:$IV$65536,22,FALSE)</f>
        <v>3500</v>
      </c>
      <c r="N53" s="135">
        <v>0</v>
      </c>
      <c r="O53" s="50">
        <v>0</v>
      </c>
      <c r="P53" s="19">
        <v>1</v>
      </c>
      <c r="Q53" s="20">
        <v>2</v>
      </c>
      <c r="R53" s="21">
        <v>0</v>
      </c>
      <c r="S53" s="19">
        <v>1</v>
      </c>
      <c r="T53" s="20">
        <v>1</v>
      </c>
      <c r="U53" s="19">
        <v>1</v>
      </c>
      <c r="V53" s="20">
        <v>1</v>
      </c>
      <c r="W53" s="20">
        <v>1</v>
      </c>
      <c r="X53" s="20">
        <v>1</v>
      </c>
      <c r="Y53" s="20">
        <v>1</v>
      </c>
      <c r="Z53" s="20">
        <v>0</v>
      </c>
      <c r="AA53" s="20">
        <v>0</v>
      </c>
      <c r="AB53" s="49">
        <v>0</v>
      </c>
      <c r="AC53" s="49">
        <v>0</v>
      </c>
      <c r="AD53" s="49">
        <v>0</v>
      </c>
      <c r="AE53" s="49">
        <v>0</v>
      </c>
      <c r="AF53" s="49">
        <v>0</v>
      </c>
      <c r="AG53" s="161">
        <v>0</v>
      </c>
      <c r="AH53" s="162">
        <v>1</v>
      </c>
      <c r="AI53" s="162">
        <v>0</v>
      </c>
      <c r="AJ53" s="162">
        <v>0</v>
      </c>
      <c r="AK53" s="162">
        <v>0</v>
      </c>
      <c r="AL53" s="163">
        <v>0</v>
      </c>
      <c r="AM53" s="19">
        <v>0</v>
      </c>
      <c r="AN53" s="20">
        <f>IFERROR(INDEX([2]lijnopstellingsfiche!$AP$1:$AP$65536,MATCH(A53,[2]lijnopstellingsfiche!$AQ$1:$AQ$65536,0)),"")</f>
        <v>1</v>
      </c>
      <c r="AO53" s="20">
        <v>0</v>
      </c>
      <c r="AP53" s="20">
        <v>0</v>
      </c>
      <c r="AQ53" s="20">
        <v>2</v>
      </c>
      <c r="AR53" s="20">
        <v>0</v>
      </c>
      <c r="AS53" s="20">
        <v>1</v>
      </c>
      <c r="AT53" s="20">
        <v>0</v>
      </c>
      <c r="AU53" s="20">
        <v>0</v>
      </c>
      <c r="AV53" s="23">
        <v>0</v>
      </c>
      <c r="AW53" s="108">
        <v>1</v>
      </c>
      <c r="AX53" s="108">
        <v>0</v>
      </c>
      <c r="AY53" s="108">
        <v>1</v>
      </c>
      <c r="AZ53" s="112">
        <v>1</v>
      </c>
      <c r="BA53" s="114">
        <v>0</v>
      </c>
      <c r="BB53" s="20">
        <v>0</v>
      </c>
      <c r="BC53" s="113">
        <v>0</v>
      </c>
      <c r="BD53" s="200" t="str">
        <f>VLOOKUP($A53,'[3]allergenen 6nr'!$A$1:$O$1310,3,FALSE)</f>
        <v>-</v>
      </c>
      <c r="BE53" s="201" t="str">
        <f>VLOOKUP($A53,'[3]allergenen 6nr'!$A$1:$O$1310,4,FALSE)</f>
        <v>-</v>
      </c>
      <c r="BF53" s="201" t="str">
        <f>VLOOKUP($A53,'[3]allergenen 6nr'!$A$1:$O$1310,5,FALSE)</f>
        <v>+</v>
      </c>
      <c r="BG53" s="201" t="str">
        <f>VLOOKUP($A53,'[3]allergenen 6nr'!$A$1:$O$1310,6,FALSE)</f>
        <v>-</v>
      </c>
      <c r="BH53" s="201" t="str">
        <f>VLOOKUP($A53,'[3]allergenen 6nr'!$A$1:$O$1310,7,FALSE)</f>
        <v>+</v>
      </c>
      <c r="BI53" s="201" t="str">
        <f>VLOOKUP($A53,'[3]allergenen 6nr'!$A$1:$O$1310,8,FALSE)</f>
        <v>-</v>
      </c>
      <c r="BJ53" s="201" t="str">
        <f>VLOOKUP($A53,'[3]allergenen 6nr'!$A$1:$O$1310,9,FALSE)</f>
        <v>-</v>
      </c>
      <c r="BK53" s="201" t="str">
        <f>VLOOKUP($A53,'[3]allergenen 6nr'!$A$1:$O$1310,10,FALSE)</f>
        <v>+</v>
      </c>
      <c r="BL53" s="201" t="str">
        <f>VLOOKUP($A53,'[3]allergenen 6nr'!$A$1:$O$1310,11,FALSE)</f>
        <v>+</v>
      </c>
      <c r="BM53" s="201" t="str">
        <f>VLOOKUP($A53,'[3]allergenen 6nr'!$A$1:$O$1310,12,FALSE)</f>
        <v>-</v>
      </c>
      <c r="BN53" s="201" t="str">
        <f>VLOOKUP($A53,'[3]allergenen 6nr'!$A$1:$O$1310,13,FALSE)</f>
        <v>-</v>
      </c>
      <c r="BO53" s="201" t="str">
        <f>VLOOKUP($A53,'[3]allergenen 6nr'!$A$1:$O$1310,14,FALSE)</f>
        <v>+</v>
      </c>
      <c r="BP53" s="202" t="str">
        <f>VLOOKUP($A53,'[3]allergenen 6nr'!$A$1:$O$1310,15,FALSE)</f>
        <v>+</v>
      </c>
    </row>
    <row r="54" spans="1:68" x14ac:dyDescent="0.2">
      <c r="A54" s="89">
        <v>63110900</v>
      </c>
      <c r="B54" s="53" t="str">
        <f>VLOOKUP($A54,[1]maaltijden!$A$1:$IV$65536,4,FALSE)</f>
        <v>ALDI BE VISPAN MSC ASC MOSTERD (MIXED)</v>
      </c>
      <c r="C54" s="46" t="str">
        <f>VLOOKUP($A54,[1]maaltijden!$A$1:$IV$65536,7,FALSE)</f>
        <v>C2187-1F</v>
      </c>
      <c r="D54" s="22" t="str">
        <f>VLOOKUP($A54,[1]maaltijden!$A$1:$IV$65536,10,FALSE)</f>
        <v>H11</v>
      </c>
      <c r="E54" s="22" t="str">
        <f>VLOOKUP($A54,[1]maaltijden!$A$1:$IV$65536,13,FALSE)</f>
        <v>H11X24</v>
      </c>
      <c r="F54" s="20">
        <f t="shared" si="0"/>
        <v>0</v>
      </c>
      <c r="G54" s="20" t="str">
        <f>VLOOKUP($A54,[1]maaltijden!$A$1:$IV$65536,27,FALSE)</f>
        <v>! ! ! !</v>
      </c>
      <c r="H54" s="22">
        <f>VLOOKUP($A54,[1]maaltijden!$A$1:$IV$65536,21,FALSE)</f>
        <v>5</v>
      </c>
      <c r="I54" s="22">
        <f>VLOOKUP($A54,[1]maaltijden!$A$1:$IV$65536,21,FALSE)</f>
        <v>5</v>
      </c>
      <c r="J54" s="22">
        <f>VLOOKUP($A54,[1]maaltijden!$A$1:$IV$65536,18,FALSE)</f>
        <v>2</v>
      </c>
      <c r="K54" s="22">
        <f>VLOOKUP($A54,[1]maaltijden!$A$1:$IV$65536,17,FALSE)</f>
        <v>1</v>
      </c>
      <c r="L54" s="22">
        <f>VLOOKUP($A54,[1]maaltijden!$A$1:$IV$65536,20,FALSE)</f>
        <v>3500</v>
      </c>
      <c r="M54" s="22">
        <f>VLOOKUP($A54,[1]maaltijden!$A$1:$IV$65536,22,FALSE)</f>
        <v>3500</v>
      </c>
      <c r="N54" s="135">
        <v>0</v>
      </c>
      <c r="O54" s="50">
        <v>0</v>
      </c>
      <c r="P54" s="19">
        <v>1</v>
      </c>
      <c r="Q54" s="20">
        <v>2</v>
      </c>
      <c r="R54" s="21">
        <v>0</v>
      </c>
      <c r="S54" s="19">
        <v>1</v>
      </c>
      <c r="T54" s="20">
        <v>1</v>
      </c>
      <c r="U54" s="19">
        <v>1</v>
      </c>
      <c r="V54" s="20">
        <v>1</v>
      </c>
      <c r="W54" s="20">
        <v>1</v>
      </c>
      <c r="X54" s="20">
        <v>1</v>
      </c>
      <c r="Y54" s="20">
        <v>1</v>
      </c>
      <c r="Z54" s="20">
        <v>0</v>
      </c>
      <c r="AA54" s="20">
        <v>0</v>
      </c>
      <c r="AB54" s="49">
        <v>0</v>
      </c>
      <c r="AC54" s="49">
        <v>0</v>
      </c>
      <c r="AD54" s="49">
        <v>0</v>
      </c>
      <c r="AE54" s="49">
        <v>0</v>
      </c>
      <c r="AF54" s="49">
        <v>0</v>
      </c>
      <c r="AG54" s="161">
        <v>0</v>
      </c>
      <c r="AH54" s="162">
        <v>1</v>
      </c>
      <c r="AI54" s="162">
        <v>0</v>
      </c>
      <c r="AJ54" s="162">
        <v>0</v>
      </c>
      <c r="AK54" s="162">
        <v>0</v>
      </c>
      <c r="AL54" s="163">
        <v>0</v>
      </c>
      <c r="AM54" s="19">
        <v>0</v>
      </c>
      <c r="AN54" s="20">
        <f>IFERROR(INDEX([2]lijnopstellingsfiche!$AP$1:$AP$65536,MATCH(A54,[2]lijnopstellingsfiche!$AQ$1:$AQ$65536,0)),"")</f>
        <v>1</v>
      </c>
      <c r="AO54" s="20">
        <v>0</v>
      </c>
      <c r="AP54" s="20">
        <v>0</v>
      </c>
      <c r="AQ54" s="20">
        <v>2</v>
      </c>
      <c r="AR54" s="20">
        <v>0</v>
      </c>
      <c r="AS54" s="20">
        <v>1</v>
      </c>
      <c r="AT54" s="20">
        <v>0</v>
      </c>
      <c r="AU54" s="20">
        <v>0</v>
      </c>
      <c r="AV54" s="23">
        <v>0</v>
      </c>
      <c r="AW54" s="108">
        <v>1</v>
      </c>
      <c r="AX54" s="108">
        <v>0</v>
      </c>
      <c r="AY54" s="108">
        <v>1</v>
      </c>
      <c r="AZ54" s="112">
        <v>1</v>
      </c>
      <c r="BA54" s="114">
        <v>0</v>
      </c>
      <c r="BB54" s="20">
        <v>0</v>
      </c>
      <c r="BC54" s="113">
        <v>0</v>
      </c>
      <c r="BD54" s="200" t="str">
        <f>VLOOKUP($A54,'[3]allergenen 6nr'!$A$1:$O$1310,3,FALSE)</f>
        <v>-</v>
      </c>
      <c r="BE54" s="201" t="str">
        <f>VLOOKUP($A54,'[3]allergenen 6nr'!$A$1:$O$1310,4,FALSE)</f>
        <v>-</v>
      </c>
      <c r="BF54" s="201" t="str">
        <f>VLOOKUP($A54,'[3]allergenen 6nr'!$A$1:$O$1310,5,FALSE)</f>
        <v>+</v>
      </c>
      <c r="BG54" s="201" t="str">
        <f>VLOOKUP($A54,'[3]allergenen 6nr'!$A$1:$O$1310,6,FALSE)</f>
        <v>X</v>
      </c>
      <c r="BH54" s="201" t="str">
        <f>VLOOKUP($A54,'[3]allergenen 6nr'!$A$1:$O$1310,7,FALSE)</f>
        <v>+</v>
      </c>
      <c r="BI54" s="201" t="str">
        <f>VLOOKUP($A54,'[3]allergenen 6nr'!$A$1:$O$1310,8,FALSE)</f>
        <v>+</v>
      </c>
      <c r="BJ54" s="201" t="str">
        <f>VLOOKUP($A54,'[3]allergenen 6nr'!$A$1:$O$1310,9,FALSE)</f>
        <v>-</v>
      </c>
      <c r="BK54" s="201" t="str">
        <f>VLOOKUP($A54,'[3]allergenen 6nr'!$A$1:$O$1310,10,FALSE)</f>
        <v>X</v>
      </c>
      <c r="BL54" s="201" t="str">
        <f>VLOOKUP($A54,'[3]allergenen 6nr'!$A$1:$O$1310,11,FALSE)</f>
        <v>+</v>
      </c>
      <c r="BM54" s="201" t="str">
        <f>VLOOKUP($A54,'[3]allergenen 6nr'!$A$1:$O$1310,12,FALSE)</f>
        <v>-</v>
      </c>
      <c r="BN54" s="201" t="str">
        <f>VLOOKUP($A54,'[3]allergenen 6nr'!$A$1:$O$1310,13,FALSE)</f>
        <v>X</v>
      </c>
      <c r="BO54" s="201" t="str">
        <f>VLOOKUP($A54,'[3]allergenen 6nr'!$A$1:$O$1310,14,FALSE)</f>
        <v>+</v>
      </c>
      <c r="BP54" s="202" t="str">
        <f>VLOOKUP($A54,'[3]allergenen 6nr'!$A$1:$O$1310,15,FALSE)</f>
        <v>+</v>
      </c>
    </row>
    <row r="55" spans="1:68" x14ac:dyDescent="0.2">
      <c r="A55" s="89">
        <v>63140000</v>
      </c>
      <c r="B55" s="53" t="str">
        <f>VLOOKUP($A55,[1]maaltijden!$A$1:$IV$65536,4,FALSE)</f>
        <v>COLR RUNDSTONG MADEIRASAUS 400G</v>
      </c>
      <c r="C55" s="46" t="str">
        <f>VLOOKUP($A55,[1]maaltijden!$A$1:$IV$65536,7,FALSE)</f>
        <v>C2187-1F</v>
      </c>
      <c r="D55" s="22" t="str">
        <f>VLOOKUP($A55,[1]maaltijden!$A$1:$IV$65536,10,FALSE)</f>
        <v>H11</v>
      </c>
      <c r="E55" s="22" t="str">
        <f>VLOOKUP($A55,[1]maaltijden!$A$1:$IV$65536,13,FALSE)</f>
        <v>H11X10</v>
      </c>
      <c r="F55" s="20">
        <f t="shared" si="0"/>
        <v>0</v>
      </c>
      <c r="G55" s="20" t="str">
        <f>VLOOKUP($A55,[1]maaltijden!$A$1:$IV$65536,27,FALSE)</f>
        <v>! ! !</v>
      </c>
      <c r="H55" s="22">
        <f>VLOOKUP($A55,[1]maaltijden!$A$1:$IV$65536,21,FALSE)</f>
        <v>11</v>
      </c>
      <c r="I55" s="22">
        <f>VLOOKUP($A55,[1]maaltijden!$A$1:$IV$65536,21,FALSE)</f>
        <v>11</v>
      </c>
      <c r="J55" s="22">
        <f>VLOOKUP($A55,[1]maaltijden!$A$1:$IV$65536,18,FALSE)</f>
        <v>2</v>
      </c>
      <c r="K55" s="22">
        <f>VLOOKUP($A55,[1]maaltijden!$A$1:$IV$65536,17,FALSE)</f>
        <v>1.5</v>
      </c>
      <c r="L55" s="22">
        <f>VLOOKUP($A55,[1]maaltijden!$A$1:$IV$65536,20,FALSE)</f>
        <v>3500</v>
      </c>
      <c r="M55" s="22">
        <f>VLOOKUP($A55,[1]maaltijden!$A$1:$IV$65536,22,FALSE)</f>
        <v>3500</v>
      </c>
      <c r="N55" s="135">
        <v>0</v>
      </c>
      <c r="O55" s="50">
        <v>0</v>
      </c>
      <c r="P55" s="19">
        <v>1</v>
      </c>
      <c r="Q55" s="20">
        <v>2</v>
      </c>
      <c r="R55" s="21">
        <v>0</v>
      </c>
      <c r="S55" s="19">
        <v>1</v>
      </c>
      <c r="T55" s="20">
        <v>1</v>
      </c>
      <c r="U55" s="19">
        <v>0</v>
      </c>
      <c r="V55" s="20">
        <v>1</v>
      </c>
      <c r="W55" s="20">
        <v>1</v>
      </c>
      <c r="X55" s="20">
        <v>1</v>
      </c>
      <c r="Y55" s="20">
        <v>1</v>
      </c>
      <c r="Z55" s="20">
        <v>1</v>
      </c>
      <c r="AA55" s="20">
        <v>1</v>
      </c>
      <c r="AB55" s="49">
        <v>1</v>
      </c>
      <c r="AC55" s="49">
        <v>0</v>
      </c>
      <c r="AD55" s="49">
        <v>0</v>
      </c>
      <c r="AE55" s="49">
        <v>1</v>
      </c>
      <c r="AF55" s="49">
        <v>0</v>
      </c>
      <c r="AG55" s="161">
        <v>0</v>
      </c>
      <c r="AH55" s="162">
        <v>0</v>
      </c>
      <c r="AI55" s="162">
        <v>2</v>
      </c>
      <c r="AJ55" s="162">
        <v>0</v>
      </c>
      <c r="AK55" s="162">
        <v>0</v>
      </c>
      <c r="AL55" s="163">
        <v>0</v>
      </c>
      <c r="AM55" s="19">
        <v>0</v>
      </c>
      <c r="AN55" s="20">
        <f>IFERROR(INDEX([2]lijnopstellingsfiche!$AP$1:$AP$65536,MATCH(A55,[2]lijnopstellingsfiche!$AQ$1:$AQ$65536,0)),"")</f>
        <v>9</v>
      </c>
      <c r="AO55" s="20">
        <v>0</v>
      </c>
      <c r="AP55" s="20">
        <v>0</v>
      </c>
      <c r="AQ55" s="20">
        <v>2</v>
      </c>
      <c r="AR55" s="20">
        <v>0</v>
      </c>
      <c r="AS55" s="20">
        <v>0</v>
      </c>
      <c r="AT55" s="20">
        <v>0</v>
      </c>
      <c r="AU55" s="20">
        <v>0</v>
      </c>
      <c r="AV55" s="23">
        <v>0</v>
      </c>
      <c r="AW55" s="108">
        <v>1</v>
      </c>
      <c r="AX55" s="108">
        <v>0</v>
      </c>
      <c r="AY55" s="108">
        <v>1</v>
      </c>
      <c r="AZ55" s="112">
        <v>1</v>
      </c>
      <c r="BA55" s="114">
        <v>0</v>
      </c>
      <c r="BB55" s="20">
        <v>0</v>
      </c>
      <c r="BC55" s="113">
        <v>0</v>
      </c>
      <c r="BD55" s="200" t="str">
        <f>VLOOKUP($A55,'[3]allergenen 6nr'!$A$1:$O$1310,3,FALSE)</f>
        <v>-</v>
      </c>
      <c r="BE55" s="201" t="str">
        <f>VLOOKUP($A55,'[3]allergenen 6nr'!$A$1:$O$1310,4,FALSE)</f>
        <v>-</v>
      </c>
      <c r="BF55" s="201" t="str">
        <f>VLOOKUP($A55,'[3]allergenen 6nr'!$A$1:$O$1310,5,FALSE)</f>
        <v>+</v>
      </c>
      <c r="BG55" s="201" t="str">
        <f>VLOOKUP($A55,'[3]allergenen 6nr'!$A$1:$O$1310,6,FALSE)</f>
        <v>-</v>
      </c>
      <c r="BH55" s="201" t="str">
        <f>VLOOKUP($A55,'[3]allergenen 6nr'!$A$1:$O$1310,7,FALSE)</f>
        <v>-</v>
      </c>
      <c r="BI55" s="201" t="str">
        <f>VLOOKUP($A55,'[3]allergenen 6nr'!$A$1:$O$1310,8,FALSE)</f>
        <v>-</v>
      </c>
      <c r="BJ55" s="201" t="str">
        <f>VLOOKUP($A55,'[3]allergenen 6nr'!$A$1:$O$1310,9,FALSE)</f>
        <v>-</v>
      </c>
      <c r="BK55" s="201" t="str">
        <f>VLOOKUP($A55,'[3]allergenen 6nr'!$A$1:$O$1310,10,FALSE)</f>
        <v>-</v>
      </c>
      <c r="BL55" s="201" t="str">
        <f>VLOOKUP($A55,'[3]allergenen 6nr'!$A$1:$O$1310,11,FALSE)</f>
        <v>+</v>
      </c>
      <c r="BM55" s="201" t="str">
        <f>VLOOKUP($A55,'[3]allergenen 6nr'!$A$1:$O$1310,12,FALSE)</f>
        <v>-</v>
      </c>
      <c r="BN55" s="201" t="str">
        <f>VLOOKUP($A55,'[3]allergenen 6nr'!$A$1:$O$1310,13,FALSE)</f>
        <v>-</v>
      </c>
      <c r="BO55" s="201" t="str">
        <f>VLOOKUP($A55,'[3]allergenen 6nr'!$A$1:$O$1310,14,FALSE)</f>
        <v>-</v>
      </c>
      <c r="BP55" s="202" t="str">
        <f>VLOOKUP($A55,'[3]allergenen 6nr'!$A$1:$O$1310,15,FALSE)</f>
        <v>-</v>
      </c>
    </row>
    <row r="56" spans="1:68" x14ac:dyDescent="0.2">
      <c r="A56" s="89">
        <v>63140100</v>
      </c>
      <c r="B56" s="53" t="str">
        <f>VLOOKUP($A56,[1]maaltijden!$A$1:$IV$65536,4,FALSE)</f>
        <v>COLR MACARONI HAM KAAS 500G</v>
      </c>
      <c r="C56" s="46" t="str">
        <f>VLOOKUP($A56,[1]maaltijden!$A$1:$IV$65536,7,FALSE)</f>
        <v>C2187-1F</v>
      </c>
      <c r="D56" s="22" t="str">
        <f>VLOOKUP($A56,[1]maaltijden!$A$1:$IV$65536,10,FALSE)</f>
        <v>H11</v>
      </c>
      <c r="E56" s="22" t="str">
        <f>VLOOKUP($A56,[1]maaltijden!$A$1:$IV$65536,13,FALSE)</f>
        <v>H11X10</v>
      </c>
      <c r="F56" s="20">
        <f t="shared" si="0"/>
        <v>0</v>
      </c>
      <c r="G56" s="20" t="str">
        <f>VLOOKUP($A56,[1]maaltijden!$A$1:$IV$65536,27,FALSE)</f>
        <v>! ! !</v>
      </c>
      <c r="H56" s="22">
        <f>VLOOKUP($A56,[1]maaltijden!$A$1:$IV$65536,21,FALSE)</f>
        <v>2</v>
      </c>
      <c r="I56" s="22">
        <f>VLOOKUP($A56,[1]maaltijden!$A$1:$IV$65536,21,FALSE)</f>
        <v>2</v>
      </c>
      <c r="J56" s="22">
        <f>VLOOKUP($A56,[1]maaltijden!$A$1:$IV$65536,18,FALSE)</f>
        <v>2</v>
      </c>
      <c r="K56" s="22">
        <f>VLOOKUP($A56,[1]maaltijden!$A$1:$IV$65536,17,FALSE)</f>
        <v>2.5</v>
      </c>
      <c r="L56" s="22">
        <f>VLOOKUP($A56,[1]maaltijden!$A$1:$IV$65536,20,FALSE)</f>
        <v>3500</v>
      </c>
      <c r="M56" s="22">
        <f>VLOOKUP($A56,[1]maaltijden!$A$1:$IV$65536,22,FALSE)</f>
        <v>3500</v>
      </c>
      <c r="N56" s="135">
        <v>0</v>
      </c>
      <c r="O56" s="50">
        <v>0</v>
      </c>
      <c r="P56" s="19">
        <v>1</v>
      </c>
      <c r="Q56" s="20">
        <v>2</v>
      </c>
      <c r="R56" s="21">
        <v>0</v>
      </c>
      <c r="S56" s="19">
        <v>1</v>
      </c>
      <c r="T56" s="20">
        <v>1</v>
      </c>
      <c r="U56" s="19">
        <v>1</v>
      </c>
      <c r="V56" s="20">
        <v>1</v>
      </c>
      <c r="W56" s="20">
        <v>1</v>
      </c>
      <c r="X56" s="20">
        <v>1</v>
      </c>
      <c r="Y56" s="20">
        <v>1</v>
      </c>
      <c r="Z56" s="20">
        <v>0</v>
      </c>
      <c r="AA56" s="20">
        <v>0</v>
      </c>
      <c r="AB56" s="49">
        <v>0</v>
      </c>
      <c r="AC56" s="49">
        <v>0</v>
      </c>
      <c r="AD56" s="49">
        <v>0</v>
      </c>
      <c r="AE56" s="49">
        <v>0</v>
      </c>
      <c r="AF56" s="49">
        <v>0</v>
      </c>
      <c r="AG56" s="161">
        <v>1</v>
      </c>
      <c r="AH56" s="162">
        <v>2</v>
      </c>
      <c r="AI56" s="162">
        <v>0</v>
      </c>
      <c r="AJ56" s="162">
        <v>0</v>
      </c>
      <c r="AK56" s="162">
        <v>0</v>
      </c>
      <c r="AL56" s="163">
        <v>0</v>
      </c>
      <c r="AM56" s="19">
        <v>1</v>
      </c>
      <c r="AN56" s="20" t="str">
        <f>IFERROR(INDEX([2]lijnopstellingsfiche!$AP$1:$AP$65536,MATCH(A56,[2]lijnopstellingsfiche!$AQ$1:$AQ$65536,0)),"")</f>
        <v>-</v>
      </c>
      <c r="AO56" s="20">
        <v>0</v>
      </c>
      <c r="AP56" s="20">
        <v>1</v>
      </c>
      <c r="AQ56" s="20">
        <v>2</v>
      </c>
      <c r="AR56" s="20">
        <v>0</v>
      </c>
      <c r="AS56" s="20">
        <v>0</v>
      </c>
      <c r="AT56" s="20">
        <v>0</v>
      </c>
      <c r="AU56" s="20">
        <v>0</v>
      </c>
      <c r="AV56" s="23">
        <v>0</v>
      </c>
      <c r="AW56" s="108">
        <v>1</v>
      </c>
      <c r="AX56" s="108">
        <v>0</v>
      </c>
      <c r="AY56" s="108">
        <v>1</v>
      </c>
      <c r="AZ56" s="112">
        <v>1</v>
      </c>
      <c r="BA56" s="114">
        <v>0</v>
      </c>
      <c r="BB56" s="20">
        <v>0</v>
      </c>
      <c r="BC56" s="113">
        <v>0</v>
      </c>
      <c r="BD56" s="200" t="str">
        <f>VLOOKUP($A56,'[3]allergenen 6nr'!$A$1:$O$1310,3,FALSE)</f>
        <v>-</v>
      </c>
      <c r="BE56" s="201" t="str">
        <f>VLOOKUP($A56,'[3]allergenen 6nr'!$A$1:$O$1310,4,FALSE)</f>
        <v>X</v>
      </c>
      <c r="BF56" s="201" t="str">
        <f>VLOOKUP($A56,'[3]allergenen 6nr'!$A$1:$O$1310,5,FALSE)</f>
        <v>+</v>
      </c>
      <c r="BG56" s="201" t="str">
        <f>VLOOKUP($A56,'[3]allergenen 6nr'!$A$1:$O$1310,6,FALSE)</f>
        <v>X</v>
      </c>
      <c r="BH56" s="201" t="str">
        <f>VLOOKUP($A56,'[3]allergenen 6nr'!$A$1:$O$1310,7,FALSE)</f>
        <v>+</v>
      </c>
      <c r="BI56" s="201" t="str">
        <f>VLOOKUP($A56,'[3]allergenen 6nr'!$A$1:$O$1310,8,FALSE)</f>
        <v>X</v>
      </c>
      <c r="BJ56" s="201" t="str">
        <f>VLOOKUP($A56,'[3]allergenen 6nr'!$A$1:$O$1310,9,FALSE)</f>
        <v>-</v>
      </c>
      <c r="BK56" s="201" t="str">
        <f>VLOOKUP($A56,'[3]allergenen 6nr'!$A$1:$O$1310,10,FALSE)</f>
        <v>-</v>
      </c>
      <c r="BL56" s="201" t="str">
        <f>VLOOKUP($A56,'[3]allergenen 6nr'!$A$1:$O$1310,11,FALSE)</f>
        <v>+</v>
      </c>
      <c r="BM56" s="201" t="str">
        <f>VLOOKUP($A56,'[3]allergenen 6nr'!$A$1:$O$1310,12,FALSE)</f>
        <v>-</v>
      </c>
      <c r="BN56" s="201" t="str">
        <f>VLOOKUP($A56,'[3]allergenen 6nr'!$A$1:$O$1310,13,FALSE)</f>
        <v>X</v>
      </c>
      <c r="BO56" s="201" t="str">
        <f>VLOOKUP($A56,'[3]allergenen 6nr'!$A$1:$O$1310,14,FALSE)</f>
        <v>-</v>
      </c>
      <c r="BP56" s="202" t="str">
        <f>VLOOKUP($A56,'[3]allergenen 6nr'!$A$1:$O$1310,15,FALSE)</f>
        <v>-</v>
      </c>
    </row>
    <row r="57" spans="1:68" x14ac:dyDescent="0.2">
      <c r="A57" s="89">
        <v>63140400</v>
      </c>
      <c r="B57" s="53" t="str">
        <f>VLOOKUP($A57,[1]maaltijden!$A$1:$IV$65536,4,FALSE)</f>
        <v>COLR PALING IN 'T GROEN 400G</v>
      </c>
      <c r="C57" s="46" t="str">
        <f>VLOOKUP($A57,[1]maaltijden!$A$1:$IV$65536,7,FALSE)</f>
        <v>C2187-1F</v>
      </c>
      <c r="D57" s="22" t="str">
        <f>VLOOKUP($A57,[1]maaltijden!$A$1:$IV$65536,10,FALSE)</f>
        <v>H11</v>
      </c>
      <c r="E57" s="22" t="str">
        <f>VLOOKUP($A57,[1]maaltijden!$A$1:$IV$65536,13,FALSE)</f>
        <v>H11X10</v>
      </c>
      <c r="F57" s="20">
        <f t="shared" si="0"/>
        <v>0</v>
      </c>
      <c r="G57" s="20" t="str">
        <f>VLOOKUP($A57,[1]maaltijden!$A$1:$IV$65536,27,FALSE)</f>
        <v>! ! ! !</v>
      </c>
      <c r="H57" s="22">
        <f>VLOOKUP($A57,[1]maaltijden!$A$1:$IV$65536,21,FALSE)</f>
        <v>9</v>
      </c>
      <c r="I57" s="22">
        <f>VLOOKUP($A57,[1]maaltijden!$A$1:$IV$65536,21,FALSE)</f>
        <v>9</v>
      </c>
      <c r="J57" s="22">
        <f>VLOOKUP($A57,[1]maaltijden!$A$1:$IV$65536,18,FALSE)</f>
        <v>2</v>
      </c>
      <c r="K57" s="22">
        <f>VLOOKUP($A57,[1]maaltijden!$A$1:$IV$65536,17,FALSE)</f>
        <v>1</v>
      </c>
      <c r="L57" s="22">
        <f>VLOOKUP($A57,[1]maaltijden!$A$1:$IV$65536,20,FALSE)</f>
        <v>2700</v>
      </c>
      <c r="M57" s="22">
        <f>VLOOKUP($A57,[1]maaltijden!$A$1:$IV$65536,22,FALSE)</f>
        <v>2700</v>
      </c>
      <c r="N57" s="135">
        <v>0</v>
      </c>
      <c r="O57" s="50">
        <v>0</v>
      </c>
      <c r="P57" s="19">
        <v>1</v>
      </c>
      <c r="Q57" s="20">
        <v>2</v>
      </c>
      <c r="R57" s="21">
        <v>0</v>
      </c>
      <c r="S57" s="19">
        <v>1</v>
      </c>
      <c r="T57" s="20">
        <v>0</v>
      </c>
      <c r="U57" s="19">
        <v>0</v>
      </c>
      <c r="V57" s="20">
        <v>0</v>
      </c>
      <c r="W57" s="20">
        <v>1</v>
      </c>
      <c r="X57" s="20">
        <v>1</v>
      </c>
      <c r="Y57" s="20">
        <v>1</v>
      </c>
      <c r="Z57" s="20">
        <v>1</v>
      </c>
      <c r="AA57" s="20">
        <v>1</v>
      </c>
      <c r="AB57" s="49">
        <v>0</v>
      </c>
      <c r="AC57" s="49">
        <v>0</v>
      </c>
      <c r="AD57" s="49">
        <v>0</v>
      </c>
      <c r="AE57" s="49">
        <v>1</v>
      </c>
      <c r="AF57" s="49">
        <v>0</v>
      </c>
      <c r="AG57" s="161">
        <v>0</v>
      </c>
      <c r="AH57" s="162">
        <v>0</v>
      </c>
      <c r="AI57" s="162">
        <v>1</v>
      </c>
      <c r="AJ57" s="162">
        <v>0</v>
      </c>
      <c r="AK57" s="162">
        <v>0</v>
      </c>
      <c r="AL57" s="163">
        <v>0</v>
      </c>
      <c r="AM57" s="19">
        <v>0</v>
      </c>
      <c r="AN57" s="20">
        <f>IFERROR(INDEX([2]lijnopstellingsfiche!$AP$1:$AP$65536,MATCH(A57,[2]lijnopstellingsfiche!$AQ$1:$AQ$65536,0)),"")</f>
        <v>8</v>
      </c>
      <c r="AO57" s="20">
        <v>0</v>
      </c>
      <c r="AP57" s="20">
        <v>0</v>
      </c>
      <c r="AQ57" s="20">
        <v>2</v>
      </c>
      <c r="AR57" s="20">
        <v>0</v>
      </c>
      <c r="AS57" s="20">
        <v>0</v>
      </c>
      <c r="AT57" s="20">
        <v>0</v>
      </c>
      <c r="AU57" s="20">
        <v>0</v>
      </c>
      <c r="AV57" s="23">
        <v>0</v>
      </c>
      <c r="AW57" s="108">
        <v>1</v>
      </c>
      <c r="AX57" s="108">
        <v>0</v>
      </c>
      <c r="AY57" s="108">
        <v>1</v>
      </c>
      <c r="AZ57" s="112">
        <v>1</v>
      </c>
      <c r="BA57" s="114">
        <v>0</v>
      </c>
      <c r="BB57" s="20">
        <v>0</v>
      </c>
      <c r="BC57" s="113">
        <v>0</v>
      </c>
      <c r="BD57" s="200" t="str">
        <f>VLOOKUP($A57,'[3]allergenen 6nr'!$A$1:$O$1310,3,FALSE)</f>
        <v>-</v>
      </c>
      <c r="BE57" s="201" t="str">
        <f>VLOOKUP($A57,'[3]allergenen 6nr'!$A$1:$O$1310,4,FALSE)</f>
        <v>-</v>
      </c>
      <c r="BF57" s="201" t="str">
        <f>VLOOKUP($A57,'[3]allergenen 6nr'!$A$1:$O$1310,5,FALSE)</f>
        <v>-</v>
      </c>
      <c r="BG57" s="201" t="str">
        <f>VLOOKUP($A57,'[3]allergenen 6nr'!$A$1:$O$1310,6,FALSE)</f>
        <v>-</v>
      </c>
      <c r="BH57" s="201" t="str">
        <f>VLOOKUP($A57,'[3]allergenen 6nr'!$A$1:$O$1310,7,FALSE)</f>
        <v>+</v>
      </c>
      <c r="BI57" s="201" t="str">
        <f>VLOOKUP($A57,'[3]allergenen 6nr'!$A$1:$O$1310,8,FALSE)</f>
        <v>-</v>
      </c>
      <c r="BJ57" s="201" t="str">
        <f>VLOOKUP($A57,'[3]allergenen 6nr'!$A$1:$O$1310,9,FALSE)</f>
        <v>-</v>
      </c>
      <c r="BK57" s="201" t="str">
        <f>VLOOKUP($A57,'[3]allergenen 6nr'!$A$1:$O$1310,10,FALSE)</f>
        <v>X</v>
      </c>
      <c r="BL57" s="201" t="str">
        <f>VLOOKUP($A57,'[3]allergenen 6nr'!$A$1:$O$1310,11,FALSE)</f>
        <v>-</v>
      </c>
      <c r="BM57" s="201" t="str">
        <f>VLOOKUP($A57,'[3]allergenen 6nr'!$A$1:$O$1310,12,FALSE)</f>
        <v>-</v>
      </c>
      <c r="BN57" s="201" t="str">
        <f>VLOOKUP($A57,'[3]allergenen 6nr'!$A$1:$O$1310,13,FALSE)</f>
        <v>-</v>
      </c>
      <c r="BO57" s="201" t="str">
        <f>VLOOKUP($A57,'[3]allergenen 6nr'!$A$1:$O$1310,14,FALSE)</f>
        <v>+</v>
      </c>
      <c r="BP57" s="202" t="str">
        <f>VLOOKUP($A57,'[3]allergenen 6nr'!$A$1:$O$1310,15,FALSE)</f>
        <v>X</v>
      </c>
    </row>
    <row r="58" spans="1:68" x14ac:dyDescent="0.2">
      <c r="A58" s="89">
        <v>63141400</v>
      </c>
      <c r="B58" s="53" t="str">
        <f>VLOOKUP($A58,[1]maaltijden!$A$1:$IV$65536,4,FALSE)</f>
        <v>COLR VISPANNETJE LANGOUSTINESAUS 300G</v>
      </c>
      <c r="C58" s="46" t="str">
        <f>VLOOKUP($A58,[1]maaltijden!$A$1:$IV$65536,7,FALSE)</f>
        <v>C2187-1F</v>
      </c>
      <c r="D58" s="22" t="str">
        <f>VLOOKUP($A58,[1]maaltijden!$A$1:$IV$65536,10,FALSE)</f>
        <v>H11</v>
      </c>
      <c r="E58" s="22" t="str">
        <f>VLOOKUP($A58,[1]maaltijden!$A$1:$IV$65536,13,FALSE)</f>
        <v>H11X10</v>
      </c>
      <c r="F58" s="20">
        <f t="shared" si="0"/>
        <v>0</v>
      </c>
      <c r="G58" s="20" t="str">
        <f>VLOOKUP($A58,[1]maaltijden!$A$1:$IV$65536,27,FALSE)</f>
        <v>! ! ! !</v>
      </c>
      <c r="H58" s="22">
        <f>VLOOKUP($A58,[1]maaltijden!$A$1:$IV$65536,21,FALSE)</f>
        <v>6</v>
      </c>
      <c r="I58" s="22">
        <f>VLOOKUP($A58,[1]maaltijden!$A$1:$IV$65536,21,FALSE)</f>
        <v>6</v>
      </c>
      <c r="J58" s="22">
        <f>VLOOKUP($A58,[1]maaltijden!$A$1:$IV$65536,18,FALSE)</f>
        <v>2</v>
      </c>
      <c r="K58" s="22">
        <f>VLOOKUP($A58,[1]maaltijden!$A$1:$IV$65536,17,FALSE)</f>
        <v>1</v>
      </c>
      <c r="L58" s="22">
        <f>VLOOKUP($A58,[1]maaltijden!$A$1:$IV$65536,20,FALSE)</f>
        <v>3200</v>
      </c>
      <c r="M58" s="22">
        <f>VLOOKUP($A58,[1]maaltijden!$A$1:$IV$65536,22,FALSE)</f>
        <v>3200</v>
      </c>
      <c r="N58" s="135">
        <v>0</v>
      </c>
      <c r="O58" s="50">
        <v>0</v>
      </c>
      <c r="P58" s="19">
        <v>1</v>
      </c>
      <c r="Q58" s="20">
        <v>2</v>
      </c>
      <c r="R58" s="21">
        <v>0</v>
      </c>
      <c r="S58" s="19">
        <v>1</v>
      </c>
      <c r="T58" s="20">
        <v>1</v>
      </c>
      <c r="U58" s="19">
        <v>1</v>
      </c>
      <c r="V58" s="20">
        <v>1</v>
      </c>
      <c r="W58" s="20">
        <v>1</v>
      </c>
      <c r="X58" s="20">
        <v>1</v>
      </c>
      <c r="Y58" s="20">
        <v>1</v>
      </c>
      <c r="Z58" s="20">
        <v>0</v>
      </c>
      <c r="AA58" s="20">
        <v>0</v>
      </c>
      <c r="AB58" s="49">
        <v>0</v>
      </c>
      <c r="AC58" s="49">
        <v>0</v>
      </c>
      <c r="AD58" s="49">
        <v>0</v>
      </c>
      <c r="AE58" s="49">
        <v>0</v>
      </c>
      <c r="AF58" s="49">
        <v>0</v>
      </c>
      <c r="AG58" s="161">
        <v>0</v>
      </c>
      <c r="AH58" s="162">
        <v>1</v>
      </c>
      <c r="AI58" s="162">
        <v>0</v>
      </c>
      <c r="AJ58" s="162">
        <v>0</v>
      </c>
      <c r="AK58" s="162">
        <v>0</v>
      </c>
      <c r="AL58" s="163">
        <v>0</v>
      </c>
      <c r="AM58" s="19">
        <v>0</v>
      </c>
      <c r="AN58" s="20" t="str">
        <f>IFERROR(INDEX([2]lijnopstellingsfiche!$AP$1:$AP$65536,MATCH(A58,[2]lijnopstellingsfiche!$AQ$1:$AQ$65536,0)),"")</f>
        <v>-</v>
      </c>
      <c r="AO58" s="20">
        <v>0</v>
      </c>
      <c r="AP58" s="20">
        <v>0</v>
      </c>
      <c r="AQ58" s="20">
        <v>2</v>
      </c>
      <c r="AR58" s="20">
        <v>0</v>
      </c>
      <c r="AS58" s="20">
        <v>1</v>
      </c>
      <c r="AT58" s="20">
        <v>0</v>
      </c>
      <c r="AU58" s="20">
        <v>0</v>
      </c>
      <c r="AV58" s="23">
        <v>0</v>
      </c>
      <c r="AW58" s="108">
        <v>1</v>
      </c>
      <c r="AX58" s="108">
        <v>0</v>
      </c>
      <c r="AY58" s="108">
        <v>1</v>
      </c>
      <c r="AZ58" s="112">
        <v>1</v>
      </c>
      <c r="BA58" s="114">
        <v>0</v>
      </c>
      <c r="BB58" s="20">
        <v>0</v>
      </c>
      <c r="BC58" s="113">
        <v>1</v>
      </c>
      <c r="BD58" s="200" t="str">
        <f>VLOOKUP($A58,'[3]allergenen 6nr'!$A$1:$O$1310,3,FALSE)</f>
        <v>-</v>
      </c>
      <c r="BE58" s="201" t="str">
        <f>VLOOKUP($A58,'[3]allergenen 6nr'!$A$1:$O$1310,4,FALSE)</f>
        <v>-</v>
      </c>
      <c r="BF58" s="201" t="str">
        <f>VLOOKUP($A58,'[3]allergenen 6nr'!$A$1:$O$1310,5,FALSE)</f>
        <v>+</v>
      </c>
      <c r="BG58" s="201" t="str">
        <f>VLOOKUP($A58,'[3]allergenen 6nr'!$A$1:$O$1310,6,FALSE)</f>
        <v>X</v>
      </c>
      <c r="BH58" s="201" t="str">
        <f>VLOOKUP($A58,'[3]allergenen 6nr'!$A$1:$O$1310,7,FALSE)</f>
        <v>+</v>
      </c>
      <c r="BI58" s="201" t="str">
        <f>VLOOKUP($A58,'[3]allergenen 6nr'!$A$1:$O$1310,8,FALSE)</f>
        <v>X</v>
      </c>
      <c r="BJ58" s="201" t="str">
        <f>VLOOKUP($A58,'[3]allergenen 6nr'!$A$1:$O$1310,9,FALSE)</f>
        <v>-</v>
      </c>
      <c r="BK58" s="201" t="str">
        <f>VLOOKUP($A58,'[3]allergenen 6nr'!$A$1:$O$1310,10,FALSE)</f>
        <v>+</v>
      </c>
      <c r="BL58" s="201" t="str">
        <f>VLOOKUP($A58,'[3]allergenen 6nr'!$A$1:$O$1310,11,FALSE)</f>
        <v>+</v>
      </c>
      <c r="BM58" s="201" t="str">
        <f>VLOOKUP($A58,'[3]allergenen 6nr'!$A$1:$O$1310,12,FALSE)</f>
        <v>-</v>
      </c>
      <c r="BN58" s="201" t="str">
        <f>VLOOKUP($A58,'[3]allergenen 6nr'!$A$1:$O$1310,13,FALSE)</f>
        <v>X</v>
      </c>
      <c r="BO58" s="201" t="str">
        <f>VLOOKUP($A58,'[3]allergenen 6nr'!$A$1:$O$1310,14,FALSE)</f>
        <v>+</v>
      </c>
      <c r="BP58" s="202" t="str">
        <f>VLOOKUP($A58,'[3]allergenen 6nr'!$A$1:$O$1310,15,FALSE)</f>
        <v>X</v>
      </c>
    </row>
    <row r="59" spans="1:68" x14ac:dyDescent="0.2">
      <c r="A59" s="89">
        <v>63141500</v>
      </c>
      <c r="B59" s="53" t="str">
        <f>VLOOKUP($A59,[1]maaltijden!$A$1:$IV$65536,4,FALSE)</f>
        <v>COLR LASAGNE BOLOGNAISE CLASSIC 450G</v>
      </c>
      <c r="C59" s="46" t="str">
        <f>VLOOKUP($A59,[1]maaltijden!$A$1:$IV$65536,7,FALSE)</f>
        <v>C2187-1F</v>
      </c>
      <c r="D59" s="22" t="str">
        <f>VLOOKUP($A59,[1]maaltijden!$A$1:$IV$65536,10,FALSE)</f>
        <v>H11</v>
      </c>
      <c r="E59" s="22" t="str">
        <f>VLOOKUP($A59,[1]maaltijden!$A$1:$IV$65536,13,FALSE)</f>
        <v>H11X10</v>
      </c>
      <c r="F59" s="20">
        <f t="shared" si="0"/>
        <v>0</v>
      </c>
      <c r="G59" s="20" t="str">
        <f>VLOOKUP($A59,[1]maaltijden!$A$1:$IV$65536,27,FALSE)</f>
        <v>! ! !</v>
      </c>
      <c r="H59" s="22">
        <f>VLOOKUP($A59,[1]maaltijden!$A$1:$IV$65536,21,FALSE)</f>
        <v>6</v>
      </c>
      <c r="I59" s="22">
        <f>VLOOKUP($A59,[1]maaltijden!$A$1:$IV$65536,21,FALSE)</f>
        <v>6</v>
      </c>
      <c r="J59" s="22">
        <f>VLOOKUP($A59,[1]maaltijden!$A$1:$IV$65536,18,FALSE)</f>
        <v>2</v>
      </c>
      <c r="K59" s="22">
        <f>VLOOKUP($A59,[1]maaltijden!$A$1:$IV$65536,17,FALSE)</f>
        <v>2</v>
      </c>
      <c r="L59" s="22">
        <f>VLOOKUP($A59,[1]maaltijden!$A$1:$IV$65536,20,FALSE)</f>
        <v>2500</v>
      </c>
      <c r="M59" s="22">
        <f>VLOOKUP($A59,[1]maaltijden!$A$1:$IV$65536,22,FALSE)</f>
        <v>2500</v>
      </c>
      <c r="N59" s="135">
        <v>0</v>
      </c>
      <c r="O59" s="50">
        <v>0</v>
      </c>
      <c r="P59" s="19">
        <v>1</v>
      </c>
      <c r="Q59" s="20">
        <v>2</v>
      </c>
      <c r="R59" s="21">
        <v>0</v>
      </c>
      <c r="S59" s="19">
        <v>1</v>
      </c>
      <c r="T59" s="20">
        <v>1</v>
      </c>
      <c r="U59" s="19">
        <v>0</v>
      </c>
      <c r="V59" s="20">
        <v>1</v>
      </c>
      <c r="W59" s="20">
        <v>1</v>
      </c>
      <c r="X59" s="20">
        <v>1</v>
      </c>
      <c r="Y59" s="20">
        <v>1</v>
      </c>
      <c r="Z59" s="20">
        <v>0</v>
      </c>
      <c r="AA59" s="20">
        <v>0</v>
      </c>
      <c r="AB59" s="49">
        <v>1</v>
      </c>
      <c r="AC59" s="49">
        <v>0</v>
      </c>
      <c r="AD59" s="49">
        <v>0</v>
      </c>
      <c r="AE59" s="49">
        <v>1</v>
      </c>
      <c r="AF59" s="49">
        <v>0</v>
      </c>
      <c r="AG59" s="161">
        <v>0</v>
      </c>
      <c r="AH59" s="162">
        <v>2</v>
      </c>
      <c r="AI59" s="162">
        <v>0</v>
      </c>
      <c r="AJ59" s="162">
        <v>0</v>
      </c>
      <c r="AK59" s="162">
        <v>0</v>
      </c>
      <c r="AL59" s="163">
        <v>0</v>
      </c>
      <c r="AM59" s="19">
        <v>0</v>
      </c>
      <c r="AN59" s="20" t="str">
        <f>IFERROR(INDEX([2]lijnopstellingsfiche!$AP$1:$AP$65536,MATCH(A59,[2]lijnopstellingsfiche!$AQ$1:$AQ$65536,0)),"")</f>
        <v>-</v>
      </c>
      <c r="AO59" s="20">
        <v>0</v>
      </c>
      <c r="AP59" s="20">
        <v>1</v>
      </c>
      <c r="AQ59" s="20">
        <v>4</v>
      </c>
      <c r="AR59" s="20">
        <v>0</v>
      </c>
      <c r="AS59" s="20">
        <v>0</v>
      </c>
      <c r="AT59" s="20">
        <v>0</v>
      </c>
      <c r="AU59" s="20">
        <v>0</v>
      </c>
      <c r="AV59" s="23">
        <v>0</v>
      </c>
      <c r="AW59" s="108">
        <v>1</v>
      </c>
      <c r="AX59" s="108">
        <v>0</v>
      </c>
      <c r="AY59" s="108">
        <v>1</v>
      </c>
      <c r="AZ59" s="112">
        <v>1</v>
      </c>
      <c r="BA59" s="114">
        <v>0</v>
      </c>
      <c r="BB59" s="20">
        <v>0</v>
      </c>
      <c r="BC59" s="113">
        <v>0</v>
      </c>
      <c r="BD59" s="200" t="str">
        <f>VLOOKUP($A59,'[3]allergenen 6nr'!$A$1:$O$1310,3,FALSE)</f>
        <v>-</v>
      </c>
      <c r="BE59" s="201" t="str">
        <f>VLOOKUP($A59,'[3]allergenen 6nr'!$A$1:$O$1310,4,FALSE)</f>
        <v>+</v>
      </c>
      <c r="BF59" s="201" t="str">
        <f>VLOOKUP($A59,'[3]allergenen 6nr'!$A$1:$O$1310,5,FALSE)</f>
        <v>+</v>
      </c>
      <c r="BG59" s="201" t="str">
        <f>VLOOKUP($A59,'[3]allergenen 6nr'!$A$1:$O$1310,6,FALSE)</f>
        <v>X</v>
      </c>
      <c r="BH59" s="201" t="str">
        <f>VLOOKUP($A59,'[3]allergenen 6nr'!$A$1:$O$1310,7,FALSE)</f>
        <v>+</v>
      </c>
      <c r="BI59" s="201" t="str">
        <f>VLOOKUP($A59,'[3]allergenen 6nr'!$A$1:$O$1310,8,FALSE)</f>
        <v>X</v>
      </c>
      <c r="BJ59" s="201" t="str">
        <f>VLOOKUP($A59,'[3]allergenen 6nr'!$A$1:$O$1310,9,FALSE)</f>
        <v>-</v>
      </c>
      <c r="BK59" s="201" t="str">
        <f>VLOOKUP($A59,'[3]allergenen 6nr'!$A$1:$O$1310,10,FALSE)</f>
        <v>-</v>
      </c>
      <c r="BL59" s="201" t="str">
        <f>VLOOKUP($A59,'[3]allergenen 6nr'!$A$1:$O$1310,11,FALSE)</f>
        <v>+</v>
      </c>
      <c r="BM59" s="201" t="str">
        <f>VLOOKUP($A59,'[3]allergenen 6nr'!$A$1:$O$1310,12,FALSE)</f>
        <v>-</v>
      </c>
      <c r="BN59" s="201" t="str">
        <f>VLOOKUP($A59,'[3]allergenen 6nr'!$A$1:$O$1310,13,FALSE)</f>
        <v>X</v>
      </c>
      <c r="BO59" s="201" t="str">
        <f>VLOOKUP($A59,'[3]allergenen 6nr'!$A$1:$O$1310,14,FALSE)</f>
        <v>-</v>
      </c>
      <c r="BP59" s="202" t="str">
        <f>VLOOKUP($A59,'[3]allergenen 6nr'!$A$1:$O$1310,15,FALSE)</f>
        <v>X</v>
      </c>
    </row>
    <row r="60" spans="1:68" x14ac:dyDescent="0.2">
      <c r="A60" s="89">
        <v>63150000</v>
      </c>
      <c r="B60" s="53" t="str">
        <f>VLOOKUP($A60,[1]maaltijden!$A$1:$IV$65536,4,FALSE)</f>
        <v>LIDL BE AARDAPPELGRATIN 450G</v>
      </c>
      <c r="C60" s="46" t="str">
        <f>VLOOKUP($A60,[1]maaltijden!$A$1:$IV$65536,7,FALSE)</f>
        <v>C2187-1F</v>
      </c>
      <c r="D60" s="22" t="str">
        <f>VLOOKUP($A60,[1]maaltijden!$A$1:$IV$65536,10,FALSE)</f>
        <v>H11</v>
      </c>
      <c r="E60" s="22" t="str">
        <f>VLOOKUP($A60,[1]maaltijden!$A$1:$IV$65536,13,FALSE)</f>
        <v>H11X10</v>
      </c>
      <c r="F60" s="20">
        <f t="shared" si="0"/>
        <v>0</v>
      </c>
      <c r="G60" s="20" t="str">
        <f>VLOOKUP($A60,[1]maaltijden!$A$1:$IV$65536,27,FALSE)</f>
        <v>! !</v>
      </c>
      <c r="H60" s="22">
        <f>VLOOKUP($A60,[1]maaltijden!$A$1:$IV$65536,21,FALSE)</f>
        <v>3</v>
      </c>
      <c r="I60" s="22">
        <f>VLOOKUP($A60,[1]maaltijden!$A$1:$IV$65536,21,FALSE)</f>
        <v>3</v>
      </c>
      <c r="J60" s="22">
        <f>VLOOKUP($A60,[1]maaltijden!$A$1:$IV$65536,18,FALSE)</f>
        <v>2</v>
      </c>
      <c r="K60" s="22">
        <f>VLOOKUP($A60,[1]maaltijden!$A$1:$IV$65536,17,FALSE)</f>
        <v>1</v>
      </c>
      <c r="L60" s="22">
        <f>VLOOKUP($A60,[1]maaltijden!$A$1:$IV$65536,20,FALSE)</f>
        <v>3500</v>
      </c>
      <c r="M60" s="22">
        <f>VLOOKUP($A60,[1]maaltijden!$A$1:$IV$65536,22,FALSE)</f>
        <v>3500</v>
      </c>
      <c r="N60" s="135">
        <v>0</v>
      </c>
      <c r="O60" s="50">
        <v>0</v>
      </c>
      <c r="P60" s="19">
        <v>1</v>
      </c>
      <c r="Q60" s="20">
        <v>2</v>
      </c>
      <c r="R60" s="21">
        <v>0</v>
      </c>
      <c r="S60" s="19">
        <v>1</v>
      </c>
      <c r="T60" s="20">
        <v>1</v>
      </c>
      <c r="U60" s="19">
        <v>1</v>
      </c>
      <c r="V60" s="20">
        <v>1</v>
      </c>
      <c r="W60" s="20">
        <v>1</v>
      </c>
      <c r="X60" s="20">
        <v>1</v>
      </c>
      <c r="Y60" s="20">
        <v>1</v>
      </c>
      <c r="Z60" s="20">
        <v>0</v>
      </c>
      <c r="AA60" s="20">
        <v>0</v>
      </c>
      <c r="AB60" s="49">
        <v>0</v>
      </c>
      <c r="AC60" s="49">
        <v>0</v>
      </c>
      <c r="AD60" s="49">
        <v>0</v>
      </c>
      <c r="AE60" s="49">
        <v>0</v>
      </c>
      <c r="AF60" s="49">
        <v>0</v>
      </c>
      <c r="AG60" s="161">
        <v>0</v>
      </c>
      <c r="AH60" s="162">
        <v>2</v>
      </c>
      <c r="AI60" s="162">
        <v>0</v>
      </c>
      <c r="AJ60" s="162">
        <v>0</v>
      </c>
      <c r="AK60" s="162">
        <v>0</v>
      </c>
      <c r="AL60" s="163">
        <v>0</v>
      </c>
      <c r="AM60" s="19">
        <v>0</v>
      </c>
      <c r="AN60" s="20" t="str">
        <f>IFERROR(INDEX([2]lijnopstellingsfiche!$AP$1:$AP$65536,MATCH(A60,[2]lijnopstellingsfiche!$AQ$1:$AQ$65536,0)),"")</f>
        <v>-</v>
      </c>
      <c r="AO60" s="20">
        <v>0</v>
      </c>
      <c r="AP60" s="20">
        <v>1</v>
      </c>
      <c r="AQ60" s="20">
        <v>2</v>
      </c>
      <c r="AR60" s="20">
        <v>0</v>
      </c>
      <c r="AS60" s="20">
        <v>0</v>
      </c>
      <c r="AT60" s="20">
        <v>1</v>
      </c>
      <c r="AU60" s="20">
        <v>0</v>
      </c>
      <c r="AV60" s="23">
        <v>0</v>
      </c>
      <c r="AW60" s="108">
        <v>1</v>
      </c>
      <c r="AX60" s="108">
        <v>0</v>
      </c>
      <c r="AY60" s="108">
        <v>1</v>
      </c>
      <c r="AZ60" s="112">
        <v>1</v>
      </c>
      <c r="BA60" s="114">
        <v>0</v>
      </c>
      <c r="BB60" s="20">
        <v>0</v>
      </c>
      <c r="BC60" s="113">
        <v>0</v>
      </c>
      <c r="BD60" s="200" t="str">
        <f>VLOOKUP($A60,'[3]allergenen 6nr'!$A$1:$O$1310,3,FALSE)</f>
        <v>-</v>
      </c>
      <c r="BE60" s="201" t="str">
        <f>VLOOKUP($A60,'[3]allergenen 6nr'!$A$1:$O$1310,4,FALSE)</f>
        <v>-</v>
      </c>
      <c r="BF60" s="201" t="str">
        <f>VLOOKUP($A60,'[3]allergenen 6nr'!$A$1:$O$1310,5,FALSE)</f>
        <v>+</v>
      </c>
      <c r="BG60" s="201" t="str">
        <f>VLOOKUP($A60,'[3]allergenen 6nr'!$A$1:$O$1310,6,FALSE)</f>
        <v>X</v>
      </c>
      <c r="BH60" s="201" t="str">
        <f>VLOOKUP($A60,'[3]allergenen 6nr'!$A$1:$O$1310,7,FALSE)</f>
        <v>+</v>
      </c>
      <c r="BI60" s="201" t="str">
        <f>VLOOKUP($A60,'[3]allergenen 6nr'!$A$1:$O$1310,8,FALSE)</f>
        <v>X</v>
      </c>
      <c r="BJ60" s="201" t="str">
        <f>VLOOKUP($A60,'[3]allergenen 6nr'!$A$1:$O$1310,9,FALSE)</f>
        <v>-</v>
      </c>
      <c r="BK60" s="201" t="str">
        <f>VLOOKUP($A60,'[3]allergenen 6nr'!$A$1:$O$1310,10,FALSE)</f>
        <v>-</v>
      </c>
      <c r="BL60" s="201" t="str">
        <f>VLOOKUP($A60,'[3]allergenen 6nr'!$A$1:$O$1310,11,FALSE)</f>
        <v>-</v>
      </c>
      <c r="BM60" s="201" t="str">
        <f>VLOOKUP($A60,'[3]allergenen 6nr'!$A$1:$O$1310,12,FALSE)</f>
        <v>-</v>
      </c>
      <c r="BN60" s="201" t="str">
        <f>VLOOKUP($A60,'[3]allergenen 6nr'!$A$1:$O$1310,13,FALSE)</f>
        <v>X</v>
      </c>
      <c r="BO60" s="201" t="str">
        <f>VLOOKUP($A60,'[3]allergenen 6nr'!$A$1:$O$1310,14,FALSE)</f>
        <v>-</v>
      </c>
      <c r="BP60" s="202" t="str">
        <f>VLOOKUP($A60,'[3]allergenen 6nr'!$A$1:$O$1310,15,FALSE)</f>
        <v>-</v>
      </c>
    </row>
    <row r="61" spans="1:68" x14ac:dyDescent="0.2">
      <c r="A61" s="89">
        <v>63183700</v>
      </c>
      <c r="B61" s="53" t="str">
        <f>VLOOKUP($A61,[1]maaltijden!$A$1:$IV$65536,4,FALSE)</f>
        <v>BOF DE SPAGHETTI BOLOGNAISE 400G</v>
      </c>
      <c r="C61" s="46" t="str">
        <f>VLOOKUP($A61,[1]maaltijden!$A$1:$IV$65536,7,FALSE)</f>
        <v>C2187-1F</v>
      </c>
      <c r="D61" s="22" t="str">
        <f>VLOOKUP($A61,[1]maaltijden!$A$1:$IV$65536,10,FALSE)</f>
        <v>H11</v>
      </c>
      <c r="E61" s="22" t="str">
        <f>VLOOKUP($A61,[1]maaltijden!$A$1:$IV$65536,13,FALSE)</f>
        <v>H11X10</v>
      </c>
      <c r="F61" s="20">
        <f t="shared" si="0"/>
        <v>0</v>
      </c>
      <c r="G61" s="20" t="str">
        <f>VLOOKUP($A61,[1]maaltijden!$A$1:$IV$65536,27,FALSE)</f>
        <v>! ! !</v>
      </c>
      <c r="H61" s="22">
        <f>VLOOKUP($A61,[1]maaltijden!$A$1:$IV$65536,21,FALSE)</f>
        <v>5</v>
      </c>
      <c r="I61" s="22">
        <f>VLOOKUP($A61,[1]maaltijden!$A$1:$IV$65536,21,FALSE)</f>
        <v>5</v>
      </c>
      <c r="J61" s="22">
        <f>VLOOKUP($A61,[1]maaltijden!$A$1:$IV$65536,18,FALSE)</f>
        <v>2</v>
      </c>
      <c r="K61" s="22">
        <f>VLOOKUP($A61,[1]maaltijden!$A$1:$IV$65536,17,FALSE)</f>
        <v>2</v>
      </c>
      <c r="L61" s="22">
        <f>VLOOKUP($A61,[1]maaltijden!$A$1:$IV$65536,20,FALSE)</f>
        <v>3500</v>
      </c>
      <c r="M61" s="22">
        <f>VLOOKUP($A61,[1]maaltijden!$A$1:$IV$65536,22,FALSE)</f>
        <v>3500</v>
      </c>
      <c r="N61" s="135" t="s">
        <v>400</v>
      </c>
      <c r="O61" s="50">
        <v>0</v>
      </c>
      <c r="P61" s="19">
        <v>1</v>
      </c>
      <c r="Q61" s="20">
        <v>2</v>
      </c>
      <c r="R61" s="21">
        <v>0</v>
      </c>
      <c r="S61" s="19">
        <v>1</v>
      </c>
      <c r="T61" s="20">
        <v>0</v>
      </c>
      <c r="U61" s="19">
        <v>0</v>
      </c>
      <c r="V61" s="20">
        <v>1</v>
      </c>
      <c r="W61" s="20">
        <v>1</v>
      </c>
      <c r="X61" s="20">
        <v>1</v>
      </c>
      <c r="Y61" s="20">
        <v>1</v>
      </c>
      <c r="Z61" s="20">
        <v>0</v>
      </c>
      <c r="AA61" s="20">
        <v>0</v>
      </c>
      <c r="AB61" s="49">
        <v>0</v>
      </c>
      <c r="AC61" s="49">
        <v>0</v>
      </c>
      <c r="AD61" s="49">
        <v>0</v>
      </c>
      <c r="AE61" s="49">
        <v>1</v>
      </c>
      <c r="AF61" s="49">
        <v>0</v>
      </c>
      <c r="AG61" s="161">
        <v>1</v>
      </c>
      <c r="AH61" s="162">
        <v>2</v>
      </c>
      <c r="AI61" s="162">
        <v>0</v>
      </c>
      <c r="AJ61" s="162">
        <v>0</v>
      </c>
      <c r="AK61" s="162">
        <v>0</v>
      </c>
      <c r="AL61" s="163">
        <v>0</v>
      </c>
      <c r="AM61" s="19">
        <v>1</v>
      </c>
      <c r="AN61" s="20" t="str">
        <f>IFERROR(INDEX([2]lijnopstellingsfiche!$AP$1:$AP$65536,MATCH(A61,[2]lijnopstellingsfiche!$AQ$1:$AQ$65536,0)),"")</f>
        <v>-</v>
      </c>
      <c r="AO61" s="20">
        <v>0</v>
      </c>
      <c r="AP61" s="20">
        <v>0</v>
      </c>
      <c r="AQ61" s="20">
        <v>2</v>
      </c>
      <c r="AR61" s="20">
        <v>0</v>
      </c>
      <c r="AS61" s="20">
        <v>0</v>
      </c>
      <c r="AT61" s="20">
        <v>0</v>
      </c>
      <c r="AU61" s="20">
        <v>0</v>
      </c>
      <c r="AV61" s="23">
        <v>0</v>
      </c>
      <c r="AW61" s="108">
        <v>1</v>
      </c>
      <c r="AX61" s="108">
        <v>0</v>
      </c>
      <c r="AY61" s="108">
        <v>1</v>
      </c>
      <c r="AZ61" s="112">
        <v>1</v>
      </c>
      <c r="BA61" s="114">
        <v>0</v>
      </c>
      <c r="BB61" s="20">
        <v>0</v>
      </c>
      <c r="BC61" s="113">
        <v>0</v>
      </c>
      <c r="BD61" s="200" t="str">
        <f>VLOOKUP($A61,'[3]allergenen 6nr'!$A$1:$O$1310,3,FALSE)</f>
        <v>-</v>
      </c>
      <c r="BE61" s="201" t="str">
        <f>VLOOKUP($A61,'[3]allergenen 6nr'!$A$1:$O$1310,4,FALSE)</f>
        <v>X</v>
      </c>
      <c r="BF61" s="201" t="str">
        <f>VLOOKUP($A61,'[3]allergenen 6nr'!$A$1:$O$1310,5,FALSE)</f>
        <v>+</v>
      </c>
      <c r="BG61" s="201" t="str">
        <f>VLOOKUP($A61,'[3]allergenen 6nr'!$A$1:$O$1310,6,FALSE)</f>
        <v>X</v>
      </c>
      <c r="BH61" s="201" t="str">
        <f>VLOOKUP($A61,'[3]allergenen 6nr'!$A$1:$O$1310,7,FALSE)</f>
        <v>-</v>
      </c>
      <c r="BI61" s="201" t="str">
        <f>VLOOKUP($A61,'[3]allergenen 6nr'!$A$1:$O$1310,8,FALSE)</f>
        <v>X</v>
      </c>
      <c r="BJ61" s="201" t="str">
        <f>VLOOKUP($A61,'[3]allergenen 6nr'!$A$1:$O$1310,9,FALSE)</f>
        <v>-</v>
      </c>
      <c r="BK61" s="201" t="str">
        <f>VLOOKUP($A61,'[3]allergenen 6nr'!$A$1:$O$1310,10,FALSE)</f>
        <v>-</v>
      </c>
      <c r="BL61" s="201" t="str">
        <f>VLOOKUP($A61,'[3]allergenen 6nr'!$A$1:$O$1310,11,FALSE)</f>
        <v>+</v>
      </c>
      <c r="BM61" s="201" t="str">
        <f>VLOOKUP($A61,'[3]allergenen 6nr'!$A$1:$O$1310,12,FALSE)</f>
        <v>-</v>
      </c>
      <c r="BN61" s="201" t="str">
        <f>VLOOKUP($A61,'[3]allergenen 6nr'!$A$1:$O$1310,13,FALSE)</f>
        <v>X</v>
      </c>
      <c r="BO61" s="201" t="str">
        <f>VLOOKUP($A61,'[3]allergenen 6nr'!$A$1:$O$1310,14,FALSE)</f>
        <v>-</v>
      </c>
      <c r="BP61" s="202" t="str">
        <f>VLOOKUP($A61,'[3]allergenen 6nr'!$A$1:$O$1310,15,FALSE)</f>
        <v>-</v>
      </c>
    </row>
    <row r="62" spans="1:68" x14ac:dyDescent="0.2">
      <c r="A62" s="89">
        <v>63250000</v>
      </c>
      <c r="B62" s="53" t="str">
        <f>VLOOKUP($A62,[1]maaltijden!$A$1:$IV$65536,4,FALSE)</f>
        <v>THIRIET WITLOOF HAM KAAS 700G</v>
      </c>
      <c r="C62" s="46" t="str">
        <f>VLOOKUP($A62,[1]maaltijden!$A$1:$IV$65536,7,FALSE)</f>
        <v>AR 1150-8</v>
      </c>
      <c r="D62" s="22" t="str">
        <f>VLOOKUP($A62,[1]maaltijden!$A$1:$IV$65536,10,FALSE)</f>
        <v>H9 NEW</v>
      </c>
      <c r="E62" s="22" t="str">
        <f>VLOOKUP($A62,[1]maaltijden!$A$1:$IV$65536,13,FALSE)</f>
        <v>H9x6 GEPERFOREERD</v>
      </c>
      <c r="F62" s="20">
        <f t="shared" si="0"/>
        <v>0</v>
      </c>
      <c r="G62" s="20" t="str">
        <f>VLOOKUP($A62,[1]maaltijden!$A$1:$IV$65536,27,FALSE)</f>
        <v>! !</v>
      </c>
      <c r="H62" s="22">
        <f>VLOOKUP($A62,[1]maaltijden!$A$1:$IV$65536,21,FALSE)</f>
        <v>11</v>
      </c>
      <c r="I62" s="22">
        <f>VLOOKUP($A62,[1]maaltijden!$A$1:$IV$65536,21,FALSE)</f>
        <v>11</v>
      </c>
      <c r="J62" s="22">
        <f>VLOOKUP($A62,[1]maaltijden!$A$1:$IV$65536,18,FALSE)</f>
        <v>2</v>
      </c>
      <c r="K62" s="22">
        <f>VLOOKUP($A62,[1]maaltijden!$A$1:$IV$65536,17,FALSE)</f>
        <v>1</v>
      </c>
      <c r="L62" s="22">
        <f>VLOOKUP($A62,[1]maaltijden!$A$1:$IV$65536,20,FALSE)</f>
        <v>950</v>
      </c>
      <c r="M62" s="22">
        <f>VLOOKUP($A62,[1]maaltijden!$A$1:$IV$65536,22,FALSE)</f>
        <v>950</v>
      </c>
      <c r="N62" s="135"/>
      <c r="O62" s="50"/>
      <c r="P62" s="19">
        <v>1</v>
      </c>
      <c r="Q62" s="20">
        <v>2</v>
      </c>
      <c r="R62" s="21">
        <v>0</v>
      </c>
      <c r="S62" s="19">
        <v>1</v>
      </c>
      <c r="T62" s="20">
        <v>1</v>
      </c>
      <c r="U62" s="19">
        <v>0</v>
      </c>
      <c r="V62" s="20">
        <v>1</v>
      </c>
      <c r="W62" s="20">
        <v>1</v>
      </c>
      <c r="X62" s="20">
        <v>1</v>
      </c>
      <c r="Y62" s="20">
        <v>1</v>
      </c>
      <c r="Z62" s="20">
        <v>1</v>
      </c>
      <c r="AA62" s="20">
        <v>0</v>
      </c>
      <c r="AB62" s="49">
        <v>0</v>
      </c>
      <c r="AC62" s="49">
        <v>1</v>
      </c>
      <c r="AD62" s="49">
        <v>0</v>
      </c>
      <c r="AE62" s="49">
        <v>1</v>
      </c>
      <c r="AF62" s="49">
        <v>0</v>
      </c>
      <c r="AG62" s="161">
        <v>0</v>
      </c>
      <c r="AH62" s="162">
        <v>1</v>
      </c>
      <c r="AI62" s="162">
        <v>0</v>
      </c>
      <c r="AJ62" s="162">
        <v>0</v>
      </c>
      <c r="AK62" s="162">
        <v>0</v>
      </c>
      <c r="AL62" s="163">
        <v>0</v>
      </c>
      <c r="AM62" s="19">
        <v>0</v>
      </c>
      <c r="AN62" s="20">
        <f>IFERROR(INDEX([2]lijnopstellingsfiche!$AP$1:$AP$65536,MATCH(A62,[2]lijnopstellingsfiche!$AQ$1:$AQ$65536,0)),"")</f>
        <v>10</v>
      </c>
      <c r="AO62" s="20">
        <v>0</v>
      </c>
      <c r="AP62" s="20">
        <v>1</v>
      </c>
      <c r="AQ62" s="20">
        <v>1</v>
      </c>
      <c r="AR62" s="20">
        <v>0</v>
      </c>
      <c r="AS62" s="20">
        <v>0</v>
      </c>
      <c r="AT62" s="20">
        <v>0</v>
      </c>
      <c r="AU62" s="20">
        <v>0</v>
      </c>
      <c r="AV62" s="23">
        <v>0</v>
      </c>
      <c r="AW62" s="108">
        <v>1</v>
      </c>
      <c r="AX62" s="108">
        <v>0</v>
      </c>
      <c r="AY62" s="108">
        <v>1</v>
      </c>
      <c r="AZ62" s="112">
        <v>1</v>
      </c>
      <c r="BA62" s="114">
        <v>0</v>
      </c>
      <c r="BB62" s="20">
        <v>0</v>
      </c>
      <c r="BC62" s="113">
        <v>1</v>
      </c>
      <c r="BD62" s="200" t="str">
        <f>VLOOKUP($A62,'[3]allergenen 6nr'!$A$1:$O$1310,3,FALSE)</f>
        <v>-</v>
      </c>
      <c r="BE62" s="201" t="str">
        <f>VLOOKUP($A62,'[3]allergenen 6nr'!$A$1:$O$1310,4,FALSE)</f>
        <v>-</v>
      </c>
      <c r="BF62" s="201" t="str">
        <f>VLOOKUP($A62,'[3]allergenen 6nr'!$A$1:$O$1310,5,FALSE)</f>
        <v>+</v>
      </c>
      <c r="BG62" s="201" t="str">
        <f>VLOOKUP($A62,'[3]allergenen 6nr'!$A$1:$O$1310,6,FALSE)</f>
        <v>X</v>
      </c>
      <c r="BH62" s="201" t="str">
        <f>VLOOKUP($A62,'[3]allergenen 6nr'!$A$1:$O$1310,7,FALSE)</f>
        <v>+</v>
      </c>
      <c r="BI62" s="201" t="str">
        <f>VLOOKUP($A62,'[3]allergenen 6nr'!$A$1:$O$1310,8,FALSE)</f>
        <v>X</v>
      </c>
      <c r="BJ62" s="201" t="str">
        <f>VLOOKUP($A62,'[3]allergenen 6nr'!$A$1:$O$1310,9,FALSE)</f>
        <v>-</v>
      </c>
      <c r="BK62" s="201" t="str">
        <f>VLOOKUP($A62,'[3]allergenen 6nr'!$A$1:$O$1310,10,FALSE)</f>
        <v>-</v>
      </c>
      <c r="BL62" s="201" t="str">
        <f>VLOOKUP($A62,'[3]allergenen 6nr'!$A$1:$O$1310,11,FALSE)</f>
        <v>-</v>
      </c>
      <c r="BM62" s="201" t="str">
        <f>VLOOKUP($A62,'[3]allergenen 6nr'!$A$1:$O$1310,12,FALSE)</f>
        <v>-</v>
      </c>
      <c r="BN62" s="201" t="str">
        <f>VLOOKUP($A62,'[3]allergenen 6nr'!$A$1:$O$1310,13,FALSE)</f>
        <v>X</v>
      </c>
      <c r="BO62" s="201" t="str">
        <f>VLOOKUP($A62,'[3]allergenen 6nr'!$A$1:$O$1310,14,FALSE)</f>
        <v>-</v>
      </c>
      <c r="BP62" s="202" t="str">
        <f>VLOOKUP($A62,'[3]allergenen 6nr'!$A$1:$O$1310,15,FALSE)</f>
        <v>-</v>
      </c>
    </row>
    <row r="63" spans="1:68" x14ac:dyDescent="0.2">
      <c r="A63" s="89">
        <v>63291300</v>
      </c>
      <c r="B63" s="53" t="str">
        <f>VLOOKUP($A63,[1]maaltijden!$A$1:$IV$65536,4,FALSE)</f>
        <v>BOF BE KIPPENBOUT APPELMOES PUREE 510G</v>
      </c>
      <c r="C63" s="46" t="str">
        <f>VLOOKUP($A63,[1]maaltijden!$A$1:$IV$65536,7,FALSE)</f>
        <v>C2227-2K</v>
      </c>
      <c r="D63" s="22" t="str">
        <f>VLOOKUP($A63,[1]maaltijden!$A$1:$IV$65536,10,FALSE)</f>
        <v>H9 45mm</v>
      </c>
      <c r="E63" s="22" t="str">
        <f>VLOOKUP($A63,[1]maaltijden!$A$1:$IV$65536,13,FALSE)</f>
        <v>H10X8</v>
      </c>
      <c r="F63" s="20">
        <f t="shared" si="0"/>
        <v>0</v>
      </c>
      <c r="G63" s="20" t="str">
        <f>VLOOKUP($A63,[1]maaltijden!$A$1:$IV$65536,27,FALSE)</f>
        <v>! !</v>
      </c>
      <c r="H63" s="22">
        <f>VLOOKUP($A63,[1]maaltijden!$A$1:$IV$65536,21,FALSE)</f>
        <v>4</v>
      </c>
      <c r="I63" s="22">
        <f>VLOOKUP($A63,[1]maaltijden!$A$1:$IV$65536,21,FALSE)</f>
        <v>4</v>
      </c>
      <c r="J63" s="22">
        <f>VLOOKUP($A63,[1]maaltijden!$A$1:$IV$65536,18,FALSE)</f>
        <v>2</v>
      </c>
      <c r="K63" s="22">
        <f>VLOOKUP($A63,[1]maaltijden!$A$1:$IV$65536,17,FALSE)</f>
        <v>2.5</v>
      </c>
      <c r="L63" s="22">
        <f>VLOOKUP($A63,[1]maaltijden!$A$1:$IV$65536,20,FALSE)</f>
        <v>2200</v>
      </c>
      <c r="M63" s="22">
        <f>VLOOKUP($A63,[1]maaltijden!$A$1:$IV$65536,22,FALSE)</f>
        <v>2200</v>
      </c>
      <c r="N63" s="135"/>
      <c r="O63" s="50"/>
      <c r="P63" s="19">
        <v>1</v>
      </c>
      <c r="Q63" s="20">
        <v>2</v>
      </c>
      <c r="R63" s="21">
        <v>0</v>
      </c>
      <c r="S63" s="19">
        <v>1</v>
      </c>
      <c r="T63" s="20">
        <v>1</v>
      </c>
      <c r="U63" s="19">
        <v>0</v>
      </c>
      <c r="V63" s="20">
        <v>1</v>
      </c>
      <c r="W63" s="20">
        <v>1</v>
      </c>
      <c r="X63" s="20">
        <v>1</v>
      </c>
      <c r="Y63" s="20">
        <v>1</v>
      </c>
      <c r="Z63" s="20">
        <v>1</v>
      </c>
      <c r="AA63" s="20">
        <v>0</v>
      </c>
      <c r="AB63" s="49">
        <v>0</v>
      </c>
      <c r="AC63" s="49">
        <v>0</v>
      </c>
      <c r="AD63" s="49">
        <v>0</v>
      </c>
      <c r="AE63" s="49">
        <v>1</v>
      </c>
      <c r="AF63" s="49">
        <v>0</v>
      </c>
      <c r="AG63" s="161">
        <v>0</v>
      </c>
      <c r="AH63" s="162">
        <v>2</v>
      </c>
      <c r="AI63" s="162">
        <v>1</v>
      </c>
      <c r="AJ63" s="162">
        <v>0</v>
      </c>
      <c r="AK63" s="162">
        <v>0</v>
      </c>
      <c r="AL63" s="163">
        <v>0</v>
      </c>
      <c r="AM63" s="19">
        <v>0</v>
      </c>
      <c r="AN63" s="20" t="str">
        <f>IFERROR(INDEX([2]lijnopstellingsfiche!$AP$1:$AP$65536,MATCH(A63,[2]lijnopstellingsfiche!$AQ$1:$AQ$65536,0)),"")</f>
        <v>-</v>
      </c>
      <c r="AO63" s="20">
        <v>0</v>
      </c>
      <c r="AP63" s="20">
        <v>0</v>
      </c>
      <c r="AQ63" s="20">
        <v>2</v>
      </c>
      <c r="AR63" s="20">
        <v>1</v>
      </c>
      <c r="AS63" s="20">
        <v>0</v>
      </c>
      <c r="AT63" s="20">
        <v>0</v>
      </c>
      <c r="AU63" s="20">
        <v>0</v>
      </c>
      <c r="AV63" s="23">
        <v>0</v>
      </c>
      <c r="AW63" s="108">
        <v>1</v>
      </c>
      <c r="AX63" s="108">
        <v>0</v>
      </c>
      <c r="AY63" s="108">
        <v>1</v>
      </c>
      <c r="AZ63" s="112">
        <v>1</v>
      </c>
      <c r="BA63" s="114">
        <v>0</v>
      </c>
      <c r="BB63" s="20">
        <v>1</v>
      </c>
      <c r="BC63" s="113">
        <v>1</v>
      </c>
      <c r="BD63" s="200" t="str">
        <f>VLOOKUP($A63,'[3]allergenen 6nr'!$A$1:$O$1310,3,FALSE)</f>
        <v>-</v>
      </c>
      <c r="BE63" s="201" t="str">
        <f>VLOOKUP($A63,'[3]allergenen 6nr'!$A$1:$O$1310,4,FALSE)</f>
        <v>+</v>
      </c>
      <c r="BF63" s="201" t="str">
        <f>VLOOKUP($A63,'[3]allergenen 6nr'!$A$1:$O$1310,5,FALSE)</f>
        <v>+</v>
      </c>
      <c r="BG63" s="201" t="str">
        <f>VLOOKUP($A63,'[3]allergenen 6nr'!$A$1:$O$1310,6,FALSE)</f>
        <v>X</v>
      </c>
      <c r="BH63" s="201" t="str">
        <f>VLOOKUP($A63,'[3]allergenen 6nr'!$A$1:$O$1310,7,FALSE)</f>
        <v>+</v>
      </c>
      <c r="BI63" s="201" t="str">
        <f>VLOOKUP($A63,'[3]allergenen 6nr'!$A$1:$O$1310,8,FALSE)</f>
        <v>X</v>
      </c>
      <c r="BJ63" s="201" t="str">
        <f>VLOOKUP($A63,'[3]allergenen 6nr'!$A$1:$O$1310,9,FALSE)</f>
        <v>-</v>
      </c>
      <c r="BK63" s="201" t="str">
        <f>VLOOKUP($A63,'[3]allergenen 6nr'!$A$1:$O$1310,10,FALSE)</f>
        <v>-</v>
      </c>
      <c r="BL63" s="201" t="str">
        <f>VLOOKUP($A63,'[3]allergenen 6nr'!$A$1:$O$1310,11,FALSE)</f>
        <v>-</v>
      </c>
      <c r="BM63" s="201" t="str">
        <f>VLOOKUP($A63,'[3]allergenen 6nr'!$A$1:$O$1310,12,FALSE)</f>
        <v>-</v>
      </c>
      <c r="BN63" s="201" t="str">
        <f>VLOOKUP($A63,'[3]allergenen 6nr'!$A$1:$O$1310,13,FALSE)</f>
        <v>X</v>
      </c>
      <c r="BO63" s="201" t="str">
        <f>VLOOKUP($A63,'[3]allergenen 6nr'!$A$1:$O$1310,14,FALSE)</f>
        <v>-</v>
      </c>
      <c r="BP63" s="202" t="str">
        <f>VLOOKUP($A63,'[3]allergenen 6nr'!$A$1:$O$1310,15,FALSE)</f>
        <v>-</v>
      </c>
    </row>
    <row r="64" spans="1:68" x14ac:dyDescent="0.2">
      <c r="A64" s="89">
        <v>63293000</v>
      </c>
      <c r="B64" s="53" t="str">
        <f>VLOOKUP($A64,[1]maaltijden!$A$1:$IV$65536,4,FALSE)</f>
        <v>BOF FR LASAGNE ZALM ASC PREI 800G</v>
      </c>
      <c r="C64" s="46" t="str">
        <f>VLOOKUP($A64,[1]maaltijden!$A$1:$IV$65536,7,FALSE)</f>
        <v>AR 1150-8</v>
      </c>
      <c r="D64" s="22" t="str">
        <f>VLOOKUP($A64,[1]maaltijden!$A$1:$IV$65536,10,FALSE)</f>
        <v>H9 45mm</v>
      </c>
      <c r="E64" s="22" t="str">
        <f>VLOOKUP($A64,[1]maaltijden!$A$1:$IV$65536,13,FALSE)</f>
        <v>H10X8</v>
      </c>
      <c r="F64" s="20">
        <f t="shared" si="0"/>
        <v>0</v>
      </c>
      <c r="G64" s="20" t="str">
        <f>VLOOKUP($A64,[1]maaltijden!$A$1:$IV$65536,27,FALSE)</f>
        <v>! ! ! !</v>
      </c>
      <c r="H64" s="22">
        <f>VLOOKUP($A64,[1]maaltijden!$A$1:$IV$65536,21,FALSE)</f>
        <v>6</v>
      </c>
      <c r="I64" s="22">
        <f>VLOOKUP($A64,[1]maaltijden!$A$1:$IV$65536,21,FALSE)</f>
        <v>6</v>
      </c>
      <c r="J64" s="22">
        <f>VLOOKUP($A64,[1]maaltijden!$A$1:$IV$65536,18,FALSE)</f>
        <v>2</v>
      </c>
      <c r="K64" s="22">
        <f>VLOOKUP($A64,[1]maaltijden!$A$1:$IV$65536,17,FALSE)</f>
        <v>3</v>
      </c>
      <c r="L64" s="22">
        <f>VLOOKUP($A64,[1]maaltijden!$A$1:$IV$65536,20,FALSE)</f>
        <v>1750</v>
      </c>
      <c r="M64" s="22">
        <f>VLOOKUP($A64,[1]maaltijden!$A$1:$IV$65536,22,FALSE)</f>
        <v>1750</v>
      </c>
      <c r="N64" s="135"/>
      <c r="O64" s="50"/>
      <c r="P64" s="19">
        <v>1</v>
      </c>
      <c r="Q64" s="20">
        <v>2</v>
      </c>
      <c r="R64" s="21">
        <v>0</v>
      </c>
      <c r="S64" s="19">
        <v>1</v>
      </c>
      <c r="T64" s="20">
        <v>1</v>
      </c>
      <c r="U64" s="19">
        <v>1</v>
      </c>
      <c r="V64" s="20">
        <v>1</v>
      </c>
      <c r="W64" s="20">
        <v>1</v>
      </c>
      <c r="X64" s="20">
        <v>1</v>
      </c>
      <c r="Y64" s="20">
        <v>1</v>
      </c>
      <c r="Z64" s="20">
        <v>0</v>
      </c>
      <c r="AA64" s="20">
        <v>0</v>
      </c>
      <c r="AB64" s="49">
        <v>1</v>
      </c>
      <c r="AC64" s="49">
        <v>0</v>
      </c>
      <c r="AD64" s="49">
        <v>0</v>
      </c>
      <c r="AE64" s="49">
        <v>1</v>
      </c>
      <c r="AF64" s="49">
        <v>1</v>
      </c>
      <c r="AG64" s="161">
        <v>0</v>
      </c>
      <c r="AH64" s="162">
        <v>1</v>
      </c>
      <c r="AI64" s="162">
        <v>1</v>
      </c>
      <c r="AJ64" s="162">
        <v>0</v>
      </c>
      <c r="AK64" s="162">
        <v>0</v>
      </c>
      <c r="AL64" s="163">
        <v>0</v>
      </c>
      <c r="AM64" s="19">
        <v>0</v>
      </c>
      <c r="AN64" s="20" t="str">
        <f>IFERROR(INDEX([2]lijnopstellingsfiche!$AP$1:$AP$65536,MATCH(A64,[2]lijnopstellingsfiche!$AQ$1:$AQ$65536,0)),"")</f>
        <v>-</v>
      </c>
      <c r="AO64" s="20">
        <v>0</v>
      </c>
      <c r="AP64" s="20">
        <v>1</v>
      </c>
      <c r="AQ64" s="20">
        <v>5</v>
      </c>
      <c r="AR64" s="20">
        <v>0</v>
      </c>
      <c r="AS64" s="20">
        <v>0</v>
      </c>
      <c r="AT64" s="20">
        <v>0</v>
      </c>
      <c r="AU64" s="20">
        <v>0</v>
      </c>
      <c r="AV64" s="23">
        <v>0</v>
      </c>
      <c r="AW64" s="108">
        <v>1</v>
      </c>
      <c r="AX64" s="108">
        <v>0</v>
      </c>
      <c r="AY64" s="108">
        <v>1</v>
      </c>
      <c r="AZ64" s="112">
        <v>1</v>
      </c>
      <c r="BA64" s="114">
        <v>0</v>
      </c>
      <c r="BB64" s="20">
        <v>1</v>
      </c>
      <c r="BC64" s="113">
        <v>1</v>
      </c>
      <c r="BD64" s="200" t="str">
        <f>VLOOKUP($A64,'[3]allergenen 6nr'!$A$1:$O$1310,3,FALSE)</f>
        <v>-</v>
      </c>
      <c r="BE64" s="201" t="str">
        <f>VLOOKUP($A64,'[3]allergenen 6nr'!$A$1:$O$1310,4,FALSE)</f>
        <v>+</v>
      </c>
      <c r="BF64" s="201" t="str">
        <f>VLOOKUP($A64,'[3]allergenen 6nr'!$A$1:$O$1310,5,FALSE)</f>
        <v>+</v>
      </c>
      <c r="BG64" s="201" t="str">
        <f>VLOOKUP($A64,'[3]allergenen 6nr'!$A$1:$O$1310,6,FALSE)</f>
        <v>X</v>
      </c>
      <c r="BH64" s="201" t="str">
        <f>VLOOKUP($A64,'[3]allergenen 6nr'!$A$1:$O$1310,7,FALSE)</f>
        <v>+</v>
      </c>
      <c r="BI64" s="201" t="str">
        <f>VLOOKUP($A64,'[3]allergenen 6nr'!$A$1:$O$1310,8,FALSE)</f>
        <v>X</v>
      </c>
      <c r="BJ64" s="201" t="str">
        <f>VLOOKUP($A64,'[3]allergenen 6nr'!$A$1:$O$1310,9,FALSE)</f>
        <v>-</v>
      </c>
      <c r="BK64" s="201" t="str">
        <f>VLOOKUP($A64,'[3]allergenen 6nr'!$A$1:$O$1310,10,FALSE)</f>
        <v>X</v>
      </c>
      <c r="BL64" s="201" t="str">
        <f>VLOOKUP($A64,'[3]allergenen 6nr'!$A$1:$O$1310,11,FALSE)</f>
        <v>+</v>
      </c>
      <c r="BM64" s="201" t="str">
        <f>VLOOKUP($A64,'[3]allergenen 6nr'!$A$1:$O$1310,12,FALSE)</f>
        <v>-</v>
      </c>
      <c r="BN64" s="201" t="str">
        <f>VLOOKUP($A64,'[3]allergenen 6nr'!$A$1:$O$1310,13,FALSE)</f>
        <v>X</v>
      </c>
      <c r="BO64" s="201" t="str">
        <f>VLOOKUP($A64,'[3]allergenen 6nr'!$A$1:$O$1310,14,FALSE)</f>
        <v>+</v>
      </c>
      <c r="BP64" s="202" t="str">
        <f>VLOOKUP($A64,'[3]allergenen 6nr'!$A$1:$O$1310,15,FALSE)</f>
        <v>X</v>
      </c>
    </row>
    <row r="65" spans="1:68" x14ac:dyDescent="0.2">
      <c r="A65" s="89">
        <v>63293100</v>
      </c>
      <c r="B65" s="53" t="str">
        <f>VLOOKUP($A65,[1]maaltijden!$A$1:$IV$65536,4,FALSE)</f>
        <v>BOF FR TARTIFLETTE 800G</v>
      </c>
      <c r="C65" s="46" t="str">
        <f>VLOOKUP($A65,[1]maaltijden!$A$1:$IV$65536,7,FALSE)</f>
        <v>AR 1150-8</v>
      </c>
      <c r="D65" s="22" t="str">
        <f>VLOOKUP($A65,[1]maaltijden!$A$1:$IV$65536,10,FALSE)</f>
        <v>H9 NEW</v>
      </c>
      <c r="E65" s="22" t="str">
        <f>VLOOKUP($A65,[1]maaltijden!$A$1:$IV$65536,13,FALSE)</f>
        <v>H10X8</v>
      </c>
      <c r="F65" s="20">
        <f t="shared" si="0"/>
        <v>0</v>
      </c>
      <c r="G65" s="20" t="str">
        <f>VLOOKUP($A65,[1]maaltijden!$A$1:$IV$65536,27,FALSE)</f>
        <v>! !</v>
      </c>
      <c r="H65" s="22">
        <f>VLOOKUP($A65,[1]maaltijden!$A$1:$IV$65536,21,FALSE)</f>
        <v>4</v>
      </c>
      <c r="I65" s="22">
        <f>VLOOKUP($A65,[1]maaltijden!$A$1:$IV$65536,21,FALSE)</f>
        <v>4</v>
      </c>
      <c r="J65" s="22">
        <f>VLOOKUP($A65,[1]maaltijden!$A$1:$IV$65536,18,FALSE)</f>
        <v>2</v>
      </c>
      <c r="K65" s="22">
        <f>VLOOKUP($A65,[1]maaltijden!$A$1:$IV$65536,17,FALSE)</f>
        <v>1</v>
      </c>
      <c r="L65" s="22">
        <f>VLOOKUP($A65,[1]maaltijden!$A$1:$IV$65536,20,FALSE)</f>
        <v>1750</v>
      </c>
      <c r="M65" s="22">
        <f>VLOOKUP($A65,[1]maaltijden!$A$1:$IV$65536,22,FALSE)</f>
        <v>1750</v>
      </c>
      <c r="N65" s="135"/>
      <c r="O65" s="50"/>
      <c r="P65" s="19">
        <v>1</v>
      </c>
      <c r="Q65" s="20">
        <v>2</v>
      </c>
      <c r="R65" s="21">
        <v>0</v>
      </c>
      <c r="S65" s="19">
        <v>1</v>
      </c>
      <c r="T65" s="20">
        <v>1</v>
      </c>
      <c r="U65" s="19">
        <v>1</v>
      </c>
      <c r="V65" s="20">
        <v>1</v>
      </c>
      <c r="W65" s="20">
        <v>1</v>
      </c>
      <c r="X65" s="20">
        <v>1</v>
      </c>
      <c r="Y65" s="20">
        <v>1</v>
      </c>
      <c r="Z65" s="20">
        <v>0</v>
      </c>
      <c r="AA65" s="20">
        <v>0</v>
      </c>
      <c r="AB65" s="49">
        <v>0</v>
      </c>
      <c r="AC65" s="49">
        <v>0</v>
      </c>
      <c r="AD65" s="49">
        <v>0</v>
      </c>
      <c r="AE65" s="49">
        <v>1</v>
      </c>
      <c r="AF65" s="49">
        <v>0</v>
      </c>
      <c r="AG65" s="161">
        <v>0</v>
      </c>
      <c r="AH65" s="162">
        <v>1</v>
      </c>
      <c r="AI65" s="162">
        <v>0</v>
      </c>
      <c r="AJ65" s="162">
        <v>0</v>
      </c>
      <c r="AK65" s="162">
        <v>0</v>
      </c>
      <c r="AL65" s="163">
        <v>0</v>
      </c>
      <c r="AM65" s="19">
        <v>0</v>
      </c>
      <c r="AN65" s="20">
        <f>IFERROR(INDEX([2]lijnopstellingsfiche!$AP$1:$AP$65536,MATCH(A65,[2]lijnopstellingsfiche!$AQ$1:$AQ$65536,0)),"")</f>
        <v>1</v>
      </c>
      <c r="AO65" s="20">
        <v>0</v>
      </c>
      <c r="AP65" s="20">
        <v>0</v>
      </c>
      <c r="AQ65" s="20">
        <v>2</v>
      </c>
      <c r="AR65" s="20">
        <v>0</v>
      </c>
      <c r="AS65" s="20">
        <v>1</v>
      </c>
      <c r="AT65" s="20">
        <v>0</v>
      </c>
      <c r="AU65" s="20">
        <v>0</v>
      </c>
      <c r="AV65" s="23">
        <v>0</v>
      </c>
      <c r="AW65" s="108">
        <v>1</v>
      </c>
      <c r="AX65" s="108">
        <v>0</v>
      </c>
      <c r="AY65" s="108">
        <v>1</v>
      </c>
      <c r="AZ65" s="112">
        <v>1</v>
      </c>
      <c r="BA65" s="114">
        <v>0</v>
      </c>
      <c r="BB65" s="20">
        <v>1</v>
      </c>
      <c r="BC65" s="113">
        <v>1</v>
      </c>
      <c r="BD65" s="200" t="str">
        <f>VLOOKUP($A65,'[3]allergenen 6nr'!$A$1:$O$1310,3,FALSE)</f>
        <v>-</v>
      </c>
      <c r="BE65" s="201" t="str">
        <f>VLOOKUP($A65,'[3]allergenen 6nr'!$A$1:$O$1310,4,FALSE)</f>
        <v>-</v>
      </c>
      <c r="BF65" s="201" t="str">
        <f>VLOOKUP($A65,'[3]allergenen 6nr'!$A$1:$O$1310,5,FALSE)</f>
        <v>-</v>
      </c>
      <c r="BG65" s="201" t="str">
        <f>VLOOKUP($A65,'[3]allergenen 6nr'!$A$1:$O$1310,6,FALSE)</f>
        <v>-</v>
      </c>
      <c r="BH65" s="201" t="str">
        <f>VLOOKUP($A65,'[3]allergenen 6nr'!$A$1:$O$1310,7,FALSE)</f>
        <v>+</v>
      </c>
      <c r="BI65" s="201" t="str">
        <f>VLOOKUP($A65,'[3]allergenen 6nr'!$A$1:$O$1310,8,FALSE)</f>
        <v>-</v>
      </c>
      <c r="BJ65" s="201" t="str">
        <f>VLOOKUP($A65,'[3]allergenen 6nr'!$A$1:$O$1310,9,FALSE)</f>
        <v>-</v>
      </c>
      <c r="BK65" s="201" t="str">
        <f>VLOOKUP($A65,'[3]allergenen 6nr'!$A$1:$O$1310,10,FALSE)</f>
        <v>-</v>
      </c>
      <c r="BL65" s="201" t="str">
        <f>VLOOKUP($A65,'[3]allergenen 6nr'!$A$1:$O$1310,11,FALSE)</f>
        <v>-</v>
      </c>
      <c r="BM65" s="201" t="str">
        <f>VLOOKUP($A65,'[3]allergenen 6nr'!$A$1:$O$1310,12,FALSE)</f>
        <v>-</v>
      </c>
      <c r="BN65" s="201" t="str">
        <f>VLOOKUP($A65,'[3]allergenen 6nr'!$A$1:$O$1310,13,FALSE)</f>
        <v>-</v>
      </c>
      <c r="BO65" s="201" t="str">
        <f>VLOOKUP($A65,'[3]allergenen 6nr'!$A$1:$O$1310,14,FALSE)</f>
        <v>X</v>
      </c>
      <c r="BP65" s="202" t="str">
        <f>VLOOKUP($A65,'[3]allergenen 6nr'!$A$1:$O$1310,15,FALSE)</f>
        <v>-</v>
      </c>
    </row>
    <row r="66" spans="1:68" x14ac:dyDescent="0.2">
      <c r="A66" s="89">
        <v>63293300</v>
      </c>
      <c r="B66" s="53" t="str">
        <f>VLOOKUP($A66,[1]maaltijden!$A$1:$IV$65536,4,FALSE)</f>
        <v>BOF FR VARKENSTOOFVLEES BIERSAUS PUREE 750G</v>
      </c>
      <c r="C66" s="46" t="str">
        <f>VLOOKUP($A66,[1]maaltijden!$A$1:$IV$65536,7,FALSE)</f>
        <v>AR 1150-8</v>
      </c>
      <c r="D66" s="20" t="str">
        <f>VLOOKUP($A66,[1]maaltijden!$A$1:$IV$65536,10,FALSE)</f>
        <v>H9 NEW</v>
      </c>
      <c r="E66" s="22" t="str">
        <f>VLOOKUP($A66,[1]maaltijden!$A$1:$IV$65536,13,FALSE)</f>
        <v>H10X8</v>
      </c>
      <c r="F66" s="20">
        <f t="shared" si="0"/>
        <v>0</v>
      </c>
      <c r="G66" s="20" t="str">
        <f>VLOOKUP($A66,[1]maaltijden!$A$1:$IV$65536,27,FALSE)</f>
        <v>! ! !</v>
      </c>
      <c r="H66" s="22">
        <f>VLOOKUP($A66,[1]maaltijden!$A$1:$IV$65536,21,FALSE)</f>
        <v>6</v>
      </c>
      <c r="I66" s="22">
        <f>VLOOKUP($A66,[1]maaltijden!$A$1:$IV$65536,21,FALSE)</f>
        <v>6</v>
      </c>
      <c r="J66" s="22">
        <f>VLOOKUP($A66,[1]maaltijden!$A$1:$IV$65536,18,FALSE)</f>
        <v>2</v>
      </c>
      <c r="K66" s="22">
        <f>VLOOKUP($A66,[1]maaltijden!$A$1:$IV$65536,17,FALSE)</f>
        <v>2</v>
      </c>
      <c r="L66" s="22">
        <f>VLOOKUP($A66,[1]maaltijden!$A$1:$IV$65536,20,FALSE)</f>
        <v>1750</v>
      </c>
      <c r="M66" s="22">
        <f>VLOOKUP($A66,[1]maaltijden!$A$1:$IV$65536,22,FALSE)</f>
        <v>1750</v>
      </c>
      <c r="N66" s="135"/>
      <c r="O66" s="50"/>
      <c r="P66" s="19">
        <v>1</v>
      </c>
      <c r="Q66" s="20">
        <v>2</v>
      </c>
      <c r="R66" s="21">
        <v>0</v>
      </c>
      <c r="S66" s="19">
        <v>1</v>
      </c>
      <c r="T66" s="20">
        <v>1</v>
      </c>
      <c r="U66" s="19">
        <v>0</v>
      </c>
      <c r="V66" s="20">
        <v>1</v>
      </c>
      <c r="W66" s="20">
        <v>1</v>
      </c>
      <c r="X66" s="20">
        <v>1</v>
      </c>
      <c r="Y66" s="20">
        <v>1</v>
      </c>
      <c r="Z66" s="20">
        <v>1</v>
      </c>
      <c r="AA66" s="20">
        <v>0</v>
      </c>
      <c r="AB66" s="49">
        <v>0</v>
      </c>
      <c r="AC66" s="49">
        <v>0</v>
      </c>
      <c r="AD66" s="49">
        <v>0</v>
      </c>
      <c r="AE66" s="49">
        <v>1</v>
      </c>
      <c r="AF66" s="49">
        <v>0</v>
      </c>
      <c r="AG66" s="161">
        <v>0</v>
      </c>
      <c r="AH66" s="162">
        <v>2</v>
      </c>
      <c r="AI66" s="162">
        <v>0</v>
      </c>
      <c r="AJ66" s="162">
        <v>0</v>
      </c>
      <c r="AK66" s="178">
        <v>0</v>
      </c>
      <c r="AL66" s="163">
        <v>0</v>
      </c>
      <c r="AM66" s="19">
        <v>0</v>
      </c>
      <c r="AN66" s="20">
        <f>IFERROR(INDEX([2]lijnopstellingsfiche!$AP$1:$AP$65536,MATCH(A66,[2]lijnopstellingsfiche!$AQ$1:$AQ$65536,0)),"")</f>
        <v>5</v>
      </c>
      <c r="AO66" s="20">
        <v>0</v>
      </c>
      <c r="AP66" s="20">
        <v>0</v>
      </c>
      <c r="AQ66" s="20">
        <v>2</v>
      </c>
      <c r="AR66" s="20">
        <v>1</v>
      </c>
      <c r="AS66" s="20">
        <v>0</v>
      </c>
      <c r="AT66" s="20">
        <v>0</v>
      </c>
      <c r="AU66" s="20">
        <v>0</v>
      </c>
      <c r="AV66" s="23">
        <v>0</v>
      </c>
      <c r="AW66" s="108">
        <v>1</v>
      </c>
      <c r="AX66" s="108">
        <v>0</v>
      </c>
      <c r="AY66" s="108">
        <v>1</v>
      </c>
      <c r="AZ66" s="112">
        <v>1</v>
      </c>
      <c r="BA66" s="114">
        <v>0</v>
      </c>
      <c r="BB66" s="20">
        <v>1</v>
      </c>
      <c r="BC66" s="113">
        <v>1</v>
      </c>
      <c r="BD66" s="200" t="str">
        <f>VLOOKUP($A66,'[3]allergenen 6nr'!$A$1:$O$1310,3,FALSE)</f>
        <v>-</v>
      </c>
      <c r="BE66" s="201" t="str">
        <f>VLOOKUP($A66,'[3]allergenen 6nr'!$A$1:$O$1310,4,FALSE)</f>
        <v>+</v>
      </c>
      <c r="BF66" s="201" t="str">
        <f>VLOOKUP($A66,'[3]allergenen 6nr'!$A$1:$O$1310,5,FALSE)</f>
        <v>+</v>
      </c>
      <c r="BG66" s="201" t="str">
        <f>VLOOKUP($A66,'[3]allergenen 6nr'!$A$1:$O$1310,6,FALSE)</f>
        <v>X</v>
      </c>
      <c r="BH66" s="201" t="str">
        <f>VLOOKUP($A66,'[3]allergenen 6nr'!$A$1:$O$1310,7,FALSE)</f>
        <v>+</v>
      </c>
      <c r="BI66" s="201" t="str">
        <f>VLOOKUP($A66,'[3]allergenen 6nr'!$A$1:$O$1310,8,FALSE)</f>
        <v>+</v>
      </c>
      <c r="BJ66" s="201" t="str">
        <f>VLOOKUP($A66,'[3]allergenen 6nr'!$A$1:$O$1310,9,FALSE)</f>
        <v>-</v>
      </c>
      <c r="BK66" s="201" t="str">
        <f>VLOOKUP($A66,'[3]allergenen 6nr'!$A$1:$O$1310,10,FALSE)</f>
        <v>-</v>
      </c>
      <c r="BL66" s="201" t="str">
        <f>VLOOKUP($A66,'[3]allergenen 6nr'!$A$1:$O$1310,11,FALSE)</f>
        <v>-</v>
      </c>
      <c r="BM66" s="201" t="str">
        <f>VLOOKUP($A66,'[3]allergenen 6nr'!$A$1:$O$1310,12,FALSE)</f>
        <v>-</v>
      </c>
      <c r="BN66" s="201" t="str">
        <f>VLOOKUP($A66,'[3]allergenen 6nr'!$A$1:$O$1310,13,FALSE)</f>
        <v>X</v>
      </c>
      <c r="BO66" s="201" t="str">
        <f>VLOOKUP($A66,'[3]allergenen 6nr'!$A$1:$O$1310,14,FALSE)</f>
        <v>-</v>
      </c>
      <c r="BP66" s="202" t="str">
        <f>VLOOKUP($A66,'[3]allergenen 6nr'!$A$1:$O$1310,15,FALSE)</f>
        <v>-</v>
      </c>
    </row>
    <row r="67" spans="1:68" x14ac:dyDescent="0.2">
      <c r="A67" s="126">
        <v>63293500</v>
      </c>
      <c r="B67" s="53" t="str">
        <f>VLOOKUP($A67,[1]maaltijden!$A$1:$IV$65536,4,FALSE)</f>
        <v>BOF FR KIP ROUGAIL LINZEN RIJST 750G</v>
      </c>
      <c r="C67" s="46" t="str">
        <f>VLOOKUP($A67,[1]maaltijden!$A$1:$IV$65536,7,FALSE)</f>
        <v>AR 1150-8</v>
      </c>
      <c r="D67" s="20" t="str">
        <f>VLOOKUP($A67,[1]maaltijden!$A$1:$IV$65536,10,FALSE)</f>
        <v>H9 45mm</v>
      </c>
      <c r="E67" s="22" t="str">
        <f>VLOOKUP($A67,[1]maaltijden!$A$1:$IV$65536,13,FALSE)</f>
        <v>H10X8</v>
      </c>
      <c r="F67" s="20">
        <f t="shared" ref="F67:F130" si="1">IF($D67="Bedrukte folie 470x300",1,0)</f>
        <v>0</v>
      </c>
      <c r="G67" s="20" t="str">
        <f>VLOOKUP($A67,[1]maaltijden!$A$1:$IV$65536,27,FALSE)</f>
        <v>-</v>
      </c>
      <c r="H67" s="22">
        <f>VLOOKUP($A67,[1]maaltijden!$A$1:$IV$65536,21,FALSE)</f>
        <v>5</v>
      </c>
      <c r="I67" s="22">
        <f>VLOOKUP($A67,[1]maaltijden!$A$1:$IV$65536,21,FALSE)</f>
        <v>5</v>
      </c>
      <c r="J67" s="22">
        <f>VLOOKUP($A67,[1]maaltijden!$A$1:$IV$65536,18,FALSE)</f>
        <v>2</v>
      </c>
      <c r="K67" s="22">
        <f>VLOOKUP($A67,[1]maaltijden!$A$1:$IV$65536,17,FALSE)</f>
        <v>2</v>
      </c>
      <c r="L67" s="22">
        <f>VLOOKUP($A67,[1]maaltijden!$A$1:$IV$65536,20,FALSE)</f>
        <v>1750</v>
      </c>
      <c r="M67" s="22">
        <f>VLOOKUP($A67,[1]maaltijden!$A$1:$IV$65536,22,FALSE)</f>
        <v>1750</v>
      </c>
      <c r="N67" s="135"/>
      <c r="O67" s="50"/>
      <c r="P67" s="19">
        <v>1</v>
      </c>
      <c r="Q67" s="20">
        <v>2</v>
      </c>
      <c r="R67" s="21">
        <v>0</v>
      </c>
      <c r="S67" s="19">
        <v>1</v>
      </c>
      <c r="T67" s="20">
        <v>1</v>
      </c>
      <c r="U67" s="19">
        <v>0</v>
      </c>
      <c r="V67" s="20">
        <v>1</v>
      </c>
      <c r="W67" s="20">
        <v>1</v>
      </c>
      <c r="X67" s="20">
        <v>1</v>
      </c>
      <c r="Y67" s="20">
        <v>1</v>
      </c>
      <c r="Z67" s="20">
        <v>1</v>
      </c>
      <c r="AA67" s="20">
        <v>0</v>
      </c>
      <c r="AB67" s="49">
        <v>0</v>
      </c>
      <c r="AC67" s="49">
        <v>0</v>
      </c>
      <c r="AD67" s="49">
        <v>0</v>
      </c>
      <c r="AE67" s="49">
        <v>1</v>
      </c>
      <c r="AF67" s="49">
        <v>0</v>
      </c>
      <c r="AG67" s="19">
        <v>1</v>
      </c>
      <c r="AH67" s="20"/>
      <c r="AI67" s="20"/>
      <c r="AJ67" s="20"/>
      <c r="AL67" s="21"/>
      <c r="AM67" s="19">
        <v>1</v>
      </c>
      <c r="AN67" s="20">
        <f>IFERROR(INDEX([2]lijnopstellingsfiche!$AP$1:$AP$65536,MATCH(A67,[2]lijnopstellingsfiche!$AQ$1:$AQ$65536,0)),"")</f>
        <v>1</v>
      </c>
      <c r="AO67" s="20">
        <v>0</v>
      </c>
      <c r="AP67" s="20">
        <v>0</v>
      </c>
      <c r="AQ67" s="20">
        <v>4</v>
      </c>
      <c r="AR67" s="20">
        <v>0</v>
      </c>
      <c r="AS67" s="20">
        <v>1</v>
      </c>
      <c r="AT67" s="20">
        <v>0</v>
      </c>
      <c r="AU67" s="20">
        <v>0</v>
      </c>
      <c r="AV67" s="23">
        <v>0</v>
      </c>
      <c r="AW67" s="108">
        <v>1</v>
      </c>
      <c r="AX67" s="108">
        <v>0</v>
      </c>
      <c r="AY67" s="108">
        <v>1</v>
      </c>
      <c r="AZ67" s="112">
        <v>1</v>
      </c>
      <c r="BA67" s="114">
        <v>0</v>
      </c>
      <c r="BB67" s="20">
        <v>1</v>
      </c>
      <c r="BC67" s="113">
        <v>1</v>
      </c>
      <c r="BD67" s="200"/>
      <c r="BE67" s="201"/>
      <c r="BF67" s="201"/>
      <c r="BG67" s="201"/>
      <c r="BH67" s="201"/>
      <c r="BI67" s="201"/>
      <c r="BJ67" s="201"/>
      <c r="BK67" s="201"/>
      <c r="BL67" s="201"/>
      <c r="BM67" s="201"/>
      <c r="BN67" s="201"/>
      <c r="BO67" s="201"/>
      <c r="BP67" s="202"/>
    </row>
    <row r="68" spans="1:68" x14ac:dyDescent="0.2">
      <c r="A68" s="89">
        <v>63295100</v>
      </c>
      <c r="B68" s="53" t="str">
        <f>VLOOKUP($A68,[1]maaltijden!$A$1:$IV$65536,4,FALSE)</f>
        <v>BOF DE VA STOOFVLEES CHAMPIGN SAUS GRATIN WORTEL 450G</v>
      </c>
      <c r="C68" s="46" t="str">
        <f>VLOOKUP($A68,[1]maaltijden!$A$1:$IV$65536,7,FALSE)</f>
        <v>C2227-3R WIT</v>
      </c>
      <c r="D68" s="22" t="str">
        <f>VLOOKUP($A68,[1]maaltijden!$A$1:$IV$65536,10,FALSE)</f>
        <v>H9 45mm</v>
      </c>
      <c r="E68" s="22" t="str">
        <f>VLOOKUP($A68,[1]maaltijden!$A$1:$IV$65536,13,FALSE)</f>
        <v>H10X8</v>
      </c>
      <c r="F68" s="20">
        <f t="shared" si="1"/>
        <v>0</v>
      </c>
      <c r="G68" s="20" t="str">
        <f>VLOOKUP($A68,[1]maaltijden!$A$1:$IV$65536,27,FALSE)</f>
        <v>! !</v>
      </c>
      <c r="H68" s="22">
        <f>VLOOKUP($A68,[1]maaltijden!$A$1:$IV$65536,21,FALSE)</f>
        <v>11</v>
      </c>
      <c r="I68" s="22">
        <f>VLOOKUP($A68,[1]maaltijden!$A$1:$IV$65536,21,FALSE)</f>
        <v>11</v>
      </c>
      <c r="J68" s="22">
        <f>VLOOKUP($A68,[1]maaltijden!$A$1:$IV$65536,18,FALSE)</f>
        <v>2</v>
      </c>
      <c r="K68" s="22">
        <f>VLOOKUP($A68,[1]maaltijden!$A$1:$IV$65536,17,FALSE)</f>
        <v>3</v>
      </c>
      <c r="L68" s="22">
        <f>VLOOKUP($A68,[1]maaltijden!$A$1:$IV$65536,20,FALSE)</f>
        <v>2200</v>
      </c>
      <c r="M68" s="22">
        <f>VLOOKUP($A68,[1]maaltijden!$A$1:$IV$65536,22,FALSE)</f>
        <v>2200</v>
      </c>
      <c r="N68" s="135"/>
      <c r="O68" s="50"/>
      <c r="P68" s="19">
        <v>1</v>
      </c>
      <c r="Q68" s="20">
        <v>2</v>
      </c>
      <c r="R68" s="21">
        <v>0</v>
      </c>
      <c r="S68" s="19">
        <v>1</v>
      </c>
      <c r="T68" s="20">
        <v>1</v>
      </c>
      <c r="U68" s="19">
        <v>0</v>
      </c>
      <c r="V68" s="20">
        <v>1</v>
      </c>
      <c r="W68" s="20">
        <v>1</v>
      </c>
      <c r="X68" s="20">
        <v>1</v>
      </c>
      <c r="Y68" s="20">
        <v>1</v>
      </c>
      <c r="Z68" s="20">
        <v>1</v>
      </c>
      <c r="AA68" s="20">
        <v>0</v>
      </c>
      <c r="AB68" s="49">
        <v>0</v>
      </c>
      <c r="AC68" s="49">
        <v>0</v>
      </c>
      <c r="AD68" s="49">
        <v>0</v>
      </c>
      <c r="AE68" s="49">
        <v>1</v>
      </c>
      <c r="AF68" s="49">
        <v>0</v>
      </c>
      <c r="AG68" s="161">
        <v>0</v>
      </c>
      <c r="AH68" s="162">
        <v>2</v>
      </c>
      <c r="AI68" s="162">
        <v>1</v>
      </c>
      <c r="AJ68" s="162">
        <v>0</v>
      </c>
      <c r="AK68" s="162">
        <v>0</v>
      </c>
      <c r="AL68" s="163">
        <v>0</v>
      </c>
      <c r="AM68" s="19">
        <v>0</v>
      </c>
      <c r="AN68" s="20">
        <f>IFERROR(INDEX([2]lijnopstellingsfiche!$AP$1:$AP$65536,MATCH(A68,[2]lijnopstellingsfiche!$AQ$1:$AQ$65536,0)),"")</f>
        <v>5</v>
      </c>
      <c r="AO68" s="20">
        <v>0</v>
      </c>
      <c r="AP68" s="20">
        <v>0</v>
      </c>
      <c r="AQ68" s="20">
        <v>2</v>
      </c>
      <c r="AR68" s="20">
        <v>0</v>
      </c>
      <c r="AS68" s="20">
        <v>0</v>
      </c>
      <c r="AT68" s="20">
        <v>0</v>
      </c>
      <c r="AU68" s="20">
        <v>0</v>
      </c>
      <c r="AV68" s="23">
        <v>0</v>
      </c>
      <c r="AW68" s="108">
        <v>1</v>
      </c>
      <c r="AX68" s="108">
        <v>0</v>
      </c>
      <c r="AY68" s="108">
        <v>1</v>
      </c>
      <c r="AZ68" s="112">
        <v>1</v>
      </c>
      <c r="BA68" s="114">
        <v>0</v>
      </c>
      <c r="BB68" s="20">
        <v>1</v>
      </c>
      <c r="BC68" s="113">
        <v>1</v>
      </c>
      <c r="BD68" s="200" t="str">
        <f>VLOOKUP($A68,'[3]allergenen 6nr'!$A$1:$O$1310,3,FALSE)</f>
        <v>-</v>
      </c>
      <c r="BE68" s="201" t="str">
        <f>VLOOKUP($A68,'[3]allergenen 6nr'!$A$1:$O$1310,4,FALSE)</f>
        <v>X</v>
      </c>
      <c r="BF68" s="201" t="str">
        <f>VLOOKUP($A68,'[3]allergenen 6nr'!$A$1:$O$1310,5,FALSE)</f>
        <v>+</v>
      </c>
      <c r="BG68" s="201" t="str">
        <f>VLOOKUP($A68,'[3]allergenen 6nr'!$A$1:$O$1310,6,FALSE)</f>
        <v>X</v>
      </c>
      <c r="BH68" s="201" t="str">
        <f>VLOOKUP($A68,'[3]allergenen 6nr'!$A$1:$O$1310,7,FALSE)</f>
        <v>+</v>
      </c>
      <c r="BI68" s="201" t="str">
        <f>VLOOKUP($A68,'[3]allergenen 6nr'!$A$1:$O$1310,8,FALSE)</f>
        <v>X</v>
      </c>
      <c r="BJ68" s="201" t="str">
        <f>VLOOKUP($A68,'[3]allergenen 6nr'!$A$1:$O$1310,9,FALSE)</f>
        <v>-</v>
      </c>
      <c r="BK68" s="201" t="str">
        <f>VLOOKUP($A68,'[3]allergenen 6nr'!$A$1:$O$1310,10,FALSE)</f>
        <v>-</v>
      </c>
      <c r="BL68" s="201" t="str">
        <f>VLOOKUP($A68,'[3]allergenen 6nr'!$A$1:$O$1310,11,FALSE)</f>
        <v>-</v>
      </c>
      <c r="BM68" s="201" t="str">
        <f>VLOOKUP($A68,'[3]allergenen 6nr'!$A$1:$O$1310,12,FALSE)</f>
        <v>-</v>
      </c>
      <c r="BN68" s="201" t="str">
        <f>VLOOKUP($A68,'[3]allergenen 6nr'!$A$1:$O$1310,13,FALSE)</f>
        <v>X</v>
      </c>
      <c r="BO68" s="201" t="str">
        <f>VLOOKUP($A68,'[3]allergenen 6nr'!$A$1:$O$1310,14,FALSE)</f>
        <v>-</v>
      </c>
      <c r="BP68" s="202" t="str">
        <f>VLOOKUP($A68,'[3]allergenen 6nr'!$A$1:$O$1310,15,FALSE)</f>
        <v>-</v>
      </c>
    </row>
    <row r="69" spans="1:68" x14ac:dyDescent="0.2">
      <c r="A69" s="89">
        <v>63310200</v>
      </c>
      <c r="B69" s="53" t="str">
        <f>VLOOKUP($A69,[1]maaltijden!$A$1:$IV$65536,4,FALSE)</f>
        <v xml:space="preserve">DMH LASAGNE BOLOGNESE MAISON              </v>
      </c>
      <c r="C69" s="46" t="str">
        <f>VLOOKUP($A69,[1]maaltijden!$A$1:$IV$65536,7,FALSE)</f>
        <v>UK-57</v>
      </c>
      <c r="D69" s="22" t="str">
        <f>VLOOKUP($A69,[1]maaltijden!$A$1:$IV$65536,10,FALSE)</f>
        <v>NVT</v>
      </c>
      <c r="E69" s="22" t="str">
        <f>VLOOKUP($A69,[1]maaltijden!$A$1:$IV$65536,13,FALSE)</f>
        <v>DMH X 6</v>
      </c>
      <c r="F69" s="20">
        <f t="shared" si="1"/>
        <v>0</v>
      </c>
      <c r="G69" s="20" t="str">
        <f>VLOOKUP($A69,[1]maaltijden!$A$1:$IV$65536,27,FALSE)</f>
        <v>! ! !</v>
      </c>
      <c r="H69" s="22">
        <f>VLOOKUP($A69,[1]maaltijden!$A$1:$IV$65536,21,FALSE)</f>
        <v>6</v>
      </c>
      <c r="I69" s="22">
        <f>VLOOKUP($A69,[1]maaltijden!$A$1:$IV$65536,21,FALSE)</f>
        <v>6</v>
      </c>
      <c r="J69" s="22">
        <f>VLOOKUP($A69,[1]maaltijden!$A$1:$IV$65536,18,FALSE)</f>
        <v>3</v>
      </c>
      <c r="K69" s="22">
        <f>VLOOKUP($A69,[1]maaltijden!$A$1:$IV$65536,17,FALSE)</f>
        <v>2</v>
      </c>
      <c r="L69" s="22">
        <f>VLOOKUP($A69,[1]maaltijden!$A$1:$IV$65536,20,FALSE)</f>
        <v>2500</v>
      </c>
      <c r="M69" s="22">
        <f>VLOOKUP($A69,[1]maaltijden!$A$1:$IV$65536,22,FALSE)</f>
        <v>2500</v>
      </c>
      <c r="N69" s="135"/>
      <c r="O69" s="50"/>
      <c r="P69" s="19">
        <v>0</v>
      </c>
      <c r="Q69" s="20">
        <v>1</v>
      </c>
      <c r="R69" s="21">
        <v>0</v>
      </c>
      <c r="S69" s="19">
        <v>0</v>
      </c>
      <c r="T69" s="20">
        <v>1</v>
      </c>
      <c r="U69" s="19">
        <v>0</v>
      </c>
      <c r="V69" s="20">
        <v>1</v>
      </c>
      <c r="W69" s="20">
        <v>1</v>
      </c>
      <c r="X69" s="20">
        <v>1</v>
      </c>
      <c r="Y69" s="20">
        <v>1</v>
      </c>
      <c r="Z69" s="20">
        <v>0</v>
      </c>
      <c r="AA69" s="20">
        <v>0</v>
      </c>
      <c r="AB69" s="49">
        <v>1</v>
      </c>
      <c r="AC69" s="49">
        <v>0</v>
      </c>
      <c r="AD69" s="49">
        <v>0</v>
      </c>
      <c r="AE69" s="49">
        <v>1</v>
      </c>
      <c r="AF69" s="49">
        <v>0</v>
      </c>
      <c r="AG69" s="161">
        <v>0</v>
      </c>
      <c r="AH69" s="162">
        <v>2</v>
      </c>
      <c r="AI69" s="162">
        <v>0</v>
      </c>
      <c r="AJ69" s="162">
        <v>0</v>
      </c>
      <c r="AK69" s="162">
        <v>0</v>
      </c>
      <c r="AL69" s="163">
        <v>0</v>
      </c>
      <c r="AM69" s="19">
        <v>0</v>
      </c>
      <c r="AN69" s="20" t="str">
        <f>IFERROR(INDEX([2]lijnopstellingsfiche!$AP$1:$AP$65536,MATCH(A69,[2]lijnopstellingsfiche!$AQ$1:$AQ$65536,0)),"")</f>
        <v>-</v>
      </c>
      <c r="AO69" s="20">
        <v>0</v>
      </c>
      <c r="AP69" s="20">
        <v>1</v>
      </c>
      <c r="AQ69" s="20">
        <v>4</v>
      </c>
      <c r="AR69" s="20">
        <v>1</v>
      </c>
      <c r="AS69" s="20">
        <v>0</v>
      </c>
      <c r="AT69" s="20">
        <v>0</v>
      </c>
      <c r="AU69" s="20">
        <v>0</v>
      </c>
      <c r="AV69" s="23">
        <v>0</v>
      </c>
      <c r="AW69" s="108">
        <v>0</v>
      </c>
      <c r="AX69" s="108">
        <v>0</v>
      </c>
      <c r="AY69" s="108">
        <v>1</v>
      </c>
      <c r="AZ69" s="108">
        <v>0</v>
      </c>
      <c r="BA69" s="114">
        <v>1</v>
      </c>
      <c r="BB69" s="20">
        <v>0</v>
      </c>
      <c r="BC69" s="113">
        <v>0</v>
      </c>
      <c r="BD69" s="200" t="str">
        <f>VLOOKUP($A69,'[3]allergenen 6nr'!$A$1:$O$1310,3,FALSE)</f>
        <v>-</v>
      </c>
      <c r="BE69" s="201" t="str">
        <f>VLOOKUP($A69,'[3]allergenen 6nr'!$A$1:$O$1310,4,FALSE)</f>
        <v>+</v>
      </c>
      <c r="BF69" s="201" t="str">
        <f>VLOOKUP($A69,'[3]allergenen 6nr'!$A$1:$O$1310,5,FALSE)</f>
        <v>+</v>
      </c>
      <c r="BG69" s="201" t="str">
        <f>VLOOKUP($A69,'[3]allergenen 6nr'!$A$1:$O$1310,6,FALSE)</f>
        <v>-</v>
      </c>
      <c r="BH69" s="201" t="str">
        <f>VLOOKUP($A69,'[3]allergenen 6nr'!$A$1:$O$1310,7,FALSE)</f>
        <v>+</v>
      </c>
      <c r="BI69" s="201" t="str">
        <f>VLOOKUP($A69,'[3]allergenen 6nr'!$A$1:$O$1310,8,FALSE)</f>
        <v>-</v>
      </c>
      <c r="BJ69" s="201" t="str">
        <f>VLOOKUP($A69,'[3]allergenen 6nr'!$A$1:$O$1310,9,FALSE)</f>
        <v>-</v>
      </c>
      <c r="BK69" s="201" t="str">
        <f>VLOOKUP($A69,'[3]allergenen 6nr'!$A$1:$O$1310,10,FALSE)</f>
        <v>-</v>
      </c>
      <c r="BL69" s="201" t="str">
        <f>VLOOKUP($A69,'[3]allergenen 6nr'!$A$1:$O$1310,11,FALSE)</f>
        <v>+</v>
      </c>
      <c r="BM69" s="201" t="str">
        <f>VLOOKUP($A69,'[3]allergenen 6nr'!$A$1:$O$1310,12,FALSE)</f>
        <v>-</v>
      </c>
      <c r="BN69" s="201" t="str">
        <f>VLOOKUP($A69,'[3]allergenen 6nr'!$A$1:$O$1310,13,FALSE)</f>
        <v>-</v>
      </c>
      <c r="BO69" s="201" t="str">
        <f>VLOOKUP($A69,'[3]allergenen 6nr'!$A$1:$O$1310,14,FALSE)</f>
        <v>-</v>
      </c>
      <c r="BP69" s="202" t="str">
        <f>VLOOKUP($A69,'[3]allergenen 6nr'!$A$1:$O$1310,15,FALSE)</f>
        <v>-</v>
      </c>
    </row>
    <row r="70" spans="1:68" x14ac:dyDescent="0.2">
      <c r="A70" s="127">
        <v>63310400</v>
      </c>
      <c r="B70" s="53" t="str">
        <f>VLOOKUP($A70,[1]maaltijden!$A$1:$IV$65536,4,FALSE)</f>
        <v xml:space="preserve">DMH LASAGNE GEGRILDE GROENTEN                    </v>
      </c>
      <c r="C70" s="46" t="str">
        <f>VLOOKUP($A70,[1]maaltijden!$A$1:$IV$65536,7,FALSE)</f>
        <v>UK-57</v>
      </c>
      <c r="D70" s="22" t="str">
        <f>VLOOKUP($A70,[1]maaltijden!$A$1:$IV$65536,10,FALSE)</f>
        <v>NVT</v>
      </c>
      <c r="E70" s="22" t="str">
        <f>VLOOKUP($A70,[1]maaltijden!$A$1:$IV$65536,13,FALSE)</f>
        <v>DMH X 6</v>
      </c>
      <c r="F70" s="20">
        <f t="shared" si="1"/>
        <v>0</v>
      </c>
      <c r="G70" s="20" t="str">
        <f>VLOOKUP($A70,[1]maaltijden!$A$1:$IV$65536,27,FALSE)</f>
        <v>! !</v>
      </c>
      <c r="H70" s="22">
        <f>VLOOKUP($A70,[1]maaltijden!$A$1:$IV$65536,21,FALSE)</f>
        <v>5</v>
      </c>
      <c r="I70" s="22">
        <f>VLOOKUP($A70,[1]maaltijden!$A$1:$IV$65536,21,FALSE)</f>
        <v>5</v>
      </c>
      <c r="J70" s="22">
        <f>VLOOKUP($A70,[1]maaltijden!$A$1:$IV$65536,18,FALSE)</f>
        <v>3</v>
      </c>
      <c r="K70" s="22">
        <f>VLOOKUP($A70,[1]maaltijden!$A$1:$IV$65536,17,FALSE)</f>
        <v>2</v>
      </c>
      <c r="L70" s="22">
        <f>VLOOKUP($A70,[1]maaltijden!$A$1:$IV$65536,20,FALSE)</f>
        <v>2500</v>
      </c>
      <c r="M70" s="22">
        <f>VLOOKUP($A70,[1]maaltijden!$A$1:$IV$65536,22,FALSE)</f>
        <v>2500</v>
      </c>
      <c r="N70" s="135"/>
      <c r="O70" s="50"/>
      <c r="P70" s="19">
        <v>0</v>
      </c>
      <c r="Q70" s="20">
        <v>1</v>
      </c>
      <c r="R70" s="21">
        <v>0</v>
      </c>
      <c r="S70" s="19">
        <v>0</v>
      </c>
      <c r="T70" s="20">
        <v>1</v>
      </c>
      <c r="U70" s="19">
        <v>1</v>
      </c>
      <c r="V70" s="20">
        <v>1</v>
      </c>
      <c r="W70" s="20">
        <v>1</v>
      </c>
      <c r="X70" s="20">
        <v>1</v>
      </c>
      <c r="Y70" s="20">
        <v>1</v>
      </c>
      <c r="Z70" s="20">
        <v>0</v>
      </c>
      <c r="AA70" s="20">
        <v>0</v>
      </c>
      <c r="AB70" s="49">
        <v>1</v>
      </c>
      <c r="AC70" s="49">
        <v>0</v>
      </c>
      <c r="AD70" s="49">
        <v>0</v>
      </c>
      <c r="AE70" s="49">
        <v>1</v>
      </c>
      <c r="AF70" s="49">
        <v>0</v>
      </c>
      <c r="AG70" s="161">
        <v>0</v>
      </c>
      <c r="AH70" s="162">
        <v>2</v>
      </c>
      <c r="AI70" s="162">
        <v>0</v>
      </c>
      <c r="AJ70" s="162">
        <v>0</v>
      </c>
      <c r="AK70" s="162">
        <v>0</v>
      </c>
      <c r="AL70" s="163">
        <v>0</v>
      </c>
      <c r="AM70" s="19">
        <v>0</v>
      </c>
      <c r="AN70" s="20" t="str">
        <f>IFERROR(INDEX([2]lijnopstellingsfiche!$AP$1:$AP$65536,MATCH(A70,[2]lijnopstellingsfiche!$AQ$1:$AQ$65536,0)),"")</f>
        <v>-</v>
      </c>
      <c r="AO70" s="20">
        <v>0</v>
      </c>
      <c r="AP70" s="20">
        <v>1</v>
      </c>
      <c r="AQ70" s="20">
        <v>3</v>
      </c>
      <c r="AR70" s="20">
        <v>1</v>
      </c>
      <c r="AS70" s="20">
        <v>0</v>
      </c>
      <c r="AT70" s="20">
        <v>0</v>
      </c>
      <c r="AU70" s="20">
        <v>0</v>
      </c>
      <c r="AV70" s="23">
        <v>0</v>
      </c>
      <c r="AW70" s="108">
        <v>0</v>
      </c>
      <c r="AX70" s="108">
        <v>0</v>
      </c>
      <c r="AY70" s="108">
        <v>1</v>
      </c>
      <c r="AZ70" s="108">
        <v>0</v>
      </c>
      <c r="BA70" s="114">
        <v>1</v>
      </c>
      <c r="BB70" s="20">
        <v>0</v>
      </c>
      <c r="BC70" s="113">
        <v>0</v>
      </c>
      <c r="BD70" s="200" t="str">
        <f>VLOOKUP($A70,'[3]allergenen 6nr'!$A$1:$O$1310,3,FALSE)</f>
        <v>-</v>
      </c>
      <c r="BE70" s="201" t="str">
        <f>VLOOKUP($A70,'[3]allergenen 6nr'!$A$1:$O$1310,4,FALSE)</f>
        <v>+</v>
      </c>
      <c r="BF70" s="201" t="str">
        <f>VLOOKUP($A70,'[3]allergenen 6nr'!$A$1:$O$1310,5,FALSE)</f>
        <v>+</v>
      </c>
      <c r="BG70" s="201" t="str">
        <f>VLOOKUP($A70,'[3]allergenen 6nr'!$A$1:$O$1310,6,FALSE)</f>
        <v>X</v>
      </c>
      <c r="BH70" s="201" t="str">
        <f>VLOOKUP($A70,'[3]allergenen 6nr'!$A$1:$O$1310,7,FALSE)</f>
        <v>+</v>
      </c>
      <c r="BI70" s="201" t="str">
        <f>VLOOKUP($A70,'[3]allergenen 6nr'!$A$1:$O$1310,8,FALSE)</f>
        <v>X</v>
      </c>
      <c r="BJ70" s="201" t="str">
        <f>VLOOKUP($A70,'[3]allergenen 6nr'!$A$1:$O$1310,9,FALSE)</f>
        <v>-</v>
      </c>
      <c r="BK70" s="201" t="str">
        <f>VLOOKUP($A70,'[3]allergenen 6nr'!$A$1:$O$1310,10,FALSE)</f>
        <v>-</v>
      </c>
      <c r="BL70" s="201" t="str">
        <f>VLOOKUP($A70,'[3]allergenen 6nr'!$A$1:$O$1310,11,FALSE)</f>
        <v>-</v>
      </c>
      <c r="BM70" s="201" t="str">
        <f>VLOOKUP($A70,'[3]allergenen 6nr'!$A$1:$O$1310,12,FALSE)</f>
        <v>-</v>
      </c>
      <c r="BN70" s="201" t="str">
        <f>VLOOKUP($A70,'[3]allergenen 6nr'!$A$1:$O$1310,13,FALSE)</f>
        <v>X</v>
      </c>
      <c r="BO70" s="201" t="str">
        <f>VLOOKUP($A70,'[3]allergenen 6nr'!$A$1:$O$1310,14,FALSE)</f>
        <v>-</v>
      </c>
      <c r="BP70" s="202" t="str">
        <f>VLOOKUP($A70,'[3]allergenen 6nr'!$A$1:$O$1310,15,FALSE)</f>
        <v>-</v>
      </c>
    </row>
    <row r="71" spans="1:68" x14ac:dyDescent="0.2">
      <c r="A71" s="89">
        <v>63310500</v>
      </c>
      <c r="B71" s="53" t="str">
        <f>VLOOKUP($A71,[1]maaltijden!$A$1:$IV$65536,4,FALSE)</f>
        <v>DMH LASAGNE BOLOGNESE HALAL</v>
      </c>
      <c r="C71" s="46" t="str">
        <f>VLOOKUP($A71,[1]maaltijden!$A$1:$IV$65536,7,FALSE)</f>
        <v>UK-57</v>
      </c>
      <c r="D71" s="22" t="str">
        <f>VLOOKUP($A71,[1]maaltijden!$A$1:$IV$65536,10,FALSE)</f>
        <v>NVT</v>
      </c>
      <c r="E71" s="22" t="str">
        <f>VLOOKUP($A71,[1]maaltijden!$A$1:$IV$65536,13,FALSE)</f>
        <v>DMH X 6</v>
      </c>
      <c r="F71" s="20">
        <f t="shared" si="1"/>
        <v>0</v>
      </c>
      <c r="G71" s="20" t="str">
        <f>VLOOKUP($A71,[1]maaltijden!$A$1:$IV$65536,27,FALSE)</f>
        <v>! ! !</v>
      </c>
      <c r="H71" s="22">
        <f>VLOOKUP($A71,[1]maaltijden!$A$1:$IV$65536,21,FALSE)</f>
        <v>6</v>
      </c>
      <c r="I71" s="22">
        <f>VLOOKUP($A71,[1]maaltijden!$A$1:$IV$65536,21,FALSE)</f>
        <v>6</v>
      </c>
      <c r="J71" s="22">
        <f>VLOOKUP($A71,[1]maaltijden!$A$1:$IV$65536,18,FALSE)</f>
        <v>3</v>
      </c>
      <c r="K71" s="22">
        <f>VLOOKUP($A71,[1]maaltijden!$A$1:$IV$65536,17,FALSE)</f>
        <v>2</v>
      </c>
      <c r="L71" s="22">
        <f>VLOOKUP($A71,[1]maaltijden!$A$1:$IV$65536,20,FALSE)</f>
        <v>2500</v>
      </c>
      <c r="M71" s="22">
        <f>VLOOKUP($A71,[1]maaltijden!$A$1:$IV$65536,22,FALSE)</f>
        <v>2500</v>
      </c>
      <c r="N71" s="135"/>
      <c r="O71" s="50"/>
      <c r="P71" s="19">
        <v>0</v>
      </c>
      <c r="Q71" s="20">
        <v>1</v>
      </c>
      <c r="R71" s="21">
        <v>0</v>
      </c>
      <c r="S71" s="19">
        <v>0</v>
      </c>
      <c r="T71" s="20">
        <v>1</v>
      </c>
      <c r="U71" s="19">
        <v>1</v>
      </c>
      <c r="V71" s="20">
        <v>1</v>
      </c>
      <c r="W71" s="20">
        <v>1</v>
      </c>
      <c r="X71" s="20">
        <v>1</v>
      </c>
      <c r="Y71" s="20">
        <v>1</v>
      </c>
      <c r="Z71" s="20">
        <v>0</v>
      </c>
      <c r="AA71" s="20">
        <v>0</v>
      </c>
      <c r="AB71" s="49">
        <v>1</v>
      </c>
      <c r="AC71" s="49">
        <v>0</v>
      </c>
      <c r="AD71" s="49">
        <v>0</v>
      </c>
      <c r="AE71" s="49">
        <v>1</v>
      </c>
      <c r="AF71" s="49">
        <v>0</v>
      </c>
      <c r="AG71" s="161">
        <v>0</v>
      </c>
      <c r="AH71" s="162">
        <v>2</v>
      </c>
      <c r="AI71" s="162">
        <v>0</v>
      </c>
      <c r="AJ71" s="162">
        <v>0</v>
      </c>
      <c r="AK71" s="162">
        <v>0</v>
      </c>
      <c r="AL71" s="163">
        <v>0</v>
      </c>
      <c r="AM71" s="19">
        <v>0</v>
      </c>
      <c r="AN71" s="20" t="str">
        <f>IFERROR(INDEX([2]lijnopstellingsfiche!$AP$1:$AP$65536,MATCH(A71,[2]lijnopstellingsfiche!$AQ$1:$AQ$65536,0)),"")</f>
        <v>-</v>
      </c>
      <c r="AO71" s="20">
        <v>0</v>
      </c>
      <c r="AP71" s="20">
        <v>1</v>
      </c>
      <c r="AQ71" s="20">
        <v>4</v>
      </c>
      <c r="AR71" s="20">
        <v>1</v>
      </c>
      <c r="AS71" s="20">
        <v>0</v>
      </c>
      <c r="AT71" s="20">
        <v>0</v>
      </c>
      <c r="AU71" s="20">
        <v>0</v>
      </c>
      <c r="AV71" s="23">
        <v>0</v>
      </c>
      <c r="AW71" s="108">
        <v>0</v>
      </c>
      <c r="AX71" s="108">
        <v>0</v>
      </c>
      <c r="AY71" s="108">
        <v>1</v>
      </c>
      <c r="AZ71" s="108">
        <v>0</v>
      </c>
      <c r="BA71" s="114">
        <v>1</v>
      </c>
      <c r="BB71" s="20">
        <v>0</v>
      </c>
      <c r="BC71" s="113">
        <v>0</v>
      </c>
      <c r="BD71" s="200" t="str">
        <f>VLOOKUP($A71,'[3]allergenen 6nr'!$A$1:$O$1310,3,FALSE)</f>
        <v>-</v>
      </c>
      <c r="BE71" s="201" t="str">
        <f>VLOOKUP($A71,'[3]allergenen 6nr'!$A$1:$O$1310,4,FALSE)</f>
        <v>+</v>
      </c>
      <c r="BF71" s="201" t="str">
        <f>VLOOKUP($A71,'[3]allergenen 6nr'!$A$1:$O$1310,5,FALSE)</f>
        <v>+</v>
      </c>
      <c r="BG71" s="201" t="str">
        <f>VLOOKUP($A71,'[3]allergenen 6nr'!$A$1:$O$1310,6,FALSE)</f>
        <v>-</v>
      </c>
      <c r="BH71" s="201" t="str">
        <f>VLOOKUP($A71,'[3]allergenen 6nr'!$A$1:$O$1310,7,FALSE)</f>
        <v>+</v>
      </c>
      <c r="BI71" s="201" t="str">
        <f>VLOOKUP($A71,'[3]allergenen 6nr'!$A$1:$O$1310,8,FALSE)</f>
        <v>-</v>
      </c>
      <c r="BJ71" s="201" t="str">
        <f>VLOOKUP($A71,'[3]allergenen 6nr'!$A$1:$O$1310,9,FALSE)</f>
        <v>-</v>
      </c>
      <c r="BK71" s="201" t="str">
        <f>VLOOKUP($A71,'[3]allergenen 6nr'!$A$1:$O$1310,10,FALSE)</f>
        <v>-</v>
      </c>
      <c r="BL71" s="201" t="str">
        <f>VLOOKUP($A71,'[3]allergenen 6nr'!$A$1:$O$1310,11,FALSE)</f>
        <v>+</v>
      </c>
      <c r="BM71" s="201" t="str">
        <f>VLOOKUP($A71,'[3]allergenen 6nr'!$A$1:$O$1310,12,FALSE)</f>
        <v>-</v>
      </c>
      <c r="BN71" s="201" t="str">
        <f>VLOOKUP($A71,'[3]allergenen 6nr'!$A$1:$O$1310,13,FALSE)</f>
        <v>X</v>
      </c>
      <c r="BO71" s="201" t="str">
        <f>VLOOKUP($A71,'[3]allergenen 6nr'!$A$1:$O$1310,14,FALSE)</f>
        <v>-</v>
      </c>
      <c r="BP71" s="202" t="str">
        <f>VLOOKUP($A71,'[3]allergenen 6nr'!$A$1:$O$1310,15,FALSE)</f>
        <v>-</v>
      </c>
    </row>
    <row r="72" spans="1:68" x14ac:dyDescent="0.2">
      <c r="A72" s="89">
        <v>63310600</v>
      </c>
      <c r="B72" s="53" t="str">
        <f>VLOOKUP($A72,[1]maaltijden!$A$1:$IV$65536,4,FALSE)</f>
        <v xml:space="preserve">DMH SPAGHETTI CARBONARA                          </v>
      </c>
      <c r="C72" s="46" t="str">
        <f>VLOOKUP($A72,[1]maaltijden!$A$1:$IV$65536,7,FALSE)</f>
        <v>UK-57</v>
      </c>
      <c r="D72" s="22" t="str">
        <f>VLOOKUP($A72,[1]maaltijden!$A$1:$IV$65536,10,FALSE)</f>
        <v>NVT</v>
      </c>
      <c r="E72" s="22" t="str">
        <f>VLOOKUP($A72,[1]maaltijden!$A$1:$IV$65536,13,FALSE)</f>
        <v>DMH X 6</v>
      </c>
      <c r="F72" s="20">
        <f t="shared" si="1"/>
        <v>0</v>
      </c>
      <c r="G72" s="20" t="str">
        <f>VLOOKUP($A72,[1]maaltijden!$A$1:$IV$65536,27,FALSE)</f>
        <v>! !</v>
      </c>
      <c r="H72" s="22">
        <f>VLOOKUP($A72,[1]maaltijden!$A$1:$IV$65536,21,FALSE)</f>
        <v>4</v>
      </c>
      <c r="I72" s="22">
        <f>VLOOKUP($A72,[1]maaltijden!$A$1:$IV$65536,21,FALSE)</f>
        <v>4</v>
      </c>
      <c r="J72" s="22">
        <f>VLOOKUP($A72,[1]maaltijden!$A$1:$IV$65536,18,FALSE)</f>
        <v>3</v>
      </c>
      <c r="K72" s="22">
        <f>VLOOKUP($A72,[1]maaltijden!$A$1:$IV$65536,17,FALSE)</f>
        <v>2.5</v>
      </c>
      <c r="L72" s="22">
        <f>VLOOKUP($A72,[1]maaltijden!$A$1:$IV$65536,20,FALSE)</f>
        <v>2500</v>
      </c>
      <c r="M72" s="22">
        <f>VLOOKUP($A72,[1]maaltijden!$A$1:$IV$65536,22,FALSE)</f>
        <v>2500</v>
      </c>
      <c r="N72" s="135"/>
      <c r="O72" s="50"/>
      <c r="P72" s="19">
        <v>0</v>
      </c>
      <c r="Q72" s="20">
        <v>1</v>
      </c>
      <c r="R72" s="21">
        <v>0</v>
      </c>
      <c r="S72" s="19">
        <v>0</v>
      </c>
      <c r="T72" s="20">
        <v>1</v>
      </c>
      <c r="U72" s="19">
        <v>1</v>
      </c>
      <c r="V72" s="20">
        <v>1</v>
      </c>
      <c r="W72" s="20">
        <v>1</v>
      </c>
      <c r="X72" s="20">
        <v>1</v>
      </c>
      <c r="Y72" s="20">
        <v>1</v>
      </c>
      <c r="Z72" s="20">
        <v>0</v>
      </c>
      <c r="AA72" s="20">
        <v>0</v>
      </c>
      <c r="AB72" s="49">
        <v>0</v>
      </c>
      <c r="AC72" s="49">
        <v>0</v>
      </c>
      <c r="AD72" s="49">
        <v>0</v>
      </c>
      <c r="AE72" s="49">
        <v>0</v>
      </c>
      <c r="AF72" s="49">
        <v>0</v>
      </c>
      <c r="AG72" s="161">
        <v>1</v>
      </c>
      <c r="AH72" s="162">
        <v>1</v>
      </c>
      <c r="AI72" s="162">
        <v>0</v>
      </c>
      <c r="AJ72" s="162">
        <v>0</v>
      </c>
      <c r="AK72" s="162">
        <v>0</v>
      </c>
      <c r="AL72" s="163">
        <v>0</v>
      </c>
      <c r="AM72" s="19">
        <v>0</v>
      </c>
      <c r="AN72" s="20">
        <f>IFERROR(INDEX([2]lijnopstellingsfiche!$AP$1:$AP$65536,MATCH(A72,[2]lijnopstellingsfiche!$AQ$1:$AQ$65536,0)),"")</f>
        <v>1</v>
      </c>
      <c r="AO72" s="20">
        <v>1</v>
      </c>
      <c r="AP72" s="20">
        <v>0</v>
      </c>
      <c r="AQ72" s="20">
        <v>1</v>
      </c>
      <c r="AR72" s="20">
        <v>0</v>
      </c>
      <c r="AS72" s="20">
        <v>0</v>
      </c>
      <c r="AT72" s="20">
        <v>0</v>
      </c>
      <c r="AU72" s="20">
        <v>0</v>
      </c>
      <c r="AV72" s="23">
        <v>0</v>
      </c>
      <c r="AW72" s="108">
        <v>0</v>
      </c>
      <c r="AX72" s="108">
        <v>0</v>
      </c>
      <c r="AY72" s="108">
        <v>1</v>
      </c>
      <c r="AZ72" s="108">
        <v>0</v>
      </c>
      <c r="BA72" s="114">
        <v>1</v>
      </c>
      <c r="BB72" s="20">
        <v>0</v>
      </c>
      <c r="BC72" s="113">
        <v>0</v>
      </c>
      <c r="BD72" s="200" t="str">
        <f>VLOOKUP($A72,'[3]allergenen 6nr'!$A$1:$O$1310,3,FALSE)</f>
        <v>-</v>
      </c>
      <c r="BE72" s="201" t="str">
        <f>VLOOKUP($A72,'[3]allergenen 6nr'!$A$1:$O$1310,4,FALSE)</f>
        <v>X</v>
      </c>
      <c r="BF72" s="201" t="str">
        <f>VLOOKUP($A72,'[3]allergenen 6nr'!$A$1:$O$1310,5,FALSE)</f>
        <v>+</v>
      </c>
      <c r="BG72" s="201" t="str">
        <f>VLOOKUP($A72,'[3]allergenen 6nr'!$A$1:$O$1310,6,FALSE)</f>
        <v>X</v>
      </c>
      <c r="BH72" s="201" t="str">
        <f>VLOOKUP($A72,'[3]allergenen 6nr'!$A$1:$O$1310,7,FALSE)</f>
        <v>+</v>
      </c>
      <c r="BI72" s="201" t="str">
        <f>VLOOKUP($A72,'[3]allergenen 6nr'!$A$1:$O$1310,8,FALSE)</f>
        <v>X</v>
      </c>
      <c r="BJ72" s="201" t="str">
        <f>VLOOKUP($A72,'[3]allergenen 6nr'!$A$1:$O$1310,9,FALSE)</f>
        <v>-</v>
      </c>
      <c r="BK72" s="201" t="str">
        <f>VLOOKUP($A72,'[3]allergenen 6nr'!$A$1:$O$1310,10,FALSE)</f>
        <v>-</v>
      </c>
      <c r="BL72" s="201" t="str">
        <f>VLOOKUP($A72,'[3]allergenen 6nr'!$A$1:$O$1310,11,FALSE)</f>
        <v>-</v>
      </c>
      <c r="BM72" s="201" t="str">
        <f>VLOOKUP($A72,'[3]allergenen 6nr'!$A$1:$O$1310,12,FALSE)</f>
        <v>-</v>
      </c>
      <c r="BN72" s="201" t="str">
        <f>VLOOKUP($A72,'[3]allergenen 6nr'!$A$1:$O$1310,13,FALSE)</f>
        <v>X</v>
      </c>
      <c r="BO72" s="201" t="str">
        <f>VLOOKUP($A72,'[3]allergenen 6nr'!$A$1:$O$1310,14,FALSE)</f>
        <v>-</v>
      </c>
      <c r="BP72" s="202" t="str">
        <f>VLOOKUP($A72,'[3]allergenen 6nr'!$A$1:$O$1310,15,FALSE)</f>
        <v>-</v>
      </c>
    </row>
    <row r="73" spans="1:68" x14ac:dyDescent="0.2">
      <c r="A73" s="89">
        <v>63310800</v>
      </c>
      <c r="B73" s="53" t="str">
        <f>VLOOKUP($A73,[1]maaltijden!$A$1:$IV$65536,4,FALSE)</f>
        <v xml:space="preserve">DMH SPAGHETTI BOLOGNESE MAISON        </v>
      </c>
      <c r="C73" s="46" t="str">
        <f>VLOOKUP($A73,[1]maaltijden!$A$1:$IV$65536,7,FALSE)</f>
        <v>UK-57</v>
      </c>
      <c r="D73" s="22" t="str">
        <f>VLOOKUP($A73,[1]maaltijden!$A$1:$IV$65536,10,FALSE)</f>
        <v>NVT</v>
      </c>
      <c r="E73" s="22" t="str">
        <f>VLOOKUP($A73,[1]maaltijden!$A$1:$IV$65536,13,FALSE)</f>
        <v>DMH X 6</v>
      </c>
      <c r="F73" s="20">
        <f t="shared" si="1"/>
        <v>0</v>
      </c>
      <c r="G73" s="20" t="str">
        <f>VLOOKUP($A73,[1]maaltijden!$A$1:$IV$65536,27,FALSE)</f>
        <v>! ! !</v>
      </c>
      <c r="H73" s="22">
        <f>VLOOKUP($A73,[1]maaltijden!$A$1:$IV$65536,21,FALSE)</f>
        <v>4</v>
      </c>
      <c r="I73" s="22">
        <f>VLOOKUP($A73,[1]maaltijden!$A$1:$IV$65536,21,FALSE)</f>
        <v>4</v>
      </c>
      <c r="J73" s="22">
        <f>VLOOKUP($A73,[1]maaltijden!$A$1:$IV$65536,18,FALSE)</f>
        <v>3</v>
      </c>
      <c r="K73" s="22">
        <f>VLOOKUP($A73,[1]maaltijden!$A$1:$IV$65536,17,FALSE)</f>
        <v>2.5</v>
      </c>
      <c r="L73" s="22">
        <f>VLOOKUP($A73,[1]maaltijden!$A$1:$IV$65536,20,FALSE)</f>
        <v>2500</v>
      </c>
      <c r="M73" s="22">
        <f>VLOOKUP($A73,[1]maaltijden!$A$1:$IV$65536,22,FALSE)</f>
        <v>2500</v>
      </c>
      <c r="N73" s="135"/>
      <c r="O73" s="50"/>
      <c r="P73" s="19">
        <v>0</v>
      </c>
      <c r="Q73" s="20">
        <v>1</v>
      </c>
      <c r="R73" s="21">
        <v>0</v>
      </c>
      <c r="S73" s="19">
        <v>0</v>
      </c>
      <c r="T73" s="20">
        <v>1</v>
      </c>
      <c r="U73" s="19">
        <v>0</v>
      </c>
      <c r="V73" s="20">
        <v>1</v>
      </c>
      <c r="W73" s="20">
        <v>1</v>
      </c>
      <c r="X73" s="20">
        <v>1</v>
      </c>
      <c r="Y73" s="20">
        <v>1</v>
      </c>
      <c r="Z73" s="20">
        <v>0</v>
      </c>
      <c r="AA73" s="20">
        <v>0</v>
      </c>
      <c r="AB73" s="49">
        <v>0</v>
      </c>
      <c r="AC73" s="49">
        <v>0</v>
      </c>
      <c r="AD73" s="49">
        <v>0</v>
      </c>
      <c r="AE73" s="49">
        <v>1</v>
      </c>
      <c r="AF73" s="49">
        <v>0</v>
      </c>
      <c r="AG73" s="161">
        <v>1</v>
      </c>
      <c r="AH73" s="162">
        <v>1</v>
      </c>
      <c r="AI73" s="162">
        <v>0</v>
      </c>
      <c r="AJ73" s="162">
        <v>0</v>
      </c>
      <c r="AK73" s="162">
        <v>0</v>
      </c>
      <c r="AL73" s="163">
        <v>0</v>
      </c>
      <c r="AM73" s="19">
        <v>0</v>
      </c>
      <c r="AN73" s="20">
        <f>IFERROR(INDEX([2]lijnopstellingsfiche!$AP$1:$AP$65536,MATCH(A73,[2]lijnopstellingsfiche!$AQ$1:$AQ$65536,0)),"")</f>
        <v>1</v>
      </c>
      <c r="AO73" s="20">
        <v>1</v>
      </c>
      <c r="AP73" s="20">
        <v>0</v>
      </c>
      <c r="AQ73" s="20">
        <v>2</v>
      </c>
      <c r="AR73" s="20">
        <v>0</v>
      </c>
      <c r="AS73" s="20">
        <v>0</v>
      </c>
      <c r="AT73" s="20">
        <v>0</v>
      </c>
      <c r="AU73" s="20">
        <v>0</v>
      </c>
      <c r="AV73" s="23">
        <v>0</v>
      </c>
      <c r="AW73" s="108">
        <v>0</v>
      </c>
      <c r="AX73" s="108">
        <v>0</v>
      </c>
      <c r="AY73" s="108">
        <v>1</v>
      </c>
      <c r="AZ73" s="108">
        <v>0</v>
      </c>
      <c r="BA73" s="114">
        <v>1</v>
      </c>
      <c r="BB73" s="20">
        <v>0</v>
      </c>
      <c r="BC73" s="113">
        <v>0</v>
      </c>
      <c r="BD73" s="200" t="str">
        <f>VLOOKUP($A73,'[3]allergenen 6nr'!$A$1:$O$1310,3,FALSE)</f>
        <v>-</v>
      </c>
      <c r="BE73" s="201" t="str">
        <f>VLOOKUP($A73,'[3]allergenen 6nr'!$A$1:$O$1310,4,FALSE)</f>
        <v>X</v>
      </c>
      <c r="BF73" s="201" t="str">
        <f>VLOOKUP($A73,'[3]allergenen 6nr'!$A$1:$O$1310,5,FALSE)</f>
        <v>+</v>
      </c>
      <c r="BG73" s="201" t="str">
        <f>VLOOKUP($A73,'[3]allergenen 6nr'!$A$1:$O$1310,6,FALSE)</f>
        <v>X</v>
      </c>
      <c r="BH73" s="201" t="str">
        <f>VLOOKUP($A73,'[3]allergenen 6nr'!$A$1:$O$1310,7,FALSE)</f>
        <v>-</v>
      </c>
      <c r="BI73" s="201" t="str">
        <f>VLOOKUP($A73,'[3]allergenen 6nr'!$A$1:$O$1310,8,FALSE)</f>
        <v>X</v>
      </c>
      <c r="BJ73" s="201" t="str">
        <f>VLOOKUP($A73,'[3]allergenen 6nr'!$A$1:$O$1310,9,FALSE)</f>
        <v>-</v>
      </c>
      <c r="BK73" s="201" t="str">
        <f>VLOOKUP($A73,'[3]allergenen 6nr'!$A$1:$O$1310,10,FALSE)</f>
        <v>-</v>
      </c>
      <c r="BL73" s="201" t="str">
        <f>VLOOKUP($A73,'[3]allergenen 6nr'!$A$1:$O$1310,11,FALSE)</f>
        <v>-</v>
      </c>
      <c r="BM73" s="201" t="str">
        <f>VLOOKUP($A73,'[3]allergenen 6nr'!$A$1:$O$1310,12,FALSE)</f>
        <v>-</v>
      </c>
      <c r="BN73" s="201" t="str">
        <f>VLOOKUP($A73,'[3]allergenen 6nr'!$A$1:$O$1310,13,FALSE)</f>
        <v>X</v>
      </c>
      <c r="BO73" s="201" t="str">
        <f>VLOOKUP($A73,'[3]allergenen 6nr'!$A$1:$O$1310,14,FALSE)</f>
        <v>-</v>
      </c>
      <c r="BP73" s="202" t="str">
        <f>VLOOKUP($A73,'[3]allergenen 6nr'!$A$1:$O$1310,15,FALSE)</f>
        <v>-</v>
      </c>
    </row>
    <row r="74" spans="1:68" x14ac:dyDescent="0.2">
      <c r="A74" s="89">
        <v>63311100</v>
      </c>
      <c r="B74" s="53" t="str">
        <f>VLOOKUP($A74,[1]maaltijden!$A$1:$IV$65536,4,FALSE)</f>
        <v xml:space="preserve">DMH TAGLIATELLE HAM KAAS            </v>
      </c>
      <c r="C74" s="46" t="str">
        <f>VLOOKUP($A74,[1]maaltijden!$A$1:$IV$65536,7,FALSE)</f>
        <v>UK-57</v>
      </c>
      <c r="D74" s="22" t="str">
        <f>VLOOKUP($A74,[1]maaltijden!$A$1:$IV$65536,10,FALSE)</f>
        <v>NVT</v>
      </c>
      <c r="E74" s="22" t="str">
        <f>VLOOKUP($A74,[1]maaltijden!$A$1:$IV$65536,13,FALSE)</f>
        <v>DMH X 6</v>
      </c>
      <c r="F74" s="20">
        <f t="shared" si="1"/>
        <v>0</v>
      </c>
      <c r="G74" s="20" t="str">
        <f>VLOOKUP($A74,[1]maaltijden!$A$1:$IV$65536,27,FALSE)</f>
        <v>! !</v>
      </c>
      <c r="H74" s="22">
        <f>VLOOKUP($A74,[1]maaltijden!$A$1:$IV$65536,21,FALSE)</f>
        <v>4</v>
      </c>
      <c r="I74" s="22">
        <f>VLOOKUP($A74,[1]maaltijden!$A$1:$IV$65536,21,FALSE)</f>
        <v>4</v>
      </c>
      <c r="J74" s="22">
        <f>VLOOKUP($A74,[1]maaltijden!$A$1:$IV$65536,18,FALSE)</f>
        <v>3</v>
      </c>
      <c r="K74" s="22">
        <f>VLOOKUP($A74,[1]maaltijden!$A$1:$IV$65536,17,FALSE)</f>
        <v>2.5</v>
      </c>
      <c r="L74" s="22">
        <f>VLOOKUP($A74,[1]maaltijden!$A$1:$IV$65536,20,FALSE)</f>
        <v>2200</v>
      </c>
      <c r="M74" s="22">
        <f>VLOOKUP($A74,[1]maaltijden!$A$1:$IV$65536,22,FALSE)</f>
        <v>2200</v>
      </c>
      <c r="N74" s="135"/>
      <c r="O74" s="50"/>
      <c r="P74" s="19">
        <v>0</v>
      </c>
      <c r="Q74" s="20">
        <v>1</v>
      </c>
      <c r="R74" s="21">
        <v>0</v>
      </c>
      <c r="S74" s="19">
        <v>0</v>
      </c>
      <c r="T74" s="20">
        <v>1</v>
      </c>
      <c r="U74" s="19">
        <v>1</v>
      </c>
      <c r="V74" s="20">
        <v>1</v>
      </c>
      <c r="W74" s="20">
        <v>1</v>
      </c>
      <c r="X74" s="20">
        <v>1</v>
      </c>
      <c r="Y74" s="20">
        <v>1</v>
      </c>
      <c r="Z74" s="20">
        <v>0</v>
      </c>
      <c r="AA74" s="20">
        <v>0</v>
      </c>
      <c r="AB74" s="49">
        <v>0</v>
      </c>
      <c r="AC74" s="49">
        <v>0</v>
      </c>
      <c r="AD74" s="49">
        <v>0</v>
      </c>
      <c r="AE74" s="49">
        <v>1</v>
      </c>
      <c r="AF74" s="49">
        <v>0</v>
      </c>
      <c r="AG74" s="161">
        <v>1</v>
      </c>
      <c r="AH74" s="162">
        <v>1</v>
      </c>
      <c r="AI74" s="162">
        <v>0</v>
      </c>
      <c r="AJ74" s="162">
        <v>0</v>
      </c>
      <c r="AK74" s="162">
        <v>0</v>
      </c>
      <c r="AL74" s="163">
        <v>0</v>
      </c>
      <c r="AM74" s="19">
        <v>0</v>
      </c>
      <c r="AN74" s="20">
        <f>IFERROR(INDEX([2]lijnopstellingsfiche!$AP$1:$AP$65536,MATCH(A74,[2]lijnopstellingsfiche!$AQ$1:$AQ$65536,0)),"")</f>
        <v>1</v>
      </c>
      <c r="AO74" s="20">
        <v>1</v>
      </c>
      <c r="AP74" s="20">
        <v>0</v>
      </c>
      <c r="AQ74" s="20">
        <v>1</v>
      </c>
      <c r="AR74" s="20">
        <v>0</v>
      </c>
      <c r="AS74" s="20">
        <v>0</v>
      </c>
      <c r="AT74" s="20">
        <v>0</v>
      </c>
      <c r="AU74" s="20">
        <v>0</v>
      </c>
      <c r="AV74" s="23">
        <v>0</v>
      </c>
      <c r="AW74" s="108">
        <v>0</v>
      </c>
      <c r="AX74" s="108">
        <v>0</v>
      </c>
      <c r="AY74" s="108">
        <v>1</v>
      </c>
      <c r="AZ74" s="108">
        <v>0</v>
      </c>
      <c r="BA74" s="114">
        <v>1</v>
      </c>
      <c r="BB74" s="20">
        <v>0</v>
      </c>
      <c r="BC74" s="113">
        <v>0</v>
      </c>
      <c r="BD74" s="200" t="str">
        <f>VLOOKUP($A74,'[3]allergenen 6nr'!$A$1:$O$1310,3,FALSE)</f>
        <v>-</v>
      </c>
      <c r="BE74" s="201" t="str">
        <f>VLOOKUP($A74,'[3]allergenen 6nr'!$A$1:$O$1310,4,FALSE)</f>
        <v>+</v>
      </c>
      <c r="BF74" s="201" t="str">
        <f>VLOOKUP($A74,'[3]allergenen 6nr'!$A$1:$O$1310,5,FALSE)</f>
        <v>+</v>
      </c>
      <c r="BG74" s="201" t="str">
        <f>VLOOKUP($A74,'[3]allergenen 6nr'!$A$1:$O$1310,6,FALSE)</f>
        <v>X</v>
      </c>
      <c r="BH74" s="201" t="str">
        <f>VLOOKUP($A74,'[3]allergenen 6nr'!$A$1:$O$1310,7,FALSE)</f>
        <v>+</v>
      </c>
      <c r="BI74" s="201" t="str">
        <f>VLOOKUP($A74,'[3]allergenen 6nr'!$A$1:$O$1310,8,FALSE)</f>
        <v>X</v>
      </c>
      <c r="BJ74" s="201" t="str">
        <f>VLOOKUP($A74,'[3]allergenen 6nr'!$A$1:$O$1310,9,FALSE)</f>
        <v>-</v>
      </c>
      <c r="BK74" s="201" t="str">
        <f>VLOOKUP($A74,'[3]allergenen 6nr'!$A$1:$O$1310,10,FALSE)</f>
        <v>-</v>
      </c>
      <c r="BL74" s="201" t="str">
        <f>VLOOKUP($A74,'[3]allergenen 6nr'!$A$1:$O$1310,11,FALSE)</f>
        <v>-</v>
      </c>
      <c r="BM74" s="201" t="str">
        <f>VLOOKUP($A74,'[3]allergenen 6nr'!$A$1:$O$1310,12,FALSE)</f>
        <v>-</v>
      </c>
      <c r="BN74" s="201" t="str">
        <f>VLOOKUP($A74,'[3]allergenen 6nr'!$A$1:$O$1310,13,FALSE)</f>
        <v>X</v>
      </c>
      <c r="BO74" s="201" t="str">
        <f>VLOOKUP($A74,'[3]allergenen 6nr'!$A$1:$O$1310,14,FALSE)</f>
        <v>-</v>
      </c>
      <c r="BP74" s="202" t="str">
        <f>VLOOKUP($A74,'[3]allergenen 6nr'!$A$1:$O$1310,15,FALSE)</f>
        <v>-</v>
      </c>
    </row>
    <row r="75" spans="1:68" x14ac:dyDescent="0.2">
      <c r="A75" s="89">
        <v>63311200</v>
      </c>
      <c r="B75" s="53" t="str">
        <f>VLOOKUP($A75,[1]maaltijden!$A$1:$IV$65536,4,FALSE)</f>
        <v xml:space="preserve">DMH LINGUINE KIP FIJNE KRUIDEN          </v>
      </c>
      <c r="C75" s="46" t="str">
        <f>VLOOKUP($A75,[1]maaltijden!$A$1:$IV$65536,7,FALSE)</f>
        <v>UK-57</v>
      </c>
      <c r="D75" s="22" t="str">
        <f>VLOOKUP($A75,[1]maaltijden!$A$1:$IV$65536,10,FALSE)</f>
        <v>NVT</v>
      </c>
      <c r="E75" s="22" t="str">
        <f>VLOOKUP($A75,[1]maaltijden!$A$1:$IV$65536,13,FALSE)</f>
        <v>DMH X 6</v>
      </c>
      <c r="F75" s="20">
        <f t="shared" si="1"/>
        <v>0</v>
      </c>
      <c r="G75" s="20" t="str">
        <f>VLOOKUP($A75,[1]maaltijden!$A$1:$IV$65536,27,FALSE)</f>
        <v>! !</v>
      </c>
      <c r="H75" s="22">
        <f>VLOOKUP($A75,[1]maaltijden!$A$1:$IV$65536,21,FALSE)</f>
        <v>5</v>
      </c>
      <c r="I75" s="22">
        <f>VLOOKUP($A75,[1]maaltijden!$A$1:$IV$65536,21,FALSE)</f>
        <v>5</v>
      </c>
      <c r="J75" s="22">
        <f>VLOOKUP($A75,[1]maaltijden!$A$1:$IV$65536,18,FALSE)</f>
        <v>3</v>
      </c>
      <c r="K75" s="22">
        <f>VLOOKUP($A75,[1]maaltijden!$A$1:$IV$65536,17,FALSE)</f>
        <v>2.5</v>
      </c>
      <c r="L75" s="22">
        <f>VLOOKUP($A75,[1]maaltijden!$A$1:$IV$65536,20,FALSE)</f>
        <v>2200</v>
      </c>
      <c r="M75" s="22">
        <f>VLOOKUP($A75,[1]maaltijden!$A$1:$IV$65536,22,FALSE)</f>
        <v>2200</v>
      </c>
      <c r="N75" s="135"/>
      <c r="O75" s="50"/>
      <c r="P75" s="19">
        <v>0</v>
      </c>
      <c r="Q75" s="20">
        <v>1</v>
      </c>
      <c r="R75" s="21">
        <v>0</v>
      </c>
      <c r="S75" s="19">
        <v>0</v>
      </c>
      <c r="T75" s="20">
        <v>1</v>
      </c>
      <c r="U75" s="19">
        <v>1</v>
      </c>
      <c r="V75" s="20">
        <v>1</v>
      </c>
      <c r="W75" s="20">
        <v>1</v>
      </c>
      <c r="X75" s="20">
        <v>1</v>
      </c>
      <c r="Y75" s="20">
        <v>1</v>
      </c>
      <c r="Z75" s="20">
        <v>0</v>
      </c>
      <c r="AA75" s="20">
        <v>0</v>
      </c>
      <c r="AB75" s="49">
        <v>0</v>
      </c>
      <c r="AC75" s="49">
        <v>0</v>
      </c>
      <c r="AD75" s="49">
        <v>0</v>
      </c>
      <c r="AE75" s="49">
        <v>0</v>
      </c>
      <c r="AF75" s="49">
        <v>0</v>
      </c>
      <c r="AG75" s="161">
        <v>1</v>
      </c>
      <c r="AH75" s="162">
        <v>1</v>
      </c>
      <c r="AI75" s="162">
        <v>0</v>
      </c>
      <c r="AJ75" s="162">
        <v>0</v>
      </c>
      <c r="AK75" s="162">
        <v>0</v>
      </c>
      <c r="AL75" s="163">
        <v>0</v>
      </c>
      <c r="AM75" s="19">
        <v>0</v>
      </c>
      <c r="AN75" s="20">
        <f>IFERROR(INDEX([2]lijnopstellingsfiche!$AP$1:$AP$65536,MATCH(A75,[2]lijnopstellingsfiche!$AQ$1:$AQ$65536,0)),"")</f>
        <v>1</v>
      </c>
      <c r="AO75" s="20">
        <v>1</v>
      </c>
      <c r="AP75" s="20">
        <v>0</v>
      </c>
      <c r="AQ75" s="20">
        <v>2</v>
      </c>
      <c r="AR75" s="20">
        <v>0</v>
      </c>
      <c r="AS75" s="20">
        <v>0</v>
      </c>
      <c r="AT75" s="20">
        <v>1</v>
      </c>
      <c r="AU75" s="20">
        <v>0</v>
      </c>
      <c r="AV75" s="23">
        <v>0</v>
      </c>
      <c r="AW75" s="108">
        <v>0</v>
      </c>
      <c r="AX75" s="108">
        <v>0</v>
      </c>
      <c r="AY75" s="108">
        <v>1</v>
      </c>
      <c r="AZ75" s="108">
        <v>0</v>
      </c>
      <c r="BA75" s="114">
        <v>1</v>
      </c>
      <c r="BB75" s="20">
        <v>0</v>
      </c>
      <c r="BC75" s="113">
        <v>0</v>
      </c>
      <c r="BD75" s="200" t="str">
        <f>VLOOKUP($A75,'[3]allergenen 6nr'!$A$1:$O$1310,3,FALSE)</f>
        <v>-</v>
      </c>
      <c r="BE75" s="201" t="str">
        <f>VLOOKUP($A75,'[3]allergenen 6nr'!$A$1:$O$1310,4,FALSE)</f>
        <v>+</v>
      </c>
      <c r="BF75" s="201" t="str">
        <f>VLOOKUP($A75,'[3]allergenen 6nr'!$A$1:$O$1310,5,FALSE)</f>
        <v>+</v>
      </c>
      <c r="BG75" s="201" t="str">
        <f>VLOOKUP($A75,'[3]allergenen 6nr'!$A$1:$O$1310,6,FALSE)</f>
        <v>X</v>
      </c>
      <c r="BH75" s="201" t="str">
        <f>VLOOKUP($A75,'[3]allergenen 6nr'!$A$1:$O$1310,7,FALSE)</f>
        <v>+</v>
      </c>
      <c r="BI75" s="201" t="str">
        <f>VLOOKUP($A75,'[3]allergenen 6nr'!$A$1:$O$1310,8,FALSE)</f>
        <v>X</v>
      </c>
      <c r="BJ75" s="201" t="str">
        <f>VLOOKUP($A75,'[3]allergenen 6nr'!$A$1:$O$1310,9,FALSE)</f>
        <v>-</v>
      </c>
      <c r="BK75" s="201" t="str">
        <f>VLOOKUP($A75,'[3]allergenen 6nr'!$A$1:$O$1310,10,FALSE)</f>
        <v>-</v>
      </c>
      <c r="BL75" s="201" t="str">
        <f>VLOOKUP($A75,'[3]allergenen 6nr'!$A$1:$O$1310,11,FALSE)</f>
        <v>-</v>
      </c>
      <c r="BM75" s="201" t="str">
        <f>VLOOKUP($A75,'[3]allergenen 6nr'!$A$1:$O$1310,12,FALSE)</f>
        <v>-</v>
      </c>
      <c r="BN75" s="201" t="str">
        <f>VLOOKUP($A75,'[3]allergenen 6nr'!$A$1:$O$1310,13,FALSE)</f>
        <v>X</v>
      </c>
      <c r="BO75" s="201" t="str">
        <f>VLOOKUP($A75,'[3]allergenen 6nr'!$A$1:$O$1310,14,FALSE)</f>
        <v>-</v>
      </c>
      <c r="BP75" s="202" t="str">
        <f>VLOOKUP($A75,'[3]allergenen 6nr'!$A$1:$O$1310,15,FALSE)</f>
        <v>-</v>
      </c>
    </row>
    <row r="76" spans="1:68" x14ac:dyDescent="0.2">
      <c r="A76" s="89">
        <v>63311500</v>
      </c>
      <c r="B76" s="53" t="str">
        <f>VLOOKUP($A76,[1]maaltijden!$A$1:$IV$65536,4,FALSE)</f>
        <v xml:space="preserve">DMH TAGLIATELLE KIP BOSCHAMPIGNONS            </v>
      </c>
      <c r="C76" s="46" t="str">
        <f>VLOOKUP($A76,[1]maaltijden!$A$1:$IV$65536,7,FALSE)</f>
        <v>UK-57</v>
      </c>
      <c r="D76" s="22" t="str">
        <f>VLOOKUP($A76,[1]maaltijden!$A$1:$IV$65536,10,FALSE)</f>
        <v>NVT</v>
      </c>
      <c r="E76" s="22" t="str">
        <f>VLOOKUP($A76,[1]maaltijden!$A$1:$IV$65536,13,FALSE)</f>
        <v>DMH X 6</v>
      </c>
      <c r="F76" s="20">
        <f t="shared" si="1"/>
        <v>0</v>
      </c>
      <c r="G76" s="20" t="str">
        <f>VLOOKUP($A76,[1]maaltijden!$A$1:$IV$65536,27,FALSE)</f>
        <v>! !</v>
      </c>
      <c r="H76" s="22">
        <f>VLOOKUP($A76,[1]maaltijden!$A$1:$IV$65536,21,FALSE)</f>
        <v>5</v>
      </c>
      <c r="I76" s="22">
        <f>VLOOKUP($A76,[1]maaltijden!$A$1:$IV$65536,21,FALSE)</f>
        <v>5</v>
      </c>
      <c r="J76" s="22">
        <f>VLOOKUP($A76,[1]maaltijden!$A$1:$IV$65536,18,FALSE)</f>
        <v>3</v>
      </c>
      <c r="K76" s="22">
        <f>VLOOKUP($A76,[1]maaltijden!$A$1:$IV$65536,17,FALSE)</f>
        <v>2.5</v>
      </c>
      <c r="L76" s="22">
        <f>VLOOKUP($A76,[1]maaltijden!$A$1:$IV$65536,20,FALSE)</f>
        <v>2200</v>
      </c>
      <c r="M76" s="22">
        <f>VLOOKUP($A76,[1]maaltijden!$A$1:$IV$65536,22,FALSE)</f>
        <v>2200</v>
      </c>
      <c r="N76" s="135"/>
      <c r="O76" s="50"/>
      <c r="P76" s="19">
        <v>0</v>
      </c>
      <c r="Q76" s="20">
        <v>1</v>
      </c>
      <c r="R76" s="21">
        <v>0</v>
      </c>
      <c r="S76" s="19">
        <v>0</v>
      </c>
      <c r="T76" s="20">
        <v>1</v>
      </c>
      <c r="U76" s="19">
        <v>1</v>
      </c>
      <c r="V76" s="20">
        <v>1</v>
      </c>
      <c r="W76" s="20">
        <v>1</v>
      </c>
      <c r="X76" s="20">
        <v>1</v>
      </c>
      <c r="Y76" s="20">
        <v>1</v>
      </c>
      <c r="Z76" s="20">
        <v>0</v>
      </c>
      <c r="AA76" s="20">
        <v>0</v>
      </c>
      <c r="AB76" s="49">
        <v>0</v>
      </c>
      <c r="AC76" s="49">
        <v>0</v>
      </c>
      <c r="AD76" s="49">
        <v>0</v>
      </c>
      <c r="AE76" s="49">
        <v>0</v>
      </c>
      <c r="AF76" s="49">
        <v>0</v>
      </c>
      <c r="AG76" s="161">
        <v>1</v>
      </c>
      <c r="AH76" s="162">
        <v>1</v>
      </c>
      <c r="AI76" s="162">
        <v>0</v>
      </c>
      <c r="AJ76" s="162">
        <v>0</v>
      </c>
      <c r="AK76" s="162">
        <v>0</v>
      </c>
      <c r="AL76" s="163">
        <v>0</v>
      </c>
      <c r="AM76" s="19">
        <v>0</v>
      </c>
      <c r="AN76" s="20">
        <f>IFERROR(INDEX([2]lijnopstellingsfiche!$AP$1:$AP$65536,MATCH(A76,[2]lijnopstellingsfiche!$AQ$1:$AQ$65536,0)),"")</f>
        <v>1</v>
      </c>
      <c r="AO76" s="20">
        <v>1</v>
      </c>
      <c r="AP76" s="20">
        <v>0</v>
      </c>
      <c r="AQ76" s="20">
        <v>2</v>
      </c>
      <c r="AR76" s="20">
        <v>0</v>
      </c>
      <c r="AS76" s="20">
        <v>0</v>
      </c>
      <c r="AT76" s="20">
        <v>1</v>
      </c>
      <c r="AU76" s="20">
        <v>0</v>
      </c>
      <c r="AV76" s="23">
        <v>0</v>
      </c>
      <c r="AW76" s="108">
        <v>0</v>
      </c>
      <c r="AX76" s="108">
        <v>0</v>
      </c>
      <c r="AY76" s="108">
        <v>1</v>
      </c>
      <c r="AZ76" s="108">
        <v>0</v>
      </c>
      <c r="BA76" s="114">
        <v>1</v>
      </c>
      <c r="BB76" s="20">
        <v>0</v>
      </c>
      <c r="BC76" s="113">
        <v>0</v>
      </c>
      <c r="BD76" s="200" t="str">
        <f>VLOOKUP($A76,'[3]allergenen 6nr'!$A$1:$O$1310,3,FALSE)</f>
        <v>-</v>
      </c>
      <c r="BE76" s="201" t="str">
        <f>VLOOKUP($A76,'[3]allergenen 6nr'!$A$1:$O$1310,4,FALSE)</f>
        <v>+</v>
      </c>
      <c r="BF76" s="201" t="str">
        <f>VLOOKUP($A76,'[3]allergenen 6nr'!$A$1:$O$1310,5,FALSE)</f>
        <v>+</v>
      </c>
      <c r="BG76" s="201" t="str">
        <f>VLOOKUP($A76,'[3]allergenen 6nr'!$A$1:$O$1310,6,FALSE)</f>
        <v>X</v>
      </c>
      <c r="BH76" s="201" t="str">
        <f>VLOOKUP($A76,'[3]allergenen 6nr'!$A$1:$O$1310,7,FALSE)</f>
        <v>+</v>
      </c>
      <c r="BI76" s="201" t="str">
        <f>VLOOKUP($A76,'[3]allergenen 6nr'!$A$1:$O$1310,8,FALSE)</f>
        <v>X</v>
      </c>
      <c r="BJ76" s="201" t="str">
        <f>VLOOKUP($A76,'[3]allergenen 6nr'!$A$1:$O$1310,9,FALSE)</f>
        <v>-</v>
      </c>
      <c r="BK76" s="201" t="str">
        <f>VLOOKUP($A76,'[3]allergenen 6nr'!$A$1:$O$1310,10,FALSE)</f>
        <v>-</v>
      </c>
      <c r="BL76" s="201" t="str">
        <f>VLOOKUP($A76,'[3]allergenen 6nr'!$A$1:$O$1310,11,FALSE)</f>
        <v>-</v>
      </c>
      <c r="BM76" s="201" t="str">
        <f>VLOOKUP($A76,'[3]allergenen 6nr'!$A$1:$O$1310,12,FALSE)</f>
        <v>-</v>
      </c>
      <c r="BN76" s="201" t="str">
        <f>VLOOKUP($A76,'[3]allergenen 6nr'!$A$1:$O$1310,13,FALSE)</f>
        <v>X</v>
      </c>
      <c r="BO76" s="201" t="str">
        <f>VLOOKUP($A76,'[3]allergenen 6nr'!$A$1:$O$1310,14,FALSE)</f>
        <v>-</v>
      </c>
      <c r="BP76" s="202" t="str">
        <f>VLOOKUP($A76,'[3]allergenen 6nr'!$A$1:$O$1310,15,FALSE)</f>
        <v>-</v>
      </c>
    </row>
    <row r="77" spans="1:68" x14ac:dyDescent="0.2">
      <c r="A77" s="89">
        <v>63311600</v>
      </c>
      <c r="B77" s="53" t="str">
        <f>VLOOKUP($A77,[1]maaltijden!$A$1:$IV$65536,4,FALSE)</f>
        <v xml:space="preserve">DMH TAGLIATELLE GEROOKTE ZALM GROENE ASPERGES </v>
      </c>
      <c r="C77" s="46" t="str">
        <f>VLOOKUP($A77,[1]maaltijden!$A$1:$IV$65536,7,FALSE)</f>
        <v>UK-57</v>
      </c>
      <c r="D77" s="22" t="str">
        <f>VLOOKUP($A77,[1]maaltijden!$A$1:$IV$65536,10,FALSE)</f>
        <v>NVT</v>
      </c>
      <c r="E77" s="22" t="str">
        <f>VLOOKUP($A77,[1]maaltijden!$A$1:$IV$65536,13,FALSE)</f>
        <v>DMH X 6</v>
      </c>
      <c r="F77" s="20">
        <f t="shared" si="1"/>
        <v>0</v>
      </c>
      <c r="G77" s="20" t="str">
        <f>VLOOKUP($A77,[1]maaltijden!$A$1:$IV$65536,27,FALSE)</f>
        <v>! ! ! !</v>
      </c>
      <c r="H77" s="22">
        <f>VLOOKUP($A77,[1]maaltijden!$A$1:$IV$65536,21,FALSE)</f>
        <v>6</v>
      </c>
      <c r="I77" s="22">
        <f>VLOOKUP($A77,[1]maaltijden!$A$1:$IV$65536,21,FALSE)</f>
        <v>6</v>
      </c>
      <c r="J77" s="22">
        <f>VLOOKUP($A77,[1]maaltijden!$A$1:$IV$65536,18,FALSE)</f>
        <v>3</v>
      </c>
      <c r="K77" s="22">
        <f>VLOOKUP($A77,[1]maaltijden!$A$1:$IV$65536,17,FALSE)</f>
        <v>2.5</v>
      </c>
      <c r="L77" s="22">
        <f>VLOOKUP($A77,[1]maaltijden!$A$1:$IV$65536,20,FALSE)</f>
        <v>2200</v>
      </c>
      <c r="M77" s="22">
        <f>VLOOKUP($A77,[1]maaltijden!$A$1:$IV$65536,22,FALSE)</f>
        <v>2200</v>
      </c>
      <c r="N77" s="135"/>
      <c r="O77" s="50"/>
      <c r="P77" s="19">
        <v>0</v>
      </c>
      <c r="Q77" s="20">
        <v>1</v>
      </c>
      <c r="R77" s="21">
        <v>0</v>
      </c>
      <c r="S77" s="19">
        <v>0</v>
      </c>
      <c r="T77" s="20">
        <v>1</v>
      </c>
      <c r="U77" s="19">
        <v>0</v>
      </c>
      <c r="V77" s="20">
        <v>1</v>
      </c>
      <c r="W77" s="20">
        <v>1</v>
      </c>
      <c r="X77" s="20">
        <v>1</v>
      </c>
      <c r="Y77" s="20">
        <v>1</v>
      </c>
      <c r="Z77" s="20">
        <v>0</v>
      </c>
      <c r="AA77" s="20">
        <v>0</v>
      </c>
      <c r="AB77" s="49">
        <v>0</v>
      </c>
      <c r="AC77" s="49">
        <v>0</v>
      </c>
      <c r="AD77" s="49">
        <v>0</v>
      </c>
      <c r="AE77" s="49">
        <v>1</v>
      </c>
      <c r="AF77" s="49">
        <v>0</v>
      </c>
      <c r="AG77" s="161">
        <v>1</v>
      </c>
      <c r="AH77" s="162">
        <v>1</v>
      </c>
      <c r="AI77" s="162">
        <v>0</v>
      </c>
      <c r="AJ77" s="162">
        <v>0</v>
      </c>
      <c r="AK77" s="162">
        <v>0</v>
      </c>
      <c r="AL77" s="163">
        <v>0</v>
      </c>
      <c r="AM77" s="19">
        <v>0</v>
      </c>
      <c r="AN77" s="20">
        <f>IFERROR(INDEX([2]lijnopstellingsfiche!$AP$1:$AP$65536,MATCH(A77,[2]lijnopstellingsfiche!$AQ$1:$AQ$65536,0)),"")</f>
        <v>2</v>
      </c>
      <c r="AO77" s="20">
        <v>1</v>
      </c>
      <c r="AP77" s="20">
        <v>0</v>
      </c>
      <c r="AQ77" s="20">
        <v>2</v>
      </c>
      <c r="AR77" s="20">
        <v>0</v>
      </c>
      <c r="AS77" s="20">
        <v>0</v>
      </c>
      <c r="AT77" s="20">
        <v>1</v>
      </c>
      <c r="AU77" s="20">
        <v>0</v>
      </c>
      <c r="AV77" s="23">
        <v>0</v>
      </c>
      <c r="AW77" s="108">
        <v>0</v>
      </c>
      <c r="AX77" s="108">
        <v>0</v>
      </c>
      <c r="AY77" s="108">
        <v>1</v>
      </c>
      <c r="AZ77" s="108">
        <v>0</v>
      </c>
      <c r="BA77" s="114">
        <v>1</v>
      </c>
      <c r="BB77" s="20">
        <v>0</v>
      </c>
      <c r="BC77" s="113">
        <v>0</v>
      </c>
      <c r="BD77" s="200" t="str">
        <f>VLOOKUP($A77,'[3]allergenen 6nr'!$A$1:$O$1310,3,FALSE)</f>
        <v>-</v>
      </c>
      <c r="BE77" s="201" t="str">
        <f>VLOOKUP($A77,'[3]allergenen 6nr'!$A$1:$O$1310,4,FALSE)</f>
        <v>+</v>
      </c>
      <c r="BF77" s="201" t="str">
        <f>VLOOKUP($A77,'[3]allergenen 6nr'!$A$1:$O$1310,5,FALSE)</f>
        <v>+</v>
      </c>
      <c r="BG77" s="201" t="str">
        <f>VLOOKUP($A77,'[3]allergenen 6nr'!$A$1:$O$1310,6,FALSE)</f>
        <v>X</v>
      </c>
      <c r="BH77" s="201" t="str">
        <f>VLOOKUP($A77,'[3]allergenen 6nr'!$A$1:$O$1310,7,FALSE)</f>
        <v>+</v>
      </c>
      <c r="BI77" s="201" t="str">
        <f>VLOOKUP($A77,'[3]allergenen 6nr'!$A$1:$O$1310,8,FALSE)</f>
        <v>+</v>
      </c>
      <c r="BJ77" s="201" t="str">
        <f>VLOOKUP($A77,'[3]allergenen 6nr'!$A$1:$O$1310,9,FALSE)</f>
        <v>-</v>
      </c>
      <c r="BK77" s="201" t="str">
        <f>VLOOKUP($A77,'[3]allergenen 6nr'!$A$1:$O$1310,10,FALSE)</f>
        <v>X</v>
      </c>
      <c r="BL77" s="201" t="str">
        <f>VLOOKUP($A77,'[3]allergenen 6nr'!$A$1:$O$1310,11,FALSE)</f>
        <v>-</v>
      </c>
      <c r="BM77" s="201" t="str">
        <f>VLOOKUP($A77,'[3]allergenen 6nr'!$A$1:$O$1310,12,FALSE)</f>
        <v>-</v>
      </c>
      <c r="BN77" s="201" t="str">
        <f>VLOOKUP($A77,'[3]allergenen 6nr'!$A$1:$O$1310,13,FALSE)</f>
        <v>X</v>
      </c>
      <c r="BO77" s="201" t="str">
        <f>VLOOKUP($A77,'[3]allergenen 6nr'!$A$1:$O$1310,14,FALSE)</f>
        <v>+</v>
      </c>
      <c r="BP77" s="202" t="str">
        <f>VLOOKUP($A77,'[3]allergenen 6nr'!$A$1:$O$1310,15,FALSE)</f>
        <v>X</v>
      </c>
    </row>
    <row r="78" spans="1:68" x14ac:dyDescent="0.2">
      <c r="A78" s="89">
        <v>63311700</v>
      </c>
      <c r="B78" s="53" t="str">
        <f>VLOOKUP($A78,[1]maaltijden!$A$1:$IV$65536,4,FALSE)</f>
        <v xml:space="preserve">DMH TAGLIATELLE SCAMPI LOOKSAUS         </v>
      </c>
      <c r="C78" s="46" t="str">
        <f>VLOOKUP($A78,[1]maaltijden!$A$1:$IV$65536,7,FALSE)</f>
        <v>UK-57</v>
      </c>
      <c r="D78" s="22" t="str">
        <f>VLOOKUP($A78,[1]maaltijden!$A$1:$IV$65536,10,FALSE)</f>
        <v>NVT</v>
      </c>
      <c r="E78" s="22" t="str">
        <f>VLOOKUP($A78,[1]maaltijden!$A$1:$IV$65536,13,FALSE)</f>
        <v>DMH X 6</v>
      </c>
      <c r="F78" s="20">
        <f t="shared" si="1"/>
        <v>0</v>
      </c>
      <c r="G78" s="20" t="str">
        <f>VLOOKUP($A78,[1]maaltijden!$A$1:$IV$65536,27,FALSE)</f>
        <v>! ! ! !</v>
      </c>
      <c r="H78" s="22">
        <f>VLOOKUP($A78,[1]maaltijden!$A$1:$IV$65536,21,FALSE)</f>
        <v>4</v>
      </c>
      <c r="I78" s="22">
        <f>VLOOKUP($A78,[1]maaltijden!$A$1:$IV$65536,21,FALSE)</f>
        <v>4</v>
      </c>
      <c r="J78" s="22">
        <f>VLOOKUP($A78,[1]maaltijden!$A$1:$IV$65536,18,FALSE)</f>
        <v>3</v>
      </c>
      <c r="K78" s="22">
        <f>VLOOKUP($A78,[1]maaltijden!$A$1:$IV$65536,17,FALSE)</f>
        <v>2.5</v>
      </c>
      <c r="L78" s="22">
        <f>VLOOKUP($A78,[1]maaltijden!$A$1:$IV$65536,20,FALSE)</f>
        <v>2200</v>
      </c>
      <c r="M78" s="22">
        <f>VLOOKUP($A78,[1]maaltijden!$A$1:$IV$65536,22,FALSE)</f>
        <v>2200</v>
      </c>
      <c r="N78" s="135"/>
      <c r="O78" s="50"/>
      <c r="P78" s="19">
        <v>0</v>
      </c>
      <c r="Q78" s="20">
        <v>1</v>
      </c>
      <c r="R78" s="21">
        <v>0</v>
      </c>
      <c r="S78" s="19">
        <v>0</v>
      </c>
      <c r="T78" s="20">
        <v>1</v>
      </c>
      <c r="U78" s="19">
        <v>1</v>
      </c>
      <c r="V78" s="20">
        <v>1</v>
      </c>
      <c r="W78" s="20">
        <v>1</v>
      </c>
      <c r="X78" s="20">
        <v>1</v>
      </c>
      <c r="Y78" s="20">
        <v>1</v>
      </c>
      <c r="Z78" s="20">
        <v>0</v>
      </c>
      <c r="AA78" s="20">
        <v>0</v>
      </c>
      <c r="AB78" s="49">
        <v>0</v>
      </c>
      <c r="AC78" s="49">
        <v>0</v>
      </c>
      <c r="AD78" s="49">
        <v>0</v>
      </c>
      <c r="AE78" s="49">
        <v>0</v>
      </c>
      <c r="AF78" s="49">
        <v>0</v>
      </c>
      <c r="AG78" s="161">
        <v>1</v>
      </c>
      <c r="AH78" s="162">
        <v>1</v>
      </c>
      <c r="AI78" s="162">
        <v>0</v>
      </c>
      <c r="AJ78" s="162">
        <v>0</v>
      </c>
      <c r="AK78" s="162">
        <v>0</v>
      </c>
      <c r="AL78" s="163">
        <v>0</v>
      </c>
      <c r="AM78" s="19">
        <v>0</v>
      </c>
      <c r="AN78" s="20">
        <f>IFERROR(INDEX([2]lijnopstellingsfiche!$AP$1:$AP$65536,MATCH(A78,[2]lijnopstellingsfiche!$AQ$1:$AQ$65536,0)),"")</f>
        <v>1</v>
      </c>
      <c r="AO78" s="20">
        <v>1</v>
      </c>
      <c r="AP78" s="20">
        <v>0</v>
      </c>
      <c r="AQ78" s="20">
        <v>2</v>
      </c>
      <c r="AR78" s="20">
        <v>0</v>
      </c>
      <c r="AS78" s="20">
        <v>0</v>
      </c>
      <c r="AT78" s="20">
        <v>1</v>
      </c>
      <c r="AU78" s="20">
        <v>0</v>
      </c>
      <c r="AV78" s="23">
        <v>0</v>
      </c>
      <c r="AW78" s="108">
        <v>0</v>
      </c>
      <c r="AX78" s="108">
        <v>0</v>
      </c>
      <c r="AY78" s="108">
        <v>1</v>
      </c>
      <c r="AZ78" s="108">
        <v>0</v>
      </c>
      <c r="BA78" s="114">
        <v>1</v>
      </c>
      <c r="BB78" s="20">
        <v>0</v>
      </c>
      <c r="BC78" s="113">
        <v>0</v>
      </c>
      <c r="BD78" s="200" t="str">
        <f>VLOOKUP($A78,'[3]allergenen 6nr'!$A$1:$O$1310,3,FALSE)</f>
        <v>-</v>
      </c>
      <c r="BE78" s="201" t="str">
        <f>VLOOKUP($A78,'[3]allergenen 6nr'!$A$1:$O$1310,4,FALSE)</f>
        <v>+</v>
      </c>
      <c r="BF78" s="201" t="str">
        <f>VLOOKUP($A78,'[3]allergenen 6nr'!$A$1:$O$1310,5,FALSE)</f>
        <v>+</v>
      </c>
      <c r="BG78" s="201" t="str">
        <f>VLOOKUP($A78,'[3]allergenen 6nr'!$A$1:$O$1310,6,FALSE)</f>
        <v>X</v>
      </c>
      <c r="BH78" s="201" t="str">
        <f>VLOOKUP($A78,'[3]allergenen 6nr'!$A$1:$O$1310,7,FALSE)</f>
        <v>+</v>
      </c>
      <c r="BI78" s="201" t="str">
        <f>VLOOKUP($A78,'[3]allergenen 6nr'!$A$1:$O$1310,8,FALSE)</f>
        <v>X</v>
      </c>
      <c r="BJ78" s="201" t="str">
        <f>VLOOKUP($A78,'[3]allergenen 6nr'!$A$1:$O$1310,9,FALSE)</f>
        <v>-</v>
      </c>
      <c r="BK78" s="201" t="str">
        <f>VLOOKUP($A78,'[3]allergenen 6nr'!$A$1:$O$1310,10,FALSE)</f>
        <v>+</v>
      </c>
      <c r="BL78" s="201" t="str">
        <f>VLOOKUP($A78,'[3]allergenen 6nr'!$A$1:$O$1310,11,FALSE)</f>
        <v>-</v>
      </c>
      <c r="BM78" s="201" t="str">
        <f>VLOOKUP($A78,'[3]allergenen 6nr'!$A$1:$O$1310,12,FALSE)</f>
        <v>-</v>
      </c>
      <c r="BN78" s="201" t="str">
        <f>VLOOKUP($A78,'[3]allergenen 6nr'!$A$1:$O$1310,13,FALSE)</f>
        <v>X</v>
      </c>
      <c r="BO78" s="201" t="str">
        <f>VLOOKUP($A78,'[3]allergenen 6nr'!$A$1:$O$1310,14,FALSE)</f>
        <v>+</v>
      </c>
      <c r="BP78" s="202" t="str">
        <f>VLOOKUP($A78,'[3]allergenen 6nr'!$A$1:$O$1310,15,FALSE)</f>
        <v>X</v>
      </c>
    </row>
    <row r="79" spans="1:68" x14ac:dyDescent="0.2">
      <c r="A79" s="89">
        <v>63311800</v>
      </c>
      <c r="B79" s="53" t="str">
        <f>VLOOKUP($A79,[1]maaltijden!$A$1:$IV$65536,4,FALSE)</f>
        <v xml:space="preserve">DMH LINGUINE SCAMPI DIABOLIQUE              </v>
      </c>
      <c r="C79" s="46" t="str">
        <f>VLOOKUP($A79,[1]maaltijden!$A$1:$IV$65536,7,FALSE)</f>
        <v>UK-57</v>
      </c>
      <c r="D79" s="22" t="str">
        <f>VLOOKUP($A79,[1]maaltijden!$A$1:$IV$65536,10,FALSE)</f>
        <v>NVT</v>
      </c>
      <c r="E79" s="22" t="str">
        <f>VLOOKUP($A79,[1]maaltijden!$A$1:$IV$65536,13,FALSE)</f>
        <v>DMH X 6</v>
      </c>
      <c r="F79" s="20">
        <f t="shared" si="1"/>
        <v>0</v>
      </c>
      <c r="G79" s="20" t="str">
        <f>VLOOKUP($A79,[1]maaltijden!$A$1:$IV$65536,27,FALSE)</f>
        <v>! ! ! !</v>
      </c>
      <c r="H79" s="22">
        <f>VLOOKUP($A79,[1]maaltijden!$A$1:$IV$65536,21,FALSE)</f>
        <v>5</v>
      </c>
      <c r="I79" s="22">
        <f>VLOOKUP($A79,[1]maaltijden!$A$1:$IV$65536,21,FALSE)</f>
        <v>5</v>
      </c>
      <c r="J79" s="22">
        <f>VLOOKUP($A79,[1]maaltijden!$A$1:$IV$65536,18,FALSE)</f>
        <v>3</v>
      </c>
      <c r="K79" s="22">
        <f>VLOOKUP($A79,[1]maaltijden!$A$1:$IV$65536,17,FALSE)</f>
        <v>2.5</v>
      </c>
      <c r="L79" s="22">
        <f>VLOOKUP($A79,[1]maaltijden!$A$1:$IV$65536,20,FALSE)</f>
        <v>2200</v>
      </c>
      <c r="M79" s="22">
        <f>VLOOKUP($A79,[1]maaltijden!$A$1:$IV$65536,22,FALSE)</f>
        <v>2200</v>
      </c>
      <c r="N79" s="135"/>
      <c r="O79" s="50"/>
      <c r="P79" s="19">
        <v>0</v>
      </c>
      <c r="Q79" s="20">
        <v>1</v>
      </c>
      <c r="R79" s="21">
        <v>0</v>
      </c>
      <c r="S79" s="19">
        <v>0</v>
      </c>
      <c r="T79" s="20">
        <v>1</v>
      </c>
      <c r="U79" s="19">
        <v>1</v>
      </c>
      <c r="V79" s="20">
        <v>1</v>
      </c>
      <c r="W79" s="20">
        <v>1</v>
      </c>
      <c r="X79" s="20">
        <v>1</v>
      </c>
      <c r="Y79" s="20">
        <v>1</v>
      </c>
      <c r="Z79" s="20">
        <v>0</v>
      </c>
      <c r="AA79" s="20">
        <v>0</v>
      </c>
      <c r="AB79" s="49">
        <v>0</v>
      </c>
      <c r="AC79" s="49">
        <v>0</v>
      </c>
      <c r="AD79" s="49">
        <v>0</v>
      </c>
      <c r="AE79" s="49">
        <v>0</v>
      </c>
      <c r="AF79" s="49">
        <v>0</v>
      </c>
      <c r="AG79" s="161">
        <v>1</v>
      </c>
      <c r="AH79" s="174">
        <v>1</v>
      </c>
      <c r="AI79" s="162">
        <v>0</v>
      </c>
      <c r="AJ79" s="162">
        <v>0</v>
      </c>
      <c r="AK79" s="162">
        <v>0</v>
      </c>
      <c r="AL79" s="163">
        <v>0</v>
      </c>
      <c r="AM79" s="19">
        <v>0</v>
      </c>
      <c r="AN79" s="20">
        <f>IFERROR(INDEX([2]lijnopstellingsfiche!$AP$1:$AP$65536,MATCH(A79,[2]lijnopstellingsfiche!$AQ$1:$AQ$65536,0)),"")</f>
        <v>2</v>
      </c>
      <c r="AO79" s="20">
        <v>1</v>
      </c>
      <c r="AP79" s="20">
        <v>0</v>
      </c>
      <c r="AQ79" s="20">
        <v>2</v>
      </c>
      <c r="AR79" s="20">
        <v>0</v>
      </c>
      <c r="AS79" s="20">
        <v>0</v>
      </c>
      <c r="AT79" s="20">
        <v>1</v>
      </c>
      <c r="AU79" s="20">
        <v>0</v>
      </c>
      <c r="AV79" s="23">
        <v>0</v>
      </c>
      <c r="AW79" s="108">
        <v>0</v>
      </c>
      <c r="AX79" s="108">
        <v>0</v>
      </c>
      <c r="AY79" s="108">
        <v>1</v>
      </c>
      <c r="AZ79" s="108">
        <v>0</v>
      </c>
      <c r="BA79" s="114">
        <v>1</v>
      </c>
      <c r="BB79" s="20">
        <v>0</v>
      </c>
      <c r="BC79" s="113">
        <v>0</v>
      </c>
      <c r="BD79" s="200" t="str">
        <f>VLOOKUP($A79,'[3]allergenen 6nr'!$A$1:$O$1310,3,FALSE)</f>
        <v>-</v>
      </c>
      <c r="BE79" s="201" t="str">
        <f>VLOOKUP($A79,'[3]allergenen 6nr'!$A$1:$O$1310,4,FALSE)</f>
        <v>X</v>
      </c>
      <c r="BF79" s="201" t="str">
        <f>VLOOKUP($A79,'[3]allergenen 6nr'!$A$1:$O$1310,5,FALSE)</f>
        <v>+</v>
      </c>
      <c r="BG79" s="201" t="str">
        <f>VLOOKUP($A79,'[3]allergenen 6nr'!$A$1:$O$1310,6,FALSE)</f>
        <v>X</v>
      </c>
      <c r="BH79" s="201" t="str">
        <f>VLOOKUP($A79,'[3]allergenen 6nr'!$A$1:$O$1310,7,FALSE)</f>
        <v>+</v>
      </c>
      <c r="BI79" s="201" t="str">
        <f>VLOOKUP($A79,'[3]allergenen 6nr'!$A$1:$O$1310,8,FALSE)</f>
        <v>X</v>
      </c>
      <c r="BJ79" s="201" t="str">
        <f>VLOOKUP($A79,'[3]allergenen 6nr'!$A$1:$O$1310,9,FALSE)</f>
        <v>-</v>
      </c>
      <c r="BK79" s="201" t="str">
        <f>VLOOKUP($A79,'[3]allergenen 6nr'!$A$1:$O$1310,10,FALSE)</f>
        <v>+</v>
      </c>
      <c r="BL79" s="201" t="str">
        <f>VLOOKUP($A79,'[3]allergenen 6nr'!$A$1:$O$1310,11,FALSE)</f>
        <v>-</v>
      </c>
      <c r="BM79" s="201" t="str">
        <f>VLOOKUP($A79,'[3]allergenen 6nr'!$A$1:$O$1310,12,FALSE)</f>
        <v>-</v>
      </c>
      <c r="BN79" s="201" t="str">
        <f>VLOOKUP($A79,'[3]allergenen 6nr'!$A$1:$O$1310,13,FALSE)</f>
        <v>X</v>
      </c>
      <c r="BO79" s="201" t="str">
        <f>VLOOKUP($A79,'[3]allergenen 6nr'!$A$1:$O$1310,14,FALSE)</f>
        <v>+</v>
      </c>
      <c r="BP79" s="202" t="str">
        <f>VLOOKUP($A79,'[3]allergenen 6nr'!$A$1:$O$1310,15,FALSE)</f>
        <v>X</v>
      </c>
    </row>
    <row r="80" spans="1:68" x14ac:dyDescent="0.2">
      <c r="A80" s="89">
        <v>63312200</v>
      </c>
      <c r="B80" s="53" t="str">
        <f>VLOOKUP($A80,[1]maaltijden!$A$1:$IV$65536,4,FALSE)</f>
        <v xml:space="preserve">DMH MACARONI HAM KAAS                 </v>
      </c>
      <c r="C80" s="46" t="str">
        <f>VLOOKUP($A80,[1]maaltijden!$A$1:$IV$65536,7,FALSE)</f>
        <v>UK-57</v>
      </c>
      <c r="D80" s="22" t="str">
        <f>VLOOKUP($A80,[1]maaltijden!$A$1:$IV$65536,10,FALSE)</f>
        <v>NVT</v>
      </c>
      <c r="E80" s="22" t="str">
        <f>VLOOKUP($A80,[1]maaltijden!$A$1:$IV$65536,13,FALSE)</f>
        <v>DMH X 6</v>
      </c>
      <c r="F80" s="20">
        <f t="shared" si="1"/>
        <v>0</v>
      </c>
      <c r="G80" s="20" t="str">
        <f>VLOOKUP($A80,[1]maaltijden!$A$1:$IV$65536,27,FALSE)</f>
        <v>! !</v>
      </c>
      <c r="H80" s="22">
        <f>VLOOKUP($A80,[1]maaltijden!$A$1:$IV$65536,21,FALSE)</f>
        <v>4</v>
      </c>
      <c r="I80" s="22">
        <f>VLOOKUP($A80,[1]maaltijden!$A$1:$IV$65536,21,FALSE)</f>
        <v>4</v>
      </c>
      <c r="J80" s="22">
        <f>VLOOKUP($A80,[1]maaltijden!$A$1:$IV$65536,18,FALSE)</f>
        <v>3</v>
      </c>
      <c r="K80" s="22">
        <f>VLOOKUP($A80,[1]maaltijden!$A$1:$IV$65536,17,FALSE)</f>
        <v>2.5</v>
      </c>
      <c r="L80" s="22">
        <f>VLOOKUP($A80,[1]maaltijden!$A$1:$IV$65536,20,FALSE)</f>
        <v>2500</v>
      </c>
      <c r="M80" s="22">
        <f>VLOOKUP($A80,[1]maaltijden!$A$1:$IV$65536,22,FALSE)</f>
        <v>2500</v>
      </c>
      <c r="N80" s="135"/>
      <c r="O80" s="50"/>
      <c r="P80" s="19">
        <v>0</v>
      </c>
      <c r="Q80" s="20">
        <v>1</v>
      </c>
      <c r="R80" s="21">
        <v>0</v>
      </c>
      <c r="S80" s="19">
        <v>0</v>
      </c>
      <c r="T80" s="20">
        <v>1</v>
      </c>
      <c r="U80" s="19">
        <v>1</v>
      </c>
      <c r="V80" s="20">
        <v>1</v>
      </c>
      <c r="W80" s="20">
        <v>1</v>
      </c>
      <c r="X80" s="20">
        <v>1</v>
      </c>
      <c r="Y80" s="20">
        <v>1</v>
      </c>
      <c r="Z80" s="20">
        <v>0</v>
      </c>
      <c r="AA80" s="20">
        <v>0</v>
      </c>
      <c r="AB80" s="49">
        <v>0</v>
      </c>
      <c r="AC80" s="49">
        <v>0</v>
      </c>
      <c r="AD80" s="49">
        <v>0</v>
      </c>
      <c r="AE80" s="49">
        <v>0</v>
      </c>
      <c r="AF80" s="49">
        <v>0</v>
      </c>
      <c r="AG80" s="161">
        <v>1</v>
      </c>
      <c r="AH80" s="162">
        <v>2</v>
      </c>
      <c r="AI80" s="162">
        <v>0</v>
      </c>
      <c r="AJ80" s="162">
        <v>0</v>
      </c>
      <c r="AK80" s="162">
        <v>0</v>
      </c>
      <c r="AL80" s="163">
        <v>0</v>
      </c>
      <c r="AM80" s="19">
        <v>0</v>
      </c>
      <c r="AN80" s="20">
        <f>IFERROR(INDEX([2]lijnopstellingsfiche!$AP$1:$AP$65536,MATCH(A80,[2]lijnopstellingsfiche!$AQ$1:$AQ$65536,0)),"")</f>
        <v>1</v>
      </c>
      <c r="AO80" s="20">
        <v>1</v>
      </c>
      <c r="AP80" s="20">
        <v>1</v>
      </c>
      <c r="AQ80" s="20">
        <v>2</v>
      </c>
      <c r="AR80" s="20">
        <v>0</v>
      </c>
      <c r="AS80" s="20">
        <v>0</v>
      </c>
      <c r="AT80" s="20">
        <v>0</v>
      </c>
      <c r="AU80" s="20">
        <v>0</v>
      </c>
      <c r="AV80" s="23">
        <v>0</v>
      </c>
      <c r="AW80" s="108">
        <v>0</v>
      </c>
      <c r="AX80" s="108">
        <v>0</v>
      </c>
      <c r="AY80" s="108">
        <v>1</v>
      </c>
      <c r="AZ80" s="108">
        <v>0</v>
      </c>
      <c r="BA80" s="114">
        <v>1</v>
      </c>
      <c r="BB80" s="20">
        <v>0</v>
      </c>
      <c r="BC80" s="113">
        <v>0</v>
      </c>
      <c r="BD80" s="200" t="str">
        <f>VLOOKUP($A80,'[3]allergenen 6nr'!$A$1:$O$1310,3,FALSE)</f>
        <v>-</v>
      </c>
      <c r="BE80" s="201" t="str">
        <f>VLOOKUP($A80,'[3]allergenen 6nr'!$A$1:$O$1310,4,FALSE)</f>
        <v>X</v>
      </c>
      <c r="BF80" s="201" t="str">
        <f>VLOOKUP($A80,'[3]allergenen 6nr'!$A$1:$O$1310,5,FALSE)</f>
        <v>+</v>
      </c>
      <c r="BG80" s="201" t="str">
        <f>VLOOKUP($A80,'[3]allergenen 6nr'!$A$1:$O$1310,6,FALSE)</f>
        <v>X</v>
      </c>
      <c r="BH80" s="201" t="str">
        <f>VLOOKUP($A80,'[3]allergenen 6nr'!$A$1:$O$1310,7,FALSE)</f>
        <v>+</v>
      </c>
      <c r="BI80" s="201" t="str">
        <f>VLOOKUP($A80,'[3]allergenen 6nr'!$A$1:$O$1310,8,FALSE)</f>
        <v>X</v>
      </c>
      <c r="BJ80" s="201" t="str">
        <f>VLOOKUP($A80,'[3]allergenen 6nr'!$A$1:$O$1310,9,FALSE)</f>
        <v>-</v>
      </c>
      <c r="BK80" s="201" t="str">
        <f>VLOOKUP($A80,'[3]allergenen 6nr'!$A$1:$O$1310,10,FALSE)</f>
        <v>-</v>
      </c>
      <c r="BL80" s="201" t="str">
        <f>VLOOKUP($A80,'[3]allergenen 6nr'!$A$1:$O$1310,11,FALSE)</f>
        <v>-</v>
      </c>
      <c r="BM80" s="201" t="str">
        <f>VLOOKUP($A80,'[3]allergenen 6nr'!$A$1:$O$1310,12,FALSE)</f>
        <v>-</v>
      </c>
      <c r="BN80" s="201" t="str">
        <f>VLOOKUP($A80,'[3]allergenen 6nr'!$A$1:$O$1310,13,FALSE)</f>
        <v>X</v>
      </c>
      <c r="BO80" s="201" t="str">
        <f>VLOOKUP($A80,'[3]allergenen 6nr'!$A$1:$O$1310,14,FALSE)</f>
        <v>-</v>
      </c>
      <c r="BP80" s="202" t="str">
        <f>VLOOKUP($A80,'[3]allergenen 6nr'!$A$1:$O$1310,15,FALSE)</f>
        <v>-</v>
      </c>
    </row>
    <row r="81" spans="1:68" x14ac:dyDescent="0.2">
      <c r="A81" s="89">
        <v>63312400</v>
      </c>
      <c r="B81" s="53" t="str">
        <f>VLOOKUP($A81,[1]maaltijden!$A$1:$IV$65536,4,FALSE)</f>
        <v xml:space="preserve">DMH PENNE 4 KAZEN                             </v>
      </c>
      <c r="C81" s="46" t="str">
        <f>VLOOKUP($A81,[1]maaltijden!$A$1:$IV$65536,7,FALSE)</f>
        <v>UK-57</v>
      </c>
      <c r="D81" s="22" t="str">
        <f>VLOOKUP($A81,[1]maaltijden!$A$1:$IV$65536,10,FALSE)</f>
        <v>NVT</v>
      </c>
      <c r="E81" s="22" t="str">
        <f>VLOOKUP($A81,[1]maaltijden!$A$1:$IV$65536,13,FALSE)</f>
        <v>DMH X 6</v>
      </c>
      <c r="F81" s="20">
        <f t="shared" si="1"/>
        <v>0</v>
      </c>
      <c r="G81" s="20" t="str">
        <f>VLOOKUP($A81,[1]maaltijden!$A$1:$IV$65536,27,FALSE)</f>
        <v>! !</v>
      </c>
      <c r="H81" s="22">
        <f>VLOOKUP($A81,[1]maaltijden!$A$1:$IV$65536,21,FALSE)</f>
        <v>5</v>
      </c>
      <c r="I81" s="22">
        <f>VLOOKUP($A81,[1]maaltijden!$A$1:$IV$65536,21,FALSE)</f>
        <v>5</v>
      </c>
      <c r="J81" s="22">
        <f>VLOOKUP($A81,[1]maaltijden!$A$1:$IV$65536,18,FALSE)</f>
        <v>3</v>
      </c>
      <c r="K81" s="22">
        <f>VLOOKUP($A81,[1]maaltijden!$A$1:$IV$65536,17,FALSE)</f>
        <v>2.5</v>
      </c>
      <c r="L81" s="22">
        <f>VLOOKUP($A81,[1]maaltijden!$A$1:$IV$65536,20,FALSE)</f>
        <v>2500</v>
      </c>
      <c r="M81" s="22">
        <f>VLOOKUP($A81,[1]maaltijden!$A$1:$IV$65536,22,FALSE)</f>
        <v>2500</v>
      </c>
      <c r="N81" s="135"/>
      <c r="O81" s="50"/>
      <c r="P81" s="19">
        <v>0</v>
      </c>
      <c r="Q81" s="20">
        <v>1</v>
      </c>
      <c r="R81" s="21">
        <v>0</v>
      </c>
      <c r="S81" s="19">
        <v>0</v>
      </c>
      <c r="T81" s="20">
        <v>1</v>
      </c>
      <c r="U81" s="19">
        <v>1</v>
      </c>
      <c r="V81" s="20">
        <v>1</v>
      </c>
      <c r="W81" s="20">
        <v>1</v>
      </c>
      <c r="X81" s="20">
        <v>1</v>
      </c>
      <c r="Y81" s="20">
        <v>1</v>
      </c>
      <c r="Z81" s="20">
        <v>0</v>
      </c>
      <c r="AA81" s="20">
        <v>0</v>
      </c>
      <c r="AB81" s="49">
        <v>0</v>
      </c>
      <c r="AC81" s="49">
        <v>0</v>
      </c>
      <c r="AD81" s="49">
        <v>0</v>
      </c>
      <c r="AE81" s="49">
        <v>0</v>
      </c>
      <c r="AF81" s="49">
        <v>0</v>
      </c>
      <c r="AG81" s="161">
        <v>1</v>
      </c>
      <c r="AH81" s="162">
        <v>2</v>
      </c>
      <c r="AI81" s="162">
        <v>0</v>
      </c>
      <c r="AJ81" s="162">
        <v>0</v>
      </c>
      <c r="AK81" s="162">
        <v>0</v>
      </c>
      <c r="AL81" s="163">
        <v>0</v>
      </c>
      <c r="AM81" s="19">
        <v>0</v>
      </c>
      <c r="AN81" s="20">
        <f>IFERROR(INDEX([2]lijnopstellingsfiche!$AP$1:$AP$65536,MATCH(A81,[2]lijnopstellingsfiche!$AQ$1:$AQ$65536,0)),"")</f>
        <v>1</v>
      </c>
      <c r="AO81" s="20">
        <v>1</v>
      </c>
      <c r="AP81" s="20">
        <v>1</v>
      </c>
      <c r="AQ81" s="20">
        <v>2</v>
      </c>
      <c r="AR81" s="20">
        <v>0</v>
      </c>
      <c r="AS81" s="20">
        <v>0</v>
      </c>
      <c r="AT81" s="20">
        <v>0</v>
      </c>
      <c r="AU81" s="20">
        <v>0</v>
      </c>
      <c r="AV81" s="23">
        <v>0</v>
      </c>
      <c r="AW81" s="108">
        <v>0</v>
      </c>
      <c r="AX81" s="108">
        <v>0</v>
      </c>
      <c r="AY81" s="108">
        <v>1</v>
      </c>
      <c r="AZ81" s="108">
        <v>0</v>
      </c>
      <c r="BA81" s="114">
        <v>1</v>
      </c>
      <c r="BB81" s="20">
        <v>0</v>
      </c>
      <c r="BC81" s="113">
        <v>0</v>
      </c>
      <c r="BD81" s="200" t="str">
        <f>VLOOKUP($A81,'[3]allergenen 6nr'!$A$1:$O$1310,3,FALSE)</f>
        <v>-</v>
      </c>
      <c r="BE81" s="201" t="str">
        <f>VLOOKUP($A81,'[3]allergenen 6nr'!$A$1:$O$1310,4,FALSE)</f>
        <v>X</v>
      </c>
      <c r="BF81" s="201" t="str">
        <f>VLOOKUP($A81,'[3]allergenen 6nr'!$A$1:$O$1310,5,FALSE)</f>
        <v>+</v>
      </c>
      <c r="BG81" s="201" t="str">
        <f>VLOOKUP($A81,'[3]allergenen 6nr'!$A$1:$O$1310,6,FALSE)</f>
        <v>X</v>
      </c>
      <c r="BH81" s="201" t="str">
        <f>VLOOKUP($A81,'[3]allergenen 6nr'!$A$1:$O$1310,7,FALSE)</f>
        <v>+</v>
      </c>
      <c r="BI81" s="201" t="str">
        <f>VLOOKUP($A81,'[3]allergenen 6nr'!$A$1:$O$1310,8,FALSE)</f>
        <v>X</v>
      </c>
      <c r="BJ81" s="201" t="str">
        <f>VLOOKUP($A81,'[3]allergenen 6nr'!$A$1:$O$1310,9,FALSE)</f>
        <v>-</v>
      </c>
      <c r="BK81" s="201" t="str">
        <f>VLOOKUP($A81,'[3]allergenen 6nr'!$A$1:$O$1310,10,FALSE)</f>
        <v>-</v>
      </c>
      <c r="BL81" s="201" t="str">
        <f>VLOOKUP($A81,'[3]allergenen 6nr'!$A$1:$O$1310,11,FALSE)</f>
        <v>-</v>
      </c>
      <c r="BM81" s="201" t="str">
        <f>VLOOKUP($A81,'[3]allergenen 6nr'!$A$1:$O$1310,12,FALSE)</f>
        <v>-</v>
      </c>
      <c r="BN81" s="201" t="str">
        <f>VLOOKUP($A81,'[3]allergenen 6nr'!$A$1:$O$1310,13,FALSE)</f>
        <v>X</v>
      </c>
      <c r="BO81" s="201" t="str">
        <f>VLOOKUP($A81,'[3]allergenen 6nr'!$A$1:$O$1310,14,FALSE)</f>
        <v>-</v>
      </c>
      <c r="BP81" s="202" t="str">
        <f>VLOOKUP($A81,'[3]allergenen 6nr'!$A$1:$O$1310,15,FALSE)</f>
        <v>-</v>
      </c>
    </row>
    <row r="82" spans="1:68" x14ac:dyDescent="0.2">
      <c r="A82" s="89">
        <v>63312600</v>
      </c>
      <c r="B82" s="53" t="str">
        <f>VLOOKUP($A82,[1]maaltijden!$A$1:$IV$65536,4,FALSE)</f>
        <v xml:space="preserve">DMH PENNE PESTO  KIP                 </v>
      </c>
      <c r="C82" s="46" t="str">
        <f>VLOOKUP($A82,[1]maaltijden!$A$1:$IV$65536,7,FALSE)</f>
        <v>UK-57</v>
      </c>
      <c r="D82" s="22" t="str">
        <f>VLOOKUP($A82,[1]maaltijden!$A$1:$IV$65536,10,FALSE)</f>
        <v>NVT</v>
      </c>
      <c r="E82" s="22" t="str">
        <f>VLOOKUP($A82,[1]maaltijden!$A$1:$IV$65536,13,FALSE)</f>
        <v>DMH X 6</v>
      </c>
      <c r="F82" s="20">
        <f t="shared" si="1"/>
        <v>0</v>
      </c>
      <c r="G82" s="20" t="str">
        <f>VLOOKUP($A82,[1]maaltijden!$A$1:$IV$65536,27,FALSE)</f>
        <v>! ! ! ! !</v>
      </c>
      <c r="H82" s="22">
        <f>VLOOKUP($A82,[1]maaltijden!$A$1:$IV$65536,21,FALSE)</f>
        <v>6</v>
      </c>
      <c r="I82" s="22">
        <f>VLOOKUP($A82,[1]maaltijden!$A$1:$IV$65536,21,FALSE)</f>
        <v>6</v>
      </c>
      <c r="J82" s="22">
        <f>VLOOKUP($A82,[1]maaltijden!$A$1:$IV$65536,18,FALSE)</f>
        <v>3</v>
      </c>
      <c r="K82" s="22">
        <f>VLOOKUP($A82,[1]maaltijden!$A$1:$IV$65536,17,FALSE)</f>
        <v>3</v>
      </c>
      <c r="L82" s="22">
        <f>VLOOKUP($A82,[1]maaltijden!$A$1:$IV$65536,20,FALSE)</f>
        <v>2200</v>
      </c>
      <c r="M82" s="22">
        <f>VLOOKUP($A82,[1]maaltijden!$A$1:$IV$65536,22,FALSE)</f>
        <v>2200</v>
      </c>
      <c r="N82" s="135"/>
      <c r="O82" s="50"/>
      <c r="P82" s="19">
        <v>0</v>
      </c>
      <c r="Q82" s="20">
        <v>1</v>
      </c>
      <c r="R82" s="21">
        <v>0</v>
      </c>
      <c r="S82" s="19">
        <v>0</v>
      </c>
      <c r="T82" s="20">
        <v>1</v>
      </c>
      <c r="U82" s="19">
        <v>1</v>
      </c>
      <c r="V82" s="20">
        <v>1</v>
      </c>
      <c r="W82" s="20">
        <v>1</v>
      </c>
      <c r="X82" s="20">
        <v>1</v>
      </c>
      <c r="Y82" s="20">
        <v>1</v>
      </c>
      <c r="Z82" s="20">
        <v>0</v>
      </c>
      <c r="AA82" s="20">
        <v>0</v>
      </c>
      <c r="AB82" s="49">
        <v>0</v>
      </c>
      <c r="AC82" s="49">
        <v>0</v>
      </c>
      <c r="AD82" s="49">
        <v>0</v>
      </c>
      <c r="AE82" s="49">
        <v>0</v>
      </c>
      <c r="AF82" s="49">
        <v>0</v>
      </c>
      <c r="AG82" s="161">
        <v>1</v>
      </c>
      <c r="AH82" s="162">
        <v>1</v>
      </c>
      <c r="AI82" s="162">
        <v>0</v>
      </c>
      <c r="AJ82" s="162">
        <v>0</v>
      </c>
      <c r="AK82" s="162">
        <v>0</v>
      </c>
      <c r="AL82" s="163">
        <v>0</v>
      </c>
      <c r="AM82" s="19">
        <v>0</v>
      </c>
      <c r="AN82" s="20">
        <f>IFERROR(INDEX([2]lijnopstellingsfiche!$AP$1:$AP$65536,MATCH(A82,[2]lijnopstellingsfiche!$AQ$1:$AQ$65536,0)),"")</f>
        <v>2</v>
      </c>
      <c r="AO82" s="20">
        <v>1</v>
      </c>
      <c r="AP82" s="20">
        <v>0</v>
      </c>
      <c r="AQ82" s="20">
        <v>1</v>
      </c>
      <c r="AR82" s="20">
        <v>0</v>
      </c>
      <c r="AS82" s="20">
        <v>0</v>
      </c>
      <c r="AT82" s="20">
        <v>1</v>
      </c>
      <c r="AU82" s="20">
        <v>0</v>
      </c>
      <c r="AV82" s="23">
        <v>0</v>
      </c>
      <c r="AW82" s="108">
        <v>0</v>
      </c>
      <c r="AX82" s="108">
        <v>0</v>
      </c>
      <c r="AY82" s="108">
        <v>1</v>
      </c>
      <c r="AZ82" s="108">
        <v>0</v>
      </c>
      <c r="BA82" s="114">
        <v>1</v>
      </c>
      <c r="BB82" s="20">
        <v>0</v>
      </c>
      <c r="BC82" s="113">
        <v>0</v>
      </c>
      <c r="BD82" s="200" t="str">
        <f>VLOOKUP($A82,'[3]allergenen 6nr'!$A$1:$O$1310,3,FALSE)</f>
        <v>-</v>
      </c>
      <c r="BE82" s="201" t="str">
        <f>VLOOKUP($A82,'[3]allergenen 6nr'!$A$1:$O$1310,4,FALSE)</f>
        <v>X</v>
      </c>
      <c r="BF82" s="201" t="str">
        <f>VLOOKUP($A82,'[3]allergenen 6nr'!$A$1:$O$1310,5,FALSE)</f>
        <v>+</v>
      </c>
      <c r="BG82" s="201" t="str">
        <f>VLOOKUP($A82,'[3]allergenen 6nr'!$A$1:$O$1310,6,FALSE)</f>
        <v>X</v>
      </c>
      <c r="BH82" s="201" t="str">
        <f>VLOOKUP($A82,'[3]allergenen 6nr'!$A$1:$O$1310,7,FALSE)</f>
        <v>-</v>
      </c>
      <c r="BI82" s="201" t="str">
        <f>VLOOKUP($A82,'[3]allergenen 6nr'!$A$1:$O$1310,8,FALSE)</f>
        <v>X</v>
      </c>
      <c r="BJ82" s="201" t="str">
        <f>VLOOKUP($A82,'[3]allergenen 6nr'!$A$1:$O$1310,9,FALSE)</f>
        <v>+</v>
      </c>
      <c r="BK82" s="201" t="str">
        <f>VLOOKUP($A82,'[3]allergenen 6nr'!$A$1:$O$1310,10,FALSE)</f>
        <v>-</v>
      </c>
      <c r="BL82" s="201" t="str">
        <f>VLOOKUP($A82,'[3]allergenen 6nr'!$A$1:$O$1310,11,FALSE)</f>
        <v>-</v>
      </c>
      <c r="BM82" s="201" t="str">
        <f>VLOOKUP($A82,'[3]allergenen 6nr'!$A$1:$O$1310,12,FALSE)</f>
        <v>-</v>
      </c>
      <c r="BN82" s="201" t="str">
        <f>VLOOKUP($A82,'[3]allergenen 6nr'!$A$1:$O$1310,13,FALSE)</f>
        <v>X</v>
      </c>
      <c r="BO82" s="201" t="str">
        <f>VLOOKUP($A82,'[3]allergenen 6nr'!$A$1:$O$1310,14,FALSE)</f>
        <v>-</v>
      </c>
      <c r="BP82" s="202" t="str">
        <f>VLOOKUP($A82,'[3]allergenen 6nr'!$A$1:$O$1310,15,FALSE)</f>
        <v>-</v>
      </c>
    </row>
    <row r="83" spans="1:68" x14ac:dyDescent="0.2">
      <c r="A83" s="89">
        <v>63313000</v>
      </c>
      <c r="B83" s="53" t="str">
        <f>VLOOKUP($A83,[1]maaltijden!$A$1:$IV$65536,4,FALSE)</f>
        <v xml:space="preserve">DMH OOSTENDS VISPANNETJE                          </v>
      </c>
      <c r="C83" s="46" t="str">
        <f>VLOOKUP($A83,[1]maaltijden!$A$1:$IV$65536,7,FALSE)</f>
        <v>UK-57</v>
      </c>
      <c r="D83" s="22" t="str">
        <f>VLOOKUP($A83,[1]maaltijden!$A$1:$IV$65536,10,FALSE)</f>
        <v>NVT</v>
      </c>
      <c r="E83" s="22" t="str">
        <f>VLOOKUP($A83,[1]maaltijden!$A$1:$IV$65536,13,FALSE)</f>
        <v>DMH X 6</v>
      </c>
      <c r="F83" s="20">
        <f t="shared" si="1"/>
        <v>0</v>
      </c>
      <c r="G83" s="20" t="str">
        <f>VLOOKUP($A83,[1]maaltijden!$A$1:$IV$65536,27,FALSE)</f>
        <v>! ! ! !</v>
      </c>
      <c r="H83" s="22">
        <f>VLOOKUP($A83,[1]maaltijden!$A$1:$IV$65536,21,FALSE)</f>
        <v>7</v>
      </c>
      <c r="I83" s="22">
        <f>VLOOKUP($A83,[1]maaltijden!$A$1:$IV$65536,21,FALSE)</f>
        <v>7</v>
      </c>
      <c r="J83" s="22">
        <f>VLOOKUP($A83,[1]maaltijden!$A$1:$IV$65536,18,FALSE)</f>
        <v>3</v>
      </c>
      <c r="K83" s="22">
        <f>VLOOKUP($A83,[1]maaltijden!$A$1:$IV$65536,17,FALSE)</f>
        <v>2</v>
      </c>
      <c r="L83" s="22">
        <f>VLOOKUP($A83,[1]maaltijden!$A$1:$IV$65536,20,FALSE)</f>
        <v>2500</v>
      </c>
      <c r="M83" s="22">
        <f>VLOOKUP($A83,[1]maaltijden!$A$1:$IV$65536,22,FALSE)</f>
        <v>2500</v>
      </c>
      <c r="N83" s="135"/>
      <c r="O83" s="50"/>
      <c r="P83" s="19">
        <v>0</v>
      </c>
      <c r="Q83" s="20">
        <v>1</v>
      </c>
      <c r="R83" s="21">
        <v>0</v>
      </c>
      <c r="S83" s="19">
        <v>0</v>
      </c>
      <c r="T83" s="20">
        <v>1</v>
      </c>
      <c r="U83" s="19">
        <v>1</v>
      </c>
      <c r="V83" s="20">
        <v>1</v>
      </c>
      <c r="W83" s="20">
        <v>1</v>
      </c>
      <c r="X83" s="20">
        <v>1</v>
      </c>
      <c r="Y83" s="20">
        <v>1</v>
      </c>
      <c r="Z83" s="20">
        <v>0</v>
      </c>
      <c r="AA83" s="20">
        <v>0</v>
      </c>
      <c r="AB83" s="49">
        <v>0</v>
      </c>
      <c r="AC83" s="49">
        <v>0</v>
      </c>
      <c r="AD83" s="49">
        <v>0</v>
      </c>
      <c r="AE83" s="49">
        <v>0</v>
      </c>
      <c r="AF83" s="49">
        <v>0</v>
      </c>
      <c r="AG83" s="161">
        <v>0</v>
      </c>
      <c r="AH83" s="162">
        <v>1</v>
      </c>
      <c r="AI83" s="162">
        <v>0</v>
      </c>
      <c r="AJ83" s="162">
        <v>0</v>
      </c>
      <c r="AK83" s="162">
        <v>0</v>
      </c>
      <c r="AL83" s="163">
        <v>0</v>
      </c>
      <c r="AM83" s="19">
        <v>0</v>
      </c>
      <c r="AN83" s="20" t="str">
        <f>IFERROR(INDEX([2]lijnopstellingsfiche!$AP$1:$AP$65536,MATCH(A83,[2]lijnopstellingsfiche!$AQ$1:$AQ$65536,0)),"")</f>
        <v>-</v>
      </c>
      <c r="AO83" s="20">
        <v>0</v>
      </c>
      <c r="AP83" s="20">
        <v>1</v>
      </c>
      <c r="AQ83" s="20">
        <v>1</v>
      </c>
      <c r="AR83" s="20">
        <v>0</v>
      </c>
      <c r="AS83" s="20">
        <v>0</v>
      </c>
      <c r="AT83" s="20">
        <v>0</v>
      </c>
      <c r="AU83" s="20">
        <v>0</v>
      </c>
      <c r="AV83" s="23">
        <v>0</v>
      </c>
      <c r="AW83" s="108">
        <v>0</v>
      </c>
      <c r="AX83" s="108">
        <v>0</v>
      </c>
      <c r="AY83" s="108">
        <v>1</v>
      </c>
      <c r="AZ83" s="108">
        <v>0</v>
      </c>
      <c r="BA83" s="114">
        <v>1</v>
      </c>
      <c r="BB83" s="20">
        <v>0</v>
      </c>
      <c r="BC83" s="113">
        <v>0</v>
      </c>
      <c r="BD83" s="200" t="str">
        <f>VLOOKUP($A83,'[3]allergenen 6nr'!$A$1:$O$1310,3,FALSE)</f>
        <v>-</v>
      </c>
      <c r="BE83" s="201" t="str">
        <f>VLOOKUP($A83,'[3]allergenen 6nr'!$A$1:$O$1310,4,FALSE)</f>
        <v>-</v>
      </c>
      <c r="BF83" s="201" t="str">
        <f>VLOOKUP($A83,'[3]allergenen 6nr'!$A$1:$O$1310,5,FALSE)</f>
        <v>+</v>
      </c>
      <c r="BG83" s="201" t="str">
        <f>VLOOKUP($A83,'[3]allergenen 6nr'!$A$1:$O$1310,6,FALSE)</f>
        <v>X</v>
      </c>
      <c r="BH83" s="201" t="str">
        <f>VLOOKUP($A83,'[3]allergenen 6nr'!$A$1:$O$1310,7,FALSE)</f>
        <v>+</v>
      </c>
      <c r="BI83" s="201" t="str">
        <f>VLOOKUP($A83,'[3]allergenen 6nr'!$A$1:$O$1310,8,FALSE)</f>
        <v>X</v>
      </c>
      <c r="BJ83" s="201" t="str">
        <f>VLOOKUP($A83,'[3]allergenen 6nr'!$A$1:$O$1310,9,FALSE)</f>
        <v>-</v>
      </c>
      <c r="BK83" s="201" t="str">
        <f>VLOOKUP($A83,'[3]allergenen 6nr'!$A$1:$O$1310,10,FALSE)</f>
        <v>X</v>
      </c>
      <c r="BL83" s="201" t="str">
        <f>VLOOKUP($A83,'[3]allergenen 6nr'!$A$1:$O$1310,11,FALSE)</f>
        <v>+</v>
      </c>
      <c r="BM83" s="201" t="str">
        <f>VLOOKUP($A83,'[3]allergenen 6nr'!$A$1:$O$1310,12,FALSE)</f>
        <v>-</v>
      </c>
      <c r="BN83" s="201" t="str">
        <f>VLOOKUP($A83,'[3]allergenen 6nr'!$A$1:$O$1310,13,FALSE)</f>
        <v>X</v>
      </c>
      <c r="BO83" s="201" t="str">
        <f>VLOOKUP($A83,'[3]allergenen 6nr'!$A$1:$O$1310,14,FALSE)</f>
        <v>+</v>
      </c>
      <c r="BP83" s="202" t="str">
        <f>VLOOKUP($A83,'[3]allergenen 6nr'!$A$1:$O$1310,15,FALSE)</f>
        <v>X</v>
      </c>
    </row>
    <row r="84" spans="1:68" x14ac:dyDescent="0.2">
      <c r="A84" s="89">
        <v>63313100</v>
      </c>
      <c r="B84" s="53" t="str">
        <f>VLOOKUP($A84,[1]maaltijden!$A$1:$IV$65536,4,FALSE)</f>
        <v xml:space="preserve">DMH OOSTENDS VISPANNETJE MET PUREE       </v>
      </c>
      <c r="C84" s="46" t="str">
        <f>VLOOKUP($A84,[1]maaltijden!$A$1:$IV$65536,7,FALSE)</f>
        <v>UK-57</v>
      </c>
      <c r="D84" s="22" t="str">
        <f>VLOOKUP($A84,[1]maaltijden!$A$1:$IV$65536,10,FALSE)</f>
        <v>NVT</v>
      </c>
      <c r="E84" s="22" t="str">
        <f>VLOOKUP($A84,[1]maaltijden!$A$1:$IV$65536,13,FALSE)</f>
        <v>DMH X 6</v>
      </c>
      <c r="F84" s="20">
        <f t="shared" si="1"/>
        <v>0</v>
      </c>
      <c r="G84" s="20" t="str">
        <f>VLOOKUP($A84,[1]maaltijden!$A$1:$IV$65536,27,FALSE)</f>
        <v>! ! ! !</v>
      </c>
      <c r="H84" s="22">
        <f>VLOOKUP($A84,[1]maaltijden!$A$1:$IV$65536,21,FALSE)</f>
        <v>7</v>
      </c>
      <c r="I84" s="22">
        <f>VLOOKUP($A84,[1]maaltijden!$A$1:$IV$65536,21,FALSE)</f>
        <v>7</v>
      </c>
      <c r="J84" s="22">
        <f>VLOOKUP($A84,[1]maaltijden!$A$1:$IV$65536,18,FALSE)</f>
        <v>3</v>
      </c>
      <c r="K84" s="22">
        <f>VLOOKUP($A84,[1]maaltijden!$A$1:$IV$65536,17,FALSE)</f>
        <v>2</v>
      </c>
      <c r="L84" s="22">
        <f>VLOOKUP($A84,[1]maaltijden!$A$1:$IV$65536,20,FALSE)</f>
        <v>2200</v>
      </c>
      <c r="M84" s="22">
        <f>VLOOKUP($A84,[1]maaltijden!$A$1:$IV$65536,22,FALSE)</f>
        <v>2200</v>
      </c>
      <c r="N84" s="135"/>
      <c r="O84" s="50"/>
      <c r="P84" s="19">
        <v>0</v>
      </c>
      <c r="Q84" s="20">
        <v>1</v>
      </c>
      <c r="R84" s="21">
        <v>0</v>
      </c>
      <c r="S84" s="19">
        <v>0</v>
      </c>
      <c r="T84" s="20">
        <v>1</v>
      </c>
      <c r="U84" s="19">
        <v>1</v>
      </c>
      <c r="V84" s="20">
        <v>1</v>
      </c>
      <c r="W84" s="20">
        <v>1</v>
      </c>
      <c r="X84" s="20">
        <v>1</v>
      </c>
      <c r="Y84" s="20">
        <v>1</v>
      </c>
      <c r="Z84" s="20">
        <v>0</v>
      </c>
      <c r="AA84" s="20">
        <v>0</v>
      </c>
      <c r="AB84" s="49">
        <v>0</v>
      </c>
      <c r="AC84" s="49">
        <v>0</v>
      </c>
      <c r="AD84" s="49">
        <v>0</v>
      </c>
      <c r="AE84" s="49">
        <v>0</v>
      </c>
      <c r="AF84" s="49">
        <v>0</v>
      </c>
      <c r="AG84" s="161">
        <v>0</v>
      </c>
      <c r="AH84" s="162">
        <v>2</v>
      </c>
      <c r="AI84" s="162">
        <v>0</v>
      </c>
      <c r="AJ84" s="162">
        <v>0</v>
      </c>
      <c r="AK84" s="162">
        <v>0</v>
      </c>
      <c r="AL84" s="163">
        <v>0</v>
      </c>
      <c r="AM84" s="19">
        <v>0</v>
      </c>
      <c r="AN84" s="20" t="str">
        <f>IFERROR(INDEX([2]lijnopstellingsfiche!$AP$1:$AP$65536,MATCH(A84,[2]lijnopstellingsfiche!$AQ$1:$AQ$65536,0)),"")</f>
        <v>-</v>
      </c>
      <c r="AO84" s="20">
        <v>0</v>
      </c>
      <c r="AP84" s="20">
        <v>1</v>
      </c>
      <c r="AQ84" s="20">
        <v>1</v>
      </c>
      <c r="AR84" s="20">
        <v>1</v>
      </c>
      <c r="AS84" s="20">
        <v>0</v>
      </c>
      <c r="AT84" s="20">
        <v>0</v>
      </c>
      <c r="AU84" s="20">
        <v>0</v>
      </c>
      <c r="AV84" s="23">
        <v>0</v>
      </c>
      <c r="AW84" s="108">
        <v>0</v>
      </c>
      <c r="AX84" s="108">
        <v>0</v>
      </c>
      <c r="AY84" s="108">
        <v>1</v>
      </c>
      <c r="AZ84" s="108">
        <v>0</v>
      </c>
      <c r="BA84" s="114">
        <v>1</v>
      </c>
      <c r="BB84" s="20">
        <v>0</v>
      </c>
      <c r="BC84" s="113">
        <v>0</v>
      </c>
      <c r="BD84" s="200" t="str">
        <f>VLOOKUP($A84,'[3]allergenen 6nr'!$A$1:$O$1310,3,FALSE)</f>
        <v>-</v>
      </c>
      <c r="BE84" s="201" t="str">
        <f>VLOOKUP($A84,'[3]allergenen 6nr'!$A$1:$O$1310,4,FALSE)</f>
        <v>+</v>
      </c>
      <c r="BF84" s="201" t="str">
        <f>VLOOKUP($A84,'[3]allergenen 6nr'!$A$1:$O$1310,5,FALSE)</f>
        <v>+</v>
      </c>
      <c r="BG84" s="201" t="str">
        <f>VLOOKUP($A84,'[3]allergenen 6nr'!$A$1:$O$1310,6,FALSE)</f>
        <v>X</v>
      </c>
      <c r="BH84" s="201" t="str">
        <f>VLOOKUP($A84,'[3]allergenen 6nr'!$A$1:$O$1310,7,FALSE)</f>
        <v>+</v>
      </c>
      <c r="BI84" s="201" t="str">
        <f>VLOOKUP($A84,'[3]allergenen 6nr'!$A$1:$O$1310,8,FALSE)</f>
        <v>X</v>
      </c>
      <c r="BJ84" s="201" t="str">
        <f>VLOOKUP($A84,'[3]allergenen 6nr'!$A$1:$O$1310,9,FALSE)</f>
        <v>-</v>
      </c>
      <c r="BK84" s="201" t="str">
        <f>VLOOKUP($A84,'[3]allergenen 6nr'!$A$1:$O$1310,10,FALSE)</f>
        <v>X</v>
      </c>
      <c r="BL84" s="201" t="str">
        <f>VLOOKUP($A84,'[3]allergenen 6nr'!$A$1:$O$1310,11,FALSE)</f>
        <v>+</v>
      </c>
      <c r="BM84" s="201" t="str">
        <f>VLOOKUP($A84,'[3]allergenen 6nr'!$A$1:$O$1310,12,FALSE)</f>
        <v>-</v>
      </c>
      <c r="BN84" s="201" t="str">
        <f>VLOOKUP($A84,'[3]allergenen 6nr'!$A$1:$O$1310,13,FALSE)</f>
        <v>X</v>
      </c>
      <c r="BO84" s="201" t="str">
        <f>VLOOKUP($A84,'[3]allergenen 6nr'!$A$1:$O$1310,14,FALSE)</f>
        <v>+</v>
      </c>
      <c r="BP84" s="202" t="str">
        <f>VLOOKUP($A84,'[3]allergenen 6nr'!$A$1:$O$1310,15,FALSE)</f>
        <v>X</v>
      </c>
    </row>
    <row r="85" spans="1:68" x14ac:dyDescent="0.2">
      <c r="A85" s="89">
        <v>63313200</v>
      </c>
      <c r="B85" s="53" t="str">
        <f>VLOOKUP($A85,[1]maaltijden!$A$1:$IV$65536,4,FALSE)</f>
        <v xml:space="preserve">DMH VISPANNETJE KREEFTENSAUS                   </v>
      </c>
      <c r="C85" s="46" t="str">
        <f>VLOOKUP($A85,[1]maaltijden!$A$1:$IV$65536,7,FALSE)</f>
        <v>UK-57</v>
      </c>
      <c r="D85" s="22" t="str">
        <f>VLOOKUP($A85,[1]maaltijden!$A$1:$IV$65536,10,FALSE)</f>
        <v>NVT</v>
      </c>
      <c r="E85" s="22" t="str">
        <f>VLOOKUP($A85,[1]maaltijden!$A$1:$IV$65536,13,FALSE)</f>
        <v>DMH X 6</v>
      </c>
      <c r="F85" s="20">
        <f t="shared" si="1"/>
        <v>0</v>
      </c>
      <c r="G85" s="20" t="str">
        <f>VLOOKUP($A85,[1]maaltijden!$A$1:$IV$65536,27,FALSE)</f>
        <v>! ! ! !</v>
      </c>
      <c r="H85" s="22">
        <f>VLOOKUP($A85,[1]maaltijden!$A$1:$IV$65536,21,FALSE)</f>
        <v>8</v>
      </c>
      <c r="I85" s="22">
        <f>VLOOKUP($A85,[1]maaltijden!$A$1:$IV$65536,21,FALSE)</f>
        <v>8</v>
      </c>
      <c r="J85" s="22">
        <f>VLOOKUP($A85,[1]maaltijden!$A$1:$IV$65536,18,FALSE)</f>
        <v>3</v>
      </c>
      <c r="K85" s="22">
        <f>VLOOKUP($A85,[1]maaltijden!$A$1:$IV$65536,17,FALSE)</f>
        <v>1</v>
      </c>
      <c r="L85" s="22">
        <f>VLOOKUP($A85,[1]maaltijden!$A$1:$IV$65536,20,FALSE)</f>
        <v>2500</v>
      </c>
      <c r="M85" s="22">
        <f>VLOOKUP($A85,[1]maaltijden!$A$1:$IV$65536,22,FALSE)</f>
        <v>2500</v>
      </c>
      <c r="N85" s="135"/>
      <c r="O85" s="50"/>
      <c r="P85" s="19">
        <v>0</v>
      </c>
      <c r="Q85" s="20">
        <v>1</v>
      </c>
      <c r="R85" s="21">
        <v>0</v>
      </c>
      <c r="S85" s="19">
        <v>0</v>
      </c>
      <c r="T85" s="20">
        <v>1</v>
      </c>
      <c r="U85" s="19">
        <v>1</v>
      </c>
      <c r="V85" s="20">
        <v>1</v>
      </c>
      <c r="W85" s="20">
        <v>1</v>
      </c>
      <c r="X85" s="20">
        <v>1</v>
      </c>
      <c r="Y85" s="20">
        <v>1</v>
      </c>
      <c r="Z85" s="20">
        <v>0</v>
      </c>
      <c r="AA85" s="20">
        <v>0</v>
      </c>
      <c r="AB85" s="49">
        <v>0</v>
      </c>
      <c r="AC85" s="49">
        <v>0</v>
      </c>
      <c r="AD85" s="49">
        <v>0</v>
      </c>
      <c r="AE85" s="49">
        <v>0</v>
      </c>
      <c r="AF85" s="49">
        <v>0</v>
      </c>
      <c r="AG85" s="161">
        <v>0</v>
      </c>
      <c r="AH85" s="162">
        <v>1</v>
      </c>
      <c r="AI85" s="162">
        <v>0</v>
      </c>
      <c r="AJ85" s="162">
        <v>0</v>
      </c>
      <c r="AK85" s="162">
        <v>0</v>
      </c>
      <c r="AL85" s="163">
        <v>0</v>
      </c>
      <c r="AM85" s="19">
        <v>0</v>
      </c>
      <c r="AN85" s="20" t="str">
        <f>IFERROR(INDEX([2]lijnopstellingsfiche!$AP$1:$AP$65536,MATCH(A85,[2]lijnopstellingsfiche!$AQ$1:$AQ$65536,0)),"")</f>
        <v>-</v>
      </c>
      <c r="AO85" s="20">
        <v>0</v>
      </c>
      <c r="AP85" s="20">
        <v>1</v>
      </c>
      <c r="AQ85" s="20">
        <v>1</v>
      </c>
      <c r="AR85" s="20">
        <v>0</v>
      </c>
      <c r="AS85" s="20">
        <v>0</v>
      </c>
      <c r="AT85" s="20">
        <v>0</v>
      </c>
      <c r="AU85" s="20">
        <v>0</v>
      </c>
      <c r="AV85" s="23">
        <v>0</v>
      </c>
      <c r="AW85" s="108">
        <v>0</v>
      </c>
      <c r="AX85" s="108">
        <v>0</v>
      </c>
      <c r="AY85" s="108">
        <v>1</v>
      </c>
      <c r="AZ85" s="108">
        <v>0</v>
      </c>
      <c r="BA85" s="114">
        <v>1</v>
      </c>
      <c r="BB85" s="20">
        <v>0</v>
      </c>
      <c r="BC85" s="113">
        <v>0</v>
      </c>
      <c r="BD85" s="200" t="str">
        <f>VLOOKUP($A85,'[3]allergenen 6nr'!$A$1:$O$1310,3,FALSE)</f>
        <v>-</v>
      </c>
      <c r="BE85" s="201" t="str">
        <f>VLOOKUP($A85,'[3]allergenen 6nr'!$A$1:$O$1310,4,FALSE)</f>
        <v>-</v>
      </c>
      <c r="BF85" s="201" t="str">
        <f>VLOOKUP($A85,'[3]allergenen 6nr'!$A$1:$O$1310,5,FALSE)</f>
        <v>+</v>
      </c>
      <c r="BG85" s="201" t="str">
        <f>VLOOKUP($A85,'[3]allergenen 6nr'!$A$1:$O$1310,6,FALSE)</f>
        <v>X</v>
      </c>
      <c r="BH85" s="201" t="str">
        <f>VLOOKUP($A85,'[3]allergenen 6nr'!$A$1:$O$1310,7,FALSE)</f>
        <v>+</v>
      </c>
      <c r="BI85" s="201" t="str">
        <f>VLOOKUP($A85,'[3]allergenen 6nr'!$A$1:$O$1310,8,FALSE)</f>
        <v>X</v>
      </c>
      <c r="BJ85" s="201" t="str">
        <f>VLOOKUP($A85,'[3]allergenen 6nr'!$A$1:$O$1310,9,FALSE)</f>
        <v>-</v>
      </c>
      <c r="BK85" s="201" t="str">
        <f>VLOOKUP($A85,'[3]allergenen 6nr'!$A$1:$O$1310,10,FALSE)</f>
        <v>+</v>
      </c>
      <c r="BL85" s="201" t="str">
        <f>VLOOKUP($A85,'[3]allergenen 6nr'!$A$1:$O$1310,11,FALSE)</f>
        <v>+</v>
      </c>
      <c r="BM85" s="201" t="str">
        <f>VLOOKUP($A85,'[3]allergenen 6nr'!$A$1:$O$1310,12,FALSE)</f>
        <v>-</v>
      </c>
      <c r="BN85" s="201" t="str">
        <f>VLOOKUP($A85,'[3]allergenen 6nr'!$A$1:$O$1310,13,FALSE)</f>
        <v>X</v>
      </c>
      <c r="BO85" s="201" t="str">
        <f>VLOOKUP($A85,'[3]allergenen 6nr'!$A$1:$O$1310,14,FALSE)</f>
        <v>+</v>
      </c>
      <c r="BP85" s="202" t="str">
        <f>VLOOKUP($A85,'[3]allergenen 6nr'!$A$1:$O$1310,15,FALSE)</f>
        <v>X</v>
      </c>
    </row>
    <row r="86" spans="1:68" x14ac:dyDescent="0.2">
      <c r="A86" s="89">
        <v>63313300</v>
      </c>
      <c r="B86" s="53" t="str">
        <f>VLOOKUP($A86,[1]maaltijden!$A$1:$IV$65536,4,FALSE)</f>
        <v>DMH SCHARTONGROLLETJES DUGLERE</v>
      </c>
      <c r="C86" s="46" t="str">
        <f>VLOOKUP($A86,[1]maaltijden!$A$1:$IV$65536,7,FALSE)</f>
        <v>UK-57</v>
      </c>
      <c r="D86" s="22" t="str">
        <f>VLOOKUP($A86,[1]maaltijden!$A$1:$IV$65536,10,FALSE)</f>
        <v>NVT</v>
      </c>
      <c r="E86" s="22" t="str">
        <f>VLOOKUP($A86,[1]maaltijden!$A$1:$IV$65536,13,FALSE)</f>
        <v>DMH X 6</v>
      </c>
      <c r="F86" s="20">
        <f t="shared" si="1"/>
        <v>0</v>
      </c>
      <c r="G86" s="20" t="str">
        <f>VLOOKUP($A86,[1]maaltijden!$A$1:$IV$65536,27,FALSE)</f>
        <v>! ! ! !</v>
      </c>
      <c r="H86" s="22">
        <f>VLOOKUP($A86,[1]maaltijden!$A$1:$IV$65536,21,FALSE)</f>
        <v>3</v>
      </c>
      <c r="I86" s="22">
        <f>VLOOKUP($A86,[1]maaltijden!$A$1:$IV$65536,21,FALSE)</f>
        <v>3</v>
      </c>
      <c r="J86" s="22">
        <f>VLOOKUP($A86,[1]maaltijden!$A$1:$IV$65536,18,FALSE)</f>
        <v>3</v>
      </c>
      <c r="K86" s="22">
        <f>VLOOKUP($A86,[1]maaltijden!$A$1:$IV$65536,17,FALSE)</f>
        <v>1</v>
      </c>
      <c r="L86" s="22">
        <f>VLOOKUP($A86,[1]maaltijden!$A$1:$IV$65536,20,FALSE)</f>
        <v>2500</v>
      </c>
      <c r="M86" s="22">
        <f>VLOOKUP($A86,[1]maaltijden!$A$1:$IV$65536,22,FALSE)</f>
        <v>2500</v>
      </c>
      <c r="N86" s="135"/>
      <c r="O86" s="50"/>
      <c r="P86" s="19">
        <v>0</v>
      </c>
      <c r="Q86" s="20">
        <v>1</v>
      </c>
      <c r="R86" s="21">
        <v>0</v>
      </c>
      <c r="S86" s="19">
        <v>0</v>
      </c>
      <c r="T86" s="20">
        <v>1</v>
      </c>
      <c r="U86" s="19">
        <v>1</v>
      </c>
      <c r="V86" s="20">
        <v>1</v>
      </c>
      <c r="W86" s="20">
        <v>1</v>
      </c>
      <c r="X86" s="20">
        <v>1</v>
      </c>
      <c r="Y86" s="20">
        <v>1</v>
      </c>
      <c r="Z86" s="20">
        <v>0</v>
      </c>
      <c r="AA86" s="20">
        <v>0</v>
      </c>
      <c r="AB86" s="49">
        <v>0</v>
      </c>
      <c r="AC86" s="49">
        <v>0</v>
      </c>
      <c r="AD86" s="49">
        <v>0</v>
      </c>
      <c r="AE86" s="49">
        <v>0</v>
      </c>
      <c r="AF86" s="49">
        <v>0</v>
      </c>
      <c r="AG86" s="161">
        <v>0</v>
      </c>
      <c r="AH86" s="162">
        <v>1</v>
      </c>
      <c r="AI86" s="162">
        <v>0</v>
      </c>
      <c r="AJ86" s="162">
        <v>0</v>
      </c>
      <c r="AK86" s="162">
        <v>0</v>
      </c>
      <c r="AL86" s="163">
        <v>0</v>
      </c>
      <c r="AM86" s="19">
        <v>0</v>
      </c>
      <c r="AN86" s="20" t="str">
        <f>IFERROR(INDEX([2]lijnopstellingsfiche!$AP$1:$AP$65536,MATCH(A86,[2]lijnopstellingsfiche!$AQ$1:$AQ$65536,0)),"")</f>
        <v>-</v>
      </c>
      <c r="AO86" s="20">
        <v>0</v>
      </c>
      <c r="AP86" s="20">
        <v>1</v>
      </c>
      <c r="AQ86" s="20">
        <v>1</v>
      </c>
      <c r="AR86" s="20">
        <v>0</v>
      </c>
      <c r="AS86" s="20">
        <v>0</v>
      </c>
      <c r="AT86" s="20">
        <v>0</v>
      </c>
      <c r="AU86" s="20">
        <v>0</v>
      </c>
      <c r="AV86" s="23">
        <v>0</v>
      </c>
      <c r="AW86" s="108">
        <v>0</v>
      </c>
      <c r="AX86" s="108">
        <v>0</v>
      </c>
      <c r="AY86" s="108">
        <v>1</v>
      </c>
      <c r="AZ86" s="108">
        <v>0</v>
      </c>
      <c r="BA86" s="114">
        <v>1</v>
      </c>
      <c r="BB86" s="20">
        <v>0</v>
      </c>
      <c r="BC86" s="113">
        <v>0</v>
      </c>
      <c r="BD86" s="200" t="str">
        <f>VLOOKUP($A86,'[3]allergenen 6nr'!$A$1:$O$1310,3,FALSE)</f>
        <v>-</v>
      </c>
      <c r="BE86" s="201" t="str">
        <f>VLOOKUP($A86,'[3]allergenen 6nr'!$A$1:$O$1310,4,FALSE)</f>
        <v>-</v>
      </c>
      <c r="BF86" s="201" t="str">
        <f>VLOOKUP($A86,'[3]allergenen 6nr'!$A$1:$O$1310,5,FALSE)</f>
        <v>+</v>
      </c>
      <c r="BG86" s="201" t="str">
        <f>VLOOKUP($A86,'[3]allergenen 6nr'!$A$1:$O$1310,6,FALSE)</f>
        <v>X</v>
      </c>
      <c r="BH86" s="201" t="str">
        <f>VLOOKUP($A86,'[3]allergenen 6nr'!$A$1:$O$1310,7,FALSE)</f>
        <v>+</v>
      </c>
      <c r="BI86" s="201" t="str">
        <f>VLOOKUP($A86,'[3]allergenen 6nr'!$A$1:$O$1310,8,FALSE)</f>
        <v>X</v>
      </c>
      <c r="BJ86" s="201" t="str">
        <f>VLOOKUP($A86,'[3]allergenen 6nr'!$A$1:$O$1310,9,FALSE)</f>
        <v>-</v>
      </c>
      <c r="BK86" s="201" t="str">
        <f>VLOOKUP($A86,'[3]allergenen 6nr'!$A$1:$O$1310,10,FALSE)</f>
        <v>X</v>
      </c>
      <c r="BL86" s="201" t="str">
        <f>VLOOKUP($A86,'[3]allergenen 6nr'!$A$1:$O$1310,11,FALSE)</f>
        <v>-</v>
      </c>
      <c r="BM86" s="201" t="str">
        <f>VLOOKUP($A86,'[3]allergenen 6nr'!$A$1:$O$1310,12,FALSE)</f>
        <v>-</v>
      </c>
      <c r="BN86" s="201" t="str">
        <f>VLOOKUP($A86,'[3]allergenen 6nr'!$A$1:$O$1310,13,FALSE)</f>
        <v>X</v>
      </c>
      <c r="BO86" s="201" t="str">
        <f>VLOOKUP($A86,'[3]allergenen 6nr'!$A$1:$O$1310,14,FALSE)</f>
        <v>+</v>
      </c>
      <c r="BP86" s="202" t="str">
        <f>VLOOKUP($A86,'[3]allergenen 6nr'!$A$1:$O$1310,15,FALSE)</f>
        <v>X</v>
      </c>
    </row>
    <row r="87" spans="1:68" x14ac:dyDescent="0.2">
      <c r="A87" s="89">
        <v>63313700</v>
      </c>
      <c r="B87" s="53" t="str">
        <f>VLOOKUP($A87,[1]maaltijden!$A$1:$IV$65536,4,FALSE)</f>
        <v xml:space="preserve">DMH WITLOOF HAM KAAS           </v>
      </c>
      <c r="C87" s="46" t="str">
        <f>VLOOKUP($A87,[1]maaltijden!$A$1:$IV$65536,7,FALSE)</f>
        <v>UK-57</v>
      </c>
      <c r="D87" s="22" t="str">
        <f>VLOOKUP($A87,[1]maaltijden!$A$1:$IV$65536,10,FALSE)</f>
        <v>NVT</v>
      </c>
      <c r="E87" s="22" t="str">
        <f>VLOOKUP($A87,[1]maaltijden!$A$1:$IV$65536,13,FALSE)</f>
        <v>DMH X 6</v>
      </c>
      <c r="F87" s="20">
        <f t="shared" si="1"/>
        <v>0</v>
      </c>
      <c r="G87" s="20" t="str">
        <f>VLOOKUP($A87,[1]maaltijden!$A$1:$IV$65536,27,FALSE)</f>
        <v>! !</v>
      </c>
      <c r="H87" s="22">
        <f>VLOOKUP($A87,[1]maaltijden!$A$1:$IV$65536,21,FALSE)</f>
        <v>11</v>
      </c>
      <c r="I87" s="22">
        <f>VLOOKUP($A87,[1]maaltijden!$A$1:$IV$65536,21,FALSE)</f>
        <v>11</v>
      </c>
      <c r="J87" s="22">
        <f>VLOOKUP($A87,[1]maaltijden!$A$1:$IV$65536,18,FALSE)</f>
        <v>3</v>
      </c>
      <c r="K87" s="22">
        <f>VLOOKUP($A87,[1]maaltijden!$A$1:$IV$65536,17,FALSE)</f>
        <v>1</v>
      </c>
      <c r="L87" s="22">
        <f>VLOOKUP($A87,[1]maaltijden!$A$1:$IV$65536,20,FALSE)</f>
        <v>1500</v>
      </c>
      <c r="M87" s="22">
        <f>VLOOKUP($A87,[1]maaltijden!$A$1:$IV$65536,22,FALSE)</f>
        <v>1500</v>
      </c>
      <c r="N87" s="135"/>
      <c r="O87" s="50"/>
      <c r="P87" s="19">
        <v>0</v>
      </c>
      <c r="Q87" s="20">
        <v>1</v>
      </c>
      <c r="R87" s="21">
        <v>0</v>
      </c>
      <c r="S87" s="19">
        <v>0</v>
      </c>
      <c r="T87" s="20">
        <v>1</v>
      </c>
      <c r="U87" s="19">
        <v>0</v>
      </c>
      <c r="V87" s="20">
        <v>1</v>
      </c>
      <c r="W87" s="20">
        <v>1</v>
      </c>
      <c r="X87" s="20">
        <v>1</v>
      </c>
      <c r="Y87" s="20">
        <v>1</v>
      </c>
      <c r="Z87" s="20">
        <v>1</v>
      </c>
      <c r="AA87" s="20">
        <v>0</v>
      </c>
      <c r="AB87" s="49">
        <v>0</v>
      </c>
      <c r="AC87" s="49">
        <v>1</v>
      </c>
      <c r="AD87" s="49">
        <v>0</v>
      </c>
      <c r="AE87" s="49">
        <v>1</v>
      </c>
      <c r="AF87" s="49">
        <v>0</v>
      </c>
      <c r="AG87" s="161">
        <v>0</v>
      </c>
      <c r="AH87" s="162">
        <v>1</v>
      </c>
      <c r="AI87" s="162">
        <v>0</v>
      </c>
      <c r="AJ87" s="162">
        <v>0</v>
      </c>
      <c r="AK87" s="162">
        <v>0</v>
      </c>
      <c r="AL87" s="163">
        <v>0</v>
      </c>
      <c r="AM87" s="19">
        <v>0</v>
      </c>
      <c r="AN87" s="20">
        <f>IFERROR(INDEX([2]lijnopstellingsfiche!$AP$1:$AP$65536,MATCH(A87,[2]lijnopstellingsfiche!$AQ$1:$AQ$65536,0)),"")</f>
        <v>9</v>
      </c>
      <c r="AO87" s="20">
        <v>0</v>
      </c>
      <c r="AP87" s="20">
        <v>1</v>
      </c>
      <c r="AQ87" s="20">
        <v>1</v>
      </c>
      <c r="AR87" s="20">
        <v>0</v>
      </c>
      <c r="AS87" s="20">
        <v>0</v>
      </c>
      <c r="AT87" s="20">
        <v>0</v>
      </c>
      <c r="AU87" s="20">
        <v>0</v>
      </c>
      <c r="AV87" s="23">
        <v>0</v>
      </c>
      <c r="AW87" s="108">
        <v>0</v>
      </c>
      <c r="AX87" s="108">
        <v>0</v>
      </c>
      <c r="AY87" s="108">
        <v>1</v>
      </c>
      <c r="AZ87" s="108">
        <v>0</v>
      </c>
      <c r="BA87" s="114">
        <v>1</v>
      </c>
      <c r="BB87" s="20">
        <v>0</v>
      </c>
      <c r="BC87" s="113">
        <v>0</v>
      </c>
      <c r="BD87" s="200" t="str">
        <f>VLOOKUP($A87,'[3]allergenen 6nr'!$A$1:$O$1310,3,FALSE)</f>
        <v>-</v>
      </c>
      <c r="BE87" s="201" t="str">
        <f>VLOOKUP($A87,'[3]allergenen 6nr'!$A$1:$O$1310,4,FALSE)</f>
        <v>-</v>
      </c>
      <c r="BF87" s="201" t="str">
        <f>VLOOKUP($A87,'[3]allergenen 6nr'!$A$1:$O$1310,5,FALSE)</f>
        <v>+</v>
      </c>
      <c r="BG87" s="201" t="str">
        <f>VLOOKUP($A87,'[3]allergenen 6nr'!$A$1:$O$1310,6,FALSE)</f>
        <v>X</v>
      </c>
      <c r="BH87" s="201" t="str">
        <f>VLOOKUP($A87,'[3]allergenen 6nr'!$A$1:$O$1310,7,FALSE)</f>
        <v>+</v>
      </c>
      <c r="BI87" s="201" t="str">
        <f>VLOOKUP($A87,'[3]allergenen 6nr'!$A$1:$O$1310,8,FALSE)</f>
        <v>X</v>
      </c>
      <c r="BJ87" s="201" t="str">
        <f>VLOOKUP($A87,'[3]allergenen 6nr'!$A$1:$O$1310,9,FALSE)</f>
        <v>-</v>
      </c>
      <c r="BK87" s="201" t="str">
        <f>VLOOKUP($A87,'[3]allergenen 6nr'!$A$1:$O$1310,10,FALSE)</f>
        <v>-</v>
      </c>
      <c r="BL87" s="201" t="str">
        <f>VLOOKUP($A87,'[3]allergenen 6nr'!$A$1:$O$1310,11,FALSE)</f>
        <v>-</v>
      </c>
      <c r="BM87" s="201" t="str">
        <f>VLOOKUP($A87,'[3]allergenen 6nr'!$A$1:$O$1310,12,FALSE)</f>
        <v>-</v>
      </c>
      <c r="BN87" s="201" t="str">
        <f>VLOOKUP($A87,'[3]allergenen 6nr'!$A$1:$O$1310,13,FALSE)</f>
        <v>X</v>
      </c>
      <c r="BO87" s="201" t="str">
        <f>VLOOKUP($A87,'[3]allergenen 6nr'!$A$1:$O$1310,14,FALSE)</f>
        <v>-</v>
      </c>
      <c r="BP87" s="202" t="str">
        <f>VLOOKUP($A87,'[3]allergenen 6nr'!$A$1:$O$1310,15,FALSE)</f>
        <v>-</v>
      </c>
    </row>
    <row r="88" spans="1:68" x14ac:dyDescent="0.2">
      <c r="A88" s="89">
        <v>63313800</v>
      </c>
      <c r="B88" s="53" t="str">
        <f>VLOOKUP($A88,[1]maaltijden!$A$1:$IV$65536,4,FALSE)</f>
        <v xml:space="preserve">DMH WITLOOF HAM KAAS PUREE                        </v>
      </c>
      <c r="C88" s="46" t="str">
        <f>VLOOKUP($A88,[1]maaltijden!$A$1:$IV$65536,7,FALSE)</f>
        <v>UK-57</v>
      </c>
      <c r="D88" s="22" t="str">
        <f>VLOOKUP($A88,[1]maaltijden!$A$1:$IV$65536,10,FALSE)</f>
        <v>NVT</v>
      </c>
      <c r="E88" s="22" t="str">
        <f>VLOOKUP($A88,[1]maaltijden!$A$1:$IV$65536,13,FALSE)</f>
        <v>DMH X 6</v>
      </c>
      <c r="F88" s="20">
        <f t="shared" si="1"/>
        <v>0</v>
      </c>
      <c r="G88" s="20" t="str">
        <f>VLOOKUP($A88,[1]maaltijden!$A$1:$IV$65536,27,FALSE)</f>
        <v>! !</v>
      </c>
      <c r="H88" s="22">
        <f>VLOOKUP($A88,[1]maaltijden!$A$1:$IV$65536,21,FALSE)</f>
        <v>11</v>
      </c>
      <c r="I88" s="22">
        <f>VLOOKUP($A88,[1]maaltijden!$A$1:$IV$65536,21,FALSE)</f>
        <v>11</v>
      </c>
      <c r="J88" s="22">
        <f>VLOOKUP($A88,[1]maaltijden!$A$1:$IV$65536,18,FALSE)</f>
        <v>3</v>
      </c>
      <c r="K88" s="22">
        <f>VLOOKUP($A88,[1]maaltijden!$A$1:$IV$65536,17,FALSE)</f>
        <v>2</v>
      </c>
      <c r="L88" s="22">
        <f>VLOOKUP($A88,[1]maaltijden!$A$1:$IV$65536,20,FALSE)</f>
        <v>1500</v>
      </c>
      <c r="M88" s="22">
        <f>VLOOKUP($A88,[1]maaltijden!$A$1:$IV$65536,22,FALSE)</f>
        <v>1500</v>
      </c>
      <c r="N88" s="135"/>
      <c r="O88" s="50"/>
      <c r="P88" s="19">
        <v>0</v>
      </c>
      <c r="Q88" s="20">
        <v>1</v>
      </c>
      <c r="R88" s="21">
        <v>0</v>
      </c>
      <c r="S88" s="19">
        <v>0</v>
      </c>
      <c r="T88" s="20">
        <v>1</v>
      </c>
      <c r="U88" s="19">
        <v>0</v>
      </c>
      <c r="V88" s="20">
        <v>1</v>
      </c>
      <c r="W88" s="20">
        <v>1</v>
      </c>
      <c r="X88" s="20">
        <v>1</v>
      </c>
      <c r="Y88" s="20">
        <v>1</v>
      </c>
      <c r="Z88" s="20">
        <v>1</v>
      </c>
      <c r="AA88" s="20">
        <v>0</v>
      </c>
      <c r="AB88" s="49">
        <v>0</v>
      </c>
      <c r="AC88" s="49">
        <v>1</v>
      </c>
      <c r="AD88" s="49">
        <v>0</v>
      </c>
      <c r="AE88" s="49">
        <v>1</v>
      </c>
      <c r="AF88" s="49">
        <v>0</v>
      </c>
      <c r="AG88" s="161">
        <v>0</v>
      </c>
      <c r="AH88" s="162">
        <v>2</v>
      </c>
      <c r="AI88" s="162">
        <v>0</v>
      </c>
      <c r="AJ88" s="162">
        <v>0</v>
      </c>
      <c r="AK88" s="162">
        <v>0</v>
      </c>
      <c r="AL88" s="163">
        <v>0</v>
      </c>
      <c r="AM88" s="19">
        <v>0</v>
      </c>
      <c r="AN88" s="20">
        <f>IFERROR(INDEX([2]lijnopstellingsfiche!$AP$1:$AP$65536,MATCH(A88,[2]lijnopstellingsfiche!$AQ$1:$AQ$65536,0)),"")</f>
        <v>9</v>
      </c>
      <c r="AO88" s="20">
        <v>0</v>
      </c>
      <c r="AP88" s="20">
        <v>1</v>
      </c>
      <c r="AQ88" s="20">
        <v>1</v>
      </c>
      <c r="AR88" s="20">
        <v>1</v>
      </c>
      <c r="AS88" s="20">
        <v>0</v>
      </c>
      <c r="AT88" s="20">
        <v>0</v>
      </c>
      <c r="AU88" s="20">
        <v>0</v>
      </c>
      <c r="AV88" s="23">
        <v>0</v>
      </c>
      <c r="AW88" s="108">
        <v>0</v>
      </c>
      <c r="AX88" s="108">
        <v>0</v>
      </c>
      <c r="AY88" s="108">
        <v>1</v>
      </c>
      <c r="AZ88" s="108">
        <v>0</v>
      </c>
      <c r="BA88" s="114">
        <v>1</v>
      </c>
      <c r="BB88" s="20">
        <v>0</v>
      </c>
      <c r="BC88" s="113">
        <v>0</v>
      </c>
      <c r="BD88" s="200" t="str">
        <f>VLOOKUP($A88,'[3]allergenen 6nr'!$A$1:$O$1310,3,FALSE)</f>
        <v>-</v>
      </c>
      <c r="BE88" s="201" t="str">
        <f>VLOOKUP($A88,'[3]allergenen 6nr'!$A$1:$O$1310,4,FALSE)</f>
        <v>+</v>
      </c>
      <c r="BF88" s="201" t="str">
        <f>VLOOKUP($A88,'[3]allergenen 6nr'!$A$1:$O$1310,5,FALSE)</f>
        <v>+</v>
      </c>
      <c r="BG88" s="201" t="str">
        <f>VLOOKUP($A88,'[3]allergenen 6nr'!$A$1:$O$1310,6,FALSE)</f>
        <v>X</v>
      </c>
      <c r="BH88" s="201" t="str">
        <f>VLOOKUP($A88,'[3]allergenen 6nr'!$A$1:$O$1310,7,FALSE)</f>
        <v>+</v>
      </c>
      <c r="BI88" s="201" t="str">
        <f>VLOOKUP($A88,'[3]allergenen 6nr'!$A$1:$O$1310,8,FALSE)</f>
        <v>X</v>
      </c>
      <c r="BJ88" s="201" t="str">
        <f>VLOOKUP($A88,'[3]allergenen 6nr'!$A$1:$O$1310,9,FALSE)</f>
        <v>-</v>
      </c>
      <c r="BK88" s="201" t="str">
        <f>VLOOKUP($A88,'[3]allergenen 6nr'!$A$1:$O$1310,10,FALSE)</f>
        <v>-</v>
      </c>
      <c r="BL88" s="201" t="str">
        <f>VLOOKUP($A88,'[3]allergenen 6nr'!$A$1:$O$1310,11,FALSE)</f>
        <v>-</v>
      </c>
      <c r="BM88" s="201" t="str">
        <f>VLOOKUP($A88,'[3]allergenen 6nr'!$A$1:$O$1310,12,FALSE)</f>
        <v>-</v>
      </c>
      <c r="BN88" s="201" t="str">
        <f>VLOOKUP($A88,'[3]allergenen 6nr'!$A$1:$O$1310,13,FALSE)</f>
        <v>X</v>
      </c>
      <c r="BO88" s="201" t="str">
        <f>VLOOKUP($A88,'[3]allergenen 6nr'!$A$1:$O$1310,14,FALSE)</f>
        <v>-</v>
      </c>
      <c r="BP88" s="202" t="str">
        <f>VLOOKUP($A88,'[3]allergenen 6nr'!$A$1:$O$1310,15,FALSE)</f>
        <v>-</v>
      </c>
    </row>
    <row r="89" spans="1:68" x14ac:dyDescent="0.2">
      <c r="A89" s="89">
        <v>63314400</v>
      </c>
      <c r="B89" s="53" t="str">
        <f>VLOOKUP($A89,[1]maaltijden!$A$1:$IV$65536,4,FALSE)</f>
        <v xml:space="preserve">DMH RUNDSTONG MADEIRA   </v>
      </c>
      <c r="C89" s="46" t="str">
        <f>VLOOKUP($A89,[1]maaltijden!$A$1:$IV$65536,7,FALSE)</f>
        <v>UK-57</v>
      </c>
      <c r="D89" s="22" t="str">
        <f>VLOOKUP($A89,[1]maaltijden!$A$1:$IV$65536,10,FALSE)</f>
        <v>NVT</v>
      </c>
      <c r="E89" s="22" t="str">
        <f>VLOOKUP($A89,[1]maaltijden!$A$1:$IV$65536,13,FALSE)</f>
        <v>DMH X 6</v>
      </c>
      <c r="F89" s="20">
        <f t="shared" si="1"/>
        <v>0</v>
      </c>
      <c r="G89" s="20" t="str">
        <f>VLOOKUP($A89,[1]maaltijden!$A$1:$IV$65536,27,FALSE)</f>
        <v>! !</v>
      </c>
      <c r="H89" s="22">
        <f>VLOOKUP($A89,[1]maaltijden!$A$1:$IV$65536,21,FALSE)</f>
        <v>7</v>
      </c>
      <c r="I89" s="22">
        <f>VLOOKUP($A89,[1]maaltijden!$A$1:$IV$65536,21,FALSE)</f>
        <v>7</v>
      </c>
      <c r="J89" s="22">
        <f>VLOOKUP($A89,[1]maaltijden!$A$1:$IV$65536,18,FALSE)</f>
        <v>3</v>
      </c>
      <c r="K89" s="22">
        <f>VLOOKUP($A89,[1]maaltijden!$A$1:$IV$65536,17,FALSE)</f>
        <v>1.5</v>
      </c>
      <c r="L89" s="22">
        <f>VLOOKUP($A89,[1]maaltijden!$A$1:$IV$65536,20,FALSE)</f>
        <v>2500</v>
      </c>
      <c r="M89" s="22">
        <f>VLOOKUP($A89,[1]maaltijden!$A$1:$IV$65536,22,FALSE)</f>
        <v>2500</v>
      </c>
      <c r="N89" s="135"/>
      <c r="O89" s="50"/>
      <c r="P89" s="19">
        <v>0</v>
      </c>
      <c r="Q89" s="20">
        <v>1</v>
      </c>
      <c r="R89" s="21">
        <v>0</v>
      </c>
      <c r="S89" s="19">
        <v>0</v>
      </c>
      <c r="T89" s="20">
        <v>1</v>
      </c>
      <c r="U89" s="19">
        <v>0</v>
      </c>
      <c r="V89" s="20">
        <v>1</v>
      </c>
      <c r="W89" s="20">
        <v>1</v>
      </c>
      <c r="X89" s="20">
        <v>1</v>
      </c>
      <c r="Y89" s="20">
        <v>1</v>
      </c>
      <c r="Z89" s="20">
        <v>1</v>
      </c>
      <c r="AA89" s="20">
        <v>1</v>
      </c>
      <c r="AB89" s="49">
        <v>0</v>
      </c>
      <c r="AC89" s="49">
        <v>0</v>
      </c>
      <c r="AD89" s="49">
        <v>0</v>
      </c>
      <c r="AE89" s="49">
        <v>1</v>
      </c>
      <c r="AF89" s="49">
        <v>0</v>
      </c>
      <c r="AG89" s="161">
        <v>0</v>
      </c>
      <c r="AH89" s="162">
        <v>1</v>
      </c>
      <c r="AI89" s="162">
        <v>1</v>
      </c>
      <c r="AJ89" s="162">
        <v>0</v>
      </c>
      <c r="AK89" s="162">
        <v>0</v>
      </c>
      <c r="AL89" s="163">
        <v>0</v>
      </c>
      <c r="AM89" s="19">
        <v>0</v>
      </c>
      <c r="AN89" s="20">
        <f>IFERROR(INDEX([2]lijnopstellingsfiche!$AP$1:$AP$65536,MATCH(A89,[2]lijnopstellingsfiche!$AQ$1:$AQ$65536,0)),"")</f>
        <v>6</v>
      </c>
      <c r="AO89" s="20">
        <v>0</v>
      </c>
      <c r="AP89" s="20">
        <v>0</v>
      </c>
      <c r="AQ89" s="20">
        <v>2</v>
      </c>
      <c r="AR89" s="20">
        <v>0</v>
      </c>
      <c r="AS89" s="20">
        <v>0</v>
      </c>
      <c r="AT89" s="20">
        <v>0</v>
      </c>
      <c r="AU89" s="20">
        <v>0</v>
      </c>
      <c r="AV89" s="23">
        <v>0</v>
      </c>
      <c r="AW89" s="108">
        <v>0</v>
      </c>
      <c r="AX89" s="108">
        <v>0</v>
      </c>
      <c r="AY89" s="108">
        <v>1</v>
      </c>
      <c r="AZ89" s="108">
        <v>0</v>
      </c>
      <c r="BA89" s="114">
        <v>1</v>
      </c>
      <c r="BB89" s="20">
        <v>0</v>
      </c>
      <c r="BC89" s="113">
        <v>0</v>
      </c>
      <c r="BD89" s="200" t="str">
        <f>VLOOKUP($A89,'[3]allergenen 6nr'!$A$1:$O$1310,3,FALSE)</f>
        <v>-</v>
      </c>
      <c r="BE89" s="201" t="str">
        <f>VLOOKUP($A89,'[3]allergenen 6nr'!$A$1:$O$1310,4,FALSE)</f>
        <v>-</v>
      </c>
      <c r="BF89" s="201" t="str">
        <f>VLOOKUP($A89,'[3]allergenen 6nr'!$A$1:$O$1310,5,FALSE)</f>
        <v>+</v>
      </c>
      <c r="BG89" s="201" t="str">
        <f>VLOOKUP($A89,'[3]allergenen 6nr'!$A$1:$O$1310,6,FALSE)</f>
        <v>X</v>
      </c>
      <c r="BH89" s="201" t="str">
        <f>VLOOKUP($A89,'[3]allergenen 6nr'!$A$1:$O$1310,7,FALSE)</f>
        <v>-</v>
      </c>
      <c r="BI89" s="201" t="str">
        <f>VLOOKUP($A89,'[3]allergenen 6nr'!$A$1:$O$1310,8,FALSE)</f>
        <v>X</v>
      </c>
      <c r="BJ89" s="201" t="str">
        <f>VLOOKUP($A89,'[3]allergenen 6nr'!$A$1:$O$1310,9,FALSE)</f>
        <v>-</v>
      </c>
      <c r="BK89" s="201" t="str">
        <f>VLOOKUP($A89,'[3]allergenen 6nr'!$A$1:$O$1310,10,FALSE)</f>
        <v>-</v>
      </c>
      <c r="BL89" s="201" t="str">
        <f>VLOOKUP($A89,'[3]allergenen 6nr'!$A$1:$O$1310,11,FALSE)</f>
        <v>-</v>
      </c>
      <c r="BM89" s="201" t="str">
        <f>VLOOKUP($A89,'[3]allergenen 6nr'!$A$1:$O$1310,12,FALSE)</f>
        <v>-</v>
      </c>
      <c r="BN89" s="201" t="str">
        <f>VLOOKUP($A89,'[3]allergenen 6nr'!$A$1:$O$1310,13,FALSE)</f>
        <v>X</v>
      </c>
      <c r="BO89" s="201" t="str">
        <f>VLOOKUP($A89,'[3]allergenen 6nr'!$A$1:$O$1310,14,FALSE)</f>
        <v>-</v>
      </c>
      <c r="BP89" s="202" t="str">
        <f>VLOOKUP($A89,'[3]allergenen 6nr'!$A$1:$O$1310,15,FALSE)</f>
        <v>-</v>
      </c>
    </row>
    <row r="90" spans="1:68" x14ac:dyDescent="0.2">
      <c r="A90" s="89">
        <v>63314500</v>
      </c>
      <c r="B90" s="53" t="str">
        <f>VLOOKUP($A90,[1]maaltijden!$A$1:$IV$65536,4,FALSE)</f>
        <v xml:space="preserve">DMH MOUSSAKA                                      </v>
      </c>
      <c r="C90" s="46" t="str">
        <f>VLOOKUP($A90,[1]maaltijden!$A$1:$IV$65536,7,FALSE)</f>
        <v>UK-57</v>
      </c>
      <c r="D90" s="22" t="str">
        <f>VLOOKUP($A90,[1]maaltijden!$A$1:$IV$65536,10,FALSE)</f>
        <v>NVT</v>
      </c>
      <c r="E90" s="22" t="str">
        <f>VLOOKUP($A90,[1]maaltijden!$A$1:$IV$65536,13,FALSE)</f>
        <v>DMH X 6</v>
      </c>
      <c r="F90" s="20">
        <f t="shared" si="1"/>
        <v>0</v>
      </c>
      <c r="G90" s="20" t="str">
        <f>VLOOKUP($A90,[1]maaltijden!$A$1:$IV$65536,27,FALSE)</f>
        <v>! !</v>
      </c>
      <c r="H90" s="22">
        <f>VLOOKUP($A90,[1]maaltijden!$A$1:$IV$65536,21,FALSE)</f>
        <v>6</v>
      </c>
      <c r="I90" s="22">
        <f>VLOOKUP($A90,[1]maaltijden!$A$1:$IV$65536,21,FALSE)</f>
        <v>6</v>
      </c>
      <c r="J90" s="22">
        <f>VLOOKUP($A90,[1]maaltijden!$A$1:$IV$65536,18,FALSE)</f>
        <v>3</v>
      </c>
      <c r="K90" s="22">
        <f>VLOOKUP($A90,[1]maaltijden!$A$1:$IV$65536,17,FALSE)</f>
        <v>3</v>
      </c>
      <c r="L90" s="22">
        <f>VLOOKUP($A90,[1]maaltijden!$A$1:$IV$65536,20,FALSE)</f>
        <v>2000</v>
      </c>
      <c r="M90" s="22">
        <f>VLOOKUP($A90,[1]maaltijden!$A$1:$IV$65536,22,FALSE)</f>
        <v>2000</v>
      </c>
      <c r="N90" s="135"/>
      <c r="O90" s="50"/>
      <c r="P90" s="19">
        <v>0</v>
      </c>
      <c r="Q90" s="20">
        <v>1</v>
      </c>
      <c r="R90" s="21">
        <v>0</v>
      </c>
      <c r="S90" s="19">
        <v>0</v>
      </c>
      <c r="T90" s="20">
        <v>1</v>
      </c>
      <c r="U90" s="19">
        <v>0</v>
      </c>
      <c r="V90" s="20">
        <v>1</v>
      </c>
      <c r="W90" s="20">
        <v>1</v>
      </c>
      <c r="X90" s="20">
        <v>1</v>
      </c>
      <c r="Y90" s="20">
        <v>1</v>
      </c>
      <c r="Z90" s="20">
        <v>0</v>
      </c>
      <c r="AA90" s="20">
        <v>0</v>
      </c>
      <c r="AB90" s="49">
        <v>0</v>
      </c>
      <c r="AC90" s="49">
        <v>0</v>
      </c>
      <c r="AD90" s="49">
        <v>0</v>
      </c>
      <c r="AE90" s="49">
        <v>1</v>
      </c>
      <c r="AF90" s="49">
        <v>0</v>
      </c>
      <c r="AG90" s="161">
        <v>0</v>
      </c>
      <c r="AH90" s="162">
        <v>1</v>
      </c>
      <c r="AI90" s="162">
        <v>0</v>
      </c>
      <c r="AJ90" s="162">
        <v>1</v>
      </c>
      <c r="AK90" s="162">
        <v>0</v>
      </c>
      <c r="AL90" s="163">
        <v>0</v>
      </c>
      <c r="AM90" s="19">
        <v>0</v>
      </c>
      <c r="AN90" s="20" t="str">
        <f>IFERROR(INDEX([2]lijnopstellingsfiche!$AP$1:$AP$65536,MATCH(A90,[2]lijnopstellingsfiche!$AQ$1:$AQ$65536,0)),"")</f>
        <v>-</v>
      </c>
      <c r="AO90" s="20">
        <v>0</v>
      </c>
      <c r="AP90" s="20">
        <v>1</v>
      </c>
      <c r="AQ90" s="20">
        <v>3</v>
      </c>
      <c r="AR90" s="20">
        <v>0</v>
      </c>
      <c r="AS90" s="20">
        <v>0</v>
      </c>
      <c r="AT90" s="20">
        <v>0</v>
      </c>
      <c r="AU90" s="20">
        <v>0</v>
      </c>
      <c r="AV90" s="23">
        <v>0</v>
      </c>
      <c r="AW90" s="108">
        <v>0</v>
      </c>
      <c r="AX90" s="108">
        <v>0</v>
      </c>
      <c r="AY90" s="108">
        <v>1</v>
      </c>
      <c r="AZ90" s="108">
        <v>0</v>
      </c>
      <c r="BA90" s="114">
        <v>1</v>
      </c>
      <c r="BB90" s="20">
        <v>0</v>
      </c>
      <c r="BC90" s="113">
        <v>0</v>
      </c>
      <c r="BD90" s="200" t="str">
        <f>VLOOKUP($A90,'[3]allergenen 6nr'!$A$1:$O$1310,3,FALSE)</f>
        <v>-</v>
      </c>
      <c r="BE90" s="201" t="str">
        <f>VLOOKUP($A90,'[3]allergenen 6nr'!$A$1:$O$1310,4,FALSE)</f>
        <v>-</v>
      </c>
      <c r="BF90" s="201" t="str">
        <f>VLOOKUP($A90,'[3]allergenen 6nr'!$A$1:$O$1310,5,FALSE)</f>
        <v>+</v>
      </c>
      <c r="BG90" s="201" t="str">
        <f>VLOOKUP($A90,'[3]allergenen 6nr'!$A$1:$O$1310,6,FALSE)</f>
        <v>X</v>
      </c>
      <c r="BH90" s="201" t="str">
        <f>VLOOKUP($A90,'[3]allergenen 6nr'!$A$1:$O$1310,7,FALSE)</f>
        <v>+</v>
      </c>
      <c r="BI90" s="201" t="str">
        <f>VLOOKUP($A90,'[3]allergenen 6nr'!$A$1:$O$1310,8,FALSE)</f>
        <v>X</v>
      </c>
      <c r="BJ90" s="201" t="str">
        <f>VLOOKUP($A90,'[3]allergenen 6nr'!$A$1:$O$1310,9,FALSE)</f>
        <v>-</v>
      </c>
      <c r="BK90" s="201" t="str">
        <f>VLOOKUP($A90,'[3]allergenen 6nr'!$A$1:$O$1310,10,FALSE)</f>
        <v>-</v>
      </c>
      <c r="BL90" s="201" t="str">
        <f>VLOOKUP($A90,'[3]allergenen 6nr'!$A$1:$O$1310,11,FALSE)</f>
        <v>-</v>
      </c>
      <c r="BM90" s="201" t="str">
        <f>VLOOKUP($A90,'[3]allergenen 6nr'!$A$1:$O$1310,12,FALSE)</f>
        <v>-</v>
      </c>
      <c r="BN90" s="201" t="str">
        <f>VLOOKUP($A90,'[3]allergenen 6nr'!$A$1:$O$1310,13,FALSE)</f>
        <v>X</v>
      </c>
      <c r="BO90" s="201" t="str">
        <f>VLOOKUP($A90,'[3]allergenen 6nr'!$A$1:$O$1310,14,FALSE)</f>
        <v>-</v>
      </c>
      <c r="BP90" s="202" t="str">
        <f>VLOOKUP($A90,'[3]allergenen 6nr'!$A$1:$O$1310,15,FALSE)</f>
        <v>-</v>
      </c>
    </row>
    <row r="91" spans="1:68" x14ac:dyDescent="0.2">
      <c r="A91" s="89">
        <v>63314600</v>
      </c>
      <c r="B91" s="53" t="str">
        <f>VLOOKUP($A91,[1]maaltijden!$A$1:$IV$65536,4,FALSE)</f>
        <v>DMH VARKENSWANGETJES BIERSAUS</v>
      </c>
      <c r="C91" s="46" t="str">
        <f>VLOOKUP($A91,[1]maaltijden!$A$1:$IV$65536,7,FALSE)</f>
        <v>UK-57</v>
      </c>
      <c r="D91" s="22" t="str">
        <f>VLOOKUP($A91,[1]maaltijden!$A$1:$IV$65536,10,FALSE)</f>
        <v>NVT</v>
      </c>
      <c r="E91" s="22" t="str">
        <f>VLOOKUP($A91,[1]maaltijden!$A$1:$IV$65536,13,FALSE)</f>
        <v>DMH X 6</v>
      </c>
      <c r="F91" s="20">
        <f t="shared" si="1"/>
        <v>0</v>
      </c>
      <c r="G91" s="20" t="str">
        <f>VLOOKUP($A91,[1]maaltijden!$A$1:$IV$65536,27,FALSE)</f>
        <v>! !</v>
      </c>
      <c r="H91" s="22">
        <f>VLOOKUP($A91,[1]maaltijden!$A$1:$IV$65536,21,FALSE)</f>
        <v>6</v>
      </c>
      <c r="I91" s="22">
        <f>VLOOKUP($A91,[1]maaltijden!$A$1:$IV$65536,21,FALSE)</f>
        <v>6</v>
      </c>
      <c r="J91" s="22">
        <f>VLOOKUP($A91,[1]maaltijden!$A$1:$IV$65536,18,FALSE)</f>
        <v>3</v>
      </c>
      <c r="K91" s="22">
        <f>VLOOKUP($A91,[1]maaltijden!$A$1:$IV$65536,17,FALSE)</f>
        <v>1</v>
      </c>
      <c r="L91" s="22">
        <f>VLOOKUP($A91,[1]maaltijden!$A$1:$IV$65536,20,FALSE)</f>
        <v>2500</v>
      </c>
      <c r="M91" s="22">
        <f>VLOOKUP($A91,[1]maaltijden!$A$1:$IV$65536,22,FALSE)</f>
        <v>2500</v>
      </c>
      <c r="N91" s="135"/>
      <c r="O91" s="50"/>
      <c r="P91" s="19">
        <v>0</v>
      </c>
      <c r="Q91" s="20">
        <v>1</v>
      </c>
      <c r="R91" s="21">
        <v>0</v>
      </c>
      <c r="S91" s="19">
        <v>0</v>
      </c>
      <c r="T91" s="20">
        <v>1</v>
      </c>
      <c r="U91" s="19">
        <v>0</v>
      </c>
      <c r="V91" s="20">
        <v>1</v>
      </c>
      <c r="W91" s="20">
        <v>1</v>
      </c>
      <c r="X91" s="20">
        <v>1</v>
      </c>
      <c r="Y91" s="20">
        <v>1</v>
      </c>
      <c r="Z91" s="20">
        <v>0</v>
      </c>
      <c r="AA91" s="20">
        <v>0</v>
      </c>
      <c r="AB91" s="49">
        <v>0</v>
      </c>
      <c r="AC91" s="49">
        <v>0</v>
      </c>
      <c r="AD91" s="49">
        <v>0</v>
      </c>
      <c r="AE91" s="49">
        <v>1</v>
      </c>
      <c r="AF91" s="49">
        <v>0</v>
      </c>
      <c r="AG91" s="161">
        <v>0</v>
      </c>
      <c r="AH91" s="162">
        <v>0</v>
      </c>
      <c r="AI91" s="162">
        <v>1</v>
      </c>
      <c r="AJ91" s="162">
        <v>0</v>
      </c>
      <c r="AK91" s="162">
        <v>0</v>
      </c>
      <c r="AL91" s="163">
        <v>0</v>
      </c>
      <c r="AM91" s="19">
        <v>0</v>
      </c>
      <c r="AN91" s="20">
        <f>IFERROR(INDEX([2]lijnopstellingsfiche!$AP$1:$AP$65536,MATCH(A91,[2]lijnopstellingsfiche!$AQ$1:$AQ$65536,0)),"")</f>
        <v>5</v>
      </c>
      <c r="AO91" s="20">
        <v>0</v>
      </c>
      <c r="AP91" s="20">
        <v>0</v>
      </c>
      <c r="AQ91" s="20">
        <v>2</v>
      </c>
      <c r="AR91" s="20">
        <v>0</v>
      </c>
      <c r="AS91" s="20">
        <v>0</v>
      </c>
      <c r="AT91" s="20">
        <v>0</v>
      </c>
      <c r="AU91" s="20">
        <v>0</v>
      </c>
      <c r="AV91" s="23">
        <v>0</v>
      </c>
      <c r="AW91" s="108">
        <v>0</v>
      </c>
      <c r="AX91" s="108">
        <v>0</v>
      </c>
      <c r="AY91" s="108">
        <v>1</v>
      </c>
      <c r="AZ91" s="108">
        <v>0</v>
      </c>
      <c r="BA91" s="114">
        <v>1</v>
      </c>
      <c r="BB91" s="20">
        <v>0</v>
      </c>
      <c r="BC91" s="113">
        <v>0</v>
      </c>
      <c r="BD91" s="200" t="str">
        <f>VLOOKUP($A91,'[3]allergenen 6nr'!$A$1:$O$1310,3,FALSE)</f>
        <v>-</v>
      </c>
      <c r="BE91" s="201" t="str">
        <f>VLOOKUP($A91,'[3]allergenen 6nr'!$A$1:$O$1310,4,FALSE)</f>
        <v>-</v>
      </c>
      <c r="BF91" s="201" t="str">
        <f>VLOOKUP($A91,'[3]allergenen 6nr'!$A$1:$O$1310,5,FALSE)</f>
        <v>+</v>
      </c>
      <c r="BG91" s="201" t="str">
        <f>VLOOKUP($A91,'[3]allergenen 6nr'!$A$1:$O$1310,6,FALSE)</f>
        <v>X</v>
      </c>
      <c r="BH91" s="201" t="str">
        <f>VLOOKUP($A91,'[3]allergenen 6nr'!$A$1:$O$1310,7,FALSE)</f>
        <v>-</v>
      </c>
      <c r="BI91" s="201" t="str">
        <f>VLOOKUP($A91,'[3]allergenen 6nr'!$A$1:$O$1310,8,FALSE)</f>
        <v>X</v>
      </c>
      <c r="BJ91" s="201" t="str">
        <f>VLOOKUP($A91,'[3]allergenen 6nr'!$A$1:$O$1310,9,FALSE)</f>
        <v>-</v>
      </c>
      <c r="BK91" s="201" t="str">
        <f>VLOOKUP($A91,'[3]allergenen 6nr'!$A$1:$O$1310,10,FALSE)</f>
        <v>-</v>
      </c>
      <c r="BL91" s="201" t="str">
        <f>VLOOKUP($A91,'[3]allergenen 6nr'!$A$1:$O$1310,11,FALSE)</f>
        <v>-</v>
      </c>
      <c r="BM91" s="201" t="str">
        <f>VLOOKUP($A91,'[3]allergenen 6nr'!$A$1:$O$1310,12,FALSE)</f>
        <v>-</v>
      </c>
      <c r="BN91" s="201" t="str">
        <f>VLOOKUP($A91,'[3]allergenen 6nr'!$A$1:$O$1310,13,FALSE)</f>
        <v>X</v>
      </c>
      <c r="BO91" s="201" t="str">
        <f>VLOOKUP($A91,'[3]allergenen 6nr'!$A$1:$O$1310,14,FALSE)</f>
        <v>-</v>
      </c>
      <c r="BP91" s="202" t="str">
        <f>VLOOKUP($A91,'[3]allergenen 6nr'!$A$1:$O$1310,15,FALSE)</f>
        <v>-</v>
      </c>
    </row>
    <row r="92" spans="1:68" x14ac:dyDescent="0.2">
      <c r="A92" s="89">
        <v>63314700</v>
      </c>
      <c r="B92" s="53" t="str">
        <f>VLOOKUP($A92,[1]maaltijden!$A$1:$IV$65536,4,FALSE)</f>
        <v>DMH GEHAKTSCHOTEL MET WORTEL</v>
      </c>
      <c r="C92" s="46" t="str">
        <f>VLOOKUP($A92,[1]maaltijden!$A$1:$IV$65536,7,FALSE)</f>
        <v>UK-57</v>
      </c>
      <c r="D92" s="22" t="str">
        <f>VLOOKUP($A92,[1]maaltijden!$A$1:$IV$65536,10,FALSE)</f>
        <v>NVT</v>
      </c>
      <c r="E92" s="22" t="str">
        <f>VLOOKUP($A92,[1]maaltijden!$A$1:$IV$65536,13,FALSE)</f>
        <v>DMH X 6</v>
      </c>
      <c r="F92" s="20">
        <f t="shared" si="1"/>
        <v>0</v>
      </c>
      <c r="G92" s="20" t="str">
        <f>VLOOKUP($A92,[1]maaltijden!$A$1:$IV$65536,27,FALSE)</f>
        <v>! ! !</v>
      </c>
      <c r="H92" s="22">
        <f>VLOOKUP($A92,[1]maaltijden!$A$1:$IV$65536,21,FALSE)</f>
        <v>2</v>
      </c>
      <c r="I92" s="22">
        <f>VLOOKUP($A92,[1]maaltijden!$A$1:$IV$65536,21,FALSE)</f>
        <v>2</v>
      </c>
      <c r="J92" s="22">
        <f>VLOOKUP($A92,[1]maaltijden!$A$1:$IV$65536,18,FALSE)</f>
        <v>3</v>
      </c>
      <c r="K92" s="22">
        <f>VLOOKUP($A92,[1]maaltijden!$A$1:$IV$65536,17,FALSE)</f>
        <v>2</v>
      </c>
      <c r="L92" s="22">
        <f>VLOOKUP($A92,[1]maaltijden!$A$1:$IV$65536,20,FALSE)</f>
        <v>2000</v>
      </c>
      <c r="M92" s="22">
        <f>VLOOKUP($A92,[1]maaltijden!$A$1:$IV$65536,22,FALSE)</f>
        <v>2000</v>
      </c>
      <c r="N92" s="135"/>
      <c r="O92" s="50"/>
      <c r="P92" s="19">
        <v>0</v>
      </c>
      <c r="Q92" s="20">
        <v>1</v>
      </c>
      <c r="R92" s="21">
        <v>0</v>
      </c>
      <c r="S92" s="19">
        <v>0</v>
      </c>
      <c r="T92" s="20">
        <v>1</v>
      </c>
      <c r="U92" s="19">
        <v>0</v>
      </c>
      <c r="V92" s="20">
        <v>1</v>
      </c>
      <c r="W92" s="20">
        <v>1</v>
      </c>
      <c r="X92" s="20">
        <v>1</v>
      </c>
      <c r="Y92" s="20">
        <v>1</v>
      </c>
      <c r="Z92" s="20">
        <v>0</v>
      </c>
      <c r="AA92" s="20">
        <v>0</v>
      </c>
      <c r="AB92" s="49">
        <v>0</v>
      </c>
      <c r="AC92" s="49">
        <v>0</v>
      </c>
      <c r="AD92" s="49">
        <v>0</v>
      </c>
      <c r="AE92" s="49">
        <v>1</v>
      </c>
      <c r="AF92" s="49">
        <v>0</v>
      </c>
      <c r="AG92" s="161">
        <v>0</v>
      </c>
      <c r="AH92" s="162">
        <v>1</v>
      </c>
      <c r="AI92" s="162">
        <v>1</v>
      </c>
      <c r="AJ92" s="162">
        <v>0</v>
      </c>
      <c r="AK92" s="162">
        <v>0</v>
      </c>
      <c r="AL92" s="163">
        <v>0</v>
      </c>
      <c r="AM92" s="19">
        <v>0</v>
      </c>
      <c r="AN92" s="20" t="str">
        <f>IFERROR(INDEX([2]lijnopstellingsfiche!$AP$1:$AP$65536,MATCH(A92,[2]lijnopstellingsfiche!$AQ$1:$AQ$65536,0)),"")</f>
        <v>-</v>
      </c>
      <c r="AO92" s="20">
        <v>0</v>
      </c>
      <c r="AP92" s="20">
        <v>1</v>
      </c>
      <c r="AQ92" s="20">
        <v>1</v>
      </c>
      <c r="AR92" s="20">
        <v>1</v>
      </c>
      <c r="AS92" s="20">
        <v>0</v>
      </c>
      <c r="AT92" s="20">
        <v>0</v>
      </c>
      <c r="AU92" s="20">
        <v>0</v>
      </c>
      <c r="AV92" s="23">
        <v>0</v>
      </c>
      <c r="AW92" s="108">
        <v>0</v>
      </c>
      <c r="AX92" s="108">
        <v>0</v>
      </c>
      <c r="AY92" s="108">
        <v>1</v>
      </c>
      <c r="AZ92" s="108">
        <v>0</v>
      </c>
      <c r="BA92" s="114">
        <v>1</v>
      </c>
      <c r="BB92" s="20">
        <v>0</v>
      </c>
      <c r="BC92" s="113">
        <v>0</v>
      </c>
      <c r="BD92" s="200" t="str">
        <f>VLOOKUP($A92,'[3]allergenen 6nr'!$A$1:$O$1310,3,FALSE)</f>
        <v>-</v>
      </c>
      <c r="BE92" s="201" t="str">
        <f>VLOOKUP($A92,'[3]allergenen 6nr'!$A$1:$O$1310,4,FALSE)</f>
        <v>+</v>
      </c>
      <c r="BF92" s="201" t="str">
        <f>VLOOKUP($A92,'[3]allergenen 6nr'!$A$1:$O$1310,5,FALSE)</f>
        <v>-</v>
      </c>
      <c r="BG92" s="201" t="str">
        <f>VLOOKUP($A92,'[3]allergenen 6nr'!$A$1:$O$1310,6,FALSE)</f>
        <v>-</v>
      </c>
      <c r="BH92" s="201" t="str">
        <f>VLOOKUP($A92,'[3]allergenen 6nr'!$A$1:$O$1310,7,FALSE)</f>
        <v>+</v>
      </c>
      <c r="BI92" s="201" t="str">
        <f>VLOOKUP($A92,'[3]allergenen 6nr'!$A$1:$O$1310,8,FALSE)</f>
        <v>-</v>
      </c>
      <c r="BJ92" s="201" t="str">
        <f>VLOOKUP($A92,'[3]allergenen 6nr'!$A$1:$O$1310,9,FALSE)</f>
        <v>-</v>
      </c>
      <c r="BK92" s="201" t="str">
        <f>VLOOKUP($A92,'[3]allergenen 6nr'!$A$1:$O$1310,10,FALSE)</f>
        <v>-</v>
      </c>
      <c r="BL92" s="201" t="str">
        <f>VLOOKUP($A92,'[3]allergenen 6nr'!$A$1:$O$1310,11,FALSE)</f>
        <v>+</v>
      </c>
      <c r="BM92" s="201" t="str">
        <f>VLOOKUP($A92,'[3]allergenen 6nr'!$A$1:$O$1310,12,FALSE)</f>
        <v>-</v>
      </c>
      <c r="BN92" s="201" t="str">
        <f>VLOOKUP($A92,'[3]allergenen 6nr'!$A$1:$O$1310,13,FALSE)</f>
        <v>-</v>
      </c>
      <c r="BO92" s="201" t="str">
        <f>VLOOKUP($A92,'[3]allergenen 6nr'!$A$1:$O$1310,14,FALSE)</f>
        <v>-</v>
      </c>
      <c r="BP92" s="202" t="str">
        <f>VLOOKUP($A92,'[3]allergenen 6nr'!$A$1:$O$1310,15,FALSE)</f>
        <v>-</v>
      </c>
    </row>
    <row r="93" spans="1:68" x14ac:dyDescent="0.2">
      <c r="A93" s="89">
        <v>63317400</v>
      </c>
      <c r="B93" s="53" t="str">
        <f>VLOOKUP($A93,[1]maaltijden!$A$1:$IV$65536,4,FALSE)</f>
        <v xml:space="preserve">DMH KIP KORMA MET RIJST </v>
      </c>
      <c r="C93" s="46" t="str">
        <f>VLOOKUP($A93,[1]maaltijden!$A$1:$IV$65536,7,FALSE)</f>
        <v>UK-57</v>
      </c>
      <c r="D93" s="22" t="str">
        <f>VLOOKUP($A93,[1]maaltijden!$A$1:$IV$65536,10,FALSE)</f>
        <v>NVT</v>
      </c>
      <c r="E93" s="22" t="str">
        <f>VLOOKUP($A93,[1]maaltijden!$A$1:$IV$65536,13,FALSE)</f>
        <v>DMH X 6</v>
      </c>
      <c r="F93" s="20">
        <f t="shared" si="1"/>
        <v>0</v>
      </c>
      <c r="G93" s="20" t="str">
        <f>VLOOKUP($A93,[1]maaltijden!$A$1:$IV$65536,27,FALSE)</f>
        <v>! ! ! ! !</v>
      </c>
      <c r="H93" s="22">
        <f>VLOOKUP($A93,[1]maaltijden!$A$1:$IV$65536,21,FALSE)</f>
        <v>5</v>
      </c>
      <c r="I93" s="22">
        <f>VLOOKUP($A93,[1]maaltijden!$A$1:$IV$65536,21,FALSE)</f>
        <v>5</v>
      </c>
      <c r="J93" s="22">
        <f>VLOOKUP($A93,[1]maaltijden!$A$1:$IV$65536,18,FALSE)</f>
        <v>3</v>
      </c>
      <c r="K93" s="22">
        <f>VLOOKUP($A93,[1]maaltijden!$A$1:$IV$65536,17,FALSE)</f>
        <v>2</v>
      </c>
      <c r="L93" s="22">
        <f>VLOOKUP($A93,[1]maaltijden!$A$1:$IV$65536,20,FALSE)</f>
        <v>2200</v>
      </c>
      <c r="M93" s="22">
        <f>VLOOKUP($A93,[1]maaltijden!$A$1:$IV$65536,22,FALSE)</f>
        <v>2200</v>
      </c>
      <c r="N93" s="135" t="s">
        <v>417</v>
      </c>
      <c r="O93" s="50"/>
      <c r="P93" s="19">
        <v>0</v>
      </c>
      <c r="Q93" s="20">
        <v>1</v>
      </c>
      <c r="R93" s="21">
        <v>0</v>
      </c>
      <c r="S93" s="19">
        <v>0</v>
      </c>
      <c r="T93" s="20">
        <v>1</v>
      </c>
      <c r="U93" s="19">
        <v>0</v>
      </c>
      <c r="V93" s="20">
        <v>1</v>
      </c>
      <c r="W93" s="20">
        <v>1</v>
      </c>
      <c r="X93" s="20">
        <v>1</v>
      </c>
      <c r="Y93" s="20">
        <v>1</v>
      </c>
      <c r="Z93" s="20">
        <v>1</v>
      </c>
      <c r="AA93" s="20">
        <v>0</v>
      </c>
      <c r="AB93" s="49">
        <v>0</v>
      </c>
      <c r="AC93" s="49">
        <v>0</v>
      </c>
      <c r="AD93" s="49">
        <v>0</v>
      </c>
      <c r="AE93" s="49">
        <v>1</v>
      </c>
      <c r="AF93" s="49">
        <v>0</v>
      </c>
      <c r="AG93" s="161">
        <v>1</v>
      </c>
      <c r="AH93" s="162">
        <v>1</v>
      </c>
      <c r="AI93" s="162">
        <v>0</v>
      </c>
      <c r="AJ93" s="162">
        <v>0</v>
      </c>
      <c r="AK93" s="162">
        <v>0</v>
      </c>
      <c r="AL93" s="163">
        <v>0</v>
      </c>
      <c r="AM93" s="19">
        <v>0</v>
      </c>
      <c r="AN93" s="20">
        <f>IFERROR(INDEX([2]lijnopstellingsfiche!$AP$1:$AP$65536,MATCH(A93,[2]lijnopstellingsfiche!$AQ$1:$AQ$65536,0)),"")</f>
        <v>1</v>
      </c>
      <c r="AO93" s="20">
        <v>0</v>
      </c>
      <c r="AP93" s="20">
        <v>0</v>
      </c>
      <c r="AQ93" s="20">
        <v>1</v>
      </c>
      <c r="AR93" s="20">
        <v>0</v>
      </c>
      <c r="AS93" s="20">
        <v>0</v>
      </c>
      <c r="AT93" s="20">
        <v>1</v>
      </c>
      <c r="AU93" s="20">
        <v>0</v>
      </c>
      <c r="AV93" s="23">
        <v>0</v>
      </c>
      <c r="AW93" s="108">
        <v>0</v>
      </c>
      <c r="AX93" s="108">
        <v>0</v>
      </c>
      <c r="AY93" s="108">
        <v>1</v>
      </c>
      <c r="AZ93" s="108">
        <v>0</v>
      </c>
      <c r="BA93" s="114">
        <v>1</v>
      </c>
      <c r="BB93" s="20">
        <v>0</v>
      </c>
      <c r="BC93" s="113">
        <v>0</v>
      </c>
      <c r="BD93" s="200" t="str">
        <f>VLOOKUP($A93,'[3]allergenen 6nr'!$A$1:$O$1310,3,FALSE)</f>
        <v>-</v>
      </c>
      <c r="BE93" s="201" t="str">
        <f>VLOOKUP($A93,'[3]allergenen 6nr'!$A$1:$O$1310,4,FALSE)</f>
        <v>X</v>
      </c>
      <c r="BF93" s="201" t="str">
        <f>VLOOKUP($A93,'[3]allergenen 6nr'!$A$1:$O$1310,5,FALSE)</f>
        <v>X</v>
      </c>
      <c r="BG93" s="201" t="str">
        <f>VLOOKUP($A93,'[3]allergenen 6nr'!$A$1:$O$1310,6,FALSE)</f>
        <v>X</v>
      </c>
      <c r="BH93" s="201" t="str">
        <f>VLOOKUP($A93,'[3]allergenen 6nr'!$A$1:$O$1310,7,FALSE)</f>
        <v>+</v>
      </c>
      <c r="BI93" s="201" t="str">
        <f>VLOOKUP($A93,'[3]allergenen 6nr'!$A$1:$O$1310,8,FALSE)</f>
        <v>X</v>
      </c>
      <c r="BJ93" s="201" t="str">
        <f>VLOOKUP($A93,'[3]allergenen 6nr'!$A$1:$O$1310,9,FALSE)</f>
        <v>+</v>
      </c>
      <c r="BK93" s="201" t="str">
        <f>VLOOKUP($A93,'[3]allergenen 6nr'!$A$1:$O$1310,10,FALSE)</f>
        <v>-</v>
      </c>
      <c r="BL93" s="201" t="str">
        <f>VLOOKUP($A93,'[3]allergenen 6nr'!$A$1:$O$1310,11,FALSE)</f>
        <v>-</v>
      </c>
      <c r="BM93" s="201" t="str">
        <f>VLOOKUP($A93,'[3]allergenen 6nr'!$A$1:$O$1310,12,FALSE)</f>
        <v>X</v>
      </c>
      <c r="BN93" s="201" t="str">
        <f>VLOOKUP($A93,'[3]allergenen 6nr'!$A$1:$O$1310,13,FALSE)</f>
        <v>X</v>
      </c>
      <c r="BO93" s="201" t="str">
        <f>VLOOKUP($A93,'[3]allergenen 6nr'!$A$1:$O$1310,14,FALSE)</f>
        <v>-</v>
      </c>
      <c r="BP93" s="202" t="str">
        <f>VLOOKUP($A93,'[3]allergenen 6nr'!$A$1:$O$1310,15,FALSE)</f>
        <v>-</v>
      </c>
    </row>
    <row r="94" spans="1:68" x14ac:dyDescent="0.2">
      <c r="A94" s="126">
        <v>63317900</v>
      </c>
      <c r="B94" s="53" t="str">
        <f>VLOOKUP($A94,[1]maaltijden!$A$1:$IV$65536,4,FALSE)</f>
        <v>DMH RISOTTO KIP BOSCHAMPIGNONS</v>
      </c>
      <c r="C94" s="46" t="str">
        <f>VLOOKUP($A94,[1]maaltijden!$A$1:$IV$65536,7,FALSE)</f>
        <v>UK-57</v>
      </c>
      <c r="D94" s="22" t="str">
        <f>VLOOKUP($A94,[1]maaltijden!$A$1:$IV$65536,10,FALSE)</f>
        <v>NVT</v>
      </c>
      <c r="E94" s="22" t="str">
        <f>VLOOKUP($A94,[1]maaltijden!$A$1:$IV$65536,13,FALSE)</f>
        <v>DMH X 6</v>
      </c>
      <c r="F94" s="20">
        <f t="shared" si="1"/>
        <v>0</v>
      </c>
      <c r="G94" s="20" t="str">
        <f>VLOOKUP($A94,[1]maaltijden!$A$1:$IV$65536,27,FALSE)</f>
        <v>! ! !</v>
      </c>
      <c r="H94" s="22">
        <f>VLOOKUP($A94,[1]maaltijden!$A$1:$IV$65536,21,FALSE)</f>
        <v>5</v>
      </c>
      <c r="I94" s="22">
        <f>VLOOKUP($A94,[1]maaltijden!$A$1:$IV$65536,21,FALSE)</f>
        <v>5</v>
      </c>
      <c r="J94" s="22">
        <f>VLOOKUP($A94,[1]maaltijden!$A$1:$IV$65536,18,FALSE)</f>
        <v>3</v>
      </c>
      <c r="K94" s="22">
        <f>VLOOKUP($A94,[1]maaltijden!$A$1:$IV$65536,17,FALSE)</f>
        <v>2</v>
      </c>
      <c r="L94" s="22">
        <f>VLOOKUP($A94,[1]maaltijden!$A$1:$IV$65536,20,FALSE)</f>
        <v>2000</v>
      </c>
      <c r="M94" s="22">
        <f>VLOOKUP($A94,[1]maaltijden!$A$1:$IV$65536,22,FALSE)</f>
        <v>2000</v>
      </c>
      <c r="N94" s="135"/>
      <c r="O94" s="50"/>
      <c r="P94" s="19">
        <v>0</v>
      </c>
      <c r="Q94" s="20">
        <v>1</v>
      </c>
      <c r="R94" s="21">
        <v>0</v>
      </c>
      <c r="S94" s="19">
        <v>0</v>
      </c>
      <c r="T94" s="20">
        <v>1</v>
      </c>
      <c r="U94" s="19">
        <v>1</v>
      </c>
      <c r="V94" s="20">
        <v>1</v>
      </c>
      <c r="W94" s="20">
        <v>1</v>
      </c>
      <c r="X94" s="20">
        <v>1</v>
      </c>
      <c r="Y94" s="20">
        <v>1</v>
      </c>
      <c r="Z94" s="20">
        <v>0</v>
      </c>
      <c r="AA94" s="20">
        <v>0</v>
      </c>
      <c r="AB94" s="49">
        <v>0</v>
      </c>
      <c r="AC94" s="49">
        <v>0</v>
      </c>
      <c r="AD94" s="49">
        <v>0</v>
      </c>
      <c r="AE94" s="49">
        <v>1</v>
      </c>
      <c r="AF94" s="49">
        <v>0</v>
      </c>
      <c r="AG94" s="19">
        <v>1</v>
      </c>
      <c r="AH94" s="20"/>
      <c r="AI94" s="20"/>
      <c r="AJ94" s="20"/>
      <c r="AK94" s="20"/>
      <c r="AL94" s="21"/>
      <c r="AM94" s="19">
        <v>0</v>
      </c>
      <c r="AN94" s="20">
        <f>IFERROR(INDEX([2]lijnopstellingsfiche!$AP$1:$AP$65536,MATCH(A94,[2]lijnopstellingsfiche!$AQ$1:$AQ$65536,0)),"")</f>
        <v>2</v>
      </c>
      <c r="AO94" s="20">
        <v>1</v>
      </c>
      <c r="AP94" s="20">
        <v>0</v>
      </c>
      <c r="AQ94" s="20">
        <v>1</v>
      </c>
      <c r="AR94" s="20">
        <v>0</v>
      </c>
      <c r="AS94" s="20">
        <v>0</v>
      </c>
      <c r="AT94" s="20">
        <v>1</v>
      </c>
      <c r="AU94" s="20">
        <v>0</v>
      </c>
      <c r="AV94" s="23">
        <v>0</v>
      </c>
      <c r="AW94" s="108">
        <v>0</v>
      </c>
      <c r="AX94" s="108">
        <v>0</v>
      </c>
      <c r="AY94" s="108">
        <v>1</v>
      </c>
      <c r="AZ94" s="108">
        <v>0</v>
      </c>
      <c r="BA94" s="114">
        <v>1</v>
      </c>
      <c r="BB94" s="20">
        <v>0</v>
      </c>
      <c r="BC94" s="113">
        <v>0</v>
      </c>
      <c r="BD94" s="200" t="str">
        <f>VLOOKUP($A94,'[3]allergenen 6nr'!$A$1:$O$1310,3,FALSE)</f>
        <v>-</v>
      </c>
      <c r="BE94" s="201" t="str">
        <f>VLOOKUP($A94,'[3]allergenen 6nr'!$A$1:$O$1310,4,FALSE)</f>
        <v>-</v>
      </c>
      <c r="BF94" s="201" t="str">
        <f>VLOOKUP($A94,'[3]allergenen 6nr'!$A$1:$O$1310,5,FALSE)</f>
        <v>+</v>
      </c>
      <c r="BG94" s="201" t="str">
        <f>VLOOKUP($A94,'[3]allergenen 6nr'!$A$1:$O$1310,6,FALSE)</f>
        <v>-</v>
      </c>
      <c r="BH94" s="201" t="str">
        <f>VLOOKUP($A94,'[3]allergenen 6nr'!$A$1:$O$1310,7,FALSE)</f>
        <v>+</v>
      </c>
      <c r="BI94" s="201" t="str">
        <f>VLOOKUP($A94,'[3]allergenen 6nr'!$A$1:$O$1310,8,FALSE)</f>
        <v>-</v>
      </c>
      <c r="BJ94" s="201" t="str">
        <f>VLOOKUP($A94,'[3]allergenen 6nr'!$A$1:$O$1310,9,FALSE)</f>
        <v>-</v>
      </c>
      <c r="BK94" s="201" t="str">
        <f>VLOOKUP($A94,'[3]allergenen 6nr'!$A$1:$O$1310,10,FALSE)</f>
        <v>-</v>
      </c>
      <c r="BL94" s="201" t="str">
        <f>VLOOKUP($A94,'[3]allergenen 6nr'!$A$1:$O$1310,11,FALSE)</f>
        <v>+</v>
      </c>
      <c r="BM94" s="201" t="str">
        <f>VLOOKUP($A94,'[3]allergenen 6nr'!$A$1:$O$1310,12,FALSE)</f>
        <v>-</v>
      </c>
      <c r="BN94" s="201" t="str">
        <f>VLOOKUP($A94,'[3]allergenen 6nr'!$A$1:$O$1310,13,FALSE)</f>
        <v>-</v>
      </c>
      <c r="BO94" s="201" t="str">
        <f>VLOOKUP($A94,'[3]allergenen 6nr'!$A$1:$O$1310,14,FALSE)</f>
        <v>-</v>
      </c>
      <c r="BP94" s="202" t="str">
        <f>VLOOKUP($A94,'[3]allergenen 6nr'!$A$1:$O$1310,15,FALSE)</f>
        <v>-</v>
      </c>
    </row>
    <row r="95" spans="1:68" x14ac:dyDescent="0.2">
      <c r="A95" s="126">
        <v>63318100</v>
      </c>
      <c r="B95" s="53" t="str">
        <f>VLOOKUP($A95,[1]maaltijden!$A$1:$IV$65536,4,FALSE)</f>
        <v xml:space="preserve">DMH BOUILLABAISE </v>
      </c>
      <c r="C95" s="46" t="str">
        <f>VLOOKUP($A95,[1]maaltijden!$A$1:$IV$65536,7,FALSE)</f>
        <v>UK-57</v>
      </c>
      <c r="D95" s="22" t="str">
        <f>VLOOKUP($A95,[1]maaltijden!$A$1:$IV$65536,10,FALSE)</f>
        <v>NVT</v>
      </c>
      <c r="E95" s="22" t="str">
        <f>VLOOKUP($A95,[1]maaltijden!$A$1:$IV$65536,13,FALSE)</f>
        <v>DMH X 6</v>
      </c>
      <c r="F95" s="20">
        <f t="shared" si="1"/>
        <v>0</v>
      </c>
      <c r="G95" s="20" t="str">
        <f>VLOOKUP($A95,[1]maaltijden!$A$1:$IV$65536,27,FALSE)</f>
        <v>! ! ! !</v>
      </c>
      <c r="H95" s="22">
        <f>VLOOKUP($A95,[1]maaltijden!$A$1:$IV$65536,21,FALSE)</f>
        <v>6</v>
      </c>
      <c r="I95" s="22">
        <f>VLOOKUP($A95,[1]maaltijden!$A$1:$IV$65536,21,FALSE)</f>
        <v>6</v>
      </c>
      <c r="J95" s="22">
        <f>VLOOKUP($A95,[1]maaltijden!$A$1:$IV$65536,18,FALSE)</f>
        <v>3</v>
      </c>
      <c r="K95" s="22">
        <f>VLOOKUP($A95,[1]maaltijden!$A$1:$IV$65536,17,FALSE)</f>
        <v>1</v>
      </c>
      <c r="L95" s="22">
        <f>VLOOKUP($A95,[1]maaltijden!$A$1:$IV$65536,20,FALSE)</f>
        <v>1750</v>
      </c>
      <c r="M95" s="22">
        <f>VLOOKUP($A95,[1]maaltijden!$A$1:$IV$65536,22,FALSE)</f>
        <v>1750</v>
      </c>
      <c r="N95" s="135"/>
      <c r="O95" s="50"/>
      <c r="P95" s="19">
        <v>0</v>
      </c>
      <c r="Q95" s="20">
        <v>1</v>
      </c>
      <c r="R95" s="21">
        <v>0</v>
      </c>
      <c r="S95" s="19">
        <v>0</v>
      </c>
      <c r="T95" s="20">
        <v>1</v>
      </c>
      <c r="U95" s="19">
        <v>1</v>
      </c>
      <c r="V95" s="20">
        <v>1</v>
      </c>
      <c r="W95" s="20">
        <v>1</v>
      </c>
      <c r="X95" s="20">
        <v>1</v>
      </c>
      <c r="Y95" s="20">
        <v>1</v>
      </c>
      <c r="Z95" s="20">
        <v>0</v>
      </c>
      <c r="AA95" s="20">
        <v>0</v>
      </c>
      <c r="AB95" s="49">
        <v>0</v>
      </c>
      <c r="AC95" s="49">
        <v>0</v>
      </c>
      <c r="AD95" s="49">
        <v>0</v>
      </c>
      <c r="AE95" s="49">
        <v>0</v>
      </c>
      <c r="AF95" s="49">
        <v>0</v>
      </c>
      <c r="AG95" s="19">
        <v>0</v>
      </c>
      <c r="AH95" s="20"/>
      <c r="AI95" s="20"/>
      <c r="AJ95" s="20"/>
      <c r="AK95" s="20"/>
      <c r="AL95" s="21"/>
      <c r="AM95" s="19">
        <v>0</v>
      </c>
      <c r="AN95" s="20" t="str">
        <f>IFERROR(INDEX([2]lijnopstellingsfiche!$AP$1:$AP$65536,MATCH(A95,[2]lijnopstellingsfiche!$AQ$1:$AQ$65536,0)),"")</f>
        <v>-</v>
      </c>
      <c r="AO95" s="20">
        <v>0</v>
      </c>
      <c r="AP95" s="20">
        <v>0</v>
      </c>
      <c r="AQ95" s="20">
        <v>1</v>
      </c>
      <c r="AR95" s="20">
        <v>0</v>
      </c>
      <c r="AS95" s="20">
        <v>0</v>
      </c>
      <c r="AT95" s="20">
        <v>1</v>
      </c>
      <c r="AU95" s="20">
        <v>0</v>
      </c>
      <c r="AV95" s="23">
        <v>0</v>
      </c>
      <c r="AW95" s="108">
        <v>0</v>
      </c>
      <c r="AX95" s="108">
        <v>0</v>
      </c>
      <c r="AY95" s="108">
        <v>1</v>
      </c>
      <c r="AZ95" s="108">
        <v>0</v>
      </c>
      <c r="BA95" s="114">
        <v>1</v>
      </c>
      <c r="BB95" s="20">
        <v>0</v>
      </c>
      <c r="BC95" s="113">
        <v>0</v>
      </c>
      <c r="BD95" s="200" t="str">
        <f>VLOOKUP($A95,'[3]allergenen 6nr'!$A$1:$O$1310,3,FALSE)</f>
        <v>-</v>
      </c>
      <c r="BE95" s="201" t="str">
        <f>VLOOKUP($A95,'[3]allergenen 6nr'!$A$1:$O$1310,4,FALSE)</f>
        <v>-</v>
      </c>
      <c r="BF95" s="201" t="str">
        <f>VLOOKUP($A95,'[3]allergenen 6nr'!$A$1:$O$1310,5,FALSE)</f>
        <v>+</v>
      </c>
      <c r="BG95" s="201" t="str">
        <f>VLOOKUP($A95,'[3]allergenen 6nr'!$A$1:$O$1310,6,FALSE)</f>
        <v>-</v>
      </c>
      <c r="BH95" s="201" t="str">
        <f>VLOOKUP($A95,'[3]allergenen 6nr'!$A$1:$O$1310,7,FALSE)</f>
        <v>+</v>
      </c>
      <c r="BI95" s="201" t="str">
        <f>VLOOKUP($A95,'[3]allergenen 6nr'!$A$1:$O$1310,8,FALSE)</f>
        <v>-</v>
      </c>
      <c r="BJ95" s="201" t="str">
        <f>VLOOKUP($A95,'[3]allergenen 6nr'!$A$1:$O$1310,9,FALSE)</f>
        <v>-</v>
      </c>
      <c r="BK95" s="201" t="str">
        <f>VLOOKUP($A95,'[3]allergenen 6nr'!$A$1:$O$1310,10,FALSE)</f>
        <v>+</v>
      </c>
      <c r="BL95" s="201" t="str">
        <f>VLOOKUP($A95,'[3]allergenen 6nr'!$A$1:$O$1310,11,FALSE)</f>
        <v>+</v>
      </c>
      <c r="BM95" s="201" t="str">
        <f>VLOOKUP($A95,'[3]allergenen 6nr'!$A$1:$O$1310,12,FALSE)</f>
        <v>-</v>
      </c>
      <c r="BN95" s="201" t="str">
        <f>VLOOKUP($A95,'[3]allergenen 6nr'!$A$1:$O$1310,13,FALSE)</f>
        <v>X</v>
      </c>
      <c r="BO95" s="201" t="str">
        <f>VLOOKUP($A95,'[3]allergenen 6nr'!$A$1:$O$1310,14,FALSE)</f>
        <v>+</v>
      </c>
      <c r="BP95" s="202" t="str">
        <f>VLOOKUP($A95,'[3]allergenen 6nr'!$A$1:$O$1310,15,FALSE)</f>
        <v>+</v>
      </c>
    </row>
    <row r="96" spans="1:68" x14ac:dyDescent="0.2">
      <c r="A96" s="126">
        <v>63318200</v>
      </c>
      <c r="B96" s="53" t="str">
        <f>VLOOKUP($A96,[1]maaltijden!$A$1:$IV$65536,4,FALSE)</f>
        <v>DMH PENNE ARRABIATA</v>
      </c>
      <c r="C96" s="46" t="str">
        <f>VLOOKUP($A96,[1]maaltijden!$A$1:$IV$65536,7,FALSE)</f>
        <v>UK-57</v>
      </c>
      <c r="D96" s="22" t="str">
        <f>VLOOKUP($A96,[1]maaltijden!$A$1:$IV$65536,10,FALSE)</f>
        <v>NVT</v>
      </c>
      <c r="E96" s="22" t="str">
        <f>VLOOKUP($A96,[1]maaltijden!$A$1:$IV$65536,13,FALSE)</f>
        <v>DMH X 6</v>
      </c>
      <c r="F96" s="20">
        <f t="shared" si="1"/>
        <v>0</v>
      </c>
      <c r="G96" s="20" t="str">
        <f>VLOOKUP($A96,[1]maaltijden!$A$1:$IV$65536,27,FALSE)</f>
        <v>! !</v>
      </c>
      <c r="H96" s="22">
        <f>VLOOKUP($A96,[1]maaltijden!$A$1:$IV$65536,21,FALSE)</f>
        <v>4</v>
      </c>
      <c r="I96" s="22">
        <f>VLOOKUP($A96,[1]maaltijden!$A$1:$IV$65536,21,FALSE)</f>
        <v>4</v>
      </c>
      <c r="J96" s="22">
        <f>VLOOKUP($A96,[1]maaltijden!$A$1:$IV$65536,18,FALSE)</f>
        <v>3</v>
      </c>
      <c r="K96" s="22">
        <f>VLOOKUP($A96,[1]maaltijden!$A$1:$IV$65536,17,FALSE)</f>
        <v>2</v>
      </c>
      <c r="L96" s="22">
        <f>VLOOKUP($A96,[1]maaltijden!$A$1:$IV$65536,20,FALSE)</f>
        <v>2500</v>
      </c>
      <c r="M96" s="22">
        <f>VLOOKUP($A96,[1]maaltijden!$A$1:$IV$65536,22,FALSE)</f>
        <v>2500</v>
      </c>
      <c r="N96" s="135"/>
      <c r="O96" s="50"/>
      <c r="P96" s="19">
        <v>0</v>
      </c>
      <c r="Q96" s="20">
        <v>1</v>
      </c>
      <c r="R96" s="21">
        <v>0</v>
      </c>
      <c r="S96" s="19">
        <v>0</v>
      </c>
      <c r="T96" s="20">
        <v>1</v>
      </c>
      <c r="U96" s="19">
        <v>1</v>
      </c>
      <c r="V96" s="20">
        <v>1</v>
      </c>
      <c r="W96" s="20">
        <v>1</v>
      </c>
      <c r="X96" s="20">
        <v>1</v>
      </c>
      <c r="Y96" s="20">
        <v>1</v>
      </c>
      <c r="Z96" s="20">
        <v>0</v>
      </c>
      <c r="AA96" s="20">
        <v>0</v>
      </c>
      <c r="AB96" s="49">
        <v>0</v>
      </c>
      <c r="AC96" s="49">
        <v>0</v>
      </c>
      <c r="AD96" s="49">
        <v>0</v>
      </c>
      <c r="AE96" s="49">
        <v>0</v>
      </c>
      <c r="AF96" s="49">
        <v>0</v>
      </c>
      <c r="AG96" s="19">
        <v>1</v>
      </c>
      <c r="AH96" s="20"/>
      <c r="AI96" s="20"/>
      <c r="AJ96" s="20"/>
      <c r="AK96" s="20"/>
      <c r="AL96" s="21"/>
      <c r="AM96" s="19">
        <v>0</v>
      </c>
      <c r="AN96" s="20">
        <f>IFERROR(INDEX([2]lijnopstellingsfiche!$AP$1:$AP$65536,MATCH(A96,[2]lijnopstellingsfiche!$AQ$1:$AQ$65536,0)),"")</f>
        <v>1</v>
      </c>
      <c r="AO96" s="20">
        <v>1</v>
      </c>
      <c r="AP96" s="20">
        <v>0</v>
      </c>
      <c r="AQ96" s="20">
        <v>1</v>
      </c>
      <c r="AR96" s="20">
        <v>0</v>
      </c>
      <c r="AS96" s="20">
        <v>0</v>
      </c>
      <c r="AT96" s="20">
        <v>0</v>
      </c>
      <c r="AU96" s="20">
        <v>0</v>
      </c>
      <c r="AV96" s="23">
        <v>0</v>
      </c>
      <c r="AW96" s="108">
        <v>0</v>
      </c>
      <c r="AX96" s="108">
        <v>0</v>
      </c>
      <c r="AY96" s="108">
        <v>1</v>
      </c>
      <c r="AZ96" s="108">
        <v>0</v>
      </c>
      <c r="BA96" s="114">
        <v>1</v>
      </c>
      <c r="BB96" s="20">
        <v>0</v>
      </c>
      <c r="BC96" s="113">
        <v>0</v>
      </c>
      <c r="BD96" s="200" t="str">
        <f>VLOOKUP($A96,'[3]allergenen 6nr'!$A$1:$O$1310,3,FALSE)</f>
        <v>-</v>
      </c>
      <c r="BE96" s="201" t="str">
        <f>VLOOKUP($A96,'[3]allergenen 6nr'!$A$1:$O$1310,4,FALSE)</f>
        <v>X</v>
      </c>
      <c r="BF96" s="201" t="str">
        <f>VLOOKUP($A96,'[3]allergenen 6nr'!$A$1:$O$1310,5,FALSE)</f>
        <v>+</v>
      </c>
      <c r="BG96" s="201" t="str">
        <f>VLOOKUP($A96,'[3]allergenen 6nr'!$A$1:$O$1310,6,FALSE)</f>
        <v>X</v>
      </c>
      <c r="BH96" s="201" t="str">
        <f>VLOOKUP($A96,'[3]allergenen 6nr'!$A$1:$O$1310,7,FALSE)</f>
        <v>+</v>
      </c>
      <c r="BI96" s="201" t="str">
        <f>VLOOKUP($A96,'[3]allergenen 6nr'!$A$1:$O$1310,8,FALSE)</f>
        <v>X</v>
      </c>
      <c r="BJ96" s="201" t="str">
        <f>VLOOKUP($A96,'[3]allergenen 6nr'!$A$1:$O$1310,9,FALSE)</f>
        <v>-</v>
      </c>
      <c r="BK96" s="201" t="str">
        <f>VLOOKUP($A96,'[3]allergenen 6nr'!$A$1:$O$1310,10,FALSE)</f>
        <v>-</v>
      </c>
      <c r="BL96" s="201" t="str">
        <f>VLOOKUP($A96,'[3]allergenen 6nr'!$A$1:$O$1310,11,FALSE)</f>
        <v>-</v>
      </c>
      <c r="BM96" s="201" t="str">
        <f>VLOOKUP($A96,'[3]allergenen 6nr'!$A$1:$O$1310,12,FALSE)</f>
        <v>-</v>
      </c>
      <c r="BN96" s="201" t="str">
        <f>VLOOKUP($A96,'[3]allergenen 6nr'!$A$1:$O$1310,13,FALSE)</f>
        <v>X</v>
      </c>
      <c r="BO96" s="201" t="str">
        <f>VLOOKUP($A96,'[3]allergenen 6nr'!$A$1:$O$1310,14,FALSE)</f>
        <v>-</v>
      </c>
      <c r="BP96" s="202" t="str">
        <f>VLOOKUP($A96,'[3]allergenen 6nr'!$A$1:$O$1310,15,FALSE)</f>
        <v>-</v>
      </c>
    </row>
    <row r="97" spans="1:68" x14ac:dyDescent="0.2">
      <c r="A97" s="126">
        <v>63318300</v>
      </c>
      <c r="B97" s="53" t="str">
        <f>VLOOKUP($A97,[1]maaltijden!$A$1:$IV$65536,4,FALSE)</f>
        <v>DMH CANNELONI RU VLEES TOMATENSAUS SPINAZIE</v>
      </c>
      <c r="C97" s="46" t="str">
        <f>VLOOKUP($A97,[1]maaltijden!$A$1:$IV$65536,7,FALSE)</f>
        <v>UK-57</v>
      </c>
      <c r="D97" s="22" t="str">
        <f>VLOOKUP($A97,[1]maaltijden!$A$1:$IV$65536,10,FALSE)</f>
        <v>NVT</v>
      </c>
      <c r="E97" s="22" t="str">
        <f>VLOOKUP($A97,[1]maaltijden!$A$1:$IV$65536,13,FALSE)</f>
        <v>DMH X 6</v>
      </c>
      <c r="F97" s="20">
        <f t="shared" si="1"/>
        <v>0</v>
      </c>
      <c r="G97" s="20" t="str">
        <f>VLOOKUP($A97,[1]maaltijden!$A$1:$IV$65536,27,FALSE)</f>
        <v>! ! !</v>
      </c>
      <c r="H97" s="22">
        <f>VLOOKUP($A97,[1]maaltijden!$A$1:$IV$65536,21,FALSE)</f>
        <v>5</v>
      </c>
      <c r="I97" s="22">
        <f>VLOOKUP($A97,[1]maaltijden!$A$1:$IV$65536,21,FALSE)</f>
        <v>5</v>
      </c>
      <c r="J97" s="22">
        <f>VLOOKUP($A97,[1]maaltijden!$A$1:$IV$65536,18,FALSE)</f>
        <v>3</v>
      </c>
      <c r="K97" s="22">
        <f>VLOOKUP($A97,[1]maaltijden!$A$1:$IV$65536,17,FALSE)</f>
        <v>3</v>
      </c>
      <c r="L97" s="22">
        <f>VLOOKUP($A97,[1]maaltijden!$A$1:$IV$65536,20,FALSE)</f>
        <v>2000</v>
      </c>
      <c r="M97" s="22">
        <f>VLOOKUP($A97,[1]maaltijden!$A$1:$IV$65536,22,FALSE)</f>
        <v>2000</v>
      </c>
      <c r="N97" s="135"/>
      <c r="O97" s="50"/>
      <c r="P97" s="19">
        <v>0</v>
      </c>
      <c r="Q97" s="20">
        <v>1</v>
      </c>
      <c r="R97" s="21">
        <v>0</v>
      </c>
      <c r="S97" s="19">
        <v>0</v>
      </c>
      <c r="T97" s="20">
        <v>1</v>
      </c>
      <c r="U97" s="19">
        <v>1</v>
      </c>
      <c r="V97" s="20">
        <v>1</v>
      </c>
      <c r="W97" s="20">
        <v>1</v>
      </c>
      <c r="X97" s="20">
        <v>1</v>
      </c>
      <c r="Y97" s="20">
        <v>1</v>
      </c>
      <c r="Z97" s="20">
        <v>0</v>
      </c>
      <c r="AA97" s="20">
        <v>0</v>
      </c>
      <c r="AB97" s="49">
        <v>0</v>
      </c>
      <c r="AC97" s="49">
        <v>0</v>
      </c>
      <c r="AD97" s="49">
        <v>0</v>
      </c>
      <c r="AE97" s="49">
        <v>0</v>
      </c>
      <c r="AF97" s="49">
        <v>0</v>
      </c>
      <c r="AG97" s="19">
        <v>0</v>
      </c>
      <c r="AH97" s="20"/>
      <c r="AI97" s="20"/>
      <c r="AJ97" s="20"/>
      <c r="AK97" s="20"/>
      <c r="AL97" s="21"/>
      <c r="AM97" s="19">
        <v>0</v>
      </c>
      <c r="AN97" s="20" t="str">
        <f>IFERROR(INDEX([2]lijnopstellingsfiche!$AP$1:$AP$65536,MATCH(A97,[2]lijnopstellingsfiche!$AQ$1:$AQ$65536,0)),"")</f>
        <v>-</v>
      </c>
      <c r="AO97" s="20">
        <v>0</v>
      </c>
      <c r="AP97" s="20">
        <v>1</v>
      </c>
      <c r="AQ97" s="20">
        <v>2</v>
      </c>
      <c r="AR97" s="20">
        <v>0</v>
      </c>
      <c r="AS97" s="20">
        <v>0</v>
      </c>
      <c r="AT97" s="20">
        <v>0</v>
      </c>
      <c r="AU97" s="20">
        <v>0</v>
      </c>
      <c r="AV97" s="23">
        <v>0</v>
      </c>
      <c r="AW97" s="108">
        <v>0</v>
      </c>
      <c r="AX97" s="108">
        <v>0</v>
      </c>
      <c r="AY97" s="108">
        <v>1</v>
      </c>
      <c r="AZ97" s="108">
        <v>0</v>
      </c>
      <c r="BA97" s="114">
        <v>1</v>
      </c>
      <c r="BB97" s="20">
        <v>0</v>
      </c>
      <c r="BC97" s="113">
        <v>0</v>
      </c>
      <c r="BD97" s="200" t="str">
        <f>VLOOKUP($A97,'[3]allergenen 6nr'!$A$1:$O$1310,3,FALSE)</f>
        <v>-</v>
      </c>
      <c r="BE97" s="201" t="str">
        <f>VLOOKUP($A97,'[3]allergenen 6nr'!$A$1:$O$1310,4,FALSE)</f>
        <v>+</v>
      </c>
      <c r="BF97" s="201" t="str">
        <f>VLOOKUP($A97,'[3]allergenen 6nr'!$A$1:$O$1310,5,FALSE)</f>
        <v>+</v>
      </c>
      <c r="BG97" s="201" t="str">
        <f>VLOOKUP($A97,'[3]allergenen 6nr'!$A$1:$O$1310,6,FALSE)</f>
        <v>X</v>
      </c>
      <c r="BH97" s="201" t="str">
        <f>VLOOKUP($A97,'[3]allergenen 6nr'!$A$1:$O$1310,7,FALSE)</f>
        <v>+</v>
      </c>
      <c r="BI97" s="201" t="str">
        <f>VLOOKUP($A97,'[3]allergenen 6nr'!$A$1:$O$1310,8,FALSE)</f>
        <v>X</v>
      </c>
      <c r="BJ97" s="201" t="str">
        <f>VLOOKUP($A97,'[3]allergenen 6nr'!$A$1:$O$1310,9,FALSE)</f>
        <v>-</v>
      </c>
      <c r="BK97" s="201" t="str">
        <f>VLOOKUP($A97,'[3]allergenen 6nr'!$A$1:$O$1310,10,FALSE)</f>
        <v>-</v>
      </c>
      <c r="BL97" s="201" t="str">
        <f>VLOOKUP($A97,'[3]allergenen 6nr'!$A$1:$O$1310,11,FALSE)</f>
        <v>+</v>
      </c>
      <c r="BM97" s="201" t="str">
        <f>VLOOKUP($A97,'[3]allergenen 6nr'!$A$1:$O$1310,12,FALSE)</f>
        <v>-</v>
      </c>
      <c r="BN97" s="201" t="str">
        <f>VLOOKUP($A97,'[3]allergenen 6nr'!$A$1:$O$1310,13,FALSE)</f>
        <v>X</v>
      </c>
      <c r="BO97" s="201" t="str">
        <f>VLOOKUP($A97,'[3]allergenen 6nr'!$A$1:$O$1310,14,FALSE)</f>
        <v>-</v>
      </c>
      <c r="BP97" s="202" t="str">
        <f>VLOOKUP($A97,'[3]allergenen 6nr'!$A$1:$O$1310,15,FALSE)</f>
        <v>-</v>
      </c>
    </row>
    <row r="98" spans="1:68" x14ac:dyDescent="0.2">
      <c r="A98" s="89">
        <v>63318500</v>
      </c>
      <c r="B98" s="53" t="str">
        <f>VLOOKUP($A98,[1]maaltijden!$A$1:$IV$65536,4,FALSE)</f>
        <v>DMH LASAGNE GEITENKAAS</v>
      </c>
      <c r="C98" s="46" t="str">
        <f>VLOOKUP($A98,[1]maaltijden!$A$1:$IV$65536,7,FALSE)</f>
        <v>UK-57</v>
      </c>
      <c r="D98" s="22" t="str">
        <f>VLOOKUP($A98,[1]maaltijden!$A$1:$IV$65536,10,FALSE)</f>
        <v>NVT</v>
      </c>
      <c r="E98" s="22" t="str">
        <f>VLOOKUP($A98,[1]maaltijden!$A$1:$IV$65536,13,FALSE)</f>
        <v>DMH X 6</v>
      </c>
      <c r="F98" s="20">
        <f t="shared" si="1"/>
        <v>0</v>
      </c>
      <c r="G98" s="20" t="str">
        <f>VLOOKUP($A98,[1]maaltijden!$A$1:$IV$65536,27,FALSE)</f>
        <v>! !</v>
      </c>
      <c r="H98" s="22">
        <f>VLOOKUP($A98,[1]maaltijden!$A$1:$IV$65536,21,FALSE)</f>
        <v>6</v>
      </c>
      <c r="I98" s="22">
        <f>VLOOKUP($A98,[1]maaltijden!$A$1:$IV$65536,21,FALSE)</f>
        <v>6</v>
      </c>
      <c r="J98" s="22">
        <f>VLOOKUP($A98,[1]maaltijden!$A$1:$IV$65536,18,FALSE)</f>
        <v>3</v>
      </c>
      <c r="K98" s="22">
        <f>VLOOKUP($A98,[1]maaltijden!$A$1:$IV$65536,17,FALSE)</f>
        <v>3</v>
      </c>
      <c r="L98" s="22">
        <f>VLOOKUP($A98,[1]maaltijden!$A$1:$IV$65536,20,FALSE)</f>
        <v>2500</v>
      </c>
      <c r="M98" s="22">
        <f>VLOOKUP($A98,[1]maaltijden!$A$1:$IV$65536,22,FALSE)</f>
        <v>2500</v>
      </c>
      <c r="N98" s="135"/>
      <c r="O98" s="50"/>
      <c r="P98" s="19">
        <v>0</v>
      </c>
      <c r="Q98" s="20">
        <v>1</v>
      </c>
      <c r="R98" s="21">
        <v>0</v>
      </c>
      <c r="S98" s="19">
        <v>0</v>
      </c>
      <c r="T98" s="20">
        <v>1</v>
      </c>
      <c r="U98" s="19">
        <v>1</v>
      </c>
      <c r="V98" s="20">
        <v>1</v>
      </c>
      <c r="W98" s="20">
        <v>1</v>
      </c>
      <c r="X98" s="20">
        <v>1</v>
      </c>
      <c r="Y98" s="20">
        <v>1</v>
      </c>
      <c r="Z98" s="20">
        <v>0</v>
      </c>
      <c r="AA98" s="20">
        <v>0</v>
      </c>
      <c r="AB98" s="49">
        <v>1</v>
      </c>
      <c r="AC98" s="49">
        <v>0</v>
      </c>
      <c r="AD98" s="49">
        <v>0</v>
      </c>
      <c r="AE98" s="49">
        <v>1</v>
      </c>
      <c r="AF98" s="49">
        <v>0</v>
      </c>
      <c r="AG98" s="161">
        <v>0</v>
      </c>
      <c r="AH98" s="162">
        <v>2</v>
      </c>
      <c r="AI98" s="162">
        <v>0</v>
      </c>
      <c r="AJ98" s="162">
        <v>0</v>
      </c>
      <c r="AK98" s="162">
        <v>0</v>
      </c>
      <c r="AL98" s="163">
        <v>0</v>
      </c>
      <c r="AM98" s="19">
        <v>0</v>
      </c>
      <c r="AN98" s="20" t="str">
        <f>IFERROR(INDEX([2]lijnopstellingsfiche!$AP$1:$AP$65536,MATCH(A98,[2]lijnopstellingsfiche!$AQ$1:$AQ$65536,0)),"")</f>
        <v>-</v>
      </c>
      <c r="AO98" s="20">
        <v>0</v>
      </c>
      <c r="AP98" s="20">
        <v>0</v>
      </c>
      <c r="AQ98" s="20">
        <v>4</v>
      </c>
      <c r="AR98" s="20">
        <v>0</v>
      </c>
      <c r="AS98" s="20">
        <v>0</v>
      </c>
      <c r="AT98" s="20">
        <v>0</v>
      </c>
      <c r="AU98" s="20">
        <v>0</v>
      </c>
      <c r="AV98" s="23">
        <v>0</v>
      </c>
      <c r="AW98" s="108">
        <v>0</v>
      </c>
      <c r="AX98" s="108">
        <v>0</v>
      </c>
      <c r="AY98" s="108">
        <v>1</v>
      </c>
      <c r="AZ98" s="108">
        <v>0</v>
      </c>
      <c r="BA98" s="114">
        <v>1</v>
      </c>
      <c r="BB98" s="20">
        <v>0</v>
      </c>
      <c r="BC98" s="113">
        <v>0</v>
      </c>
      <c r="BD98" s="200" t="str">
        <f>VLOOKUP($A98,'[3]allergenen 6nr'!$A$1:$O$1310,3,FALSE)</f>
        <v>-</v>
      </c>
      <c r="BE98" s="201" t="str">
        <f>VLOOKUP($A98,'[3]allergenen 6nr'!$A$1:$O$1310,4,FALSE)</f>
        <v>+</v>
      </c>
      <c r="BF98" s="201" t="str">
        <f>VLOOKUP($A98,'[3]allergenen 6nr'!$A$1:$O$1310,5,FALSE)</f>
        <v>+</v>
      </c>
      <c r="BG98" s="201" t="str">
        <f>VLOOKUP($A98,'[3]allergenen 6nr'!$A$1:$O$1310,6,FALSE)</f>
        <v>X</v>
      </c>
      <c r="BH98" s="201" t="str">
        <f>VLOOKUP($A98,'[3]allergenen 6nr'!$A$1:$O$1310,7,FALSE)</f>
        <v>+</v>
      </c>
      <c r="BI98" s="201" t="str">
        <f>VLOOKUP($A98,'[3]allergenen 6nr'!$A$1:$O$1310,8,FALSE)</f>
        <v>X</v>
      </c>
      <c r="BJ98" s="201" t="str">
        <f>VLOOKUP($A98,'[3]allergenen 6nr'!$A$1:$O$1310,9,FALSE)</f>
        <v>-</v>
      </c>
      <c r="BK98" s="201" t="str">
        <f>VLOOKUP($A98,'[3]allergenen 6nr'!$A$1:$O$1310,10,FALSE)</f>
        <v>-</v>
      </c>
      <c r="BL98" s="201" t="str">
        <f>VLOOKUP($A98,'[3]allergenen 6nr'!$A$1:$O$1310,11,FALSE)</f>
        <v>-</v>
      </c>
      <c r="BM98" s="201" t="str">
        <f>VLOOKUP($A98,'[3]allergenen 6nr'!$A$1:$O$1310,12,FALSE)</f>
        <v>-</v>
      </c>
      <c r="BN98" s="201" t="str">
        <f>VLOOKUP($A98,'[3]allergenen 6nr'!$A$1:$O$1310,13,FALSE)</f>
        <v>X</v>
      </c>
      <c r="BO98" s="201" t="str">
        <f>VLOOKUP($A98,'[3]allergenen 6nr'!$A$1:$O$1310,14,FALSE)</f>
        <v>-</v>
      </c>
      <c r="BP98" s="202" t="str">
        <f>VLOOKUP($A98,'[3]allergenen 6nr'!$A$1:$O$1310,15,FALSE)</f>
        <v>-</v>
      </c>
    </row>
    <row r="99" spans="1:68" x14ac:dyDescent="0.2">
      <c r="A99" s="89">
        <v>63318600</v>
      </c>
      <c r="B99" s="53" t="str">
        <f>VLOOKUP($A99,[1]maaltijden!$A$1:$IV$65536,4,FALSE)</f>
        <v>DMH THAI BEEF SWEET CHILI NOEDELS</v>
      </c>
      <c r="C99" s="46" t="str">
        <f>VLOOKUP($A99,[1]maaltijden!$A$1:$IV$65536,7,FALSE)</f>
        <v>UK-57</v>
      </c>
      <c r="D99" s="22" t="str">
        <f>VLOOKUP($A99,[1]maaltijden!$A$1:$IV$65536,10,FALSE)</f>
        <v>NVT</v>
      </c>
      <c r="E99" s="22" t="str">
        <f>VLOOKUP($A99,[1]maaltijden!$A$1:$IV$65536,13,FALSE)</f>
        <v>DMH X 6</v>
      </c>
      <c r="F99" s="20">
        <f t="shared" si="1"/>
        <v>0</v>
      </c>
      <c r="G99" s="20" t="str">
        <f>VLOOKUP($A99,[1]maaltijden!$A$1:$IV$65536,27,FALSE)</f>
        <v>! ! ! ! !</v>
      </c>
      <c r="H99" s="22">
        <f>VLOOKUP($A99,[1]maaltijden!$A$1:$IV$65536,21,FALSE)</f>
        <v>5</v>
      </c>
      <c r="I99" s="22">
        <f>VLOOKUP($A99,[1]maaltijden!$A$1:$IV$65536,21,FALSE)</f>
        <v>5</v>
      </c>
      <c r="J99" s="22">
        <f>VLOOKUP($A99,[1]maaltijden!$A$1:$IV$65536,18,FALSE)</f>
        <v>3</v>
      </c>
      <c r="K99" s="22">
        <f>VLOOKUP($A99,[1]maaltijden!$A$1:$IV$65536,17,FALSE)</f>
        <v>3</v>
      </c>
      <c r="L99" s="22">
        <f>VLOOKUP($A99,[1]maaltijden!$A$1:$IV$65536,20,FALSE)</f>
        <v>2000</v>
      </c>
      <c r="M99" s="22">
        <f>VLOOKUP($A99,[1]maaltijden!$A$1:$IV$65536,22,FALSE)</f>
        <v>2000</v>
      </c>
      <c r="N99" s="135"/>
      <c r="O99" s="50"/>
      <c r="P99" s="19">
        <v>0</v>
      </c>
      <c r="Q99" s="20">
        <v>1</v>
      </c>
      <c r="R99" s="21">
        <v>0</v>
      </c>
      <c r="S99" s="19">
        <v>0</v>
      </c>
      <c r="T99" s="20">
        <v>1</v>
      </c>
      <c r="U99" s="19">
        <v>1</v>
      </c>
      <c r="V99" s="20">
        <v>1</v>
      </c>
      <c r="W99" s="20">
        <v>1</v>
      </c>
      <c r="X99" s="20">
        <v>1</v>
      </c>
      <c r="Y99" s="20">
        <v>1</v>
      </c>
      <c r="Z99" s="20">
        <v>0</v>
      </c>
      <c r="AA99" s="20">
        <v>0</v>
      </c>
      <c r="AB99" s="49">
        <v>0</v>
      </c>
      <c r="AC99" s="49">
        <v>0</v>
      </c>
      <c r="AD99" s="49">
        <v>0</v>
      </c>
      <c r="AE99" s="49">
        <v>0</v>
      </c>
      <c r="AF99" s="49">
        <v>0</v>
      </c>
      <c r="AG99" s="161">
        <v>1</v>
      </c>
      <c r="AH99" s="162">
        <v>1</v>
      </c>
      <c r="AI99" s="162">
        <v>0</v>
      </c>
      <c r="AJ99" s="162">
        <v>1</v>
      </c>
      <c r="AK99" s="162">
        <v>0</v>
      </c>
      <c r="AL99" s="163">
        <v>0</v>
      </c>
      <c r="AM99" s="19">
        <v>0</v>
      </c>
      <c r="AN99" s="20">
        <f>IFERROR(INDEX([2]lijnopstellingsfiche!$AP$1:$AP$65536,MATCH(A99,[2]lijnopstellingsfiche!$AQ$1:$AQ$65536,0)),"")</f>
        <v>1</v>
      </c>
      <c r="AO99" s="20">
        <v>1</v>
      </c>
      <c r="AP99" s="20">
        <v>0</v>
      </c>
      <c r="AQ99" s="20">
        <v>2</v>
      </c>
      <c r="AR99" s="20">
        <v>0</v>
      </c>
      <c r="AS99" s="20">
        <v>0</v>
      </c>
      <c r="AT99" s="20">
        <v>1</v>
      </c>
      <c r="AU99" s="20">
        <v>0</v>
      </c>
      <c r="AV99" s="23">
        <v>0</v>
      </c>
      <c r="AW99" s="108">
        <v>0</v>
      </c>
      <c r="AX99" s="108">
        <v>0</v>
      </c>
      <c r="AY99" s="108">
        <v>1</v>
      </c>
      <c r="AZ99" s="108">
        <v>0</v>
      </c>
      <c r="BA99" s="114">
        <v>1</v>
      </c>
      <c r="BB99" s="20">
        <v>0</v>
      </c>
      <c r="BC99" s="113">
        <v>0</v>
      </c>
      <c r="BD99" s="200" t="str">
        <f>VLOOKUP($A99,'[3]allergenen 6nr'!$A$1:$O$1310,3,FALSE)</f>
        <v>-</v>
      </c>
      <c r="BE99" s="201" t="str">
        <f>VLOOKUP($A99,'[3]allergenen 6nr'!$A$1:$O$1310,4,FALSE)</f>
        <v>X</v>
      </c>
      <c r="BF99" s="201" t="str">
        <f>VLOOKUP($A99,'[3]allergenen 6nr'!$A$1:$O$1310,5,FALSE)</f>
        <v>+</v>
      </c>
      <c r="BG99" s="201" t="str">
        <f>VLOOKUP($A99,'[3]allergenen 6nr'!$A$1:$O$1310,6,FALSE)</f>
        <v>X</v>
      </c>
      <c r="BH99" s="201" t="str">
        <f>VLOOKUP($A99,'[3]allergenen 6nr'!$A$1:$O$1310,7,FALSE)</f>
        <v>-</v>
      </c>
      <c r="BI99" s="201" t="str">
        <f>VLOOKUP($A99,'[3]allergenen 6nr'!$A$1:$O$1310,8,FALSE)</f>
        <v>X</v>
      </c>
      <c r="BJ99" s="201" t="str">
        <f>VLOOKUP($A99,'[3]allergenen 6nr'!$A$1:$O$1310,9,FALSE)</f>
        <v>-</v>
      </c>
      <c r="BK99" s="201" t="str">
        <f>VLOOKUP($A99,'[3]allergenen 6nr'!$A$1:$O$1310,10,FALSE)</f>
        <v>-</v>
      </c>
      <c r="BL99" s="201" t="str">
        <f>VLOOKUP($A99,'[3]allergenen 6nr'!$A$1:$O$1310,11,FALSE)</f>
        <v>-</v>
      </c>
      <c r="BM99" s="201" t="str">
        <f>VLOOKUP($A99,'[3]allergenen 6nr'!$A$1:$O$1310,12,FALSE)</f>
        <v>+</v>
      </c>
      <c r="BN99" s="201" t="str">
        <f>VLOOKUP($A99,'[3]allergenen 6nr'!$A$1:$O$1310,13,FALSE)</f>
        <v>+</v>
      </c>
      <c r="BO99" s="201" t="str">
        <f>VLOOKUP($A99,'[3]allergenen 6nr'!$A$1:$O$1310,14,FALSE)</f>
        <v>-</v>
      </c>
      <c r="BP99" s="202" t="str">
        <f>VLOOKUP($A99,'[3]allergenen 6nr'!$A$1:$O$1310,15,FALSE)</f>
        <v>-</v>
      </c>
    </row>
    <row r="100" spans="1:68" x14ac:dyDescent="0.2">
      <c r="A100" s="89">
        <v>63318700</v>
      </c>
      <c r="B100" s="53" t="str">
        <f>VLOOKUP($A100,[1]maaltijden!$A$1:$IV$65536,4,FALSE)</f>
        <v>DMH RAVIOLI TRUFFEL BOSCHAMPIGNONS BROCCOLI</v>
      </c>
      <c r="C100" s="46" t="str">
        <f>VLOOKUP($A100,[1]maaltijden!$A$1:$IV$65536,7,FALSE)</f>
        <v>UK-57</v>
      </c>
      <c r="D100" s="22" t="str">
        <f>VLOOKUP($A100,[1]maaltijden!$A$1:$IV$65536,10,FALSE)</f>
        <v>NVT</v>
      </c>
      <c r="E100" s="22" t="str">
        <f>VLOOKUP($A100,[1]maaltijden!$A$1:$IV$65536,13,FALSE)</f>
        <v>DMH X 6</v>
      </c>
      <c r="F100" s="20">
        <f t="shared" si="1"/>
        <v>0</v>
      </c>
      <c r="G100" s="20" t="str">
        <f>VLOOKUP($A100,[1]maaltijden!$A$1:$IV$65536,27,FALSE)</f>
        <v>! ! !</v>
      </c>
      <c r="H100" s="22">
        <f>VLOOKUP($A100,[1]maaltijden!$A$1:$IV$65536,21,FALSE)</f>
        <v>6</v>
      </c>
      <c r="I100" s="22">
        <f>VLOOKUP($A100,[1]maaltijden!$A$1:$IV$65536,21,FALSE)</f>
        <v>6</v>
      </c>
      <c r="J100" s="22">
        <f>VLOOKUP($A100,[1]maaltijden!$A$1:$IV$65536,18,FALSE)</f>
        <v>3</v>
      </c>
      <c r="K100" s="22">
        <f>VLOOKUP($A100,[1]maaltijden!$A$1:$IV$65536,17,FALSE)</f>
        <v>1</v>
      </c>
      <c r="L100" s="22">
        <f>VLOOKUP($A100,[1]maaltijden!$A$1:$IV$65536,20,FALSE)</f>
        <v>2500</v>
      </c>
      <c r="M100" s="22">
        <f>VLOOKUP($A100,[1]maaltijden!$A$1:$IV$65536,22,FALSE)</f>
        <v>2500</v>
      </c>
      <c r="N100" s="135"/>
      <c r="O100" s="50"/>
      <c r="P100" s="19">
        <v>0</v>
      </c>
      <c r="Q100" s="20">
        <v>1</v>
      </c>
      <c r="R100" s="21">
        <v>0</v>
      </c>
      <c r="S100" s="19">
        <v>0</v>
      </c>
      <c r="T100" s="20">
        <v>1</v>
      </c>
      <c r="U100" s="19">
        <v>1</v>
      </c>
      <c r="V100" s="20">
        <v>1</v>
      </c>
      <c r="W100" s="20">
        <v>1</v>
      </c>
      <c r="X100" s="20">
        <v>1</v>
      </c>
      <c r="Y100" s="20">
        <v>1</v>
      </c>
      <c r="Z100" s="20">
        <v>0</v>
      </c>
      <c r="AA100" s="20">
        <v>0</v>
      </c>
      <c r="AB100" s="49">
        <v>0</v>
      </c>
      <c r="AC100" s="49">
        <v>0</v>
      </c>
      <c r="AD100" s="49">
        <v>0</v>
      </c>
      <c r="AE100" s="49">
        <v>0</v>
      </c>
      <c r="AF100" s="49">
        <v>0</v>
      </c>
      <c r="AG100" s="161">
        <v>0</v>
      </c>
      <c r="AH100" s="162">
        <v>1</v>
      </c>
      <c r="AI100" s="162">
        <v>0</v>
      </c>
      <c r="AJ100" s="162">
        <v>0</v>
      </c>
      <c r="AK100" s="162">
        <v>0</v>
      </c>
      <c r="AL100" s="163">
        <v>0</v>
      </c>
      <c r="AM100" s="19">
        <v>0</v>
      </c>
      <c r="AN100" s="20">
        <f>IFERROR(INDEX([2]lijnopstellingsfiche!$AP$1:$AP$65536,MATCH(A100,[2]lijnopstellingsfiche!$AQ$1:$AQ$65536,0)),"")</f>
        <v>1</v>
      </c>
      <c r="AO100" s="20">
        <v>0</v>
      </c>
      <c r="AP100" s="20">
        <v>0</v>
      </c>
      <c r="AQ100" s="20">
        <v>1</v>
      </c>
      <c r="AR100" s="20">
        <v>0</v>
      </c>
      <c r="AS100" s="20">
        <v>0</v>
      </c>
      <c r="AT100" s="20">
        <v>1</v>
      </c>
      <c r="AU100" s="20">
        <v>0</v>
      </c>
      <c r="AV100" s="23">
        <v>0</v>
      </c>
      <c r="AW100" s="108">
        <v>0</v>
      </c>
      <c r="AX100" s="108">
        <v>0</v>
      </c>
      <c r="AY100" s="108">
        <v>1</v>
      </c>
      <c r="AZ100" s="108">
        <v>0</v>
      </c>
      <c r="BA100" s="114">
        <v>1</v>
      </c>
      <c r="BB100" s="20">
        <v>0</v>
      </c>
      <c r="BC100" s="113">
        <v>0</v>
      </c>
      <c r="BD100" s="200" t="str">
        <f>VLOOKUP($A100,'[3]allergenen 6nr'!$A$1:$O$1310,3,FALSE)</f>
        <v>-</v>
      </c>
      <c r="BE100" s="201" t="str">
        <f>VLOOKUP($A100,'[3]allergenen 6nr'!$A$1:$O$1310,4,FALSE)</f>
        <v>+</v>
      </c>
      <c r="BF100" s="201" t="str">
        <f>VLOOKUP($A100,'[3]allergenen 6nr'!$A$1:$O$1310,5,FALSE)</f>
        <v>+</v>
      </c>
      <c r="BG100" s="201" t="str">
        <f>VLOOKUP($A100,'[3]allergenen 6nr'!$A$1:$O$1310,6,FALSE)</f>
        <v>X</v>
      </c>
      <c r="BH100" s="201" t="str">
        <f>VLOOKUP($A100,'[3]allergenen 6nr'!$A$1:$O$1310,7,FALSE)</f>
        <v>+</v>
      </c>
      <c r="BI100" s="201" t="str">
        <f>VLOOKUP($A100,'[3]allergenen 6nr'!$A$1:$O$1310,8,FALSE)</f>
        <v>X</v>
      </c>
      <c r="BJ100" s="201" t="str">
        <f>VLOOKUP($A100,'[3]allergenen 6nr'!$A$1:$O$1310,9,FALSE)</f>
        <v>-</v>
      </c>
      <c r="BK100" s="201" t="str">
        <f>VLOOKUP($A100,'[3]allergenen 6nr'!$A$1:$O$1310,10,FALSE)</f>
        <v>-</v>
      </c>
      <c r="BL100" s="201" t="str">
        <f>VLOOKUP($A100,'[3]allergenen 6nr'!$A$1:$O$1310,11,FALSE)</f>
        <v>+</v>
      </c>
      <c r="BM100" s="201" t="str">
        <f>VLOOKUP($A100,'[3]allergenen 6nr'!$A$1:$O$1310,12,FALSE)</f>
        <v>-</v>
      </c>
      <c r="BN100" s="201" t="str">
        <f>VLOOKUP($A100,'[3]allergenen 6nr'!$A$1:$O$1310,13,FALSE)</f>
        <v>X</v>
      </c>
      <c r="BO100" s="201" t="str">
        <f>VLOOKUP($A100,'[3]allergenen 6nr'!$A$1:$O$1310,14,FALSE)</f>
        <v>-</v>
      </c>
      <c r="BP100" s="202" t="str">
        <f>VLOOKUP($A100,'[3]allergenen 6nr'!$A$1:$O$1310,15,FALSE)</f>
        <v>-</v>
      </c>
    </row>
    <row r="101" spans="1:68" x14ac:dyDescent="0.2">
      <c r="A101" s="89">
        <v>63318800</v>
      </c>
      <c r="B101" s="53" t="str">
        <f>VLOOKUP($A101,[1]maaltijden!$A$1:$IV$65536,4,FALSE)</f>
        <v>DMH TAGLIATELLE ZALMFILET ROOMSAUS</v>
      </c>
      <c r="C101" s="46" t="str">
        <f>VLOOKUP($A101,[1]maaltijden!$A$1:$IV$65536,7,FALSE)</f>
        <v>UK-57</v>
      </c>
      <c r="D101" s="22" t="str">
        <f>VLOOKUP($A101,[1]maaltijden!$A$1:$IV$65536,10,FALSE)</f>
        <v>NVT</v>
      </c>
      <c r="E101" s="22" t="str">
        <f>VLOOKUP($A101,[1]maaltijden!$A$1:$IV$65536,13,FALSE)</f>
        <v>DMH X 6</v>
      </c>
      <c r="F101" s="20">
        <f t="shared" si="1"/>
        <v>0</v>
      </c>
      <c r="G101" s="20" t="str">
        <f>VLOOKUP($A101,[1]maaltijden!$A$1:$IV$65536,27,FALSE)</f>
        <v>! ! ! !</v>
      </c>
      <c r="H101" s="22">
        <f>VLOOKUP($A101,[1]maaltijden!$A$1:$IV$65536,21,FALSE)</f>
        <v>5</v>
      </c>
      <c r="I101" s="22">
        <f>VLOOKUP($A101,[1]maaltijden!$A$1:$IV$65536,21,FALSE)</f>
        <v>5</v>
      </c>
      <c r="J101" s="22">
        <f>VLOOKUP($A101,[1]maaltijden!$A$1:$IV$65536,18,FALSE)</f>
        <v>3</v>
      </c>
      <c r="K101" s="22">
        <f>VLOOKUP($A101,[1]maaltijden!$A$1:$IV$65536,17,FALSE)</f>
        <v>2.5</v>
      </c>
      <c r="L101" s="22">
        <f>VLOOKUP($A101,[1]maaltijden!$A$1:$IV$65536,20,FALSE)</f>
        <v>2500</v>
      </c>
      <c r="M101" s="22">
        <f>VLOOKUP($A101,[1]maaltijden!$A$1:$IV$65536,22,FALSE)</f>
        <v>2500</v>
      </c>
      <c r="N101" s="135"/>
      <c r="O101" s="50"/>
      <c r="P101" s="19">
        <v>0</v>
      </c>
      <c r="Q101" s="20">
        <v>1</v>
      </c>
      <c r="R101" s="21">
        <v>0</v>
      </c>
      <c r="S101" s="19">
        <v>0</v>
      </c>
      <c r="T101" s="20">
        <v>1</v>
      </c>
      <c r="U101" s="19">
        <v>0</v>
      </c>
      <c r="V101" s="20">
        <v>1</v>
      </c>
      <c r="W101" s="20">
        <v>1</v>
      </c>
      <c r="X101" s="20">
        <v>1</v>
      </c>
      <c r="Y101" s="20">
        <v>1</v>
      </c>
      <c r="Z101" s="20">
        <v>0</v>
      </c>
      <c r="AA101" s="20">
        <v>0</v>
      </c>
      <c r="AB101" s="49">
        <v>0</v>
      </c>
      <c r="AC101" s="49">
        <v>0</v>
      </c>
      <c r="AD101" s="49">
        <v>0</v>
      </c>
      <c r="AE101" s="49">
        <v>1</v>
      </c>
      <c r="AF101" s="49">
        <v>0</v>
      </c>
      <c r="AG101" s="161">
        <v>1</v>
      </c>
      <c r="AH101" s="162">
        <v>1</v>
      </c>
      <c r="AI101" s="162">
        <v>0</v>
      </c>
      <c r="AJ101" s="162">
        <v>0</v>
      </c>
      <c r="AK101" s="162">
        <v>0</v>
      </c>
      <c r="AL101" s="163">
        <v>0</v>
      </c>
      <c r="AM101" s="19">
        <v>0</v>
      </c>
      <c r="AN101" s="20">
        <f>IFERROR(INDEX([2]lijnopstellingsfiche!$AP$1:$AP$65536,MATCH(A101,[2]lijnopstellingsfiche!$AQ$1:$AQ$65536,0)),"")</f>
        <v>1</v>
      </c>
      <c r="AO101" s="20">
        <v>1</v>
      </c>
      <c r="AP101" s="20">
        <v>0</v>
      </c>
      <c r="AQ101" s="20">
        <v>2</v>
      </c>
      <c r="AR101" s="20">
        <v>0</v>
      </c>
      <c r="AS101" s="20">
        <v>0</v>
      </c>
      <c r="AT101" s="20">
        <v>0</v>
      </c>
      <c r="AU101" s="20">
        <v>0</v>
      </c>
      <c r="AV101" s="23">
        <v>0</v>
      </c>
      <c r="AW101" s="108">
        <v>0</v>
      </c>
      <c r="AX101" s="108">
        <v>0</v>
      </c>
      <c r="AY101" s="108">
        <v>1</v>
      </c>
      <c r="AZ101" s="108">
        <v>0</v>
      </c>
      <c r="BA101" s="114">
        <v>1</v>
      </c>
      <c r="BB101" s="20">
        <v>0</v>
      </c>
      <c r="BC101" s="113">
        <v>0</v>
      </c>
      <c r="BD101" s="200" t="str">
        <f>VLOOKUP($A101,'[3]allergenen 6nr'!$A$1:$O$1310,3,FALSE)</f>
        <v>-</v>
      </c>
      <c r="BE101" s="201" t="str">
        <f>VLOOKUP($A101,'[3]allergenen 6nr'!$A$1:$O$1310,4,FALSE)</f>
        <v>+</v>
      </c>
      <c r="BF101" s="201" t="str">
        <f>VLOOKUP($A101,'[3]allergenen 6nr'!$A$1:$O$1310,5,FALSE)</f>
        <v>+</v>
      </c>
      <c r="BG101" s="201" t="str">
        <f>VLOOKUP($A101,'[3]allergenen 6nr'!$A$1:$O$1310,6,FALSE)</f>
        <v>X</v>
      </c>
      <c r="BH101" s="201" t="str">
        <f>VLOOKUP($A101,'[3]allergenen 6nr'!$A$1:$O$1310,7,FALSE)</f>
        <v>+</v>
      </c>
      <c r="BI101" s="201" t="str">
        <f>VLOOKUP($A101,'[3]allergenen 6nr'!$A$1:$O$1310,8,FALSE)</f>
        <v>X</v>
      </c>
      <c r="BJ101" s="201" t="str">
        <f>VLOOKUP($A101,'[3]allergenen 6nr'!$A$1:$O$1310,9,FALSE)</f>
        <v>-</v>
      </c>
      <c r="BK101" s="201" t="str">
        <f>VLOOKUP($A101,'[3]allergenen 6nr'!$A$1:$O$1310,10,FALSE)</f>
        <v>X</v>
      </c>
      <c r="BL101" s="201" t="str">
        <f>VLOOKUP($A101,'[3]allergenen 6nr'!$A$1:$O$1310,11,FALSE)</f>
        <v>+</v>
      </c>
      <c r="BM101" s="201" t="str">
        <f>VLOOKUP($A101,'[3]allergenen 6nr'!$A$1:$O$1310,12,FALSE)</f>
        <v>-</v>
      </c>
      <c r="BN101" s="201" t="str">
        <f>VLOOKUP($A101,'[3]allergenen 6nr'!$A$1:$O$1310,13,FALSE)</f>
        <v>X</v>
      </c>
      <c r="BO101" s="201" t="str">
        <f>VLOOKUP($A101,'[3]allergenen 6nr'!$A$1:$O$1310,14,FALSE)</f>
        <v>+</v>
      </c>
      <c r="BP101" s="202" t="str">
        <f>VLOOKUP($A101,'[3]allergenen 6nr'!$A$1:$O$1310,15,FALSE)</f>
        <v>X</v>
      </c>
    </row>
    <row r="102" spans="1:68" x14ac:dyDescent="0.2">
      <c r="A102" s="89">
        <v>63318900</v>
      </c>
      <c r="B102" s="53" t="str">
        <f>VLOOKUP($A102,[1]maaltijden!$A$1:$IV$65536,4,FALSE)</f>
        <v>DMH CHILI SIN CARNE MET AARDAPPELKUBUS</v>
      </c>
      <c r="C102" s="46" t="str">
        <f>VLOOKUP($A102,[1]maaltijden!$A$1:$IV$65536,7,FALSE)</f>
        <v>UK-57</v>
      </c>
      <c r="D102" s="22" t="str">
        <f>VLOOKUP($A102,[1]maaltijden!$A$1:$IV$65536,10,FALSE)</f>
        <v>NVT</v>
      </c>
      <c r="E102" s="22" t="str">
        <f>VLOOKUP($A102,[1]maaltijden!$A$1:$IV$65536,13,FALSE)</f>
        <v>DMH X 6</v>
      </c>
      <c r="F102" s="20">
        <f t="shared" si="1"/>
        <v>0</v>
      </c>
      <c r="G102" s="20" t="str">
        <f>VLOOKUP($A102,[1]maaltijden!$A$1:$IV$65536,27,FALSE)</f>
        <v>! ! !</v>
      </c>
      <c r="H102" s="22">
        <f>VLOOKUP($A102,[1]maaltijden!$A$1:$IV$65536,21,FALSE)</f>
        <v>5</v>
      </c>
      <c r="I102" s="22">
        <f>VLOOKUP($A102,[1]maaltijden!$A$1:$IV$65536,21,FALSE)</f>
        <v>5</v>
      </c>
      <c r="J102" s="22">
        <f>VLOOKUP($A102,[1]maaltijden!$A$1:$IV$65536,18,FALSE)</f>
        <v>3</v>
      </c>
      <c r="K102" s="22">
        <f>VLOOKUP($A102,[1]maaltijden!$A$1:$IV$65536,17,FALSE)</f>
        <v>1</v>
      </c>
      <c r="L102" s="22">
        <f>VLOOKUP($A102,[1]maaltijden!$A$1:$IV$65536,20,FALSE)</f>
        <v>2500</v>
      </c>
      <c r="M102" s="22">
        <f>VLOOKUP($A102,[1]maaltijden!$A$1:$IV$65536,22,FALSE)</f>
        <v>2500</v>
      </c>
      <c r="N102" s="135"/>
      <c r="O102" s="50"/>
      <c r="P102" s="19">
        <v>0</v>
      </c>
      <c r="Q102" s="20">
        <v>1</v>
      </c>
      <c r="R102" s="21">
        <v>0</v>
      </c>
      <c r="S102" s="19">
        <v>0</v>
      </c>
      <c r="T102" s="20">
        <v>1</v>
      </c>
      <c r="U102" s="19">
        <v>1</v>
      </c>
      <c r="V102" s="20">
        <v>1</v>
      </c>
      <c r="W102" s="20">
        <v>1</v>
      </c>
      <c r="X102" s="20">
        <v>1</v>
      </c>
      <c r="Y102" s="20">
        <v>1</v>
      </c>
      <c r="Z102" s="20">
        <v>0</v>
      </c>
      <c r="AA102" s="20">
        <v>0</v>
      </c>
      <c r="AB102" s="49">
        <v>0</v>
      </c>
      <c r="AC102" s="49">
        <v>0</v>
      </c>
      <c r="AD102" s="49">
        <v>0</v>
      </c>
      <c r="AE102" s="49">
        <v>0</v>
      </c>
      <c r="AF102" s="49">
        <v>0</v>
      </c>
      <c r="AG102" s="161">
        <v>0</v>
      </c>
      <c r="AH102" s="162">
        <v>1</v>
      </c>
      <c r="AI102" s="162">
        <v>0</v>
      </c>
      <c r="AJ102" s="162">
        <v>0</v>
      </c>
      <c r="AK102" s="162">
        <v>0</v>
      </c>
      <c r="AL102" s="163">
        <v>0</v>
      </c>
      <c r="AM102" s="19">
        <v>0</v>
      </c>
      <c r="AN102" s="20" t="str">
        <f>IFERROR(INDEX([2]lijnopstellingsfiche!$AP$1:$AP$65536,MATCH(A102,[2]lijnopstellingsfiche!$AQ$1:$AQ$65536,0)),"")</f>
        <v>-</v>
      </c>
      <c r="AO102" s="20">
        <v>0</v>
      </c>
      <c r="AP102" s="20">
        <v>0</v>
      </c>
      <c r="AQ102" s="20">
        <v>2</v>
      </c>
      <c r="AR102" s="20">
        <v>0</v>
      </c>
      <c r="AS102" s="20">
        <v>0</v>
      </c>
      <c r="AT102" s="20">
        <v>0</v>
      </c>
      <c r="AU102" s="20">
        <v>0</v>
      </c>
      <c r="AV102" s="23">
        <v>0</v>
      </c>
      <c r="AW102" s="108">
        <v>0</v>
      </c>
      <c r="AX102" s="108">
        <v>0</v>
      </c>
      <c r="AY102" s="108">
        <v>1</v>
      </c>
      <c r="AZ102" s="108">
        <v>0</v>
      </c>
      <c r="BA102" s="114">
        <v>1</v>
      </c>
      <c r="BB102" s="20">
        <v>0</v>
      </c>
      <c r="BC102" s="113">
        <v>0</v>
      </c>
      <c r="BD102" s="200" t="str">
        <f>VLOOKUP($A102,'[3]allergenen 6nr'!$A$1:$O$1310,3,FALSE)</f>
        <v>-</v>
      </c>
      <c r="BE102" s="201" t="str">
        <f>VLOOKUP($A102,'[3]allergenen 6nr'!$A$1:$O$1310,4,FALSE)</f>
        <v>X</v>
      </c>
      <c r="BF102" s="201" t="str">
        <f>VLOOKUP($A102,'[3]allergenen 6nr'!$A$1:$O$1310,5,FALSE)</f>
        <v>+</v>
      </c>
      <c r="BG102" s="201" t="str">
        <f>VLOOKUP($A102,'[3]allergenen 6nr'!$A$1:$O$1310,6,FALSE)</f>
        <v>-</v>
      </c>
      <c r="BH102" s="201" t="str">
        <f>VLOOKUP($A102,'[3]allergenen 6nr'!$A$1:$O$1310,7,FALSE)</f>
        <v>+</v>
      </c>
      <c r="BI102" s="201" t="str">
        <f>VLOOKUP($A102,'[3]allergenen 6nr'!$A$1:$O$1310,8,FALSE)</f>
        <v>X</v>
      </c>
      <c r="BJ102" s="201" t="str">
        <f>VLOOKUP($A102,'[3]allergenen 6nr'!$A$1:$O$1310,9,FALSE)</f>
        <v>-</v>
      </c>
      <c r="BK102" s="201" t="str">
        <f>VLOOKUP($A102,'[3]allergenen 6nr'!$A$1:$O$1310,10,FALSE)</f>
        <v>X</v>
      </c>
      <c r="BL102" s="201" t="str">
        <f>VLOOKUP($A102,'[3]allergenen 6nr'!$A$1:$O$1310,11,FALSE)</f>
        <v>X</v>
      </c>
      <c r="BM102" s="201" t="str">
        <f>VLOOKUP($A102,'[3]allergenen 6nr'!$A$1:$O$1310,12,FALSE)</f>
        <v>-</v>
      </c>
      <c r="BN102" s="201" t="str">
        <f>VLOOKUP($A102,'[3]allergenen 6nr'!$A$1:$O$1310,13,FALSE)</f>
        <v>+</v>
      </c>
      <c r="BO102" s="201" t="str">
        <f>VLOOKUP($A102,'[3]allergenen 6nr'!$A$1:$O$1310,14,FALSE)</f>
        <v>X</v>
      </c>
      <c r="BP102" s="202" t="str">
        <f>VLOOKUP($A102,'[3]allergenen 6nr'!$A$1:$O$1310,15,FALSE)</f>
        <v>-</v>
      </c>
    </row>
    <row r="103" spans="1:68" x14ac:dyDescent="0.2">
      <c r="A103" s="89">
        <v>63319000</v>
      </c>
      <c r="B103" s="53" t="str">
        <f>VLOOKUP($A103,[1]maaltijden!$A$1:$IV$65536,4,FALSE)</f>
        <v>DMH NOODLES KIP PITTIGE SOJASAUS GROENTENMIX</v>
      </c>
      <c r="C103" s="46" t="str">
        <f>VLOOKUP($A103,[1]maaltijden!$A$1:$IV$65536,7,FALSE)</f>
        <v>UK-57</v>
      </c>
      <c r="D103" s="22" t="str">
        <f>VLOOKUP($A103,[1]maaltijden!$A$1:$IV$65536,10,FALSE)</f>
        <v>NVT</v>
      </c>
      <c r="E103" s="22" t="str">
        <f>VLOOKUP($A103,[1]maaltijden!$A$1:$IV$65536,13,FALSE)</f>
        <v>DMH X 6</v>
      </c>
      <c r="F103" s="20">
        <f t="shared" si="1"/>
        <v>0</v>
      </c>
      <c r="G103" s="20" t="str">
        <f>VLOOKUP($A103,[1]maaltijden!$A$1:$IV$65536,27,FALSE)</f>
        <v>! ! ! ! !</v>
      </c>
      <c r="H103" s="22">
        <f>VLOOKUP($A103,[1]maaltijden!$A$1:$IV$65536,21,FALSE)</f>
        <v>7</v>
      </c>
      <c r="I103" s="22">
        <f>VLOOKUP($A103,[1]maaltijden!$A$1:$IV$65536,21,FALSE)</f>
        <v>7</v>
      </c>
      <c r="J103" s="22">
        <f>VLOOKUP($A103,[1]maaltijden!$A$1:$IV$65536,18,FALSE)</f>
        <v>3</v>
      </c>
      <c r="K103" s="22">
        <f>VLOOKUP($A103,[1]maaltijden!$A$1:$IV$65536,17,FALSE)</f>
        <v>3</v>
      </c>
      <c r="L103" s="22">
        <f>VLOOKUP($A103,[1]maaltijden!$A$1:$IV$65536,20,FALSE)</f>
        <v>2500</v>
      </c>
      <c r="M103" s="22">
        <f>VLOOKUP($A103,[1]maaltijden!$A$1:$IV$65536,22,FALSE)</f>
        <v>2500</v>
      </c>
      <c r="N103" s="135"/>
      <c r="O103" s="50"/>
      <c r="P103" s="19">
        <v>0</v>
      </c>
      <c r="Q103" s="20">
        <v>1</v>
      </c>
      <c r="R103" s="21">
        <v>0</v>
      </c>
      <c r="S103" s="19">
        <v>0</v>
      </c>
      <c r="T103" s="20">
        <v>1</v>
      </c>
      <c r="U103" s="19">
        <v>1</v>
      </c>
      <c r="V103" s="20">
        <v>1</v>
      </c>
      <c r="W103" s="20">
        <v>1</v>
      </c>
      <c r="X103" s="20">
        <v>1</v>
      </c>
      <c r="Y103" s="20">
        <v>1</v>
      </c>
      <c r="Z103" s="20">
        <v>0</v>
      </c>
      <c r="AA103" s="20">
        <v>0</v>
      </c>
      <c r="AB103" s="49">
        <v>0</v>
      </c>
      <c r="AC103" s="49">
        <v>0</v>
      </c>
      <c r="AD103" s="49">
        <v>0</v>
      </c>
      <c r="AE103" s="49">
        <v>0</v>
      </c>
      <c r="AF103" s="49">
        <v>0</v>
      </c>
      <c r="AG103" s="161">
        <v>1</v>
      </c>
      <c r="AH103" s="162">
        <v>1</v>
      </c>
      <c r="AI103" s="162">
        <v>0</v>
      </c>
      <c r="AJ103" s="162">
        <v>1</v>
      </c>
      <c r="AK103" s="162">
        <v>0</v>
      </c>
      <c r="AL103" s="163">
        <v>0</v>
      </c>
      <c r="AM103" s="19">
        <v>0</v>
      </c>
      <c r="AN103" s="20">
        <f>IFERROR(INDEX([2]lijnopstellingsfiche!$AP$1:$AP$65536,MATCH(A103,[2]lijnopstellingsfiche!$AQ$1:$AQ$65536,0)),"")</f>
        <v>2</v>
      </c>
      <c r="AO103" s="20">
        <v>1</v>
      </c>
      <c r="AP103" s="20">
        <v>0</v>
      </c>
      <c r="AQ103" s="20">
        <v>1</v>
      </c>
      <c r="AR103" s="20">
        <v>0</v>
      </c>
      <c r="AS103" s="20">
        <v>0</v>
      </c>
      <c r="AT103" s="20">
        <v>1</v>
      </c>
      <c r="AU103" s="20">
        <v>0</v>
      </c>
      <c r="AV103" s="23">
        <v>0</v>
      </c>
      <c r="AW103" s="108">
        <v>0</v>
      </c>
      <c r="AX103" s="108">
        <v>0</v>
      </c>
      <c r="AY103" s="108">
        <v>1</v>
      </c>
      <c r="AZ103" s="108">
        <v>0</v>
      </c>
      <c r="BA103" s="114">
        <v>1</v>
      </c>
      <c r="BB103" s="20">
        <v>0</v>
      </c>
      <c r="BC103" s="113">
        <v>0</v>
      </c>
      <c r="BD103" s="200" t="str">
        <f>VLOOKUP($A103,'[3]allergenen 6nr'!$A$1:$O$1310,3,FALSE)</f>
        <v>-</v>
      </c>
      <c r="BE103" s="201" t="str">
        <f>VLOOKUP($A103,'[3]allergenen 6nr'!$A$1:$O$1310,4,FALSE)</f>
        <v>X</v>
      </c>
      <c r="BF103" s="201" t="str">
        <f>VLOOKUP($A103,'[3]allergenen 6nr'!$A$1:$O$1310,5,FALSE)</f>
        <v>+</v>
      </c>
      <c r="BG103" s="201" t="str">
        <f>VLOOKUP($A103,'[3]allergenen 6nr'!$A$1:$O$1310,6,FALSE)</f>
        <v>X</v>
      </c>
      <c r="BH103" s="201" t="str">
        <f>VLOOKUP($A103,'[3]allergenen 6nr'!$A$1:$O$1310,7,FALSE)</f>
        <v>-</v>
      </c>
      <c r="BI103" s="201" t="str">
        <f>VLOOKUP($A103,'[3]allergenen 6nr'!$A$1:$O$1310,8,FALSE)</f>
        <v>X</v>
      </c>
      <c r="BJ103" s="201" t="str">
        <f>VLOOKUP($A103,'[3]allergenen 6nr'!$A$1:$O$1310,9,FALSE)</f>
        <v>-</v>
      </c>
      <c r="BK103" s="201" t="str">
        <f>VLOOKUP($A103,'[3]allergenen 6nr'!$A$1:$O$1310,10,FALSE)</f>
        <v>-</v>
      </c>
      <c r="BL103" s="201" t="str">
        <f>VLOOKUP($A103,'[3]allergenen 6nr'!$A$1:$O$1310,11,FALSE)</f>
        <v>-</v>
      </c>
      <c r="BM103" s="201" t="str">
        <f>VLOOKUP($A103,'[3]allergenen 6nr'!$A$1:$O$1310,12,FALSE)</f>
        <v>+</v>
      </c>
      <c r="BN103" s="201" t="str">
        <f>VLOOKUP($A103,'[3]allergenen 6nr'!$A$1:$O$1310,13,FALSE)</f>
        <v>+</v>
      </c>
      <c r="BO103" s="201" t="str">
        <f>VLOOKUP($A103,'[3]allergenen 6nr'!$A$1:$O$1310,14,FALSE)</f>
        <v>-</v>
      </c>
      <c r="BP103" s="202" t="str">
        <f>VLOOKUP($A103,'[3]allergenen 6nr'!$A$1:$O$1310,15,FALSE)</f>
        <v>-</v>
      </c>
    </row>
    <row r="104" spans="1:68" x14ac:dyDescent="0.2">
      <c r="A104" s="89">
        <v>63319200</v>
      </c>
      <c r="B104" s="53" t="str">
        <f>VLOOKUP($A104,[1]maaltijden!$A$1:$IV$65536,4,FALSE)</f>
        <v>DMH LASAGNE MET ZALM EN SPINAZIE</v>
      </c>
      <c r="C104" s="46" t="str">
        <f>VLOOKUP($A104,[1]maaltijden!$A$1:$IV$65536,7,FALSE)</f>
        <v>UK-57</v>
      </c>
      <c r="D104" s="22" t="str">
        <f>VLOOKUP($A104,[1]maaltijden!$A$1:$IV$65536,10,FALSE)</f>
        <v>NVT</v>
      </c>
      <c r="E104" s="22" t="str">
        <f>VLOOKUP($A104,[1]maaltijden!$A$1:$IV$65536,13,FALSE)</f>
        <v>DMH X 6</v>
      </c>
      <c r="F104" s="20">
        <f t="shared" si="1"/>
        <v>0</v>
      </c>
      <c r="G104" s="20" t="str">
        <f>VLOOKUP($A104,[1]maaltijden!$A$1:$IV$65536,27,FALSE)</f>
        <v>! ! ! !</v>
      </c>
      <c r="H104" s="22">
        <f>VLOOKUP($A104,[1]maaltijden!$A$1:$IV$65536,21,FALSE)</f>
        <v>7</v>
      </c>
      <c r="I104" s="22">
        <f>VLOOKUP($A104,[1]maaltijden!$A$1:$IV$65536,21,FALSE)</f>
        <v>7</v>
      </c>
      <c r="J104" s="22">
        <f>VLOOKUP($A104,[1]maaltijden!$A$1:$IV$65536,18,FALSE)</f>
        <v>3</v>
      </c>
      <c r="K104" s="22">
        <f>VLOOKUP($A104,[1]maaltijden!$A$1:$IV$65536,17,FALSE)</f>
        <v>2</v>
      </c>
      <c r="L104" s="22">
        <f>VLOOKUP($A104,[1]maaltijden!$A$1:$IV$65536,20,FALSE)</f>
        <v>2500</v>
      </c>
      <c r="M104" s="22">
        <f>VLOOKUP($A104,[1]maaltijden!$A$1:$IV$65536,22,FALSE)</f>
        <v>2500</v>
      </c>
      <c r="N104" s="135"/>
      <c r="O104" s="50"/>
      <c r="P104" s="19">
        <v>0</v>
      </c>
      <c r="Q104" s="20">
        <v>1</v>
      </c>
      <c r="R104" s="21">
        <v>0</v>
      </c>
      <c r="S104" s="19">
        <v>0</v>
      </c>
      <c r="T104" s="20">
        <v>1</v>
      </c>
      <c r="U104" s="19">
        <v>1</v>
      </c>
      <c r="V104" s="20">
        <v>1</v>
      </c>
      <c r="W104" s="20">
        <v>1</v>
      </c>
      <c r="X104" s="20">
        <v>1</v>
      </c>
      <c r="Y104" s="20">
        <v>1</v>
      </c>
      <c r="Z104" s="20">
        <v>0</v>
      </c>
      <c r="AA104" s="20">
        <v>0</v>
      </c>
      <c r="AB104" s="49">
        <v>1</v>
      </c>
      <c r="AC104" s="49">
        <v>0</v>
      </c>
      <c r="AD104" s="49">
        <v>0</v>
      </c>
      <c r="AE104" s="49">
        <v>0</v>
      </c>
      <c r="AF104" s="49">
        <v>1</v>
      </c>
      <c r="AG104" s="161">
        <v>0</v>
      </c>
      <c r="AH104" s="162">
        <v>1</v>
      </c>
      <c r="AI104" s="162">
        <v>1</v>
      </c>
      <c r="AJ104" s="162">
        <v>0</v>
      </c>
      <c r="AK104" s="162">
        <v>0</v>
      </c>
      <c r="AL104" s="163">
        <v>0</v>
      </c>
      <c r="AM104" s="19">
        <v>0</v>
      </c>
      <c r="AN104" s="20" t="str">
        <f>IFERROR(INDEX([2]lijnopstellingsfiche!$AP$1:$AP$65536,MATCH(A104,[2]lijnopstellingsfiche!$AQ$1:$AQ$65536,0)),"")</f>
        <v>-</v>
      </c>
      <c r="AO104" s="20">
        <v>0</v>
      </c>
      <c r="AP104" s="20">
        <v>1</v>
      </c>
      <c r="AQ104" s="20">
        <v>4</v>
      </c>
      <c r="AR104" s="20">
        <v>1</v>
      </c>
      <c r="AS104" s="20">
        <v>0</v>
      </c>
      <c r="AT104" s="20">
        <v>0</v>
      </c>
      <c r="AU104" s="20">
        <v>0</v>
      </c>
      <c r="AV104" s="23">
        <v>0</v>
      </c>
      <c r="AW104" s="108">
        <v>0</v>
      </c>
      <c r="AX104" s="108">
        <v>0</v>
      </c>
      <c r="AY104" s="108">
        <v>1</v>
      </c>
      <c r="AZ104" s="108">
        <v>0</v>
      </c>
      <c r="BA104" s="114">
        <v>1</v>
      </c>
      <c r="BB104" s="20">
        <v>0</v>
      </c>
      <c r="BC104" s="113">
        <v>0</v>
      </c>
      <c r="BD104" s="200" t="str">
        <f>VLOOKUP($A104,'[3]allergenen 6nr'!$A$1:$O$1310,3,FALSE)</f>
        <v>-</v>
      </c>
      <c r="BE104" s="201" t="str">
        <f>VLOOKUP($A104,'[3]allergenen 6nr'!$A$1:$O$1310,4,FALSE)</f>
        <v>+</v>
      </c>
      <c r="BF104" s="201" t="str">
        <f>VLOOKUP($A104,'[3]allergenen 6nr'!$A$1:$O$1310,5,FALSE)</f>
        <v>+</v>
      </c>
      <c r="BG104" s="201" t="str">
        <f>VLOOKUP($A104,'[3]allergenen 6nr'!$A$1:$O$1310,6,FALSE)</f>
        <v>X</v>
      </c>
      <c r="BH104" s="201" t="str">
        <f>VLOOKUP($A104,'[3]allergenen 6nr'!$A$1:$O$1310,7,FALSE)</f>
        <v>+</v>
      </c>
      <c r="BI104" s="201" t="str">
        <f>VLOOKUP($A104,'[3]allergenen 6nr'!$A$1:$O$1310,8,FALSE)</f>
        <v>X</v>
      </c>
      <c r="BJ104" s="201" t="str">
        <f>VLOOKUP($A104,'[3]allergenen 6nr'!$A$1:$O$1310,9,FALSE)</f>
        <v>-</v>
      </c>
      <c r="BK104" s="201" t="str">
        <f>VLOOKUP($A104,'[3]allergenen 6nr'!$A$1:$O$1310,10,FALSE)</f>
        <v>X</v>
      </c>
      <c r="BL104" s="201" t="str">
        <f>VLOOKUP($A104,'[3]allergenen 6nr'!$A$1:$O$1310,11,FALSE)</f>
        <v>+</v>
      </c>
      <c r="BM104" s="201" t="str">
        <f>VLOOKUP($A104,'[3]allergenen 6nr'!$A$1:$O$1310,12,FALSE)</f>
        <v>-</v>
      </c>
      <c r="BN104" s="201" t="str">
        <f>VLOOKUP($A104,'[3]allergenen 6nr'!$A$1:$O$1310,13,FALSE)</f>
        <v>X</v>
      </c>
      <c r="BO104" s="201" t="str">
        <f>VLOOKUP($A104,'[3]allergenen 6nr'!$A$1:$O$1310,14,FALSE)</f>
        <v>+</v>
      </c>
      <c r="BP104" s="202" t="str">
        <f>VLOOKUP($A104,'[3]allergenen 6nr'!$A$1:$O$1310,15,FALSE)</f>
        <v>X</v>
      </c>
    </row>
    <row r="105" spans="1:68" x14ac:dyDescent="0.2">
      <c r="A105" s="89">
        <v>63319500</v>
      </c>
      <c r="B105" s="53" t="str">
        <f>VLOOKUP($A105,[1]maaltijden!$A$1:$IV$65536,4,FALSE)</f>
        <v>DMH AMERICAN MAC &amp; CHEESE</v>
      </c>
      <c r="C105" s="46" t="str">
        <f>VLOOKUP($A105,[1]maaltijden!$A$1:$IV$65536,7,FALSE)</f>
        <v>UK-57</v>
      </c>
      <c r="D105" s="22" t="str">
        <f>VLOOKUP($A105,[1]maaltijden!$A$1:$IV$65536,10,FALSE)</f>
        <v>NVT</v>
      </c>
      <c r="E105" s="22" t="str">
        <f>VLOOKUP($A105,[1]maaltijden!$A$1:$IV$65536,13,FALSE)</f>
        <v>DMH X 6</v>
      </c>
      <c r="F105" s="20">
        <f t="shared" si="1"/>
        <v>0</v>
      </c>
      <c r="G105" s="20" t="str">
        <f>VLOOKUP($A105,[1]maaltijden!$A$1:$IV$65536,27,FALSE)</f>
        <v>! ! !</v>
      </c>
      <c r="H105" s="22">
        <f>VLOOKUP($A105,[1]maaltijden!$A$1:$IV$65536,21,FALSE)</f>
        <v>4</v>
      </c>
      <c r="I105" s="22">
        <f>VLOOKUP($A105,[1]maaltijden!$A$1:$IV$65536,21,FALSE)</f>
        <v>4</v>
      </c>
      <c r="J105" s="22">
        <f>VLOOKUP($A105,[1]maaltijden!$A$1:$IV$65536,18,FALSE)</f>
        <v>3</v>
      </c>
      <c r="K105" s="22">
        <f>VLOOKUP($A105,[1]maaltijden!$A$1:$IV$65536,17,FALSE)</f>
        <v>3</v>
      </c>
      <c r="L105" s="22">
        <f>VLOOKUP($A105,[1]maaltijden!$A$1:$IV$65536,20,FALSE)</f>
        <v>2500</v>
      </c>
      <c r="M105" s="22">
        <f>VLOOKUP($A105,[1]maaltijden!$A$1:$IV$65536,22,FALSE)</f>
        <v>2500</v>
      </c>
      <c r="N105" s="135"/>
      <c r="O105" s="50"/>
      <c r="P105" s="19">
        <v>0</v>
      </c>
      <c r="Q105" s="20">
        <v>1</v>
      </c>
      <c r="R105" s="21">
        <v>0</v>
      </c>
      <c r="S105" s="19">
        <v>0</v>
      </c>
      <c r="T105" s="20">
        <v>1</v>
      </c>
      <c r="U105" s="19">
        <v>0</v>
      </c>
      <c r="V105" s="20">
        <v>1</v>
      </c>
      <c r="W105" s="20">
        <v>1</v>
      </c>
      <c r="X105" s="20">
        <v>1</v>
      </c>
      <c r="Y105" s="20">
        <v>1</v>
      </c>
      <c r="Z105" s="20">
        <v>0</v>
      </c>
      <c r="AA105" s="20">
        <v>0</v>
      </c>
      <c r="AB105" s="49">
        <v>0</v>
      </c>
      <c r="AC105" s="49">
        <v>0</v>
      </c>
      <c r="AD105" s="49">
        <v>0</v>
      </c>
      <c r="AE105" s="49">
        <v>1</v>
      </c>
      <c r="AF105" s="49">
        <v>0</v>
      </c>
      <c r="AG105" s="161">
        <v>1</v>
      </c>
      <c r="AH105" s="162">
        <v>2</v>
      </c>
      <c r="AI105" s="162">
        <v>0</v>
      </c>
      <c r="AJ105" s="162">
        <v>1</v>
      </c>
      <c r="AK105" s="162">
        <v>0</v>
      </c>
      <c r="AL105" s="163">
        <v>0</v>
      </c>
      <c r="AM105" s="19">
        <v>0</v>
      </c>
      <c r="AN105" s="20">
        <f>IFERROR(INDEX([2]lijnopstellingsfiche!$AP$1:$AP$65536,MATCH(A105,[2]lijnopstellingsfiche!$AQ$1:$AQ$65536,0)),"")</f>
        <v>1</v>
      </c>
      <c r="AO105" s="20">
        <v>1</v>
      </c>
      <c r="AP105" s="20">
        <v>1</v>
      </c>
      <c r="AQ105" s="20">
        <v>2</v>
      </c>
      <c r="AR105" s="20">
        <v>0</v>
      </c>
      <c r="AS105" s="20">
        <v>0</v>
      </c>
      <c r="AT105" s="20">
        <v>0</v>
      </c>
      <c r="AU105" s="20">
        <v>0</v>
      </c>
      <c r="AV105" s="23">
        <v>0</v>
      </c>
      <c r="AW105" s="108">
        <v>0</v>
      </c>
      <c r="AX105" s="108">
        <v>0</v>
      </c>
      <c r="AY105" s="108">
        <v>1</v>
      </c>
      <c r="AZ105" s="108">
        <v>0</v>
      </c>
      <c r="BA105" s="114">
        <v>1</v>
      </c>
      <c r="BB105" s="20">
        <v>0</v>
      </c>
      <c r="BC105" s="113">
        <v>0</v>
      </c>
      <c r="BD105" s="200" t="str">
        <f>VLOOKUP($A105,'[3]allergenen 6nr'!$A$1:$O$1310,3,FALSE)</f>
        <v>-</v>
      </c>
      <c r="BE105" s="201" t="str">
        <f>VLOOKUP($A105,'[3]allergenen 6nr'!$A$1:$O$1310,4,FALSE)</f>
        <v>X</v>
      </c>
      <c r="BF105" s="201" t="str">
        <f>VLOOKUP($A105,'[3]allergenen 6nr'!$A$1:$O$1310,5,FALSE)</f>
        <v>+</v>
      </c>
      <c r="BG105" s="201" t="str">
        <f>VLOOKUP($A105,'[3]allergenen 6nr'!$A$1:$O$1310,6,FALSE)</f>
        <v>X</v>
      </c>
      <c r="BH105" s="201" t="str">
        <f>VLOOKUP($A105,'[3]allergenen 6nr'!$A$1:$O$1310,7,FALSE)</f>
        <v>+</v>
      </c>
      <c r="BI105" s="201" t="str">
        <f>VLOOKUP($A105,'[3]allergenen 6nr'!$A$1:$O$1310,8,FALSE)</f>
        <v>X</v>
      </c>
      <c r="BJ105" s="201" t="str">
        <f>VLOOKUP($A105,'[3]allergenen 6nr'!$A$1:$O$1310,9,FALSE)</f>
        <v>-</v>
      </c>
      <c r="BK105" s="201" t="str">
        <f>VLOOKUP($A105,'[3]allergenen 6nr'!$A$1:$O$1310,10,FALSE)</f>
        <v>-</v>
      </c>
      <c r="BL105" s="201" t="str">
        <f>VLOOKUP($A105,'[3]allergenen 6nr'!$A$1:$O$1310,11,FALSE)</f>
        <v>+</v>
      </c>
      <c r="BM105" s="201" t="str">
        <f>VLOOKUP($A105,'[3]allergenen 6nr'!$A$1:$O$1310,12,FALSE)</f>
        <v>-</v>
      </c>
      <c r="BN105" s="201" t="str">
        <f>VLOOKUP($A105,'[3]allergenen 6nr'!$A$1:$O$1310,13,FALSE)</f>
        <v>X</v>
      </c>
      <c r="BO105" s="201" t="str">
        <f>VLOOKUP($A105,'[3]allergenen 6nr'!$A$1:$O$1310,14,FALSE)</f>
        <v>-</v>
      </c>
      <c r="BP105" s="202" t="str">
        <f>VLOOKUP($A105,'[3]allergenen 6nr'!$A$1:$O$1310,15,FALSE)</f>
        <v>-</v>
      </c>
    </row>
    <row r="106" spans="1:68" x14ac:dyDescent="0.2">
      <c r="A106" s="89">
        <v>63319800</v>
      </c>
      <c r="B106" s="53" t="str">
        <f>VLOOKUP($A106,[1]maaltijden!$A$1:$IV$65536,4,FALSE)</f>
        <v>DMH VEG SPAGHETTI BOLOGNAISE</v>
      </c>
      <c r="C106" s="46" t="str">
        <f>VLOOKUP($A106,[1]maaltijden!$A$1:$IV$65536,7,FALSE)</f>
        <v>UK-57</v>
      </c>
      <c r="D106" s="22" t="str">
        <f>VLOOKUP($A106,[1]maaltijden!$A$1:$IV$65536,10,FALSE)</f>
        <v>NVT</v>
      </c>
      <c r="E106" s="22" t="str">
        <f>VLOOKUP($A106,[1]maaltijden!$A$1:$IV$65536,13,FALSE)</f>
        <v>DMH X 6</v>
      </c>
      <c r="F106" s="20">
        <f t="shared" si="1"/>
        <v>0</v>
      </c>
      <c r="G106" s="20" t="str">
        <f>VLOOKUP($A106,[1]maaltijden!$A$1:$IV$65536,27,FALSE)</f>
        <v>! ! !</v>
      </c>
      <c r="H106" s="22">
        <f>VLOOKUP($A106,[1]maaltijden!$A$1:$IV$65536,21,FALSE)</f>
        <v>4</v>
      </c>
      <c r="I106" s="22">
        <f>VLOOKUP($A106,[1]maaltijden!$A$1:$IV$65536,21,FALSE)</f>
        <v>4</v>
      </c>
      <c r="J106" s="22">
        <f>VLOOKUP($A106,[1]maaltijden!$A$1:$IV$65536,18,FALSE)</f>
        <v>3</v>
      </c>
      <c r="K106" s="22">
        <f>VLOOKUP($A106,[1]maaltijden!$A$1:$IV$65536,17,FALSE)</f>
        <v>2.5</v>
      </c>
      <c r="L106" s="22">
        <f>VLOOKUP($A106,[1]maaltijden!$A$1:$IV$65536,20,FALSE)</f>
        <v>2500</v>
      </c>
      <c r="M106" s="22">
        <f>VLOOKUP($A106,[1]maaltijden!$A$1:$IV$65536,22,FALSE)</f>
        <v>2500</v>
      </c>
      <c r="N106" s="135" t="s">
        <v>380</v>
      </c>
      <c r="O106" s="50" t="s">
        <v>382</v>
      </c>
      <c r="P106" s="19">
        <v>0</v>
      </c>
      <c r="Q106" s="20">
        <v>1</v>
      </c>
      <c r="R106" s="21">
        <v>0</v>
      </c>
      <c r="S106" s="19">
        <v>0</v>
      </c>
      <c r="T106" s="20">
        <v>1</v>
      </c>
      <c r="U106" s="19">
        <v>1</v>
      </c>
      <c r="V106" s="20">
        <v>1</v>
      </c>
      <c r="W106" s="20">
        <v>1</v>
      </c>
      <c r="X106" s="20">
        <v>1</v>
      </c>
      <c r="Y106" s="20">
        <v>1</v>
      </c>
      <c r="Z106" s="20">
        <v>0</v>
      </c>
      <c r="AA106" s="20">
        <v>0</v>
      </c>
      <c r="AB106" s="49">
        <v>0</v>
      </c>
      <c r="AC106" s="49">
        <v>0</v>
      </c>
      <c r="AD106" s="49">
        <v>0</v>
      </c>
      <c r="AE106" s="49">
        <v>0</v>
      </c>
      <c r="AF106" s="49">
        <v>0</v>
      </c>
      <c r="AG106" s="161">
        <v>1</v>
      </c>
      <c r="AH106" s="162">
        <v>2</v>
      </c>
      <c r="AI106" s="162">
        <v>0</v>
      </c>
      <c r="AJ106" s="162">
        <v>0</v>
      </c>
      <c r="AK106" s="162">
        <v>0</v>
      </c>
      <c r="AL106" s="163">
        <v>0</v>
      </c>
      <c r="AM106" s="19">
        <v>0</v>
      </c>
      <c r="AN106" s="20">
        <f>IFERROR(INDEX([2]lijnopstellingsfiche!$AP$1:$AP$65536,MATCH(A106,[2]lijnopstellingsfiche!$AQ$1:$AQ$65536,0)),"")</f>
        <v>1</v>
      </c>
      <c r="AO106" s="20">
        <v>1</v>
      </c>
      <c r="AP106" s="20">
        <v>0</v>
      </c>
      <c r="AQ106" s="20">
        <v>2</v>
      </c>
      <c r="AR106" s="20">
        <v>0</v>
      </c>
      <c r="AS106" s="20">
        <v>0</v>
      </c>
      <c r="AT106" s="20">
        <v>0</v>
      </c>
      <c r="AU106" s="20">
        <v>0</v>
      </c>
      <c r="AV106" s="23">
        <v>0</v>
      </c>
      <c r="AW106" s="108">
        <v>0</v>
      </c>
      <c r="AX106" s="108">
        <v>0</v>
      </c>
      <c r="AY106" s="108">
        <v>1</v>
      </c>
      <c r="AZ106" s="108">
        <v>0</v>
      </c>
      <c r="BA106" s="114">
        <v>1</v>
      </c>
      <c r="BB106" s="20">
        <v>0</v>
      </c>
      <c r="BC106" s="113">
        <v>0</v>
      </c>
      <c r="BD106" s="200" t="str">
        <f>VLOOKUP($A106,'[3]allergenen 6nr'!$A$1:$O$1310,3,FALSE)</f>
        <v>-</v>
      </c>
      <c r="BE106" s="201" t="str">
        <f>VLOOKUP($A106,'[3]allergenen 6nr'!$A$1:$O$1310,4,FALSE)</f>
        <v>X</v>
      </c>
      <c r="BF106" s="201" t="str">
        <f>VLOOKUP($A106,'[3]allergenen 6nr'!$A$1:$O$1310,5,FALSE)</f>
        <v>+</v>
      </c>
      <c r="BG106" s="201" t="str">
        <f>VLOOKUP($A106,'[3]allergenen 6nr'!$A$1:$O$1310,6,FALSE)</f>
        <v>X</v>
      </c>
      <c r="BH106" s="201" t="str">
        <f>VLOOKUP($A106,'[3]allergenen 6nr'!$A$1:$O$1310,7,FALSE)</f>
        <v>X</v>
      </c>
      <c r="BI106" s="201" t="str">
        <f>VLOOKUP($A106,'[3]allergenen 6nr'!$A$1:$O$1310,8,FALSE)</f>
        <v>X</v>
      </c>
      <c r="BJ106" s="201" t="str">
        <f>VLOOKUP($A106,'[3]allergenen 6nr'!$A$1:$O$1310,9,FALSE)</f>
        <v>-</v>
      </c>
      <c r="BK106" s="201" t="str">
        <f>VLOOKUP($A106,'[3]allergenen 6nr'!$A$1:$O$1310,10,FALSE)</f>
        <v>X</v>
      </c>
      <c r="BL106" s="201" t="str">
        <f>VLOOKUP($A106,'[3]allergenen 6nr'!$A$1:$O$1310,11,FALSE)</f>
        <v>+</v>
      </c>
      <c r="BM106" s="201" t="str">
        <f>VLOOKUP($A106,'[3]allergenen 6nr'!$A$1:$O$1310,12,FALSE)</f>
        <v>-</v>
      </c>
      <c r="BN106" s="201" t="str">
        <f>VLOOKUP($A106,'[3]allergenen 6nr'!$A$1:$O$1310,13,FALSE)</f>
        <v>+</v>
      </c>
      <c r="BO106" s="201" t="str">
        <f>VLOOKUP($A106,'[3]allergenen 6nr'!$A$1:$O$1310,14,FALSE)</f>
        <v>X</v>
      </c>
      <c r="BP106" s="202" t="str">
        <f>VLOOKUP($A106,'[3]allergenen 6nr'!$A$1:$O$1310,15,FALSE)</f>
        <v>-</v>
      </c>
    </row>
    <row r="107" spans="1:68" x14ac:dyDescent="0.2">
      <c r="A107" s="89">
        <v>63407900</v>
      </c>
      <c r="B107" s="53" t="str">
        <f>VLOOKUP($A107,[1]maaltijden!$A$1:$IV$65536,4,FALSE)</f>
        <v>BOF BE BALLETJES TOMATENSAUS PUREE 450G</v>
      </c>
      <c r="C107" s="46" t="str">
        <f>VLOOKUP($A107,[1]maaltijden!$A$1:$IV$65536,7,FALSE)</f>
        <v>C2208-2D</v>
      </c>
      <c r="D107" s="22" t="str">
        <f>VLOOKUP($A107,[1]maaltijden!$A$1:$IV$65536,10,FALSE)</f>
        <v>H24</v>
      </c>
      <c r="E107" s="22" t="str">
        <f>VLOOKUP($A107,[1]maaltijden!$A$1:$IV$65536,13,FALSE)</f>
        <v>H24X6</v>
      </c>
      <c r="F107" s="20">
        <f t="shared" si="1"/>
        <v>0</v>
      </c>
      <c r="G107" s="20" t="str">
        <f>VLOOKUP($A107,[1]maaltijden!$A$1:$IV$65536,27,FALSE)</f>
        <v>! !</v>
      </c>
      <c r="H107" s="22">
        <f>VLOOKUP($A107,[1]maaltijden!$A$1:$IV$65536,21,FALSE)</f>
        <v>4</v>
      </c>
      <c r="I107" s="22">
        <f>VLOOKUP($A107,[1]maaltijden!$A$1:$IV$65536,21,FALSE)</f>
        <v>4</v>
      </c>
      <c r="J107" s="22">
        <f>VLOOKUP($A107,[1]maaltijden!$A$1:$IV$65536,18,FALSE)</f>
        <v>4</v>
      </c>
      <c r="K107" s="22">
        <f>VLOOKUP($A107,[1]maaltijden!$A$1:$IV$65536,17,FALSE)</f>
        <v>2</v>
      </c>
      <c r="L107" s="22">
        <f>VLOOKUP($A107,[1]maaltijden!$A$1:$IV$65536,20,FALSE)</f>
        <v>2200</v>
      </c>
      <c r="M107" s="22">
        <f>VLOOKUP($A107,[1]maaltijden!$A$1:$IV$65536,22,FALSE)</f>
        <v>2200</v>
      </c>
      <c r="N107" s="135"/>
      <c r="O107" s="50"/>
      <c r="P107" s="19">
        <v>1</v>
      </c>
      <c r="Q107" s="20">
        <v>2</v>
      </c>
      <c r="R107" s="21">
        <v>0</v>
      </c>
      <c r="S107" s="19">
        <v>1</v>
      </c>
      <c r="T107" s="20">
        <v>1</v>
      </c>
      <c r="U107" s="19">
        <v>1</v>
      </c>
      <c r="V107" s="20">
        <v>1</v>
      </c>
      <c r="W107" s="20">
        <v>1</v>
      </c>
      <c r="X107" s="20">
        <v>1</v>
      </c>
      <c r="Y107" s="20">
        <v>1</v>
      </c>
      <c r="Z107" s="20">
        <v>0</v>
      </c>
      <c r="AA107" s="20">
        <v>0</v>
      </c>
      <c r="AB107" s="49">
        <v>0</v>
      </c>
      <c r="AC107" s="49">
        <v>0</v>
      </c>
      <c r="AD107" s="49">
        <v>0</v>
      </c>
      <c r="AE107" s="49">
        <v>0</v>
      </c>
      <c r="AF107" s="49">
        <v>0</v>
      </c>
      <c r="AG107" s="161">
        <v>0</v>
      </c>
      <c r="AH107" s="162">
        <v>2</v>
      </c>
      <c r="AI107" s="162">
        <v>0</v>
      </c>
      <c r="AJ107" s="162">
        <v>0</v>
      </c>
      <c r="AK107" s="162">
        <v>0</v>
      </c>
      <c r="AL107" s="163">
        <v>0</v>
      </c>
      <c r="AM107" s="19">
        <v>0</v>
      </c>
      <c r="AN107" s="20">
        <f>IFERROR(INDEX([2]lijnopstellingsfiche!$AP$1:$AP$65536,MATCH(A107,[2]lijnopstellingsfiche!$AQ$1:$AQ$65536,0)),"")</f>
        <v>1</v>
      </c>
      <c r="AO107" s="20">
        <v>0</v>
      </c>
      <c r="AP107" s="20">
        <v>0</v>
      </c>
      <c r="AQ107" s="20">
        <v>1</v>
      </c>
      <c r="AR107" s="20">
        <v>1</v>
      </c>
      <c r="AS107" s="20">
        <v>0</v>
      </c>
      <c r="AT107" s="20">
        <v>1</v>
      </c>
      <c r="AU107" s="20">
        <v>0</v>
      </c>
      <c r="AV107" s="23">
        <v>0</v>
      </c>
      <c r="AW107" s="108">
        <v>1</v>
      </c>
      <c r="AX107" s="108">
        <v>0</v>
      </c>
      <c r="AY107" s="108">
        <v>1</v>
      </c>
      <c r="AZ107" s="108">
        <v>0</v>
      </c>
      <c r="BA107" s="114">
        <v>0</v>
      </c>
      <c r="BB107" s="20">
        <v>1</v>
      </c>
      <c r="BC107" s="113">
        <v>0</v>
      </c>
      <c r="BD107" s="200" t="str">
        <f>VLOOKUP($A107,'[3]allergenen 6nr'!$A$1:$O$1310,3,FALSE)</f>
        <v>-</v>
      </c>
      <c r="BE107" s="201" t="str">
        <f>VLOOKUP($A107,'[3]allergenen 6nr'!$A$1:$O$1310,4,FALSE)</f>
        <v>+</v>
      </c>
      <c r="BF107" s="201" t="str">
        <f>VLOOKUP($A107,'[3]allergenen 6nr'!$A$1:$O$1310,5,FALSE)</f>
        <v>+</v>
      </c>
      <c r="BG107" s="201" t="str">
        <f>VLOOKUP($A107,'[3]allergenen 6nr'!$A$1:$O$1310,6,FALSE)</f>
        <v>X</v>
      </c>
      <c r="BH107" s="201" t="str">
        <f>VLOOKUP($A107,'[3]allergenen 6nr'!$A$1:$O$1310,7,FALSE)</f>
        <v>+</v>
      </c>
      <c r="BI107" s="201" t="str">
        <f>VLOOKUP($A107,'[3]allergenen 6nr'!$A$1:$O$1310,8,FALSE)</f>
        <v>X</v>
      </c>
      <c r="BJ107" s="201" t="str">
        <f>VLOOKUP($A107,'[3]allergenen 6nr'!$A$1:$O$1310,9,FALSE)</f>
        <v>X</v>
      </c>
      <c r="BK107" s="201" t="str">
        <f>VLOOKUP($A107,'[3]allergenen 6nr'!$A$1:$O$1310,10,FALSE)</f>
        <v>X</v>
      </c>
      <c r="BL107" s="201" t="str">
        <f>VLOOKUP($A107,'[3]allergenen 6nr'!$A$1:$O$1310,11,FALSE)</f>
        <v>X</v>
      </c>
      <c r="BM107" s="201" t="str">
        <f>VLOOKUP($A107,'[3]allergenen 6nr'!$A$1:$O$1310,12,FALSE)</f>
        <v>-</v>
      </c>
      <c r="BN107" s="201" t="str">
        <f>VLOOKUP($A107,'[3]allergenen 6nr'!$A$1:$O$1310,13,FALSE)</f>
        <v>X</v>
      </c>
      <c r="BO107" s="201" t="str">
        <f>VLOOKUP($A107,'[3]allergenen 6nr'!$A$1:$O$1310,14,FALSE)</f>
        <v>X</v>
      </c>
      <c r="BP107" s="202" t="str">
        <f>VLOOKUP($A107,'[3]allergenen 6nr'!$A$1:$O$1310,15,FALSE)</f>
        <v>X</v>
      </c>
    </row>
    <row r="108" spans="1:68" x14ac:dyDescent="0.2">
      <c r="A108" s="89">
        <v>63408100</v>
      </c>
      <c r="B108" s="53" t="str">
        <f>VLOOKUP($A108,[1]maaltijden!$A$1:$IV$65536,4,FALSE)</f>
        <v>BOF BE JACHTSCHOTEL RODE KOOL PUREE 450G</v>
      </c>
      <c r="C108" s="46" t="str">
        <f>VLOOKUP($A108,[1]maaltijden!$A$1:$IV$65536,7,FALSE)</f>
        <v>C2208-3C</v>
      </c>
      <c r="D108" s="22" t="str">
        <f>VLOOKUP($A108,[1]maaltijden!$A$1:$IV$65536,10,FALSE)</f>
        <v>H24</v>
      </c>
      <c r="E108" s="22" t="str">
        <f>VLOOKUP($A108,[1]maaltijden!$A$1:$IV$65536,13,FALSE)</f>
        <v>H24X6</v>
      </c>
      <c r="F108" s="20">
        <f t="shared" si="1"/>
        <v>0</v>
      </c>
      <c r="G108" s="20" t="str">
        <f>VLOOKUP($A108,[1]maaltijden!$A$1:$IV$65536,27,FALSE)</f>
        <v>! ! !</v>
      </c>
      <c r="H108" s="22">
        <f>VLOOKUP($A108,[1]maaltijden!$A$1:$IV$65536,21,FALSE)</f>
        <v>7</v>
      </c>
      <c r="I108" s="22">
        <f>VLOOKUP($A108,[1]maaltijden!$A$1:$IV$65536,21,FALSE)</f>
        <v>7</v>
      </c>
      <c r="J108" s="22">
        <f>VLOOKUP($A108,[1]maaltijden!$A$1:$IV$65536,18,FALSE)</f>
        <v>4</v>
      </c>
      <c r="K108" s="22">
        <f>VLOOKUP($A108,[1]maaltijden!$A$1:$IV$65536,17,FALSE)</f>
        <v>3</v>
      </c>
      <c r="L108" s="22">
        <f>VLOOKUP($A108,[1]maaltijden!$A$1:$IV$65536,20,FALSE)</f>
        <v>2000</v>
      </c>
      <c r="M108" s="22">
        <f>VLOOKUP($A108,[1]maaltijden!$A$1:$IV$65536,22,FALSE)</f>
        <v>2000</v>
      </c>
      <c r="N108" s="135"/>
      <c r="O108" s="50"/>
      <c r="P108" s="19">
        <v>1</v>
      </c>
      <c r="Q108" s="20">
        <v>2</v>
      </c>
      <c r="R108" s="21">
        <v>0</v>
      </c>
      <c r="S108" s="19">
        <v>1</v>
      </c>
      <c r="T108" s="20">
        <v>1</v>
      </c>
      <c r="U108" s="19">
        <v>0</v>
      </c>
      <c r="V108" s="20">
        <v>1</v>
      </c>
      <c r="W108" s="20">
        <v>1</v>
      </c>
      <c r="X108" s="20">
        <v>1</v>
      </c>
      <c r="Y108" s="20">
        <v>1</v>
      </c>
      <c r="Z108" s="20">
        <v>1</v>
      </c>
      <c r="AA108" s="20">
        <v>0</v>
      </c>
      <c r="AB108" s="49">
        <v>0</v>
      </c>
      <c r="AC108" s="49">
        <v>0</v>
      </c>
      <c r="AD108" s="49">
        <v>0</v>
      </c>
      <c r="AE108" s="49">
        <v>1</v>
      </c>
      <c r="AF108" s="49">
        <v>0</v>
      </c>
      <c r="AG108" s="161">
        <v>0</v>
      </c>
      <c r="AH108" s="162">
        <v>2</v>
      </c>
      <c r="AI108" s="162">
        <v>1</v>
      </c>
      <c r="AJ108" s="162">
        <v>0</v>
      </c>
      <c r="AK108" s="162">
        <v>0</v>
      </c>
      <c r="AL108" s="163">
        <v>0</v>
      </c>
      <c r="AM108" s="19">
        <v>0</v>
      </c>
      <c r="AN108" s="20">
        <f>IFERROR(INDEX([2]lijnopstellingsfiche!$AP$1:$AP$65536,MATCH(A108,[2]lijnopstellingsfiche!$AQ$1:$AQ$65536,0)),"")</f>
        <v>5</v>
      </c>
      <c r="AO108" s="20">
        <v>0</v>
      </c>
      <c r="AP108" s="20">
        <v>0</v>
      </c>
      <c r="AQ108" s="20">
        <v>2</v>
      </c>
      <c r="AR108" s="20">
        <v>1</v>
      </c>
      <c r="AS108" s="20">
        <v>0</v>
      </c>
      <c r="AT108" s="20">
        <v>0</v>
      </c>
      <c r="AU108" s="20">
        <v>0</v>
      </c>
      <c r="AV108" s="23">
        <v>0</v>
      </c>
      <c r="AW108" s="108">
        <v>1</v>
      </c>
      <c r="AX108" s="108">
        <v>0</v>
      </c>
      <c r="AY108" s="108">
        <v>1</v>
      </c>
      <c r="AZ108" s="108">
        <v>0</v>
      </c>
      <c r="BA108" s="114">
        <v>0</v>
      </c>
      <c r="BB108" s="20">
        <v>1</v>
      </c>
      <c r="BC108" s="113">
        <v>0</v>
      </c>
      <c r="BD108" s="200" t="str">
        <f>VLOOKUP($A108,'[3]allergenen 6nr'!$A$1:$O$1310,3,FALSE)</f>
        <v>-</v>
      </c>
      <c r="BE108" s="201" t="str">
        <f>VLOOKUP($A108,'[3]allergenen 6nr'!$A$1:$O$1310,4,FALSE)</f>
        <v>+</v>
      </c>
      <c r="BF108" s="201" t="str">
        <f>VLOOKUP($A108,'[3]allergenen 6nr'!$A$1:$O$1310,5,FALSE)</f>
        <v>+</v>
      </c>
      <c r="BG108" s="201" t="str">
        <f>VLOOKUP($A108,'[3]allergenen 6nr'!$A$1:$O$1310,6,FALSE)</f>
        <v>X</v>
      </c>
      <c r="BH108" s="201" t="str">
        <f>VLOOKUP($A108,'[3]allergenen 6nr'!$A$1:$O$1310,7,FALSE)</f>
        <v>+</v>
      </c>
      <c r="BI108" s="201" t="str">
        <f>VLOOKUP($A108,'[3]allergenen 6nr'!$A$1:$O$1310,8,FALSE)</f>
        <v>+</v>
      </c>
      <c r="BJ108" s="201" t="str">
        <f>VLOOKUP($A108,'[3]allergenen 6nr'!$A$1:$O$1310,9,FALSE)</f>
        <v>-</v>
      </c>
      <c r="BK108" s="201" t="str">
        <f>VLOOKUP($A108,'[3]allergenen 6nr'!$A$1:$O$1310,10,FALSE)</f>
        <v>-</v>
      </c>
      <c r="BL108" s="201" t="str">
        <f>VLOOKUP($A108,'[3]allergenen 6nr'!$A$1:$O$1310,11,FALSE)</f>
        <v>-</v>
      </c>
      <c r="BM108" s="201" t="str">
        <f>VLOOKUP($A108,'[3]allergenen 6nr'!$A$1:$O$1310,12,FALSE)</f>
        <v>-</v>
      </c>
      <c r="BN108" s="201" t="str">
        <f>VLOOKUP($A108,'[3]allergenen 6nr'!$A$1:$O$1310,13,FALSE)</f>
        <v>X</v>
      </c>
      <c r="BO108" s="201" t="str">
        <f>VLOOKUP($A108,'[3]allergenen 6nr'!$A$1:$O$1310,14,FALSE)</f>
        <v>-</v>
      </c>
      <c r="BP108" s="202" t="str">
        <f>VLOOKUP($A108,'[3]allergenen 6nr'!$A$1:$O$1310,15,FALSE)</f>
        <v>-</v>
      </c>
    </row>
    <row r="109" spans="1:68" x14ac:dyDescent="0.2">
      <c r="A109" s="89">
        <v>63500300</v>
      </c>
      <c r="B109" s="53" t="str">
        <f>VLOOKUP($A109,[1]maaltijden!$A$1:$IV$65536,4,FALSE)</f>
        <v xml:space="preserve">DMC KALFSBLANKET OUDE WIJZE AARDAPPELEN PETERSELIE </v>
      </c>
      <c r="C109" s="46" t="str">
        <f>VLOOKUP($A109,[1]maaltijden!$A$1:$IV$65536,7,FALSE)</f>
        <v>C2227-2K</v>
      </c>
      <c r="D109" s="22" t="str">
        <f>VLOOKUP($A109,[1]maaltijden!$A$1:$IV$65536,10,FALSE)</f>
        <v>NVT</v>
      </c>
      <c r="E109" s="22" t="str">
        <f>VLOOKUP($A109,[1]maaltijden!$A$1:$IV$65536,13,FALSE)</f>
        <v>DMC X 6</v>
      </c>
      <c r="F109" s="20">
        <f t="shared" si="1"/>
        <v>0</v>
      </c>
      <c r="G109" s="20" t="str">
        <f>VLOOKUP($A109,[1]maaltijden!$A$1:$IV$65536,27,FALSE)</f>
        <v>! ! !</v>
      </c>
      <c r="H109" s="22">
        <f>VLOOKUP($A109,[1]maaltijden!$A$1:$IV$65536,21,FALSE)</f>
        <v>2</v>
      </c>
      <c r="I109" s="22">
        <f>VLOOKUP($A109,[1]maaltijden!$A$1:$IV$65536,21,FALSE)</f>
        <v>2</v>
      </c>
      <c r="J109" s="22">
        <f>VLOOKUP($A109,[1]maaltijden!$A$1:$IV$65536,18,FALSE)</f>
        <v>3</v>
      </c>
      <c r="K109" s="22">
        <f>VLOOKUP($A109,[1]maaltijden!$A$1:$IV$65536,17,FALSE)</f>
        <v>2</v>
      </c>
      <c r="L109" s="22">
        <f>VLOOKUP($A109,[1]maaltijden!$A$1:$IV$65536,20,FALSE)</f>
        <v>2200</v>
      </c>
      <c r="M109" s="22">
        <f>VLOOKUP($A109,[1]maaltijden!$A$1:$IV$65536,22,FALSE)</f>
        <v>2200</v>
      </c>
      <c r="N109" s="135"/>
      <c r="O109" s="50"/>
      <c r="P109" s="19">
        <v>0</v>
      </c>
      <c r="Q109" s="20">
        <v>1</v>
      </c>
      <c r="R109" s="21">
        <v>0</v>
      </c>
      <c r="S109" s="19">
        <v>0</v>
      </c>
      <c r="T109" s="20">
        <v>1</v>
      </c>
      <c r="U109" s="19">
        <v>0</v>
      </c>
      <c r="V109" s="20">
        <v>1</v>
      </c>
      <c r="W109" s="20">
        <v>1</v>
      </c>
      <c r="X109" s="20">
        <v>1</v>
      </c>
      <c r="Y109" s="20">
        <v>1</v>
      </c>
      <c r="Z109" s="20">
        <v>0</v>
      </c>
      <c r="AA109" s="20">
        <v>0</v>
      </c>
      <c r="AB109" s="49">
        <v>0</v>
      </c>
      <c r="AC109" s="49">
        <v>0</v>
      </c>
      <c r="AD109" s="49">
        <v>0</v>
      </c>
      <c r="AE109" s="49">
        <v>1</v>
      </c>
      <c r="AF109" s="49">
        <v>0</v>
      </c>
      <c r="AG109" s="161">
        <v>0</v>
      </c>
      <c r="AH109" s="162">
        <v>1</v>
      </c>
      <c r="AI109" s="162">
        <v>1</v>
      </c>
      <c r="AJ109" s="162">
        <v>0</v>
      </c>
      <c r="AK109" s="162">
        <v>0</v>
      </c>
      <c r="AL109" s="163">
        <v>0</v>
      </c>
      <c r="AM109" s="19">
        <v>0</v>
      </c>
      <c r="AN109" s="20">
        <f>IFERROR(INDEX([2]lijnopstellingsfiche!$AP$1:$AP$65536,MATCH(A109,[2]lijnopstellingsfiche!$AQ$1:$AQ$65536,0)),"")</f>
        <v>1</v>
      </c>
      <c r="AO109" s="20">
        <v>0</v>
      </c>
      <c r="AP109" s="20">
        <v>0</v>
      </c>
      <c r="AQ109" s="20">
        <v>2</v>
      </c>
      <c r="AR109" s="20">
        <v>0</v>
      </c>
      <c r="AS109" s="11">
        <v>0</v>
      </c>
      <c r="AT109" s="20">
        <v>1</v>
      </c>
      <c r="AU109" s="20">
        <v>0</v>
      </c>
      <c r="AV109" s="23">
        <v>0</v>
      </c>
      <c r="AW109" s="108">
        <v>0</v>
      </c>
      <c r="AX109" s="108">
        <v>0</v>
      </c>
      <c r="AY109" s="108">
        <v>1</v>
      </c>
      <c r="AZ109" s="108">
        <v>0</v>
      </c>
      <c r="BA109" s="114">
        <v>1</v>
      </c>
      <c r="BB109" s="20">
        <v>0</v>
      </c>
      <c r="BC109" s="113">
        <v>0</v>
      </c>
      <c r="BD109" s="200" t="str">
        <f>VLOOKUP($A109,'[3]allergenen 6nr'!$A$1:$O$1310,3,FALSE)</f>
        <v>-</v>
      </c>
      <c r="BE109" s="201" t="str">
        <f>VLOOKUP($A109,'[3]allergenen 6nr'!$A$1:$O$1310,4,FALSE)</f>
        <v>X</v>
      </c>
      <c r="BF109" s="201" t="str">
        <f>VLOOKUP($A109,'[3]allergenen 6nr'!$A$1:$O$1310,5,FALSE)</f>
        <v>+</v>
      </c>
      <c r="BG109" s="201" t="str">
        <f>VLOOKUP($A109,'[3]allergenen 6nr'!$A$1:$O$1310,6,FALSE)</f>
        <v>X</v>
      </c>
      <c r="BH109" s="201" t="str">
        <f>VLOOKUP($A109,'[3]allergenen 6nr'!$A$1:$O$1310,7,FALSE)</f>
        <v>+</v>
      </c>
      <c r="BI109" s="201" t="str">
        <f>VLOOKUP($A109,'[3]allergenen 6nr'!$A$1:$O$1310,8,FALSE)</f>
        <v>X</v>
      </c>
      <c r="BJ109" s="201" t="str">
        <f>VLOOKUP($A109,'[3]allergenen 6nr'!$A$1:$O$1310,9,FALSE)</f>
        <v>-</v>
      </c>
      <c r="BK109" s="201" t="str">
        <f>VLOOKUP($A109,'[3]allergenen 6nr'!$A$1:$O$1310,10,FALSE)</f>
        <v>-</v>
      </c>
      <c r="BL109" s="201" t="str">
        <f>VLOOKUP($A109,'[3]allergenen 6nr'!$A$1:$O$1310,11,FALSE)</f>
        <v>+</v>
      </c>
      <c r="BM109" s="201" t="str">
        <f>VLOOKUP($A109,'[3]allergenen 6nr'!$A$1:$O$1310,12,FALSE)</f>
        <v>-</v>
      </c>
      <c r="BN109" s="201" t="str">
        <f>VLOOKUP($A109,'[3]allergenen 6nr'!$A$1:$O$1310,13,FALSE)</f>
        <v>X</v>
      </c>
      <c r="BO109" s="201" t="str">
        <f>VLOOKUP($A109,'[3]allergenen 6nr'!$A$1:$O$1310,14,FALSE)</f>
        <v>-</v>
      </c>
      <c r="BP109" s="202" t="str">
        <f>VLOOKUP($A109,'[3]allergenen 6nr'!$A$1:$O$1310,15,FALSE)</f>
        <v>-</v>
      </c>
    </row>
    <row r="110" spans="1:68" x14ac:dyDescent="0.2">
      <c r="A110" s="89">
        <v>63500400</v>
      </c>
      <c r="B110" s="53" t="str">
        <f>VLOOKUP($A110,[1]maaltijden!$A$1:$IV$65536,4,FALSE)</f>
        <v xml:space="preserve">DMC VLAAMSE KARBONADEN APPELMOES AARDAPPELEN   </v>
      </c>
      <c r="C110" s="46" t="str">
        <f>VLOOKUP($A110,[1]maaltijden!$A$1:$IV$65536,7,FALSE)</f>
        <v>C2227-3R</v>
      </c>
      <c r="D110" s="22" t="str">
        <f>VLOOKUP($A110,[1]maaltijden!$A$1:$IV$65536,10,FALSE)</f>
        <v>NVT</v>
      </c>
      <c r="E110" s="22" t="str">
        <f>VLOOKUP($A110,[1]maaltijden!$A$1:$IV$65536,13,FALSE)</f>
        <v>DMC X 6</v>
      </c>
      <c r="F110" s="20">
        <f t="shared" si="1"/>
        <v>0</v>
      </c>
      <c r="G110" s="20" t="str">
        <f>VLOOKUP($A110,[1]maaltijden!$A$1:$IV$65536,27,FALSE)</f>
        <v>! ! !</v>
      </c>
      <c r="H110" s="22">
        <f>VLOOKUP($A110,[1]maaltijden!$A$1:$IV$65536,21,FALSE)</f>
        <v>4</v>
      </c>
      <c r="I110" s="22">
        <f>VLOOKUP($A110,[1]maaltijden!$A$1:$IV$65536,21,FALSE)</f>
        <v>4</v>
      </c>
      <c r="J110" s="22">
        <f>VLOOKUP($A110,[1]maaltijden!$A$1:$IV$65536,18,FALSE)</f>
        <v>3</v>
      </c>
      <c r="K110" s="22">
        <f>VLOOKUP($A110,[1]maaltijden!$A$1:$IV$65536,17,FALSE)</f>
        <v>2</v>
      </c>
      <c r="L110" s="22">
        <f>VLOOKUP($A110,[1]maaltijden!$A$1:$IV$65536,20,FALSE)</f>
        <v>2000</v>
      </c>
      <c r="M110" s="22">
        <f>VLOOKUP($A110,[1]maaltijden!$A$1:$IV$65536,22,FALSE)</f>
        <v>2000</v>
      </c>
      <c r="N110" s="135"/>
      <c r="O110" s="50"/>
      <c r="P110" s="19">
        <v>0</v>
      </c>
      <c r="Q110" s="20">
        <v>1</v>
      </c>
      <c r="R110" s="21">
        <v>0</v>
      </c>
      <c r="S110" s="19">
        <v>0</v>
      </c>
      <c r="T110" s="20">
        <v>1</v>
      </c>
      <c r="U110" s="19">
        <v>1</v>
      </c>
      <c r="V110" s="20">
        <v>1</v>
      </c>
      <c r="W110" s="20">
        <v>1</v>
      </c>
      <c r="X110" s="20">
        <v>1</v>
      </c>
      <c r="Y110" s="20">
        <v>1</v>
      </c>
      <c r="Z110" s="20">
        <v>0</v>
      </c>
      <c r="AA110" s="20">
        <v>0</v>
      </c>
      <c r="AB110" s="49">
        <v>0</v>
      </c>
      <c r="AC110" s="49">
        <v>0</v>
      </c>
      <c r="AD110" s="49">
        <v>0</v>
      </c>
      <c r="AE110" s="49">
        <v>1</v>
      </c>
      <c r="AF110" s="49">
        <v>0</v>
      </c>
      <c r="AG110" s="161">
        <v>0</v>
      </c>
      <c r="AH110" s="162">
        <v>1</v>
      </c>
      <c r="AI110" s="162">
        <v>0</v>
      </c>
      <c r="AJ110" s="162">
        <v>0</v>
      </c>
      <c r="AK110" s="162">
        <v>0</v>
      </c>
      <c r="AL110" s="163">
        <v>0</v>
      </c>
      <c r="AM110" s="19">
        <v>0</v>
      </c>
      <c r="AN110" s="20">
        <f>IFERROR(INDEX([2]lijnopstellingsfiche!$AP$1:$AP$65536,MATCH(A110,[2]lijnopstellingsfiche!$AQ$1:$AQ$65536,0)),"")</f>
        <v>1</v>
      </c>
      <c r="AO110" s="20">
        <v>0</v>
      </c>
      <c r="AP110" s="20">
        <v>0</v>
      </c>
      <c r="AQ110" s="20">
        <v>2</v>
      </c>
      <c r="AR110" s="20">
        <v>0</v>
      </c>
      <c r="AS110" s="20">
        <v>0</v>
      </c>
      <c r="AT110" s="20">
        <v>1</v>
      </c>
      <c r="AU110" s="20">
        <v>0</v>
      </c>
      <c r="AV110" s="23">
        <v>0</v>
      </c>
      <c r="AW110" s="108">
        <v>0</v>
      </c>
      <c r="AX110" s="108">
        <v>0</v>
      </c>
      <c r="AY110" s="108">
        <v>1</v>
      </c>
      <c r="AZ110" s="108">
        <v>0</v>
      </c>
      <c r="BA110" s="114">
        <v>1</v>
      </c>
      <c r="BB110" s="20">
        <v>0</v>
      </c>
      <c r="BC110" s="113">
        <v>0</v>
      </c>
      <c r="BD110" s="200" t="str">
        <f>VLOOKUP($A110,'[3]allergenen 6nr'!$A$1:$O$1310,3,FALSE)</f>
        <v>-</v>
      </c>
      <c r="BE110" s="201" t="str">
        <f>VLOOKUP($A110,'[3]allergenen 6nr'!$A$1:$O$1310,4,FALSE)</f>
        <v>X</v>
      </c>
      <c r="BF110" s="201" t="str">
        <f>VLOOKUP($A110,'[3]allergenen 6nr'!$A$1:$O$1310,5,FALSE)</f>
        <v>+</v>
      </c>
      <c r="BG110" s="201" t="str">
        <f>VLOOKUP($A110,'[3]allergenen 6nr'!$A$1:$O$1310,6,FALSE)</f>
        <v>-</v>
      </c>
      <c r="BH110" s="201" t="str">
        <f>VLOOKUP($A110,'[3]allergenen 6nr'!$A$1:$O$1310,7,FALSE)</f>
        <v>X</v>
      </c>
      <c r="BI110" s="201" t="str">
        <f>VLOOKUP($A110,'[3]allergenen 6nr'!$A$1:$O$1310,8,FALSE)</f>
        <v>+</v>
      </c>
      <c r="BJ110" s="201" t="str">
        <f>VLOOKUP($A110,'[3]allergenen 6nr'!$A$1:$O$1310,9,FALSE)</f>
        <v>-</v>
      </c>
      <c r="BK110" s="201" t="str">
        <f>VLOOKUP($A110,'[3]allergenen 6nr'!$A$1:$O$1310,10,FALSE)</f>
        <v>-</v>
      </c>
      <c r="BL110" s="201" t="str">
        <f>VLOOKUP($A110,'[3]allergenen 6nr'!$A$1:$O$1310,11,FALSE)</f>
        <v>+</v>
      </c>
      <c r="BM110" s="201" t="str">
        <f>VLOOKUP($A110,'[3]allergenen 6nr'!$A$1:$O$1310,12,FALSE)</f>
        <v>-</v>
      </c>
      <c r="BN110" s="201" t="str">
        <f>VLOOKUP($A110,'[3]allergenen 6nr'!$A$1:$O$1310,13,FALSE)</f>
        <v>X</v>
      </c>
      <c r="BO110" s="201" t="str">
        <f>VLOOKUP($A110,'[3]allergenen 6nr'!$A$1:$O$1310,14,FALSE)</f>
        <v>-</v>
      </c>
      <c r="BP110" s="202" t="str">
        <f>VLOOKUP($A110,'[3]allergenen 6nr'!$A$1:$O$1310,15,FALSE)</f>
        <v>-</v>
      </c>
    </row>
    <row r="111" spans="1:68" x14ac:dyDescent="0.2">
      <c r="A111" s="89">
        <v>63500500</v>
      </c>
      <c r="B111" s="53" t="str">
        <f>VLOOKUP($A111,[1]maaltijden!$A$1:$IV$65536,4,FALSE)</f>
        <v xml:space="preserve">DMC RUNDSTONG MADEIRASAUS PUREE                  </v>
      </c>
      <c r="C111" s="46" t="str">
        <f>VLOOKUP($A111,[1]maaltijden!$A$1:$IV$65536,7,FALSE)</f>
        <v>C2227-2K</v>
      </c>
      <c r="D111" s="22" t="str">
        <f>VLOOKUP($A111,[1]maaltijden!$A$1:$IV$65536,10,FALSE)</f>
        <v>NVT</v>
      </c>
      <c r="E111" s="22" t="str">
        <f>VLOOKUP($A111,[1]maaltijden!$A$1:$IV$65536,13,FALSE)</f>
        <v>DMC X 6</v>
      </c>
      <c r="F111" s="20">
        <f t="shared" si="1"/>
        <v>0</v>
      </c>
      <c r="G111" s="20" t="str">
        <f>VLOOKUP($A111,[1]maaltijden!$A$1:$IV$65536,27,FALSE)</f>
        <v>! ! !</v>
      </c>
      <c r="H111" s="22">
        <f>VLOOKUP($A111,[1]maaltijden!$A$1:$IV$65536,21,FALSE)</f>
        <v>6</v>
      </c>
      <c r="I111" s="22">
        <f>VLOOKUP($A111,[1]maaltijden!$A$1:$IV$65536,21,FALSE)</f>
        <v>6</v>
      </c>
      <c r="J111" s="22">
        <f>VLOOKUP($A111,[1]maaltijden!$A$1:$IV$65536,18,FALSE)</f>
        <v>3</v>
      </c>
      <c r="K111" s="22">
        <f>VLOOKUP($A111,[1]maaltijden!$A$1:$IV$65536,17,FALSE)</f>
        <v>2.5</v>
      </c>
      <c r="L111" s="22">
        <f>VLOOKUP($A111,[1]maaltijden!$A$1:$IV$65536,20,FALSE)</f>
        <v>2000</v>
      </c>
      <c r="M111" s="22">
        <f>VLOOKUP($A111,[1]maaltijden!$A$1:$IV$65536,22,FALSE)</f>
        <v>2000</v>
      </c>
      <c r="N111" s="135"/>
      <c r="O111" s="50"/>
      <c r="P111" s="19">
        <v>0</v>
      </c>
      <c r="Q111" s="20">
        <v>1</v>
      </c>
      <c r="R111" s="21">
        <v>0</v>
      </c>
      <c r="S111" s="19">
        <v>0</v>
      </c>
      <c r="T111" s="20">
        <v>1</v>
      </c>
      <c r="U111" s="19">
        <v>0</v>
      </c>
      <c r="V111" s="20">
        <v>1</v>
      </c>
      <c r="W111" s="20">
        <v>1</v>
      </c>
      <c r="X111" s="20">
        <v>1</v>
      </c>
      <c r="Y111" s="20">
        <v>1</v>
      </c>
      <c r="Z111" s="20">
        <v>1</v>
      </c>
      <c r="AA111" s="20">
        <v>0</v>
      </c>
      <c r="AB111" s="49">
        <v>0</v>
      </c>
      <c r="AC111" s="49">
        <v>0</v>
      </c>
      <c r="AD111" s="49">
        <v>0</v>
      </c>
      <c r="AE111" s="49">
        <v>1</v>
      </c>
      <c r="AF111" s="49">
        <v>0</v>
      </c>
      <c r="AG111" s="161">
        <v>0</v>
      </c>
      <c r="AH111" s="162">
        <v>2</v>
      </c>
      <c r="AI111" s="162">
        <v>0</v>
      </c>
      <c r="AJ111" s="162">
        <v>0</v>
      </c>
      <c r="AK111" s="162">
        <v>0</v>
      </c>
      <c r="AL111" s="163">
        <v>0</v>
      </c>
      <c r="AM111" s="19">
        <v>0</v>
      </c>
      <c r="AN111" s="20">
        <f>IFERROR(INDEX([2]lijnopstellingsfiche!$AP$1:$AP$65536,MATCH(A111,[2]lijnopstellingsfiche!$AQ$1:$AQ$65536,0)),"")</f>
        <v>5</v>
      </c>
      <c r="AO111" s="20">
        <v>0</v>
      </c>
      <c r="AP111" s="20">
        <v>0</v>
      </c>
      <c r="AQ111" s="20">
        <v>2</v>
      </c>
      <c r="AR111" s="20">
        <v>1</v>
      </c>
      <c r="AS111" s="20">
        <v>0</v>
      </c>
      <c r="AT111" s="20">
        <v>0</v>
      </c>
      <c r="AU111" s="20">
        <v>0</v>
      </c>
      <c r="AV111" s="23">
        <v>0</v>
      </c>
      <c r="AW111" s="108">
        <v>0</v>
      </c>
      <c r="AX111" s="108">
        <v>0</v>
      </c>
      <c r="AY111" s="108">
        <v>1</v>
      </c>
      <c r="AZ111" s="108">
        <v>0</v>
      </c>
      <c r="BA111" s="114">
        <v>1</v>
      </c>
      <c r="BB111" s="20">
        <v>0</v>
      </c>
      <c r="BC111" s="113">
        <v>0</v>
      </c>
      <c r="BD111" s="200" t="str">
        <f>VLOOKUP($A111,'[3]allergenen 6nr'!$A$1:$O$1310,3,FALSE)</f>
        <v>-</v>
      </c>
      <c r="BE111" s="201" t="str">
        <f>VLOOKUP($A111,'[3]allergenen 6nr'!$A$1:$O$1310,4,FALSE)</f>
        <v>+</v>
      </c>
      <c r="BF111" s="201" t="str">
        <f>VLOOKUP($A111,'[3]allergenen 6nr'!$A$1:$O$1310,5,FALSE)</f>
        <v>+</v>
      </c>
      <c r="BG111" s="201" t="str">
        <f>VLOOKUP($A111,'[3]allergenen 6nr'!$A$1:$O$1310,6,FALSE)</f>
        <v>-</v>
      </c>
      <c r="BH111" s="201" t="str">
        <f>VLOOKUP($A111,'[3]allergenen 6nr'!$A$1:$O$1310,7,FALSE)</f>
        <v>+</v>
      </c>
      <c r="BI111" s="201" t="str">
        <f>VLOOKUP($A111,'[3]allergenen 6nr'!$A$1:$O$1310,8,FALSE)</f>
        <v>-</v>
      </c>
      <c r="BJ111" s="201" t="str">
        <f>VLOOKUP($A111,'[3]allergenen 6nr'!$A$1:$O$1310,9,FALSE)</f>
        <v>-</v>
      </c>
      <c r="BK111" s="201" t="str">
        <f>VLOOKUP($A111,'[3]allergenen 6nr'!$A$1:$O$1310,10,FALSE)</f>
        <v>-</v>
      </c>
      <c r="BL111" s="201" t="str">
        <f>VLOOKUP($A111,'[3]allergenen 6nr'!$A$1:$O$1310,11,FALSE)</f>
        <v>+</v>
      </c>
      <c r="BM111" s="201" t="str">
        <f>VLOOKUP($A111,'[3]allergenen 6nr'!$A$1:$O$1310,12,FALSE)</f>
        <v>-</v>
      </c>
      <c r="BN111" s="201" t="str">
        <f>VLOOKUP($A111,'[3]allergenen 6nr'!$A$1:$O$1310,13,FALSE)</f>
        <v>-</v>
      </c>
      <c r="BO111" s="201" t="str">
        <f>VLOOKUP($A111,'[3]allergenen 6nr'!$A$1:$O$1310,14,FALSE)</f>
        <v>-</v>
      </c>
      <c r="BP111" s="202" t="str">
        <f>VLOOKUP($A111,'[3]allergenen 6nr'!$A$1:$O$1310,15,FALSE)</f>
        <v>-</v>
      </c>
    </row>
    <row r="112" spans="1:68" x14ac:dyDescent="0.2">
      <c r="A112" s="89">
        <v>63500800</v>
      </c>
      <c r="B112" s="53" t="str">
        <f>VLOOKUP($A112,[1]maaltijden!$A$1:$IV$65536,4,FALSE)</f>
        <v>DMC KIPBROCHET RATATOUILLE GEBAKKEN AARDAPPELKUBUS</v>
      </c>
      <c r="C112" s="46" t="str">
        <f>VLOOKUP($A112,[1]maaltijden!$A$1:$IV$65536,7,FALSE)</f>
        <v>C2227-2K</v>
      </c>
      <c r="D112" s="22" t="str">
        <f>VLOOKUP($A112,[1]maaltijden!$A$1:$IV$65536,10,FALSE)</f>
        <v>NVT</v>
      </c>
      <c r="E112" s="22" t="str">
        <f>VLOOKUP($A112,[1]maaltijden!$A$1:$IV$65536,13,FALSE)</f>
        <v>DMC X 6</v>
      </c>
      <c r="F112" s="20">
        <f t="shared" si="1"/>
        <v>0</v>
      </c>
      <c r="G112" s="20" t="str">
        <f>VLOOKUP($A112,[1]maaltijden!$A$1:$IV$65536,27,FALSE)</f>
        <v>! ! !</v>
      </c>
      <c r="H112" s="22">
        <f>VLOOKUP($A112,[1]maaltijden!$A$1:$IV$65536,21,FALSE)</f>
        <v>4</v>
      </c>
      <c r="I112" s="22">
        <f>VLOOKUP($A112,[1]maaltijden!$A$1:$IV$65536,21,FALSE)</f>
        <v>4</v>
      </c>
      <c r="J112" s="22">
        <f>VLOOKUP($A112,[1]maaltijden!$A$1:$IV$65536,18,FALSE)</f>
        <v>3</v>
      </c>
      <c r="K112" s="22">
        <f>VLOOKUP($A112,[1]maaltijden!$A$1:$IV$65536,17,FALSE)</f>
        <v>2</v>
      </c>
      <c r="L112" s="22">
        <f>VLOOKUP($A112,[1]maaltijden!$A$1:$IV$65536,20,FALSE)</f>
        <v>2200</v>
      </c>
      <c r="M112" s="22">
        <f>VLOOKUP($A112,[1]maaltijden!$A$1:$IV$65536,22,FALSE)</f>
        <v>2200</v>
      </c>
      <c r="N112" s="135"/>
      <c r="O112" s="50"/>
      <c r="P112" s="19">
        <v>0</v>
      </c>
      <c r="Q112" s="20">
        <v>1</v>
      </c>
      <c r="R112" s="21">
        <v>0</v>
      </c>
      <c r="S112" s="19">
        <v>0</v>
      </c>
      <c r="T112" s="20">
        <v>1</v>
      </c>
      <c r="U112" s="19">
        <v>0</v>
      </c>
      <c r="V112" s="20">
        <v>1</v>
      </c>
      <c r="W112" s="20">
        <v>1</v>
      </c>
      <c r="X112" s="20">
        <v>1</v>
      </c>
      <c r="Y112" s="20">
        <v>1</v>
      </c>
      <c r="Z112" s="20">
        <v>0</v>
      </c>
      <c r="AA112" s="20">
        <v>0</v>
      </c>
      <c r="AB112" s="49">
        <v>0</v>
      </c>
      <c r="AC112" s="49">
        <v>0</v>
      </c>
      <c r="AD112" s="49">
        <v>0</v>
      </c>
      <c r="AE112" s="49">
        <v>1</v>
      </c>
      <c r="AF112" s="49">
        <v>0</v>
      </c>
      <c r="AG112" s="161">
        <v>0</v>
      </c>
      <c r="AH112" s="162">
        <v>1</v>
      </c>
      <c r="AI112" s="162">
        <v>0</v>
      </c>
      <c r="AJ112" s="162">
        <v>0</v>
      </c>
      <c r="AK112" s="162">
        <v>0</v>
      </c>
      <c r="AL112" s="163">
        <v>0</v>
      </c>
      <c r="AM112" s="19">
        <v>0</v>
      </c>
      <c r="AN112" s="20">
        <f>IFERROR(INDEX([2]lijnopstellingsfiche!$AP$1:$AP$65536,MATCH(A112,[2]lijnopstellingsfiche!$AQ$1:$AQ$65536,0)),"")</f>
        <v>1</v>
      </c>
      <c r="AO112" s="20">
        <v>0</v>
      </c>
      <c r="AP112" s="20">
        <v>0</v>
      </c>
      <c r="AQ112" s="20">
        <v>1</v>
      </c>
      <c r="AR112" s="20">
        <v>0</v>
      </c>
      <c r="AS112" s="20">
        <v>0</v>
      </c>
      <c r="AT112" s="20">
        <v>1</v>
      </c>
      <c r="AU112" s="20">
        <v>0</v>
      </c>
      <c r="AV112" s="23">
        <v>0</v>
      </c>
      <c r="AW112" s="108">
        <v>0</v>
      </c>
      <c r="AX112" s="108">
        <v>0</v>
      </c>
      <c r="AY112" s="108">
        <v>1</v>
      </c>
      <c r="AZ112" s="108">
        <v>0</v>
      </c>
      <c r="BA112" s="114">
        <v>1</v>
      </c>
      <c r="BB112" s="20">
        <v>0</v>
      </c>
      <c r="BC112" s="113">
        <v>0</v>
      </c>
      <c r="BD112" s="200" t="str">
        <f>VLOOKUP($A112,'[3]allergenen 6nr'!$A$1:$O$1310,3,FALSE)</f>
        <v>-</v>
      </c>
      <c r="BE112" s="201" t="str">
        <f>VLOOKUP($A112,'[3]allergenen 6nr'!$A$1:$O$1310,4,FALSE)</f>
        <v>-</v>
      </c>
      <c r="BF112" s="201" t="str">
        <f>VLOOKUP($A112,'[3]allergenen 6nr'!$A$1:$O$1310,5,FALSE)</f>
        <v>-</v>
      </c>
      <c r="BG112" s="201" t="str">
        <f>VLOOKUP($A112,'[3]allergenen 6nr'!$A$1:$O$1310,6,FALSE)</f>
        <v>-</v>
      </c>
      <c r="BH112" s="201" t="str">
        <f>VLOOKUP($A112,'[3]allergenen 6nr'!$A$1:$O$1310,7,FALSE)</f>
        <v>-</v>
      </c>
      <c r="BI112" s="201" t="str">
        <f>VLOOKUP($A112,'[3]allergenen 6nr'!$A$1:$O$1310,8,FALSE)</f>
        <v>-</v>
      </c>
      <c r="BJ112" s="201" t="str">
        <f>VLOOKUP($A112,'[3]allergenen 6nr'!$A$1:$O$1310,9,FALSE)</f>
        <v>-</v>
      </c>
      <c r="BK112" s="201" t="str">
        <f>VLOOKUP($A112,'[3]allergenen 6nr'!$A$1:$O$1310,10,FALSE)</f>
        <v>-</v>
      </c>
      <c r="BL112" s="201" t="str">
        <f>VLOOKUP($A112,'[3]allergenen 6nr'!$A$1:$O$1310,11,FALSE)</f>
        <v>+</v>
      </c>
      <c r="BM112" s="201" t="str">
        <f>VLOOKUP($A112,'[3]allergenen 6nr'!$A$1:$O$1310,12,FALSE)</f>
        <v>-</v>
      </c>
      <c r="BN112" s="201" t="str">
        <f>VLOOKUP($A112,'[3]allergenen 6nr'!$A$1:$O$1310,13,FALSE)</f>
        <v>-</v>
      </c>
      <c r="BO112" s="201" t="str">
        <f>VLOOKUP($A112,'[3]allergenen 6nr'!$A$1:$O$1310,14,FALSE)</f>
        <v>-</v>
      </c>
      <c r="BP112" s="202" t="str">
        <f>VLOOKUP($A112,'[3]allergenen 6nr'!$A$1:$O$1310,15,FALSE)</f>
        <v>-</v>
      </c>
    </row>
    <row r="113" spans="1:68" x14ac:dyDescent="0.2">
      <c r="A113" s="89">
        <v>63501000</v>
      </c>
      <c r="B113" s="53" t="str">
        <f>VLOOKUP($A113,[1]maaltijden!$A$1:$IV$65536,4,FALSE)</f>
        <v>DMC VARKENSGEBRAAD KRUIDIGE SAUS SCHORSENEREN KRIEL PETERSELIE</v>
      </c>
      <c r="C113" s="46" t="str">
        <f>VLOOKUP($A113,[1]maaltijden!$A$1:$IV$65536,7,FALSE)</f>
        <v>C2227-2K</v>
      </c>
      <c r="D113" s="22" t="str">
        <f>VLOOKUP($A113,[1]maaltijden!$A$1:$IV$65536,10,FALSE)</f>
        <v>NVT</v>
      </c>
      <c r="E113" s="22" t="str">
        <f>VLOOKUP($A113,[1]maaltijden!$A$1:$IV$65536,13,FALSE)</f>
        <v>DMC X 6</v>
      </c>
      <c r="F113" s="20">
        <f t="shared" si="1"/>
        <v>0</v>
      </c>
      <c r="G113" s="20" t="str">
        <f>VLOOKUP($A113,[1]maaltijden!$A$1:$IV$65536,27,FALSE)</f>
        <v>! ! !</v>
      </c>
      <c r="H113" s="22">
        <f>VLOOKUP($A113,[1]maaltijden!$A$1:$IV$65536,21,FALSE)</f>
        <v>4</v>
      </c>
      <c r="I113" s="22">
        <f>VLOOKUP($A113,[1]maaltijden!$A$1:$IV$65536,21,FALSE)</f>
        <v>4</v>
      </c>
      <c r="J113" s="22">
        <f>VLOOKUP($A113,[1]maaltijden!$A$1:$IV$65536,18,FALSE)</f>
        <v>3</v>
      </c>
      <c r="K113" s="22">
        <f>VLOOKUP($A113,[1]maaltijden!$A$1:$IV$65536,17,FALSE)</f>
        <v>2.5</v>
      </c>
      <c r="L113" s="22">
        <f>VLOOKUP($A113,[1]maaltijden!$A$1:$IV$65536,20,FALSE)</f>
        <v>2200</v>
      </c>
      <c r="M113" s="22">
        <f>VLOOKUP($A113,[1]maaltijden!$A$1:$IV$65536,22,FALSE)</f>
        <v>2200</v>
      </c>
      <c r="N113" s="135"/>
      <c r="O113" s="50"/>
      <c r="P113" s="19">
        <v>0</v>
      </c>
      <c r="Q113" s="20">
        <v>1</v>
      </c>
      <c r="R113" s="21">
        <v>0</v>
      </c>
      <c r="S113" s="19">
        <v>0</v>
      </c>
      <c r="T113" s="20">
        <v>1</v>
      </c>
      <c r="U113" s="19">
        <v>0</v>
      </c>
      <c r="V113" s="20">
        <v>1</v>
      </c>
      <c r="W113" s="20">
        <v>1</v>
      </c>
      <c r="X113" s="20">
        <v>1</v>
      </c>
      <c r="Y113" s="20">
        <v>1</v>
      </c>
      <c r="Z113" s="20">
        <v>0</v>
      </c>
      <c r="AA113" s="20">
        <v>0</v>
      </c>
      <c r="AB113" s="49">
        <v>0</v>
      </c>
      <c r="AC113" s="49">
        <v>0</v>
      </c>
      <c r="AD113" s="49">
        <v>0</v>
      </c>
      <c r="AE113" s="49">
        <v>1</v>
      </c>
      <c r="AF113" s="49">
        <v>0</v>
      </c>
      <c r="AG113" s="161">
        <v>0</v>
      </c>
      <c r="AH113" s="162">
        <v>1</v>
      </c>
      <c r="AI113" s="162">
        <v>1</v>
      </c>
      <c r="AJ113" s="162">
        <v>0</v>
      </c>
      <c r="AK113" s="162">
        <v>0</v>
      </c>
      <c r="AL113" s="163">
        <v>0</v>
      </c>
      <c r="AM113" s="19">
        <v>0</v>
      </c>
      <c r="AN113" s="20" t="str">
        <f>IFERROR(INDEX([2]lijnopstellingsfiche!$AP$1:$AP$65536,MATCH(A113,[2]lijnopstellingsfiche!$AQ$1:$AQ$65536,0)),"")</f>
        <v>-</v>
      </c>
      <c r="AO113" s="20">
        <v>0</v>
      </c>
      <c r="AP113" s="20">
        <v>0</v>
      </c>
      <c r="AQ113" s="20">
        <v>2</v>
      </c>
      <c r="AR113" s="20">
        <v>0</v>
      </c>
      <c r="AS113" s="20">
        <v>0</v>
      </c>
      <c r="AT113" s="20">
        <v>0</v>
      </c>
      <c r="AU113" s="20">
        <v>0</v>
      </c>
      <c r="AV113" s="23">
        <v>0</v>
      </c>
      <c r="AW113" s="108">
        <v>0</v>
      </c>
      <c r="AX113" s="108">
        <v>0</v>
      </c>
      <c r="AY113" s="108">
        <v>1</v>
      </c>
      <c r="AZ113" s="108">
        <v>0</v>
      </c>
      <c r="BA113" s="114">
        <v>1</v>
      </c>
      <c r="BB113" s="20">
        <v>0</v>
      </c>
      <c r="BC113" s="113">
        <v>0</v>
      </c>
      <c r="BD113" s="200" t="str">
        <f>VLOOKUP($A113,'[3]allergenen 6nr'!$A$1:$O$1310,3,FALSE)</f>
        <v>X</v>
      </c>
      <c r="BE113" s="201" t="str">
        <f>VLOOKUP($A113,'[3]allergenen 6nr'!$A$1:$O$1310,4,FALSE)</f>
        <v>X</v>
      </c>
      <c r="BF113" s="201" t="str">
        <f>VLOOKUP($A113,'[3]allergenen 6nr'!$A$1:$O$1310,5,FALSE)</f>
        <v>+</v>
      </c>
      <c r="BG113" s="201" t="str">
        <f>VLOOKUP($A113,'[3]allergenen 6nr'!$A$1:$O$1310,6,FALSE)</f>
        <v>X</v>
      </c>
      <c r="BH113" s="201" t="str">
        <f>VLOOKUP($A113,'[3]allergenen 6nr'!$A$1:$O$1310,7,FALSE)</f>
        <v>+</v>
      </c>
      <c r="BI113" s="201" t="str">
        <f>VLOOKUP($A113,'[3]allergenen 6nr'!$A$1:$O$1310,8,FALSE)</f>
        <v>X</v>
      </c>
      <c r="BJ113" s="201" t="str">
        <f>VLOOKUP($A113,'[3]allergenen 6nr'!$A$1:$O$1310,9,FALSE)</f>
        <v>X</v>
      </c>
      <c r="BK113" s="201" t="str">
        <f>VLOOKUP($A113,'[3]allergenen 6nr'!$A$1:$O$1310,10,FALSE)</f>
        <v>X</v>
      </c>
      <c r="BL113" s="201" t="str">
        <f>VLOOKUP($A113,'[3]allergenen 6nr'!$A$1:$O$1310,11,FALSE)</f>
        <v>+</v>
      </c>
      <c r="BM113" s="201" t="str">
        <f>VLOOKUP($A113,'[3]allergenen 6nr'!$A$1:$O$1310,12,FALSE)</f>
        <v>X</v>
      </c>
      <c r="BN113" s="201" t="str">
        <f>VLOOKUP($A113,'[3]allergenen 6nr'!$A$1:$O$1310,13,FALSE)</f>
        <v>X</v>
      </c>
      <c r="BO113" s="201" t="str">
        <f>VLOOKUP($A113,'[3]allergenen 6nr'!$A$1:$O$1310,14,FALSE)</f>
        <v>X</v>
      </c>
      <c r="BP113" s="202" t="str">
        <f>VLOOKUP($A113,'[3]allergenen 6nr'!$A$1:$O$1310,15,FALSE)</f>
        <v>-</v>
      </c>
    </row>
    <row r="114" spans="1:68" x14ac:dyDescent="0.2">
      <c r="A114" s="89">
        <v>63501200</v>
      </c>
      <c r="B114" s="53" t="str">
        <f>VLOOKUP($A114,[1]maaltijden!$A$1:$IV$65536,4,FALSE)</f>
        <v>DMC HAMBURGER BBQSAUS APPELMOES GEBAKKEN AARD KUBUS</v>
      </c>
      <c r="C114" s="46" t="str">
        <f>VLOOKUP($A114,[1]maaltijden!$A$1:$IV$65536,7,FALSE)</f>
        <v>C2227-3R</v>
      </c>
      <c r="D114" s="22" t="str">
        <f>VLOOKUP($A114,[1]maaltijden!$A$1:$IV$65536,10,FALSE)</f>
        <v>NVT</v>
      </c>
      <c r="E114" s="22" t="str">
        <f>VLOOKUP($A114,[1]maaltijden!$A$1:$IV$65536,13,FALSE)</f>
        <v>DMC X 6</v>
      </c>
      <c r="F114" s="20">
        <f t="shared" si="1"/>
        <v>0</v>
      </c>
      <c r="G114" s="20" t="str">
        <f>VLOOKUP($A114,[1]maaltijden!$A$1:$IV$65536,27,FALSE)</f>
        <v>! ! !</v>
      </c>
      <c r="H114" s="22">
        <f>VLOOKUP($A114,[1]maaltijden!$A$1:$IV$65536,21,FALSE)</f>
        <v>5</v>
      </c>
      <c r="I114" s="22">
        <f>VLOOKUP($A114,[1]maaltijden!$A$1:$IV$65536,21,FALSE)</f>
        <v>5</v>
      </c>
      <c r="J114" s="22">
        <f>VLOOKUP($A114,[1]maaltijden!$A$1:$IV$65536,18,FALSE)</f>
        <v>3</v>
      </c>
      <c r="K114" s="22">
        <f>VLOOKUP($A114,[1]maaltijden!$A$1:$IV$65536,17,FALSE)</f>
        <v>2</v>
      </c>
      <c r="L114" s="22">
        <f>VLOOKUP($A114,[1]maaltijden!$A$1:$IV$65536,20,FALSE)</f>
        <v>2000</v>
      </c>
      <c r="M114" s="22">
        <f>VLOOKUP($A114,[1]maaltijden!$A$1:$IV$65536,22,FALSE)</f>
        <v>2000</v>
      </c>
      <c r="N114" s="135"/>
      <c r="O114" s="50"/>
      <c r="P114" s="19">
        <v>0</v>
      </c>
      <c r="Q114" s="20">
        <v>1</v>
      </c>
      <c r="R114" s="21">
        <v>0</v>
      </c>
      <c r="S114" s="19">
        <v>0</v>
      </c>
      <c r="T114" s="20">
        <v>1</v>
      </c>
      <c r="U114" s="19">
        <v>1</v>
      </c>
      <c r="V114" s="20">
        <v>1</v>
      </c>
      <c r="W114" s="20">
        <v>1</v>
      </c>
      <c r="X114" s="20">
        <v>1</v>
      </c>
      <c r="Y114" s="20">
        <v>1</v>
      </c>
      <c r="Z114" s="20">
        <v>0</v>
      </c>
      <c r="AA114" s="20">
        <v>0</v>
      </c>
      <c r="AB114" s="49">
        <v>0</v>
      </c>
      <c r="AC114" s="49">
        <v>0</v>
      </c>
      <c r="AD114" s="49">
        <v>0</v>
      </c>
      <c r="AE114" s="49">
        <v>0</v>
      </c>
      <c r="AF114" s="49">
        <v>0</v>
      </c>
      <c r="AG114" s="161">
        <v>0</v>
      </c>
      <c r="AH114" s="162">
        <v>1</v>
      </c>
      <c r="AI114" s="162">
        <v>0</v>
      </c>
      <c r="AJ114" s="162">
        <v>0</v>
      </c>
      <c r="AK114" s="162">
        <v>0</v>
      </c>
      <c r="AL114" s="163">
        <v>0</v>
      </c>
      <c r="AM114" s="19">
        <v>0</v>
      </c>
      <c r="AN114" s="20">
        <f>IFERROR(INDEX([2]lijnopstellingsfiche!$AP$1:$AP$65536,MATCH(A114,[2]lijnopstellingsfiche!$AQ$1:$AQ$65536,0)),"")</f>
        <v>1</v>
      </c>
      <c r="AO114" s="20">
        <v>0</v>
      </c>
      <c r="AP114" s="20">
        <v>0</v>
      </c>
      <c r="AQ114" s="20">
        <v>2</v>
      </c>
      <c r="AR114" s="20">
        <v>0</v>
      </c>
      <c r="AS114" s="20">
        <v>0</v>
      </c>
      <c r="AT114" s="20">
        <v>1</v>
      </c>
      <c r="AU114" s="20">
        <v>0</v>
      </c>
      <c r="AV114" s="23">
        <v>0</v>
      </c>
      <c r="AW114" s="108">
        <v>0</v>
      </c>
      <c r="AX114" s="108">
        <v>0</v>
      </c>
      <c r="AY114" s="108">
        <v>1</v>
      </c>
      <c r="AZ114" s="108">
        <v>0</v>
      </c>
      <c r="BA114" s="114">
        <v>1</v>
      </c>
      <c r="BB114" s="20">
        <v>0</v>
      </c>
      <c r="BC114" s="113">
        <v>0</v>
      </c>
      <c r="BD114" s="200" t="str">
        <f>VLOOKUP($A114,'[3]allergenen 6nr'!$A$1:$O$1310,3,FALSE)</f>
        <v>-</v>
      </c>
      <c r="BE114" s="201" t="str">
        <f>VLOOKUP($A114,'[3]allergenen 6nr'!$A$1:$O$1310,4,FALSE)</f>
        <v>X</v>
      </c>
      <c r="BF114" s="201" t="str">
        <f>VLOOKUP($A114,'[3]allergenen 6nr'!$A$1:$O$1310,5,FALSE)</f>
        <v>+</v>
      </c>
      <c r="BG114" s="201" t="str">
        <f>VLOOKUP($A114,'[3]allergenen 6nr'!$A$1:$O$1310,6,FALSE)</f>
        <v>-</v>
      </c>
      <c r="BH114" s="201" t="str">
        <f>VLOOKUP($A114,'[3]allergenen 6nr'!$A$1:$O$1310,7,FALSE)</f>
        <v>X</v>
      </c>
      <c r="BI114" s="201" t="str">
        <f>VLOOKUP($A114,'[3]allergenen 6nr'!$A$1:$O$1310,8,FALSE)</f>
        <v>X</v>
      </c>
      <c r="BJ114" s="201" t="str">
        <f>VLOOKUP($A114,'[3]allergenen 6nr'!$A$1:$O$1310,9,FALSE)</f>
        <v>-</v>
      </c>
      <c r="BK114" s="201" t="str">
        <f>VLOOKUP($A114,'[3]allergenen 6nr'!$A$1:$O$1310,10,FALSE)</f>
        <v>X</v>
      </c>
      <c r="BL114" s="201" t="str">
        <f>VLOOKUP($A114,'[3]allergenen 6nr'!$A$1:$O$1310,11,FALSE)</f>
        <v>+</v>
      </c>
      <c r="BM114" s="201" t="str">
        <f>VLOOKUP($A114,'[3]allergenen 6nr'!$A$1:$O$1310,12,FALSE)</f>
        <v>-</v>
      </c>
      <c r="BN114" s="201" t="str">
        <f>VLOOKUP($A114,'[3]allergenen 6nr'!$A$1:$O$1310,13,FALSE)</f>
        <v>X</v>
      </c>
      <c r="BO114" s="201" t="str">
        <f>VLOOKUP($A114,'[3]allergenen 6nr'!$A$1:$O$1310,14,FALSE)</f>
        <v>+</v>
      </c>
      <c r="BP114" s="202" t="str">
        <f>VLOOKUP($A114,'[3]allergenen 6nr'!$A$1:$O$1310,15,FALSE)</f>
        <v>X</v>
      </c>
    </row>
    <row r="115" spans="1:68" x14ac:dyDescent="0.2">
      <c r="A115" s="89">
        <v>63501300</v>
      </c>
      <c r="B115" s="53" t="str">
        <f>VLOOKUP($A115,[1]maaltijden!$A$1:$IV$65536,4,FALSE)</f>
        <v xml:space="preserve">DMC VLEESBROOD KRIEKEN KRIEL PETERSELIE       </v>
      </c>
      <c r="C115" s="46" t="str">
        <f>VLOOKUP($A115,[1]maaltijden!$A$1:$IV$65536,7,FALSE)</f>
        <v>C2227-3R</v>
      </c>
      <c r="D115" s="22" t="str">
        <f>VLOOKUP($A115,[1]maaltijden!$A$1:$IV$65536,10,FALSE)</f>
        <v>NVT</v>
      </c>
      <c r="E115" s="22" t="str">
        <f>VLOOKUP($A115,[1]maaltijden!$A$1:$IV$65536,13,FALSE)</f>
        <v>DMC X 6</v>
      </c>
      <c r="F115" s="20">
        <f t="shared" si="1"/>
        <v>0</v>
      </c>
      <c r="G115" s="20" t="str">
        <f>VLOOKUP($A115,[1]maaltijden!$A$1:$IV$65536,27,FALSE)</f>
        <v>! ! !</v>
      </c>
      <c r="H115" s="22">
        <f>VLOOKUP($A115,[1]maaltijden!$A$1:$IV$65536,21,FALSE)</f>
        <v>9</v>
      </c>
      <c r="I115" s="22">
        <f>VLOOKUP($A115,[1]maaltijden!$A$1:$IV$65536,21,FALSE)</f>
        <v>9</v>
      </c>
      <c r="J115" s="22">
        <f>VLOOKUP($A115,[1]maaltijden!$A$1:$IV$65536,18,FALSE)</f>
        <v>3</v>
      </c>
      <c r="K115" s="22">
        <f>VLOOKUP($A115,[1]maaltijden!$A$1:$IV$65536,17,FALSE)</f>
        <v>2</v>
      </c>
      <c r="L115" s="22">
        <f>VLOOKUP($A115,[1]maaltijden!$A$1:$IV$65536,20,FALSE)</f>
        <v>2200</v>
      </c>
      <c r="M115" s="22">
        <f>VLOOKUP($A115,[1]maaltijden!$A$1:$IV$65536,22,FALSE)</f>
        <v>2200</v>
      </c>
      <c r="N115" s="135"/>
      <c r="O115" s="50"/>
      <c r="P115" s="19">
        <v>0</v>
      </c>
      <c r="Q115" s="20">
        <v>1</v>
      </c>
      <c r="R115" s="21">
        <v>0</v>
      </c>
      <c r="S115" s="19">
        <v>0</v>
      </c>
      <c r="T115" s="20">
        <v>1</v>
      </c>
      <c r="U115" s="19">
        <v>0</v>
      </c>
      <c r="V115" s="20">
        <v>1</v>
      </c>
      <c r="W115" s="20">
        <v>1</v>
      </c>
      <c r="X115" s="20">
        <v>1</v>
      </c>
      <c r="Y115" s="20">
        <v>1</v>
      </c>
      <c r="Z115" s="20">
        <v>0</v>
      </c>
      <c r="AA115" s="20">
        <v>0</v>
      </c>
      <c r="AB115" s="49">
        <v>0</v>
      </c>
      <c r="AC115" s="49">
        <v>0</v>
      </c>
      <c r="AD115" s="49">
        <v>0</v>
      </c>
      <c r="AE115" s="49">
        <v>1</v>
      </c>
      <c r="AF115" s="49">
        <v>0</v>
      </c>
      <c r="AG115" s="161">
        <v>0</v>
      </c>
      <c r="AH115" s="162">
        <v>1</v>
      </c>
      <c r="AI115" s="162">
        <v>1</v>
      </c>
      <c r="AJ115" s="162">
        <v>0</v>
      </c>
      <c r="AK115" s="162">
        <v>0</v>
      </c>
      <c r="AL115" s="163">
        <v>0</v>
      </c>
      <c r="AM115" s="19">
        <v>0</v>
      </c>
      <c r="AN115" s="20">
        <f>IFERROR(INDEX([2]lijnopstellingsfiche!$AP$1:$AP$65536,MATCH(A115,[2]lijnopstellingsfiche!$AQ$1:$AQ$65536,0)),"")</f>
        <v>5</v>
      </c>
      <c r="AO115" s="20">
        <v>0</v>
      </c>
      <c r="AP115" s="20">
        <v>0</v>
      </c>
      <c r="AQ115" s="20">
        <v>2</v>
      </c>
      <c r="AR115" s="20">
        <v>0</v>
      </c>
      <c r="AS115" s="20">
        <v>0</v>
      </c>
      <c r="AT115" s="20">
        <v>0</v>
      </c>
      <c r="AU115" s="20">
        <v>0</v>
      </c>
      <c r="AV115" s="23">
        <v>0</v>
      </c>
      <c r="AW115" s="108">
        <v>0</v>
      </c>
      <c r="AX115" s="108">
        <v>0</v>
      </c>
      <c r="AY115" s="108">
        <v>1</v>
      </c>
      <c r="AZ115" s="108">
        <v>0</v>
      </c>
      <c r="BA115" s="114">
        <v>1</v>
      </c>
      <c r="BB115" s="20">
        <v>0</v>
      </c>
      <c r="BC115" s="113">
        <v>0</v>
      </c>
      <c r="BD115" s="200" t="str">
        <f>VLOOKUP($A115,'[3]allergenen 6nr'!$A$1:$O$1310,3,FALSE)</f>
        <v>-</v>
      </c>
      <c r="BE115" s="201" t="str">
        <f>VLOOKUP($A115,'[3]allergenen 6nr'!$A$1:$O$1310,4,FALSE)</f>
        <v>+</v>
      </c>
      <c r="BF115" s="201" t="str">
        <f>VLOOKUP($A115,'[3]allergenen 6nr'!$A$1:$O$1310,5,FALSE)</f>
        <v>+</v>
      </c>
      <c r="BG115" s="201" t="str">
        <f>VLOOKUP($A115,'[3]allergenen 6nr'!$A$1:$O$1310,6,FALSE)</f>
        <v>-</v>
      </c>
      <c r="BH115" s="201" t="str">
        <f>VLOOKUP($A115,'[3]allergenen 6nr'!$A$1:$O$1310,7,FALSE)</f>
        <v>+</v>
      </c>
      <c r="BI115" s="201" t="str">
        <f>VLOOKUP($A115,'[3]allergenen 6nr'!$A$1:$O$1310,8,FALSE)</f>
        <v>X</v>
      </c>
      <c r="BJ115" s="201" t="str">
        <f>VLOOKUP($A115,'[3]allergenen 6nr'!$A$1:$O$1310,9,FALSE)</f>
        <v>-</v>
      </c>
      <c r="BK115" s="201" t="str">
        <f>VLOOKUP($A115,'[3]allergenen 6nr'!$A$1:$O$1310,10,FALSE)</f>
        <v>-</v>
      </c>
      <c r="BL115" s="201" t="str">
        <f>VLOOKUP($A115,'[3]allergenen 6nr'!$A$1:$O$1310,11,FALSE)</f>
        <v>+</v>
      </c>
      <c r="BM115" s="201" t="str">
        <f>VLOOKUP($A115,'[3]allergenen 6nr'!$A$1:$O$1310,12,FALSE)</f>
        <v>-</v>
      </c>
      <c r="BN115" s="201" t="str">
        <f>VLOOKUP($A115,'[3]allergenen 6nr'!$A$1:$O$1310,13,FALSE)</f>
        <v>X</v>
      </c>
      <c r="BO115" s="201" t="str">
        <f>VLOOKUP($A115,'[3]allergenen 6nr'!$A$1:$O$1310,14,FALSE)</f>
        <v>-</v>
      </c>
      <c r="BP115" s="202" t="str">
        <f>VLOOKUP($A115,'[3]allergenen 6nr'!$A$1:$O$1310,15,FALSE)</f>
        <v>-</v>
      </c>
    </row>
    <row r="116" spans="1:68" x14ac:dyDescent="0.2">
      <c r="A116" s="89">
        <v>63501400</v>
      </c>
      <c r="B116" s="53" t="str">
        <f>VLOOKUP($A116,[1]maaltijden!$A$1:$IV$65536,4,FALSE)</f>
        <v xml:space="preserve">DMC BLINDE VINK ERWTEN WORTELEN PUREE          </v>
      </c>
      <c r="C116" s="46" t="str">
        <f>VLOOKUP($A116,[1]maaltijden!$A$1:$IV$65536,7,FALSE)</f>
        <v>C2227-3R</v>
      </c>
      <c r="D116" s="22" t="str">
        <f>VLOOKUP($A116,[1]maaltijden!$A$1:$IV$65536,10,FALSE)</f>
        <v>NVT</v>
      </c>
      <c r="E116" s="22" t="str">
        <f>VLOOKUP($A116,[1]maaltijden!$A$1:$IV$65536,13,FALSE)</f>
        <v>DMC X 6</v>
      </c>
      <c r="F116" s="20">
        <f t="shared" si="1"/>
        <v>0</v>
      </c>
      <c r="G116" s="20" t="str">
        <f>VLOOKUP($A116,[1]maaltijden!$A$1:$IV$65536,27,FALSE)</f>
        <v>! ! !</v>
      </c>
      <c r="H116" s="22">
        <f>VLOOKUP($A116,[1]maaltijden!$A$1:$IV$65536,21,FALSE)</f>
        <v>4</v>
      </c>
      <c r="I116" s="22">
        <f>VLOOKUP($A116,[1]maaltijden!$A$1:$IV$65536,21,FALSE)</f>
        <v>4</v>
      </c>
      <c r="J116" s="22">
        <f>VLOOKUP($A116,[1]maaltijden!$A$1:$IV$65536,18,FALSE)</f>
        <v>3</v>
      </c>
      <c r="K116" s="22">
        <f>VLOOKUP($A116,[1]maaltijden!$A$1:$IV$65536,17,FALSE)</f>
        <v>2.5</v>
      </c>
      <c r="L116" s="22">
        <f>VLOOKUP($A116,[1]maaltijden!$A$1:$IV$65536,20,FALSE)</f>
        <v>2200</v>
      </c>
      <c r="M116" s="22">
        <f>VLOOKUP($A116,[1]maaltijden!$A$1:$IV$65536,22,FALSE)</f>
        <v>2200</v>
      </c>
      <c r="N116" s="135"/>
      <c r="O116" s="50"/>
      <c r="P116" s="19">
        <v>0</v>
      </c>
      <c r="Q116" s="20">
        <v>1</v>
      </c>
      <c r="R116" s="21">
        <v>0</v>
      </c>
      <c r="S116" s="19">
        <v>0</v>
      </c>
      <c r="T116" s="20">
        <v>1</v>
      </c>
      <c r="U116" s="19">
        <v>0</v>
      </c>
      <c r="V116" s="20">
        <v>1</v>
      </c>
      <c r="W116" s="20">
        <v>1</v>
      </c>
      <c r="X116" s="20">
        <v>1</v>
      </c>
      <c r="Y116" s="20">
        <v>1</v>
      </c>
      <c r="Z116" s="20">
        <v>0</v>
      </c>
      <c r="AA116" s="20">
        <v>0</v>
      </c>
      <c r="AB116" s="49">
        <v>0</v>
      </c>
      <c r="AC116" s="49">
        <v>0</v>
      </c>
      <c r="AD116" s="49">
        <v>0</v>
      </c>
      <c r="AE116" s="49">
        <v>1</v>
      </c>
      <c r="AF116" s="49">
        <v>0</v>
      </c>
      <c r="AG116" s="161">
        <v>0</v>
      </c>
      <c r="AH116" s="162">
        <v>2</v>
      </c>
      <c r="AI116" s="162">
        <v>1</v>
      </c>
      <c r="AJ116" s="162">
        <v>0</v>
      </c>
      <c r="AK116" s="162">
        <v>0</v>
      </c>
      <c r="AL116" s="163">
        <v>0</v>
      </c>
      <c r="AM116" s="19">
        <v>0</v>
      </c>
      <c r="AN116" s="20" t="str">
        <f>IFERROR(INDEX([2]lijnopstellingsfiche!$AP$1:$AP$65536,MATCH(A116,[2]lijnopstellingsfiche!$AQ$1:$AQ$65536,0)),"")</f>
        <v>-</v>
      </c>
      <c r="AO116" s="20">
        <v>0</v>
      </c>
      <c r="AP116" s="20">
        <v>0</v>
      </c>
      <c r="AQ116" s="20">
        <v>1</v>
      </c>
      <c r="AR116" s="20">
        <v>1</v>
      </c>
      <c r="AS116" s="20">
        <v>0</v>
      </c>
      <c r="AT116" s="20">
        <v>0</v>
      </c>
      <c r="AU116" s="20">
        <v>0</v>
      </c>
      <c r="AV116" s="23">
        <v>0</v>
      </c>
      <c r="AW116" s="108">
        <v>0</v>
      </c>
      <c r="AX116" s="108">
        <v>0</v>
      </c>
      <c r="AY116" s="108">
        <v>1</v>
      </c>
      <c r="AZ116" s="108">
        <v>0</v>
      </c>
      <c r="BA116" s="114">
        <v>1</v>
      </c>
      <c r="BB116" s="20">
        <v>0</v>
      </c>
      <c r="BC116" s="113">
        <v>0</v>
      </c>
      <c r="BD116" s="200" t="str">
        <f>VLOOKUP($A116,'[3]allergenen 6nr'!$A$1:$O$1310,3,FALSE)</f>
        <v>-</v>
      </c>
      <c r="BE116" s="201" t="str">
        <f>VLOOKUP($A116,'[3]allergenen 6nr'!$A$1:$O$1310,4,FALSE)</f>
        <v>+</v>
      </c>
      <c r="BF116" s="201" t="str">
        <f>VLOOKUP($A116,'[3]allergenen 6nr'!$A$1:$O$1310,5,FALSE)</f>
        <v>X</v>
      </c>
      <c r="BG116" s="201" t="str">
        <f>VLOOKUP($A116,'[3]allergenen 6nr'!$A$1:$O$1310,6,FALSE)</f>
        <v>-</v>
      </c>
      <c r="BH116" s="201" t="str">
        <f>VLOOKUP($A116,'[3]allergenen 6nr'!$A$1:$O$1310,7,FALSE)</f>
        <v>+</v>
      </c>
      <c r="BI116" s="201" t="str">
        <f>VLOOKUP($A116,'[3]allergenen 6nr'!$A$1:$O$1310,8,FALSE)</f>
        <v>X</v>
      </c>
      <c r="BJ116" s="201" t="str">
        <f>VLOOKUP($A116,'[3]allergenen 6nr'!$A$1:$O$1310,9,FALSE)</f>
        <v>X</v>
      </c>
      <c r="BK116" s="201" t="str">
        <f>VLOOKUP($A116,'[3]allergenen 6nr'!$A$1:$O$1310,10,FALSE)</f>
        <v>X</v>
      </c>
      <c r="BL116" s="201" t="str">
        <f>VLOOKUP($A116,'[3]allergenen 6nr'!$A$1:$O$1310,11,FALSE)</f>
        <v>+</v>
      </c>
      <c r="BM116" s="201" t="str">
        <f>VLOOKUP($A116,'[3]allergenen 6nr'!$A$1:$O$1310,12,FALSE)</f>
        <v>-</v>
      </c>
      <c r="BN116" s="201" t="str">
        <f>VLOOKUP($A116,'[3]allergenen 6nr'!$A$1:$O$1310,13,FALSE)</f>
        <v>X</v>
      </c>
      <c r="BO116" s="201" t="str">
        <f>VLOOKUP($A116,'[3]allergenen 6nr'!$A$1:$O$1310,14,FALSE)</f>
        <v>X</v>
      </c>
      <c r="BP116" s="202" t="str">
        <f>VLOOKUP($A116,'[3]allergenen 6nr'!$A$1:$O$1310,15,FALSE)</f>
        <v>X</v>
      </c>
    </row>
    <row r="117" spans="1:68" x14ac:dyDescent="0.2">
      <c r="A117" s="89">
        <v>63501500</v>
      </c>
      <c r="B117" s="53" t="str">
        <f>VLOOKUP($A117,[1]maaltijden!$A$1:$IV$65536,4,FALSE)</f>
        <v xml:space="preserve">DMC KAASBURGER ROOMSPINAZIE PUREE    </v>
      </c>
      <c r="C117" s="46" t="str">
        <f>VLOOKUP($A117,[1]maaltijden!$A$1:$IV$65536,7,FALSE)</f>
        <v>C2227-2K</v>
      </c>
      <c r="D117" s="22" t="str">
        <f>VLOOKUP($A117,[1]maaltijden!$A$1:$IV$65536,10,FALSE)</f>
        <v>NVT</v>
      </c>
      <c r="E117" s="22" t="str">
        <f>VLOOKUP($A117,[1]maaltijden!$A$1:$IV$65536,13,FALSE)</f>
        <v>DMC X 6</v>
      </c>
      <c r="F117" s="20">
        <f t="shared" si="1"/>
        <v>0</v>
      </c>
      <c r="G117" s="20" t="str">
        <f>VLOOKUP($A117,[1]maaltijden!$A$1:$IV$65536,27,FALSE)</f>
        <v>! ! !</v>
      </c>
      <c r="H117" s="22">
        <f>VLOOKUP($A117,[1]maaltijden!$A$1:$IV$65536,21,FALSE)</f>
        <v>2</v>
      </c>
      <c r="I117" s="22">
        <f>VLOOKUP($A117,[1]maaltijden!$A$1:$IV$65536,21,FALSE)</f>
        <v>2</v>
      </c>
      <c r="J117" s="22">
        <f>VLOOKUP($A117,[1]maaltijden!$A$1:$IV$65536,18,FALSE)</f>
        <v>3</v>
      </c>
      <c r="K117" s="22">
        <f>VLOOKUP($A117,[1]maaltijden!$A$1:$IV$65536,17,FALSE)</f>
        <v>3</v>
      </c>
      <c r="L117" s="22">
        <f>VLOOKUP($A117,[1]maaltijden!$A$1:$IV$65536,20,FALSE)</f>
        <v>2200</v>
      </c>
      <c r="M117" s="22">
        <f>VLOOKUP($A117,[1]maaltijden!$A$1:$IV$65536,22,FALSE)</f>
        <v>2200</v>
      </c>
      <c r="N117" s="135"/>
      <c r="O117" s="50"/>
      <c r="P117" s="19">
        <v>0</v>
      </c>
      <c r="Q117" s="20">
        <v>1</v>
      </c>
      <c r="R117" s="21">
        <v>0</v>
      </c>
      <c r="S117" s="19">
        <v>0</v>
      </c>
      <c r="T117" s="20">
        <v>1</v>
      </c>
      <c r="U117" s="19">
        <v>0</v>
      </c>
      <c r="V117" s="20">
        <v>1</v>
      </c>
      <c r="W117" s="20">
        <v>1</v>
      </c>
      <c r="X117" s="20">
        <v>1</v>
      </c>
      <c r="Y117" s="20">
        <v>1</v>
      </c>
      <c r="Z117" s="20">
        <v>0</v>
      </c>
      <c r="AA117" s="20">
        <v>0</v>
      </c>
      <c r="AB117" s="49">
        <v>0</v>
      </c>
      <c r="AC117" s="49">
        <v>0</v>
      </c>
      <c r="AD117" s="49">
        <v>0</v>
      </c>
      <c r="AE117" s="49">
        <v>1</v>
      </c>
      <c r="AF117" s="49">
        <v>0</v>
      </c>
      <c r="AG117" s="161">
        <v>0</v>
      </c>
      <c r="AH117" s="162">
        <v>2</v>
      </c>
      <c r="AI117" s="162">
        <v>1</v>
      </c>
      <c r="AJ117" s="162">
        <v>0</v>
      </c>
      <c r="AK117" s="162">
        <v>0</v>
      </c>
      <c r="AL117" s="163">
        <v>0</v>
      </c>
      <c r="AM117" s="19">
        <v>0</v>
      </c>
      <c r="AN117" s="20" t="str">
        <f>IFERROR(INDEX([2]lijnopstellingsfiche!$AP$1:$AP$65536,MATCH(A117,[2]lijnopstellingsfiche!$AQ$1:$AQ$65536,0)),"")</f>
        <v>-</v>
      </c>
      <c r="AO117" s="20">
        <v>0</v>
      </c>
      <c r="AP117" s="20">
        <v>0</v>
      </c>
      <c r="AQ117" s="20">
        <v>2</v>
      </c>
      <c r="AR117" s="20">
        <v>1</v>
      </c>
      <c r="AS117" s="20">
        <v>0</v>
      </c>
      <c r="AT117" s="20">
        <v>0</v>
      </c>
      <c r="AU117" s="20">
        <v>0</v>
      </c>
      <c r="AV117" s="23">
        <v>0</v>
      </c>
      <c r="AW117" s="108">
        <v>0</v>
      </c>
      <c r="AX117" s="108">
        <v>0</v>
      </c>
      <c r="AY117" s="108">
        <v>1</v>
      </c>
      <c r="AZ117" s="108">
        <v>0</v>
      </c>
      <c r="BA117" s="114">
        <v>1</v>
      </c>
      <c r="BB117" s="20">
        <v>0</v>
      </c>
      <c r="BC117" s="113">
        <v>0</v>
      </c>
      <c r="BD117" s="200" t="str">
        <f>VLOOKUP($A117,'[3]allergenen 6nr'!$A$1:$O$1310,3,FALSE)</f>
        <v>-</v>
      </c>
      <c r="BE117" s="201" t="str">
        <f>VLOOKUP($A117,'[3]allergenen 6nr'!$A$1:$O$1310,4,FALSE)</f>
        <v>+</v>
      </c>
      <c r="BF117" s="201" t="str">
        <f>VLOOKUP($A117,'[3]allergenen 6nr'!$A$1:$O$1310,5,FALSE)</f>
        <v>-</v>
      </c>
      <c r="BG117" s="201" t="str">
        <f>VLOOKUP($A117,'[3]allergenen 6nr'!$A$1:$O$1310,6,FALSE)</f>
        <v>-</v>
      </c>
      <c r="BH117" s="201" t="str">
        <f>VLOOKUP($A117,'[3]allergenen 6nr'!$A$1:$O$1310,7,FALSE)</f>
        <v>+</v>
      </c>
      <c r="BI117" s="201" t="str">
        <f>VLOOKUP($A117,'[3]allergenen 6nr'!$A$1:$O$1310,8,FALSE)</f>
        <v>+</v>
      </c>
      <c r="BJ117" s="201" t="str">
        <f>VLOOKUP($A117,'[3]allergenen 6nr'!$A$1:$O$1310,9,FALSE)</f>
        <v>-</v>
      </c>
      <c r="BK117" s="201" t="str">
        <f>VLOOKUP($A117,'[3]allergenen 6nr'!$A$1:$O$1310,10,FALSE)</f>
        <v>-</v>
      </c>
      <c r="BL117" s="201" t="str">
        <f>VLOOKUP($A117,'[3]allergenen 6nr'!$A$1:$O$1310,11,FALSE)</f>
        <v>+</v>
      </c>
      <c r="BM117" s="201" t="str">
        <f>VLOOKUP($A117,'[3]allergenen 6nr'!$A$1:$O$1310,12,FALSE)</f>
        <v>-</v>
      </c>
      <c r="BN117" s="201" t="str">
        <f>VLOOKUP($A117,'[3]allergenen 6nr'!$A$1:$O$1310,13,FALSE)</f>
        <v>-</v>
      </c>
      <c r="BO117" s="201" t="str">
        <f>VLOOKUP($A117,'[3]allergenen 6nr'!$A$1:$O$1310,14,FALSE)</f>
        <v>-</v>
      </c>
      <c r="BP117" s="202" t="str">
        <f>VLOOKUP($A117,'[3]allergenen 6nr'!$A$1:$O$1310,15,FALSE)</f>
        <v>-</v>
      </c>
    </row>
    <row r="118" spans="1:68" x14ac:dyDescent="0.2">
      <c r="A118" s="89">
        <v>63501600</v>
      </c>
      <c r="B118" s="53" t="str">
        <f>VLOOKUP($A118,[1]maaltijden!$A$1:$IV$65536,4,FALSE)</f>
        <v>DMC BRAADWORST RODE KOOL GEKRUIDE AARDAPPELKUBUS</v>
      </c>
      <c r="C118" s="46" t="str">
        <f>VLOOKUP($A118,[1]maaltijden!$A$1:$IV$65536,7,FALSE)</f>
        <v>C2227-3R</v>
      </c>
      <c r="D118" s="22" t="str">
        <f>VLOOKUP($A118,[1]maaltijden!$A$1:$IV$65536,10,FALSE)</f>
        <v>NVT</v>
      </c>
      <c r="E118" s="22" t="str">
        <f>VLOOKUP($A118,[1]maaltijden!$A$1:$IV$65536,13,FALSE)</f>
        <v>DMC X 6</v>
      </c>
      <c r="F118" s="20">
        <f t="shared" si="1"/>
        <v>0</v>
      </c>
      <c r="G118" s="20" t="str">
        <f>VLOOKUP($A118,[1]maaltijden!$A$1:$IV$65536,27,FALSE)</f>
        <v>! ! !</v>
      </c>
      <c r="H118" s="22">
        <f>VLOOKUP($A118,[1]maaltijden!$A$1:$IV$65536,21,FALSE)</f>
        <v>3</v>
      </c>
      <c r="I118" s="22">
        <f>VLOOKUP($A118,[1]maaltijden!$A$1:$IV$65536,21,FALSE)</f>
        <v>3</v>
      </c>
      <c r="J118" s="22">
        <f>VLOOKUP($A118,[1]maaltijden!$A$1:$IV$65536,18,FALSE)</f>
        <v>3</v>
      </c>
      <c r="K118" s="22">
        <f>VLOOKUP($A118,[1]maaltijden!$A$1:$IV$65536,17,FALSE)</f>
        <v>2</v>
      </c>
      <c r="L118" s="22">
        <f>VLOOKUP($A118,[1]maaltijden!$A$1:$IV$65536,20,FALSE)</f>
        <v>2000</v>
      </c>
      <c r="M118" s="22">
        <f>VLOOKUP($A118,[1]maaltijden!$A$1:$IV$65536,22,FALSE)</f>
        <v>2000</v>
      </c>
      <c r="N118" s="135"/>
      <c r="O118" s="50"/>
      <c r="P118" s="19">
        <v>0</v>
      </c>
      <c r="Q118" s="20">
        <v>1</v>
      </c>
      <c r="R118" s="21">
        <v>0</v>
      </c>
      <c r="S118" s="19">
        <v>0</v>
      </c>
      <c r="T118" s="20">
        <v>1</v>
      </c>
      <c r="U118" s="19">
        <v>0</v>
      </c>
      <c r="V118" s="20">
        <v>1</v>
      </c>
      <c r="W118" s="20">
        <v>1</v>
      </c>
      <c r="X118" s="20">
        <v>1</v>
      </c>
      <c r="Y118" s="20">
        <v>1</v>
      </c>
      <c r="Z118" s="20">
        <v>0</v>
      </c>
      <c r="AA118" s="20">
        <v>0</v>
      </c>
      <c r="AB118" s="49">
        <v>0</v>
      </c>
      <c r="AC118" s="49">
        <v>0</v>
      </c>
      <c r="AD118" s="49">
        <v>0</v>
      </c>
      <c r="AE118" s="49">
        <v>1</v>
      </c>
      <c r="AF118" s="49">
        <v>0</v>
      </c>
      <c r="AG118" s="161">
        <v>0</v>
      </c>
      <c r="AH118" s="162">
        <v>1</v>
      </c>
      <c r="AI118" s="162">
        <v>1</v>
      </c>
      <c r="AJ118" s="162">
        <v>0</v>
      </c>
      <c r="AK118" s="162">
        <v>0</v>
      </c>
      <c r="AL118" s="163">
        <v>0</v>
      </c>
      <c r="AM118" s="19">
        <v>0</v>
      </c>
      <c r="AN118" s="20">
        <f>IFERROR(INDEX([2]lijnopstellingsfiche!$AP$1:$AP$65536,MATCH(A118,[2]lijnopstellingsfiche!$AQ$1:$AQ$65536,0)),"")</f>
        <v>1</v>
      </c>
      <c r="AO118" s="20">
        <v>0</v>
      </c>
      <c r="AP118" s="20">
        <v>0</v>
      </c>
      <c r="AQ118" s="20">
        <v>2</v>
      </c>
      <c r="AR118" s="20">
        <v>0</v>
      </c>
      <c r="AS118" s="20">
        <v>0</v>
      </c>
      <c r="AT118" s="20">
        <v>1</v>
      </c>
      <c r="AU118" s="20">
        <v>0</v>
      </c>
      <c r="AV118" s="23">
        <v>0</v>
      </c>
      <c r="AW118" s="108">
        <v>0</v>
      </c>
      <c r="AX118" s="108">
        <v>0</v>
      </c>
      <c r="AY118" s="108">
        <v>1</v>
      </c>
      <c r="AZ118" s="108">
        <v>0</v>
      </c>
      <c r="BA118" s="114">
        <v>1</v>
      </c>
      <c r="BB118" s="20">
        <v>0</v>
      </c>
      <c r="BC118" s="113">
        <v>0</v>
      </c>
      <c r="BD118" s="200" t="str">
        <f>VLOOKUP($A118,'[3]allergenen 6nr'!$A$1:$O$1310,3,FALSE)</f>
        <v>-</v>
      </c>
      <c r="BE118" s="201" t="str">
        <f>VLOOKUP($A118,'[3]allergenen 6nr'!$A$1:$O$1310,4,FALSE)</f>
        <v>+</v>
      </c>
      <c r="BF118" s="201" t="str">
        <f>VLOOKUP($A118,'[3]allergenen 6nr'!$A$1:$O$1310,5,FALSE)</f>
        <v>+</v>
      </c>
      <c r="BG118" s="201" t="str">
        <f>VLOOKUP($A118,'[3]allergenen 6nr'!$A$1:$O$1310,6,FALSE)</f>
        <v>-</v>
      </c>
      <c r="BH118" s="201" t="str">
        <f>VLOOKUP($A118,'[3]allergenen 6nr'!$A$1:$O$1310,7,FALSE)</f>
        <v>X</v>
      </c>
      <c r="BI118" s="201" t="str">
        <f>VLOOKUP($A118,'[3]allergenen 6nr'!$A$1:$O$1310,8,FALSE)</f>
        <v>+</v>
      </c>
      <c r="BJ118" s="201" t="str">
        <f>VLOOKUP($A118,'[3]allergenen 6nr'!$A$1:$O$1310,9,FALSE)</f>
        <v>-</v>
      </c>
      <c r="BK118" s="201" t="str">
        <f>VLOOKUP($A118,'[3]allergenen 6nr'!$A$1:$O$1310,10,FALSE)</f>
        <v>-</v>
      </c>
      <c r="BL118" s="201" t="str">
        <f>VLOOKUP($A118,'[3]allergenen 6nr'!$A$1:$O$1310,11,FALSE)</f>
        <v>+</v>
      </c>
      <c r="BM118" s="201" t="str">
        <f>VLOOKUP($A118,'[3]allergenen 6nr'!$A$1:$O$1310,12,FALSE)</f>
        <v>-</v>
      </c>
      <c r="BN118" s="201" t="str">
        <f>VLOOKUP($A118,'[3]allergenen 6nr'!$A$1:$O$1310,13,FALSE)</f>
        <v>-</v>
      </c>
      <c r="BO118" s="201" t="str">
        <f>VLOOKUP($A118,'[3]allergenen 6nr'!$A$1:$O$1310,14,FALSE)</f>
        <v>-</v>
      </c>
      <c r="BP118" s="202" t="str">
        <f>VLOOKUP($A118,'[3]allergenen 6nr'!$A$1:$O$1310,15,FALSE)</f>
        <v>-</v>
      </c>
    </row>
    <row r="119" spans="1:68" x14ac:dyDescent="0.2">
      <c r="A119" s="89">
        <v>63501700</v>
      </c>
      <c r="B119" s="53" t="str">
        <f>VLOOKUP($A119,[1]maaltijden!$A$1:$IV$65536,4,FALSE)</f>
        <v xml:space="preserve">DMC BRAADWORST WORTELSTAMPPOT                    </v>
      </c>
      <c r="C119" s="46" t="str">
        <f>VLOOKUP($A119,[1]maaltijden!$A$1:$IV$65536,7,FALSE)</f>
        <v>C2227-2K</v>
      </c>
      <c r="D119" s="22" t="str">
        <f>VLOOKUP($A119,[1]maaltijden!$A$1:$IV$65536,10,FALSE)</f>
        <v>NVT</v>
      </c>
      <c r="E119" s="22" t="str">
        <f>VLOOKUP($A119,[1]maaltijden!$A$1:$IV$65536,13,FALSE)</f>
        <v>DMC X 6</v>
      </c>
      <c r="F119" s="20">
        <f t="shared" si="1"/>
        <v>0</v>
      </c>
      <c r="G119" s="20" t="str">
        <f>VLOOKUP($A119,[1]maaltijden!$A$1:$IV$65536,27,FALSE)</f>
        <v>! ! !</v>
      </c>
      <c r="H119" s="22">
        <f>VLOOKUP($A119,[1]maaltijden!$A$1:$IV$65536,21,FALSE)</f>
        <v>2</v>
      </c>
      <c r="I119" s="22">
        <f>VLOOKUP($A119,[1]maaltijden!$A$1:$IV$65536,21,FALSE)</f>
        <v>2</v>
      </c>
      <c r="J119" s="22">
        <f>VLOOKUP($A119,[1]maaltijden!$A$1:$IV$65536,18,FALSE)</f>
        <v>3</v>
      </c>
      <c r="K119" s="22">
        <f>VLOOKUP($A119,[1]maaltijden!$A$1:$IV$65536,17,FALSE)</f>
        <v>2.5</v>
      </c>
      <c r="L119" s="22">
        <f>VLOOKUP($A119,[1]maaltijden!$A$1:$IV$65536,20,FALSE)</f>
        <v>2200</v>
      </c>
      <c r="M119" s="22">
        <f>VLOOKUP($A119,[1]maaltijden!$A$1:$IV$65536,22,FALSE)</f>
        <v>2200</v>
      </c>
      <c r="N119" s="135"/>
      <c r="O119" s="50"/>
      <c r="P119" s="19">
        <v>0</v>
      </c>
      <c r="Q119" s="20">
        <v>1</v>
      </c>
      <c r="R119" s="21">
        <v>0</v>
      </c>
      <c r="S119" s="19">
        <v>0</v>
      </c>
      <c r="T119" s="20">
        <v>1</v>
      </c>
      <c r="U119" s="19">
        <v>0</v>
      </c>
      <c r="V119" s="20">
        <v>1</v>
      </c>
      <c r="W119" s="20">
        <v>1</v>
      </c>
      <c r="X119" s="20">
        <v>1</v>
      </c>
      <c r="Y119" s="20">
        <v>1</v>
      </c>
      <c r="Z119" s="20">
        <v>1</v>
      </c>
      <c r="AA119" s="20">
        <v>0</v>
      </c>
      <c r="AB119" s="49">
        <v>0</v>
      </c>
      <c r="AC119" s="49">
        <v>0</v>
      </c>
      <c r="AD119" s="49">
        <v>0</v>
      </c>
      <c r="AE119" s="49">
        <v>1</v>
      </c>
      <c r="AF119" s="49">
        <v>0</v>
      </c>
      <c r="AG119" s="161">
        <v>0</v>
      </c>
      <c r="AH119" s="162">
        <v>3</v>
      </c>
      <c r="AI119" s="162">
        <v>2</v>
      </c>
      <c r="AJ119" s="162">
        <v>0</v>
      </c>
      <c r="AK119" s="162">
        <v>0</v>
      </c>
      <c r="AL119" s="163">
        <v>0</v>
      </c>
      <c r="AM119" s="19">
        <v>0</v>
      </c>
      <c r="AN119" s="20" t="str">
        <f>IFERROR(INDEX([2]lijnopstellingsfiche!$AP$1:$AP$65536,MATCH(A119,[2]lijnopstellingsfiche!$AQ$1:$AQ$65536,0)),"")</f>
        <v>-</v>
      </c>
      <c r="AO119" s="20">
        <v>0</v>
      </c>
      <c r="AP119" s="20">
        <v>0</v>
      </c>
      <c r="AQ119" s="20">
        <v>1</v>
      </c>
      <c r="AR119" s="20">
        <v>1</v>
      </c>
      <c r="AS119" s="20">
        <v>0</v>
      </c>
      <c r="AT119" s="20">
        <v>0</v>
      </c>
      <c r="AU119" s="20">
        <v>0</v>
      </c>
      <c r="AV119" s="23">
        <v>0</v>
      </c>
      <c r="AW119" s="108">
        <v>0</v>
      </c>
      <c r="AX119" s="108">
        <v>0</v>
      </c>
      <c r="AY119" s="108">
        <v>1</v>
      </c>
      <c r="AZ119" s="108">
        <v>0</v>
      </c>
      <c r="BA119" s="114">
        <v>1</v>
      </c>
      <c r="BB119" s="20">
        <v>0</v>
      </c>
      <c r="BC119" s="113">
        <v>0</v>
      </c>
      <c r="BD119" s="200" t="str">
        <f>VLOOKUP($A119,'[3]allergenen 6nr'!$A$1:$O$1310,3,FALSE)</f>
        <v>-</v>
      </c>
      <c r="BE119" s="201" t="str">
        <f>VLOOKUP($A119,'[3]allergenen 6nr'!$A$1:$O$1310,4,FALSE)</f>
        <v>+</v>
      </c>
      <c r="BF119" s="201" t="str">
        <f>VLOOKUP($A119,'[3]allergenen 6nr'!$A$1:$O$1310,5,FALSE)</f>
        <v>+</v>
      </c>
      <c r="BG119" s="201" t="str">
        <f>VLOOKUP($A119,'[3]allergenen 6nr'!$A$1:$O$1310,6,FALSE)</f>
        <v>X</v>
      </c>
      <c r="BH119" s="201" t="str">
        <f>VLOOKUP($A119,'[3]allergenen 6nr'!$A$1:$O$1310,7,FALSE)</f>
        <v>+</v>
      </c>
      <c r="BI119" s="201" t="str">
        <f>VLOOKUP($A119,'[3]allergenen 6nr'!$A$1:$O$1310,8,FALSE)</f>
        <v>+</v>
      </c>
      <c r="BJ119" s="201" t="str">
        <f>VLOOKUP($A119,'[3]allergenen 6nr'!$A$1:$O$1310,9,FALSE)</f>
        <v>-</v>
      </c>
      <c r="BK119" s="201" t="str">
        <f>VLOOKUP($A119,'[3]allergenen 6nr'!$A$1:$O$1310,10,FALSE)</f>
        <v>-</v>
      </c>
      <c r="BL119" s="201" t="str">
        <f>VLOOKUP($A119,'[3]allergenen 6nr'!$A$1:$O$1310,11,FALSE)</f>
        <v>+</v>
      </c>
      <c r="BM119" s="201" t="str">
        <f>VLOOKUP($A119,'[3]allergenen 6nr'!$A$1:$O$1310,12,FALSE)</f>
        <v>-</v>
      </c>
      <c r="BN119" s="201" t="str">
        <f>VLOOKUP($A119,'[3]allergenen 6nr'!$A$1:$O$1310,13,FALSE)</f>
        <v>X</v>
      </c>
      <c r="BO119" s="201" t="str">
        <f>VLOOKUP($A119,'[3]allergenen 6nr'!$A$1:$O$1310,14,FALSE)</f>
        <v>-</v>
      </c>
      <c r="BP119" s="202" t="str">
        <f>VLOOKUP($A119,'[3]allergenen 6nr'!$A$1:$O$1310,15,FALSE)</f>
        <v>-</v>
      </c>
    </row>
    <row r="120" spans="1:68" x14ac:dyDescent="0.2">
      <c r="A120" s="89">
        <v>63502100</v>
      </c>
      <c r="B120" s="53" t="str">
        <f>VLOOKUP($A120,[1]maaltijden!$A$1:$IV$65536,4,FALSE)</f>
        <v>DMC KIP DRAGONSAUS GROENE GROENTEN AARDAPPELPOTJE</v>
      </c>
      <c r="C120" s="46" t="str">
        <f>VLOOKUP($A120,[1]maaltijden!$A$1:$IV$65536,7,FALSE)</f>
        <v>C2227-3R</v>
      </c>
      <c r="D120" s="22" t="str">
        <f>VLOOKUP($A120,[1]maaltijden!$A$1:$IV$65536,10,FALSE)</f>
        <v>NVT</v>
      </c>
      <c r="E120" s="22" t="str">
        <f>VLOOKUP($A120,[1]maaltijden!$A$1:$IV$65536,13,FALSE)</f>
        <v>DMC X 6</v>
      </c>
      <c r="F120" s="20">
        <f t="shared" si="1"/>
        <v>0</v>
      </c>
      <c r="G120" s="20" t="str">
        <f>VLOOKUP($A120,[1]maaltijden!$A$1:$IV$65536,27,FALSE)</f>
        <v>! !</v>
      </c>
      <c r="H120" s="22">
        <f>VLOOKUP($A120,[1]maaltijden!$A$1:$IV$65536,21,FALSE)</f>
        <v>6</v>
      </c>
      <c r="I120" s="22">
        <f>VLOOKUP($A120,[1]maaltijden!$A$1:$IV$65536,21,FALSE)</f>
        <v>6</v>
      </c>
      <c r="J120" s="22">
        <f>VLOOKUP($A120,[1]maaltijden!$A$1:$IV$65536,18,FALSE)</f>
        <v>3</v>
      </c>
      <c r="K120" s="22">
        <f>VLOOKUP($A120,[1]maaltijden!$A$1:$IV$65536,17,FALSE)</f>
        <v>3</v>
      </c>
      <c r="L120" s="22">
        <f>VLOOKUP($A120,[1]maaltijden!$A$1:$IV$65536,20,FALSE)</f>
        <v>2200</v>
      </c>
      <c r="M120" s="22">
        <f>VLOOKUP($A120,[1]maaltijden!$A$1:$IV$65536,22,FALSE)</f>
        <v>2200</v>
      </c>
      <c r="N120" s="135"/>
      <c r="O120" s="50"/>
      <c r="P120" s="19">
        <v>0</v>
      </c>
      <c r="Q120" s="20">
        <v>1</v>
      </c>
      <c r="R120" s="21">
        <v>0</v>
      </c>
      <c r="S120" s="19">
        <v>0</v>
      </c>
      <c r="T120" s="20">
        <v>1</v>
      </c>
      <c r="U120" s="19">
        <v>1</v>
      </c>
      <c r="V120" s="20">
        <v>1</v>
      </c>
      <c r="W120" s="20">
        <v>1</v>
      </c>
      <c r="X120" s="20">
        <v>1</v>
      </c>
      <c r="Y120" s="20">
        <v>1</v>
      </c>
      <c r="Z120" s="20">
        <v>0</v>
      </c>
      <c r="AA120" s="20">
        <v>0</v>
      </c>
      <c r="AB120" s="49">
        <v>0</v>
      </c>
      <c r="AC120" s="49">
        <v>0</v>
      </c>
      <c r="AD120" s="49">
        <v>0</v>
      </c>
      <c r="AE120" s="49">
        <v>0</v>
      </c>
      <c r="AF120" s="49">
        <v>0</v>
      </c>
      <c r="AG120" s="161">
        <v>0</v>
      </c>
      <c r="AH120" s="162">
        <v>1</v>
      </c>
      <c r="AI120" s="162">
        <v>0</v>
      </c>
      <c r="AJ120" s="162">
        <v>1</v>
      </c>
      <c r="AK120" s="162">
        <v>0</v>
      </c>
      <c r="AL120" s="163">
        <v>0</v>
      </c>
      <c r="AM120" s="19">
        <v>0</v>
      </c>
      <c r="AN120" s="20">
        <f>IFERROR(INDEX([2]lijnopstellingsfiche!$AP$1:$AP$65536,MATCH(A120,[2]lijnopstellingsfiche!$AQ$1:$AQ$65536,0)),"")</f>
        <v>1</v>
      </c>
      <c r="AO120" s="20">
        <v>0</v>
      </c>
      <c r="AP120" s="20">
        <v>0</v>
      </c>
      <c r="AQ120" s="20">
        <v>1</v>
      </c>
      <c r="AR120" s="20">
        <v>0</v>
      </c>
      <c r="AS120" s="20">
        <v>0</v>
      </c>
      <c r="AT120" s="20">
        <v>1</v>
      </c>
      <c r="AU120" s="20">
        <v>0</v>
      </c>
      <c r="AV120" s="23">
        <v>0</v>
      </c>
      <c r="AW120" s="108">
        <v>0</v>
      </c>
      <c r="AX120" s="108">
        <v>0</v>
      </c>
      <c r="AY120" s="108">
        <v>1</v>
      </c>
      <c r="AZ120" s="108">
        <v>0</v>
      </c>
      <c r="BA120" s="114">
        <v>1</v>
      </c>
      <c r="BB120" s="20">
        <v>0</v>
      </c>
      <c r="BC120" s="113">
        <v>0</v>
      </c>
      <c r="BD120" s="200" t="str">
        <f>VLOOKUP($A120,'[3]allergenen 6nr'!$A$1:$O$1310,3,FALSE)</f>
        <v>-</v>
      </c>
      <c r="BE120" s="201" t="str">
        <f>VLOOKUP($A120,'[3]allergenen 6nr'!$A$1:$O$1310,4,FALSE)</f>
        <v>X</v>
      </c>
      <c r="BF120" s="201" t="str">
        <f>VLOOKUP($A120,'[3]allergenen 6nr'!$A$1:$O$1310,5,FALSE)</f>
        <v>-</v>
      </c>
      <c r="BG120" s="201" t="str">
        <f>VLOOKUP($A120,'[3]allergenen 6nr'!$A$1:$O$1310,6,FALSE)</f>
        <v>-</v>
      </c>
      <c r="BH120" s="201" t="str">
        <f>VLOOKUP($A120,'[3]allergenen 6nr'!$A$1:$O$1310,7,FALSE)</f>
        <v>+</v>
      </c>
      <c r="BI120" s="201" t="str">
        <f>VLOOKUP($A120,'[3]allergenen 6nr'!$A$1:$O$1310,8,FALSE)</f>
        <v>-</v>
      </c>
      <c r="BJ120" s="201" t="str">
        <f>VLOOKUP($A120,'[3]allergenen 6nr'!$A$1:$O$1310,9,FALSE)</f>
        <v>-</v>
      </c>
      <c r="BK120" s="201" t="str">
        <f>VLOOKUP($A120,'[3]allergenen 6nr'!$A$1:$O$1310,10,FALSE)</f>
        <v>-</v>
      </c>
      <c r="BL120" s="201" t="str">
        <f>VLOOKUP($A120,'[3]allergenen 6nr'!$A$1:$O$1310,11,FALSE)</f>
        <v>-</v>
      </c>
      <c r="BM120" s="201" t="str">
        <f>VLOOKUP($A120,'[3]allergenen 6nr'!$A$1:$O$1310,12,FALSE)</f>
        <v>-</v>
      </c>
      <c r="BN120" s="201" t="str">
        <f>VLOOKUP($A120,'[3]allergenen 6nr'!$A$1:$O$1310,13,FALSE)</f>
        <v>-</v>
      </c>
      <c r="BO120" s="201" t="str">
        <f>VLOOKUP($A120,'[3]allergenen 6nr'!$A$1:$O$1310,14,FALSE)</f>
        <v>-</v>
      </c>
      <c r="BP120" s="202" t="str">
        <f>VLOOKUP($A120,'[3]allergenen 6nr'!$A$1:$O$1310,15,FALSE)</f>
        <v>-</v>
      </c>
    </row>
    <row r="121" spans="1:68" x14ac:dyDescent="0.2">
      <c r="A121" s="89">
        <v>63502200</v>
      </c>
      <c r="B121" s="53" t="str">
        <f>VLOOKUP($A121,[1]maaltijden!$A$1:$IV$65536,4,FALSE)</f>
        <v xml:space="preserve">DMC GEHAKTBALLETJES TOMATENSAUS BROCCOLI ROSTI </v>
      </c>
      <c r="C121" s="46" t="str">
        <f>VLOOKUP($A121,[1]maaltijden!$A$1:$IV$65536,7,FALSE)</f>
        <v>C2227-2K</v>
      </c>
      <c r="D121" s="22" t="str">
        <f>VLOOKUP($A121,[1]maaltijden!$A$1:$IV$65536,10,FALSE)</f>
        <v>NVT</v>
      </c>
      <c r="E121" s="22" t="str">
        <f>VLOOKUP($A121,[1]maaltijden!$A$1:$IV$65536,13,FALSE)</f>
        <v>DMC X 6</v>
      </c>
      <c r="F121" s="20">
        <f t="shared" si="1"/>
        <v>0</v>
      </c>
      <c r="G121" s="20" t="str">
        <f>VLOOKUP($A121,[1]maaltijden!$A$1:$IV$65536,27,FALSE)</f>
        <v>! !</v>
      </c>
      <c r="H121" s="22">
        <f>VLOOKUP($A121,[1]maaltijden!$A$1:$IV$65536,21,FALSE)</f>
        <v>6</v>
      </c>
      <c r="I121" s="22">
        <f>VLOOKUP($A121,[1]maaltijden!$A$1:$IV$65536,21,FALSE)</f>
        <v>6</v>
      </c>
      <c r="J121" s="22">
        <f>VLOOKUP($A121,[1]maaltijden!$A$1:$IV$65536,18,FALSE)</f>
        <v>3</v>
      </c>
      <c r="K121" s="22">
        <f>VLOOKUP($A121,[1]maaltijden!$A$1:$IV$65536,17,FALSE)</f>
        <v>2</v>
      </c>
      <c r="L121" s="22">
        <f>VLOOKUP($A121,[1]maaltijden!$A$1:$IV$65536,20,FALSE)</f>
        <v>2200</v>
      </c>
      <c r="M121" s="22">
        <f>VLOOKUP($A121,[1]maaltijden!$A$1:$IV$65536,22,FALSE)</f>
        <v>2200</v>
      </c>
      <c r="N121" s="135"/>
      <c r="O121" s="50"/>
      <c r="P121" s="19">
        <v>0</v>
      </c>
      <c r="Q121" s="20">
        <v>1</v>
      </c>
      <c r="R121" s="21">
        <v>0</v>
      </c>
      <c r="S121" s="19">
        <v>0</v>
      </c>
      <c r="T121" s="20">
        <v>1</v>
      </c>
      <c r="U121" s="19">
        <v>0</v>
      </c>
      <c r="V121" s="20">
        <v>1</v>
      </c>
      <c r="W121" s="20">
        <v>1</v>
      </c>
      <c r="X121" s="20">
        <v>1</v>
      </c>
      <c r="Y121" s="20">
        <v>1</v>
      </c>
      <c r="Z121" s="20">
        <v>0</v>
      </c>
      <c r="AA121" s="20">
        <v>0</v>
      </c>
      <c r="AB121" s="49">
        <v>0</v>
      </c>
      <c r="AC121" s="49">
        <v>0</v>
      </c>
      <c r="AD121" s="49">
        <v>0</v>
      </c>
      <c r="AE121" s="49">
        <v>1</v>
      </c>
      <c r="AF121" s="49">
        <v>0</v>
      </c>
      <c r="AG121" s="161">
        <v>0</v>
      </c>
      <c r="AH121" s="162">
        <v>1</v>
      </c>
      <c r="AI121" s="162">
        <v>0</v>
      </c>
      <c r="AJ121" s="162">
        <v>1</v>
      </c>
      <c r="AK121" s="162">
        <v>0</v>
      </c>
      <c r="AL121" s="163">
        <v>0</v>
      </c>
      <c r="AM121" s="19">
        <v>0</v>
      </c>
      <c r="AN121" s="20" t="str">
        <f>IFERROR(INDEX([2]lijnopstellingsfiche!$AP$1:$AP$65536,MATCH(A121,[2]lijnopstellingsfiche!$AQ$1:$AQ$65536,0)),"")</f>
        <v>-</v>
      </c>
      <c r="AO121" s="20">
        <v>0</v>
      </c>
      <c r="AP121" s="20">
        <v>0</v>
      </c>
      <c r="AQ121" s="20">
        <v>1</v>
      </c>
      <c r="AR121" s="20">
        <v>0</v>
      </c>
      <c r="AS121" s="20">
        <v>0</v>
      </c>
      <c r="AT121" s="20">
        <v>1</v>
      </c>
      <c r="AU121" s="20">
        <v>0</v>
      </c>
      <c r="AV121" s="23">
        <v>0</v>
      </c>
      <c r="AW121" s="108">
        <v>0</v>
      </c>
      <c r="AX121" s="108">
        <v>0</v>
      </c>
      <c r="AY121" s="108">
        <v>1</v>
      </c>
      <c r="AZ121" s="108">
        <v>0</v>
      </c>
      <c r="BA121" s="114">
        <v>1</v>
      </c>
      <c r="BB121" s="20">
        <v>0</v>
      </c>
      <c r="BC121" s="113">
        <v>0</v>
      </c>
      <c r="BD121" s="200" t="str">
        <f>VLOOKUP($A121,'[3]allergenen 6nr'!$A$1:$O$1310,3,FALSE)</f>
        <v>-</v>
      </c>
      <c r="BE121" s="201" t="str">
        <f>VLOOKUP($A121,'[3]allergenen 6nr'!$A$1:$O$1310,4,FALSE)</f>
        <v>X</v>
      </c>
      <c r="BF121" s="201" t="str">
        <f>VLOOKUP($A121,'[3]allergenen 6nr'!$A$1:$O$1310,5,FALSE)</f>
        <v>X</v>
      </c>
      <c r="BG121" s="201" t="str">
        <f>VLOOKUP($A121,'[3]allergenen 6nr'!$A$1:$O$1310,6,FALSE)</f>
        <v>-</v>
      </c>
      <c r="BH121" s="201" t="str">
        <f>VLOOKUP($A121,'[3]allergenen 6nr'!$A$1:$O$1310,7,FALSE)</f>
        <v>X</v>
      </c>
      <c r="BI121" s="201" t="str">
        <f>VLOOKUP($A121,'[3]allergenen 6nr'!$A$1:$O$1310,8,FALSE)</f>
        <v>X</v>
      </c>
      <c r="BJ121" s="201" t="str">
        <f>VLOOKUP($A121,'[3]allergenen 6nr'!$A$1:$O$1310,9,FALSE)</f>
        <v>X</v>
      </c>
      <c r="BK121" s="201" t="str">
        <f>VLOOKUP($A121,'[3]allergenen 6nr'!$A$1:$O$1310,10,FALSE)</f>
        <v>X</v>
      </c>
      <c r="BL121" s="201" t="str">
        <f>VLOOKUP($A121,'[3]allergenen 6nr'!$A$1:$O$1310,11,FALSE)</f>
        <v>X</v>
      </c>
      <c r="BM121" s="201" t="str">
        <f>VLOOKUP($A121,'[3]allergenen 6nr'!$A$1:$O$1310,12,FALSE)</f>
        <v>-</v>
      </c>
      <c r="BN121" s="201" t="str">
        <f>VLOOKUP($A121,'[3]allergenen 6nr'!$A$1:$O$1310,13,FALSE)</f>
        <v>X</v>
      </c>
      <c r="BO121" s="201" t="str">
        <f>VLOOKUP($A121,'[3]allergenen 6nr'!$A$1:$O$1310,14,FALSE)</f>
        <v>X</v>
      </c>
      <c r="BP121" s="202" t="str">
        <f>VLOOKUP($A121,'[3]allergenen 6nr'!$A$1:$O$1310,15,FALSE)</f>
        <v>X</v>
      </c>
    </row>
    <row r="122" spans="1:68" x14ac:dyDescent="0.2">
      <c r="A122" s="89">
        <v>63502300</v>
      </c>
      <c r="B122" s="53" t="str">
        <f>VLOOKUP($A122,[1]maaltijden!$A$1:$IV$65536,4,FALSE)</f>
        <v xml:space="preserve">DMC KIPPENBOUT ARCHIDUC MINIKROKETJES          </v>
      </c>
      <c r="C122" s="46" t="str">
        <f>VLOOKUP($A122,[1]maaltijden!$A$1:$IV$65536,7,FALSE)</f>
        <v>C2227-2K</v>
      </c>
      <c r="D122" s="22" t="str">
        <f>VLOOKUP($A122,[1]maaltijden!$A$1:$IV$65536,10,FALSE)</f>
        <v>NVT</v>
      </c>
      <c r="E122" s="22" t="str">
        <f>VLOOKUP($A122,[1]maaltijden!$A$1:$IV$65536,13,FALSE)</f>
        <v>DMC X 6</v>
      </c>
      <c r="F122" s="20">
        <f t="shared" si="1"/>
        <v>0</v>
      </c>
      <c r="G122" s="20" t="str">
        <f>VLOOKUP($A122,[1]maaltijden!$A$1:$IV$65536,27,FALSE)</f>
        <v>! !</v>
      </c>
      <c r="H122" s="22">
        <f>VLOOKUP($A122,[1]maaltijden!$A$1:$IV$65536,21,FALSE)</f>
        <v>4</v>
      </c>
      <c r="I122" s="22">
        <f>VLOOKUP($A122,[1]maaltijden!$A$1:$IV$65536,21,FALSE)</f>
        <v>4</v>
      </c>
      <c r="J122" s="22">
        <f>VLOOKUP($A122,[1]maaltijden!$A$1:$IV$65536,18,FALSE)</f>
        <v>3</v>
      </c>
      <c r="K122" s="22">
        <f>VLOOKUP($A122,[1]maaltijden!$A$1:$IV$65536,17,FALSE)</f>
        <v>2</v>
      </c>
      <c r="L122" s="22">
        <f>VLOOKUP($A122,[1]maaltijden!$A$1:$IV$65536,20,FALSE)</f>
        <v>2200</v>
      </c>
      <c r="M122" s="22">
        <f>VLOOKUP($A122,[1]maaltijden!$A$1:$IV$65536,22,FALSE)</f>
        <v>2200</v>
      </c>
      <c r="N122" s="135"/>
      <c r="O122" s="50"/>
      <c r="P122" s="19">
        <v>0</v>
      </c>
      <c r="Q122" s="20">
        <v>1</v>
      </c>
      <c r="R122" s="21">
        <v>0</v>
      </c>
      <c r="S122" s="19">
        <v>0</v>
      </c>
      <c r="T122" s="20">
        <v>1</v>
      </c>
      <c r="U122" s="19">
        <v>0</v>
      </c>
      <c r="V122" s="20">
        <v>1</v>
      </c>
      <c r="W122" s="20">
        <v>1</v>
      </c>
      <c r="X122" s="20">
        <v>1</v>
      </c>
      <c r="Y122" s="20">
        <v>1</v>
      </c>
      <c r="Z122" s="20">
        <v>1</v>
      </c>
      <c r="AA122" s="20">
        <v>0</v>
      </c>
      <c r="AB122" s="49">
        <v>0</v>
      </c>
      <c r="AC122" s="49">
        <v>0</v>
      </c>
      <c r="AD122" s="49">
        <v>0</v>
      </c>
      <c r="AE122" s="49">
        <v>1</v>
      </c>
      <c r="AF122" s="49">
        <v>0</v>
      </c>
      <c r="AG122" s="161">
        <v>0</v>
      </c>
      <c r="AH122" s="162">
        <v>1</v>
      </c>
      <c r="AI122" s="162">
        <v>1</v>
      </c>
      <c r="AJ122" s="162">
        <v>0</v>
      </c>
      <c r="AK122" s="177">
        <v>0</v>
      </c>
      <c r="AL122" s="163">
        <v>0</v>
      </c>
      <c r="AM122" s="19">
        <v>0</v>
      </c>
      <c r="AN122" s="20" t="str">
        <f>IFERROR(INDEX([2]lijnopstellingsfiche!$AP$1:$AP$65536,MATCH(A122,[2]lijnopstellingsfiche!$AQ$1:$AQ$65536,0)),"")</f>
        <v>-</v>
      </c>
      <c r="AO122" s="20">
        <v>0</v>
      </c>
      <c r="AP122" s="20">
        <v>0</v>
      </c>
      <c r="AQ122" s="20">
        <v>1</v>
      </c>
      <c r="AR122" s="20">
        <v>0</v>
      </c>
      <c r="AS122" s="20">
        <v>0</v>
      </c>
      <c r="AT122" s="20">
        <v>1</v>
      </c>
      <c r="AU122" s="20">
        <v>0</v>
      </c>
      <c r="AV122" s="23">
        <v>0</v>
      </c>
      <c r="AW122" s="108">
        <v>0</v>
      </c>
      <c r="AX122" s="108">
        <v>0</v>
      </c>
      <c r="AY122" s="108">
        <v>1</v>
      </c>
      <c r="AZ122" s="108">
        <v>0</v>
      </c>
      <c r="BA122" s="114">
        <v>1</v>
      </c>
      <c r="BB122" s="20">
        <v>0</v>
      </c>
      <c r="BC122" s="113">
        <v>0</v>
      </c>
      <c r="BD122" s="200" t="str">
        <f>VLOOKUP($A122,'[3]allergenen 6nr'!$A$1:$O$1310,3,FALSE)</f>
        <v>-</v>
      </c>
      <c r="BE122" s="201" t="str">
        <f>VLOOKUP($A122,'[3]allergenen 6nr'!$A$1:$O$1310,4,FALSE)</f>
        <v>-</v>
      </c>
      <c r="BF122" s="201" t="str">
        <f>VLOOKUP($A122,'[3]allergenen 6nr'!$A$1:$O$1310,5,FALSE)</f>
        <v>+</v>
      </c>
      <c r="BG122" s="201" t="str">
        <f>VLOOKUP($A122,'[3]allergenen 6nr'!$A$1:$O$1310,6,FALSE)</f>
        <v>-</v>
      </c>
      <c r="BH122" s="201" t="str">
        <f>VLOOKUP($A122,'[3]allergenen 6nr'!$A$1:$O$1310,7,FALSE)</f>
        <v>+</v>
      </c>
      <c r="BI122" s="201" t="str">
        <f>VLOOKUP($A122,'[3]allergenen 6nr'!$A$1:$O$1310,8,FALSE)</f>
        <v>X</v>
      </c>
      <c r="BJ122" s="201" t="str">
        <f>VLOOKUP($A122,'[3]allergenen 6nr'!$A$1:$O$1310,9,FALSE)</f>
        <v>-</v>
      </c>
      <c r="BK122" s="201" t="str">
        <f>VLOOKUP($A122,'[3]allergenen 6nr'!$A$1:$O$1310,10,FALSE)</f>
        <v>-</v>
      </c>
      <c r="BL122" s="201" t="str">
        <f>VLOOKUP($A122,'[3]allergenen 6nr'!$A$1:$O$1310,11,FALSE)</f>
        <v>X</v>
      </c>
      <c r="BM122" s="201" t="str">
        <f>VLOOKUP($A122,'[3]allergenen 6nr'!$A$1:$O$1310,12,FALSE)</f>
        <v>-</v>
      </c>
      <c r="BN122" s="201" t="str">
        <f>VLOOKUP($A122,'[3]allergenen 6nr'!$A$1:$O$1310,13,FALSE)</f>
        <v>-</v>
      </c>
      <c r="BO122" s="201" t="str">
        <f>VLOOKUP($A122,'[3]allergenen 6nr'!$A$1:$O$1310,14,FALSE)</f>
        <v>-</v>
      </c>
      <c r="BP122" s="202" t="str">
        <f>VLOOKUP($A122,'[3]allergenen 6nr'!$A$1:$O$1310,15,FALSE)</f>
        <v>-</v>
      </c>
    </row>
    <row r="123" spans="1:68" x14ac:dyDescent="0.2">
      <c r="A123" s="89">
        <v>63502600</v>
      </c>
      <c r="B123" s="53" t="str">
        <f>VLOOKUP($A123,[1]maaltijden!$A$1:$IV$65536,4,FALSE)</f>
        <v xml:space="preserve">DMC VOL AU VENT BIESLOOKPUREE PETERSELIE                            </v>
      </c>
      <c r="C123" s="46" t="str">
        <f>VLOOKUP($A123,[1]maaltijden!$A$1:$IV$65536,7,FALSE)</f>
        <v>C2227-2K</v>
      </c>
      <c r="D123" s="22" t="str">
        <f>VLOOKUP($A123,[1]maaltijden!$A$1:$IV$65536,10,FALSE)</f>
        <v>NVT</v>
      </c>
      <c r="E123" s="22" t="str">
        <f>VLOOKUP($A123,[1]maaltijden!$A$1:$IV$65536,13,FALSE)</f>
        <v>DMC X 6</v>
      </c>
      <c r="F123" s="20">
        <f t="shared" si="1"/>
        <v>0</v>
      </c>
      <c r="G123" s="20" t="str">
        <f>VLOOKUP($A123,[1]maaltijden!$A$1:$IV$65536,27,FALSE)</f>
        <v>! ! !</v>
      </c>
      <c r="H123" s="22">
        <f>VLOOKUP($A123,[1]maaltijden!$A$1:$IV$65536,21,FALSE)</f>
        <v>1</v>
      </c>
      <c r="I123" s="22">
        <f>VLOOKUP($A123,[1]maaltijden!$A$1:$IV$65536,21,FALSE)</f>
        <v>1</v>
      </c>
      <c r="J123" s="22">
        <f>VLOOKUP($A123,[1]maaltijden!$A$1:$IV$65536,18,FALSE)</f>
        <v>3</v>
      </c>
      <c r="K123" s="22">
        <f>VLOOKUP($A123,[1]maaltijden!$A$1:$IV$65536,17,FALSE)</f>
        <v>2.5</v>
      </c>
      <c r="L123" s="22">
        <f>VLOOKUP($A123,[1]maaltijden!$A$1:$IV$65536,20,FALSE)</f>
        <v>2200</v>
      </c>
      <c r="M123" s="22">
        <f>VLOOKUP($A123,[1]maaltijden!$A$1:$IV$65536,22,FALSE)</f>
        <v>2200</v>
      </c>
      <c r="N123" s="135"/>
      <c r="O123" s="50"/>
      <c r="P123" s="19">
        <v>0</v>
      </c>
      <c r="Q123" s="20">
        <v>1</v>
      </c>
      <c r="R123" s="21">
        <v>0</v>
      </c>
      <c r="S123" s="19">
        <v>0</v>
      </c>
      <c r="T123" s="20">
        <v>1</v>
      </c>
      <c r="U123" s="19">
        <v>1</v>
      </c>
      <c r="V123" s="20">
        <v>1</v>
      </c>
      <c r="W123" s="20">
        <v>1</v>
      </c>
      <c r="X123" s="20">
        <v>1</v>
      </c>
      <c r="Y123" s="20">
        <v>1</v>
      </c>
      <c r="Z123" s="20">
        <v>0</v>
      </c>
      <c r="AA123" s="20">
        <v>0</v>
      </c>
      <c r="AB123" s="49">
        <v>0</v>
      </c>
      <c r="AC123" s="49">
        <v>0</v>
      </c>
      <c r="AD123" s="49">
        <v>0</v>
      </c>
      <c r="AE123" s="49">
        <v>0</v>
      </c>
      <c r="AF123" s="49">
        <v>0</v>
      </c>
      <c r="AG123" s="161">
        <v>0</v>
      </c>
      <c r="AH123" s="162">
        <v>2</v>
      </c>
      <c r="AI123" s="162">
        <v>0</v>
      </c>
      <c r="AJ123" s="162">
        <v>0</v>
      </c>
      <c r="AK123" s="162">
        <v>0</v>
      </c>
      <c r="AL123" s="163">
        <v>0</v>
      </c>
      <c r="AM123" s="19">
        <v>0</v>
      </c>
      <c r="AN123" s="20" t="str">
        <f>IFERROR(INDEX([2]lijnopstellingsfiche!$AP$1:$AP$65536,MATCH(A123,[2]lijnopstellingsfiche!$AQ$1:$AQ$65536,0)),"")</f>
        <v>-</v>
      </c>
      <c r="AO123" s="20">
        <v>0</v>
      </c>
      <c r="AP123" s="20">
        <v>0</v>
      </c>
      <c r="AQ123" s="20">
        <v>1</v>
      </c>
      <c r="AR123" s="20">
        <v>1</v>
      </c>
      <c r="AS123" s="20">
        <v>0</v>
      </c>
      <c r="AT123" s="20">
        <v>0</v>
      </c>
      <c r="AU123" s="20">
        <v>0</v>
      </c>
      <c r="AV123" s="23">
        <v>0</v>
      </c>
      <c r="AW123" s="108">
        <v>0</v>
      </c>
      <c r="AX123" s="108">
        <v>0</v>
      </c>
      <c r="AY123" s="108">
        <v>1</v>
      </c>
      <c r="AZ123" s="108">
        <v>0</v>
      </c>
      <c r="BA123" s="114">
        <v>1</v>
      </c>
      <c r="BB123" s="20">
        <v>0</v>
      </c>
      <c r="BC123" s="113">
        <v>0</v>
      </c>
      <c r="BD123" s="200" t="str">
        <f>VLOOKUP($A123,'[3]allergenen 6nr'!$A$1:$O$1310,3,FALSE)</f>
        <v>-</v>
      </c>
      <c r="BE123" s="201" t="str">
        <f>VLOOKUP($A123,'[3]allergenen 6nr'!$A$1:$O$1310,4,FALSE)</f>
        <v>+</v>
      </c>
      <c r="BF123" s="201" t="str">
        <f>VLOOKUP($A123,'[3]allergenen 6nr'!$A$1:$O$1310,5,FALSE)</f>
        <v>+</v>
      </c>
      <c r="BG123" s="201" t="str">
        <f>VLOOKUP($A123,'[3]allergenen 6nr'!$A$1:$O$1310,6,FALSE)</f>
        <v>-</v>
      </c>
      <c r="BH123" s="201" t="str">
        <f>VLOOKUP($A123,'[3]allergenen 6nr'!$A$1:$O$1310,7,FALSE)</f>
        <v>+</v>
      </c>
      <c r="BI123" s="201" t="str">
        <f>VLOOKUP($A123,'[3]allergenen 6nr'!$A$1:$O$1310,8,FALSE)</f>
        <v>X</v>
      </c>
      <c r="BJ123" s="201" t="str">
        <f>VLOOKUP($A123,'[3]allergenen 6nr'!$A$1:$O$1310,9,FALSE)</f>
        <v>-</v>
      </c>
      <c r="BK123" s="201" t="str">
        <f>VLOOKUP($A123,'[3]allergenen 6nr'!$A$1:$O$1310,10,FALSE)</f>
        <v>X</v>
      </c>
      <c r="BL123" s="201" t="str">
        <f>VLOOKUP($A123,'[3]allergenen 6nr'!$A$1:$O$1310,11,FALSE)</f>
        <v>+</v>
      </c>
      <c r="BM123" s="201" t="str">
        <f>VLOOKUP($A123,'[3]allergenen 6nr'!$A$1:$O$1310,12,FALSE)</f>
        <v>-</v>
      </c>
      <c r="BN123" s="201" t="str">
        <f>VLOOKUP($A123,'[3]allergenen 6nr'!$A$1:$O$1310,13,FALSE)</f>
        <v>X</v>
      </c>
      <c r="BO123" s="201" t="str">
        <f>VLOOKUP($A123,'[3]allergenen 6nr'!$A$1:$O$1310,14,FALSE)</f>
        <v>X</v>
      </c>
      <c r="BP123" s="202" t="str">
        <f>VLOOKUP($A123,'[3]allergenen 6nr'!$A$1:$O$1310,15,FALSE)</f>
        <v>X</v>
      </c>
    </row>
    <row r="124" spans="1:68" x14ac:dyDescent="0.2">
      <c r="A124" s="89">
        <v>63502800</v>
      </c>
      <c r="B124" s="53" t="str">
        <f>VLOOKUP($A124,[1]maaltijden!$A$1:$IV$65536,4,FALSE)</f>
        <v xml:space="preserve">DMC KIP CORDON BLEU APPELTJES/ABRIKOZEN PUREE      </v>
      </c>
      <c r="C124" s="46" t="str">
        <f>VLOOKUP($A124,[1]maaltijden!$A$1:$IV$65536,7,FALSE)</f>
        <v>C2227-3R</v>
      </c>
      <c r="D124" s="22" t="str">
        <f>VLOOKUP($A124,[1]maaltijden!$A$1:$IV$65536,10,FALSE)</f>
        <v>NVT</v>
      </c>
      <c r="E124" s="22" t="str">
        <f>VLOOKUP($A124,[1]maaltijden!$A$1:$IV$65536,13,FALSE)</f>
        <v>DMC X 6</v>
      </c>
      <c r="F124" s="20">
        <f t="shared" si="1"/>
        <v>0</v>
      </c>
      <c r="G124" s="20" t="str">
        <f>VLOOKUP($A124,[1]maaltijden!$A$1:$IV$65536,27,FALSE)</f>
        <v>! ! !</v>
      </c>
      <c r="H124" s="22">
        <f>VLOOKUP($A124,[1]maaltijden!$A$1:$IV$65536,21,FALSE)</f>
        <v>2</v>
      </c>
      <c r="I124" s="22">
        <f>VLOOKUP($A124,[1]maaltijden!$A$1:$IV$65536,21,FALSE)</f>
        <v>2</v>
      </c>
      <c r="J124" s="22">
        <f>VLOOKUP($A124,[1]maaltijden!$A$1:$IV$65536,18,FALSE)</f>
        <v>3</v>
      </c>
      <c r="K124" s="22">
        <f>VLOOKUP($A124,[1]maaltijden!$A$1:$IV$65536,17,FALSE)</f>
        <v>2</v>
      </c>
      <c r="L124" s="22">
        <f>VLOOKUP($A124,[1]maaltijden!$A$1:$IV$65536,20,FALSE)</f>
        <v>2200</v>
      </c>
      <c r="M124" s="22">
        <f>VLOOKUP($A124,[1]maaltijden!$A$1:$IV$65536,22,FALSE)</f>
        <v>2200</v>
      </c>
      <c r="N124" s="135"/>
      <c r="O124" s="50"/>
      <c r="P124" s="19">
        <v>0</v>
      </c>
      <c r="Q124" s="20">
        <v>1</v>
      </c>
      <c r="R124" s="21">
        <v>0</v>
      </c>
      <c r="S124" s="19">
        <v>0</v>
      </c>
      <c r="T124" s="20">
        <v>1</v>
      </c>
      <c r="U124" s="19">
        <v>0</v>
      </c>
      <c r="V124" s="20">
        <v>1</v>
      </c>
      <c r="W124" s="20">
        <v>1</v>
      </c>
      <c r="X124" s="20">
        <v>1</v>
      </c>
      <c r="Y124" s="20">
        <v>1</v>
      </c>
      <c r="Z124" s="20">
        <v>0</v>
      </c>
      <c r="AA124" s="20">
        <v>0</v>
      </c>
      <c r="AB124" s="49">
        <v>0</v>
      </c>
      <c r="AC124" s="49">
        <v>0</v>
      </c>
      <c r="AD124" s="49">
        <v>0</v>
      </c>
      <c r="AE124" s="49">
        <v>1</v>
      </c>
      <c r="AF124" s="49">
        <v>0</v>
      </c>
      <c r="AG124" s="161">
        <v>0</v>
      </c>
      <c r="AH124" s="162">
        <v>1</v>
      </c>
      <c r="AI124" s="162">
        <v>1</v>
      </c>
      <c r="AJ124" s="162">
        <v>0</v>
      </c>
      <c r="AK124" s="162">
        <v>0</v>
      </c>
      <c r="AL124" s="163">
        <v>0</v>
      </c>
      <c r="AM124" s="19">
        <v>0</v>
      </c>
      <c r="AN124" s="20" t="str">
        <f>IFERROR(INDEX([2]lijnopstellingsfiche!$AP$1:$AP$65536,MATCH(A124,[2]lijnopstellingsfiche!$AQ$1:$AQ$65536,0)),"")</f>
        <v>-</v>
      </c>
      <c r="AO124" s="20">
        <v>0</v>
      </c>
      <c r="AP124" s="20">
        <v>0</v>
      </c>
      <c r="AQ124" s="20">
        <v>1</v>
      </c>
      <c r="AR124" s="20">
        <v>1</v>
      </c>
      <c r="AS124" s="20">
        <v>0</v>
      </c>
      <c r="AT124" s="20">
        <v>0</v>
      </c>
      <c r="AU124" s="20">
        <v>0</v>
      </c>
      <c r="AV124" s="23">
        <v>0</v>
      </c>
      <c r="AW124" s="108">
        <v>0</v>
      </c>
      <c r="AX124" s="108">
        <v>0</v>
      </c>
      <c r="AY124" s="108">
        <v>1</v>
      </c>
      <c r="AZ124" s="108">
        <v>0</v>
      </c>
      <c r="BA124" s="114">
        <v>1</v>
      </c>
      <c r="BB124" s="20">
        <v>0</v>
      </c>
      <c r="BC124" s="113">
        <v>0</v>
      </c>
      <c r="BD124" s="200" t="str">
        <f>VLOOKUP($A124,'[3]allergenen 6nr'!$A$1:$O$1310,3,FALSE)</f>
        <v>-</v>
      </c>
      <c r="BE124" s="201" t="str">
        <f>VLOOKUP($A124,'[3]allergenen 6nr'!$A$1:$O$1310,4,FALSE)</f>
        <v>+</v>
      </c>
      <c r="BF124" s="201" t="str">
        <f>VLOOKUP($A124,'[3]allergenen 6nr'!$A$1:$O$1310,5,FALSE)</f>
        <v>+</v>
      </c>
      <c r="BG124" s="201" t="str">
        <f>VLOOKUP($A124,'[3]allergenen 6nr'!$A$1:$O$1310,6,FALSE)</f>
        <v>-</v>
      </c>
      <c r="BH124" s="201" t="str">
        <f>VLOOKUP($A124,'[3]allergenen 6nr'!$A$1:$O$1310,7,FALSE)</f>
        <v>+</v>
      </c>
      <c r="BI124" s="201" t="str">
        <f>VLOOKUP($A124,'[3]allergenen 6nr'!$A$1:$O$1310,8,FALSE)</f>
        <v>-</v>
      </c>
      <c r="BJ124" s="201" t="str">
        <f>VLOOKUP($A124,'[3]allergenen 6nr'!$A$1:$O$1310,9,FALSE)</f>
        <v>-</v>
      </c>
      <c r="BK124" s="201" t="str">
        <f>VLOOKUP($A124,'[3]allergenen 6nr'!$A$1:$O$1310,10,FALSE)</f>
        <v>-</v>
      </c>
      <c r="BL124" s="201" t="str">
        <f>VLOOKUP($A124,'[3]allergenen 6nr'!$A$1:$O$1310,11,FALSE)</f>
        <v>+</v>
      </c>
      <c r="BM124" s="201" t="str">
        <f>VLOOKUP($A124,'[3]allergenen 6nr'!$A$1:$O$1310,12,FALSE)</f>
        <v>-</v>
      </c>
      <c r="BN124" s="201" t="str">
        <f>VLOOKUP($A124,'[3]allergenen 6nr'!$A$1:$O$1310,13,FALSE)</f>
        <v>-</v>
      </c>
      <c r="BO124" s="201" t="str">
        <f>VLOOKUP($A124,'[3]allergenen 6nr'!$A$1:$O$1310,14,FALSE)</f>
        <v>-</v>
      </c>
      <c r="BP124" s="202" t="str">
        <f>VLOOKUP($A124,'[3]allergenen 6nr'!$A$1:$O$1310,15,FALSE)</f>
        <v>-</v>
      </c>
    </row>
    <row r="125" spans="1:68" x14ac:dyDescent="0.2">
      <c r="A125" s="89">
        <v>63502900</v>
      </c>
      <c r="B125" s="53" t="str">
        <f>VLOOKUP($A125,[1]maaltijden!$A$1:$IV$65536,4,FALSE)</f>
        <v xml:space="preserve">DMC KIPPENBOUT GROENTENKRANS PUREE             </v>
      </c>
      <c r="C125" s="46" t="str">
        <f>VLOOKUP($A125,[1]maaltijden!$A$1:$IV$65536,7,FALSE)</f>
        <v>C2227-2K</v>
      </c>
      <c r="D125" s="22" t="str">
        <f>VLOOKUP($A125,[1]maaltijden!$A$1:$IV$65536,10,FALSE)</f>
        <v>NVT</v>
      </c>
      <c r="E125" s="22" t="str">
        <f>VLOOKUP($A125,[1]maaltijden!$A$1:$IV$65536,13,FALSE)</f>
        <v>DMC X 6</v>
      </c>
      <c r="F125" s="20">
        <f t="shared" si="1"/>
        <v>0</v>
      </c>
      <c r="G125" s="20" t="str">
        <f>VLOOKUP($A125,[1]maaltijden!$A$1:$IV$65536,27,FALSE)</f>
        <v>! ! !</v>
      </c>
      <c r="H125" s="22">
        <f>VLOOKUP($A125,[1]maaltijden!$A$1:$IV$65536,21,FALSE)</f>
        <v>5</v>
      </c>
      <c r="I125" s="22">
        <f>VLOOKUP($A125,[1]maaltijden!$A$1:$IV$65536,21,FALSE)</f>
        <v>5</v>
      </c>
      <c r="J125" s="22">
        <f>VLOOKUP($A125,[1]maaltijden!$A$1:$IV$65536,18,FALSE)</f>
        <v>3</v>
      </c>
      <c r="K125" s="22">
        <f>VLOOKUP($A125,[1]maaltijden!$A$1:$IV$65536,17,FALSE)</f>
        <v>3</v>
      </c>
      <c r="L125" s="22">
        <f>VLOOKUP($A125,[1]maaltijden!$A$1:$IV$65536,20,FALSE)</f>
        <v>2200</v>
      </c>
      <c r="M125" s="22">
        <f>VLOOKUP($A125,[1]maaltijden!$A$1:$IV$65536,22,FALSE)</f>
        <v>2200</v>
      </c>
      <c r="N125" s="135"/>
      <c r="O125" s="50"/>
      <c r="P125" s="19">
        <v>0</v>
      </c>
      <c r="Q125" s="20">
        <v>1</v>
      </c>
      <c r="R125" s="21">
        <v>0</v>
      </c>
      <c r="S125" s="19">
        <v>0</v>
      </c>
      <c r="T125" s="20">
        <v>1</v>
      </c>
      <c r="U125" s="19">
        <v>0</v>
      </c>
      <c r="V125" s="20">
        <v>1</v>
      </c>
      <c r="W125" s="20">
        <v>1</v>
      </c>
      <c r="X125" s="20">
        <v>1</v>
      </c>
      <c r="Y125" s="20">
        <v>1</v>
      </c>
      <c r="Z125" s="20">
        <v>1</v>
      </c>
      <c r="AA125" s="20">
        <v>0</v>
      </c>
      <c r="AB125" s="49">
        <v>0</v>
      </c>
      <c r="AC125" s="49">
        <v>0</v>
      </c>
      <c r="AD125" s="49">
        <v>0</v>
      </c>
      <c r="AE125" s="49">
        <v>1</v>
      </c>
      <c r="AF125" s="49">
        <v>0</v>
      </c>
      <c r="AG125" s="161">
        <v>0</v>
      </c>
      <c r="AH125" s="162">
        <v>2</v>
      </c>
      <c r="AI125" s="162">
        <v>0</v>
      </c>
      <c r="AJ125" s="162">
        <v>0</v>
      </c>
      <c r="AK125" s="162">
        <v>0</v>
      </c>
      <c r="AL125" s="163">
        <v>0</v>
      </c>
      <c r="AM125" s="19">
        <v>0</v>
      </c>
      <c r="AN125" s="20" t="str">
        <f>IFERROR(INDEX([2]lijnopstellingsfiche!$AP$1:$AP$65536,MATCH(A125,[2]lijnopstellingsfiche!$AQ$1:$AQ$65536,0)),"")</f>
        <v>-</v>
      </c>
      <c r="AO125" s="20">
        <v>0</v>
      </c>
      <c r="AP125" s="20">
        <v>0</v>
      </c>
      <c r="AQ125" s="20">
        <v>1</v>
      </c>
      <c r="AR125" s="20">
        <v>1</v>
      </c>
      <c r="AS125" s="20">
        <v>0</v>
      </c>
      <c r="AT125" s="20">
        <v>0</v>
      </c>
      <c r="AU125" s="20">
        <v>0</v>
      </c>
      <c r="AV125" s="23">
        <v>0</v>
      </c>
      <c r="AW125" s="108">
        <v>0</v>
      </c>
      <c r="AX125" s="108">
        <v>0</v>
      </c>
      <c r="AY125" s="108">
        <v>1</v>
      </c>
      <c r="AZ125" s="108">
        <v>0</v>
      </c>
      <c r="BA125" s="114">
        <v>1</v>
      </c>
      <c r="BB125" s="20">
        <v>0</v>
      </c>
      <c r="BC125" s="113">
        <v>0</v>
      </c>
      <c r="BD125" s="200" t="str">
        <f>VLOOKUP($A125,'[3]allergenen 6nr'!$A$1:$O$1310,3,FALSE)</f>
        <v>-</v>
      </c>
      <c r="BE125" s="201" t="str">
        <f>VLOOKUP($A125,'[3]allergenen 6nr'!$A$1:$O$1310,4,FALSE)</f>
        <v>+</v>
      </c>
      <c r="BF125" s="201" t="str">
        <f>VLOOKUP($A125,'[3]allergenen 6nr'!$A$1:$O$1310,5,FALSE)</f>
        <v>+</v>
      </c>
      <c r="BG125" s="201" t="str">
        <f>VLOOKUP($A125,'[3]allergenen 6nr'!$A$1:$O$1310,6,FALSE)</f>
        <v>-</v>
      </c>
      <c r="BH125" s="201" t="str">
        <f>VLOOKUP($A125,'[3]allergenen 6nr'!$A$1:$O$1310,7,FALSE)</f>
        <v>+</v>
      </c>
      <c r="BI125" s="201" t="str">
        <f>VLOOKUP($A125,'[3]allergenen 6nr'!$A$1:$O$1310,8,FALSE)</f>
        <v>X</v>
      </c>
      <c r="BJ125" s="201" t="str">
        <f>VLOOKUP($A125,'[3]allergenen 6nr'!$A$1:$O$1310,9,FALSE)</f>
        <v>-</v>
      </c>
      <c r="BK125" s="201" t="str">
        <f>VLOOKUP($A125,'[3]allergenen 6nr'!$A$1:$O$1310,10,FALSE)</f>
        <v>-</v>
      </c>
      <c r="BL125" s="201" t="str">
        <f>VLOOKUP($A125,'[3]allergenen 6nr'!$A$1:$O$1310,11,FALSE)</f>
        <v>+</v>
      </c>
      <c r="BM125" s="201" t="str">
        <f>VLOOKUP($A125,'[3]allergenen 6nr'!$A$1:$O$1310,12,FALSE)</f>
        <v>-</v>
      </c>
      <c r="BN125" s="201" t="str">
        <f>VLOOKUP($A125,'[3]allergenen 6nr'!$A$1:$O$1310,13,FALSE)</f>
        <v>-</v>
      </c>
      <c r="BO125" s="201" t="str">
        <f>VLOOKUP($A125,'[3]allergenen 6nr'!$A$1:$O$1310,14,FALSE)</f>
        <v>-</v>
      </c>
      <c r="BP125" s="202" t="str">
        <f>VLOOKUP($A125,'[3]allergenen 6nr'!$A$1:$O$1310,15,FALSE)</f>
        <v>-</v>
      </c>
    </row>
    <row r="126" spans="1:68" x14ac:dyDescent="0.2">
      <c r="A126" s="89">
        <v>63503100</v>
      </c>
      <c r="B126" s="53" t="str">
        <f>VLOOKUP($A126,[1]maaltijden!$A$1:$IV$65536,4,FALSE)</f>
        <v>DMC KALKOENFILET SINAASSAUS APPELMOES AARD KUBUS</v>
      </c>
      <c r="C126" s="46" t="str">
        <f>VLOOKUP($A126,[1]maaltijden!$A$1:$IV$65536,7,FALSE)</f>
        <v>C2227-3R</v>
      </c>
      <c r="D126" s="22" t="str">
        <f>VLOOKUP($A126,[1]maaltijden!$A$1:$IV$65536,10,FALSE)</f>
        <v>NVT</v>
      </c>
      <c r="E126" s="22" t="str">
        <f>VLOOKUP($A126,[1]maaltijden!$A$1:$IV$65536,13,FALSE)</f>
        <v>DMC X 6</v>
      </c>
      <c r="F126" s="20">
        <f t="shared" si="1"/>
        <v>0</v>
      </c>
      <c r="G126" s="20" t="str">
        <f>VLOOKUP($A126,[1]maaltijden!$A$1:$IV$65536,27,FALSE)</f>
        <v xml:space="preserve">! </v>
      </c>
      <c r="H126" s="22">
        <f>VLOOKUP($A126,[1]maaltijden!$A$1:$IV$65536,21,FALSE)</f>
        <v>8</v>
      </c>
      <c r="I126" s="22">
        <f>VLOOKUP($A126,[1]maaltijden!$A$1:$IV$65536,21,FALSE)</f>
        <v>8</v>
      </c>
      <c r="J126" s="22">
        <f>VLOOKUP($A126,[1]maaltijden!$A$1:$IV$65536,18,FALSE)</f>
        <v>3</v>
      </c>
      <c r="K126" s="22">
        <f>VLOOKUP($A126,[1]maaltijden!$A$1:$IV$65536,17,FALSE)</f>
        <v>2</v>
      </c>
      <c r="L126" s="22">
        <f>VLOOKUP($A126,[1]maaltijden!$A$1:$IV$65536,20,FALSE)</f>
        <v>1750</v>
      </c>
      <c r="M126" s="22">
        <f>VLOOKUP($A126,[1]maaltijden!$A$1:$IV$65536,22,FALSE)</f>
        <v>1750</v>
      </c>
      <c r="N126" s="135"/>
      <c r="O126" s="50"/>
      <c r="P126" s="19">
        <v>0</v>
      </c>
      <c r="Q126" s="20">
        <v>1</v>
      </c>
      <c r="R126" s="21">
        <v>0</v>
      </c>
      <c r="S126" s="19">
        <v>0</v>
      </c>
      <c r="T126" s="20">
        <v>1</v>
      </c>
      <c r="U126" s="19">
        <v>0</v>
      </c>
      <c r="V126" s="20">
        <v>1</v>
      </c>
      <c r="W126" s="20">
        <v>1</v>
      </c>
      <c r="X126" s="20">
        <v>1</v>
      </c>
      <c r="Y126" s="20">
        <v>1</v>
      </c>
      <c r="Z126" s="20">
        <v>1</v>
      </c>
      <c r="AA126" s="20">
        <v>1</v>
      </c>
      <c r="AB126" s="49">
        <v>0</v>
      </c>
      <c r="AC126" s="49">
        <v>0</v>
      </c>
      <c r="AD126" s="49">
        <v>0</v>
      </c>
      <c r="AE126" s="49">
        <v>1</v>
      </c>
      <c r="AF126" s="49">
        <v>0</v>
      </c>
      <c r="AG126" s="161">
        <v>0</v>
      </c>
      <c r="AH126" s="162">
        <v>1</v>
      </c>
      <c r="AI126" s="162">
        <v>1</v>
      </c>
      <c r="AJ126" s="162">
        <v>0</v>
      </c>
      <c r="AK126" s="162">
        <v>0</v>
      </c>
      <c r="AL126" s="163">
        <v>0</v>
      </c>
      <c r="AM126" s="19">
        <v>0</v>
      </c>
      <c r="AN126" s="20">
        <f>IFERROR(INDEX([2]lijnopstellingsfiche!$AP$1:$AP$65536,MATCH(A126,[2]lijnopstellingsfiche!$AQ$1:$AQ$65536,0)),"")</f>
        <v>5</v>
      </c>
      <c r="AO126" s="20">
        <v>0</v>
      </c>
      <c r="AP126" s="20">
        <v>0</v>
      </c>
      <c r="AQ126" s="20">
        <v>2</v>
      </c>
      <c r="AR126" s="20">
        <v>0</v>
      </c>
      <c r="AS126" s="20">
        <v>0</v>
      </c>
      <c r="AT126" s="20">
        <v>0</v>
      </c>
      <c r="AU126" s="20">
        <v>0</v>
      </c>
      <c r="AV126" s="23">
        <v>0</v>
      </c>
      <c r="AW126" s="108">
        <v>0</v>
      </c>
      <c r="AX126" s="108">
        <v>0</v>
      </c>
      <c r="AY126" s="108">
        <v>1</v>
      </c>
      <c r="AZ126" s="108">
        <v>0</v>
      </c>
      <c r="BA126" s="114">
        <v>1</v>
      </c>
      <c r="BB126" s="20">
        <v>0</v>
      </c>
      <c r="BC126" s="113">
        <v>0</v>
      </c>
      <c r="BD126" s="200" t="str">
        <f>VLOOKUP($A126,'[3]allergenen 6nr'!$A$1:$O$1310,3,FALSE)</f>
        <v>-</v>
      </c>
      <c r="BE126" s="201" t="str">
        <f>VLOOKUP($A126,'[3]allergenen 6nr'!$A$1:$O$1310,4,FALSE)</f>
        <v>X</v>
      </c>
      <c r="BF126" s="201" t="str">
        <f>VLOOKUP($A126,'[3]allergenen 6nr'!$A$1:$O$1310,5,FALSE)</f>
        <v>-</v>
      </c>
      <c r="BG126" s="201" t="str">
        <f>VLOOKUP($A126,'[3]allergenen 6nr'!$A$1:$O$1310,6,FALSE)</f>
        <v>-</v>
      </c>
      <c r="BH126" s="201" t="str">
        <f>VLOOKUP($A126,'[3]allergenen 6nr'!$A$1:$O$1310,7,FALSE)</f>
        <v>X</v>
      </c>
      <c r="BI126" s="201" t="str">
        <f>VLOOKUP($A126,'[3]allergenen 6nr'!$A$1:$O$1310,8,FALSE)</f>
        <v>-</v>
      </c>
      <c r="BJ126" s="201" t="str">
        <f>VLOOKUP($A126,'[3]allergenen 6nr'!$A$1:$O$1310,9,FALSE)</f>
        <v>-</v>
      </c>
      <c r="BK126" s="201" t="str">
        <f>VLOOKUP($A126,'[3]allergenen 6nr'!$A$1:$O$1310,10,FALSE)</f>
        <v>-</v>
      </c>
      <c r="BL126" s="201" t="str">
        <f>VLOOKUP($A126,'[3]allergenen 6nr'!$A$1:$O$1310,11,FALSE)</f>
        <v>-</v>
      </c>
      <c r="BM126" s="201" t="str">
        <f>VLOOKUP($A126,'[3]allergenen 6nr'!$A$1:$O$1310,12,FALSE)</f>
        <v>-</v>
      </c>
      <c r="BN126" s="201" t="str">
        <f>VLOOKUP($A126,'[3]allergenen 6nr'!$A$1:$O$1310,13,FALSE)</f>
        <v>-</v>
      </c>
      <c r="BO126" s="201" t="str">
        <f>VLOOKUP($A126,'[3]allergenen 6nr'!$A$1:$O$1310,14,FALSE)</f>
        <v>-</v>
      </c>
      <c r="BP126" s="202" t="str">
        <f>VLOOKUP($A126,'[3]allergenen 6nr'!$A$1:$O$1310,15,FALSE)</f>
        <v>-</v>
      </c>
    </row>
    <row r="127" spans="1:68" x14ac:dyDescent="0.2">
      <c r="A127" s="89">
        <v>63503700</v>
      </c>
      <c r="B127" s="53" t="str">
        <f>VLOOKUP($A127,[1]maaltijden!$A$1:$IV$65536,4,FALSE)</f>
        <v xml:space="preserve">DMC SPAGHETTI BOLOGNESE KAAS                     </v>
      </c>
      <c r="C127" s="46" t="str">
        <f>VLOOKUP($A127,[1]maaltijden!$A$1:$IV$65536,7,FALSE)</f>
        <v>C2227-1H</v>
      </c>
      <c r="D127" s="22" t="str">
        <f>VLOOKUP($A127,[1]maaltijden!$A$1:$IV$65536,10,FALSE)</f>
        <v>NVT</v>
      </c>
      <c r="E127" s="22" t="str">
        <f>VLOOKUP($A127,[1]maaltijden!$A$1:$IV$65536,13,FALSE)</f>
        <v>DMC X 6</v>
      </c>
      <c r="F127" s="20">
        <f t="shared" si="1"/>
        <v>0</v>
      </c>
      <c r="G127" s="20" t="str">
        <f>VLOOKUP($A127,[1]maaltijden!$A$1:$IV$65536,27,FALSE)</f>
        <v>! ! !</v>
      </c>
      <c r="H127" s="22">
        <f>VLOOKUP($A127,[1]maaltijden!$A$1:$IV$65536,21,FALSE)</f>
        <v>3</v>
      </c>
      <c r="I127" s="22">
        <f>VLOOKUP($A127,[1]maaltijden!$A$1:$IV$65536,21,FALSE)</f>
        <v>3</v>
      </c>
      <c r="J127" s="22">
        <f>VLOOKUP($A127,[1]maaltijden!$A$1:$IV$65536,18,FALSE)</f>
        <v>3</v>
      </c>
      <c r="K127" s="22">
        <f>VLOOKUP($A127,[1]maaltijden!$A$1:$IV$65536,17,FALSE)</f>
        <v>2.5</v>
      </c>
      <c r="L127" s="22">
        <f>VLOOKUP($A127,[1]maaltijden!$A$1:$IV$65536,20,FALSE)</f>
        <v>2200</v>
      </c>
      <c r="M127" s="22">
        <f>VLOOKUP($A127,[1]maaltijden!$A$1:$IV$65536,22,FALSE)</f>
        <v>2200</v>
      </c>
      <c r="N127" s="135"/>
      <c r="O127" s="50"/>
      <c r="P127" s="19">
        <v>0</v>
      </c>
      <c r="Q127" s="20">
        <v>1</v>
      </c>
      <c r="R127" s="21">
        <v>0</v>
      </c>
      <c r="S127" s="19">
        <v>0</v>
      </c>
      <c r="T127" s="20">
        <v>1</v>
      </c>
      <c r="U127" s="19">
        <v>0</v>
      </c>
      <c r="V127" s="20">
        <v>1</v>
      </c>
      <c r="W127" s="20">
        <v>1</v>
      </c>
      <c r="X127" s="20">
        <v>1</v>
      </c>
      <c r="Y127" s="20">
        <v>1</v>
      </c>
      <c r="Z127" s="20">
        <v>0</v>
      </c>
      <c r="AA127" s="20">
        <v>0</v>
      </c>
      <c r="AB127" s="49">
        <v>0</v>
      </c>
      <c r="AC127" s="49">
        <v>0</v>
      </c>
      <c r="AD127" s="49">
        <v>0</v>
      </c>
      <c r="AE127" s="49">
        <v>1</v>
      </c>
      <c r="AF127" s="49">
        <v>0</v>
      </c>
      <c r="AG127" s="161">
        <v>1</v>
      </c>
      <c r="AH127" s="162">
        <v>1</v>
      </c>
      <c r="AI127" s="162">
        <v>0</v>
      </c>
      <c r="AJ127" s="162">
        <v>0</v>
      </c>
      <c r="AK127" s="162">
        <v>0</v>
      </c>
      <c r="AL127" s="163">
        <v>0</v>
      </c>
      <c r="AM127" s="19">
        <v>0</v>
      </c>
      <c r="AN127" s="20">
        <f>IFERROR(INDEX([2]lijnopstellingsfiche!$AP$1:$AP$65536,MATCH(A127,[2]lijnopstellingsfiche!$AQ$1:$AQ$65536,0)),"")</f>
        <v>1</v>
      </c>
      <c r="AO127" s="20">
        <v>1</v>
      </c>
      <c r="AP127" s="20">
        <v>1</v>
      </c>
      <c r="AQ127" s="20">
        <v>2</v>
      </c>
      <c r="AR127" s="20">
        <v>0</v>
      </c>
      <c r="AS127" s="20">
        <v>0</v>
      </c>
      <c r="AT127" s="20">
        <v>0</v>
      </c>
      <c r="AU127" s="20">
        <v>0</v>
      </c>
      <c r="AV127" s="23">
        <v>0</v>
      </c>
      <c r="AW127" s="108">
        <v>0</v>
      </c>
      <c r="AX127" s="108">
        <v>0</v>
      </c>
      <c r="AY127" s="108">
        <v>1</v>
      </c>
      <c r="AZ127" s="108">
        <v>0</v>
      </c>
      <c r="BA127" s="114">
        <v>1</v>
      </c>
      <c r="BB127" s="20">
        <v>0</v>
      </c>
      <c r="BC127" s="113">
        <v>0</v>
      </c>
      <c r="BD127" s="200" t="str">
        <f>VLOOKUP($A127,'[3]allergenen 6nr'!$A$1:$O$1310,3,FALSE)</f>
        <v>-</v>
      </c>
      <c r="BE127" s="201" t="str">
        <f>VLOOKUP($A127,'[3]allergenen 6nr'!$A$1:$O$1310,4,FALSE)</f>
        <v>X</v>
      </c>
      <c r="BF127" s="201" t="str">
        <f>VLOOKUP($A127,'[3]allergenen 6nr'!$A$1:$O$1310,5,FALSE)</f>
        <v>+</v>
      </c>
      <c r="BG127" s="201" t="str">
        <f>VLOOKUP($A127,'[3]allergenen 6nr'!$A$1:$O$1310,6,FALSE)</f>
        <v>X</v>
      </c>
      <c r="BH127" s="201" t="str">
        <f>VLOOKUP($A127,'[3]allergenen 6nr'!$A$1:$O$1310,7,FALSE)</f>
        <v>+</v>
      </c>
      <c r="BI127" s="201" t="str">
        <f>VLOOKUP($A127,'[3]allergenen 6nr'!$A$1:$O$1310,8,FALSE)</f>
        <v>X</v>
      </c>
      <c r="BJ127" s="201" t="str">
        <f>VLOOKUP($A127,'[3]allergenen 6nr'!$A$1:$O$1310,9,FALSE)</f>
        <v>-</v>
      </c>
      <c r="BK127" s="201" t="str">
        <f>VLOOKUP($A127,'[3]allergenen 6nr'!$A$1:$O$1310,10,FALSE)</f>
        <v>-</v>
      </c>
      <c r="BL127" s="201" t="str">
        <f>VLOOKUP($A127,'[3]allergenen 6nr'!$A$1:$O$1310,11,FALSE)</f>
        <v>+</v>
      </c>
      <c r="BM127" s="201" t="str">
        <f>VLOOKUP($A127,'[3]allergenen 6nr'!$A$1:$O$1310,12,FALSE)</f>
        <v>-</v>
      </c>
      <c r="BN127" s="201" t="str">
        <f>VLOOKUP($A127,'[3]allergenen 6nr'!$A$1:$O$1310,13,FALSE)</f>
        <v>X</v>
      </c>
      <c r="BO127" s="201" t="str">
        <f>VLOOKUP($A127,'[3]allergenen 6nr'!$A$1:$O$1310,14,FALSE)</f>
        <v>-</v>
      </c>
      <c r="BP127" s="202" t="str">
        <f>VLOOKUP($A127,'[3]allergenen 6nr'!$A$1:$O$1310,15,FALSE)</f>
        <v>-</v>
      </c>
    </row>
    <row r="128" spans="1:68" x14ac:dyDescent="0.2">
      <c r="A128" s="89">
        <v>63503800</v>
      </c>
      <c r="B128" s="53" t="str">
        <f>VLOOKUP($A128,[1]maaltijden!$A$1:$IV$65536,4,FALSE)</f>
        <v xml:space="preserve">DMC MACARONI HAM KAASSAUS                      </v>
      </c>
      <c r="C128" s="46" t="str">
        <f>VLOOKUP($A128,[1]maaltijden!$A$1:$IV$65536,7,FALSE)</f>
        <v>C2227-1H</v>
      </c>
      <c r="D128" s="22" t="str">
        <f>VLOOKUP($A128,[1]maaltijden!$A$1:$IV$65536,10,FALSE)</f>
        <v>NVT</v>
      </c>
      <c r="E128" s="22" t="str">
        <f>VLOOKUP($A128,[1]maaltijden!$A$1:$IV$65536,13,FALSE)</f>
        <v>DMC X 6</v>
      </c>
      <c r="F128" s="20">
        <f t="shared" si="1"/>
        <v>0</v>
      </c>
      <c r="G128" s="20" t="str">
        <f>VLOOKUP($A128,[1]maaltijden!$A$1:$IV$65536,27,FALSE)</f>
        <v>! !</v>
      </c>
      <c r="H128" s="22">
        <f>VLOOKUP($A128,[1]maaltijden!$A$1:$IV$65536,21,FALSE)</f>
        <v>3</v>
      </c>
      <c r="I128" s="22">
        <f>VLOOKUP($A128,[1]maaltijden!$A$1:$IV$65536,21,FALSE)</f>
        <v>3</v>
      </c>
      <c r="J128" s="22">
        <f>VLOOKUP($A128,[1]maaltijden!$A$1:$IV$65536,18,FALSE)</f>
        <v>3</v>
      </c>
      <c r="K128" s="22">
        <f>VLOOKUP($A128,[1]maaltijden!$A$1:$IV$65536,17,FALSE)</f>
        <v>2.5</v>
      </c>
      <c r="L128" s="22">
        <f>VLOOKUP($A128,[1]maaltijden!$A$1:$IV$65536,20,FALSE)</f>
        <v>2200</v>
      </c>
      <c r="M128" s="22">
        <f>VLOOKUP($A128,[1]maaltijden!$A$1:$IV$65536,22,FALSE)</f>
        <v>2200</v>
      </c>
      <c r="N128" s="135"/>
      <c r="O128" s="50"/>
      <c r="P128" s="19">
        <v>0</v>
      </c>
      <c r="Q128" s="20">
        <v>1</v>
      </c>
      <c r="R128" s="21">
        <v>0</v>
      </c>
      <c r="S128" s="19">
        <v>0</v>
      </c>
      <c r="T128" s="20">
        <v>1</v>
      </c>
      <c r="U128" s="19">
        <v>1</v>
      </c>
      <c r="V128" s="20">
        <v>1</v>
      </c>
      <c r="W128" s="20">
        <v>1</v>
      </c>
      <c r="X128" s="20">
        <v>1</v>
      </c>
      <c r="Y128" s="20">
        <v>1</v>
      </c>
      <c r="Z128" s="20">
        <v>0</v>
      </c>
      <c r="AA128" s="20">
        <v>0</v>
      </c>
      <c r="AB128" s="49">
        <v>0</v>
      </c>
      <c r="AC128" s="49">
        <v>0</v>
      </c>
      <c r="AD128" s="49">
        <v>0</v>
      </c>
      <c r="AE128" s="49">
        <v>0</v>
      </c>
      <c r="AF128" s="49">
        <v>0</v>
      </c>
      <c r="AG128" s="161">
        <v>1</v>
      </c>
      <c r="AH128" s="162">
        <v>2</v>
      </c>
      <c r="AI128" s="162">
        <v>0</v>
      </c>
      <c r="AJ128" s="162">
        <v>0</v>
      </c>
      <c r="AK128" s="162">
        <v>0</v>
      </c>
      <c r="AL128" s="163">
        <v>0</v>
      </c>
      <c r="AM128" s="19">
        <v>0</v>
      </c>
      <c r="AN128" s="20">
        <f>IFERROR(INDEX([2]lijnopstellingsfiche!$AP$1:$AP$65536,MATCH(A128,[2]lijnopstellingsfiche!$AQ$1:$AQ$65536,0)),"")</f>
        <v>1</v>
      </c>
      <c r="AO128" s="20">
        <v>1</v>
      </c>
      <c r="AP128" s="20">
        <v>0</v>
      </c>
      <c r="AQ128" s="20">
        <v>0</v>
      </c>
      <c r="AR128" s="20">
        <v>1</v>
      </c>
      <c r="AS128" s="20">
        <v>0</v>
      </c>
      <c r="AT128" s="20">
        <v>0</v>
      </c>
      <c r="AU128" s="20">
        <v>0</v>
      </c>
      <c r="AV128" s="23">
        <v>0</v>
      </c>
      <c r="AW128" s="108">
        <v>0</v>
      </c>
      <c r="AX128" s="108">
        <v>0</v>
      </c>
      <c r="AY128" s="108">
        <v>1</v>
      </c>
      <c r="AZ128" s="108">
        <v>0</v>
      </c>
      <c r="BA128" s="114">
        <v>1</v>
      </c>
      <c r="BB128" s="20">
        <v>0</v>
      </c>
      <c r="BC128" s="113">
        <v>0</v>
      </c>
      <c r="BD128" s="200" t="str">
        <f>VLOOKUP($A128,'[3]allergenen 6nr'!$A$1:$O$1310,3,FALSE)</f>
        <v>-</v>
      </c>
      <c r="BE128" s="201" t="str">
        <f>VLOOKUP($A128,'[3]allergenen 6nr'!$A$1:$O$1310,4,FALSE)</f>
        <v>X</v>
      </c>
      <c r="BF128" s="201" t="str">
        <f>VLOOKUP($A128,'[3]allergenen 6nr'!$A$1:$O$1310,5,FALSE)</f>
        <v>+</v>
      </c>
      <c r="BG128" s="201" t="str">
        <f>VLOOKUP($A128,'[3]allergenen 6nr'!$A$1:$O$1310,6,FALSE)</f>
        <v>X</v>
      </c>
      <c r="BH128" s="201" t="str">
        <f>VLOOKUP($A128,'[3]allergenen 6nr'!$A$1:$O$1310,7,FALSE)</f>
        <v>+</v>
      </c>
      <c r="BI128" s="201" t="str">
        <f>VLOOKUP($A128,'[3]allergenen 6nr'!$A$1:$O$1310,8,FALSE)</f>
        <v>X</v>
      </c>
      <c r="BJ128" s="201" t="str">
        <f>VLOOKUP($A128,'[3]allergenen 6nr'!$A$1:$O$1310,9,FALSE)</f>
        <v>-</v>
      </c>
      <c r="BK128" s="201" t="str">
        <f>VLOOKUP($A128,'[3]allergenen 6nr'!$A$1:$O$1310,10,FALSE)</f>
        <v>-</v>
      </c>
      <c r="BL128" s="201" t="str">
        <f>VLOOKUP($A128,'[3]allergenen 6nr'!$A$1:$O$1310,11,FALSE)</f>
        <v>-</v>
      </c>
      <c r="BM128" s="201" t="str">
        <f>VLOOKUP($A128,'[3]allergenen 6nr'!$A$1:$O$1310,12,FALSE)</f>
        <v>-</v>
      </c>
      <c r="BN128" s="201" t="str">
        <f>VLOOKUP($A128,'[3]allergenen 6nr'!$A$1:$O$1310,13,FALSE)</f>
        <v>X</v>
      </c>
      <c r="BO128" s="201" t="str">
        <f>VLOOKUP($A128,'[3]allergenen 6nr'!$A$1:$O$1310,14,FALSE)</f>
        <v>-</v>
      </c>
      <c r="BP128" s="202" t="str">
        <f>VLOOKUP($A128,'[3]allergenen 6nr'!$A$1:$O$1310,15,FALSE)</f>
        <v>-</v>
      </c>
    </row>
    <row r="129" spans="1:68" x14ac:dyDescent="0.2">
      <c r="A129" s="89">
        <v>63503900</v>
      </c>
      <c r="B129" s="53" t="str">
        <f>VLOOKUP($A129,[1]maaltijden!$A$1:$IV$65536,4,FALSE)</f>
        <v xml:space="preserve">DMC HAM WITLOOF KAASSAUS PUREE               </v>
      </c>
      <c r="C129" s="46" t="str">
        <f>VLOOKUP($A129,[1]maaltijden!$A$1:$IV$65536,7,FALSE)</f>
        <v>C2227-2K</v>
      </c>
      <c r="D129" s="22" t="str">
        <f>VLOOKUP($A129,[1]maaltijden!$A$1:$IV$65536,10,FALSE)</f>
        <v>NVT</v>
      </c>
      <c r="E129" s="22" t="str">
        <f>VLOOKUP($A129,[1]maaltijden!$A$1:$IV$65536,13,FALSE)</f>
        <v>DMC X 6</v>
      </c>
      <c r="F129" s="20">
        <f t="shared" si="1"/>
        <v>0</v>
      </c>
      <c r="G129" s="20" t="str">
        <f>VLOOKUP($A129,[1]maaltijden!$A$1:$IV$65536,27,FALSE)</f>
        <v>! !</v>
      </c>
      <c r="H129" s="22">
        <f>VLOOKUP($A129,[1]maaltijden!$A$1:$IV$65536,21,FALSE)</f>
        <v>10</v>
      </c>
      <c r="I129" s="22">
        <f>VLOOKUP($A129,[1]maaltijden!$A$1:$IV$65536,21,FALSE)</f>
        <v>10</v>
      </c>
      <c r="J129" s="22">
        <f>VLOOKUP($A129,[1]maaltijden!$A$1:$IV$65536,18,FALSE)</f>
        <v>3</v>
      </c>
      <c r="K129" s="22">
        <f>VLOOKUP($A129,[1]maaltijden!$A$1:$IV$65536,17,FALSE)</f>
        <v>2</v>
      </c>
      <c r="L129" s="22">
        <f>VLOOKUP($A129,[1]maaltijden!$A$1:$IV$65536,20,FALSE)</f>
        <v>1500</v>
      </c>
      <c r="M129" s="22">
        <f>VLOOKUP($A129,[1]maaltijden!$A$1:$IV$65536,22,FALSE)</f>
        <v>1500</v>
      </c>
      <c r="N129" s="135"/>
      <c r="O129" s="50"/>
      <c r="P129" s="19">
        <v>0</v>
      </c>
      <c r="Q129" s="20">
        <v>1</v>
      </c>
      <c r="R129" s="21">
        <v>0</v>
      </c>
      <c r="S129" s="19">
        <v>0</v>
      </c>
      <c r="T129" s="20">
        <v>1</v>
      </c>
      <c r="U129" s="19">
        <v>0</v>
      </c>
      <c r="V129" s="20">
        <v>1</v>
      </c>
      <c r="W129" s="20">
        <v>1</v>
      </c>
      <c r="X129" s="20">
        <v>1</v>
      </c>
      <c r="Y129" s="20">
        <v>1</v>
      </c>
      <c r="Z129" s="20">
        <v>1</v>
      </c>
      <c r="AA129" s="20">
        <v>0</v>
      </c>
      <c r="AB129" s="49">
        <v>0</v>
      </c>
      <c r="AC129" s="49">
        <v>0</v>
      </c>
      <c r="AD129" s="49">
        <v>0</v>
      </c>
      <c r="AE129" s="49">
        <v>1</v>
      </c>
      <c r="AF129" s="49">
        <v>0</v>
      </c>
      <c r="AG129" s="161">
        <v>0</v>
      </c>
      <c r="AH129" s="162">
        <v>2</v>
      </c>
      <c r="AI129" s="162">
        <v>0</v>
      </c>
      <c r="AJ129" s="162">
        <v>0</v>
      </c>
      <c r="AK129" s="162">
        <v>0</v>
      </c>
      <c r="AL129" s="163">
        <v>0</v>
      </c>
      <c r="AM129" s="19">
        <v>0</v>
      </c>
      <c r="AN129" s="20">
        <f>IFERROR(INDEX([2]lijnopstellingsfiche!$AP$1:$AP$65536,MATCH(A129,[2]lijnopstellingsfiche!$AQ$1:$AQ$65536,0)),"")</f>
        <v>9</v>
      </c>
      <c r="AO129" s="20">
        <v>0</v>
      </c>
      <c r="AP129" s="20">
        <v>0</v>
      </c>
      <c r="AQ129" s="20">
        <v>1</v>
      </c>
      <c r="AR129" s="20">
        <v>1</v>
      </c>
      <c r="AS129" s="20">
        <v>0</v>
      </c>
      <c r="AT129" s="20">
        <v>0</v>
      </c>
      <c r="AU129" s="20">
        <v>0</v>
      </c>
      <c r="AV129" s="23">
        <v>0</v>
      </c>
      <c r="AW129" s="108">
        <v>0</v>
      </c>
      <c r="AX129" s="108">
        <v>0</v>
      </c>
      <c r="AY129" s="108">
        <v>1</v>
      </c>
      <c r="AZ129" s="108">
        <v>0</v>
      </c>
      <c r="BA129" s="114">
        <v>1</v>
      </c>
      <c r="BB129" s="20">
        <v>0</v>
      </c>
      <c r="BC129" s="113">
        <v>0</v>
      </c>
      <c r="BD129" s="200" t="str">
        <f>VLOOKUP($A129,'[3]allergenen 6nr'!$A$1:$O$1310,3,FALSE)</f>
        <v>-</v>
      </c>
      <c r="BE129" s="201" t="str">
        <f>VLOOKUP($A129,'[3]allergenen 6nr'!$A$1:$O$1310,4,FALSE)</f>
        <v>+</v>
      </c>
      <c r="BF129" s="201" t="str">
        <f>VLOOKUP($A129,'[3]allergenen 6nr'!$A$1:$O$1310,5,FALSE)</f>
        <v>+</v>
      </c>
      <c r="BG129" s="201" t="str">
        <f>VLOOKUP($A129,'[3]allergenen 6nr'!$A$1:$O$1310,6,FALSE)</f>
        <v>X</v>
      </c>
      <c r="BH129" s="201" t="str">
        <f>VLOOKUP($A129,'[3]allergenen 6nr'!$A$1:$O$1310,7,FALSE)</f>
        <v>+</v>
      </c>
      <c r="BI129" s="201" t="str">
        <f>VLOOKUP($A129,'[3]allergenen 6nr'!$A$1:$O$1310,8,FALSE)</f>
        <v>X</v>
      </c>
      <c r="BJ129" s="201" t="str">
        <f>VLOOKUP($A129,'[3]allergenen 6nr'!$A$1:$O$1310,9,FALSE)</f>
        <v>-</v>
      </c>
      <c r="BK129" s="201" t="str">
        <f>VLOOKUP($A129,'[3]allergenen 6nr'!$A$1:$O$1310,10,FALSE)</f>
        <v>-</v>
      </c>
      <c r="BL129" s="201" t="str">
        <f>VLOOKUP($A129,'[3]allergenen 6nr'!$A$1:$O$1310,11,FALSE)</f>
        <v>-</v>
      </c>
      <c r="BM129" s="201" t="str">
        <f>VLOOKUP($A129,'[3]allergenen 6nr'!$A$1:$O$1310,12,FALSE)</f>
        <v>-</v>
      </c>
      <c r="BN129" s="201" t="str">
        <f>VLOOKUP($A129,'[3]allergenen 6nr'!$A$1:$O$1310,13,FALSE)</f>
        <v>X</v>
      </c>
      <c r="BO129" s="201" t="str">
        <f>VLOOKUP($A129,'[3]allergenen 6nr'!$A$1:$O$1310,14,FALSE)</f>
        <v>-</v>
      </c>
      <c r="BP129" s="202" t="str">
        <f>VLOOKUP($A129,'[3]allergenen 6nr'!$A$1:$O$1310,15,FALSE)</f>
        <v>-</v>
      </c>
    </row>
    <row r="130" spans="1:68" x14ac:dyDescent="0.2">
      <c r="A130" s="89">
        <v>63504300</v>
      </c>
      <c r="B130" s="53" t="str">
        <f>VLOOKUP($A130,[1]maaltijden!$A$1:$IV$65536,4,FALSE)</f>
        <v>DMC VISPANNETJE BOONTJES PUREE</v>
      </c>
      <c r="C130" s="46" t="str">
        <f>VLOOKUP($A130,[1]maaltijden!$A$1:$IV$65536,7,FALSE)</f>
        <v>C2227-2K</v>
      </c>
      <c r="D130" s="22" t="str">
        <f>VLOOKUP($A130,[1]maaltijden!$A$1:$IV$65536,10,FALSE)</f>
        <v>NVT</v>
      </c>
      <c r="E130" s="22" t="str">
        <f>VLOOKUP($A130,[1]maaltijden!$A$1:$IV$65536,13,FALSE)</f>
        <v>DMC X 6</v>
      </c>
      <c r="F130" s="20">
        <f t="shared" si="1"/>
        <v>0</v>
      </c>
      <c r="G130" s="20" t="str">
        <f>VLOOKUP($A130,[1]maaltijden!$A$1:$IV$65536,27,FALSE)</f>
        <v>! ! ! !</v>
      </c>
      <c r="H130" s="22">
        <f>VLOOKUP($A130,[1]maaltijden!$A$1:$IV$65536,21,FALSE)</f>
        <v>6</v>
      </c>
      <c r="I130" s="22">
        <f>VLOOKUP($A130,[1]maaltijden!$A$1:$IV$65536,21,FALSE)</f>
        <v>6</v>
      </c>
      <c r="J130" s="22">
        <f>VLOOKUP($A130,[1]maaltijden!$A$1:$IV$65536,18,FALSE)</f>
        <v>3</v>
      </c>
      <c r="K130" s="22">
        <f>VLOOKUP($A130,[1]maaltijden!$A$1:$IV$65536,17,FALSE)</f>
        <v>3</v>
      </c>
      <c r="L130" s="22">
        <f>VLOOKUP($A130,[1]maaltijden!$A$1:$IV$65536,20,FALSE)</f>
        <v>2200</v>
      </c>
      <c r="M130" s="22">
        <f>VLOOKUP($A130,[1]maaltijden!$A$1:$IV$65536,22,FALSE)</f>
        <v>2200</v>
      </c>
      <c r="N130" s="135"/>
      <c r="O130" s="50"/>
      <c r="P130" s="19">
        <v>0</v>
      </c>
      <c r="Q130" s="20">
        <v>1</v>
      </c>
      <c r="R130" s="21">
        <v>0</v>
      </c>
      <c r="S130" s="19">
        <v>0</v>
      </c>
      <c r="T130" s="20">
        <v>1</v>
      </c>
      <c r="U130" s="19">
        <v>0</v>
      </c>
      <c r="V130" s="20">
        <v>1</v>
      </c>
      <c r="W130" s="20">
        <v>1</v>
      </c>
      <c r="X130" s="20">
        <v>1</v>
      </c>
      <c r="Y130" s="20">
        <v>1</v>
      </c>
      <c r="Z130" s="20">
        <v>0</v>
      </c>
      <c r="AA130" s="20">
        <v>0</v>
      </c>
      <c r="AB130" s="49">
        <v>0</v>
      </c>
      <c r="AC130" s="49">
        <v>0</v>
      </c>
      <c r="AD130" s="49">
        <v>0</v>
      </c>
      <c r="AE130" s="49">
        <v>1</v>
      </c>
      <c r="AF130" s="49">
        <v>0</v>
      </c>
      <c r="AG130" s="161">
        <v>0</v>
      </c>
      <c r="AH130" s="162">
        <v>2</v>
      </c>
      <c r="AI130" s="162">
        <v>1</v>
      </c>
      <c r="AJ130" s="162">
        <v>0</v>
      </c>
      <c r="AK130" s="162">
        <v>0</v>
      </c>
      <c r="AL130" s="163">
        <v>0</v>
      </c>
      <c r="AM130" s="19">
        <v>0</v>
      </c>
      <c r="AN130" s="20" t="str">
        <f>IFERROR(INDEX([2]lijnopstellingsfiche!$AP$1:$AP$65536,MATCH(A130,[2]lijnopstellingsfiche!$AQ$1:$AQ$65536,0)),"")</f>
        <v>-</v>
      </c>
      <c r="AO130" s="20">
        <v>0</v>
      </c>
      <c r="AP130" s="20">
        <v>0</v>
      </c>
      <c r="AQ130" s="20">
        <v>1</v>
      </c>
      <c r="AR130" s="20">
        <v>1</v>
      </c>
      <c r="AS130" s="20">
        <v>0</v>
      </c>
      <c r="AT130" s="20">
        <v>1</v>
      </c>
      <c r="AU130" s="20">
        <v>0</v>
      </c>
      <c r="AV130" s="23">
        <v>0</v>
      </c>
      <c r="AW130" s="108">
        <v>0</v>
      </c>
      <c r="AX130" s="108">
        <v>0</v>
      </c>
      <c r="AY130" s="108">
        <v>1</v>
      </c>
      <c r="AZ130" s="108">
        <v>0</v>
      </c>
      <c r="BA130" s="114">
        <v>1</v>
      </c>
      <c r="BB130" s="20">
        <v>0</v>
      </c>
      <c r="BC130" s="113">
        <v>0</v>
      </c>
      <c r="BD130" s="200" t="str">
        <f>VLOOKUP($A130,'[3]allergenen 6nr'!$A$1:$O$1310,3,FALSE)</f>
        <v>-</v>
      </c>
      <c r="BE130" s="201" t="str">
        <f>VLOOKUP($A130,'[3]allergenen 6nr'!$A$1:$O$1310,4,FALSE)</f>
        <v>+</v>
      </c>
      <c r="BF130" s="201" t="str">
        <f>VLOOKUP($A130,'[3]allergenen 6nr'!$A$1:$O$1310,5,FALSE)</f>
        <v>-</v>
      </c>
      <c r="BG130" s="201" t="str">
        <f>VLOOKUP($A130,'[3]allergenen 6nr'!$A$1:$O$1310,6,FALSE)</f>
        <v>-</v>
      </c>
      <c r="BH130" s="201" t="str">
        <f>VLOOKUP($A130,'[3]allergenen 6nr'!$A$1:$O$1310,7,FALSE)</f>
        <v>+</v>
      </c>
      <c r="BI130" s="201" t="str">
        <f>VLOOKUP($A130,'[3]allergenen 6nr'!$A$1:$O$1310,8,FALSE)</f>
        <v>-</v>
      </c>
      <c r="BJ130" s="201" t="str">
        <f>VLOOKUP($A130,'[3]allergenen 6nr'!$A$1:$O$1310,9,FALSE)</f>
        <v>-</v>
      </c>
      <c r="BK130" s="201" t="str">
        <f>VLOOKUP($A130,'[3]allergenen 6nr'!$A$1:$O$1310,10,FALSE)</f>
        <v>X</v>
      </c>
      <c r="BL130" s="201" t="str">
        <f>VLOOKUP($A130,'[3]allergenen 6nr'!$A$1:$O$1310,11,FALSE)</f>
        <v>+</v>
      </c>
      <c r="BM130" s="201" t="str">
        <f>VLOOKUP($A130,'[3]allergenen 6nr'!$A$1:$O$1310,12,FALSE)</f>
        <v>-</v>
      </c>
      <c r="BN130" s="201" t="str">
        <f>VLOOKUP($A130,'[3]allergenen 6nr'!$A$1:$O$1310,13,FALSE)</f>
        <v>-</v>
      </c>
      <c r="BO130" s="201" t="str">
        <f>VLOOKUP($A130,'[3]allergenen 6nr'!$A$1:$O$1310,14,FALSE)</f>
        <v>+</v>
      </c>
      <c r="BP130" s="202" t="str">
        <f>VLOOKUP($A130,'[3]allergenen 6nr'!$A$1:$O$1310,15,FALSE)</f>
        <v>X</v>
      </c>
    </row>
    <row r="131" spans="1:68" x14ac:dyDescent="0.2">
      <c r="A131" s="89">
        <v>63504500</v>
      </c>
      <c r="B131" s="53" t="str">
        <f>VLOOKUP($A131,[1]maaltijden!$A$1:$IV$65536,4,FALSE)</f>
        <v xml:space="preserve">DMC LASAGNE BOLOGNESE                              </v>
      </c>
      <c r="C131" s="46" t="str">
        <f>VLOOKUP($A131,[1]maaltijden!$A$1:$IV$65536,7,FALSE)</f>
        <v>C2227-1H</v>
      </c>
      <c r="D131" s="22" t="str">
        <f>VLOOKUP($A131,[1]maaltijden!$A$1:$IV$65536,10,FALSE)</f>
        <v>NVT</v>
      </c>
      <c r="E131" s="22" t="str">
        <f>VLOOKUP($A131,[1]maaltijden!$A$1:$IV$65536,13,FALSE)</f>
        <v>DMC X 6</v>
      </c>
      <c r="F131" s="20">
        <f t="shared" ref="F131:F194" si="2">IF($D131="Bedrukte folie 470x300",1,0)</f>
        <v>0</v>
      </c>
      <c r="G131" s="20" t="str">
        <f>VLOOKUP($A131,[1]maaltijden!$A$1:$IV$65536,27,FALSE)</f>
        <v>! ! !</v>
      </c>
      <c r="H131" s="22">
        <f>VLOOKUP($A131,[1]maaltijden!$A$1:$IV$65536,21,FALSE)</f>
        <v>3</v>
      </c>
      <c r="I131" s="22">
        <f>VLOOKUP($A131,[1]maaltijden!$A$1:$IV$65536,21,FALSE)</f>
        <v>3</v>
      </c>
      <c r="J131" s="22">
        <f>VLOOKUP($A131,[1]maaltijden!$A$1:$IV$65536,18,FALSE)</f>
        <v>3</v>
      </c>
      <c r="K131" s="22">
        <f>VLOOKUP($A131,[1]maaltijden!$A$1:$IV$65536,17,FALSE)</f>
        <v>2</v>
      </c>
      <c r="L131" s="22">
        <f>VLOOKUP($A131,[1]maaltijden!$A$1:$IV$65536,20,FALSE)</f>
        <v>2200</v>
      </c>
      <c r="M131" s="22">
        <f>VLOOKUP($A131,[1]maaltijden!$A$1:$IV$65536,22,FALSE)</f>
        <v>2200</v>
      </c>
      <c r="N131" s="135"/>
      <c r="O131" s="50"/>
      <c r="P131" s="19">
        <v>0</v>
      </c>
      <c r="Q131" s="20">
        <v>1</v>
      </c>
      <c r="R131" s="21">
        <v>0</v>
      </c>
      <c r="S131" s="19">
        <v>0</v>
      </c>
      <c r="T131" s="20">
        <v>1</v>
      </c>
      <c r="U131" s="19">
        <v>0</v>
      </c>
      <c r="V131" s="20">
        <v>1</v>
      </c>
      <c r="W131" s="20">
        <v>1</v>
      </c>
      <c r="X131" s="20">
        <v>1</v>
      </c>
      <c r="Y131" s="20">
        <v>1</v>
      </c>
      <c r="Z131" s="20">
        <v>0</v>
      </c>
      <c r="AA131" s="20">
        <v>0</v>
      </c>
      <c r="AB131" s="49">
        <v>1</v>
      </c>
      <c r="AC131" s="49">
        <v>0</v>
      </c>
      <c r="AD131" s="49">
        <v>0</v>
      </c>
      <c r="AE131" s="49">
        <v>1</v>
      </c>
      <c r="AF131" s="49">
        <v>0</v>
      </c>
      <c r="AG131" s="161">
        <v>0</v>
      </c>
      <c r="AH131" s="162">
        <v>2</v>
      </c>
      <c r="AI131" s="162">
        <v>0</v>
      </c>
      <c r="AJ131" s="162">
        <v>0</v>
      </c>
      <c r="AK131" s="162">
        <v>0</v>
      </c>
      <c r="AL131" s="163">
        <v>0</v>
      </c>
      <c r="AM131" s="19">
        <v>0</v>
      </c>
      <c r="AN131" s="20" t="str">
        <f>IFERROR(INDEX([2]lijnopstellingsfiche!$AP$1:$AP$65536,MATCH(A131,[2]lijnopstellingsfiche!$AQ$1:$AQ$65536,0)),"")</f>
        <v>-</v>
      </c>
      <c r="AO131" s="20">
        <v>0</v>
      </c>
      <c r="AP131" s="20">
        <v>1</v>
      </c>
      <c r="AQ131" s="20">
        <v>2</v>
      </c>
      <c r="AR131" s="20">
        <v>1</v>
      </c>
      <c r="AS131" s="20">
        <v>0</v>
      </c>
      <c r="AT131" s="20">
        <v>0</v>
      </c>
      <c r="AU131" s="20">
        <v>0</v>
      </c>
      <c r="AV131" s="23">
        <v>0</v>
      </c>
      <c r="AW131" s="108">
        <v>0</v>
      </c>
      <c r="AX131" s="108">
        <v>0</v>
      </c>
      <c r="AY131" s="108">
        <v>1</v>
      </c>
      <c r="AZ131" s="108">
        <v>0</v>
      </c>
      <c r="BA131" s="114">
        <v>1</v>
      </c>
      <c r="BB131" s="20">
        <v>0</v>
      </c>
      <c r="BC131" s="113">
        <v>0</v>
      </c>
      <c r="BD131" s="200" t="str">
        <f>VLOOKUP($A131,'[3]allergenen 6nr'!$A$1:$O$1310,3,FALSE)</f>
        <v>-</v>
      </c>
      <c r="BE131" s="201" t="str">
        <f>VLOOKUP($A131,'[3]allergenen 6nr'!$A$1:$O$1310,4,FALSE)</f>
        <v>+</v>
      </c>
      <c r="BF131" s="201" t="str">
        <f>VLOOKUP($A131,'[3]allergenen 6nr'!$A$1:$O$1310,5,FALSE)</f>
        <v>+</v>
      </c>
      <c r="BG131" s="201" t="str">
        <f>VLOOKUP($A131,'[3]allergenen 6nr'!$A$1:$O$1310,6,FALSE)</f>
        <v>-</v>
      </c>
      <c r="BH131" s="201" t="str">
        <f>VLOOKUP($A131,'[3]allergenen 6nr'!$A$1:$O$1310,7,FALSE)</f>
        <v>+</v>
      </c>
      <c r="BI131" s="201" t="str">
        <f>VLOOKUP($A131,'[3]allergenen 6nr'!$A$1:$O$1310,8,FALSE)</f>
        <v>-</v>
      </c>
      <c r="BJ131" s="201" t="str">
        <f>VLOOKUP($A131,'[3]allergenen 6nr'!$A$1:$O$1310,9,FALSE)</f>
        <v>-</v>
      </c>
      <c r="BK131" s="201" t="str">
        <f>VLOOKUP($A131,'[3]allergenen 6nr'!$A$1:$O$1310,10,FALSE)</f>
        <v>X</v>
      </c>
      <c r="BL131" s="201" t="str">
        <f>VLOOKUP($A131,'[3]allergenen 6nr'!$A$1:$O$1310,11,FALSE)</f>
        <v>+</v>
      </c>
      <c r="BM131" s="201" t="str">
        <f>VLOOKUP($A131,'[3]allergenen 6nr'!$A$1:$O$1310,12,FALSE)</f>
        <v>-</v>
      </c>
      <c r="BN131" s="201" t="str">
        <f>VLOOKUP($A131,'[3]allergenen 6nr'!$A$1:$O$1310,13,FALSE)</f>
        <v>X</v>
      </c>
      <c r="BO131" s="201" t="str">
        <f>VLOOKUP($A131,'[3]allergenen 6nr'!$A$1:$O$1310,14,FALSE)</f>
        <v>X</v>
      </c>
      <c r="BP131" s="202" t="str">
        <f>VLOOKUP($A131,'[3]allergenen 6nr'!$A$1:$O$1310,15,FALSE)</f>
        <v>-</v>
      </c>
    </row>
    <row r="132" spans="1:68" x14ac:dyDescent="0.2">
      <c r="A132" s="89">
        <v>63504700</v>
      </c>
      <c r="B132" s="53" t="str">
        <f>VLOOKUP($A132,[1]maaltijden!$A$1:$IV$65536,4,FALSE)</f>
        <v xml:space="preserve">DMC KIP KERRIESAUS RIJST            </v>
      </c>
      <c r="C132" s="46" t="str">
        <f>VLOOKUP($A132,[1]maaltijden!$A$1:$IV$65536,7,FALSE)</f>
        <v>C2227-2K</v>
      </c>
      <c r="D132" s="22" t="str">
        <f>VLOOKUP($A132,[1]maaltijden!$A$1:$IV$65536,10,FALSE)</f>
        <v>NVT</v>
      </c>
      <c r="E132" s="22" t="str">
        <f>VLOOKUP($A132,[1]maaltijden!$A$1:$IV$65536,13,FALSE)</f>
        <v>DMC X 6</v>
      </c>
      <c r="F132" s="20">
        <f t="shared" si="2"/>
        <v>0</v>
      </c>
      <c r="G132" s="20" t="str">
        <f>VLOOKUP($A132,[1]maaltijden!$A$1:$IV$65536,27,FALSE)</f>
        <v>! ! !</v>
      </c>
      <c r="H132" s="22">
        <f>VLOOKUP($A132,[1]maaltijden!$A$1:$IV$65536,21,FALSE)</f>
        <v>4</v>
      </c>
      <c r="I132" s="22">
        <f>VLOOKUP($A132,[1]maaltijden!$A$1:$IV$65536,21,FALSE)</f>
        <v>4</v>
      </c>
      <c r="J132" s="22">
        <f>VLOOKUP($A132,[1]maaltijden!$A$1:$IV$65536,18,FALSE)</f>
        <v>3</v>
      </c>
      <c r="K132" s="22">
        <f>VLOOKUP($A132,[1]maaltijden!$A$1:$IV$65536,17,FALSE)</f>
        <v>2</v>
      </c>
      <c r="L132" s="22">
        <f>VLOOKUP($A132,[1]maaltijden!$A$1:$IV$65536,20,FALSE)</f>
        <v>2000</v>
      </c>
      <c r="M132" s="22">
        <f>VLOOKUP($A132,[1]maaltijden!$A$1:$IV$65536,22,FALSE)</f>
        <v>2000</v>
      </c>
      <c r="N132" s="135"/>
      <c r="O132" s="50"/>
      <c r="P132" s="19">
        <v>0</v>
      </c>
      <c r="Q132" s="20">
        <v>1</v>
      </c>
      <c r="R132" s="21">
        <v>0</v>
      </c>
      <c r="S132" s="19">
        <v>0</v>
      </c>
      <c r="T132" s="20">
        <v>1</v>
      </c>
      <c r="U132" s="19">
        <v>1</v>
      </c>
      <c r="V132" s="20">
        <v>1</v>
      </c>
      <c r="W132" s="20">
        <v>1</v>
      </c>
      <c r="X132" s="20">
        <v>1</v>
      </c>
      <c r="Y132" s="20">
        <v>1</v>
      </c>
      <c r="Z132" s="20">
        <v>0</v>
      </c>
      <c r="AA132" s="20">
        <v>0</v>
      </c>
      <c r="AB132" s="49">
        <v>0</v>
      </c>
      <c r="AC132" s="49">
        <v>0</v>
      </c>
      <c r="AD132" s="49">
        <v>0</v>
      </c>
      <c r="AE132" s="49">
        <v>0</v>
      </c>
      <c r="AF132" s="49">
        <v>0</v>
      </c>
      <c r="AG132" s="161">
        <v>1</v>
      </c>
      <c r="AH132" s="162">
        <v>1</v>
      </c>
      <c r="AI132" s="162">
        <v>0</v>
      </c>
      <c r="AJ132" s="162">
        <v>0</v>
      </c>
      <c r="AK132" s="162">
        <v>0</v>
      </c>
      <c r="AL132" s="163">
        <v>0</v>
      </c>
      <c r="AM132" s="19">
        <v>0</v>
      </c>
      <c r="AN132" s="20">
        <f>IFERROR(INDEX([2]lijnopstellingsfiche!$AP$1:$AP$65536,MATCH(A132,[2]lijnopstellingsfiche!$AQ$1:$AQ$65536,0)),"")</f>
        <v>1</v>
      </c>
      <c r="AO132" s="20">
        <v>1</v>
      </c>
      <c r="AP132" s="20">
        <v>0</v>
      </c>
      <c r="AQ132" s="20">
        <v>1</v>
      </c>
      <c r="AR132" s="20">
        <v>0</v>
      </c>
      <c r="AS132" s="20">
        <v>0</v>
      </c>
      <c r="AT132" s="20">
        <v>1</v>
      </c>
      <c r="AU132" s="20">
        <v>0</v>
      </c>
      <c r="AV132" s="23">
        <v>0</v>
      </c>
      <c r="AW132" s="108">
        <v>0</v>
      </c>
      <c r="AX132" s="108">
        <v>0</v>
      </c>
      <c r="AY132" s="108">
        <v>1</v>
      </c>
      <c r="AZ132" s="108">
        <v>0</v>
      </c>
      <c r="BA132" s="114">
        <v>1</v>
      </c>
      <c r="BB132" s="20">
        <v>0</v>
      </c>
      <c r="BC132" s="113">
        <v>0</v>
      </c>
      <c r="BD132" s="200" t="str">
        <f>VLOOKUP($A132,'[3]allergenen 6nr'!$A$1:$O$1310,3,FALSE)</f>
        <v>-</v>
      </c>
      <c r="BE132" s="201" t="str">
        <f>VLOOKUP($A132,'[3]allergenen 6nr'!$A$1:$O$1310,4,FALSE)</f>
        <v>X</v>
      </c>
      <c r="BF132" s="201" t="str">
        <f>VLOOKUP($A132,'[3]allergenen 6nr'!$A$1:$O$1310,5,FALSE)</f>
        <v>-</v>
      </c>
      <c r="BG132" s="201" t="str">
        <f>VLOOKUP($A132,'[3]allergenen 6nr'!$A$1:$O$1310,6,FALSE)</f>
        <v>-</v>
      </c>
      <c r="BH132" s="201" t="str">
        <f>VLOOKUP($A132,'[3]allergenen 6nr'!$A$1:$O$1310,7,FALSE)</f>
        <v>+</v>
      </c>
      <c r="BI132" s="201" t="str">
        <f>VLOOKUP($A132,'[3]allergenen 6nr'!$A$1:$O$1310,8,FALSE)</f>
        <v>+</v>
      </c>
      <c r="BJ132" s="201" t="str">
        <f>VLOOKUP($A132,'[3]allergenen 6nr'!$A$1:$O$1310,9,FALSE)</f>
        <v>-</v>
      </c>
      <c r="BK132" s="201" t="str">
        <f>VLOOKUP($A132,'[3]allergenen 6nr'!$A$1:$O$1310,10,FALSE)</f>
        <v>-</v>
      </c>
      <c r="BL132" s="201" t="str">
        <f>VLOOKUP($A132,'[3]allergenen 6nr'!$A$1:$O$1310,11,FALSE)</f>
        <v>+</v>
      </c>
      <c r="BM132" s="201" t="str">
        <f>VLOOKUP($A132,'[3]allergenen 6nr'!$A$1:$O$1310,12,FALSE)</f>
        <v>-</v>
      </c>
      <c r="BN132" s="201" t="str">
        <f>VLOOKUP($A132,'[3]allergenen 6nr'!$A$1:$O$1310,13,FALSE)</f>
        <v>-</v>
      </c>
      <c r="BO132" s="201" t="str">
        <f>VLOOKUP($A132,'[3]allergenen 6nr'!$A$1:$O$1310,14,FALSE)</f>
        <v>-</v>
      </c>
      <c r="BP132" s="202" t="str">
        <f>VLOOKUP($A132,'[3]allergenen 6nr'!$A$1:$O$1310,15,FALSE)</f>
        <v>-</v>
      </c>
    </row>
    <row r="133" spans="1:68" x14ac:dyDescent="0.2">
      <c r="A133" s="89">
        <v>63511200</v>
      </c>
      <c r="B133" s="53" t="str">
        <f>VLOOKUP($A133,[1]maaltijden!$A$1:$IV$65536,4,FALSE)</f>
        <v>DMC VARKENSMEDAILLON CHAMPIGNONS GROENTEN GEB AARD</v>
      </c>
      <c r="C133" s="46" t="str">
        <f>VLOOKUP($A133,[1]maaltijden!$A$1:$IV$65536,7,FALSE)</f>
        <v>C2227-3R</v>
      </c>
      <c r="D133" s="22" t="str">
        <f>VLOOKUP($A133,[1]maaltijden!$A$1:$IV$65536,10,FALSE)</f>
        <v>NVT</v>
      </c>
      <c r="E133" s="22" t="str">
        <f>VLOOKUP($A133,[1]maaltijden!$A$1:$IV$65536,13,FALSE)</f>
        <v>DMC X 6</v>
      </c>
      <c r="F133" s="20">
        <f t="shared" si="2"/>
        <v>0</v>
      </c>
      <c r="G133" s="20" t="str">
        <f>VLOOKUP($A133,[1]maaltijden!$A$1:$IV$65536,27,FALSE)</f>
        <v>! !</v>
      </c>
      <c r="H133" s="22">
        <f>VLOOKUP($A133,[1]maaltijden!$A$1:$IV$65536,21,FALSE)</f>
        <v>7</v>
      </c>
      <c r="I133" s="22">
        <f>VLOOKUP($A133,[1]maaltijden!$A$1:$IV$65536,21,FALSE)</f>
        <v>7</v>
      </c>
      <c r="J133" s="22">
        <f>VLOOKUP($A133,[1]maaltijden!$A$1:$IV$65536,18,FALSE)</f>
        <v>3</v>
      </c>
      <c r="K133" s="22">
        <f>VLOOKUP($A133,[1]maaltijden!$A$1:$IV$65536,17,FALSE)</f>
        <v>2</v>
      </c>
      <c r="L133" s="22">
        <f>VLOOKUP($A133,[1]maaltijden!$A$1:$IV$65536,20,FALSE)</f>
        <v>2200</v>
      </c>
      <c r="M133" s="22">
        <f>VLOOKUP($A133,[1]maaltijden!$A$1:$IV$65536,22,FALSE)</f>
        <v>2200</v>
      </c>
      <c r="N133" s="135"/>
      <c r="O133" s="50"/>
      <c r="P133" s="19">
        <v>0</v>
      </c>
      <c r="Q133" s="20">
        <v>1</v>
      </c>
      <c r="R133" s="21">
        <v>0</v>
      </c>
      <c r="S133" s="19">
        <v>0</v>
      </c>
      <c r="T133" s="20">
        <v>1</v>
      </c>
      <c r="U133" s="19">
        <v>1</v>
      </c>
      <c r="V133" s="20">
        <v>1</v>
      </c>
      <c r="W133" s="20">
        <v>1</v>
      </c>
      <c r="X133" s="20">
        <v>1</v>
      </c>
      <c r="Y133" s="20">
        <v>1</v>
      </c>
      <c r="Z133" s="20">
        <v>0</v>
      </c>
      <c r="AA133" s="20">
        <v>0</v>
      </c>
      <c r="AB133" s="49">
        <v>0</v>
      </c>
      <c r="AC133" s="49">
        <v>0</v>
      </c>
      <c r="AD133" s="49">
        <v>0</v>
      </c>
      <c r="AE133" s="49">
        <v>0</v>
      </c>
      <c r="AF133" s="49">
        <v>0</v>
      </c>
      <c r="AG133" s="161">
        <v>0</v>
      </c>
      <c r="AH133" s="162">
        <v>1</v>
      </c>
      <c r="AI133" s="162">
        <v>1</v>
      </c>
      <c r="AJ133" s="162">
        <v>0</v>
      </c>
      <c r="AK133" s="162">
        <v>0</v>
      </c>
      <c r="AL133" s="163">
        <v>0</v>
      </c>
      <c r="AM133" s="19">
        <v>0</v>
      </c>
      <c r="AN133" s="20" t="str">
        <f>IFERROR(INDEX([2]lijnopstellingsfiche!$AP$1:$AP$65536,MATCH(A133,[2]lijnopstellingsfiche!$AQ$1:$AQ$65536,0)),"")</f>
        <v>-</v>
      </c>
      <c r="AO133" s="20">
        <v>0</v>
      </c>
      <c r="AP133" s="20">
        <v>0</v>
      </c>
      <c r="AQ133" s="20">
        <v>1</v>
      </c>
      <c r="AR133" s="20">
        <v>0</v>
      </c>
      <c r="AS133" s="20">
        <v>0</v>
      </c>
      <c r="AT133" s="20">
        <v>1</v>
      </c>
      <c r="AU133" s="20">
        <v>0</v>
      </c>
      <c r="AV133" s="23">
        <v>0</v>
      </c>
      <c r="AW133" s="108">
        <v>0</v>
      </c>
      <c r="AX133" s="108">
        <v>0</v>
      </c>
      <c r="AY133" s="108">
        <v>1</v>
      </c>
      <c r="AZ133" s="108">
        <v>0</v>
      </c>
      <c r="BA133" s="114">
        <v>1</v>
      </c>
      <c r="BB133" s="20">
        <v>0</v>
      </c>
      <c r="BC133" s="113">
        <v>0</v>
      </c>
      <c r="BD133" s="200" t="str">
        <f>VLOOKUP($A133,'[3]allergenen 6nr'!$A$1:$O$1310,3,FALSE)</f>
        <v>-</v>
      </c>
      <c r="BE133" s="201" t="str">
        <f>VLOOKUP($A133,'[3]allergenen 6nr'!$A$1:$O$1310,4,FALSE)</f>
        <v>X</v>
      </c>
      <c r="BF133" s="201" t="str">
        <f>VLOOKUP($A133,'[3]allergenen 6nr'!$A$1:$O$1310,5,FALSE)</f>
        <v>+</v>
      </c>
      <c r="BG133" s="201" t="str">
        <f>VLOOKUP($A133,'[3]allergenen 6nr'!$A$1:$O$1310,6,FALSE)</f>
        <v>-</v>
      </c>
      <c r="BH133" s="201" t="str">
        <f>VLOOKUP($A133,'[3]allergenen 6nr'!$A$1:$O$1310,7,FALSE)</f>
        <v>+</v>
      </c>
      <c r="BI133" s="201" t="str">
        <f>VLOOKUP($A133,'[3]allergenen 6nr'!$A$1:$O$1310,8,FALSE)</f>
        <v>X</v>
      </c>
      <c r="BJ133" s="201" t="str">
        <f>VLOOKUP($A133,'[3]allergenen 6nr'!$A$1:$O$1310,9,FALSE)</f>
        <v>-</v>
      </c>
      <c r="BK133" s="201" t="str">
        <f>VLOOKUP($A133,'[3]allergenen 6nr'!$A$1:$O$1310,10,FALSE)</f>
        <v>-</v>
      </c>
      <c r="BL133" s="201" t="str">
        <f>VLOOKUP($A133,'[3]allergenen 6nr'!$A$1:$O$1310,11,FALSE)</f>
        <v>X</v>
      </c>
      <c r="BM133" s="201" t="str">
        <f>VLOOKUP($A133,'[3]allergenen 6nr'!$A$1:$O$1310,12,FALSE)</f>
        <v>-</v>
      </c>
      <c r="BN133" s="201" t="str">
        <f>VLOOKUP($A133,'[3]allergenen 6nr'!$A$1:$O$1310,13,FALSE)</f>
        <v>X</v>
      </c>
      <c r="BO133" s="201" t="str">
        <f>VLOOKUP($A133,'[3]allergenen 6nr'!$A$1:$O$1310,14,FALSE)</f>
        <v>-</v>
      </c>
      <c r="BP133" s="202" t="str">
        <f>VLOOKUP($A133,'[3]allergenen 6nr'!$A$1:$O$1310,15,FALSE)</f>
        <v>-</v>
      </c>
    </row>
    <row r="134" spans="1:68" x14ac:dyDescent="0.2">
      <c r="A134" s="89">
        <v>63511900</v>
      </c>
      <c r="B134" s="53" t="str">
        <f>VLOOKUP($A134,[1]maaltijden!$A$1:$IV$65536,4,FALSE)</f>
        <v>DMC VARKENSGEBR MOSTERDSAUS SPRUITEN KNOLSELDERPUREE</v>
      </c>
      <c r="C134" s="46" t="str">
        <f>VLOOKUP($A134,[1]maaltijden!$A$1:$IV$65536,7,FALSE)</f>
        <v>C2227-2K</v>
      </c>
      <c r="D134" s="22" t="str">
        <f>VLOOKUP($A134,[1]maaltijden!$A$1:$IV$65536,10,FALSE)</f>
        <v>NVT</v>
      </c>
      <c r="E134" s="22" t="str">
        <f>VLOOKUP($A134,[1]maaltijden!$A$1:$IV$65536,13,FALSE)</f>
        <v>DMC X 6</v>
      </c>
      <c r="F134" s="20">
        <f t="shared" si="2"/>
        <v>0</v>
      </c>
      <c r="G134" s="20" t="str">
        <f>VLOOKUP($A134,[1]maaltijden!$A$1:$IV$65536,27,FALSE)</f>
        <v>! ! !</v>
      </c>
      <c r="H134" s="22">
        <f>VLOOKUP($A134,[1]maaltijden!$A$1:$IV$65536,21,FALSE)</f>
        <v>4</v>
      </c>
      <c r="I134" s="22">
        <f>VLOOKUP($A134,[1]maaltijden!$A$1:$IV$65536,21,FALSE)</f>
        <v>4</v>
      </c>
      <c r="J134" s="22">
        <f>VLOOKUP($A134,[1]maaltijden!$A$1:$IV$65536,18,FALSE)</f>
        <v>3</v>
      </c>
      <c r="K134" s="22">
        <f>VLOOKUP($A134,[1]maaltijden!$A$1:$IV$65536,17,FALSE)</f>
        <v>3</v>
      </c>
      <c r="L134" s="22">
        <f>VLOOKUP($A134,[1]maaltijden!$A$1:$IV$65536,20,FALSE)</f>
        <v>2200</v>
      </c>
      <c r="M134" s="22">
        <f>VLOOKUP($A134,[1]maaltijden!$A$1:$IV$65536,22,FALSE)</f>
        <v>2200</v>
      </c>
      <c r="N134" s="135"/>
      <c r="O134" s="50"/>
      <c r="P134" s="19">
        <v>0</v>
      </c>
      <c r="Q134" s="20">
        <v>1</v>
      </c>
      <c r="R134" s="21">
        <v>0</v>
      </c>
      <c r="S134" s="19">
        <v>0</v>
      </c>
      <c r="T134" s="20">
        <v>1</v>
      </c>
      <c r="U134" s="19">
        <v>0</v>
      </c>
      <c r="V134" s="20">
        <v>1</v>
      </c>
      <c r="W134" s="20">
        <v>1</v>
      </c>
      <c r="X134" s="20">
        <v>1</v>
      </c>
      <c r="Y134" s="20">
        <v>1</v>
      </c>
      <c r="Z134" s="20">
        <v>0</v>
      </c>
      <c r="AA134" s="20">
        <v>0</v>
      </c>
      <c r="AB134" s="49">
        <v>0</v>
      </c>
      <c r="AC134" s="49">
        <v>0</v>
      </c>
      <c r="AD134" s="49">
        <v>0</v>
      </c>
      <c r="AE134" s="49">
        <v>1</v>
      </c>
      <c r="AF134" s="49">
        <v>0</v>
      </c>
      <c r="AG134" s="161">
        <v>0</v>
      </c>
      <c r="AH134" s="162">
        <v>2</v>
      </c>
      <c r="AI134" s="162">
        <v>2</v>
      </c>
      <c r="AJ134" s="162">
        <v>0</v>
      </c>
      <c r="AK134" s="162">
        <v>0</v>
      </c>
      <c r="AL134" s="163">
        <v>0</v>
      </c>
      <c r="AM134" s="19">
        <v>0</v>
      </c>
      <c r="AN134" s="20" t="str">
        <f>IFERROR(INDEX([2]lijnopstellingsfiche!$AP$1:$AP$65536,MATCH(A134,[2]lijnopstellingsfiche!$AQ$1:$AQ$65536,0)),"")</f>
        <v>-</v>
      </c>
      <c r="AO134" s="20">
        <v>0</v>
      </c>
      <c r="AP134" s="20">
        <v>0</v>
      </c>
      <c r="AQ134" s="20">
        <v>1</v>
      </c>
      <c r="AR134" s="20">
        <v>1</v>
      </c>
      <c r="AS134" s="20">
        <v>0</v>
      </c>
      <c r="AT134" s="20">
        <v>0</v>
      </c>
      <c r="AU134" s="20">
        <v>0</v>
      </c>
      <c r="AV134" s="23">
        <v>0</v>
      </c>
      <c r="AW134" s="108">
        <v>0</v>
      </c>
      <c r="AX134" s="108">
        <v>0</v>
      </c>
      <c r="AY134" s="108">
        <v>1</v>
      </c>
      <c r="AZ134" s="108">
        <v>0</v>
      </c>
      <c r="BA134" s="114">
        <v>1</v>
      </c>
      <c r="BB134" s="20">
        <v>0</v>
      </c>
      <c r="BC134" s="113">
        <v>0</v>
      </c>
      <c r="BD134" s="200" t="str">
        <f>VLOOKUP($A134,'[3]allergenen 6nr'!$A$1:$O$1310,3,FALSE)</f>
        <v>X</v>
      </c>
      <c r="BE134" s="201" t="str">
        <f>VLOOKUP($A134,'[3]allergenen 6nr'!$A$1:$O$1310,4,FALSE)</f>
        <v>+</v>
      </c>
      <c r="BF134" s="201" t="str">
        <f>VLOOKUP($A134,'[3]allergenen 6nr'!$A$1:$O$1310,5,FALSE)</f>
        <v>+</v>
      </c>
      <c r="BG134" s="201" t="str">
        <f>VLOOKUP($A134,'[3]allergenen 6nr'!$A$1:$O$1310,6,FALSE)</f>
        <v>X</v>
      </c>
      <c r="BH134" s="201" t="str">
        <f>VLOOKUP($A134,'[3]allergenen 6nr'!$A$1:$O$1310,7,FALSE)</f>
        <v>+</v>
      </c>
      <c r="BI134" s="201" t="str">
        <f>VLOOKUP($A134,'[3]allergenen 6nr'!$A$1:$O$1310,8,FALSE)</f>
        <v>+</v>
      </c>
      <c r="BJ134" s="201" t="str">
        <f>VLOOKUP($A134,'[3]allergenen 6nr'!$A$1:$O$1310,9,FALSE)</f>
        <v>X</v>
      </c>
      <c r="BK134" s="201" t="str">
        <f>VLOOKUP($A134,'[3]allergenen 6nr'!$A$1:$O$1310,10,FALSE)</f>
        <v>X</v>
      </c>
      <c r="BL134" s="201" t="str">
        <f>VLOOKUP($A134,'[3]allergenen 6nr'!$A$1:$O$1310,11,FALSE)</f>
        <v>+</v>
      </c>
      <c r="BM134" s="201" t="str">
        <f>VLOOKUP($A134,'[3]allergenen 6nr'!$A$1:$O$1310,12,FALSE)</f>
        <v>X</v>
      </c>
      <c r="BN134" s="201" t="str">
        <f>VLOOKUP($A134,'[3]allergenen 6nr'!$A$1:$O$1310,13,FALSE)</f>
        <v>X</v>
      </c>
      <c r="BO134" s="201" t="str">
        <f>VLOOKUP($A134,'[3]allergenen 6nr'!$A$1:$O$1310,14,FALSE)</f>
        <v>X</v>
      </c>
      <c r="BP134" s="202" t="str">
        <f>VLOOKUP($A134,'[3]allergenen 6nr'!$A$1:$O$1310,15,FALSE)</f>
        <v>-</v>
      </c>
    </row>
    <row r="135" spans="1:68" x14ac:dyDescent="0.2">
      <c r="A135" s="89">
        <v>63512100</v>
      </c>
      <c r="B135" s="53" t="str">
        <f>VLOOKUP($A135,[1]maaltijden!$A$1:$IV$65536,4,FALSE)</f>
        <v xml:space="preserve">DMC HUTSEPOT SPEK EN ROOKWORST </v>
      </c>
      <c r="C135" s="46" t="str">
        <f>VLOOKUP($A135,[1]maaltijden!$A$1:$IV$65536,7,FALSE)</f>
        <v>C2227-1H</v>
      </c>
      <c r="D135" s="22" t="str">
        <f>VLOOKUP($A135,[1]maaltijden!$A$1:$IV$65536,10,FALSE)</f>
        <v>NVT</v>
      </c>
      <c r="E135" s="22" t="str">
        <f>VLOOKUP($A135,[1]maaltijden!$A$1:$IV$65536,13,FALSE)</f>
        <v>DMC X 6</v>
      </c>
      <c r="F135" s="20">
        <f t="shared" si="2"/>
        <v>0</v>
      </c>
      <c r="G135" s="20" t="str">
        <f>VLOOKUP($A135,[1]maaltijden!$A$1:$IV$65536,27,FALSE)</f>
        <v>! ! !</v>
      </c>
      <c r="H135" s="22">
        <f>VLOOKUP($A135,[1]maaltijden!$A$1:$IV$65536,21,FALSE)</f>
        <v>3</v>
      </c>
      <c r="I135" s="22">
        <f>VLOOKUP($A135,[1]maaltijden!$A$1:$IV$65536,21,FALSE)</f>
        <v>3</v>
      </c>
      <c r="J135" s="22">
        <f>VLOOKUP($A135,[1]maaltijden!$A$1:$IV$65536,18,FALSE)</f>
        <v>3</v>
      </c>
      <c r="K135" s="22">
        <f>VLOOKUP($A135,[1]maaltijden!$A$1:$IV$65536,17,FALSE)</f>
        <v>2</v>
      </c>
      <c r="L135" s="22">
        <f>VLOOKUP($A135,[1]maaltijden!$A$1:$IV$65536,20,FALSE)</f>
        <v>1750</v>
      </c>
      <c r="M135" s="22">
        <f>VLOOKUP($A135,[1]maaltijden!$A$1:$IV$65536,22,FALSE)</f>
        <v>1750</v>
      </c>
      <c r="N135" s="135" t="s">
        <v>418</v>
      </c>
      <c r="O135" s="50"/>
      <c r="P135" s="19">
        <v>0</v>
      </c>
      <c r="Q135" s="20">
        <v>1</v>
      </c>
      <c r="R135" s="21">
        <v>0</v>
      </c>
      <c r="S135" s="19">
        <v>0</v>
      </c>
      <c r="T135" s="20">
        <v>1</v>
      </c>
      <c r="U135" s="19">
        <v>1</v>
      </c>
      <c r="V135" s="20">
        <v>1</v>
      </c>
      <c r="W135" s="20">
        <v>1</v>
      </c>
      <c r="X135" s="20">
        <v>1</v>
      </c>
      <c r="Y135" s="20">
        <v>1</v>
      </c>
      <c r="Z135" s="20">
        <v>0</v>
      </c>
      <c r="AA135" s="20">
        <v>0</v>
      </c>
      <c r="AB135" s="49">
        <v>0</v>
      </c>
      <c r="AC135" s="49">
        <v>0</v>
      </c>
      <c r="AD135" s="49">
        <v>0</v>
      </c>
      <c r="AE135" s="49">
        <v>1</v>
      </c>
      <c r="AF135" s="49">
        <v>0</v>
      </c>
      <c r="AG135" s="161">
        <v>0</v>
      </c>
      <c r="AH135" s="162">
        <v>0</v>
      </c>
      <c r="AI135" s="162">
        <v>2</v>
      </c>
      <c r="AJ135" s="162">
        <v>0</v>
      </c>
      <c r="AK135" s="162">
        <v>0</v>
      </c>
      <c r="AL135" s="163">
        <v>0</v>
      </c>
      <c r="AM135" s="19">
        <v>0</v>
      </c>
      <c r="AN135" s="20" t="str">
        <f>IFERROR(INDEX([2]lijnopstellingsfiche!$AP$1:$AP$65536,MATCH(A135,[2]lijnopstellingsfiche!$AQ$1:$AQ$65536,0)),"")</f>
        <v>-</v>
      </c>
      <c r="AO135" s="20">
        <v>0</v>
      </c>
      <c r="AP135" s="20">
        <v>0</v>
      </c>
      <c r="AQ135" s="20">
        <v>1</v>
      </c>
      <c r="AR135" s="20">
        <v>0</v>
      </c>
      <c r="AS135" s="20">
        <v>0</v>
      </c>
      <c r="AT135" s="20">
        <v>0</v>
      </c>
      <c r="AU135" s="20">
        <v>0</v>
      </c>
      <c r="AV135" s="23">
        <v>0</v>
      </c>
      <c r="AW135" s="108">
        <v>0</v>
      </c>
      <c r="AX135" s="108">
        <v>0</v>
      </c>
      <c r="AY135" s="108">
        <v>1</v>
      </c>
      <c r="AZ135" s="108">
        <v>0</v>
      </c>
      <c r="BA135" s="114">
        <v>1</v>
      </c>
      <c r="BB135" s="20">
        <v>0</v>
      </c>
      <c r="BC135" s="113">
        <v>0</v>
      </c>
      <c r="BD135" s="200" t="str">
        <f>VLOOKUP($A135,'[3]allergenen 6nr'!$A$1:$O$1310,3,FALSE)</f>
        <v>-</v>
      </c>
      <c r="BE135" s="201" t="str">
        <f>VLOOKUP($A135,'[3]allergenen 6nr'!$A$1:$O$1310,4,FALSE)</f>
        <v>X</v>
      </c>
      <c r="BF135" s="201" t="str">
        <f>VLOOKUP($A135,'[3]allergenen 6nr'!$A$1:$O$1310,5,FALSE)</f>
        <v>-</v>
      </c>
      <c r="BG135" s="201" t="str">
        <f>VLOOKUP($A135,'[3]allergenen 6nr'!$A$1:$O$1310,6,FALSE)</f>
        <v>-</v>
      </c>
      <c r="BH135" s="201" t="str">
        <f>VLOOKUP($A135,'[3]allergenen 6nr'!$A$1:$O$1310,7,FALSE)</f>
        <v>X</v>
      </c>
      <c r="BI135" s="201" t="str">
        <f>VLOOKUP($A135,'[3]allergenen 6nr'!$A$1:$O$1310,8,FALSE)</f>
        <v>X</v>
      </c>
      <c r="BJ135" s="201" t="str">
        <f>VLOOKUP($A135,'[3]allergenen 6nr'!$A$1:$O$1310,9,FALSE)</f>
        <v>-</v>
      </c>
      <c r="BK135" s="201" t="str">
        <f>VLOOKUP($A135,'[3]allergenen 6nr'!$A$1:$O$1310,10,FALSE)</f>
        <v>-</v>
      </c>
      <c r="BL135" s="201" t="str">
        <f>VLOOKUP($A135,'[3]allergenen 6nr'!$A$1:$O$1310,11,FALSE)</f>
        <v>+</v>
      </c>
      <c r="BM135" s="201" t="str">
        <f>VLOOKUP($A135,'[3]allergenen 6nr'!$A$1:$O$1310,12,FALSE)</f>
        <v>-</v>
      </c>
      <c r="BN135" s="201" t="str">
        <f>VLOOKUP($A135,'[3]allergenen 6nr'!$A$1:$O$1310,13,FALSE)</f>
        <v>X</v>
      </c>
      <c r="BO135" s="201" t="str">
        <f>VLOOKUP($A135,'[3]allergenen 6nr'!$A$1:$O$1310,14,FALSE)</f>
        <v>-</v>
      </c>
      <c r="BP135" s="202" t="str">
        <f>VLOOKUP($A135,'[3]allergenen 6nr'!$A$1:$O$1310,15,FALSE)</f>
        <v>-</v>
      </c>
    </row>
    <row r="136" spans="1:68" x14ac:dyDescent="0.2">
      <c r="A136" s="89">
        <v>63512200</v>
      </c>
      <c r="B136" s="53" t="str">
        <f>VLOOKUP($A136,[1]maaltijden!$A$1:$IV$65536,4,FALSE)</f>
        <v>DMC KOOLVIS HOLLANDAISESAUS PREIROOM KRIEL</v>
      </c>
      <c r="C136" s="46" t="str">
        <f>VLOOKUP($A136,[1]maaltijden!$A$1:$IV$65536,7,FALSE)</f>
        <v>C2227-3R</v>
      </c>
      <c r="D136" s="22" t="str">
        <f>VLOOKUP($A136,[1]maaltijden!$A$1:$IV$65536,10,FALSE)</f>
        <v>NVT</v>
      </c>
      <c r="E136" s="22" t="str">
        <f>VLOOKUP($A136,[1]maaltijden!$A$1:$IV$65536,13,FALSE)</f>
        <v>DMC X 6</v>
      </c>
      <c r="F136" s="20">
        <f t="shared" si="2"/>
        <v>0</v>
      </c>
      <c r="G136" s="20" t="str">
        <f>VLOOKUP($A136,[1]maaltijden!$A$1:$IV$65536,27,FALSE)</f>
        <v>! ! ! !</v>
      </c>
      <c r="H136" s="22">
        <f>VLOOKUP($A136,[1]maaltijden!$A$1:$IV$65536,21,FALSE)</f>
        <v>6</v>
      </c>
      <c r="I136" s="22">
        <f>VLOOKUP($A136,[1]maaltijden!$A$1:$IV$65536,21,FALSE)</f>
        <v>6</v>
      </c>
      <c r="J136" s="22">
        <f>VLOOKUP($A136,[1]maaltijden!$A$1:$IV$65536,18,FALSE)</f>
        <v>3</v>
      </c>
      <c r="K136" s="22">
        <f>VLOOKUP($A136,[1]maaltijden!$A$1:$IV$65536,17,FALSE)</f>
        <v>2</v>
      </c>
      <c r="L136" s="22">
        <f>VLOOKUP($A136,[1]maaltijden!$A$1:$IV$65536,20,FALSE)</f>
        <v>2200</v>
      </c>
      <c r="M136" s="22">
        <f>VLOOKUP($A136,[1]maaltijden!$A$1:$IV$65536,22,FALSE)</f>
        <v>2200</v>
      </c>
      <c r="N136" s="44"/>
      <c r="O136" s="50"/>
      <c r="P136" s="19">
        <v>0</v>
      </c>
      <c r="Q136" s="20">
        <v>1</v>
      </c>
      <c r="R136" s="21">
        <v>0</v>
      </c>
      <c r="S136" s="19">
        <v>0</v>
      </c>
      <c r="T136" s="20">
        <v>1</v>
      </c>
      <c r="U136" s="19">
        <v>1</v>
      </c>
      <c r="V136" s="20">
        <v>1</v>
      </c>
      <c r="W136" s="20">
        <v>1</v>
      </c>
      <c r="X136" s="20">
        <v>1</v>
      </c>
      <c r="Y136" s="20">
        <v>1</v>
      </c>
      <c r="Z136" s="20">
        <v>0</v>
      </c>
      <c r="AA136" s="20">
        <v>0</v>
      </c>
      <c r="AB136" s="49">
        <v>0</v>
      </c>
      <c r="AC136" s="49">
        <v>0</v>
      </c>
      <c r="AD136" s="49">
        <v>0</v>
      </c>
      <c r="AE136" s="49">
        <v>1</v>
      </c>
      <c r="AF136" s="49">
        <v>0</v>
      </c>
      <c r="AG136" s="161">
        <v>0</v>
      </c>
      <c r="AH136" s="162">
        <v>1</v>
      </c>
      <c r="AI136" s="162">
        <v>1</v>
      </c>
      <c r="AJ136" s="162">
        <v>0</v>
      </c>
      <c r="AK136" s="162">
        <v>0</v>
      </c>
      <c r="AL136" s="163">
        <v>0</v>
      </c>
      <c r="AM136" s="19">
        <v>0</v>
      </c>
      <c r="AN136" s="20">
        <f>IFERROR(INDEX([2]lijnopstellingsfiche!$AP$1:$AP$65536,MATCH(A136,[2]lijnopstellingsfiche!$AQ$1:$AQ$65536,0)),"")</f>
        <v>1</v>
      </c>
      <c r="AO136" s="20">
        <v>0</v>
      </c>
      <c r="AP136" s="20">
        <v>0</v>
      </c>
      <c r="AQ136" s="20">
        <v>2</v>
      </c>
      <c r="AR136" s="20">
        <v>0</v>
      </c>
      <c r="AS136" s="20">
        <v>0</v>
      </c>
      <c r="AT136" s="20">
        <v>1</v>
      </c>
      <c r="AU136" s="20">
        <v>0</v>
      </c>
      <c r="AV136" s="23">
        <v>0</v>
      </c>
      <c r="AW136" s="108">
        <v>0</v>
      </c>
      <c r="AX136" s="108">
        <v>0</v>
      </c>
      <c r="AY136" s="108">
        <v>1</v>
      </c>
      <c r="AZ136" s="108">
        <v>0</v>
      </c>
      <c r="BA136" s="114">
        <v>1</v>
      </c>
      <c r="BB136" s="20">
        <v>0</v>
      </c>
      <c r="BC136" s="113">
        <v>0</v>
      </c>
      <c r="BD136" s="200" t="str">
        <f>VLOOKUP($A136,'[3]allergenen 6nr'!$A$1:$O$1310,3,FALSE)</f>
        <v>-</v>
      </c>
      <c r="BE136" s="201" t="str">
        <f>VLOOKUP($A136,'[3]allergenen 6nr'!$A$1:$O$1310,4,FALSE)</f>
        <v>-</v>
      </c>
      <c r="BF136" s="201" t="str">
        <f>VLOOKUP($A136,'[3]allergenen 6nr'!$A$1:$O$1310,5,FALSE)</f>
        <v>-</v>
      </c>
      <c r="BG136" s="201" t="str">
        <f>VLOOKUP($A136,'[3]allergenen 6nr'!$A$1:$O$1310,6,FALSE)</f>
        <v>-</v>
      </c>
      <c r="BH136" s="201" t="str">
        <f>VLOOKUP($A136,'[3]allergenen 6nr'!$A$1:$O$1310,7,FALSE)</f>
        <v>+</v>
      </c>
      <c r="BI136" s="201" t="str">
        <f>VLOOKUP($A136,'[3]allergenen 6nr'!$A$1:$O$1310,8,FALSE)</f>
        <v>-</v>
      </c>
      <c r="BJ136" s="201" t="str">
        <f>VLOOKUP($A136,'[3]allergenen 6nr'!$A$1:$O$1310,9,FALSE)</f>
        <v>-</v>
      </c>
      <c r="BK136" s="201" t="str">
        <f>VLOOKUP($A136,'[3]allergenen 6nr'!$A$1:$O$1310,10,FALSE)</f>
        <v>-</v>
      </c>
      <c r="BL136" s="201" t="str">
        <f>VLOOKUP($A136,'[3]allergenen 6nr'!$A$1:$O$1310,11,FALSE)</f>
        <v>+</v>
      </c>
      <c r="BM136" s="201" t="str">
        <f>VLOOKUP($A136,'[3]allergenen 6nr'!$A$1:$O$1310,12,FALSE)</f>
        <v>-</v>
      </c>
      <c r="BN136" s="201" t="str">
        <f>VLOOKUP($A136,'[3]allergenen 6nr'!$A$1:$O$1310,13,FALSE)</f>
        <v>-</v>
      </c>
      <c r="BO136" s="201" t="str">
        <f>VLOOKUP($A136,'[3]allergenen 6nr'!$A$1:$O$1310,14,FALSE)</f>
        <v>+</v>
      </c>
      <c r="BP136" s="202" t="str">
        <f>VLOOKUP($A136,'[3]allergenen 6nr'!$A$1:$O$1310,15,FALSE)</f>
        <v>-</v>
      </c>
    </row>
    <row r="137" spans="1:68" x14ac:dyDescent="0.2">
      <c r="A137" s="89">
        <v>63512300</v>
      </c>
      <c r="B137" s="53" t="str">
        <f>VLOOKUP($A137,[1]maaltijden!$A$1:$IV$65536,4,FALSE)</f>
        <v>DMC KABELJAUW GARNAAL BIESLOOKSAUS PUREE MET VENKEL EN TOMAAT</v>
      </c>
      <c r="C137" s="46" t="str">
        <f>VLOOKUP($A137,[1]maaltijden!$A$1:$IV$65536,7,FALSE)</f>
        <v>C2227-2K</v>
      </c>
      <c r="D137" s="22" t="str">
        <f>VLOOKUP($A137,[1]maaltijden!$A$1:$IV$65536,10,FALSE)</f>
        <v>NVT</v>
      </c>
      <c r="E137" s="22" t="str">
        <f>VLOOKUP($A137,[1]maaltijden!$A$1:$IV$65536,13,FALSE)</f>
        <v>DMC X 6</v>
      </c>
      <c r="F137" s="20">
        <f t="shared" si="2"/>
        <v>0</v>
      </c>
      <c r="G137" s="20" t="str">
        <f>VLOOKUP($A137,[1]maaltijden!$A$1:$IV$65536,27,FALSE)</f>
        <v>! ! ! !</v>
      </c>
      <c r="H137" s="22">
        <f>VLOOKUP($A137,[1]maaltijden!$A$1:$IV$65536,21,FALSE)</f>
        <v>3</v>
      </c>
      <c r="I137" s="22">
        <f>VLOOKUP($A137,[1]maaltijden!$A$1:$IV$65536,21,FALSE)</f>
        <v>3</v>
      </c>
      <c r="J137" s="22">
        <f>VLOOKUP($A137,[1]maaltijden!$A$1:$IV$65536,18,FALSE)</f>
        <v>3</v>
      </c>
      <c r="K137" s="22">
        <f>VLOOKUP($A137,[1]maaltijden!$A$1:$IV$65536,17,FALSE)</f>
        <v>2.5</v>
      </c>
      <c r="L137" s="22">
        <f>VLOOKUP($A137,[1]maaltijden!$A$1:$IV$65536,20,FALSE)</f>
        <v>2000</v>
      </c>
      <c r="M137" s="22">
        <f>VLOOKUP($A137,[1]maaltijden!$A$1:$IV$65536,22,FALSE)</f>
        <v>2000</v>
      </c>
      <c r="N137" s="135"/>
      <c r="O137" s="50"/>
      <c r="P137" s="19">
        <v>0</v>
      </c>
      <c r="Q137" s="20">
        <v>1</v>
      </c>
      <c r="R137" s="21">
        <v>0</v>
      </c>
      <c r="S137" s="19">
        <v>0</v>
      </c>
      <c r="T137" s="20">
        <v>1</v>
      </c>
      <c r="U137" s="19">
        <v>1</v>
      </c>
      <c r="V137" s="20">
        <v>1</v>
      </c>
      <c r="W137" s="20">
        <v>1</v>
      </c>
      <c r="X137" s="20">
        <v>1</v>
      </c>
      <c r="Y137" s="20">
        <v>1</v>
      </c>
      <c r="Z137" s="20">
        <v>0</v>
      </c>
      <c r="AA137" s="20">
        <v>0</v>
      </c>
      <c r="AB137" s="49">
        <v>0</v>
      </c>
      <c r="AC137" s="49">
        <v>0</v>
      </c>
      <c r="AD137" s="49">
        <v>0</v>
      </c>
      <c r="AE137" s="49">
        <v>0</v>
      </c>
      <c r="AF137" s="49">
        <v>0</v>
      </c>
      <c r="AG137" s="161">
        <v>0</v>
      </c>
      <c r="AH137" s="162">
        <v>2</v>
      </c>
      <c r="AI137" s="162">
        <v>0</v>
      </c>
      <c r="AJ137" s="162">
        <v>0</v>
      </c>
      <c r="AK137" s="162">
        <v>0</v>
      </c>
      <c r="AL137" s="163">
        <v>0</v>
      </c>
      <c r="AM137" s="19">
        <v>0</v>
      </c>
      <c r="AN137" s="20" t="str">
        <f>IFERROR(INDEX([2]lijnopstellingsfiche!$AP$1:$AP$65536,MATCH(A137,[2]lijnopstellingsfiche!$AQ$1:$AQ$65536,0)),"")</f>
        <v>-</v>
      </c>
      <c r="AO137" s="20">
        <v>0</v>
      </c>
      <c r="AP137" s="20">
        <v>0</v>
      </c>
      <c r="AQ137" s="20">
        <v>1</v>
      </c>
      <c r="AR137" s="20">
        <v>1</v>
      </c>
      <c r="AS137" s="20">
        <v>0</v>
      </c>
      <c r="AT137" s="20">
        <v>0</v>
      </c>
      <c r="AU137" s="20">
        <v>0</v>
      </c>
      <c r="AV137" s="23">
        <v>0</v>
      </c>
      <c r="AW137" s="108">
        <v>0</v>
      </c>
      <c r="AX137" s="108">
        <v>0</v>
      </c>
      <c r="AY137" s="108">
        <v>1</v>
      </c>
      <c r="AZ137" s="108">
        <v>0</v>
      </c>
      <c r="BA137" s="114">
        <v>1</v>
      </c>
      <c r="BB137" s="20">
        <v>0</v>
      </c>
      <c r="BC137" s="113">
        <v>0</v>
      </c>
      <c r="BD137" s="200" t="str">
        <f>VLOOKUP($A137,'[3]allergenen 6nr'!$A$1:$O$1310,3,FALSE)</f>
        <v>-</v>
      </c>
      <c r="BE137" s="201" t="str">
        <f>VLOOKUP($A137,'[3]allergenen 6nr'!$A$1:$O$1310,4,FALSE)</f>
        <v>-</v>
      </c>
      <c r="BF137" s="201" t="str">
        <f>VLOOKUP($A137,'[3]allergenen 6nr'!$A$1:$O$1310,5,FALSE)</f>
        <v>+</v>
      </c>
      <c r="BG137" s="201" t="str">
        <f>VLOOKUP($A137,'[3]allergenen 6nr'!$A$1:$O$1310,6,FALSE)</f>
        <v>-</v>
      </c>
      <c r="BH137" s="201" t="str">
        <f>VLOOKUP($A137,'[3]allergenen 6nr'!$A$1:$O$1310,7,FALSE)</f>
        <v>+</v>
      </c>
      <c r="BI137" s="201" t="str">
        <f>VLOOKUP($A137,'[3]allergenen 6nr'!$A$1:$O$1310,8,FALSE)</f>
        <v>X</v>
      </c>
      <c r="BJ137" s="201" t="str">
        <f>VLOOKUP($A137,'[3]allergenen 6nr'!$A$1:$O$1310,9,FALSE)</f>
        <v>-</v>
      </c>
      <c r="BK137" s="201" t="str">
        <f>VLOOKUP($A137,'[3]allergenen 6nr'!$A$1:$O$1310,10,FALSE)</f>
        <v>+</v>
      </c>
      <c r="BL137" s="201" t="str">
        <f>VLOOKUP($A137,'[3]allergenen 6nr'!$A$1:$O$1310,11,FALSE)</f>
        <v>+</v>
      </c>
      <c r="BM137" s="201" t="str">
        <f>VLOOKUP($A137,'[3]allergenen 6nr'!$A$1:$O$1310,12,FALSE)</f>
        <v>-</v>
      </c>
      <c r="BN137" s="201" t="str">
        <f>VLOOKUP($A137,'[3]allergenen 6nr'!$A$1:$O$1310,13,FALSE)</f>
        <v>-</v>
      </c>
      <c r="BO137" s="201" t="str">
        <f>VLOOKUP($A137,'[3]allergenen 6nr'!$A$1:$O$1310,14,FALSE)</f>
        <v>+</v>
      </c>
      <c r="BP137" s="202" t="str">
        <f>VLOOKUP($A137,'[3]allergenen 6nr'!$A$1:$O$1310,15,FALSE)</f>
        <v>X</v>
      </c>
    </row>
    <row r="138" spans="1:68" x14ac:dyDescent="0.2">
      <c r="A138" s="89">
        <v>63513200</v>
      </c>
      <c r="B138" s="53" t="str">
        <f>VLOOKUP($A138,[1]maaltijden!$A$1:$IV$65536,4,FALSE)</f>
        <v>DMC KALKOEN BORDELAISE PARIJSE WORTEL AARD PETERSELIE</v>
      </c>
      <c r="C138" s="46" t="str">
        <f>VLOOKUP($A138,[1]maaltijden!$A$1:$IV$65536,7,FALSE)</f>
        <v>C2227-3R</v>
      </c>
      <c r="D138" s="22" t="str">
        <f>VLOOKUP($A138,[1]maaltijden!$A$1:$IV$65536,10,FALSE)</f>
        <v>NVT</v>
      </c>
      <c r="E138" s="22" t="str">
        <f>VLOOKUP($A138,[1]maaltijden!$A$1:$IV$65536,13,FALSE)</f>
        <v>DMC X 6</v>
      </c>
      <c r="F138" s="20">
        <f t="shared" si="2"/>
        <v>0</v>
      </c>
      <c r="G138" s="20" t="str">
        <f>VLOOKUP($A138,[1]maaltijden!$A$1:$IV$65536,27,FALSE)</f>
        <v>! !</v>
      </c>
      <c r="H138" s="22">
        <f>VLOOKUP($A138,[1]maaltijden!$A$1:$IV$65536,21,FALSE)</f>
        <v>10</v>
      </c>
      <c r="I138" s="22">
        <f>VLOOKUP($A138,[1]maaltijden!$A$1:$IV$65536,21,FALSE)</f>
        <v>10</v>
      </c>
      <c r="J138" s="22">
        <f>VLOOKUP($A138,[1]maaltijden!$A$1:$IV$65536,18,FALSE)</f>
        <v>3</v>
      </c>
      <c r="K138" s="22">
        <f>VLOOKUP($A138,[1]maaltijden!$A$1:$IV$65536,17,FALSE)</f>
        <v>2</v>
      </c>
      <c r="L138" s="22">
        <f>VLOOKUP($A138,[1]maaltijden!$A$1:$IV$65536,20,FALSE)</f>
        <v>1750</v>
      </c>
      <c r="M138" s="22">
        <f>VLOOKUP($A138,[1]maaltijden!$A$1:$IV$65536,22,FALSE)</f>
        <v>1750</v>
      </c>
      <c r="N138" s="135"/>
      <c r="O138" s="50"/>
      <c r="P138" s="19">
        <v>0</v>
      </c>
      <c r="Q138" s="20">
        <v>1</v>
      </c>
      <c r="R138" s="21">
        <v>0</v>
      </c>
      <c r="S138" s="19">
        <v>0</v>
      </c>
      <c r="T138" s="20">
        <v>1</v>
      </c>
      <c r="U138" s="19">
        <v>1</v>
      </c>
      <c r="V138" s="20">
        <v>1</v>
      </c>
      <c r="W138" s="20">
        <v>1</v>
      </c>
      <c r="X138" s="20">
        <v>1</v>
      </c>
      <c r="Y138" s="20">
        <v>1</v>
      </c>
      <c r="Z138" s="20">
        <v>0</v>
      </c>
      <c r="AA138" s="20">
        <v>0</v>
      </c>
      <c r="AB138" s="49">
        <v>0</v>
      </c>
      <c r="AC138" s="49">
        <v>0</v>
      </c>
      <c r="AD138" s="49">
        <v>0</v>
      </c>
      <c r="AE138" s="49">
        <v>0</v>
      </c>
      <c r="AF138" s="49">
        <v>0</v>
      </c>
      <c r="AG138" s="161">
        <v>0</v>
      </c>
      <c r="AH138" s="162">
        <v>1</v>
      </c>
      <c r="AI138" s="162">
        <v>1</v>
      </c>
      <c r="AJ138" s="162">
        <v>0</v>
      </c>
      <c r="AK138" s="162">
        <v>0</v>
      </c>
      <c r="AL138" s="163">
        <v>0</v>
      </c>
      <c r="AM138" s="19">
        <v>0</v>
      </c>
      <c r="AN138" s="20">
        <f>IFERROR(INDEX([2]lijnopstellingsfiche!$AP$1:$AP$65536,MATCH(A138,[2]lijnopstellingsfiche!$AQ$1:$AQ$65536,0)),"")</f>
        <v>5</v>
      </c>
      <c r="AO138" s="20">
        <v>0</v>
      </c>
      <c r="AP138" s="20">
        <v>0</v>
      </c>
      <c r="AQ138" s="20">
        <v>1</v>
      </c>
      <c r="AR138" s="20">
        <v>0</v>
      </c>
      <c r="AS138" s="20">
        <v>0</v>
      </c>
      <c r="AT138" s="20">
        <v>0</v>
      </c>
      <c r="AU138" s="20">
        <v>0</v>
      </c>
      <c r="AV138" s="23">
        <v>0</v>
      </c>
      <c r="AW138" s="108">
        <v>0</v>
      </c>
      <c r="AX138" s="108">
        <v>0</v>
      </c>
      <c r="AY138" s="108">
        <v>1</v>
      </c>
      <c r="AZ138" s="108">
        <v>0</v>
      </c>
      <c r="BA138" s="114">
        <v>1</v>
      </c>
      <c r="BB138" s="20">
        <v>0</v>
      </c>
      <c r="BC138" s="113">
        <v>0</v>
      </c>
      <c r="BD138" s="200" t="str">
        <f>VLOOKUP($A138,'[3]allergenen 6nr'!$A$1:$O$1310,3,FALSE)</f>
        <v>-</v>
      </c>
      <c r="BE138" s="201" t="str">
        <f>VLOOKUP($A138,'[3]allergenen 6nr'!$A$1:$O$1310,4,FALSE)</f>
        <v>X</v>
      </c>
      <c r="BF138" s="201" t="str">
        <f>VLOOKUP($A138,'[3]allergenen 6nr'!$A$1:$O$1310,5,FALSE)</f>
        <v>+</v>
      </c>
      <c r="BG138" s="201" t="str">
        <f>VLOOKUP($A138,'[3]allergenen 6nr'!$A$1:$O$1310,6,FALSE)</f>
        <v>X</v>
      </c>
      <c r="BH138" s="201" t="str">
        <f>VLOOKUP($A138,'[3]allergenen 6nr'!$A$1:$O$1310,7,FALSE)</f>
        <v>-</v>
      </c>
      <c r="BI138" s="201" t="str">
        <f>VLOOKUP($A138,'[3]allergenen 6nr'!$A$1:$O$1310,8,FALSE)</f>
        <v>X</v>
      </c>
      <c r="BJ138" s="201" t="str">
        <f>VLOOKUP($A138,'[3]allergenen 6nr'!$A$1:$O$1310,9,FALSE)</f>
        <v>-</v>
      </c>
      <c r="BK138" s="201" t="str">
        <f>VLOOKUP($A138,'[3]allergenen 6nr'!$A$1:$O$1310,10,FALSE)</f>
        <v>-</v>
      </c>
      <c r="BL138" s="201" t="str">
        <f>VLOOKUP($A138,'[3]allergenen 6nr'!$A$1:$O$1310,11,FALSE)</f>
        <v>-</v>
      </c>
      <c r="BM138" s="201" t="str">
        <f>VLOOKUP($A138,'[3]allergenen 6nr'!$A$1:$O$1310,12,FALSE)</f>
        <v>-</v>
      </c>
      <c r="BN138" s="201" t="str">
        <f>VLOOKUP($A138,'[3]allergenen 6nr'!$A$1:$O$1310,13,FALSE)</f>
        <v>X</v>
      </c>
      <c r="BO138" s="201" t="str">
        <f>VLOOKUP($A138,'[3]allergenen 6nr'!$A$1:$O$1310,14,FALSE)</f>
        <v>-</v>
      </c>
      <c r="BP138" s="202" t="str">
        <f>VLOOKUP($A138,'[3]allergenen 6nr'!$A$1:$O$1310,15,FALSE)</f>
        <v>-</v>
      </c>
    </row>
    <row r="139" spans="1:68" x14ac:dyDescent="0.2">
      <c r="A139" s="89">
        <v>63513400</v>
      </c>
      <c r="B139" s="53" t="str">
        <f>VLOOKUP($A139,[1]maaltijden!$A$1:$IV$65536,4,FALSE)</f>
        <v>DMC BALLETJES LUIKSE SAUS SPERZIEBONEN BIESLOOKPUREE</v>
      </c>
      <c r="C139" s="46" t="str">
        <f>VLOOKUP($A139,[1]maaltijden!$A$1:$IV$65536,7,FALSE)</f>
        <v>C2227-3R</v>
      </c>
      <c r="D139" s="22" t="str">
        <f>VLOOKUP($A139,[1]maaltijden!$A$1:$IV$65536,10,FALSE)</f>
        <v>NVT</v>
      </c>
      <c r="E139" s="22" t="str">
        <f>VLOOKUP($A139,[1]maaltijden!$A$1:$IV$65536,13,FALSE)</f>
        <v>DMC X 6</v>
      </c>
      <c r="F139" s="20">
        <f t="shared" si="2"/>
        <v>0</v>
      </c>
      <c r="G139" s="20" t="str">
        <f>VLOOKUP($A139,[1]maaltijden!$A$1:$IV$65536,27,FALSE)</f>
        <v>! ! !</v>
      </c>
      <c r="H139" s="22">
        <f>VLOOKUP($A139,[1]maaltijden!$A$1:$IV$65536,21,FALSE)</f>
        <v>4</v>
      </c>
      <c r="I139" s="22">
        <f>VLOOKUP($A139,[1]maaltijden!$A$1:$IV$65536,21,FALSE)</f>
        <v>4</v>
      </c>
      <c r="J139" s="22">
        <f>VLOOKUP($A139,[1]maaltijden!$A$1:$IV$65536,18,FALSE)</f>
        <v>3</v>
      </c>
      <c r="K139" s="22">
        <f>VLOOKUP($A139,[1]maaltijden!$A$1:$IV$65536,17,FALSE)</f>
        <v>3</v>
      </c>
      <c r="L139" s="22">
        <f>VLOOKUP($A139,[1]maaltijden!$A$1:$IV$65536,20,FALSE)</f>
        <v>2200</v>
      </c>
      <c r="M139" s="22">
        <f>VLOOKUP($A139,[1]maaltijden!$A$1:$IV$65536,22,FALSE)</f>
        <v>2200</v>
      </c>
      <c r="N139" s="135"/>
      <c r="O139" s="50"/>
      <c r="P139" s="19">
        <v>0</v>
      </c>
      <c r="Q139" s="20">
        <v>1</v>
      </c>
      <c r="R139" s="21">
        <v>0</v>
      </c>
      <c r="S139" s="19">
        <v>0</v>
      </c>
      <c r="T139" s="20">
        <v>1</v>
      </c>
      <c r="U139" s="19">
        <v>1</v>
      </c>
      <c r="V139" s="20">
        <v>1</v>
      </c>
      <c r="W139" s="20">
        <v>1</v>
      </c>
      <c r="X139" s="20">
        <v>1</v>
      </c>
      <c r="Y139" s="20">
        <v>1</v>
      </c>
      <c r="Z139" s="20">
        <v>0</v>
      </c>
      <c r="AA139" s="20">
        <v>0</v>
      </c>
      <c r="AB139" s="49">
        <v>0</v>
      </c>
      <c r="AC139" s="49">
        <v>0</v>
      </c>
      <c r="AD139" s="49">
        <v>0</v>
      </c>
      <c r="AE139" s="49">
        <v>0</v>
      </c>
      <c r="AF139" s="49">
        <v>0</v>
      </c>
      <c r="AG139" s="161">
        <v>0</v>
      </c>
      <c r="AH139" s="162">
        <v>2</v>
      </c>
      <c r="AI139" s="162">
        <v>1</v>
      </c>
      <c r="AJ139" s="162">
        <v>0</v>
      </c>
      <c r="AK139" s="162">
        <v>0</v>
      </c>
      <c r="AL139" s="163">
        <v>0</v>
      </c>
      <c r="AM139" s="19">
        <v>0</v>
      </c>
      <c r="AN139" s="20" t="str">
        <f>IFERROR(INDEX([2]lijnopstellingsfiche!$AP$1:$AP$65536,MATCH(A139,[2]lijnopstellingsfiche!$AQ$1:$AQ$65536,0)),"")</f>
        <v>-</v>
      </c>
      <c r="AO139" s="20">
        <v>0</v>
      </c>
      <c r="AP139" s="20">
        <v>0</v>
      </c>
      <c r="AQ139" s="20">
        <v>0</v>
      </c>
      <c r="AR139" s="20">
        <v>1</v>
      </c>
      <c r="AS139" s="20">
        <v>0</v>
      </c>
      <c r="AT139" s="20">
        <v>1</v>
      </c>
      <c r="AU139" s="20">
        <v>0</v>
      </c>
      <c r="AV139" s="23">
        <v>0</v>
      </c>
      <c r="AW139" s="108">
        <v>0</v>
      </c>
      <c r="AX139" s="108">
        <v>0</v>
      </c>
      <c r="AY139" s="108">
        <v>1</v>
      </c>
      <c r="AZ139" s="108">
        <v>0</v>
      </c>
      <c r="BA139" s="114">
        <v>1</v>
      </c>
      <c r="BB139" s="20">
        <v>0</v>
      </c>
      <c r="BC139" s="113">
        <v>0</v>
      </c>
      <c r="BD139" s="200" t="str">
        <f>VLOOKUP($A139,'[3]allergenen 6nr'!$A$1:$O$1310,3,FALSE)</f>
        <v>-</v>
      </c>
      <c r="BE139" s="201" t="str">
        <f>VLOOKUP($A139,'[3]allergenen 6nr'!$A$1:$O$1310,4,FALSE)</f>
        <v>+</v>
      </c>
      <c r="BF139" s="201" t="str">
        <f>VLOOKUP($A139,'[3]allergenen 6nr'!$A$1:$O$1310,5,FALSE)</f>
        <v>X</v>
      </c>
      <c r="BG139" s="201" t="str">
        <f>VLOOKUP($A139,'[3]allergenen 6nr'!$A$1:$O$1310,6,FALSE)</f>
        <v>-</v>
      </c>
      <c r="BH139" s="201" t="str">
        <f>VLOOKUP($A139,'[3]allergenen 6nr'!$A$1:$O$1310,7,FALSE)</f>
        <v>+</v>
      </c>
      <c r="BI139" s="201" t="str">
        <f>VLOOKUP($A139,'[3]allergenen 6nr'!$A$1:$O$1310,8,FALSE)</f>
        <v>X</v>
      </c>
      <c r="BJ139" s="201" t="str">
        <f>VLOOKUP($A139,'[3]allergenen 6nr'!$A$1:$O$1310,9,FALSE)</f>
        <v>X</v>
      </c>
      <c r="BK139" s="201" t="str">
        <f>VLOOKUP($A139,'[3]allergenen 6nr'!$A$1:$O$1310,10,FALSE)</f>
        <v>X</v>
      </c>
      <c r="BL139" s="201" t="str">
        <f>VLOOKUP($A139,'[3]allergenen 6nr'!$A$1:$O$1310,11,FALSE)</f>
        <v>+</v>
      </c>
      <c r="BM139" s="201" t="str">
        <f>VLOOKUP($A139,'[3]allergenen 6nr'!$A$1:$O$1310,12,FALSE)</f>
        <v>-</v>
      </c>
      <c r="BN139" s="201" t="str">
        <f>VLOOKUP($A139,'[3]allergenen 6nr'!$A$1:$O$1310,13,FALSE)</f>
        <v>X</v>
      </c>
      <c r="BO139" s="201" t="str">
        <f>VLOOKUP($A139,'[3]allergenen 6nr'!$A$1:$O$1310,14,FALSE)</f>
        <v>X</v>
      </c>
      <c r="BP139" s="202" t="str">
        <f>VLOOKUP($A139,'[3]allergenen 6nr'!$A$1:$O$1310,15,FALSE)</f>
        <v>X</v>
      </c>
    </row>
    <row r="140" spans="1:68" x14ac:dyDescent="0.2">
      <c r="A140" s="89">
        <v>63513600</v>
      </c>
      <c r="B140" s="53" t="str">
        <f>VLOOKUP($A140,[1]maaltijden!$A$1:$IV$65536,4,FALSE)</f>
        <v>DMC GENTSE WATERZOOI</v>
      </c>
      <c r="C140" s="46" t="str">
        <f>VLOOKUP($A140,[1]maaltijden!$A$1:$IV$65536,7,FALSE)</f>
        <v>C2227-1H</v>
      </c>
      <c r="D140" s="22" t="str">
        <f>VLOOKUP($A140,[1]maaltijden!$A$1:$IV$65536,10,FALSE)</f>
        <v>NVT</v>
      </c>
      <c r="E140" s="22" t="str">
        <f>VLOOKUP($A140,[1]maaltijden!$A$1:$IV$65536,13,FALSE)</f>
        <v>DMC X 6</v>
      </c>
      <c r="F140" s="20">
        <f t="shared" si="2"/>
        <v>0</v>
      </c>
      <c r="G140" s="20" t="str">
        <f>VLOOKUP($A140,[1]maaltijden!$A$1:$IV$65536,27,FALSE)</f>
        <v>! ! !</v>
      </c>
      <c r="H140" s="22">
        <f>VLOOKUP($A140,[1]maaltijden!$A$1:$IV$65536,21,FALSE)</f>
        <v>5</v>
      </c>
      <c r="I140" s="22">
        <f>VLOOKUP($A140,[1]maaltijden!$A$1:$IV$65536,21,FALSE)</f>
        <v>5</v>
      </c>
      <c r="J140" s="22">
        <f>VLOOKUP($A140,[1]maaltijden!$A$1:$IV$65536,18,FALSE)</f>
        <v>3</v>
      </c>
      <c r="K140" s="22">
        <f>VLOOKUP($A140,[1]maaltijden!$A$1:$IV$65536,17,FALSE)</f>
        <v>2</v>
      </c>
      <c r="L140" s="22">
        <f>VLOOKUP($A140,[1]maaltijden!$A$1:$IV$65536,20,FALSE)</f>
        <v>2000</v>
      </c>
      <c r="M140" s="22">
        <f>VLOOKUP($A140,[1]maaltijden!$A$1:$IV$65536,22,FALSE)</f>
        <v>2000</v>
      </c>
      <c r="N140" s="135"/>
      <c r="O140" s="50"/>
      <c r="P140" s="19">
        <v>0</v>
      </c>
      <c r="Q140" s="20">
        <v>1</v>
      </c>
      <c r="R140" s="21">
        <v>0</v>
      </c>
      <c r="S140" s="19">
        <v>0</v>
      </c>
      <c r="T140" s="20">
        <v>1</v>
      </c>
      <c r="U140" s="19">
        <v>0</v>
      </c>
      <c r="V140" s="20">
        <v>1</v>
      </c>
      <c r="W140" s="20">
        <v>1</v>
      </c>
      <c r="X140" s="20">
        <v>1</v>
      </c>
      <c r="Y140" s="20">
        <v>1</v>
      </c>
      <c r="Z140" s="20">
        <v>0</v>
      </c>
      <c r="AA140" s="20">
        <v>0</v>
      </c>
      <c r="AB140" s="49">
        <v>0</v>
      </c>
      <c r="AC140" s="49">
        <v>0</v>
      </c>
      <c r="AD140" s="49">
        <v>0</v>
      </c>
      <c r="AE140" s="49">
        <v>1</v>
      </c>
      <c r="AF140" s="49">
        <v>0</v>
      </c>
      <c r="AG140" s="161">
        <v>0</v>
      </c>
      <c r="AH140" s="162">
        <v>1</v>
      </c>
      <c r="AI140" s="162">
        <v>1</v>
      </c>
      <c r="AJ140" s="162">
        <v>0</v>
      </c>
      <c r="AK140" s="162">
        <v>0</v>
      </c>
      <c r="AL140" s="163">
        <v>0</v>
      </c>
      <c r="AM140" s="19">
        <v>0</v>
      </c>
      <c r="AN140" s="20" t="str">
        <f>IFERROR(INDEX([2]lijnopstellingsfiche!$AP$1:$AP$65536,MATCH(A140,[2]lijnopstellingsfiche!$AQ$1:$AQ$65536,0)),"")</f>
        <v>-</v>
      </c>
      <c r="AO140" s="20">
        <v>0</v>
      </c>
      <c r="AP140" s="20">
        <v>0</v>
      </c>
      <c r="AQ140" s="20">
        <v>1</v>
      </c>
      <c r="AR140" s="20">
        <v>0</v>
      </c>
      <c r="AS140" s="20">
        <v>0</v>
      </c>
      <c r="AT140" s="20">
        <v>0</v>
      </c>
      <c r="AU140" s="20">
        <v>0</v>
      </c>
      <c r="AV140" s="23">
        <v>0</v>
      </c>
      <c r="AW140" s="108">
        <v>0</v>
      </c>
      <c r="AX140" s="108">
        <v>0</v>
      </c>
      <c r="AY140" s="108">
        <v>1</v>
      </c>
      <c r="AZ140" s="108">
        <v>0</v>
      </c>
      <c r="BA140" s="114">
        <v>1</v>
      </c>
      <c r="BB140" s="20">
        <v>0</v>
      </c>
      <c r="BC140" s="113">
        <v>0</v>
      </c>
      <c r="BD140" s="200" t="str">
        <f>VLOOKUP($A140,'[3]allergenen 6nr'!$A$1:$O$1310,3,FALSE)</f>
        <v>-</v>
      </c>
      <c r="BE140" s="201" t="str">
        <f>VLOOKUP($A140,'[3]allergenen 6nr'!$A$1:$O$1310,4,FALSE)</f>
        <v>X</v>
      </c>
      <c r="BF140" s="201" t="str">
        <f>VLOOKUP($A140,'[3]allergenen 6nr'!$A$1:$O$1310,5,FALSE)</f>
        <v>+</v>
      </c>
      <c r="BG140" s="201" t="str">
        <f>VLOOKUP($A140,'[3]allergenen 6nr'!$A$1:$O$1310,6,FALSE)</f>
        <v>X</v>
      </c>
      <c r="BH140" s="201" t="str">
        <f>VLOOKUP($A140,'[3]allergenen 6nr'!$A$1:$O$1310,7,FALSE)</f>
        <v>+</v>
      </c>
      <c r="BI140" s="201" t="str">
        <f>VLOOKUP($A140,'[3]allergenen 6nr'!$A$1:$O$1310,8,FALSE)</f>
        <v>X</v>
      </c>
      <c r="BJ140" s="201" t="str">
        <f>VLOOKUP($A140,'[3]allergenen 6nr'!$A$1:$O$1310,9,FALSE)</f>
        <v>-</v>
      </c>
      <c r="BK140" s="201" t="str">
        <f>VLOOKUP($A140,'[3]allergenen 6nr'!$A$1:$O$1310,10,FALSE)</f>
        <v>-</v>
      </c>
      <c r="BL140" s="201" t="str">
        <f>VLOOKUP($A140,'[3]allergenen 6nr'!$A$1:$O$1310,11,FALSE)</f>
        <v>+</v>
      </c>
      <c r="BM140" s="201" t="str">
        <f>VLOOKUP($A140,'[3]allergenen 6nr'!$A$1:$O$1310,12,FALSE)</f>
        <v>-</v>
      </c>
      <c r="BN140" s="201" t="str">
        <f>VLOOKUP($A140,'[3]allergenen 6nr'!$A$1:$O$1310,13,FALSE)</f>
        <v>X</v>
      </c>
      <c r="BO140" s="201" t="str">
        <f>VLOOKUP($A140,'[3]allergenen 6nr'!$A$1:$O$1310,14,FALSE)</f>
        <v>-</v>
      </c>
      <c r="BP140" s="202" t="str">
        <f>VLOOKUP($A140,'[3]allergenen 6nr'!$A$1:$O$1310,15,FALSE)</f>
        <v>-</v>
      </c>
    </row>
    <row r="141" spans="1:68" x14ac:dyDescent="0.2">
      <c r="A141" s="89">
        <v>63514800</v>
      </c>
      <c r="B141" s="53" t="str">
        <f>VLOOKUP($A141,[1]maaltijden!$A$1:$IV$65536,4,FALSE)</f>
        <v>DMC VARKENSGEBRAAD ITALIAANSE SAUS KRIEL IN DE SCHIL</v>
      </c>
      <c r="C141" s="46" t="str">
        <f>VLOOKUP($A141,[1]maaltijden!$A$1:$IV$65536,7,FALSE)</f>
        <v>C2227-2K</v>
      </c>
      <c r="D141" s="22" t="str">
        <f>VLOOKUP($A141,[1]maaltijden!$A$1:$IV$65536,10,FALSE)</f>
        <v>NVT</v>
      </c>
      <c r="E141" s="22" t="str">
        <f>VLOOKUP($A141,[1]maaltijden!$A$1:$IV$65536,13,FALSE)</f>
        <v>DMC X 6</v>
      </c>
      <c r="F141" s="20">
        <f t="shared" si="2"/>
        <v>0</v>
      </c>
      <c r="G141" s="20" t="str">
        <f>VLOOKUP($A141,[1]maaltijden!$A$1:$IV$65536,27,FALSE)</f>
        <v>! !</v>
      </c>
      <c r="H141" s="22">
        <f>VLOOKUP($A141,[1]maaltijden!$A$1:$IV$65536,21,FALSE)</f>
        <v>4</v>
      </c>
      <c r="I141" s="22">
        <f>VLOOKUP($A141,[1]maaltijden!$A$1:$IV$65536,21,FALSE)</f>
        <v>4</v>
      </c>
      <c r="J141" s="22">
        <f>VLOOKUP($A141,[1]maaltijden!$A$1:$IV$65536,18,FALSE)</f>
        <v>3</v>
      </c>
      <c r="K141" s="22">
        <f>VLOOKUP($A141,[1]maaltijden!$A$1:$IV$65536,17,FALSE)</f>
        <v>2.5</v>
      </c>
      <c r="L141" s="22">
        <f>VLOOKUP($A141,[1]maaltijden!$A$1:$IV$65536,20,FALSE)</f>
        <v>2000</v>
      </c>
      <c r="M141" s="22">
        <f>VLOOKUP($A141,[1]maaltijden!$A$1:$IV$65536,22,FALSE)</f>
        <v>2000</v>
      </c>
      <c r="N141" s="135"/>
      <c r="O141" s="50"/>
      <c r="P141" s="19">
        <v>0</v>
      </c>
      <c r="Q141" s="20">
        <v>1</v>
      </c>
      <c r="R141" s="21">
        <v>0</v>
      </c>
      <c r="S141" s="19">
        <v>0</v>
      </c>
      <c r="T141" s="20">
        <v>1</v>
      </c>
      <c r="U141" s="19">
        <v>0</v>
      </c>
      <c r="V141" s="20">
        <v>1</v>
      </c>
      <c r="W141" s="20">
        <v>1</v>
      </c>
      <c r="X141" s="20">
        <v>1</v>
      </c>
      <c r="Y141" s="20">
        <v>1</v>
      </c>
      <c r="Z141" s="20">
        <v>0</v>
      </c>
      <c r="AA141" s="20">
        <v>0</v>
      </c>
      <c r="AB141" s="49">
        <v>0</v>
      </c>
      <c r="AC141" s="49">
        <v>0</v>
      </c>
      <c r="AD141" s="49">
        <v>0</v>
      </c>
      <c r="AE141" s="49">
        <v>1</v>
      </c>
      <c r="AF141" s="49">
        <v>0</v>
      </c>
      <c r="AG141" s="161">
        <v>0</v>
      </c>
      <c r="AH141" s="162">
        <v>1</v>
      </c>
      <c r="AI141" s="162">
        <v>0</v>
      </c>
      <c r="AJ141" s="162">
        <v>0</v>
      </c>
      <c r="AK141" s="162">
        <v>0</v>
      </c>
      <c r="AL141" s="163">
        <v>0</v>
      </c>
      <c r="AM141" s="19">
        <v>0</v>
      </c>
      <c r="AN141" s="20" t="str">
        <f>IFERROR(INDEX([2]lijnopstellingsfiche!$AP$1:$AP$65536,MATCH(A141,[2]lijnopstellingsfiche!$AQ$1:$AQ$65536,0)),"")</f>
        <v>-</v>
      </c>
      <c r="AO141" s="20">
        <v>0</v>
      </c>
      <c r="AP141" s="20">
        <v>0</v>
      </c>
      <c r="AQ141" s="20">
        <v>1</v>
      </c>
      <c r="AR141" s="20">
        <v>0</v>
      </c>
      <c r="AS141" s="20">
        <v>0</v>
      </c>
      <c r="AT141" s="20">
        <v>0</v>
      </c>
      <c r="AU141" s="20">
        <v>0</v>
      </c>
      <c r="AV141" s="23">
        <v>0</v>
      </c>
      <c r="AW141" s="108">
        <v>0</v>
      </c>
      <c r="AX141" s="108">
        <v>0</v>
      </c>
      <c r="AY141" s="108">
        <v>1</v>
      </c>
      <c r="AZ141" s="108">
        <v>0</v>
      </c>
      <c r="BA141" s="114">
        <v>1</v>
      </c>
      <c r="BB141" s="20">
        <v>0</v>
      </c>
      <c r="BC141" s="113">
        <v>0</v>
      </c>
      <c r="BD141" s="200" t="str">
        <f>VLOOKUP($A141,'[3]allergenen 6nr'!$A$1:$O$1310,3,FALSE)</f>
        <v>-</v>
      </c>
      <c r="BE141" s="201" t="str">
        <f>VLOOKUP($A141,'[3]allergenen 6nr'!$A$1:$O$1310,4,FALSE)</f>
        <v>X</v>
      </c>
      <c r="BF141" s="201" t="str">
        <f>VLOOKUP($A141,'[3]allergenen 6nr'!$A$1:$O$1310,5,FALSE)</f>
        <v>X</v>
      </c>
      <c r="BG141" s="201" t="str">
        <f>VLOOKUP($A141,'[3]allergenen 6nr'!$A$1:$O$1310,6,FALSE)</f>
        <v>-</v>
      </c>
      <c r="BH141" s="201" t="str">
        <f>VLOOKUP($A141,'[3]allergenen 6nr'!$A$1:$O$1310,7,FALSE)</f>
        <v>+</v>
      </c>
      <c r="BI141" s="201" t="str">
        <f>VLOOKUP($A141,'[3]allergenen 6nr'!$A$1:$O$1310,8,FALSE)</f>
        <v>X</v>
      </c>
      <c r="BJ141" s="201" t="str">
        <f>VLOOKUP($A141,'[3]allergenen 6nr'!$A$1:$O$1310,9,FALSE)</f>
        <v>X</v>
      </c>
      <c r="BK141" s="201" t="str">
        <f>VLOOKUP($A141,'[3]allergenen 6nr'!$A$1:$O$1310,10,FALSE)</f>
        <v>X</v>
      </c>
      <c r="BL141" s="201" t="str">
        <f>VLOOKUP($A141,'[3]allergenen 6nr'!$A$1:$O$1310,11,FALSE)</f>
        <v>X</v>
      </c>
      <c r="BM141" s="201" t="str">
        <f>VLOOKUP($A141,'[3]allergenen 6nr'!$A$1:$O$1310,12,FALSE)</f>
        <v>-</v>
      </c>
      <c r="BN141" s="201" t="str">
        <f>VLOOKUP($A141,'[3]allergenen 6nr'!$A$1:$O$1310,13,FALSE)</f>
        <v>X</v>
      </c>
      <c r="BO141" s="201" t="str">
        <f>VLOOKUP($A141,'[3]allergenen 6nr'!$A$1:$O$1310,14,FALSE)</f>
        <v>X</v>
      </c>
      <c r="BP141" s="202" t="str">
        <f>VLOOKUP($A141,'[3]allergenen 6nr'!$A$1:$O$1310,15,FALSE)</f>
        <v>X</v>
      </c>
    </row>
    <row r="142" spans="1:68" x14ac:dyDescent="0.2">
      <c r="A142" s="89">
        <v>63515100</v>
      </c>
      <c r="B142" s="53" t="str">
        <f>VLOOKUP($A142,[1]maaltijden!$A$1:$IV$65536,4,FALSE)</f>
        <v>DMC VARKENSMED BLACKWELL BLOEMK BROCC FRIETJES</v>
      </c>
      <c r="C142" s="46" t="str">
        <f>VLOOKUP($A142,[1]maaltijden!$A$1:$IV$65536,7,FALSE)</f>
        <v>C2227-2K</v>
      </c>
      <c r="D142" s="22" t="str">
        <f>VLOOKUP($A142,[1]maaltijden!$A$1:$IV$65536,10,FALSE)</f>
        <v>NVT</v>
      </c>
      <c r="E142" s="22" t="str">
        <f>VLOOKUP($A142,[1]maaltijden!$A$1:$IV$65536,13,FALSE)</f>
        <v>DMC X 6</v>
      </c>
      <c r="F142" s="20">
        <f t="shared" si="2"/>
        <v>0</v>
      </c>
      <c r="G142" s="20" t="str">
        <f>VLOOKUP($A142,[1]maaltijden!$A$1:$IV$65536,27,FALSE)</f>
        <v>! ! !</v>
      </c>
      <c r="H142" s="22">
        <f>VLOOKUP($A142,[1]maaltijden!$A$1:$IV$65536,21,FALSE)</f>
        <v>5</v>
      </c>
      <c r="I142" s="22">
        <f>VLOOKUP($A142,[1]maaltijden!$A$1:$IV$65536,21,FALSE)</f>
        <v>5</v>
      </c>
      <c r="J142" s="22">
        <f>VLOOKUP($A142,[1]maaltijden!$A$1:$IV$65536,18,FALSE)</f>
        <v>3</v>
      </c>
      <c r="K142" s="22">
        <f>VLOOKUP($A142,[1]maaltijden!$A$1:$IV$65536,17,FALSE)</f>
        <v>2</v>
      </c>
      <c r="L142" s="22">
        <f>VLOOKUP($A142,[1]maaltijden!$A$1:$IV$65536,20,FALSE)</f>
        <v>2200</v>
      </c>
      <c r="M142" s="22">
        <f>VLOOKUP($A142,[1]maaltijden!$A$1:$IV$65536,22,FALSE)</f>
        <v>2200</v>
      </c>
      <c r="N142" s="135"/>
      <c r="O142" s="50"/>
      <c r="P142" s="19">
        <v>0</v>
      </c>
      <c r="Q142" s="20">
        <v>1</v>
      </c>
      <c r="R142" s="21">
        <v>0</v>
      </c>
      <c r="S142" s="19">
        <v>0</v>
      </c>
      <c r="T142" s="20">
        <v>1</v>
      </c>
      <c r="U142" s="19">
        <v>0</v>
      </c>
      <c r="V142" s="20">
        <v>1</v>
      </c>
      <c r="W142" s="20">
        <v>1</v>
      </c>
      <c r="X142" s="20">
        <v>1</v>
      </c>
      <c r="Y142" s="20">
        <v>1</v>
      </c>
      <c r="Z142" s="20">
        <v>0</v>
      </c>
      <c r="AA142" s="20">
        <v>0</v>
      </c>
      <c r="AB142" s="49">
        <v>0</v>
      </c>
      <c r="AC142" s="49">
        <v>0</v>
      </c>
      <c r="AD142" s="49">
        <v>0</v>
      </c>
      <c r="AE142" s="49">
        <v>1</v>
      </c>
      <c r="AF142" s="49">
        <v>0</v>
      </c>
      <c r="AG142" s="161">
        <v>0</v>
      </c>
      <c r="AH142" s="162">
        <v>1</v>
      </c>
      <c r="AI142" s="162">
        <v>0</v>
      </c>
      <c r="AJ142" s="162">
        <v>1</v>
      </c>
      <c r="AK142" s="162">
        <v>0</v>
      </c>
      <c r="AL142" s="163">
        <v>0</v>
      </c>
      <c r="AM142" s="19">
        <v>0</v>
      </c>
      <c r="AN142" s="20">
        <f>IFERROR(INDEX([2]lijnopstellingsfiche!$AP$1:$AP$65536,MATCH(A142,[2]lijnopstellingsfiche!$AQ$1:$AQ$65536,0)),"")</f>
        <v>1</v>
      </c>
      <c r="AO142" s="20">
        <v>0</v>
      </c>
      <c r="AP142" s="20">
        <v>0</v>
      </c>
      <c r="AQ142" s="20">
        <v>1</v>
      </c>
      <c r="AR142" s="20">
        <v>0</v>
      </c>
      <c r="AS142" s="20">
        <v>0</v>
      </c>
      <c r="AT142" s="20">
        <v>1</v>
      </c>
      <c r="AU142" s="20">
        <v>0</v>
      </c>
      <c r="AV142" s="23">
        <v>0</v>
      </c>
      <c r="AW142" s="108">
        <v>0</v>
      </c>
      <c r="AX142" s="108">
        <v>0</v>
      </c>
      <c r="AY142" s="108">
        <v>1</v>
      </c>
      <c r="AZ142" s="108">
        <v>0</v>
      </c>
      <c r="BA142" s="114">
        <v>1</v>
      </c>
      <c r="BB142" s="20">
        <v>0</v>
      </c>
      <c r="BC142" s="113">
        <v>0</v>
      </c>
      <c r="BD142" s="200" t="str">
        <f>VLOOKUP($A142,'[3]allergenen 6nr'!$A$1:$O$1310,3,FALSE)</f>
        <v>-</v>
      </c>
      <c r="BE142" s="201" t="str">
        <f>VLOOKUP($A142,'[3]allergenen 6nr'!$A$1:$O$1310,4,FALSE)</f>
        <v>X</v>
      </c>
      <c r="BF142" s="201" t="str">
        <f>VLOOKUP($A142,'[3]allergenen 6nr'!$A$1:$O$1310,5,FALSE)</f>
        <v>+</v>
      </c>
      <c r="BG142" s="201" t="str">
        <f>VLOOKUP($A142,'[3]allergenen 6nr'!$A$1:$O$1310,6,FALSE)</f>
        <v>X</v>
      </c>
      <c r="BH142" s="201" t="str">
        <f>VLOOKUP($A142,'[3]allergenen 6nr'!$A$1:$O$1310,7,FALSE)</f>
        <v>+</v>
      </c>
      <c r="BI142" s="201" t="str">
        <f>VLOOKUP($A142,'[3]allergenen 6nr'!$A$1:$O$1310,8,FALSE)</f>
        <v>+</v>
      </c>
      <c r="BJ142" s="201" t="str">
        <f>VLOOKUP($A142,'[3]allergenen 6nr'!$A$1:$O$1310,9,FALSE)</f>
        <v>X</v>
      </c>
      <c r="BK142" s="201" t="str">
        <f>VLOOKUP($A142,'[3]allergenen 6nr'!$A$1:$O$1310,10,FALSE)</f>
        <v>X</v>
      </c>
      <c r="BL142" s="201" t="str">
        <f>VLOOKUP($A142,'[3]allergenen 6nr'!$A$1:$O$1310,11,FALSE)</f>
        <v>+</v>
      </c>
      <c r="BM142" s="201" t="str">
        <f>VLOOKUP($A142,'[3]allergenen 6nr'!$A$1:$O$1310,12,FALSE)</f>
        <v>-</v>
      </c>
      <c r="BN142" s="201" t="str">
        <f>VLOOKUP($A142,'[3]allergenen 6nr'!$A$1:$O$1310,13,FALSE)</f>
        <v>X</v>
      </c>
      <c r="BO142" s="201" t="str">
        <f>VLOOKUP($A142,'[3]allergenen 6nr'!$A$1:$O$1310,14,FALSE)</f>
        <v>X</v>
      </c>
      <c r="BP142" s="202" t="str">
        <f>VLOOKUP($A142,'[3]allergenen 6nr'!$A$1:$O$1310,15,FALSE)</f>
        <v>X</v>
      </c>
    </row>
    <row r="143" spans="1:68" x14ac:dyDescent="0.2">
      <c r="A143" s="89">
        <v>63515200</v>
      </c>
      <c r="B143" s="53" t="str">
        <f>VLOOKUP($A143,[1]maaltijden!$A$1:$IV$65536,4,FALSE)</f>
        <v>DMC RUNDERSTOOFPOT STROGANOFF SNIJBONEN KRIELTJES</v>
      </c>
      <c r="C143" s="46" t="str">
        <f>VLOOKUP($A143,[1]maaltijden!$A$1:$IV$65536,7,FALSE)</f>
        <v>C2227-3R</v>
      </c>
      <c r="D143" s="22" t="str">
        <f>VLOOKUP($A143,[1]maaltijden!$A$1:$IV$65536,10,FALSE)</f>
        <v>NVT</v>
      </c>
      <c r="E143" s="22" t="str">
        <f>VLOOKUP($A143,[1]maaltijden!$A$1:$IV$65536,13,FALSE)</f>
        <v>DMC X 6</v>
      </c>
      <c r="F143" s="20">
        <f t="shared" si="2"/>
        <v>0</v>
      </c>
      <c r="G143" s="20" t="str">
        <f>VLOOKUP($A143,[1]maaltijden!$A$1:$IV$65536,27,FALSE)</f>
        <v>! !</v>
      </c>
      <c r="H143" s="22">
        <f>VLOOKUP($A143,[1]maaltijden!$A$1:$IV$65536,21,FALSE)</f>
        <v>6</v>
      </c>
      <c r="I143" s="22">
        <f>VLOOKUP($A143,[1]maaltijden!$A$1:$IV$65536,21,FALSE)</f>
        <v>6</v>
      </c>
      <c r="J143" s="22">
        <f>VLOOKUP($A143,[1]maaltijden!$A$1:$IV$65536,18,FALSE)</f>
        <v>3</v>
      </c>
      <c r="K143" s="22">
        <f>VLOOKUP($A143,[1]maaltijden!$A$1:$IV$65536,17,FALSE)</f>
        <v>2</v>
      </c>
      <c r="L143" s="22">
        <f>VLOOKUP($A143,[1]maaltijden!$A$1:$IV$65536,20,FALSE)</f>
        <v>2000</v>
      </c>
      <c r="M143" s="22">
        <f>VLOOKUP($A143,[1]maaltijden!$A$1:$IV$65536,22,FALSE)</f>
        <v>2000</v>
      </c>
      <c r="N143" s="135"/>
      <c r="O143" s="50"/>
      <c r="P143" s="19">
        <v>0</v>
      </c>
      <c r="Q143" s="20">
        <v>1</v>
      </c>
      <c r="R143" s="21">
        <v>0</v>
      </c>
      <c r="S143" s="19">
        <v>0</v>
      </c>
      <c r="T143" s="20">
        <v>1</v>
      </c>
      <c r="U143" s="19">
        <v>1</v>
      </c>
      <c r="V143" s="20">
        <v>1</v>
      </c>
      <c r="W143" s="20">
        <v>1</v>
      </c>
      <c r="X143" s="20">
        <v>1</v>
      </c>
      <c r="Y143" s="20">
        <v>1</v>
      </c>
      <c r="Z143" s="20">
        <v>0</v>
      </c>
      <c r="AA143" s="20">
        <v>0</v>
      </c>
      <c r="AB143" s="49">
        <v>0</v>
      </c>
      <c r="AC143" s="49">
        <v>0</v>
      </c>
      <c r="AD143" s="49">
        <v>0</v>
      </c>
      <c r="AE143" s="49">
        <v>1</v>
      </c>
      <c r="AF143" s="49">
        <v>0</v>
      </c>
      <c r="AG143" s="161">
        <v>0</v>
      </c>
      <c r="AH143" s="162">
        <v>1</v>
      </c>
      <c r="AI143" s="162">
        <v>1</v>
      </c>
      <c r="AJ143" s="162">
        <v>0</v>
      </c>
      <c r="AK143" s="162">
        <v>0</v>
      </c>
      <c r="AL143" s="163">
        <v>0</v>
      </c>
      <c r="AM143" s="19">
        <v>0</v>
      </c>
      <c r="AN143" s="20" t="str">
        <f>IFERROR(INDEX([2]lijnopstellingsfiche!$AP$1:$AP$65536,MATCH(A143,[2]lijnopstellingsfiche!$AQ$1:$AQ$65536,0)),"")</f>
        <v>-</v>
      </c>
      <c r="AO143" s="20">
        <v>0</v>
      </c>
      <c r="AP143" s="20">
        <v>0</v>
      </c>
      <c r="AQ143" s="20">
        <v>1</v>
      </c>
      <c r="AR143" s="20">
        <v>0</v>
      </c>
      <c r="AS143" s="20">
        <v>0</v>
      </c>
      <c r="AT143" s="20">
        <v>1</v>
      </c>
      <c r="AU143" s="20">
        <v>0</v>
      </c>
      <c r="AV143" s="23">
        <v>0</v>
      </c>
      <c r="AW143" s="108">
        <v>0</v>
      </c>
      <c r="AX143" s="108">
        <v>0</v>
      </c>
      <c r="AY143" s="108">
        <v>1</v>
      </c>
      <c r="AZ143" s="108">
        <v>0</v>
      </c>
      <c r="BA143" s="114">
        <v>1</v>
      </c>
      <c r="BB143" s="20">
        <v>0</v>
      </c>
      <c r="BC143" s="113">
        <v>0</v>
      </c>
      <c r="BD143" s="200" t="str">
        <f>VLOOKUP($A143,'[3]allergenen 6nr'!$A$1:$O$1310,3,FALSE)</f>
        <v>-</v>
      </c>
      <c r="BE143" s="201" t="str">
        <f>VLOOKUP($A143,'[3]allergenen 6nr'!$A$1:$O$1310,4,FALSE)</f>
        <v>X</v>
      </c>
      <c r="BF143" s="201" t="str">
        <f>VLOOKUP($A143,'[3]allergenen 6nr'!$A$1:$O$1310,5,FALSE)</f>
        <v>X</v>
      </c>
      <c r="BG143" s="201" t="str">
        <f>VLOOKUP($A143,'[3]allergenen 6nr'!$A$1:$O$1310,6,FALSE)</f>
        <v>-</v>
      </c>
      <c r="BH143" s="201" t="str">
        <f>VLOOKUP($A143,'[3]allergenen 6nr'!$A$1:$O$1310,7,FALSE)</f>
        <v>+</v>
      </c>
      <c r="BI143" s="201" t="str">
        <f>VLOOKUP($A143,'[3]allergenen 6nr'!$A$1:$O$1310,8,FALSE)</f>
        <v>X</v>
      </c>
      <c r="BJ143" s="201" t="str">
        <f>VLOOKUP($A143,'[3]allergenen 6nr'!$A$1:$O$1310,9,FALSE)</f>
        <v>-</v>
      </c>
      <c r="BK143" s="201" t="str">
        <f>VLOOKUP($A143,'[3]allergenen 6nr'!$A$1:$O$1310,10,FALSE)</f>
        <v>-</v>
      </c>
      <c r="BL143" s="201" t="str">
        <f>VLOOKUP($A143,'[3]allergenen 6nr'!$A$1:$O$1310,11,FALSE)</f>
        <v>-</v>
      </c>
      <c r="BM143" s="201" t="str">
        <f>VLOOKUP($A143,'[3]allergenen 6nr'!$A$1:$O$1310,12,FALSE)</f>
        <v>-</v>
      </c>
      <c r="BN143" s="201" t="str">
        <f>VLOOKUP($A143,'[3]allergenen 6nr'!$A$1:$O$1310,13,FALSE)</f>
        <v>X</v>
      </c>
      <c r="BO143" s="201" t="str">
        <f>VLOOKUP($A143,'[3]allergenen 6nr'!$A$1:$O$1310,14,FALSE)</f>
        <v>-</v>
      </c>
      <c r="BP143" s="202" t="str">
        <f>VLOOKUP($A143,'[3]allergenen 6nr'!$A$1:$O$1310,15,FALSE)</f>
        <v>-</v>
      </c>
    </row>
    <row r="144" spans="1:68" x14ac:dyDescent="0.2">
      <c r="A144" s="89">
        <v>63515300</v>
      </c>
      <c r="B144" s="53" t="str">
        <f>VLOOKUP($A144,[1]maaltijden!$A$1:$IV$65536,4,FALSE)</f>
        <v>DMC TAGLIATELLE KIP BOSCHAMPIGNONS</v>
      </c>
      <c r="C144" s="46" t="str">
        <f>VLOOKUP($A144,[1]maaltijden!$A$1:$IV$65536,7,FALSE)</f>
        <v>C2227-1H</v>
      </c>
      <c r="D144" s="22" t="str">
        <f>VLOOKUP($A144,[1]maaltijden!$A$1:$IV$65536,10,FALSE)</f>
        <v>NVT</v>
      </c>
      <c r="E144" s="22" t="str">
        <f>VLOOKUP($A144,[1]maaltijden!$A$1:$IV$65536,13,FALSE)</f>
        <v>DMC X 6</v>
      </c>
      <c r="F144" s="20">
        <f t="shared" si="2"/>
        <v>0</v>
      </c>
      <c r="G144" s="20" t="str">
        <f>VLOOKUP($A144,[1]maaltijden!$A$1:$IV$65536,27,FALSE)</f>
        <v>! ! !</v>
      </c>
      <c r="H144" s="22">
        <f>VLOOKUP($A144,[1]maaltijden!$A$1:$IV$65536,21,FALSE)</f>
        <v>3</v>
      </c>
      <c r="I144" s="22">
        <f>VLOOKUP($A144,[1]maaltijden!$A$1:$IV$65536,21,FALSE)</f>
        <v>3</v>
      </c>
      <c r="J144" s="22">
        <f>VLOOKUP($A144,[1]maaltijden!$A$1:$IV$65536,18,FALSE)</f>
        <v>3</v>
      </c>
      <c r="K144" s="22">
        <f>VLOOKUP($A144,[1]maaltijden!$A$1:$IV$65536,17,FALSE)</f>
        <v>2.5</v>
      </c>
      <c r="L144" s="22">
        <f>VLOOKUP($A144,[1]maaltijden!$A$1:$IV$65536,20,FALSE)</f>
        <v>2200</v>
      </c>
      <c r="M144" s="22">
        <f>VLOOKUP($A144,[1]maaltijden!$A$1:$IV$65536,22,FALSE)</f>
        <v>2200</v>
      </c>
      <c r="N144" s="135"/>
      <c r="O144" s="50"/>
      <c r="P144" s="19">
        <v>0</v>
      </c>
      <c r="Q144" s="20">
        <v>1</v>
      </c>
      <c r="R144" s="21">
        <v>0</v>
      </c>
      <c r="S144" s="19">
        <v>0</v>
      </c>
      <c r="T144" s="20">
        <v>1</v>
      </c>
      <c r="U144" s="19">
        <v>1</v>
      </c>
      <c r="V144" s="20">
        <v>1</v>
      </c>
      <c r="W144" s="20">
        <v>1</v>
      </c>
      <c r="X144" s="20">
        <v>1</v>
      </c>
      <c r="Y144" s="20">
        <v>1</v>
      </c>
      <c r="Z144" s="20">
        <v>0</v>
      </c>
      <c r="AA144" s="20">
        <v>0</v>
      </c>
      <c r="AB144" s="49">
        <v>0</v>
      </c>
      <c r="AC144" s="49">
        <v>0</v>
      </c>
      <c r="AD144" s="49">
        <v>0</v>
      </c>
      <c r="AE144" s="49">
        <v>0</v>
      </c>
      <c r="AF144" s="49">
        <v>0</v>
      </c>
      <c r="AG144" s="161">
        <v>1</v>
      </c>
      <c r="AH144" s="162">
        <v>1</v>
      </c>
      <c r="AI144" s="162">
        <v>0</v>
      </c>
      <c r="AJ144" s="162">
        <v>0</v>
      </c>
      <c r="AK144" s="162">
        <v>0</v>
      </c>
      <c r="AL144" s="163">
        <v>0</v>
      </c>
      <c r="AM144" s="19">
        <v>0</v>
      </c>
      <c r="AN144" s="20">
        <f>IFERROR(INDEX([2]lijnopstellingsfiche!$AP$1:$AP$65536,MATCH(A144,[2]lijnopstellingsfiche!$AQ$1:$AQ$65536,0)),"")</f>
        <v>1</v>
      </c>
      <c r="AO144" s="20">
        <v>1</v>
      </c>
      <c r="AP144" s="20">
        <v>0</v>
      </c>
      <c r="AQ144" s="20">
        <v>2</v>
      </c>
      <c r="AR144" s="20">
        <v>0</v>
      </c>
      <c r="AS144" s="20">
        <v>0</v>
      </c>
      <c r="AT144" s="20">
        <v>1</v>
      </c>
      <c r="AU144" s="20">
        <v>0</v>
      </c>
      <c r="AV144" s="23">
        <v>0</v>
      </c>
      <c r="AW144" s="108">
        <v>0</v>
      </c>
      <c r="AX144" s="108">
        <v>0</v>
      </c>
      <c r="AY144" s="108">
        <v>1</v>
      </c>
      <c r="AZ144" s="108">
        <v>0</v>
      </c>
      <c r="BA144" s="114">
        <v>1</v>
      </c>
      <c r="BB144" s="20">
        <v>0</v>
      </c>
      <c r="BC144" s="113">
        <v>0</v>
      </c>
      <c r="BD144" s="200" t="str">
        <f>VLOOKUP($A144,'[3]allergenen 6nr'!$A$1:$O$1310,3,FALSE)</f>
        <v>-</v>
      </c>
      <c r="BE144" s="201" t="str">
        <f>VLOOKUP($A144,'[3]allergenen 6nr'!$A$1:$O$1310,4,FALSE)</f>
        <v>+</v>
      </c>
      <c r="BF144" s="201" t="str">
        <f>VLOOKUP($A144,'[3]allergenen 6nr'!$A$1:$O$1310,5,FALSE)</f>
        <v>+</v>
      </c>
      <c r="BG144" s="201" t="str">
        <f>VLOOKUP($A144,'[3]allergenen 6nr'!$A$1:$O$1310,6,FALSE)</f>
        <v>X</v>
      </c>
      <c r="BH144" s="201" t="str">
        <f>VLOOKUP($A144,'[3]allergenen 6nr'!$A$1:$O$1310,7,FALSE)</f>
        <v>+</v>
      </c>
      <c r="BI144" s="201" t="str">
        <f>VLOOKUP($A144,'[3]allergenen 6nr'!$A$1:$O$1310,8,FALSE)</f>
        <v>X</v>
      </c>
      <c r="BJ144" s="201" t="str">
        <f>VLOOKUP($A144,'[3]allergenen 6nr'!$A$1:$O$1310,9,FALSE)</f>
        <v>-</v>
      </c>
      <c r="BK144" s="201" t="str">
        <f>VLOOKUP($A144,'[3]allergenen 6nr'!$A$1:$O$1310,10,FALSE)</f>
        <v>-</v>
      </c>
      <c r="BL144" s="201" t="str">
        <f>VLOOKUP($A144,'[3]allergenen 6nr'!$A$1:$O$1310,11,FALSE)</f>
        <v>+</v>
      </c>
      <c r="BM144" s="201" t="str">
        <f>VLOOKUP($A144,'[3]allergenen 6nr'!$A$1:$O$1310,12,FALSE)</f>
        <v>-</v>
      </c>
      <c r="BN144" s="201" t="str">
        <f>VLOOKUP($A144,'[3]allergenen 6nr'!$A$1:$O$1310,13,FALSE)</f>
        <v>X</v>
      </c>
      <c r="BO144" s="201" t="str">
        <f>VLOOKUP($A144,'[3]allergenen 6nr'!$A$1:$O$1310,14,FALSE)</f>
        <v>-</v>
      </c>
      <c r="BP144" s="202" t="str">
        <f>VLOOKUP($A144,'[3]allergenen 6nr'!$A$1:$O$1310,15,FALSE)</f>
        <v>-</v>
      </c>
    </row>
    <row r="145" spans="1:68" x14ac:dyDescent="0.2">
      <c r="A145" s="89">
        <v>63515500</v>
      </c>
      <c r="B145" s="53" t="str">
        <f>VLOOKUP($A145,[1]maaltijden!$A$1:$IV$65536,4,FALSE)</f>
        <v>DMC PENNE 4 KAZEN SPINAZIE TOMAAT</v>
      </c>
      <c r="C145" s="46" t="str">
        <f>VLOOKUP($A145,[1]maaltijden!$A$1:$IV$65536,7,FALSE)</f>
        <v>C2227-1H</v>
      </c>
      <c r="D145" s="22" t="str">
        <f>VLOOKUP($A145,[1]maaltijden!$A$1:$IV$65536,10,FALSE)</f>
        <v>NVT</v>
      </c>
      <c r="E145" s="22" t="str">
        <f>VLOOKUP($A145,[1]maaltijden!$A$1:$IV$65536,13,FALSE)</f>
        <v>DMC X 6</v>
      </c>
      <c r="F145" s="20">
        <f t="shared" si="2"/>
        <v>0</v>
      </c>
      <c r="G145" s="20" t="str">
        <f>VLOOKUP($A145,[1]maaltijden!$A$1:$IV$65536,27,FALSE)</f>
        <v>! ! !</v>
      </c>
      <c r="H145" s="22">
        <f>VLOOKUP($A145,[1]maaltijden!$A$1:$IV$65536,21,FALSE)</f>
        <v>5</v>
      </c>
      <c r="I145" s="22">
        <f>VLOOKUP($A145,[1]maaltijden!$A$1:$IV$65536,21,FALSE)</f>
        <v>5</v>
      </c>
      <c r="J145" s="22">
        <f>VLOOKUP($A145,[1]maaltijden!$A$1:$IV$65536,18,FALSE)</f>
        <v>3</v>
      </c>
      <c r="K145" s="22">
        <f>VLOOKUP($A145,[1]maaltijden!$A$1:$IV$65536,17,FALSE)</f>
        <v>3</v>
      </c>
      <c r="L145" s="22">
        <f>VLOOKUP($A145,[1]maaltijden!$A$1:$IV$65536,20,FALSE)</f>
        <v>2200</v>
      </c>
      <c r="M145" s="22">
        <f>VLOOKUP($A145,[1]maaltijden!$A$1:$IV$65536,22,FALSE)</f>
        <v>2200</v>
      </c>
      <c r="N145" s="135"/>
      <c r="O145" s="50"/>
      <c r="P145" s="19">
        <v>0</v>
      </c>
      <c r="Q145" s="20">
        <v>1</v>
      </c>
      <c r="R145" s="21">
        <v>0</v>
      </c>
      <c r="S145" s="19">
        <v>0</v>
      </c>
      <c r="T145" s="20">
        <v>1</v>
      </c>
      <c r="U145" s="19">
        <v>1</v>
      </c>
      <c r="V145" s="20">
        <v>1</v>
      </c>
      <c r="W145" s="20">
        <v>1</v>
      </c>
      <c r="X145" s="20">
        <v>1</v>
      </c>
      <c r="Y145" s="20">
        <v>1</v>
      </c>
      <c r="Z145" s="20">
        <v>0</v>
      </c>
      <c r="AA145" s="20">
        <v>0</v>
      </c>
      <c r="AB145" s="49">
        <v>0</v>
      </c>
      <c r="AC145" s="49">
        <v>0</v>
      </c>
      <c r="AD145" s="49">
        <v>0</v>
      </c>
      <c r="AE145" s="49">
        <v>0</v>
      </c>
      <c r="AF145" s="49">
        <v>0</v>
      </c>
      <c r="AG145" s="173">
        <v>1</v>
      </c>
      <c r="AH145" s="162">
        <v>1</v>
      </c>
      <c r="AI145" s="162">
        <v>1</v>
      </c>
      <c r="AJ145" s="162">
        <v>0</v>
      </c>
      <c r="AK145" s="162">
        <v>0</v>
      </c>
      <c r="AL145" s="163">
        <v>0</v>
      </c>
      <c r="AM145" s="19">
        <v>0</v>
      </c>
      <c r="AN145" s="20">
        <f>IFERROR(INDEX([2]lijnopstellingsfiche!$AP$1:$AP$65536,MATCH(A145,[2]lijnopstellingsfiche!$AQ$1:$AQ$65536,0)),"")</f>
        <v>1</v>
      </c>
      <c r="AO145" s="20">
        <v>1</v>
      </c>
      <c r="AP145" s="20">
        <v>1</v>
      </c>
      <c r="AQ145" s="20">
        <v>1</v>
      </c>
      <c r="AR145" s="20">
        <v>0</v>
      </c>
      <c r="AS145" s="20">
        <v>0</v>
      </c>
      <c r="AT145" s="20">
        <v>0</v>
      </c>
      <c r="AU145" s="20">
        <v>0</v>
      </c>
      <c r="AV145" s="23">
        <v>0</v>
      </c>
      <c r="AW145" s="108">
        <v>0</v>
      </c>
      <c r="AX145" s="108">
        <v>0</v>
      </c>
      <c r="AY145" s="108">
        <v>1</v>
      </c>
      <c r="AZ145" s="108">
        <v>0</v>
      </c>
      <c r="BA145" s="114">
        <v>1</v>
      </c>
      <c r="BB145" s="20">
        <v>0</v>
      </c>
      <c r="BC145" s="113">
        <v>0</v>
      </c>
      <c r="BD145" s="200" t="str">
        <f>VLOOKUP($A145,'[3]allergenen 6nr'!$A$1:$O$1310,3,FALSE)</f>
        <v>-</v>
      </c>
      <c r="BE145" s="201" t="str">
        <f>VLOOKUP($A145,'[3]allergenen 6nr'!$A$1:$O$1310,4,FALSE)</f>
        <v>X</v>
      </c>
      <c r="BF145" s="201" t="str">
        <f>VLOOKUP($A145,'[3]allergenen 6nr'!$A$1:$O$1310,5,FALSE)</f>
        <v>+</v>
      </c>
      <c r="BG145" s="201" t="str">
        <f>VLOOKUP($A145,'[3]allergenen 6nr'!$A$1:$O$1310,6,FALSE)</f>
        <v>X</v>
      </c>
      <c r="BH145" s="201" t="str">
        <f>VLOOKUP($A145,'[3]allergenen 6nr'!$A$1:$O$1310,7,FALSE)</f>
        <v>+</v>
      </c>
      <c r="BI145" s="201" t="str">
        <f>VLOOKUP($A145,'[3]allergenen 6nr'!$A$1:$O$1310,8,FALSE)</f>
        <v>X</v>
      </c>
      <c r="BJ145" s="201" t="str">
        <f>VLOOKUP($A145,'[3]allergenen 6nr'!$A$1:$O$1310,9,FALSE)</f>
        <v>-</v>
      </c>
      <c r="BK145" s="201" t="str">
        <f>VLOOKUP($A145,'[3]allergenen 6nr'!$A$1:$O$1310,10,FALSE)</f>
        <v>-</v>
      </c>
      <c r="BL145" s="201" t="str">
        <f>VLOOKUP($A145,'[3]allergenen 6nr'!$A$1:$O$1310,11,FALSE)</f>
        <v>+</v>
      </c>
      <c r="BM145" s="201" t="str">
        <f>VLOOKUP($A145,'[3]allergenen 6nr'!$A$1:$O$1310,12,FALSE)</f>
        <v>-</v>
      </c>
      <c r="BN145" s="201" t="str">
        <f>VLOOKUP($A145,'[3]allergenen 6nr'!$A$1:$O$1310,13,FALSE)</f>
        <v>X</v>
      </c>
      <c r="BO145" s="201" t="str">
        <f>VLOOKUP($A145,'[3]allergenen 6nr'!$A$1:$O$1310,14,FALSE)</f>
        <v>-</v>
      </c>
      <c r="BP145" s="202" t="str">
        <f>VLOOKUP($A145,'[3]allergenen 6nr'!$A$1:$O$1310,15,FALSE)</f>
        <v>-</v>
      </c>
    </row>
    <row r="146" spans="1:68" x14ac:dyDescent="0.2">
      <c r="A146" s="89">
        <v>63515600</v>
      </c>
      <c r="B146" s="53" t="str">
        <f>VLOOKUP($A146,[1]maaltijden!$A$1:$IV$65536,4,FALSE)</f>
        <v>DMC SPAGHETTI CARBONARA</v>
      </c>
      <c r="C146" s="46" t="str">
        <f>VLOOKUP($A146,[1]maaltijden!$A$1:$IV$65536,7,FALSE)</f>
        <v>C2227-1H</v>
      </c>
      <c r="D146" s="22" t="str">
        <f>VLOOKUP($A146,[1]maaltijden!$A$1:$IV$65536,10,FALSE)</f>
        <v>NVT</v>
      </c>
      <c r="E146" s="22" t="str">
        <f>VLOOKUP($A146,[1]maaltijden!$A$1:$IV$65536,13,FALSE)</f>
        <v>DMC X 6</v>
      </c>
      <c r="F146" s="20">
        <f t="shared" si="2"/>
        <v>0</v>
      </c>
      <c r="G146" s="20" t="str">
        <f>VLOOKUP($A146,[1]maaltijden!$A$1:$IV$65536,27,FALSE)</f>
        <v>! !</v>
      </c>
      <c r="H146" s="22">
        <f>VLOOKUP($A146,[1]maaltijden!$A$1:$IV$65536,21,FALSE)</f>
        <v>3</v>
      </c>
      <c r="I146" s="22">
        <f>VLOOKUP($A146,[1]maaltijden!$A$1:$IV$65536,21,FALSE)</f>
        <v>3</v>
      </c>
      <c r="J146" s="22">
        <f>VLOOKUP($A146,[1]maaltijden!$A$1:$IV$65536,18,FALSE)</f>
        <v>3</v>
      </c>
      <c r="K146" s="22">
        <f>VLOOKUP($A146,[1]maaltijden!$A$1:$IV$65536,17,FALSE)</f>
        <v>2</v>
      </c>
      <c r="L146" s="22">
        <f>VLOOKUP($A146,[1]maaltijden!$A$1:$IV$65536,20,FALSE)</f>
        <v>2200</v>
      </c>
      <c r="M146" s="22">
        <f>VLOOKUP($A146,[1]maaltijden!$A$1:$IV$65536,22,FALSE)</f>
        <v>2200</v>
      </c>
      <c r="N146" s="135"/>
      <c r="O146" s="50"/>
      <c r="P146" s="19">
        <v>0</v>
      </c>
      <c r="Q146" s="20">
        <v>1</v>
      </c>
      <c r="R146" s="21">
        <v>0</v>
      </c>
      <c r="S146" s="19">
        <v>0</v>
      </c>
      <c r="T146" s="20">
        <v>1</v>
      </c>
      <c r="U146" s="19">
        <v>1</v>
      </c>
      <c r="V146" s="20">
        <v>1</v>
      </c>
      <c r="W146" s="20">
        <v>1</v>
      </c>
      <c r="X146" s="20">
        <v>1</v>
      </c>
      <c r="Y146" s="20">
        <v>1</v>
      </c>
      <c r="Z146" s="20">
        <v>0</v>
      </c>
      <c r="AA146" s="20">
        <v>0</v>
      </c>
      <c r="AB146" s="49">
        <v>0</v>
      </c>
      <c r="AC146" s="49">
        <v>0</v>
      </c>
      <c r="AD146" s="49">
        <v>0</v>
      </c>
      <c r="AE146" s="49">
        <v>0</v>
      </c>
      <c r="AF146" s="49">
        <v>0</v>
      </c>
      <c r="AG146" s="161">
        <v>1</v>
      </c>
      <c r="AH146" s="162">
        <v>1</v>
      </c>
      <c r="AI146" s="162">
        <v>0</v>
      </c>
      <c r="AJ146" s="162">
        <v>0</v>
      </c>
      <c r="AK146" s="162">
        <v>0</v>
      </c>
      <c r="AL146" s="163">
        <v>0</v>
      </c>
      <c r="AM146" s="19">
        <v>0</v>
      </c>
      <c r="AN146" s="20">
        <f>IFERROR(INDEX([2]lijnopstellingsfiche!$AP$1:$AP$65536,MATCH(A146,[2]lijnopstellingsfiche!$AQ$1:$AQ$65536,0)),"")</f>
        <v>1</v>
      </c>
      <c r="AO146" s="20">
        <v>1</v>
      </c>
      <c r="AP146" s="20">
        <v>0</v>
      </c>
      <c r="AQ146" s="20">
        <v>2</v>
      </c>
      <c r="AR146" s="20">
        <v>0</v>
      </c>
      <c r="AS146" s="20">
        <v>0</v>
      </c>
      <c r="AT146" s="20">
        <v>0</v>
      </c>
      <c r="AU146" s="20">
        <v>0</v>
      </c>
      <c r="AV146" s="23">
        <v>0</v>
      </c>
      <c r="AW146" s="108">
        <v>0</v>
      </c>
      <c r="AX146" s="108">
        <v>0</v>
      </c>
      <c r="AY146" s="108">
        <v>1</v>
      </c>
      <c r="AZ146" s="108">
        <v>0</v>
      </c>
      <c r="BA146" s="114">
        <v>1</v>
      </c>
      <c r="BB146" s="20">
        <v>0</v>
      </c>
      <c r="BC146" s="113">
        <v>0</v>
      </c>
      <c r="BD146" s="200" t="str">
        <f>VLOOKUP($A146,'[3]allergenen 6nr'!$A$1:$O$1310,3,FALSE)</f>
        <v>-</v>
      </c>
      <c r="BE146" s="201" t="str">
        <f>VLOOKUP($A146,'[3]allergenen 6nr'!$A$1:$O$1310,4,FALSE)</f>
        <v>X</v>
      </c>
      <c r="BF146" s="201" t="str">
        <f>VLOOKUP($A146,'[3]allergenen 6nr'!$A$1:$O$1310,5,FALSE)</f>
        <v>+</v>
      </c>
      <c r="BG146" s="201" t="str">
        <f>VLOOKUP($A146,'[3]allergenen 6nr'!$A$1:$O$1310,6,FALSE)</f>
        <v>X</v>
      </c>
      <c r="BH146" s="201" t="str">
        <f>VLOOKUP($A146,'[3]allergenen 6nr'!$A$1:$O$1310,7,FALSE)</f>
        <v>+</v>
      </c>
      <c r="BI146" s="201" t="str">
        <f>VLOOKUP($A146,'[3]allergenen 6nr'!$A$1:$O$1310,8,FALSE)</f>
        <v>X</v>
      </c>
      <c r="BJ146" s="201" t="str">
        <f>VLOOKUP($A146,'[3]allergenen 6nr'!$A$1:$O$1310,9,FALSE)</f>
        <v>-</v>
      </c>
      <c r="BK146" s="201" t="str">
        <f>VLOOKUP($A146,'[3]allergenen 6nr'!$A$1:$O$1310,10,FALSE)</f>
        <v>-</v>
      </c>
      <c r="BL146" s="201" t="str">
        <f>VLOOKUP($A146,'[3]allergenen 6nr'!$A$1:$O$1310,11,FALSE)</f>
        <v>-</v>
      </c>
      <c r="BM146" s="201" t="str">
        <f>VLOOKUP($A146,'[3]allergenen 6nr'!$A$1:$O$1310,12,FALSE)</f>
        <v>-</v>
      </c>
      <c r="BN146" s="201" t="str">
        <f>VLOOKUP($A146,'[3]allergenen 6nr'!$A$1:$O$1310,13,FALSE)</f>
        <v>X</v>
      </c>
      <c r="BO146" s="201" t="str">
        <f>VLOOKUP($A146,'[3]allergenen 6nr'!$A$1:$O$1310,14,FALSE)</f>
        <v>-</v>
      </c>
      <c r="BP146" s="202" t="str">
        <f>VLOOKUP($A146,'[3]allergenen 6nr'!$A$1:$O$1310,15,FALSE)</f>
        <v>-</v>
      </c>
    </row>
    <row r="147" spans="1:68" x14ac:dyDescent="0.2">
      <c r="A147" s="89">
        <v>63515900</v>
      </c>
      <c r="B147" s="53" t="str">
        <f>VLOOKUP($A147,[1]maaltijden!$A$1:$IV$65536,4,FALSE)</f>
        <v>DMC GEHAKTSCHOTEL WORTELTJES</v>
      </c>
      <c r="C147" s="46" t="str">
        <f>VLOOKUP($A147,[1]maaltijden!$A$1:$IV$65536,7,FALSE)</f>
        <v>C2227-2K</v>
      </c>
      <c r="D147" s="22" t="str">
        <f>VLOOKUP($A147,[1]maaltijden!$A$1:$IV$65536,10,FALSE)</f>
        <v>NVT</v>
      </c>
      <c r="E147" s="22" t="str">
        <f>VLOOKUP($A147,[1]maaltijden!$A$1:$IV$65536,13,FALSE)</f>
        <v>DMC X 6</v>
      </c>
      <c r="F147" s="20">
        <f t="shared" si="2"/>
        <v>0</v>
      </c>
      <c r="G147" s="20" t="str">
        <f>VLOOKUP($A147,[1]maaltijden!$A$1:$IV$65536,27,FALSE)</f>
        <v>! ! !</v>
      </c>
      <c r="H147" s="22">
        <f>VLOOKUP($A147,[1]maaltijden!$A$1:$IV$65536,21,FALSE)</f>
        <v>3</v>
      </c>
      <c r="I147" s="22">
        <f>VLOOKUP($A147,[1]maaltijden!$A$1:$IV$65536,21,FALSE)</f>
        <v>3</v>
      </c>
      <c r="J147" s="22">
        <f>VLOOKUP($A147,[1]maaltijden!$A$1:$IV$65536,18,FALSE)</f>
        <v>3</v>
      </c>
      <c r="K147" s="22">
        <f>VLOOKUP($A147,[1]maaltijden!$A$1:$IV$65536,17,FALSE)</f>
        <v>3</v>
      </c>
      <c r="L147" s="22">
        <f>VLOOKUP($A147,[1]maaltijden!$A$1:$IV$65536,20,FALSE)</f>
        <v>2000</v>
      </c>
      <c r="M147" s="22">
        <f>VLOOKUP($A147,[1]maaltijden!$A$1:$IV$65536,22,FALSE)</f>
        <v>2000</v>
      </c>
      <c r="N147" s="135"/>
      <c r="O147" s="50"/>
      <c r="P147" s="19">
        <v>0</v>
      </c>
      <c r="Q147" s="20">
        <v>1</v>
      </c>
      <c r="R147" s="21">
        <v>0</v>
      </c>
      <c r="S147" s="19">
        <v>0</v>
      </c>
      <c r="T147" s="20">
        <v>1</v>
      </c>
      <c r="U147" s="19">
        <v>0</v>
      </c>
      <c r="V147" s="20">
        <v>1</v>
      </c>
      <c r="W147" s="20">
        <v>1</v>
      </c>
      <c r="X147" s="20">
        <v>1</v>
      </c>
      <c r="Y147" s="20">
        <v>1</v>
      </c>
      <c r="Z147" s="20">
        <v>0</v>
      </c>
      <c r="AA147" s="20">
        <v>0</v>
      </c>
      <c r="AB147" s="49">
        <v>0</v>
      </c>
      <c r="AC147" s="49">
        <v>0</v>
      </c>
      <c r="AD147" s="49">
        <v>0</v>
      </c>
      <c r="AE147" s="49">
        <v>1</v>
      </c>
      <c r="AF147" s="49">
        <v>0</v>
      </c>
      <c r="AG147" s="161">
        <v>0</v>
      </c>
      <c r="AH147" s="162">
        <v>1</v>
      </c>
      <c r="AI147" s="162">
        <v>0</v>
      </c>
      <c r="AJ147" s="162">
        <v>0</v>
      </c>
      <c r="AK147" s="162">
        <v>0</v>
      </c>
      <c r="AL147" s="163">
        <v>0</v>
      </c>
      <c r="AM147" s="19">
        <v>0</v>
      </c>
      <c r="AN147" s="20" t="str">
        <f>IFERROR(INDEX([2]lijnopstellingsfiche!$AP$1:$AP$65536,MATCH(A147,[2]lijnopstellingsfiche!$AQ$1:$AQ$65536,0)),"")</f>
        <v>-</v>
      </c>
      <c r="AO147" s="20">
        <v>0</v>
      </c>
      <c r="AP147" s="20">
        <v>1</v>
      </c>
      <c r="AQ147" s="20">
        <v>1</v>
      </c>
      <c r="AR147" s="20">
        <v>1</v>
      </c>
      <c r="AS147" s="20">
        <v>0</v>
      </c>
      <c r="AT147" s="20">
        <v>0</v>
      </c>
      <c r="AU147" s="20">
        <v>0</v>
      </c>
      <c r="AV147" s="23">
        <v>0</v>
      </c>
      <c r="AW147" s="108">
        <v>0</v>
      </c>
      <c r="AX147" s="108">
        <v>0</v>
      </c>
      <c r="AY147" s="108">
        <v>1</v>
      </c>
      <c r="AZ147" s="108">
        <v>0</v>
      </c>
      <c r="BA147" s="114">
        <v>1</v>
      </c>
      <c r="BB147" s="20">
        <v>0</v>
      </c>
      <c r="BC147" s="113">
        <v>0</v>
      </c>
      <c r="BD147" s="200" t="str">
        <f>VLOOKUP($A147,'[3]allergenen 6nr'!$A$1:$O$1310,3,FALSE)</f>
        <v>-</v>
      </c>
      <c r="BE147" s="201" t="str">
        <f>VLOOKUP($A147,'[3]allergenen 6nr'!$A$1:$O$1310,4,FALSE)</f>
        <v>+</v>
      </c>
      <c r="BF147" s="201" t="str">
        <f>VLOOKUP($A147,'[3]allergenen 6nr'!$A$1:$O$1310,5,FALSE)</f>
        <v>-</v>
      </c>
      <c r="BG147" s="201" t="str">
        <f>VLOOKUP($A147,'[3]allergenen 6nr'!$A$1:$O$1310,6,FALSE)</f>
        <v>-</v>
      </c>
      <c r="BH147" s="201" t="str">
        <f>VLOOKUP($A147,'[3]allergenen 6nr'!$A$1:$O$1310,7,FALSE)</f>
        <v>+</v>
      </c>
      <c r="BI147" s="201" t="str">
        <f>VLOOKUP($A147,'[3]allergenen 6nr'!$A$1:$O$1310,8,FALSE)</f>
        <v>-</v>
      </c>
      <c r="BJ147" s="201" t="str">
        <f>VLOOKUP($A147,'[3]allergenen 6nr'!$A$1:$O$1310,9,FALSE)</f>
        <v>-</v>
      </c>
      <c r="BK147" s="201" t="str">
        <f>VLOOKUP($A147,'[3]allergenen 6nr'!$A$1:$O$1310,10,FALSE)</f>
        <v>-</v>
      </c>
      <c r="BL147" s="201" t="str">
        <f>VLOOKUP($A147,'[3]allergenen 6nr'!$A$1:$O$1310,11,FALSE)</f>
        <v>+</v>
      </c>
      <c r="BM147" s="201" t="str">
        <f>VLOOKUP($A147,'[3]allergenen 6nr'!$A$1:$O$1310,12,FALSE)</f>
        <v>-</v>
      </c>
      <c r="BN147" s="201" t="str">
        <f>VLOOKUP($A147,'[3]allergenen 6nr'!$A$1:$O$1310,13,FALSE)</f>
        <v>-</v>
      </c>
      <c r="BO147" s="201" t="str">
        <f>VLOOKUP($A147,'[3]allergenen 6nr'!$A$1:$O$1310,14,FALSE)</f>
        <v>-</v>
      </c>
      <c r="BP147" s="202" t="str">
        <f>VLOOKUP($A147,'[3]allergenen 6nr'!$A$1:$O$1310,15,FALSE)</f>
        <v>-</v>
      </c>
    </row>
    <row r="148" spans="1:68" x14ac:dyDescent="0.2">
      <c r="A148" s="89">
        <v>63516300</v>
      </c>
      <c r="B148" s="53" t="str">
        <f>VLOOKUP($A148,[1]maaltijden!$A$1:$IV$65536,4,FALSE)</f>
        <v>DMC HEEK TOMAATKRUIDENKAAS BROCC/BLOEMK PUREE</v>
      </c>
      <c r="C148" s="46" t="str">
        <f>VLOOKUP($A148,[1]maaltijden!$A$1:$IV$65536,7,FALSE)</f>
        <v>C2227-2K</v>
      </c>
      <c r="D148" s="22" t="str">
        <f>VLOOKUP($A148,[1]maaltijden!$A$1:$IV$65536,10,FALSE)</f>
        <v>NVT</v>
      </c>
      <c r="E148" s="22" t="str">
        <f>VLOOKUP($A148,[1]maaltijden!$A$1:$IV$65536,13,FALSE)</f>
        <v>DMC X 6</v>
      </c>
      <c r="F148" s="20">
        <f t="shared" si="2"/>
        <v>0</v>
      </c>
      <c r="G148" s="20" t="str">
        <f>VLOOKUP($A148,[1]maaltijden!$A$1:$IV$65536,27,FALSE)</f>
        <v>! ! ! !</v>
      </c>
      <c r="H148" s="22">
        <f>VLOOKUP($A148,[1]maaltijden!$A$1:$IV$65536,21,FALSE)</f>
        <v>4</v>
      </c>
      <c r="I148" s="22">
        <f>VLOOKUP($A148,[1]maaltijden!$A$1:$IV$65536,21,FALSE)</f>
        <v>4</v>
      </c>
      <c r="J148" s="22">
        <f>VLOOKUP($A148,[1]maaltijden!$A$1:$IV$65536,18,FALSE)</f>
        <v>3</v>
      </c>
      <c r="K148" s="22">
        <f>VLOOKUP($A148,[1]maaltijden!$A$1:$IV$65536,17,FALSE)</f>
        <v>3</v>
      </c>
      <c r="L148" s="22">
        <f>VLOOKUP($A148,[1]maaltijden!$A$1:$IV$65536,20,FALSE)</f>
        <v>2200</v>
      </c>
      <c r="M148" s="22">
        <f>VLOOKUP($A148,[1]maaltijden!$A$1:$IV$65536,22,FALSE)</f>
        <v>2200</v>
      </c>
      <c r="N148" s="135"/>
      <c r="O148" s="50"/>
      <c r="P148" s="19">
        <v>0</v>
      </c>
      <c r="Q148" s="20">
        <v>1</v>
      </c>
      <c r="R148" s="21">
        <v>0</v>
      </c>
      <c r="S148" s="19">
        <v>0</v>
      </c>
      <c r="T148" s="20">
        <v>1</v>
      </c>
      <c r="U148" s="19">
        <v>1</v>
      </c>
      <c r="V148" s="20">
        <v>1</v>
      </c>
      <c r="W148" s="20">
        <v>1</v>
      </c>
      <c r="X148" s="20">
        <v>1</v>
      </c>
      <c r="Y148" s="20">
        <v>1</v>
      </c>
      <c r="Z148" s="20">
        <v>0</v>
      </c>
      <c r="AA148" s="20">
        <v>0</v>
      </c>
      <c r="AB148" s="49">
        <v>0</v>
      </c>
      <c r="AC148" s="49">
        <v>0</v>
      </c>
      <c r="AD148" s="49">
        <v>0</v>
      </c>
      <c r="AE148" s="49">
        <v>0</v>
      </c>
      <c r="AF148" s="49">
        <v>0</v>
      </c>
      <c r="AG148" s="161">
        <v>0</v>
      </c>
      <c r="AH148" s="162">
        <v>2</v>
      </c>
      <c r="AI148" s="162">
        <v>1</v>
      </c>
      <c r="AJ148" s="162">
        <v>0</v>
      </c>
      <c r="AK148" s="162">
        <v>0</v>
      </c>
      <c r="AL148" s="163">
        <v>0</v>
      </c>
      <c r="AM148" s="19">
        <v>0</v>
      </c>
      <c r="AN148" s="20" t="str">
        <f>IFERROR(INDEX([2]lijnopstellingsfiche!$AP$1:$AP$65536,MATCH(A148,[2]lijnopstellingsfiche!$AQ$1:$AQ$65536,0)),"")</f>
        <v>-</v>
      </c>
      <c r="AO148" s="20">
        <v>0</v>
      </c>
      <c r="AP148" s="20">
        <v>0</v>
      </c>
      <c r="AQ148" s="20">
        <v>1</v>
      </c>
      <c r="AR148" s="20">
        <v>1</v>
      </c>
      <c r="AS148" s="20">
        <v>0</v>
      </c>
      <c r="AT148" s="20">
        <v>0</v>
      </c>
      <c r="AU148" s="20">
        <v>0</v>
      </c>
      <c r="AV148" s="23">
        <v>0</v>
      </c>
      <c r="AW148" s="108">
        <v>0</v>
      </c>
      <c r="AX148" s="108">
        <v>0</v>
      </c>
      <c r="AY148" s="108">
        <v>1</v>
      </c>
      <c r="AZ148" s="108">
        <v>0</v>
      </c>
      <c r="BA148" s="114">
        <v>1</v>
      </c>
      <c r="BB148" s="20">
        <v>0</v>
      </c>
      <c r="BC148" s="113">
        <v>0</v>
      </c>
      <c r="BD148" s="200" t="str">
        <f>VLOOKUP($A148,'[3]allergenen 6nr'!$A$1:$O$1310,3,FALSE)</f>
        <v>-</v>
      </c>
      <c r="BE148" s="201" t="str">
        <f>VLOOKUP($A148,'[3]allergenen 6nr'!$A$1:$O$1310,4,FALSE)</f>
        <v>+</v>
      </c>
      <c r="BF148" s="201" t="str">
        <f>VLOOKUP($A148,'[3]allergenen 6nr'!$A$1:$O$1310,5,FALSE)</f>
        <v>+</v>
      </c>
      <c r="BG148" s="201" t="str">
        <f>VLOOKUP($A148,'[3]allergenen 6nr'!$A$1:$O$1310,6,FALSE)</f>
        <v>X</v>
      </c>
      <c r="BH148" s="201" t="str">
        <f>VLOOKUP($A148,'[3]allergenen 6nr'!$A$1:$O$1310,7,FALSE)</f>
        <v>+</v>
      </c>
      <c r="BI148" s="201" t="str">
        <f>VLOOKUP($A148,'[3]allergenen 6nr'!$A$1:$O$1310,8,FALSE)</f>
        <v>X</v>
      </c>
      <c r="BJ148" s="201" t="str">
        <f>VLOOKUP($A148,'[3]allergenen 6nr'!$A$1:$O$1310,9,FALSE)</f>
        <v>-</v>
      </c>
      <c r="BK148" s="201" t="str">
        <f>VLOOKUP($A148,'[3]allergenen 6nr'!$A$1:$O$1310,10,FALSE)</f>
        <v>-</v>
      </c>
      <c r="BL148" s="201" t="str">
        <f>VLOOKUP($A148,'[3]allergenen 6nr'!$A$1:$O$1310,11,FALSE)</f>
        <v>+</v>
      </c>
      <c r="BM148" s="201" t="str">
        <f>VLOOKUP($A148,'[3]allergenen 6nr'!$A$1:$O$1310,12,FALSE)</f>
        <v>-</v>
      </c>
      <c r="BN148" s="201" t="str">
        <f>VLOOKUP($A148,'[3]allergenen 6nr'!$A$1:$O$1310,13,FALSE)</f>
        <v>X</v>
      </c>
      <c r="BO148" s="201" t="str">
        <f>VLOOKUP($A148,'[3]allergenen 6nr'!$A$1:$O$1310,14,FALSE)</f>
        <v>+</v>
      </c>
      <c r="BP148" s="202" t="str">
        <f>VLOOKUP($A148,'[3]allergenen 6nr'!$A$1:$O$1310,15,FALSE)</f>
        <v>-</v>
      </c>
    </row>
    <row r="149" spans="1:68" x14ac:dyDescent="0.2">
      <c r="A149" s="89">
        <v>63516400</v>
      </c>
      <c r="B149" s="53" t="str">
        <f>VLOOKUP($A149,[1]maaltijden!$A$1:$IV$65536,4,FALSE)</f>
        <v xml:space="preserve">DMC ZALMFILET DILLESAUS PARIJSE WORTEL KRIEL </v>
      </c>
      <c r="C149" s="46" t="str">
        <f>VLOOKUP($A149,[1]maaltijden!$A$1:$IV$65536,7,FALSE)</f>
        <v>C2227-3R</v>
      </c>
      <c r="D149" s="22" t="str">
        <f>VLOOKUP($A149,[1]maaltijden!$A$1:$IV$65536,10,FALSE)</f>
        <v>NVT</v>
      </c>
      <c r="E149" s="22" t="str">
        <f>VLOOKUP($A149,[1]maaltijden!$A$1:$IV$65536,13,FALSE)</f>
        <v>DMC X 6</v>
      </c>
      <c r="F149" s="20">
        <f t="shared" si="2"/>
        <v>0</v>
      </c>
      <c r="G149" s="20" t="str">
        <f>VLOOKUP($A149,[1]maaltijden!$A$1:$IV$65536,27,FALSE)</f>
        <v>! ! ! !</v>
      </c>
      <c r="H149" s="22">
        <f>VLOOKUP($A149,[1]maaltijden!$A$1:$IV$65536,21,FALSE)</f>
        <v>6</v>
      </c>
      <c r="I149" s="22">
        <f>VLOOKUP($A149,[1]maaltijden!$A$1:$IV$65536,21,FALSE)</f>
        <v>6</v>
      </c>
      <c r="J149" s="22">
        <f>VLOOKUP($A149,[1]maaltijden!$A$1:$IV$65536,18,FALSE)</f>
        <v>3</v>
      </c>
      <c r="K149" s="22">
        <f>VLOOKUP($A149,[1]maaltijden!$A$1:$IV$65536,17,FALSE)</f>
        <v>2</v>
      </c>
      <c r="L149" s="22">
        <f>VLOOKUP($A149,[1]maaltijden!$A$1:$IV$65536,20,FALSE)</f>
        <v>2200</v>
      </c>
      <c r="M149" s="22">
        <f>VLOOKUP($A149,[1]maaltijden!$A$1:$IV$65536,22,FALSE)</f>
        <v>2200</v>
      </c>
      <c r="N149" s="135"/>
      <c r="O149" s="50"/>
      <c r="P149" s="19">
        <v>0</v>
      </c>
      <c r="Q149" s="20">
        <v>1</v>
      </c>
      <c r="R149" s="21">
        <v>0</v>
      </c>
      <c r="S149" s="19">
        <v>0</v>
      </c>
      <c r="T149" s="20">
        <v>1</v>
      </c>
      <c r="U149" s="19">
        <v>0</v>
      </c>
      <c r="V149" s="20">
        <v>1</v>
      </c>
      <c r="W149" s="20">
        <v>1</v>
      </c>
      <c r="X149" s="20">
        <v>1</v>
      </c>
      <c r="Y149" s="20">
        <v>1</v>
      </c>
      <c r="Z149" s="20">
        <v>0</v>
      </c>
      <c r="AA149" s="20">
        <v>0</v>
      </c>
      <c r="AB149" s="49">
        <v>0</v>
      </c>
      <c r="AC149" s="49">
        <v>0</v>
      </c>
      <c r="AD149" s="49">
        <v>0</v>
      </c>
      <c r="AE149" s="49">
        <v>1</v>
      </c>
      <c r="AF149" s="49">
        <v>0</v>
      </c>
      <c r="AG149" s="161">
        <v>0</v>
      </c>
      <c r="AH149" s="162">
        <v>1</v>
      </c>
      <c r="AI149" s="162">
        <v>1</v>
      </c>
      <c r="AJ149" s="162">
        <v>0</v>
      </c>
      <c r="AK149" s="162">
        <v>0</v>
      </c>
      <c r="AL149" s="163">
        <v>0</v>
      </c>
      <c r="AM149" s="19">
        <v>0</v>
      </c>
      <c r="AN149" s="20" t="str">
        <f>IFERROR(INDEX([2]lijnopstellingsfiche!$AP$1:$AP$65536,MATCH(A149,[2]lijnopstellingsfiche!$AQ$1:$AQ$65536,0)),"")</f>
        <v>-</v>
      </c>
      <c r="AO149" s="20">
        <v>0</v>
      </c>
      <c r="AP149" s="20">
        <v>0</v>
      </c>
      <c r="AQ149" s="20">
        <v>1</v>
      </c>
      <c r="AR149" s="20">
        <v>0</v>
      </c>
      <c r="AS149" s="20">
        <v>0</v>
      </c>
      <c r="AT149" s="20">
        <v>0</v>
      </c>
      <c r="AU149" s="20">
        <v>0</v>
      </c>
      <c r="AV149" s="23">
        <v>0</v>
      </c>
      <c r="AW149" s="108">
        <v>0</v>
      </c>
      <c r="AX149" s="108">
        <v>0</v>
      </c>
      <c r="AY149" s="108">
        <v>1</v>
      </c>
      <c r="AZ149" s="108">
        <v>0</v>
      </c>
      <c r="BA149" s="114">
        <v>1</v>
      </c>
      <c r="BB149" s="20">
        <v>0</v>
      </c>
      <c r="BC149" s="113">
        <v>0</v>
      </c>
      <c r="BD149" s="200" t="str">
        <f>VLOOKUP($A149,'[3]allergenen 6nr'!$A$1:$O$1310,3,FALSE)</f>
        <v>-</v>
      </c>
      <c r="BE149" s="201" t="str">
        <f>VLOOKUP($A149,'[3]allergenen 6nr'!$A$1:$O$1310,4,FALSE)</f>
        <v>-</v>
      </c>
      <c r="BF149" s="201" t="str">
        <f>VLOOKUP($A149,'[3]allergenen 6nr'!$A$1:$O$1310,5,FALSE)</f>
        <v>+</v>
      </c>
      <c r="BG149" s="201" t="str">
        <f>VLOOKUP($A149,'[3]allergenen 6nr'!$A$1:$O$1310,6,FALSE)</f>
        <v>X</v>
      </c>
      <c r="BH149" s="201" t="str">
        <f>VLOOKUP($A149,'[3]allergenen 6nr'!$A$1:$O$1310,7,FALSE)</f>
        <v>+</v>
      </c>
      <c r="BI149" s="201" t="str">
        <f>VLOOKUP($A149,'[3]allergenen 6nr'!$A$1:$O$1310,8,FALSE)</f>
        <v>+</v>
      </c>
      <c r="BJ149" s="201" t="str">
        <f>VLOOKUP($A149,'[3]allergenen 6nr'!$A$1:$O$1310,9,FALSE)</f>
        <v>-</v>
      </c>
      <c r="BK149" s="201" t="str">
        <f>VLOOKUP($A149,'[3]allergenen 6nr'!$A$1:$O$1310,10,FALSE)</f>
        <v>X</v>
      </c>
      <c r="BL149" s="201" t="str">
        <f>VLOOKUP($A149,'[3]allergenen 6nr'!$A$1:$O$1310,11,FALSE)</f>
        <v>+</v>
      </c>
      <c r="BM149" s="201" t="str">
        <f>VLOOKUP($A149,'[3]allergenen 6nr'!$A$1:$O$1310,12,FALSE)</f>
        <v>-</v>
      </c>
      <c r="BN149" s="201" t="str">
        <f>VLOOKUP($A149,'[3]allergenen 6nr'!$A$1:$O$1310,13,FALSE)</f>
        <v>X</v>
      </c>
      <c r="BO149" s="201" t="str">
        <f>VLOOKUP($A149,'[3]allergenen 6nr'!$A$1:$O$1310,14,FALSE)</f>
        <v>+</v>
      </c>
      <c r="BP149" s="202" t="str">
        <f>VLOOKUP($A149,'[3]allergenen 6nr'!$A$1:$O$1310,15,FALSE)</f>
        <v>X</v>
      </c>
    </row>
    <row r="150" spans="1:68" x14ac:dyDescent="0.2">
      <c r="A150" s="89">
        <v>63516600</v>
      </c>
      <c r="B150" s="53" t="str">
        <f>VLOOKUP($A150,[1]maaltijden!$A$1:$IV$65536,4,FALSE)</f>
        <v>DMC VA REEPJES PEPERRROOMSAUS ERWTEN AARD KUBUS</v>
      </c>
      <c r="C150" s="46" t="str">
        <f>VLOOKUP($A150,[1]maaltijden!$A$1:$IV$65536,7,FALSE)</f>
        <v>C2227-2K</v>
      </c>
      <c r="D150" s="22" t="str">
        <f>VLOOKUP($A150,[1]maaltijden!$A$1:$IV$65536,10,FALSE)</f>
        <v>NVT</v>
      </c>
      <c r="E150" s="22" t="str">
        <f>VLOOKUP($A150,[1]maaltijden!$A$1:$IV$65536,13,FALSE)</f>
        <v>DMC X 6</v>
      </c>
      <c r="F150" s="20">
        <f t="shared" si="2"/>
        <v>0</v>
      </c>
      <c r="G150" s="20" t="str">
        <f>VLOOKUP($A150,[1]maaltijden!$A$1:$IV$65536,27,FALSE)</f>
        <v>! !</v>
      </c>
      <c r="H150" s="22">
        <f>VLOOKUP($A150,[1]maaltijden!$A$1:$IV$65536,21,FALSE)</f>
        <v>7</v>
      </c>
      <c r="I150" s="22">
        <f>VLOOKUP($A150,[1]maaltijden!$A$1:$IV$65536,21,FALSE)</f>
        <v>7</v>
      </c>
      <c r="J150" s="22">
        <f>VLOOKUP($A150,[1]maaltijden!$A$1:$IV$65536,18,FALSE)</f>
        <v>3</v>
      </c>
      <c r="K150" s="22">
        <f>VLOOKUP($A150,[1]maaltijden!$A$1:$IV$65536,17,FALSE)</f>
        <v>2</v>
      </c>
      <c r="L150" s="22">
        <f>VLOOKUP($A150,[1]maaltijden!$A$1:$IV$65536,20,FALSE)</f>
        <v>2000</v>
      </c>
      <c r="M150" s="22">
        <f>VLOOKUP($A150,[1]maaltijden!$A$1:$IV$65536,22,FALSE)</f>
        <v>2000</v>
      </c>
      <c r="N150" s="135"/>
      <c r="O150" s="50"/>
      <c r="P150" s="19">
        <v>0</v>
      </c>
      <c r="Q150" s="20">
        <v>1</v>
      </c>
      <c r="R150" s="21">
        <v>0</v>
      </c>
      <c r="S150" s="19">
        <v>0</v>
      </c>
      <c r="T150" s="20">
        <v>1</v>
      </c>
      <c r="U150" s="19">
        <v>1</v>
      </c>
      <c r="V150" s="20">
        <v>1</v>
      </c>
      <c r="W150" s="20">
        <v>1</v>
      </c>
      <c r="X150" s="20">
        <v>1</v>
      </c>
      <c r="Y150" s="20">
        <v>1</v>
      </c>
      <c r="Z150" s="20">
        <v>0</v>
      </c>
      <c r="AA150" s="20">
        <v>0</v>
      </c>
      <c r="AB150" s="49">
        <v>0</v>
      </c>
      <c r="AC150" s="49">
        <v>0</v>
      </c>
      <c r="AD150" s="49">
        <v>0</v>
      </c>
      <c r="AE150" s="49">
        <v>0</v>
      </c>
      <c r="AF150" s="49">
        <v>0</v>
      </c>
      <c r="AG150" s="161">
        <v>0</v>
      </c>
      <c r="AH150" s="162">
        <v>1</v>
      </c>
      <c r="AI150" s="162">
        <v>1</v>
      </c>
      <c r="AJ150" s="162">
        <v>0</v>
      </c>
      <c r="AK150" s="162">
        <v>0</v>
      </c>
      <c r="AL150" s="163">
        <v>0</v>
      </c>
      <c r="AM150" s="19">
        <v>0</v>
      </c>
      <c r="AN150" s="20" t="str">
        <f>IFERROR(INDEX([2]lijnopstellingsfiche!$AP$1:$AP$65536,MATCH(A150,[2]lijnopstellingsfiche!$AQ$1:$AQ$65536,0)),"")</f>
        <v>-</v>
      </c>
      <c r="AO150" s="20">
        <v>0</v>
      </c>
      <c r="AP150" s="20">
        <v>0</v>
      </c>
      <c r="AQ150" s="20">
        <v>1</v>
      </c>
      <c r="AR150" s="20">
        <v>0</v>
      </c>
      <c r="AS150" s="20">
        <v>0</v>
      </c>
      <c r="AT150" s="20">
        <v>1</v>
      </c>
      <c r="AU150" s="20">
        <v>0</v>
      </c>
      <c r="AV150" s="23">
        <v>0</v>
      </c>
      <c r="AW150" s="108">
        <v>0</v>
      </c>
      <c r="AX150" s="108">
        <v>0</v>
      </c>
      <c r="AY150" s="108">
        <v>1</v>
      </c>
      <c r="AZ150" s="108">
        <v>0</v>
      </c>
      <c r="BA150" s="114">
        <v>1</v>
      </c>
      <c r="BB150" s="20">
        <v>0</v>
      </c>
      <c r="BC150" s="113">
        <v>0</v>
      </c>
      <c r="BD150" s="200" t="str">
        <f>VLOOKUP($A150,'[3]allergenen 6nr'!$A$1:$O$1310,3,FALSE)</f>
        <v>-</v>
      </c>
      <c r="BE150" s="201" t="str">
        <f>VLOOKUP($A150,'[3]allergenen 6nr'!$A$1:$O$1310,4,FALSE)</f>
        <v>X</v>
      </c>
      <c r="BF150" s="201" t="str">
        <f>VLOOKUP($A150,'[3]allergenen 6nr'!$A$1:$O$1310,5,FALSE)</f>
        <v>+</v>
      </c>
      <c r="BG150" s="201" t="str">
        <f>VLOOKUP($A150,'[3]allergenen 6nr'!$A$1:$O$1310,6,FALSE)</f>
        <v>-</v>
      </c>
      <c r="BH150" s="201" t="str">
        <f>VLOOKUP($A150,'[3]allergenen 6nr'!$A$1:$O$1310,7,FALSE)</f>
        <v>+</v>
      </c>
      <c r="BI150" s="201" t="str">
        <f>VLOOKUP($A150,'[3]allergenen 6nr'!$A$1:$O$1310,8,FALSE)</f>
        <v>X</v>
      </c>
      <c r="BJ150" s="201" t="str">
        <f>VLOOKUP($A150,'[3]allergenen 6nr'!$A$1:$O$1310,9,FALSE)</f>
        <v>-</v>
      </c>
      <c r="BK150" s="201" t="str">
        <f>VLOOKUP($A150,'[3]allergenen 6nr'!$A$1:$O$1310,10,FALSE)</f>
        <v>-</v>
      </c>
      <c r="BL150" s="201" t="str">
        <f>VLOOKUP($A150,'[3]allergenen 6nr'!$A$1:$O$1310,11,FALSE)</f>
        <v>X</v>
      </c>
      <c r="BM150" s="201" t="str">
        <f>VLOOKUP($A150,'[3]allergenen 6nr'!$A$1:$O$1310,12,FALSE)</f>
        <v>-</v>
      </c>
      <c r="BN150" s="201" t="str">
        <f>VLOOKUP($A150,'[3]allergenen 6nr'!$A$1:$O$1310,13,FALSE)</f>
        <v>X</v>
      </c>
      <c r="BO150" s="201" t="str">
        <f>VLOOKUP($A150,'[3]allergenen 6nr'!$A$1:$O$1310,14,FALSE)</f>
        <v>-</v>
      </c>
      <c r="BP150" s="202" t="str">
        <f>VLOOKUP($A150,'[3]allergenen 6nr'!$A$1:$O$1310,15,FALSE)</f>
        <v>-</v>
      </c>
    </row>
    <row r="151" spans="1:68" x14ac:dyDescent="0.2">
      <c r="A151" s="89">
        <v>63516700</v>
      </c>
      <c r="B151" s="53" t="str">
        <f>VLOOKUP($A151,[1]maaltijden!$A$1:$IV$65536,4,FALSE)</f>
        <v>DMC RU LAPJE BEARNAISE BLOEMKOOL ROSTI</v>
      </c>
      <c r="C151" s="46" t="str">
        <f>VLOOKUP($A151,[1]maaltijden!$A$1:$IV$65536,7,FALSE)</f>
        <v>C2227-2K</v>
      </c>
      <c r="D151" s="22" t="str">
        <f>VLOOKUP($A151,[1]maaltijden!$A$1:$IV$65536,10,FALSE)</f>
        <v>NVT</v>
      </c>
      <c r="E151" s="22" t="str">
        <f>VLOOKUP($A151,[1]maaltijden!$A$1:$IV$65536,13,FALSE)</f>
        <v>DMC X 6</v>
      </c>
      <c r="F151" s="20">
        <f t="shared" si="2"/>
        <v>0</v>
      </c>
      <c r="G151" s="20" t="str">
        <f>VLOOKUP($A151,[1]maaltijden!$A$1:$IV$65536,27,FALSE)</f>
        <v>! ! !</v>
      </c>
      <c r="H151" s="22">
        <f>VLOOKUP($A151,[1]maaltijden!$A$1:$IV$65536,21,FALSE)</f>
        <v>5</v>
      </c>
      <c r="I151" s="22">
        <f>VLOOKUP($A151,[1]maaltijden!$A$1:$IV$65536,21,FALSE)</f>
        <v>5</v>
      </c>
      <c r="J151" s="22">
        <f>VLOOKUP($A151,[1]maaltijden!$A$1:$IV$65536,18,FALSE)</f>
        <v>3</v>
      </c>
      <c r="K151" s="22">
        <f>VLOOKUP($A151,[1]maaltijden!$A$1:$IV$65536,17,FALSE)</f>
        <v>2</v>
      </c>
      <c r="L151" s="22">
        <f>VLOOKUP($A151,[1]maaltijden!$A$1:$IV$65536,20,FALSE)</f>
        <v>1750</v>
      </c>
      <c r="M151" s="22">
        <f>VLOOKUP($A151,[1]maaltijden!$A$1:$IV$65536,22,FALSE)</f>
        <v>1750</v>
      </c>
      <c r="N151" s="135"/>
      <c r="O151" s="50"/>
      <c r="P151" s="19">
        <v>0</v>
      </c>
      <c r="Q151" s="20">
        <v>1</v>
      </c>
      <c r="R151" s="21">
        <v>0</v>
      </c>
      <c r="S151" s="19">
        <v>0</v>
      </c>
      <c r="T151" s="20">
        <v>1</v>
      </c>
      <c r="U151" s="19">
        <v>1</v>
      </c>
      <c r="V151" s="20">
        <v>1</v>
      </c>
      <c r="W151" s="20">
        <v>1</v>
      </c>
      <c r="X151" s="20">
        <v>1</v>
      </c>
      <c r="Y151" s="20">
        <v>1</v>
      </c>
      <c r="Z151" s="20">
        <v>0</v>
      </c>
      <c r="AA151" s="20">
        <v>0</v>
      </c>
      <c r="AB151" s="49">
        <v>0</v>
      </c>
      <c r="AC151" s="49">
        <v>0</v>
      </c>
      <c r="AD151" s="49">
        <v>0</v>
      </c>
      <c r="AE151" s="49">
        <v>1</v>
      </c>
      <c r="AF151" s="49">
        <v>0</v>
      </c>
      <c r="AG151" s="161">
        <v>0</v>
      </c>
      <c r="AH151" s="162">
        <v>1</v>
      </c>
      <c r="AI151" s="162">
        <v>0</v>
      </c>
      <c r="AJ151" s="162">
        <v>1</v>
      </c>
      <c r="AK151" s="162">
        <v>0</v>
      </c>
      <c r="AL151" s="163">
        <v>0</v>
      </c>
      <c r="AM151" s="19">
        <v>0</v>
      </c>
      <c r="AN151" s="20" t="str">
        <f>IFERROR(INDEX([2]lijnopstellingsfiche!$AP$1:$AP$65536,MATCH(A151,[2]lijnopstellingsfiche!$AQ$1:$AQ$65536,0)),"")</f>
        <v>-</v>
      </c>
      <c r="AO151" s="20">
        <v>0</v>
      </c>
      <c r="AP151" s="20">
        <v>0</v>
      </c>
      <c r="AQ151" s="20">
        <v>1</v>
      </c>
      <c r="AR151" s="20">
        <v>0</v>
      </c>
      <c r="AS151" s="20">
        <v>0</v>
      </c>
      <c r="AT151" s="20">
        <v>1</v>
      </c>
      <c r="AU151" s="20">
        <v>0</v>
      </c>
      <c r="AV151" s="23">
        <v>0</v>
      </c>
      <c r="AW151" s="108">
        <v>0</v>
      </c>
      <c r="AX151" s="108">
        <v>0</v>
      </c>
      <c r="AY151" s="108">
        <v>1</v>
      </c>
      <c r="AZ151" s="108">
        <v>0</v>
      </c>
      <c r="BA151" s="114">
        <v>1</v>
      </c>
      <c r="BB151" s="20">
        <v>0</v>
      </c>
      <c r="BC151" s="113">
        <v>0</v>
      </c>
      <c r="BD151" s="200" t="str">
        <f>VLOOKUP($A151,'[3]allergenen 6nr'!$A$1:$O$1310,3,FALSE)</f>
        <v>-</v>
      </c>
      <c r="BE151" s="201" t="str">
        <f>VLOOKUP($A151,'[3]allergenen 6nr'!$A$1:$O$1310,4,FALSE)</f>
        <v>X</v>
      </c>
      <c r="BF151" s="201" t="str">
        <f>VLOOKUP($A151,'[3]allergenen 6nr'!$A$1:$O$1310,5,FALSE)</f>
        <v>+</v>
      </c>
      <c r="BG151" s="201" t="str">
        <f>VLOOKUP($A151,'[3]allergenen 6nr'!$A$1:$O$1310,6,FALSE)</f>
        <v>X</v>
      </c>
      <c r="BH151" s="201" t="str">
        <f>VLOOKUP($A151,'[3]allergenen 6nr'!$A$1:$O$1310,7,FALSE)</f>
        <v>+</v>
      </c>
      <c r="BI151" s="201" t="str">
        <f>VLOOKUP($A151,'[3]allergenen 6nr'!$A$1:$O$1310,8,FALSE)</f>
        <v>X</v>
      </c>
      <c r="BJ151" s="201" t="str">
        <f>VLOOKUP($A151,'[3]allergenen 6nr'!$A$1:$O$1310,9,FALSE)</f>
        <v>-</v>
      </c>
      <c r="BK151" s="201" t="str">
        <f>VLOOKUP($A151,'[3]allergenen 6nr'!$A$1:$O$1310,10,FALSE)</f>
        <v>-</v>
      </c>
      <c r="BL151" s="201" t="str">
        <f>VLOOKUP($A151,'[3]allergenen 6nr'!$A$1:$O$1310,11,FALSE)</f>
        <v>+</v>
      </c>
      <c r="BM151" s="201" t="str">
        <f>VLOOKUP($A151,'[3]allergenen 6nr'!$A$1:$O$1310,12,FALSE)</f>
        <v>-</v>
      </c>
      <c r="BN151" s="201" t="str">
        <f>VLOOKUP($A151,'[3]allergenen 6nr'!$A$1:$O$1310,13,FALSE)</f>
        <v>X</v>
      </c>
      <c r="BO151" s="201" t="str">
        <f>VLOOKUP($A151,'[3]allergenen 6nr'!$A$1:$O$1310,14,FALSE)</f>
        <v>-</v>
      </c>
      <c r="BP151" s="202" t="str">
        <f>VLOOKUP($A151,'[3]allergenen 6nr'!$A$1:$O$1310,15,FALSE)</f>
        <v>-</v>
      </c>
    </row>
    <row r="152" spans="1:68" x14ac:dyDescent="0.2">
      <c r="A152" s="89">
        <v>63516800</v>
      </c>
      <c r="B152" s="53" t="str">
        <f>VLOOKUP($A152,[1]maaltijden!$A$1:$IV$65536,4,FALSE)</f>
        <v>DMC RUNDSTOOFSCHOTEL RODE KOOL PUREE</v>
      </c>
      <c r="C152" s="46" t="str">
        <f>VLOOKUP($A152,[1]maaltijden!$A$1:$IV$65536,7,FALSE)</f>
        <v>C2227-3R</v>
      </c>
      <c r="D152" s="22" t="str">
        <f>VLOOKUP($A152,[1]maaltijden!$A$1:$IV$65536,10,FALSE)</f>
        <v>NVT</v>
      </c>
      <c r="E152" s="22" t="str">
        <f>VLOOKUP($A152,[1]maaltijden!$A$1:$IV$65536,13,FALSE)</f>
        <v>DMC X 6</v>
      </c>
      <c r="F152" s="20">
        <f t="shared" si="2"/>
        <v>0</v>
      </c>
      <c r="G152" s="20" t="str">
        <f>VLOOKUP($A152,[1]maaltijden!$A$1:$IV$65536,27,FALSE)</f>
        <v>! ! !</v>
      </c>
      <c r="H152" s="22">
        <f>VLOOKUP($A152,[1]maaltijden!$A$1:$IV$65536,21,FALSE)</f>
        <v>2</v>
      </c>
      <c r="I152" s="22">
        <f>VLOOKUP($A152,[1]maaltijden!$A$1:$IV$65536,21,FALSE)</f>
        <v>2</v>
      </c>
      <c r="J152" s="22">
        <f>VLOOKUP($A152,[1]maaltijden!$A$1:$IV$65536,18,FALSE)</f>
        <v>3</v>
      </c>
      <c r="K152" s="22">
        <f>VLOOKUP($A152,[1]maaltijden!$A$1:$IV$65536,17,FALSE)</f>
        <v>3</v>
      </c>
      <c r="L152" s="22">
        <f>VLOOKUP($A152,[1]maaltijden!$A$1:$IV$65536,20,FALSE)</f>
        <v>2200</v>
      </c>
      <c r="M152" s="22">
        <f>VLOOKUP($A152,[1]maaltijden!$A$1:$IV$65536,22,FALSE)</f>
        <v>2200</v>
      </c>
      <c r="N152" s="135"/>
      <c r="O152" s="50" t="s">
        <v>419</v>
      </c>
      <c r="P152" s="19">
        <v>0</v>
      </c>
      <c r="Q152" s="20">
        <v>1</v>
      </c>
      <c r="R152" s="21">
        <v>0</v>
      </c>
      <c r="S152" s="19">
        <v>0</v>
      </c>
      <c r="T152" s="20">
        <v>1</v>
      </c>
      <c r="U152" s="19">
        <v>0</v>
      </c>
      <c r="V152" s="20">
        <v>1</v>
      </c>
      <c r="W152" s="20">
        <v>1</v>
      </c>
      <c r="X152" s="20">
        <v>1</v>
      </c>
      <c r="Y152" s="20">
        <v>1</v>
      </c>
      <c r="Z152" s="20">
        <v>1</v>
      </c>
      <c r="AA152" s="20">
        <v>0</v>
      </c>
      <c r="AB152" s="49">
        <v>0</v>
      </c>
      <c r="AC152" s="49">
        <v>0</v>
      </c>
      <c r="AD152" s="49">
        <v>0</v>
      </c>
      <c r="AE152" s="49">
        <v>1</v>
      </c>
      <c r="AF152" s="49">
        <v>0</v>
      </c>
      <c r="AG152" s="161">
        <v>0</v>
      </c>
      <c r="AH152" s="162">
        <v>1</v>
      </c>
      <c r="AI152" s="162">
        <v>2</v>
      </c>
      <c r="AJ152" s="162">
        <v>0</v>
      </c>
      <c r="AK152" s="162">
        <v>0</v>
      </c>
      <c r="AL152" s="163">
        <v>0</v>
      </c>
      <c r="AM152" s="19">
        <v>0</v>
      </c>
      <c r="AN152" s="20">
        <f>IFERROR(INDEX([2]lijnopstellingsfiche!$AP$1:$AP$65536,MATCH(A152,[2]lijnopstellingsfiche!$AQ$1:$AQ$65536,0)),"")</f>
        <v>1</v>
      </c>
      <c r="AO152" s="20">
        <v>0</v>
      </c>
      <c r="AP152" s="20">
        <v>0</v>
      </c>
      <c r="AQ152" s="20">
        <v>2</v>
      </c>
      <c r="AR152" s="20">
        <v>1</v>
      </c>
      <c r="AS152" s="20">
        <v>0</v>
      </c>
      <c r="AT152" s="20">
        <v>1</v>
      </c>
      <c r="AU152" s="20">
        <v>0</v>
      </c>
      <c r="AV152" s="23">
        <v>0</v>
      </c>
      <c r="AW152" s="108">
        <v>0</v>
      </c>
      <c r="AX152" s="108">
        <v>0</v>
      </c>
      <c r="AY152" s="108">
        <v>1</v>
      </c>
      <c r="AZ152" s="108">
        <v>0</v>
      </c>
      <c r="BA152" s="114">
        <v>1</v>
      </c>
      <c r="BB152" s="20">
        <v>0</v>
      </c>
      <c r="BC152" s="113">
        <v>0</v>
      </c>
      <c r="BD152" s="200" t="str">
        <f>VLOOKUP($A152,'[3]allergenen 6nr'!$A$1:$O$1310,3,FALSE)</f>
        <v>-</v>
      </c>
      <c r="BE152" s="201" t="str">
        <f>VLOOKUP($A152,'[3]allergenen 6nr'!$A$1:$O$1310,4,FALSE)</f>
        <v>+</v>
      </c>
      <c r="BF152" s="201" t="str">
        <f>VLOOKUP($A152,'[3]allergenen 6nr'!$A$1:$O$1310,5,FALSE)</f>
        <v>X</v>
      </c>
      <c r="BG152" s="201" t="str">
        <f>VLOOKUP($A152,'[3]allergenen 6nr'!$A$1:$O$1310,6,FALSE)</f>
        <v>-</v>
      </c>
      <c r="BH152" s="201" t="str">
        <f>VLOOKUP($A152,'[3]allergenen 6nr'!$A$1:$O$1310,7,FALSE)</f>
        <v>+</v>
      </c>
      <c r="BI152" s="201" t="str">
        <f>VLOOKUP($A152,'[3]allergenen 6nr'!$A$1:$O$1310,8,FALSE)</f>
        <v>X</v>
      </c>
      <c r="BJ152" s="201" t="str">
        <f>VLOOKUP($A152,'[3]allergenen 6nr'!$A$1:$O$1310,9,FALSE)</f>
        <v>-</v>
      </c>
      <c r="BK152" s="201" t="str">
        <f>VLOOKUP($A152,'[3]allergenen 6nr'!$A$1:$O$1310,10,FALSE)</f>
        <v>-</v>
      </c>
      <c r="BL152" s="201" t="str">
        <f>VLOOKUP($A152,'[3]allergenen 6nr'!$A$1:$O$1310,11,FALSE)</f>
        <v>+</v>
      </c>
      <c r="BM152" s="201" t="str">
        <f>VLOOKUP($A152,'[3]allergenen 6nr'!$A$1:$O$1310,12,FALSE)</f>
        <v>-</v>
      </c>
      <c r="BN152" s="201" t="str">
        <f>VLOOKUP($A152,'[3]allergenen 6nr'!$A$1:$O$1310,13,FALSE)</f>
        <v>X</v>
      </c>
      <c r="BO152" s="201" t="str">
        <f>VLOOKUP($A152,'[3]allergenen 6nr'!$A$1:$O$1310,14,FALSE)</f>
        <v>-</v>
      </c>
      <c r="BP152" s="202" t="str">
        <f>VLOOKUP($A152,'[3]allergenen 6nr'!$A$1:$O$1310,15,FALSE)</f>
        <v>-</v>
      </c>
    </row>
    <row r="153" spans="1:68" x14ac:dyDescent="0.2">
      <c r="A153" s="89">
        <v>63516900</v>
      </c>
      <c r="B153" s="53" t="str">
        <f>VLOOKUP($A153,[1]maaltijden!$A$1:$IV$65536,4,FALSE)</f>
        <v xml:space="preserve">DMC WITTE PENS APPELMOES PUREE              </v>
      </c>
      <c r="C153" s="46" t="str">
        <f>VLOOKUP($A153,[1]maaltijden!$A$1:$IV$65536,7,FALSE)</f>
        <v>C2227-3R</v>
      </c>
      <c r="D153" s="22" t="str">
        <f>VLOOKUP($A153,[1]maaltijden!$A$1:$IV$65536,10,FALSE)</f>
        <v>NVT</v>
      </c>
      <c r="E153" s="22" t="str">
        <f>VLOOKUP($A153,[1]maaltijden!$A$1:$IV$65536,13,FALSE)</f>
        <v>DMC X 6</v>
      </c>
      <c r="F153" s="20">
        <f t="shared" si="2"/>
        <v>0</v>
      </c>
      <c r="G153" s="20" t="str">
        <f>VLOOKUP($A153,[1]maaltijden!$A$1:$IV$65536,27,FALSE)</f>
        <v>! ! !</v>
      </c>
      <c r="H153" s="22">
        <f>VLOOKUP($A153,[1]maaltijden!$A$1:$IV$65536,21,FALSE)</f>
        <v>2</v>
      </c>
      <c r="I153" s="22">
        <f>VLOOKUP($A153,[1]maaltijden!$A$1:$IV$65536,21,FALSE)</f>
        <v>2</v>
      </c>
      <c r="J153" s="22">
        <f>VLOOKUP($A153,[1]maaltijden!$A$1:$IV$65536,18,FALSE)</f>
        <v>3</v>
      </c>
      <c r="K153" s="22">
        <f>VLOOKUP($A153,[1]maaltijden!$A$1:$IV$65536,17,FALSE)</f>
        <v>3</v>
      </c>
      <c r="L153" s="22">
        <f>VLOOKUP($A153,[1]maaltijden!$A$1:$IV$65536,20,FALSE)</f>
        <v>2200</v>
      </c>
      <c r="M153" s="22">
        <f>VLOOKUP($A153,[1]maaltijden!$A$1:$IV$65536,22,FALSE)</f>
        <v>2200</v>
      </c>
      <c r="N153" s="135"/>
      <c r="O153" s="50"/>
      <c r="P153" s="19">
        <v>0</v>
      </c>
      <c r="Q153" s="20">
        <v>1</v>
      </c>
      <c r="R153" s="21">
        <v>0</v>
      </c>
      <c r="S153" s="19">
        <v>0</v>
      </c>
      <c r="T153" s="20">
        <v>1</v>
      </c>
      <c r="U153" s="19">
        <v>0</v>
      </c>
      <c r="V153" s="20">
        <v>1</v>
      </c>
      <c r="W153" s="20">
        <v>1</v>
      </c>
      <c r="X153" s="20">
        <v>1</v>
      </c>
      <c r="Y153" s="20">
        <v>1</v>
      </c>
      <c r="Z153" s="20">
        <v>0</v>
      </c>
      <c r="AA153" s="20">
        <v>0</v>
      </c>
      <c r="AB153" s="49">
        <v>0</v>
      </c>
      <c r="AC153" s="49">
        <v>0</v>
      </c>
      <c r="AD153" s="49">
        <v>0</v>
      </c>
      <c r="AE153" s="49">
        <v>1</v>
      </c>
      <c r="AF153" s="49">
        <v>0</v>
      </c>
      <c r="AG153" s="161">
        <v>0</v>
      </c>
      <c r="AH153" s="162">
        <v>2</v>
      </c>
      <c r="AI153" s="162">
        <v>0</v>
      </c>
      <c r="AJ153" s="162">
        <v>0</v>
      </c>
      <c r="AK153" s="162">
        <v>0</v>
      </c>
      <c r="AL153" s="163">
        <v>0</v>
      </c>
      <c r="AM153" s="19">
        <v>0</v>
      </c>
      <c r="AN153" s="20" t="str">
        <f>IFERROR(INDEX([2]lijnopstellingsfiche!$AP$1:$AP$65536,MATCH(A153,[2]lijnopstellingsfiche!$AQ$1:$AQ$65536,0)),"")</f>
        <v>-</v>
      </c>
      <c r="AO153" s="20">
        <v>0</v>
      </c>
      <c r="AP153" s="20">
        <v>0</v>
      </c>
      <c r="AQ153" s="20">
        <v>2</v>
      </c>
      <c r="AR153" s="20">
        <v>1</v>
      </c>
      <c r="AS153" s="20">
        <v>0</v>
      </c>
      <c r="AT153" s="20">
        <v>0</v>
      </c>
      <c r="AU153" s="20">
        <v>0</v>
      </c>
      <c r="AV153" s="23">
        <v>0</v>
      </c>
      <c r="AW153" s="108">
        <v>0</v>
      </c>
      <c r="AX153" s="108">
        <v>0</v>
      </c>
      <c r="AY153" s="108">
        <v>1</v>
      </c>
      <c r="AZ153" s="108">
        <v>0</v>
      </c>
      <c r="BA153" s="114">
        <v>1</v>
      </c>
      <c r="BB153" s="20">
        <v>0</v>
      </c>
      <c r="BC153" s="113">
        <v>0</v>
      </c>
      <c r="BD153" s="200" t="str">
        <f>VLOOKUP($A153,'[3]allergenen 6nr'!$A$1:$O$1310,3,FALSE)</f>
        <v>-</v>
      </c>
      <c r="BE153" s="201" t="str">
        <f>VLOOKUP($A153,'[3]allergenen 6nr'!$A$1:$O$1310,4,FALSE)</f>
        <v>+</v>
      </c>
      <c r="BF153" s="201" t="str">
        <f>VLOOKUP($A153,'[3]allergenen 6nr'!$A$1:$O$1310,5,FALSE)</f>
        <v>+</v>
      </c>
      <c r="BG153" s="201" t="str">
        <f>VLOOKUP($A153,'[3]allergenen 6nr'!$A$1:$O$1310,6,FALSE)</f>
        <v>-</v>
      </c>
      <c r="BH153" s="201" t="str">
        <f>VLOOKUP($A153,'[3]allergenen 6nr'!$A$1:$O$1310,7,FALSE)</f>
        <v>+</v>
      </c>
      <c r="BI153" s="201" t="str">
        <f>VLOOKUP($A153,'[3]allergenen 6nr'!$A$1:$O$1310,8,FALSE)</f>
        <v>+</v>
      </c>
      <c r="BJ153" s="201" t="str">
        <f>VLOOKUP($A153,'[3]allergenen 6nr'!$A$1:$O$1310,9,FALSE)</f>
        <v>-</v>
      </c>
      <c r="BK153" s="201" t="str">
        <f>VLOOKUP($A153,'[3]allergenen 6nr'!$A$1:$O$1310,10,FALSE)</f>
        <v>-</v>
      </c>
      <c r="BL153" s="201" t="str">
        <f>VLOOKUP($A153,'[3]allergenen 6nr'!$A$1:$O$1310,11,FALSE)</f>
        <v>+</v>
      </c>
      <c r="BM153" s="201" t="str">
        <f>VLOOKUP($A153,'[3]allergenen 6nr'!$A$1:$O$1310,12,FALSE)</f>
        <v>-</v>
      </c>
      <c r="BN153" s="201" t="str">
        <f>VLOOKUP($A153,'[3]allergenen 6nr'!$A$1:$O$1310,13,FALSE)</f>
        <v>+</v>
      </c>
      <c r="BO153" s="201" t="str">
        <f>VLOOKUP($A153,'[3]allergenen 6nr'!$A$1:$O$1310,14,FALSE)</f>
        <v>-</v>
      </c>
      <c r="BP153" s="202" t="str">
        <f>VLOOKUP($A153,'[3]allergenen 6nr'!$A$1:$O$1310,15,FALSE)</f>
        <v>-</v>
      </c>
    </row>
    <row r="154" spans="1:68" x14ac:dyDescent="0.2">
      <c r="A154" s="89">
        <v>63517100</v>
      </c>
      <c r="B154" s="53" t="str">
        <f>VLOOKUP($A154,[1]maaltijden!$A$1:$IV$65536,4,FALSE)</f>
        <v xml:space="preserve">DMC KALKOENROULADE WITLOOFSAUS AARDAPPELNOOTJES     </v>
      </c>
      <c r="C154" s="46" t="str">
        <f>VLOOKUP($A154,[1]maaltijden!$A$1:$IV$65536,7,FALSE)</f>
        <v>C2227-2K</v>
      </c>
      <c r="D154" s="22" t="str">
        <f>VLOOKUP($A154,[1]maaltijden!$A$1:$IV$65536,10,FALSE)</f>
        <v>NVT</v>
      </c>
      <c r="E154" s="22" t="str">
        <f>VLOOKUP($A154,[1]maaltijden!$A$1:$IV$65536,13,FALSE)</f>
        <v>DMC X 6</v>
      </c>
      <c r="F154" s="20">
        <f t="shared" si="2"/>
        <v>0</v>
      </c>
      <c r="G154" s="20" t="str">
        <f>VLOOKUP($A154,[1]maaltijden!$A$1:$IV$65536,27,FALSE)</f>
        <v>! !</v>
      </c>
      <c r="H154" s="22">
        <f>VLOOKUP($A154,[1]maaltijden!$A$1:$IV$65536,21,FALSE)</f>
        <v>8</v>
      </c>
      <c r="I154" s="22">
        <f>VLOOKUP($A154,[1]maaltijden!$A$1:$IV$65536,21,FALSE)</f>
        <v>8</v>
      </c>
      <c r="J154" s="22">
        <f>VLOOKUP($A154,[1]maaltijden!$A$1:$IV$65536,18,FALSE)</f>
        <v>3</v>
      </c>
      <c r="K154" s="22">
        <f>VLOOKUP($A154,[1]maaltijden!$A$1:$IV$65536,17,FALSE)</f>
        <v>1</v>
      </c>
      <c r="L154" s="22">
        <f>VLOOKUP($A154,[1]maaltijden!$A$1:$IV$65536,20,FALSE)</f>
        <v>1750</v>
      </c>
      <c r="M154" s="22">
        <f>VLOOKUP($A154,[1]maaltijden!$A$1:$IV$65536,22,FALSE)</f>
        <v>1750</v>
      </c>
      <c r="N154" s="135"/>
      <c r="O154" s="50"/>
      <c r="P154" s="19">
        <v>0</v>
      </c>
      <c r="Q154" s="20">
        <v>1</v>
      </c>
      <c r="R154" s="21">
        <v>0</v>
      </c>
      <c r="S154" s="19">
        <v>0</v>
      </c>
      <c r="T154" s="20">
        <v>1</v>
      </c>
      <c r="U154" s="19">
        <v>0</v>
      </c>
      <c r="V154" s="20">
        <v>0</v>
      </c>
      <c r="W154" s="20">
        <v>1</v>
      </c>
      <c r="X154" s="20">
        <v>1</v>
      </c>
      <c r="Y154" s="20">
        <v>1</v>
      </c>
      <c r="Z154" s="20">
        <v>1</v>
      </c>
      <c r="AA154" s="20">
        <v>1</v>
      </c>
      <c r="AB154" s="49">
        <v>0</v>
      </c>
      <c r="AC154" s="49">
        <v>0</v>
      </c>
      <c r="AD154" s="49">
        <v>0</v>
      </c>
      <c r="AE154" s="49">
        <v>1</v>
      </c>
      <c r="AF154" s="49">
        <v>0</v>
      </c>
      <c r="AG154" s="161">
        <v>0</v>
      </c>
      <c r="AH154" s="162">
        <v>0</v>
      </c>
      <c r="AI154" s="162">
        <v>2</v>
      </c>
      <c r="AJ154" s="162">
        <v>0</v>
      </c>
      <c r="AK154" s="162">
        <v>0</v>
      </c>
      <c r="AL154" s="163">
        <v>0</v>
      </c>
      <c r="AM154" s="19">
        <v>0</v>
      </c>
      <c r="AN154" s="20">
        <f>IFERROR(INDEX([2]lijnopstellingsfiche!$AP$1:$AP$65536,MATCH(A154,[2]lijnopstellingsfiche!$AQ$1:$AQ$65536,0)),"")</f>
        <v>4</v>
      </c>
      <c r="AO154" s="20">
        <v>0</v>
      </c>
      <c r="AP154" s="20">
        <v>0</v>
      </c>
      <c r="AQ154" s="20">
        <v>1</v>
      </c>
      <c r="AR154" s="20">
        <v>0</v>
      </c>
      <c r="AS154" s="20">
        <v>0</v>
      </c>
      <c r="AT154" s="20">
        <v>0</v>
      </c>
      <c r="AU154" s="20">
        <v>0</v>
      </c>
      <c r="AV154" s="23">
        <v>0</v>
      </c>
      <c r="AW154" s="108">
        <v>0</v>
      </c>
      <c r="AX154" s="108">
        <v>0</v>
      </c>
      <c r="AY154" s="108">
        <v>1</v>
      </c>
      <c r="AZ154" s="108">
        <v>0</v>
      </c>
      <c r="BA154" s="114">
        <v>1</v>
      </c>
      <c r="BB154" s="20">
        <v>0</v>
      </c>
      <c r="BC154" s="113">
        <v>0</v>
      </c>
      <c r="BD154" s="200" t="str">
        <f>VLOOKUP($A154,'[3]allergenen 6nr'!$A$1:$O$1310,3,FALSE)</f>
        <v>-</v>
      </c>
      <c r="BE154" s="201" t="str">
        <f>VLOOKUP($A154,'[3]allergenen 6nr'!$A$1:$O$1310,4,FALSE)</f>
        <v>X</v>
      </c>
      <c r="BF154" s="201" t="str">
        <f>VLOOKUP($A154,'[3]allergenen 6nr'!$A$1:$O$1310,5,FALSE)</f>
        <v>+</v>
      </c>
      <c r="BG154" s="201" t="str">
        <f>VLOOKUP($A154,'[3]allergenen 6nr'!$A$1:$O$1310,6,FALSE)</f>
        <v>X</v>
      </c>
      <c r="BH154" s="201" t="str">
        <f>VLOOKUP($A154,'[3]allergenen 6nr'!$A$1:$O$1310,7,FALSE)</f>
        <v>+</v>
      </c>
      <c r="BI154" s="201" t="str">
        <f>VLOOKUP($A154,'[3]allergenen 6nr'!$A$1:$O$1310,8,FALSE)</f>
        <v>X</v>
      </c>
      <c r="BJ154" s="201" t="str">
        <f>VLOOKUP($A154,'[3]allergenen 6nr'!$A$1:$O$1310,9,FALSE)</f>
        <v>-</v>
      </c>
      <c r="BK154" s="201" t="str">
        <f>VLOOKUP($A154,'[3]allergenen 6nr'!$A$1:$O$1310,10,FALSE)</f>
        <v>-</v>
      </c>
      <c r="BL154" s="201" t="str">
        <f>VLOOKUP($A154,'[3]allergenen 6nr'!$A$1:$O$1310,11,FALSE)</f>
        <v>X</v>
      </c>
      <c r="BM154" s="201" t="str">
        <f>VLOOKUP($A154,'[3]allergenen 6nr'!$A$1:$O$1310,12,FALSE)</f>
        <v>-</v>
      </c>
      <c r="BN154" s="201" t="str">
        <f>VLOOKUP($A154,'[3]allergenen 6nr'!$A$1:$O$1310,13,FALSE)</f>
        <v>X</v>
      </c>
      <c r="BO154" s="201" t="str">
        <f>VLOOKUP($A154,'[3]allergenen 6nr'!$A$1:$O$1310,14,FALSE)</f>
        <v>-</v>
      </c>
      <c r="BP154" s="202" t="str">
        <f>VLOOKUP($A154,'[3]allergenen 6nr'!$A$1:$O$1310,15,FALSE)</f>
        <v>-</v>
      </c>
    </row>
    <row r="155" spans="1:68" x14ac:dyDescent="0.2">
      <c r="A155" s="89">
        <v>63517500</v>
      </c>
      <c r="B155" s="53" t="str">
        <f>VLOOKUP($A155,[1]maaltijden!$A$1:$IV$65536,4,FALSE)</f>
        <v>DMC GEBAKKEN VIS WEDGES EN GROENE GROENTEN</v>
      </c>
      <c r="C155" s="46" t="str">
        <f>VLOOKUP($A155,[1]maaltijden!$A$1:$IV$65536,7,FALSE)</f>
        <v>C2227-1H</v>
      </c>
      <c r="D155" s="22" t="str">
        <f>VLOOKUP($A155,[1]maaltijden!$A$1:$IV$65536,10,FALSE)</f>
        <v>NVT</v>
      </c>
      <c r="E155" s="22" t="str">
        <f>VLOOKUP($A155,[1]maaltijden!$A$1:$IV$65536,13,FALSE)</f>
        <v>DMC X 6</v>
      </c>
      <c r="F155" s="20">
        <f t="shared" si="2"/>
        <v>0</v>
      </c>
      <c r="G155" s="20" t="str">
        <f>VLOOKUP($A155,[1]maaltijden!$A$1:$IV$65536,27,FALSE)</f>
        <v>! ! ! !</v>
      </c>
      <c r="H155" s="22">
        <f>VLOOKUP($A155,[1]maaltijden!$A$1:$IV$65536,21,FALSE)</f>
        <v>7</v>
      </c>
      <c r="I155" s="22">
        <f>VLOOKUP($A155,[1]maaltijden!$A$1:$IV$65536,21,FALSE)</f>
        <v>7</v>
      </c>
      <c r="J155" s="22">
        <f>VLOOKUP($A155,[1]maaltijden!$A$1:$IV$65536,18,FALSE)</f>
        <v>3</v>
      </c>
      <c r="K155" s="22">
        <f>VLOOKUP($A155,[1]maaltijden!$A$1:$IV$65536,17,FALSE)</f>
        <v>2</v>
      </c>
      <c r="L155" s="22">
        <f>VLOOKUP($A155,[1]maaltijden!$A$1:$IV$65536,20,FALSE)</f>
        <v>2000</v>
      </c>
      <c r="M155" s="22">
        <f>VLOOKUP($A155,[1]maaltijden!$A$1:$IV$65536,22,FALSE)</f>
        <v>2000</v>
      </c>
      <c r="N155" s="135"/>
      <c r="O155" s="50"/>
      <c r="P155" s="19">
        <v>0</v>
      </c>
      <c r="Q155" s="20">
        <v>1</v>
      </c>
      <c r="R155" s="21">
        <v>0</v>
      </c>
      <c r="S155" s="19">
        <v>0</v>
      </c>
      <c r="T155" s="20">
        <v>1</v>
      </c>
      <c r="U155" s="19">
        <v>1</v>
      </c>
      <c r="V155" s="20">
        <v>1</v>
      </c>
      <c r="W155" s="20">
        <v>1</v>
      </c>
      <c r="X155" s="20">
        <v>1</v>
      </c>
      <c r="Y155" s="20">
        <v>1</v>
      </c>
      <c r="Z155" s="20">
        <v>0</v>
      </c>
      <c r="AA155" s="20">
        <v>0</v>
      </c>
      <c r="AB155" s="49">
        <v>0</v>
      </c>
      <c r="AC155" s="49">
        <v>0</v>
      </c>
      <c r="AD155" s="49">
        <v>0</v>
      </c>
      <c r="AE155" s="49">
        <v>0</v>
      </c>
      <c r="AF155" s="49">
        <v>0</v>
      </c>
      <c r="AG155" s="161">
        <v>0</v>
      </c>
      <c r="AH155" s="162">
        <v>1</v>
      </c>
      <c r="AI155" s="162">
        <v>1</v>
      </c>
      <c r="AJ155" s="162">
        <v>0</v>
      </c>
      <c r="AK155" s="162">
        <v>0</v>
      </c>
      <c r="AL155" s="163">
        <v>0</v>
      </c>
      <c r="AM155" s="19">
        <v>0</v>
      </c>
      <c r="AN155" s="20" t="str">
        <f>IFERROR(INDEX([2]lijnopstellingsfiche!$AP$1:$AP$65536,MATCH(A155,[2]lijnopstellingsfiche!$AQ$1:$AQ$65536,0)),"")</f>
        <v>-</v>
      </c>
      <c r="AO155" s="20">
        <v>0</v>
      </c>
      <c r="AP155" s="20">
        <v>0</v>
      </c>
      <c r="AQ155" s="20">
        <v>1</v>
      </c>
      <c r="AR155" s="20">
        <v>0</v>
      </c>
      <c r="AS155" s="20">
        <v>0</v>
      </c>
      <c r="AT155" s="20">
        <v>1</v>
      </c>
      <c r="AU155" s="20">
        <v>0</v>
      </c>
      <c r="AV155" s="23">
        <v>0</v>
      </c>
      <c r="AW155" s="108">
        <v>0</v>
      </c>
      <c r="AX155" s="108">
        <v>0</v>
      </c>
      <c r="AY155" s="108">
        <v>1</v>
      </c>
      <c r="AZ155" s="108">
        <v>0</v>
      </c>
      <c r="BA155" s="114">
        <v>1</v>
      </c>
      <c r="BB155" s="20">
        <v>0</v>
      </c>
      <c r="BC155" s="113">
        <v>0</v>
      </c>
      <c r="BD155" s="200" t="str">
        <f>VLOOKUP($A155,'[3]allergenen 6nr'!$A$1:$O$1310,3,FALSE)</f>
        <v>-</v>
      </c>
      <c r="BE155" s="201" t="str">
        <f>VLOOKUP($A155,'[3]allergenen 6nr'!$A$1:$O$1310,4,FALSE)</f>
        <v>-</v>
      </c>
      <c r="BF155" s="201" t="str">
        <f>VLOOKUP($A155,'[3]allergenen 6nr'!$A$1:$O$1310,5,FALSE)</f>
        <v>+</v>
      </c>
      <c r="BG155" s="201" t="str">
        <f>VLOOKUP($A155,'[3]allergenen 6nr'!$A$1:$O$1310,6,FALSE)</f>
        <v>-</v>
      </c>
      <c r="BH155" s="201" t="str">
        <f>VLOOKUP($A155,'[3]allergenen 6nr'!$A$1:$O$1310,7,FALSE)</f>
        <v>+</v>
      </c>
      <c r="BI155" s="201" t="str">
        <f>VLOOKUP($A155,'[3]allergenen 6nr'!$A$1:$O$1310,8,FALSE)</f>
        <v>-</v>
      </c>
      <c r="BJ155" s="201" t="str">
        <f>VLOOKUP($A155,'[3]allergenen 6nr'!$A$1:$O$1310,9,FALSE)</f>
        <v>-</v>
      </c>
      <c r="BK155" s="201" t="str">
        <f>VLOOKUP($A155,'[3]allergenen 6nr'!$A$1:$O$1310,10,FALSE)</f>
        <v>-</v>
      </c>
      <c r="BL155" s="201" t="str">
        <f>VLOOKUP($A155,'[3]allergenen 6nr'!$A$1:$O$1310,11,FALSE)</f>
        <v>+</v>
      </c>
      <c r="BM155" s="201" t="str">
        <f>VLOOKUP($A155,'[3]allergenen 6nr'!$A$1:$O$1310,12,FALSE)</f>
        <v>-</v>
      </c>
      <c r="BN155" s="201" t="str">
        <f>VLOOKUP($A155,'[3]allergenen 6nr'!$A$1:$O$1310,13,FALSE)</f>
        <v>-</v>
      </c>
      <c r="BO155" s="201" t="str">
        <f>VLOOKUP($A155,'[3]allergenen 6nr'!$A$1:$O$1310,14,FALSE)</f>
        <v>+</v>
      </c>
      <c r="BP155" s="202" t="str">
        <f>VLOOKUP($A155,'[3]allergenen 6nr'!$A$1:$O$1310,15,FALSE)</f>
        <v>-</v>
      </c>
    </row>
    <row r="156" spans="1:68" x14ac:dyDescent="0.2">
      <c r="A156" s="89">
        <v>63517600</v>
      </c>
      <c r="B156" s="53" t="str">
        <f>VLOOKUP($A156,[1]maaltijden!$A$1:$IV$65536,4,FALSE)</f>
        <v>DMC VARKENSTOOFVLEES BLOEMKOOL KRIEL</v>
      </c>
      <c r="C156" s="46" t="str">
        <f>VLOOKUP($A156,[1]maaltijden!$A$1:$IV$65536,7,FALSE)</f>
        <v>C2227-3R</v>
      </c>
      <c r="D156" s="22" t="str">
        <f>VLOOKUP($A156,[1]maaltijden!$A$1:$IV$65536,10,FALSE)</f>
        <v>NVT</v>
      </c>
      <c r="E156" s="22" t="str">
        <f>VLOOKUP($A156,[1]maaltijden!$A$1:$IV$65536,13,FALSE)</f>
        <v>DMC X 6</v>
      </c>
      <c r="F156" s="20">
        <f t="shared" si="2"/>
        <v>0</v>
      </c>
      <c r="G156" s="20" t="str">
        <f>VLOOKUP($A156,[1]maaltijden!$A$1:$IV$65536,27,FALSE)</f>
        <v>! !</v>
      </c>
      <c r="H156" s="22">
        <f>VLOOKUP($A156,[1]maaltijden!$A$1:$IV$65536,21,FALSE)</f>
        <v>10</v>
      </c>
      <c r="I156" s="22">
        <f>VLOOKUP($A156,[1]maaltijden!$A$1:$IV$65536,21,FALSE)</f>
        <v>10</v>
      </c>
      <c r="J156" s="22">
        <f>VLOOKUP($A156,[1]maaltijden!$A$1:$IV$65536,18,FALSE)</f>
        <v>3</v>
      </c>
      <c r="K156" s="22">
        <f>VLOOKUP($A156,[1]maaltijden!$A$1:$IV$65536,17,FALSE)</f>
        <v>2</v>
      </c>
      <c r="L156" s="22">
        <f>VLOOKUP($A156,[1]maaltijden!$A$1:$IV$65536,20,FALSE)</f>
        <v>2000</v>
      </c>
      <c r="M156" s="22">
        <f>VLOOKUP($A156,[1]maaltijden!$A$1:$IV$65536,22,FALSE)</f>
        <v>2000</v>
      </c>
      <c r="N156" s="135"/>
      <c r="O156" s="50"/>
      <c r="P156" s="19">
        <v>0</v>
      </c>
      <c r="Q156" s="20">
        <v>1</v>
      </c>
      <c r="R156" s="21">
        <v>0</v>
      </c>
      <c r="S156" s="19">
        <v>0</v>
      </c>
      <c r="T156" s="20">
        <v>1</v>
      </c>
      <c r="U156" s="19">
        <v>0</v>
      </c>
      <c r="V156" s="20">
        <v>1</v>
      </c>
      <c r="W156" s="20">
        <v>1</v>
      </c>
      <c r="X156" s="20">
        <v>1</v>
      </c>
      <c r="Y156" s="20">
        <v>1</v>
      </c>
      <c r="Z156" s="20">
        <v>1</v>
      </c>
      <c r="AA156" s="20">
        <v>0</v>
      </c>
      <c r="AB156" s="49">
        <v>0</v>
      </c>
      <c r="AC156" s="49">
        <v>0</v>
      </c>
      <c r="AD156" s="49">
        <v>0</v>
      </c>
      <c r="AE156" s="49">
        <v>0</v>
      </c>
      <c r="AF156" s="49">
        <v>0</v>
      </c>
      <c r="AG156" s="161">
        <v>0</v>
      </c>
      <c r="AH156" s="162">
        <v>1</v>
      </c>
      <c r="AI156" s="162">
        <v>1</v>
      </c>
      <c r="AJ156" s="162">
        <v>0</v>
      </c>
      <c r="AK156" s="162">
        <v>0</v>
      </c>
      <c r="AL156" s="163">
        <v>0</v>
      </c>
      <c r="AM156" s="19">
        <v>0</v>
      </c>
      <c r="AN156" s="20">
        <f>IFERROR(INDEX([2]lijnopstellingsfiche!$AP$1:$AP$65536,MATCH(A156,[2]lijnopstellingsfiche!$AQ$1:$AQ$65536,0)),"")</f>
        <v>5</v>
      </c>
      <c r="AO156" s="20">
        <v>0</v>
      </c>
      <c r="AP156" s="20">
        <v>0</v>
      </c>
      <c r="AQ156" s="20">
        <v>1</v>
      </c>
      <c r="AR156" s="20">
        <v>0</v>
      </c>
      <c r="AS156" s="20">
        <v>0</v>
      </c>
      <c r="AT156" s="20">
        <v>0</v>
      </c>
      <c r="AU156" s="20">
        <v>0</v>
      </c>
      <c r="AV156" s="23">
        <v>0</v>
      </c>
      <c r="AW156" s="108">
        <v>0</v>
      </c>
      <c r="AX156" s="108">
        <v>0</v>
      </c>
      <c r="AY156" s="108">
        <v>1</v>
      </c>
      <c r="AZ156" s="108">
        <v>0</v>
      </c>
      <c r="BA156" s="114">
        <v>1</v>
      </c>
      <c r="BB156" s="20">
        <v>0</v>
      </c>
      <c r="BC156" s="113">
        <v>0</v>
      </c>
      <c r="BD156" s="200" t="str">
        <f>VLOOKUP($A156,'[3]allergenen 6nr'!$A$1:$O$1310,3,FALSE)</f>
        <v>-</v>
      </c>
      <c r="BE156" s="201" t="str">
        <f>VLOOKUP($A156,'[3]allergenen 6nr'!$A$1:$O$1310,4,FALSE)</f>
        <v>-</v>
      </c>
      <c r="BF156" s="201" t="str">
        <f>VLOOKUP($A156,'[3]allergenen 6nr'!$A$1:$O$1310,5,FALSE)</f>
        <v>-</v>
      </c>
      <c r="BG156" s="201" t="str">
        <f>VLOOKUP($A156,'[3]allergenen 6nr'!$A$1:$O$1310,6,FALSE)</f>
        <v>-</v>
      </c>
      <c r="BH156" s="201" t="str">
        <f>VLOOKUP($A156,'[3]allergenen 6nr'!$A$1:$O$1310,7,FALSE)</f>
        <v>+</v>
      </c>
      <c r="BI156" s="201" t="str">
        <f>VLOOKUP($A156,'[3]allergenen 6nr'!$A$1:$O$1310,8,FALSE)</f>
        <v>-</v>
      </c>
      <c r="BJ156" s="201" t="str">
        <f>VLOOKUP($A156,'[3]allergenen 6nr'!$A$1:$O$1310,9,FALSE)</f>
        <v>-</v>
      </c>
      <c r="BK156" s="201" t="str">
        <f>VLOOKUP($A156,'[3]allergenen 6nr'!$A$1:$O$1310,10,FALSE)</f>
        <v>-</v>
      </c>
      <c r="BL156" s="201" t="str">
        <f>VLOOKUP($A156,'[3]allergenen 6nr'!$A$1:$O$1310,11,FALSE)</f>
        <v>-</v>
      </c>
      <c r="BM156" s="201" t="str">
        <f>VLOOKUP($A156,'[3]allergenen 6nr'!$A$1:$O$1310,12,FALSE)</f>
        <v>-</v>
      </c>
      <c r="BN156" s="201" t="str">
        <f>VLOOKUP($A156,'[3]allergenen 6nr'!$A$1:$O$1310,13,FALSE)</f>
        <v>-</v>
      </c>
      <c r="BO156" s="201" t="str">
        <f>VLOOKUP($A156,'[3]allergenen 6nr'!$A$1:$O$1310,14,FALSE)</f>
        <v>-</v>
      </c>
      <c r="BP156" s="202" t="str">
        <f>VLOOKUP($A156,'[3]allergenen 6nr'!$A$1:$O$1310,15,FALSE)</f>
        <v>-</v>
      </c>
    </row>
    <row r="157" spans="1:68" x14ac:dyDescent="0.2">
      <c r="A157" s="89">
        <v>63518000</v>
      </c>
      <c r="B157" s="53" t="str">
        <f>VLOOKUP($A157,[1]maaltijden!$A$1:$IV$65536,4,FALSE)</f>
        <v>DMC STOOFVLEES VA WANG GESTOOFDE APPEL WEDGES</v>
      </c>
      <c r="C157" s="46" t="str">
        <f>VLOOKUP($A157,[1]maaltijden!$A$1:$IV$65536,7,FALSE)</f>
        <v>C2227-3R</v>
      </c>
      <c r="D157" s="22" t="str">
        <f>VLOOKUP($A157,[1]maaltijden!$A$1:$IV$65536,10,FALSE)</f>
        <v>NVT</v>
      </c>
      <c r="E157" s="22" t="str">
        <f>VLOOKUP($A157,[1]maaltijden!$A$1:$IV$65536,13,FALSE)</f>
        <v>DMC X 6</v>
      </c>
      <c r="F157" s="20">
        <f t="shared" si="2"/>
        <v>0</v>
      </c>
      <c r="G157" s="20" t="str">
        <f>VLOOKUP($A157,[1]maaltijden!$A$1:$IV$65536,27,FALSE)</f>
        <v>! !</v>
      </c>
      <c r="H157" s="22">
        <f>VLOOKUP($A157,[1]maaltijden!$A$1:$IV$65536,21,FALSE)</f>
        <v>4</v>
      </c>
      <c r="I157" s="22">
        <f>VLOOKUP($A157,[1]maaltijden!$A$1:$IV$65536,21,FALSE)</f>
        <v>4</v>
      </c>
      <c r="J157" s="22">
        <f>VLOOKUP($A157,[1]maaltijden!$A$1:$IV$65536,18,FALSE)</f>
        <v>3</v>
      </c>
      <c r="K157" s="22">
        <f>VLOOKUP($A157,[1]maaltijden!$A$1:$IV$65536,17,FALSE)</f>
        <v>2</v>
      </c>
      <c r="L157" s="22">
        <f>VLOOKUP($A157,[1]maaltijden!$A$1:$IV$65536,20,FALSE)</f>
        <v>2000</v>
      </c>
      <c r="M157" s="22">
        <f>VLOOKUP($A157,[1]maaltijden!$A$1:$IV$65536,22,FALSE)</f>
        <v>2000</v>
      </c>
      <c r="N157" s="135"/>
      <c r="O157" s="50"/>
      <c r="P157" s="19">
        <v>0</v>
      </c>
      <c r="Q157" s="20">
        <v>1</v>
      </c>
      <c r="R157" s="21">
        <v>0</v>
      </c>
      <c r="S157" s="19">
        <v>0</v>
      </c>
      <c r="T157" s="20">
        <v>1</v>
      </c>
      <c r="U157" s="19">
        <v>0</v>
      </c>
      <c r="V157" s="20">
        <v>0</v>
      </c>
      <c r="W157" s="20">
        <v>1</v>
      </c>
      <c r="X157" s="20">
        <v>1</v>
      </c>
      <c r="Y157" s="20">
        <v>1</v>
      </c>
      <c r="Z157" s="20">
        <v>1</v>
      </c>
      <c r="AA157" s="20">
        <v>1</v>
      </c>
      <c r="AB157" s="49">
        <v>0</v>
      </c>
      <c r="AC157" s="49">
        <v>0</v>
      </c>
      <c r="AD157" s="49">
        <v>0</v>
      </c>
      <c r="AE157" s="49">
        <v>1</v>
      </c>
      <c r="AF157" s="49">
        <v>0</v>
      </c>
      <c r="AG157" s="161">
        <v>0</v>
      </c>
      <c r="AH157" s="162">
        <v>2</v>
      </c>
      <c r="AI157" s="162">
        <v>0</v>
      </c>
      <c r="AJ157" s="162">
        <v>0</v>
      </c>
      <c r="AK157" s="162">
        <v>0</v>
      </c>
      <c r="AL157" s="163">
        <v>0</v>
      </c>
      <c r="AM157" s="19">
        <v>0</v>
      </c>
      <c r="AN157" s="20" t="str">
        <f>IFERROR(INDEX([2]lijnopstellingsfiche!$AP$1:$AP$65536,MATCH(A157,[2]lijnopstellingsfiche!$AQ$1:$AQ$65536,0)),"")</f>
        <v>-</v>
      </c>
      <c r="AO157" s="20">
        <v>0</v>
      </c>
      <c r="AP157" s="20">
        <v>0</v>
      </c>
      <c r="AQ157" s="20">
        <v>2</v>
      </c>
      <c r="AR157" s="20">
        <v>0</v>
      </c>
      <c r="AS157" s="20">
        <v>0</v>
      </c>
      <c r="AT157" s="20">
        <v>1</v>
      </c>
      <c r="AU157" s="20">
        <v>0</v>
      </c>
      <c r="AV157" s="23">
        <v>0</v>
      </c>
      <c r="AW157" s="108">
        <v>0</v>
      </c>
      <c r="AX157" s="108">
        <v>0</v>
      </c>
      <c r="AY157" s="108">
        <v>1</v>
      </c>
      <c r="AZ157" s="108">
        <v>0</v>
      </c>
      <c r="BA157" s="114">
        <v>1</v>
      </c>
      <c r="BB157" s="20">
        <v>0</v>
      </c>
      <c r="BC157" s="113">
        <v>0</v>
      </c>
      <c r="BD157" s="200" t="str">
        <f>VLOOKUP($A157,'[3]allergenen 6nr'!$A$1:$O$1310,3,FALSE)</f>
        <v>-</v>
      </c>
      <c r="BE157" s="201" t="str">
        <f>VLOOKUP($A157,'[3]allergenen 6nr'!$A$1:$O$1310,4,FALSE)</f>
        <v>-</v>
      </c>
      <c r="BF157" s="201" t="str">
        <f>VLOOKUP($A157,'[3]allergenen 6nr'!$A$1:$O$1310,5,FALSE)</f>
        <v>+</v>
      </c>
      <c r="BG157" s="201" t="str">
        <f>VLOOKUP($A157,'[3]allergenen 6nr'!$A$1:$O$1310,6,FALSE)</f>
        <v>X</v>
      </c>
      <c r="BH157" s="201" t="str">
        <f>VLOOKUP($A157,'[3]allergenen 6nr'!$A$1:$O$1310,7,FALSE)</f>
        <v>+</v>
      </c>
      <c r="BI157" s="201" t="str">
        <f>VLOOKUP($A157,'[3]allergenen 6nr'!$A$1:$O$1310,8,FALSE)</f>
        <v>X</v>
      </c>
      <c r="BJ157" s="201" t="str">
        <f>VLOOKUP($A157,'[3]allergenen 6nr'!$A$1:$O$1310,9,FALSE)</f>
        <v>-</v>
      </c>
      <c r="BK157" s="201" t="str">
        <f>VLOOKUP($A157,'[3]allergenen 6nr'!$A$1:$O$1310,10,FALSE)</f>
        <v>-</v>
      </c>
      <c r="BL157" s="201" t="str">
        <f>VLOOKUP($A157,'[3]allergenen 6nr'!$A$1:$O$1310,11,FALSE)</f>
        <v>-</v>
      </c>
      <c r="BM157" s="201" t="str">
        <f>VLOOKUP($A157,'[3]allergenen 6nr'!$A$1:$O$1310,12,FALSE)</f>
        <v>-</v>
      </c>
      <c r="BN157" s="201" t="str">
        <f>VLOOKUP($A157,'[3]allergenen 6nr'!$A$1:$O$1310,13,FALSE)</f>
        <v>X</v>
      </c>
      <c r="BO157" s="201" t="str">
        <f>VLOOKUP($A157,'[3]allergenen 6nr'!$A$1:$O$1310,14,FALSE)</f>
        <v>-</v>
      </c>
      <c r="BP157" s="202" t="str">
        <f>VLOOKUP($A157,'[3]allergenen 6nr'!$A$1:$O$1310,15,FALSE)</f>
        <v>-</v>
      </c>
    </row>
    <row r="158" spans="1:68" x14ac:dyDescent="0.2">
      <c r="A158" s="89">
        <v>63518100</v>
      </c>
      <c r="B158" s="53" t="str">
        <f>VLOOKUP($A158,[1]maaltijden!$A$1:$IV$65536,4,FALSE)</f>
        <v>DMC VISGRATIN SNIJBOONTJES PUREE</v>
      </c>
      <c r="C158" s="46" t="str">
        <f>VLOOKUP($A158,[1]maaltijden!$A$1:$IV$65536,7,FALSE)</f>
        <v>C2227-2K</v>
      </c>
      <c r="D158" s="22" t="str">
        <f>VLOOKUP($A158,[1]maaltijden!$A$1:$IV$65536,10,FALSE)</f>
        <v>NVT</v>
      </c>
      <c r="E158" s="22" t="str">
        <f>VLOOKUP($A158,[1]maaltijden!$A$1:$IV$65536,13,FALSE)</f>
        <v>DMC X 6</v>
      </c>
      <c r="F158" s="20">
        <f t="shared" si="2"/>
        <v>0</v>
      </c>
      <c r="G158" s="20" t="str">
        <f>VLOOKUP($A158,[1]maaltijden!$A$1:$IV$65536,27,FALSE)</f>
        <v>! ! ! !</v>
      </c>
      <c r="H158" s="22">
        <f>VLOOKUP($A158,[1]maaltijden!$A$1:$IV$65536,21,FALSE)</f>
        <v>4</v>
      </c>
      <c r="I158" s="22">
        <f>VLOOKUP($A158,[1]maaltijden!$A$1:$IV$65536,21,FALSE)</f>
        <v>4</v>
      </c>
      <c r="J158" s="22">
        <f>VLOOKUP($A158,[1]maaltijden!$A$1:$IV$65536,18,FALSE)</f>
        <v>3</v>
      </c>
      <c r="K158" s="22">
        <f>VLOOKUP($A158,[1]maaltijden!$A$1:$IV$65536,17,FALSE)</f>
        <v>3</v>
      </c>
      <c r="L158" s="22">
        <f>VLOOKUP($A158,[1]maaltijden!$A$1:$IV$65536,20,FALSE)</f>
        <v>2000</v>
      </c>
      <c r="M158" s="22">
        <f>VLOOKUP($A158,[1]maaltijden!$A$1:$IV$65536,22,FALSE)</f>
        <v>2000</v>
      </c>
      <c r="N158" s="135"/>
      <c r="O158" s="50"/>
      <c r="P158" s="19">
        <v>0</v>
      </c>
      <c r="Q158" s="20">
        <v>1</v>
      </c>
      <c r="R158" s="21">
        <v>0</v>
      </c>
      <c r="S158" s="19">
        <v>0</v>
      </c>
      <c r="T158" s="20">
        <v>1</v>
      </c>
      <c r="U158" s="19">
        <v>1</v>
      </c>
      <c r="V158" s="20">
        <v>1</v>
      </c>
      <c r="W158" s="20">
        <v>1</v>
      </c>
      <c r="X158" s="20">
        <v>1</v>
      </c>
      <c r="Y158" s="20">
        <v>1</v>
      </c>
      <c r="Z158" s="20">
        <v>0</v>
      </c>
      <c r="AA158" s="20">
        <v>0</v>
      </c>
      <c r="AB158" s="49">
        <v>0</v>
      </c>
      <c r="AC158" s="49">
        <v>0</v>
      </c>
      <c r="AD158" s="49">
        <v>0</v>
      </c>
      <c r="AE158" s="49">
        <v>0</v>
      </c>
      <c r="AF158" s="49">
        <v>1</v>
      </c>
      <c r="AG158" s="161">
        <v>0</v>
      </c>
      <c r="AH158" s="162">
        <v>2</v>
      </c>
      <c r="AI158" s="162">
        <v>1</v>
      </c>
      <c r="AJ158" s="162">
        <v>0</v>
      </c>
      <c r="AK158" s="162">
        <v>0</v>
      </c>
      <c r="AL158" s="163">
        <v>0</v>
      </c>
      <c r="AM158" s="19">
        <v>0</v>
      </c>
      <c r="AN158" s="20" t="str">
        <f>IFERROR(INDEX([2]lijnopstellingsfiche!$AP$1:$AP$65536,MATCH(A158,[2]lijnopstellingsfiche!$AQ$1:$AQ$65536,0)),"")</f>
        <v>-</v>
      </c>
      <c r="AO158" s="20">
        <v>0</v>
      </c>
      <c r="AP158" s="20">
        <v>0</v>
      </c>
      <c r="AQ158" s="20">
        <v>1</v>
      </c>
      <c r="AR158" s="20">
        <v>1</v>
      </c>
      <c r="AS158" s="20">
        <v>0</v>
      </c>
      <c r="AT158" s="20">
        <v>0</v>
      </c>
      <c r="AU158" s="20">
        <v>0</v>
      </c>
      <c r="AV158" s="23">
        <v>0</v>
      </c>
      <c r="AW158" s="108">
        <v>0</v>
      </c>
      <c r="AX158" s="108">
        <v>0</v>
      </c>
      <c r="AY158" s="108">
        <v>1</v>
      </c>
      <c r="AZ158" s="108">
        <v>0</v>
      </c>
      <c r="BA158" s="114">
        <v>1</v>
      </c>
      <c r="BB158" s="20">
        <v>0</v>
      </c>
      <c r="BC158" s="113">
        <v>0</v>
      </c>
      <c r="BD158" s="200" t="str">
        <f>VLOOKUP($A158,'[3]allergenen 6nr'!$A$1:$O$1310,3,FALSE)</f>
        <v>-</v>
      </c>
      <c r="BE158" s="201" t="str">
        <f>VLOOKUP($A158,'[3]allergenen 6nr'!$A$1:$O$1310,4,FALSE)</f>
        <v>+</v>
      </c>
      <c r="BF158" s="201" t="str">
        <f>VLOOKUP($A158,'[3]allergenen 6nr'!$A$1:$O$1310,5,FALSE)</f>
        <v>-</v>
      </c>
      <c r="BG158" s="201" t="str">
        <f>VLOOKUP($A158,'[3]allergenen 6nr'!$A$1:$O$1310,6,FALSE)</f>
        <v>-</v>
      </c>
      <c r="BH158" s="201" t="str">
        <f>VLOOKUP($A158,'[3]allergenen 6nr'!$A$1:$O$1310,7,FALSE)</f>
        <v>+</v>
      </c>
      <c r="BI158" s="201" t="str">
        <f>VLOOKUP($A158,'[3]allergenen 6nr'!$A$1:$O$1310,8,FALSE)</f>
        <v>-</v>
      </c>
      <c r="BJ158" s="201" t="str">
        <f>VLOOKUP($A158,'[3]allergenen 6nr'!$A$1:$O$1310,9,FALSE)</f>
        <v>-</v>
      </c>
      <c r="BK158" s="201" t="str">
        <f>VLOOKUP($A158,'[3]allergenen 6nr'!$A$1:$O$1310,10,FALSE)</f>
        <v>X</v>
      </c>
      <c r="BL158" s="201" t="str">
        <f>VLOOKUP($A158,'[3]allergenen 6nr'!$A$1:$O$1310,11,FALSE)</f>
        <v>-</v>
      </c>
      <c r="BM158" s="201" t="str">
        <f>VLOOKUP($A158,'[3]allergenen 6nr'!$A$1:$O$1310,12,FALSE)</f>
        <v>-</v>
      </c>
      <c r="BN158" s="201" t="str">
        <f>VLOOKUP($A158,'[3]allergenen 6nr'!$A$1:$O$1310,13,FALSE)</f>
        <v>-</v>
      </c>
      <c r="BO158" s="201" t="str">
        <f>VLOOKUP($A158,'[3]allergenen 6nr'!$A$1:$O$1310,14,FALSE)</f>
        <v>+</v>
      </c>
      <c r="BP158" s="202" t="str">
        <f>VLOOKUP($A158,'[3]allergenen 6nr'!$A$1:$O$1310,15,FALSE)</f>
        <v>X</v>
      </c>
    </row>
    <row r="159" spans="1:68" x14ac:dyDescent="0.2">
      <c r="A159" s="89">
        <v>63518300</v>
      </c>
      <c r="B159" s="53" t="str">
        <f>VLOOKUP($A159,[1]maaltijden!$A$1:$IV$65536,4,FALSE)</f>
        <v>DMC KIP RODE CURRY SAMBALBOONTJES RIJST</v>
      </c>
      <c r="C159" s="46" t="str">
        <f>VLOOKUP($A159,[1]maaltijden!$A$1:$IV$65536,7,FALSE)</f>
        <v>C2227-3R</v>
      </c>
      <c r="D159" s="22" t="str">
        <f>VLOOKUP($A159,[1]maaltijden!$A$1:$IV$65536,10,FALSE)</f>
        <v>NVT</v>
      </c>
      <c r="E159" s="22" t="str">
        <f>VLOOKUP($A159,[1]maaltijden!$A$1:$IV$65536,13,FALSE)</f>
        <v>DMC X 6</v>
      </c>
      <c r="F159" s="20">
        <f t="shared" si="2"/>
        <v>0</v>
      </c>
      <c r="G159" s="20" t="str">
        <f>VLOOKUP($A159,[1]maaltijden!$A$1:$IV$65536,27,FALSE)</f>
        <v>! ! ! ! !</v>
      </c>
      <c r="H159" s="22">
        <f>VLOOKUP($A159,[1]maaltijden!$A$1:$IV$65536,21,FALSE)</f>
        <v>6</v>
      </c>
      <c r="I159" s="22">
        <f>VLOOKUP($A159,[1]maaltijden!$A$1:$IV$65536,21,FALSE)</f>
        <v>6</v>
      </c>
      <c r="J159" s="22">
        <f>VLOOKUP($A159,[1]maaltijden!$A$1:$IV$65536,18,FALSE)</f>
        <v>3</v>
      </c>
      <c r="K159" s="22">
        <f>VLOOKUP($A159,[1]maaltijden!$A$1:$IV$65536,17,FALSE)</f>
        <v>3</v>
      </c>
      <c r="L159" s="22">
        <f>VLOOKUP($A159,[1]maaltijden!$A$1:$IV$65536,20,FALSE)</f>
        <v>2200</v>
      </c>
      <c r="M159" s="22">
        <f>VLOOKUP($A159,[1]maaltijden!$A$1:$IV$65536,22,FALSE)</f>
        <v>2200</v>
      </c>
      <c r="N159" s="135"/>
      <c r="O159" s="50"/>
      <c r="P159" s="19">
        <v>0</v>
      </c>
      <c r="Q159" s="20">
        <v>1</v>
      </c>
      <c r="R159" s="21">
        <v>0</v>
      </c>
      <c r="S159" s="19">
        <v>0</v>
      </c>
      <c r="T159" s="20">
        <v>1</v>
      </c>
      <c r="U159" s="19">
        <v>0</v>
      </c>
      <c r="V159" s="20">
        <v>1</v>
      </c>
      <c r="W159" s="20">
        <v>1</v>
      </c>
      <c r="X159" s="20">
        <v>1</v>
      </c>
      <c r="Y159" s="20">
        <v>1</v>
      </c>
      <c r="Z159" s="20">
        <v>1</v>
      </c>
      <c r="AA159" s="20">
        <v>0</v>
      </c>
      <c r="AB159" s="49">
        <v>0</v>
      </c>
      <c r="AC159" s="49">
        <v>0</v>
      </c>
      <c r="AD159" s="49">
        <v>0</v>
      </c>
      <c r="AE159" s="49">
        <v>1</v>
      </c>
      <c r="AF159" s="49">
        <v>0</v>
      </c>
      <c r="AG159" s="161">
        <v>1</v>
      </c>
      <c r="AH159" s="162">
        <v>1</v>
      </c>
      <c r="AI159" s="162">
        <v>0</v>
      </c>
      <c r="AJ159" s="162">
        <v>1</v>
      </c>
      <c r="AK159" s="162">
        <v>0</v>
      </c>
      <c r="AL159" s="163">
        <v>0</v>
      </c>
      <c r="AM159" s="19">
        <v>0</v>
      </c>
      <c r="AN159" s="20">
        <f>IFERROR(INDEX([2]lijnopstellingsfiche!$AP$1:$AP$65536,MATCH(A159,[2]lijnopstellingsfiche!$AQ$1:$AQ$65536,0)),"")</f>
        <v>1</v>
      </c>
      <c r="AO159" s="20">
        <v>1</v>
      </c>
      <c r="AP159" s="20">
        <v>0</v>
      </c>
      <c r="AQ159" s="20">
        <v>1</v>
      </c>
      <c r="AR159" s="20">
        <v>0</v>
      </c>
      <c r="AS159" s="20">
        <v>0</v>
      </c>
      <c r="AT159" s="20">
        <v>1</v>
      </c>
      <c r="AU159" s="20">
        <v>0</v>
      </c>
      <c r="AV159" s="23">
        <v>0</v>
      </c>
      <c r="AW159" s="108">
        <v>0</v>
      </c>
      <c r="AX159" s="108">
        <v>0</v>
      </c>
      <c r="AY159" s="108">
        <v>1</v>
      </c>
      <c r="AZ159" s="108">
        <v>0</v>
      </c>
      <c r="BA159" s="114">
        <v>1</v>
      </c>
      <c r="BB159" s="20">
        <v>0</v>
      </c>
      <c r="BC159" s="113">
        <v>0</v>
      </c>
      <c r="BD159" s="200" t="str">
        <f>VLOOKUP($A159,'[3]allergenen 6nr'!$A$1:$O$1310,3,FALSE)</f>
        <v>-</v>
      </c>
      <c r="BE159" s="201" t="str">
        <f>VLOOKUP($A159,'[3]allergenen 6nr'!$A$1:$O$1310,4,FALSE)</f>
        <v>-</v>
      </c>
      <c r="BF159" s="201" t="str">
        <f>VLOOKUP($A159,'[3]allergenen 6nr'!$A$1:$O$1310,5,FALSE)</f>
        <v>-</v>
      </c>
      <c r="BG159" s="201" t="str">
        <f>VLOOKUP($A159,'[3]allergenen 6nr'!$A$1:$O$1310,6,FALSE)</f>
        <v>-</v>
      </c>
      <c r="BH159" s="201" t="str">
        <f>VLOOKUP($A159,'[3]allergenen 6nr'!$A$1:$O$1310,7,FALSE)</f>
        <v>-</v>
      </c>
      <c r="BI159" s="201" t="str">
        <f>VLOOKUP($A159,'[3]allergenen 6nr'!$A$1:$O$1310,8,FALSE)</f>
        <v>-</v>
      </c>
      <c r="BJ159" s="201" t="str">
        <f>VLOOKUP($A159,'[3]allergenen 6nr'!$A$1:$O$1310,9,FALSE)</f>
        <v>-</v>
      </c>
      <c r="BK159" s="201" t="str">
        <f>VLOOKUP($A159,'[3]allergenen 6nr'!$A$1:$O$1310,10,FALSE)</f>
        <v>-</v>
      </c>
      <c r="BL159" s="201" t="str">
        <f>VLOOKUP($A159,'[3]allergenen 6nr'!$A$1:$O$1310,11,FALSE)</f>
        <v>+</v>
      </c>
      <c r="BM159" s="201" t="str">
        <f>VLOOKUP($A159,'[3]allergenen 6nr'!$A$1:$O$1310,12,FALSE)</f>
        <v>+</v>
      </c>
      <c r="BN159" s="201" t="str">
        <f>VLOOKUP($A159,'[3]allergenen 6nr'!$A$1:$O$1310,13,FALSE)</f>
        <v>+</v>
      </c>
      <c r="BO159" s="201" t="str">
        <f>VLOOKUP($A159,'[3]allergenen 6nr'!$A$1:$O$1310,14,FALSE)</f>
        <v>-</v>
      </c>
      <c r="BP159" s="202" t="str">
        <f>VLOOKUP($A159,'[3]allergenen 6nr'!$A$1:$O$1310,15,FALSE)</f>
        <v>-</v>
      </c>
    </row>
    <row r="160" spans="1:68" x14ac:dyDescent="0.2">
      <c r="A160" s="89">
        <v>63518400</v>
      </c>
      <c r="B160" s="53" t="str">
        <f>VLOOKUP($A160,[1]maaltijden!$A$1:$IV$65536,4,FALSE)</f>
        <v>DMC LINGUINE SCAMPI GELE CURRY KERSTOMAATJES</v>
      </c>
      <c r="C160" s="46" t="str">
        <f>VLOOKUP($A160,[1]maaltijden!$A$1:$IV$65536,7,FALSE)</f>
        <v>C2227-1H</v>
      </c>
      <c r="D160" s="22" t="str">
        <f>VLOOKUP($A160,[1]maaltijden!$A$1:$IV$65536,10,FALSE)</f>
        <v>NVT</v>
      </c>
      <c r="E160" s="22" t="str">
        <f>VLOOKUP($A160,[1]maaltijden!$A$1:$IV$65536,13,FALSE)</f>
        <v>DMC X 6</v>
      </c>
      <c r="F160" s="20">
        <f t="shared" si="2"/>
        <v>0</v>
      </c>
      <c r="G160" s="20" t="str">
        <f>VLOOKUP($A160,[1]maaltijden!$A$1:$IV$65536,27,FALSE)</f>
        <v>! ! ! !</v>
      </c>
      <c r="H160" s="22">
        <f>VLOOKUP($A160,[1]maaltijden!$A$1:$IV$65536,21,FALSE)</f>
        <v>6</v>
      </c>
      <c r="I160" s="22">
        <f>VLOOKUP($A160,[1]maaltijden!$A$1:$IV$65536,21,FALSE)</f>
        <v>6</v>
      </c>
      <c r="J160" s="22">
        <f>VLOOKUP($A160,[1]maaltijden!$A$1:$IV$65536,18,FALSE)</f>
        <v>3</v>
      </c>
      <c r="K160" s="22">
        <f>VLOOKUP($A160,[1]maaltijden!$A$1:$IV$65536,17,FALSE)</f>
        <v>3</v>
      </c>
      <c r="L160" s="22">
        <f>VLOOKUP($A160,[1]maaltijden!$A$1:$IV$65536,20,FALSE)</f>
        <v>2000</v>
      </c>
      <c r="M160" s="22">
        <f>VLOOKUP($A160,[1]maaltijden!$A$1:$IV$65536,22,FALSE)</f>
        <v>2000</v>
      </c>
      <c r="N160" s="135"/>
      <c r="O160" s="50"/>
      <c r="P160" s="19">
        <v>0</v>
      </c>
      <c r="Q160" s="20">
        <v>1</v>
      </c>
      <c r="R160" s="21">
        <v>0</v>
      </c>
      <c r="S160" s="19">
        <v>0</v>
      </c>
      <c r="T160" s="20">
        <v>1</v>
      </c>
      <c r="U160" s="19">
        <v>0</v>
      </c>
      <c r="V160" s="20">
        <v>1</v>
      </c>
      <c r="W160" s="20">
        <v>1</v>
      </c>
      <c r="X160" s="20">
        <v>1</v>
      </c>
      <c r="Y160" s="20">
        <v>1</v>
      </c>
      <c r="Z160" s="20">
        <v>1</v>
      </c>
      <c r="AA160" s="20">
        <v>0</v>
      </c>
      <c r="AB160" s="49">
        <v>0</v>
      </c>
      <c r="AC160" s="49">
        <v>0</v>
      </c>
      <c r="AD160" s="49">
        <v>0</v>
      </c>
      <c r="AE160" s="49">
        <v>0</v>
      </c>
      <c r="AF160" s="49">
        <v>0</v>
      </c>
      <c r="AG160" s="161">
        <v>1</v>
      </c>
      <c r="AH160" s="162">
        <v>1</v>
      </c>
      <c r="AI160" s="162">
        <v>0</v>
      </c>
      <c r="AJ160" s="162">
        <v>1</v>
      </c>
      <c r="AK160" s="162">
        <v>0</v>
      </c>
      <c r="AL160" s="163">
        <v>0</v>
      </c>
      <c r="AM160" s="19">
        <v>0</v>
      </c>
      <c r="AN160" s="20">
        <f>IFERROR(INDEX([2]lijnopstellingsfiche!$AP$1:$AP$65536,MATCH(A160,[2]lijnopstellingsfiche!$AQ$1:$AQ$65536,0)),"")</f>
        <v>2</v>
      </c>
      <c r="AO160" s="20">
        <v>1</v>
      </c>
      <c r="AP160" s="20">
        <v>0</v>
      </c>
      <c r="AQ160" s="20">
        <v>2</v>
      </c>
      <c r="AR160" s="20">
        <v>0</v>
      </c>
      <c r="AS160" s="20">
        <v>0</v>
      </c>
      <c r="AT160" s="20">
        <v>1</v>
      </c>
      <c r="AU160" s="20">
        <v>0</v>
      </c>
      <c r="AV160" s="23">
        <v>0</v>
      </c>
      <c r="AW160" s="108">
        <v>0</v>
      </c>
      <c r="AX160" s="108">
        <v>0</v>
      </c>
      <c r="AY160" s="108">
        <v>1</v>
      </c>
      <c r="AZ160" s="108">
        <v>0</v>
      </c>
      <c r="BA160" s="114">
        <v>1</v>
      </c>
      <c r="BB160" s="20">
        <v>0</v>
      </c>
      <c r="BC160" s="113">
        <v>0</v>
      </c>
      <c r="BD160" s="200" t="str">
        <f>VLOOKUP($A160,'[3]allergenen 6nr'!$A$1:$O$1310,3,FALSE)</f>
        <v>-</v>
      </c>
      <c r="BE160" s="201" t="str">
        <f>VLOOKUP($A160,'[3]allergenen 6nr'!$A$1:$O$1310,4,FALSE)</f>
        <v>X</v>
      </c>
      <c r="BF160" s="201" t="str">
        <f>VLOOKUP($A160,'[3]allergenen 6nr'!$A$1:$O$1310,5,FALSE)</f>
        <v>+</v>
      </c>
      <c r="BG160" s="201" t="str">
        <f>VLOOKUP($A160,'[3]allergenen 6nr'!$A$1:$O$1310,6,FALSE)</f>
        <v>X</v>
      </c>
      <c r="BH160" s="201" t="str">
        <f>VLOOKUP($A160,'[3]allergenen 6nr'!$A$1:$O$1310,7,FALSE)</f>
        <v>+</v>
      </c>
      <c r="BI160" s="201" t="str">
        <f>VLOOKUP($A160,'[3]allergenen 6nr'!$A$1:$O$1310,8,FALSE)</f>
        <v>X</v>
      </c>
      <c r="BJ160" s="201" t="str">
        <f>VLOOKUP($A160,'[3]allergenen 6nr'!$A$1:$O$1310,9,FALSE)</f>
        <v>-</v>
      </c>
      <c r="BK160" s="201" t="str">
        <f>VLOOKUP($A160,'[3]allergenen 6nr'!$A$1:$O$1310,10,FALSE)</f>
        <v>+</v>
      </c>
      <c r="BL160" s="201" t="str">
        <f>VLOOKUP($A160,'[3]allergenen 6nr'!$A$1:$O$1310,11,FALSE)</f>
        <v>-</v>
      </c>
      <c r="BM160" s="201" t="str">
        <f>VLOOKUP($A160,'[3]allergenen 6nr'!$A$1:$O$1310,12,FALSE)</f>
        <v>-</v>
      </c>
      <c r="BN160" s="201" t="str">
        <f>VLOOKUP($A160,'[3]allergenen 6nr'!$A$1:$O$1310,13,FALSE)</f>
        <v>X</v>
      </c>
      <c r="BO160" s="201" t="str">
        <f>VLOOKUP($A160,'[3]allergenen 6nr'!$A$1:$O$1310,14,FALSE)</f>
        <v>+</v>
      </c>
      <c r="BP160" s="202" t="str">
        <f>VLOOKUP($A160,'[3]allergenen 6nr'!$A$1:$O$1310,15,FALSE)</f>
        <v>X</v>
      </c>
    </row>
    <row r="161" spans="1:68" x14ac:dyDescent="0.2">
      <c r="A161" s="89">
        <v>63518500</v>
      </c>
      <c r="B161" s="53" t="str">
        <f>VLOOKUP($A161,[1]maaltijden!$A$1:$IV$65536,4,FALSE)</f>
        <v>DMC RUNDGOULASH WORTEL COURGETTE AARD NOOTJES</v>
      </c>
      <c r="C161" s="46" t="str">
        <f>VLOOKUP($A161,[1]maaltijden!$A$1:$IV$65536,7,FALSE)</f>
        <v>C2227-3R</v>
      </c>
      <c r="D161" s="22" t="str">
        <f>VLOOKUP($A161,[1]maaltijden!$A$1:$IV$65536,10,FALSE)</f>
        <v>NVT</v>
      </c>
      <c r="E161" s="22" t="str">
        <f>VLOOKUP($A161,[1]maaltijden!$A$1:$IV$65536,13,FALSE)</f>
        <v>DMC X 6</v>
      </c>
      <c r="F161" s="20">
        <f t="shared" si="2"/>
        <v>0</v>
      </c>
      <c r="G161" s="20" t="str">
        <f>VLOOKUP($A161,[1]maaltijden!$A$1:$IV$65536,27,FALSE)</f>
        <v>! !</v>
      </c>
      <c r="H161" s="22">
        <f>VLOOKUP($A161,[1]maaltijden!$A$1:$IV$65536,21,FALSE)</f>
        <v>6</v>
      </c>
      <c r="I161" s="22">
        <f>VLOOKUP($A161,[1]maaltijden!$A$1:$IV$65536,21,FALSE)</f>
        <v>6</v>
      </c>
      <c r="J161" s="22">
        <f>VLOOKUP($A161,[1]maaltijden!$A$1:$IV$65536,18,FALSE)</f>
        <v>3</v>
      </c>
      <c r="K161" s="22">
        <f>VLOOKUP($A161,[1]maaltijden!$A$1:$IV$65536,17,FALSE)</f>
        <v>2</v>
      </c>
      <c r="L161" s="22">
        <f>VLOOKUP($A161,[1]maaltijden!$A$1:$IV$65536,20,FALSE)</f>
        <v>2200</v>
      </c>
      <c r="M161" s="22">
        <f>VLOOKUP($A161,[1]maaltijden!$A$1:$IV$65536,22,FALSE)</f>
        <v>2200</v>
      </c>
      <c r="N161" s="135"/>
      <c r="O161" s="50"/>
      <c r="P161" s="19">
        <v>0</v>
      </c>
      <c r="Q161" s="20">
        <v>1</v>
      </c>
      <c r="R161" s="21">
        <v>0</v>
      </c>
      <c r="S161" s="19">
        <v>0</v>
      </c>
      <c r="T161" s="20">
        <v>1</v>
      </c>
      <c r="U161" s="19">
        <v>1</v>
      </c>
      <c r="V161" s="20">
        <v>1</v>
      </c>
      <c r="W161" s="20">
        <v>1</v>
      </c>
      <c r="X161" s="20">
        <v>1</v>
      </c>
      <c r="Y161" s="20">
        <v>1</v>
      </c>
      <c r="Z161" s="20">
        <v>0</v>
      </c>
      <c r="AA161" s="20">
        <v>0</v>
      </c>
      <c r="AB161" s="49">
        <v>0</v>
      </c>
      <c r="AC161" s="49">
        <v>0</v>
      </c>
      <c r="AD161" s="49">
        <v>0</v>
      </c>
      <c r="AE161" s="49">
        <v>1</v>
      </c>
      <c r="AF161" s="49">
        <v>0</v>
      </c>
      <c r="AG161" s="161">
        <v>0</v>
      </c>
      <c r="AH161" s="162">
        <v>1</v>
      </c>
      <c r="AI161" s="162">
        <v>1</v>
      </c>
      <c r="AJ161" s="162">
        <v>0</v>
      </c>
      <c r="AK161" s="162">
        <v>0</v>
      </c>
      <c r="AL161" s="163">
        <v>0</v>
      </c>
      <c r="AM161" s="19">
        <v>0</v>
      </c>
      <c r="AN161" s="20">
        <f>IFERROR(INDEX([2]lijnopstellingsfiche!$AP$1:$AP$65536,MATCH(A161,[2]lijnopstellingsfiche!$AQ$1:$AQ$65536,0)),"")</f>
        <v>1</v>
      </c>
      <c r="AO161" s="20">
        <v>0</v>
      </c>
      <c r="AP161" s="20">
        <v>0</v>
      </c>
      <c r="AQ161" s="20">
        <v>1</v>
      </c>
      <c r="AR161" s="20">
        <v>0</v>
      </c>
      <c r="AS161" s="20">
        <v>0</v>
      </c>
      <c r="AT161" s="20">
        <v>1</v>
      </c>
      <c r="AU161" s="20">
        <v>0</v>
      </c>
      <c r="AV161" s="23">
        <v>0</v>
      </c>
      <c r="AW161" s="108">
        <v>0</v>
      </c>
      <c r="AX161" s="108">
        <v>0</v>
      </c>
      <c r="AY161" s="108">
        <v>1</v>
      </c>
      <c r="AZ161" s="108">
        <v>0</v>
      </c>
      <c r="BA161" s="114">
        <v>1</v>
      </c>
      <c r="BB161" s="20">
        <v>0</v>
      </c>
      <c r="BC161" s="113">
        <v>0</v>
      </c>
      <c r="BD161" s="200" t="str">
        <f>VLOOKUP($A161,'[3]allergenen 6nr'!$A$1:$O$1310,3,FALSE)</f>
        <v>-</v>
      </c>
      <c r="BE161" s="201" t="str">
        <f>VLOOKUP($A161,'[3]allergenen 6nr'!$A$1:$O$1310,4,FALSE)</f>
        <v>X</v>
      </c>
      <c r="BF161" s="201" t="str">
        <f>VLOOKUP($A161,'[3]allergenen 6nr'!$A$1:$O$1310,5,FALSE)</f>
        <v>+</v>
      </c>
      <c r="BG161" s="201" t="str">
        <f>VLOOKUP($A161,'[3]allergenen 6nr'!$A$1:$O$1310,6,FALSE)</f>
        <v>-</v>
      </c>
      <c r="BH161" s="201" t="str">
        <f>VLOOKUP($A161,'[3]allergenen 6nr'!$A$1:$O$1310,7,FALSE)</f>
        <v>X</v>
      </c>
      <c r="BI161" s="201" t="str">
        <f>VLOOKUP($A161,'[3]allergenen 6nr'!$A$1:$O$1310,8,FALSE)</f>
        <v>X</v>
      </c>
      <c r="BJ161" s="201" t="str">
        <f>VLOOKUP($A161,'[3]allergenen 6nr'!$A$1:$O$1310,9,FALSE)</f>
        <v>-</v>
      </c>
      <c r="BK161" s="201" t="str">
        <f>VLOOKUP($A161,'[3]allergenen 6nr'!$A$1:$O$1310,10,FALSE)</f>
        <v>-</v>
      </c>
      <c r="BL161" s="201" t="str">
        <f>VLOOKUP($A161,'[3]allergenen 6nr'!$A$1:$O$1310,11,FALSE)</f>
        <v>X</v>
      </c>
      <c r="BM161" s="201" t="str">
        <f>VLOOKUP($A161,'[3]allergenen 6nr'!$A$1:$O$1310,12,FALSE)</f>
        <v>-</v>
      </c>
      <c r="BN161" s="201" t="str">
        <f>VLOOKUP($A161,'[3]allergenen 6nr'!$A$1:$O$1310,13,FALSE)</f>
        <v>X</v>
      </c>
      <c r="BO161" s="201" t="str">
        <f>VLOOKUP($A161,'[3]allergenen 6nr'!$A$1:$O$1310,14,FALSE)</f>
        <v>-</v>
      </c>
      <c r="BP161" s="202" t="str">
        <f>VLOOKUP($A161,'[3]allergenen 6nr'!$A$1:$O$1310,15,FALSE)</f>
        <v>-</v>
      </c>
    </row>
    <row r="162" spans="1:68" x14ac:dyDescent="0.2">
      <c r="A162" s="89">
        <v>63518700</v>
      </c>
      <c r="B162" s="53" t="str">
        <f>VLOOKUP($A162,[1]maaltijden!$A$1:$IV$65536,4,FALSE)</f>
        <v>DMC LINGUINE PUTTANESCA KABELJAUW</v>
      </c>
      <c r="C162" s="46" t="str">
        <f>VLOOKUP($A162,[1]maaltijden!$A$1:$IV$65536,7,FALSE)</f>
        <v>C2227-1H</v>
      </c>
      <c r="D162" s="22" t="str">
        <f>VLOOKUP($A162,[1]maaltijden!$A$1:$IV$65536,10,FALSE)</f>
        <v>NVT</v>
      </c>
      <c r="E162" s="22" t="str">
        <f>VLOOKUP($A162,[1]maaltijden!$A$1:$IV$65536,13,FALSE)</f>
        <v>DMC X 6</v>
      </c>
      <c r="F162" s="20">
        <f t="shared" si="2"/>
        <v>0</v>
      </c>
      <c r="G162" s="20" t="str">
        <f>VLOOKUP($A162,[1]maaltijden!$A$1:$IV$65536,27,FALSE)</f>
        <v>! ! ! !</v>
      </c>
      <c r="H162" s="22">
        <f>VLOOKUP($A162,[1]maaltijden!$A$1:$IV$65536,21,FALSE)</f>
        <v>6</v>
      </c>
      <c r="I162" s="22">
        <f>VLOOKUP($A162,[1]maaltijden!$A$1:$IV$65536,21,FALSE)</f>
        <v>6</v>
      </c>
      <c r="J162" s="22">
        <f>VLOOKUP($A162,[1]maaltijden!$A$1:$IV$65536,18,FALSE)</f>
        <v>3</v>
      </c>
      <c r="K162" s="22">
        <f>VLOOKUP($A162,[1]maaltijden!$A$1:$IV$65536,17,FALSE)</f>
        <v>3</v>
      </c>
      <c r="L162" s="22">
        <f>VLOOKUP($A162,[1]maaltijden!$A$1:$IV$65536,20,FALSE)</f>
        <v>2200</v>
      </c>
      <c r="M162" s="22">
        <f>VLOOKUP($A162,[1]maaltijden!$A$1:$IV$65536,22,FALSE)</f>
        <v>2200</v>
      </c>
      <c r="N162" s="135"/>
      <c r="O162" s="50"/>
      <c r="P162" s="19">
        <v>0</v>
      </c>
      <c r="Q162" s="20">
        <v>1</v>
      </c>
      <c r="R162" s="21">
        <v>0</v>
      </c>
      <c r="S162" s="19">
        <v>0</v>
      </c>
      <c r="T162" s="20">
        <v>1</v>
      </c>
      <c r="U162" s="19">
        <v>1</v>
      </c>
      <c r="V162" s="20">
        <v>1</v>
      </c>
      <c r="W162" s="20">
        <v>1</v>
      </c>
      <c r="X162" s="20">
        <v>1</v>
      </c>
      <c r="Y162" s="20">
        <v>1</v>
      </c>
      <c r="Z162" s="20">
        <v>0</v>
      </c>
      <c r="AA162" s="20">
        <v>0</v>
      </c>
      <c r="AB162" s="49">
        <v>0</v>
      </c>
      <c r="AC162" s="49">
        <v>0</v>
      </c>
      <c r="AD162" s="49">
        <v>0</v>
      </c>
      <c r="AE162" s="49">
        <v>0</v>
      </c>
      <c r="AF162" s="49">
        <v>0</v>
      </c>
      <c r="AG162" s="161">
        <v>1</v>
      </c>
      <c r="AH162" s="162">
        <v>1</v>
      </c>
      <c r="AI162" s="162">
        <v>0</v>
      </c>
      <c r="AJ162" s="162">
        <v>1</v>
      </c>
      <c r="AK162" s="162">
        <v>0</v>
      </c>
      <c r="AL162" s="163">
        <v>0</v>
      </c>
      <c r="AM162" s="19">
        <v>0</v>
      </c>
      <c r="AN162" s="20" t="str">
        <f>IFERROR(INDEX([2]lijnopstellingsfiche!$AP$1:$AP$65536,MATCH(A162,[2]lijnopstellingsfiche!$AQ$1:$AQ$65536,0)),"")</f>
        <v>-</v>
      </c>
      <c r="AO162" s="20">
        <v>1</v>
      </c>
      <c r="AP162" s="20">
        <v>0</v>
      </c>
      <c r="AQ162" s="20">
        <v>2</v>
      </c>
      <c r="AR162" s="20">
        <v>0</v>
      </c>
      <c r="AS162" s="20">
        <v>0</v>
      </c>
      <c r="AT162" s="20">
        <v>0</v>
      </c>
      <c r="AU162" s="20">
        <v>0</v>
      </c>
      <c r="AV162" s="23">
        <v>0</v>
      </c>
      <c r="AW162" s="108">
        <v>0</v>
      </c>
      <c r="AX162" s="108">
        <v>0</v>
      </c>
      <c r="AY162" s="108">
        <v>1</v>
      </c>
      <c r="AZ162" s="108">
        <v>0</v>
      </c>
      <c r="BA162" s="114">
        <v>1</v>
      </c>
      <c r="BB162" s="20">
        <v>0</v>
      </c>
      <c r="BC162" s="113">
        <v>0</v>
      </c>
      <c r="BD162" s="200" t="str">
        <f>VLOOKUP($A162,'[3]allergenen 6nr'!$A$1:$O$1310,3,FALSE)</f>
        <v>-</v>
      </c>
      <c r="BE162" s="201" t="str">
        <f>VLOOKUP($A162,'[3]allergenen 6nr'!$A$1:$O$1310,4,FALSE)</f>
        <v>X</v>
      </c>
      <c r="BF162" s="201" t="str">
        <f>VLOOKUP($A162,'[3]allergenen 6nr'!$A$1:$O$1310,5,FALSE)</f>
        <v>+</v>
      </c>
      <c r="BG162" s="201" t="str">
        <f>VLOOKUP($A162,'[3]allergenen 6nr'!$A$1:$O$1310,6,FALSE)</f>
        <v>X</v>
      </c>
      <c r="BH162" s="201" t="str">
        <f>VLOOKUP($A162,'[3]allergenen 6nr'!$A$1:$O$1310,7,FALSE)</f>
        <v>-</v>
      </c>
      <c r="BI162" s="201" t="str">
        <f>VLOOKUP($A162,'[3]allergenen 6nr'!$A$1:$O$1310,8,FALSE)</f>
        <v>X</v>
      </c>
      <c r="BJ162" s="201" t="str">
        <f>VLOOKUP($A162,'[3]allergenen 6nr'!$A$1:$O$1310,9,FALSE)</f>
        <v>-</v>
      </c>
      <c r="BK162" s="201" t="str">
        <f>VLOOKUP($A162,'[3]allergenen 6nr'!$A$1:$O$1310,10,FALSE)</f>
        <v>-</v>
      </c>
      <c r="BL162" s="201" t="str">
        <f>VLOOKUP($A162,'[3]allergenen 6nr'!$A$1:$O$1310,11,FALSE)</f>
        <v>-</v>
      </c>
      <c r="BM162" s="201" t="str">
        <f>VLOOKUP($A162,'[3]allergenen 6nr'!$A$1:$O$1310,12,FALSE)</f>
        <v>-</v>
      </c>
      <c r="BN162" s="201" t="str">
        <f>VLOOKUP($A162,'[3]allergenen 6nr'!$A$1:$O$1310,13,FALSE)</f>
        <v>X</v>
      </c>
      <c r="BO162" s="201" t="str">
        <f>VLOOKUP($A162,'[3]allergenen 6nr'!$A$1:$O$1310,14,FALSE)</f>
        <v>+</v>
      </c>
      <c r="BP162" s="202" t="str">
        <f>VLOOKUP($A162,'[3]allergenen 6nr'!$A$1:$O$1310,15,FALSE)</f>
        <v>-</v>
      </c>
    </row>
    <row r="163" spans="1:68" x14ac:dyDescent="0.2">
      <c r="A163" s="89">
        <v>63518800</v>
      </c>
      <c r="B163" s="53" t="str">
        <f>VLOOKUP($A163,[1]maaltijden!$A$1:$IV$65536,4,FALSE)</f>
        <v>DMC VISSTICKS TOMATEN-TARTAARSAUS SPINAZIESTAMPPOT</v>
      </c>
      <c r="C163" s="46" t="str">
        <f>VLOOKUP($A163,[1]maaltijden!$A$1:$IV$65536,7,FALSE)</f>
        <v>C2227-3R</v>
      </c>
      <c r="D163" s="22" t="str">
        <f>VLOOKUP($A163,[1]maaltijden!$A$1:$IV$65536,10,FALSE)</f>
        <v>NVT</v>
      </c>
      <c r="E163" s="22" t="str">
        <f>VLOOKUP($A163,[1]maaltijden!$A$1:$IV$65536,13,FALSE)</f>
        <v>DMC X 6</v>
      </c>
      <c r="F163" s="20">
        <f t="shared" si="2"/>
        <v>0</v>
      </c>
      <c r="G163" s="20" t="str">
        <f>VLOOKUP($A163,[1]maaltijden!$A$1:$IV$65536,27,FALSE)</f>
        <v>! ! ! !</v>
      </c>
      <c r="H163" s="22">
        <f>VLOOKUP($A163,[1]maaltijden!$A$1:$IV$65536,21,FALSE)</f>
        <v>4</v>
      </c>
      <c r="I163" s="22">
        <f>VLOOKUP($A163,[1]maaltijden!$A$1:$IV$65536,21,FALSE)</f>
        <v>4</v>
      </c>
      <c r="J163" s="22">
        <f>VLOOKUP($A163,[1]maaltijden!$A$1:$IV$65536,18,FALSE)</f>
        <v>3</v>
      </c>
      <c r="K163" s="22">
        <f>VLOOKUP($A163,[1]maaltijden!$A$1:$IV$65536,17,FALSE)</f>
        <v>2</v>
      </c>
      <c r="L163" s="22">
        <f>VLOOKUP($A163,[1]maaltijden!$A$1:$IV$65536,20,FALSE)</f>
        <v>1750</v>
      </c>
      <c r="M163" s="22">
        <f>VLOOKUP($A163,[1]maaltijden!$A$1:$IV$65536,22,FALSE)</f>
        <v>1750</v>
      </c>
      <c r="N163" s="135"/>
      <c r="O163" s="50"/>
      <c r="P163" s="19">
        <v>0</v>
      </c>
      <c r="Q163" s="20">
        <v>1</v>
      </c>
      <c r="R163" s="21">
        <v>0</v>
      </c>
      <c r="S163" s="19">
        <v>0</v>
      </c>
      <c r="T163" s="20">
        <v>1</v>
      </c>
      <c r="U163" s="19">
        <v>1</v>
      </c>
      <c r="V163" s="20">
        <v>1</v>
      </c>
      <c r="W163" s="20">
        <v>1</v>
      </c>
      <c r="X163" s="20">
        <v>1</v>
      </c>
      <c r="Y163" s="20">
        <v>1</v>
      </c>
      <c r="Z163" s="20">
        <v>0</v>
      </c>
      <c r="AA163" s="20">
        <v>0</v>
      </c>
      <c r="AB163" s="49">
        <v>0</v>
      </c>
      <c r="AC163" s="49">
        <v>0</v>
      </c>
      <c r="AD163" s="49">
        <v>0</v>
      </c>
      <c r="AE163" s="49">
        <v>0</v>
      </c>
      <c r="AF163" s="49">
        <v>0</v>
      </c>
      <c r="AG163" s="161">
        <v>0</v>
      </c>
      <c r="AH163" s="162">
        <v>2</v>
      </c>
      <c r="AI163" s="162">
        <v>0</v>
      </c>
      <c r="AJ163" s="162">
        <v>0</v>
      </c>
      <c r="AK163" s="162">
        <v>0</v>
      </c>
      <c r="AL163" s="163">
        <v>0</v>
      </c>
      <c r="AM163" s="19">
        <v>0</v>
      </c>
      <c r="AN163" s="20" t="str">
        <f>IFERROR(INDEX([2]lijnopstellingsfiche!$AP$1:$AP$65536,MATCH(A163,[2]lijnopstellingsfiche!$AQ$1:$AQ$65536,0)),"")</f>
        <v>-</v>
      </c>
      <c r="AO163" s="20">
        <v>0</v>
      </c>
      <c r="AP163" s="20">
        <v>0</v>
      </c>
      <c r="AQ163" s="20">
        <v>1</v>
      </c>
      <c r="AR163" s="20">
        <v>1</v>
      </c>
      <c r="AS163" s="20">
        <v>0</v>
      </c>
      <c r="AT163" s="20">
        <v>0</v>
      </c>
      <c r="AU163" s="20">
        <v>0</v>
      </c>
      <c r="AV163" s="23">
        <v>0</v>
      </c>
      <c r="AW163" s="108">
        <v>0</v>
      </c>
      <c r="AX163" s="108">
        <v>0</v>
      </c>
      <c r="AY163" s="108">
        <v>1</v>
      </c>
      <c r="AZ163" s="108">
        <v>0</v>
      </c>
      <c r="BA163" s="114">
        <v>1</v>
      </c>
      <c r="BB163" s="20">
        <v>0</v>
      </c>
      <c r="BC163" s="113">
        <v>0</v>
      </c>
      <c r="BD163" s="200" t="str">
        <f>VLOOKUP($A163,'[3]allergenen 6nr'!$A$1:$O$1310,3,FALSE)</f>
        <v>-</v>
      </c>
      <c r="BE163" s="201" t="str">
        <f>VLOOKUP($A163,'[3]allergenen 6nr'!$A$1:$O$1310,4,FALSE)</f>
        <v>-</v>
      </c>
      <c r="BF163" s="201" t="str">
        <f>VLOOKUP($A163,'[3]allergenen 6nr'!$A$1:$O$1310,5,FALSE)</f>
        <v>+</v>
      </c>
      <c r="BG163" s="201" t="str">
        <f>VLOOKUP($A163,'[3]allergenen 6nr'!$A$1:$O$1310,6,FALSE)</f>
        <v>X</v>
      </c>
      <c r="BH163" s="201" t="str">
        <f>VLOOKUP($A163,'[3]allergenen 6nr'!$A$1:$O$1310,7,FALSE)</f>
        <v>+</v>
      </c>
      <c r="BI163" s="201" t="str">
        <f>VLOOKUP($A163,'[3]allergenen 6nr'!$A$1:$O$1310,8,FALSE)</f>
        <v>+</v>
      </c>
      <c r="BJ163" s="201" t="str">
        <f>VLOOKUP($A163,'[3]allergenen 6nr'!$A$1:$O$1310,9,FALSE)</f>
        <v>-</v>
      </c>
      <c r="BK163" s="201" t="str">
        <f>VLOOKUP($A163,'[3]allergenen 6nr'!$A$1:$O$1310,10,FALSE)</f>
        <v>-</v>
      </c>
      <c r="BL163" s="201" t="str">
        <f>VLOOKUP($A163,'[3]allergenen 6nr'!$A$1:$O$1310,11,FALSE)</f>
        <v>+</v>
      </c>
      <c r="BM163" s="201" t="str">
        <f>VLOOKUP($A163,'[3]allergenen 6nr'!$A$1:$O$1310,12,FALSE)</f>
        <v>-</v>
      </c>
      <c r="BN163" s="201" t="str">
        <f>VLOOKUP($A163,'[3]allergenen 6nr'!$A$1:$O$1310,13,FALSE)</f>
        <v>X</v>
      </c>
      <c r="BO163" s="201" t="str">
        <f>VLOOKUP($A163,'[3]allergenen 6nr'!$A$1:$O$1310,14,FALSE)</f>
        <v>+</v>
      </c>
      <c r="BP163" s="202" t="str">
        <f>VLOOKUP($A163,'[3]allergenen 6nr'!$A$1:$O$1310,15,FALSE)</f>
        <v>-</v>
      </c>
    </row>
    <row r="164" spans="1:68" x14ac:dyDescent="0.2">
      <c r="A164" s="89">
        <v>63518900</v>
      </c>
      <c r="B164" s="53" t="str">
        <f>VLOOKUP($A164,[1]maaltijden!$A$1:$IV$65536,4,FALSE)</f>
        <v>DMC AMERICAN MAC&amp;CHEESE</v>
      </c>
      <c r="C164" s="46" t="str">
        <f>VLOOKUP($A164,[1]maaltijden!$A$1:$IV$65536,7,FALSE)</f>
        <v>C2227-1H</v>
      </c>
      <c r="D164" s="22" t="str">
        <f>VLOOKUP($A164,[1]maaltijden!$A$1:$IV$65536,10,FALSE)</f>
        <v>NVT</v>
      </c>
      <c r="E164" s="22" t="str">
        <f>VLOOKUP($A164,[1]maaltijden!$A$1:$IV$65536,13,FALSE)</f>
        <v>DMC X 6</v>
      </c>
      <c r="F164" s="20">
        <f t="shared" si="2"/>
        <v>0</v>
      </c>
      <c r="G164" s="20" t="str">
        <f>VLOOKUP($A164,[1]maaltijden!$A$1:$IV$65536,27,FALSE)</f>
        <v>! ! !</v>
      </c>
      <c r="H164" s="22">
        <f>VLOOKUP($A164,[1]maaltijden!$A$1:$IV$65536,21,FALSE)</f>
        <v>3</v>
      </c>
      <c r="I164" s="22">
        <f>VLOOKUP($A164,[1]maaltijden!$A$1:$IV$65536,21,FALSE)</f>
        <v>3</v>
      </c>
      <c r="J164" s="22">
        <f>VLOOKUP($A164,[1]maaltijden!$A$1:$IV$65536,18,FALSE)</f>
        <v>3</v>
      </c>
      <c r="K164" s="22">
        <f>VLOOKUP($A164,[1]maaltijden!$A$1:$IV$65536,17,FALSE)</f>
        <v>2.5</v>
      </c>
      <c r="L164" s="22">
        <f>VLOOKUP($A164,[1]maaltijden!$A$1:$IV$65536,20,FALSE)</f>
        <v>2200</v>
      </c>
      <c r="M164" s="22">
        <f>VLOOKUP($A164,[1]maaltijden!$A$1:$IV$65536,22,FALSE)</f>
        <v>2200</v>
      </c>
      <c r="N164" s="135"/>
      <c r="O164" s="50"/>
      <c r="P164" s="19">
        <v>0</v>
      </c>
      <c r="Q164" s="20">
        <v>1</v>
      </c>
      <c r="R164" s="21">
        <v>0</v>
      </c>
      <c r="S164" s="19">
        <v>0</v>
      </c>
      <c r="T164" s="20">
        <v>1</v>
      </c>
      <c r="U164" s="19">
        <v>1</v>
      </c>
      <c r="V164" s="20">
        <v>1</v>
      </c>
      <c r="W164" s="20">
        <v>1</v>
      </c>
      <c r="X164" s="20">
        <v>1</v>
      </c>
      <c r="Y164" s="20">
        <v>1</v>
      </c>
      <c r="Z164" s="20">
        <v>0</v>
      </c>
      <c r="AA164" s="20">
        <v>0</v>
      </c>
      <c r="AB164" s="49">
        <v>0</v>
      </c>
      <c r="AC164" s="49">
        <v>0</v>
      </c>
      <c r="AD164" s="49">
        <v>0</v>
      </c>
      <c r="AE164" s="49">
        <v>0</v>
      </c>
      <c r="AF164" s="49">
        <v>0</v>
      </c>
      <c r="AG164" s="161">
        <v>1</v>
      </c>
      <c r="AH164" s="162">
        <v>2</v>
      </c>
      <c r="AI164" s="162">
        <v>0</v>
      </c>
      <c r="AJ164" s="162">
        <v>1</v>
      </c>
      <c r="AK164" s="162">
        <v>0</v>
      </c>
      <c r="AL164" s="163">
        <v>0</v>
      </c>
      <c r="AM164" s="19">
        <v>0</v>
      </c>
      <c r="AN164" s="20">
        <f>IFERROR(INDEX([2]lijnopstellingsfiche!$AP$1:$AP$65536,MATCH(A164,[2]lijnopstellingsfiche!$AQ$1:$AQ$65536,0)),"")</f>
        <v>1</v>
      </c>
      <c r="AO164" s="20">
        <v>1</v>
      </c>
      <c r="AP164" s="20">
        <v>1</v>
      </c>
      <c r="AQ164" s="20">
        <v>1</v>
      </c>
      <c r="AR164" s="20">
        <v>0</v>
      </c>
      <c r="AS164" s="20">
        <v>0</v>
      </c>
      <c r="AT164" s="20">
        <v>0</v>
      </c>
      <c r="AU164" s="20">
        <v>0</v>
      </c>
      <c r="AV164" s="23">
        <v>0</v>
      </c>
      <c r="AW164" s="108">
        <v>0</v>
      </c>
      <c r="AX164" s="108">
        <v>0</v>
      </c>
      <c r="AY164" s="108">
        <v>1</v>
      </c>
      <c r="AZ164" s="108">
        <v>0</v>
      </c>
      <c r="BA164" s="114">
        <v>1</v>
      </c>
      <c r="BB164" s="20">
        <v>0</v>
      </c>
      <c r="BC164" s="113">
        <v>0</v>
      </c>
      <c r="BD164" s="200" t="str">
        <f>VLOOKUP($A164,'[3]allergenen 6nr'!$A$1:$O$1310,3,FALSE)</f>
        <v>-</v>
      </c>
      <c r="BE164" s="201" t="str">
        <f>VLOOKUP($A164,'[3]allergenen 6nr'!$A$1:$O$1310,4,FALSE)</f>
        <v>+</v>
      </c>
      <c r="BF164" s="201" t="str">
        <f>VLOOKUP($A164,'[3]allergenen 6nr'!$A$1:$O$1310,5,FALSE)</f>
        <v>+</v>
      </c>
      <c r="BG164" s="201" t="str">
        <f>VLOOKUP($A164,'[3]allergenen 6nr'!$A$1:$O$1310,6,FALSE)</f>
        <v>X</v>
      </c>
      <c r="BH164" s="201" t="str">
        <f>VLOOKUP($A164,'[3]allergenen 6nr'!$A$1:$O$1310,7,FALSE)</f>
        <v>+</v>
      </c>
      <c r="BI164" s="201" t="str">
        <f>VLOOKUP($A164,'[3]allergenen 6nr'!$A$1:$O$1310,8,FALSE)</f>
        <v>X</v>
      </c>
      <c r="BJ164" s="201" t="str">
        <f>VLOOKUP($A164,'[3]allergenen 6nr'!$A$1:$O$1310,9,FALSE)</f>
        <v>-</v>
      </c>
      <c r="BK164" s="201" t="str">
        <f>VLOOKUP($A164,'[3]allergenen 6nr'!$A$1:$O$1310,10,FALSE)</f>
        <v>-</v>
      </c>
      <c r="BL164" s="201" t="str">
        <f>VLOOKUP($A164,'[3]allergenen 6nr'!$A$1:$O$1310,11,FALSE)</f>
        <v>+</v>
      </c>
      <c r="BM164" s="201" t="str">
        <f>VLOOKUP($A164,'[3]allergenen 6nr'!$A$1:$O$1310,12,FALSE)</f>
        <v>-</v>
      </c>
      <c r="BN164" s="201" t="str">
        <f>VLOOKUP($A164,'[3]allergenen 6nr'!$A$1:$O$1310,13,FALSE)</f>
        <v>X</v>
      </c>
      <c r="BO164" s="201" t="str">
        <f>VLOOKUP($A164,'[3]allergenen 6nr'!$A$1:$O$1310,14,FALSE)</f>
        <v>-</v>
      </c>
      <c r="BP164" s="202" t="str">
        <f>VLOOKUP($A164,'[3]allergenen 6nr'!$A$1:$O$1310,15,FALSE)</f>
        <v>-</v>
      </c>
    </row>
    <row r="165" spans="1:68" x14ac:dyDescent="0.2">
      <c r="A165" s="89">
        <v>63519000</v>
      </c>
      <c r="B165" s="53" t="str">
        <f>VLOOKUP($A165,[1]maaltijden!$A$1:$IV$65536,4,FALSE)</f>
        <v>DMC KIPFILET PEPERROOMSAUS WORTEL GEBAK AARD</v>
      </c>
      <c r="C165" s="46" t="str">
        <f>VLOOKUP($A165,[1]maaltijden!$A$1:$IV$65536,7,FALSE)</f>
        <v>C2227-3R</v>
      </c>
      <c r="D165" s="22" t="str">
        <f>VLOOKUP($A165,[1]maaltijden!$A$1:$IV$65536,10,FALSE)</f>
        <v>NVT</v>
      </c>
      <c r="E165" s="22" t="str">
        <f>VLOOKUP($A165,[1]maaltijden!$A$1:$IV$65536,13,FALSE)</f>
        <v>DMC X 6</v>
      </c>
      <c r="F165" s="20">
        <f t="shared" si="2"/>
        <v>0</v>
      </c>
      <c r="G165" s="20" t="str">
        <f>VLOOKUP($A165,[1]maaltijden!$A$1:$IV$65536,27,FALSE)</f>
        <v>! !</v>
      </c>
      <c r="H165" s="22">
        <f>VLOOKUP($A165,[1]maaltijden!$A$1:$IV$65536,21,FALSE)</f>
        <v>4</v>
      </c>
      <c r="I165" s="22">
        <f>VLOOKUP($A165,[1]maaltijden!$A$1:$IV$65536,21,FALSE)</f>
        <v>4</v>
      </c>
      <c r="J165" s="22">
        <f>VLOOKUP($A165,[1]maaltijden!$A$1:$IV$65536,18,FALSE)</f>
        <v>3</v>
      </c>
      <c r="K165" s="22">
        <f>VLOOKUP($A165,[1]maaltijden!$A$1:$IV$65536,17,FALSE)</f>
        <v>2.5</v>
      </c>
      <c r="L165" s="22">
        <f>VLOOKUP($A165,[1]maaltijden!$A$1:$IV$65536,20,FALSE)</f>
        <v>2200</v>
      </c>
      <c r="M165" s="22">
        <f>VLOOKUP($A165,[1]maaltijden!$A$1:$IV$65536,22,FALSE)</f>
        <v>2200</v>
      </c>
      <c r="N165" s="135"/>
      <c r="O165" s="50"/>
      <c r="P165" s="19">
        <v>0</v>
      </c>
      <c r="Q165" s="20">
        <v>1</v>
      </c>
      <c r="R165" s="21">
        <v>0</v>
      </c>
      <c r="S165" s="19">
        <v>0</v>
      </c>
      <c r="T165" s="20">
        <v>1</v>
      </c>
      <c r="U165" s="19">
        <v>1</v>
      </c>
      <c r="V165" s="20">
        <v>1</v>
      </c>
      <c r="W165" s="20">
        <v>1</v>
      </c>
      <c r="X165" s="20">
        <v>1</v>
      </c>
      <c r="Y165" s="20">
        <v>1</v>
      </c>
      <c r="Z165" s="20">
        <v>0</v>
      </c>
      <c r="AA165" s="20">
        <v>0</v>
      </c>
      <c r="AB165" s="49">
        <v>0</v>
      </c>
      <c r="AC165" s="49">
        <v>0</v>
      </c>
      <c r="AD165" s="49">
        <v>0</v>
      </c>
      <c r="AE165" s="49">
        <v>0</v>
      </c>
      <c r="AF165" s="49">
        <v>0</v>
      </c>
      <c r="AG165" s="161">
        <v>0</v>
      </c>
      <c r="AH165" s="162">
        <v>1</v>
      </c>
      <c r="AI165" s="162">
        <v>1</v>
      </c>
      <c r="AJ165" s="162">
        <v>0</v>
      </c>
      <c r="AK165" s="162">
        <v>0</v>
      </c>
      <c r="AL165" s="163">
        <v>0</v>
      </c>
      <c r="AM165" s="19">
        <v>0</v>
      </c>
      <c r="AN165" s="20" t="str">
        <f>IFERROR(INDEX([2]lijnopstellingsfiche!$AP$1:$AP$65536,MATCH(A165,[2]lijnopstellingsfiche!$AQ$1:$AQ$65536,0)),"")</f>
        <v>-</v>
      </c>
      <c r="AO165" s="20">
        <v>0</v>
      </c>
      <c r="AP165" s="20">
        <v>0</v>
      </c>
      <c r="AQ165" s="20">
        <v>1</v>
      </c>
      <c r="AR165" s="20">
        <v>0</v>
      </c>
      <c r="AS165" s="20">
        <v>0</v>
      </c>
      <c r="AT165" s="20">
        <v>1</v>
      </c>
      <c r="AU165" s="20">
        <v>0</v>
      </c>
      <c r="AV165" s="23">
        <v>0</v>
      </c>
      <c r="AW165" s="108">
        <v>0</v>
      </c>
      <c r="AX165" s="108">
        <v>0</v>
      </c>
      <c r="AY165" s="108">
        <v>1</v>
      </c>
      <c r="AZ165" s="108">
        <v>0</v>
      </c>
      <c r="BA165" s="114">
        <v>1</v>
      </c>
      <c r="BB165" s="20">
        <v>0</v>
      </c>
      <c r="BC165" s="113">
        <v>0</v>
      </c>
      <c r="BD165" s="200" t="str">
        <f>VLOOKUP($A165,'[3]allergenen 6nr'!$A$1:$O$1310,3,FALSE)</f>
        <v>-</v>
      </c>
      <c r="BE165" s="201" t="str">
        <f>VLOOKUP($A165,'[3]allergenen 6nr'!$A$1:$O$1310,4,FALSE)</f>
        <v>X</v>
      </c>
      <c r="BF165" s="201" t="str">
        <f>VLOOKUP($A165,'[3]allergenen 6nr'!$A$1:$O$1310,5,FALSE)</f>
        <v>-</v>
      </c>
      <c r="BG165" s="201" t="str">
        <f>VLOOKUP($A165,'[3]allergenen 6nr'!$A$1:$O$1310,6,FALSE)</f>
        <v>-</v>
      </c>
      <c r="BH165" s="201" t="str">
        <f>VLOOKUP($A165,'[3]allergenen 6nr'!$A$1:$O$1310,7,FALSE)</f>
        <v>+</v>
      </c>
      <c r="BI165" s="201" t="str">
        <f>VLOOKUP($A165,'[3]allergenen 6nr'!$A$1:$O$1310,8,FALSE)</f>
        <v>-</v>
      </c>
      <c r="BJ165" s="201" t="str">
        <f>VLOOKUP($A165,'[3]allergenen 6nr'!$A$1:$O$1310,9,FALSE)</f>
        <v>-</v>
      </c>
      <c r="BK165" s="201" t="str">
        <f>VLOOKUP($A165,'[3]allergenen 6nr'!$A$1:$O$1310,10,FALSE)</f>
        <v>-</v>
      </c>
      <c r="BL165" s="201" t="str">
        <f>VLOOKUP($A165,'[3]allergenen 6nr'!$A$1:$O$1310,11,FALSE)</f>
        <v>-</v>
      </c>
      <c r="BM165" s="201" t="str">
        <f>VLOOKUP($A165,'[3]allergenen 6nr'!$A$1:$O$1310,12,FALSE)</f>
        <v>-</v>
      </c>
      <c r="BN165" s="201" t="str">
        <f>VLOOKUP($A165,'[3]allergenen 6nr'!$A$1:$O$1310,13,FALSE)</f>
        <v>-</v>
      </c>
      <c r="BO165" s="201" t="str">
        <f>VLOOKUP($A165,'[3]allergenen 6nr'!$A$1:$O$1310,14,FALSE)</f>
        <v>-</v>
      </c>
      <c r="BP165" s="202" t="str">
        <f>VLOOKUP($A165,'[3]allergenen 6nr'!$A$1:$O$1310,15,FALSE)</f>
        <v>-</v>
      </c>
    </row>
    <row r="166" spans="1:68" x14ac:dyDescent="0.2">
      <c r="A166" s="89">
        <v>63519100</v>
      </c>
      <c r="B166" s="53" t="str">
        <f>VLOOKUP($A166,[1]maaltijden!$A$1:$IV$65536,4,FALSE)</f>
        <v>DMC TRIVELLI KIP KOKOSLIMOENSAUS</v>
      </c>
      <c r="C166" s="46" t="str">
        <f>VLOOKUP($A166,[1]maaltijden!$A$1:$IV$65536,7,FALSE)</f>
        <v>C2227-1H</v>
      </c>
      <c r="D166" s="22" t="str">
        <f>VLOOKUP($A166,[1]maaltijden!$A$1:$IV$65536,10,FALSE)</f>
        <v>NVT</v>
      </c>
      <c r="E166" s="22" t="str">
        <f>VLOOKUP($A166,[1]maaltijden!$A$1:$IV$65536,13,FALSE)</f>
        <v>DMC X 6</v>
      </c>
      <c r="F166" s="20">
        <f t="shared" si="2"/>
        <v>0</v>
      </c>
      <c r="G166" s="20" t="str">
        <f>VLOOKUP($A166,[1]maaltijden!$A$1:$IV$65536,27,FALSE)</f>
        <v>! ! ! !</v>
      </c>
      <c r="H166" s="22">
        <f>VLOOKUP($A166,[1]maaltijden!$A$1:$IV$65536,21,FALSE)</f>
        <v>6</v>
      </c>
      <c r="I166" s="22">
        <f>VLOOKUP($A166,[1]maaltijden!$A$1:$IV$65536,21,FALSE)</f>
        <v>6</v>
      </c>
      <c r="J166" s="22">
        <f>VLOOKUP($A166,[1]maaltijden!$A$1:$IV$65536,18,FALSE)</f>
        <v>3</v>
      </c>
      <c r="K166" s="22">
        <f>VLOOKUP($A166,[1]maaltijden!$A$1:$IV$65536,17,FALSE)</f>
        <v>3.5</v>
      </c>
      <c r="L166" s="22">
        <f>VLOOKUP($A166,[1]maaltijden!$A$1:$IV$65536,20,FALSE)</f>
        <v>2200</v>
      </c>
      <c r="M166" s="22">
        <f>VLOOKUP($A166,[1]maaltijden!$A$1:$IV$65536,22,FALSE)</f>
        <v>2200</v>
      </c>
      <c r="N166" s="135"/>
      <c r="O166" s="50"/>
      <c r="P166" s="19">
        <v>0</v>
      </c>
      <c r="Q166" s="20">
        <v>1</v>
      </c>
      <c r="R166" s="21">
        <v>0</v>
      </c>
      <c r="S166" s="19">
        <v>0</v>
      </c>
      <c r="T166" s="20">
        <v>1</v>
      </c>
      <c r="U166" s="19">
        <v>1</v>
      </c>
      <c r="V166" s="20">
        <v>1</v>
      </c>
      <c r="W166" s="20">
        <v>1</v>
      </c>
      <c r="X166" s="20">
        <v>1</v>
      </c>
      <c r="Y166" s="20">
        <v>1</v>
      </c>
      <c r="Z166" s="20">
        <v>0</v>
      </c>
      <c r="AA166" s="20">
        <v>0</v>
      </c>
      <c r="AB166" s="49">
        <v>0</v>
      </c>
      <c r="AC166" s="49">
        <v>0</v>
      </c>
      <c r="AD166" s="49">
        <v>0</v>
      </c>
      <c r="AE166" s="49">
        <v>0</v>
      </c>
      <c r="AF166" s="49">
        <v>0</v>
      </c>
      <c r="AG166" s="161">
        <v>1</v>
      </c>
      <c r="AH166" s="162">
        <v>1</v>
      </c>
      <c r="AI166" s="162">
        <v>0</v>
      </c>
      <c r="AJ166" s="162">
        <v>1</v>
      </c>
      <c r="AK166" s="162">
        <v>0</v>
      </c>
      <c r="AL166" s="163">
        <v>0</v>
      </c>
      <c r="AM166" s="19">
        <v>0</v>
      </c>
      <c r="AN166" s="20">
        <f>IFERROR(INDEX([2]lijnopstellingsfiche!$AP$1:$AP$65536,MATCH(A166,[2]lijnopstellingsfiche!$AQ$1:$AQ$65536,0)),"")</f>
        <v>1</v>
      </c>
      <c r="AO166" s="20">
        <v>1</v>
      </c>
      <c r="AP166" s="20">
        <v>0</v>
      </c>
      <c r="AQ166" s="20">
        <v>1</v>
      </c>
      <c r="AR166" s="20">
        <v>0</v>
      </c>
      <c r="AS166" s="20">
        <v>0</v>
      </c>
      <c r="AT166" s="20">
        <v>1</v>
      </c>
      <c r="AU166" s="20">
        <v>0</v>
      </c>
      <c r="AV166" s="23">
        <v>0</v>
      </c>
      <c r="AW166" s="108">
        <v>0</v>
      </c>
      <c r="AX166" s="108">
        <v>0</v>
      </c>
      <c r="AY166" s="108">
        <v>1</v>
      </c>
      <c r="AZ166" s="108">
        <v>0</v>
      </c>
      <c r="BA166" s="114">
        <v>1</v>
      </c>
      <c r="BB166" s="20">
        <v>0</v>
      </c>
      <c r="BC166" s="113">
        <v>0</v>
      </c>
      <c r="BD166" s="200" t="str">
        <f>VLOOKUP($A166,'[3]allergenen 6nr'!$A$1:$O$1310,3,FALSE)</f>
        <v>-</v>
      </c>
      <c r="BE166" s="201" t="str">
        <f>VLOOKUP($A166,'[3]allergenen 6nr'!$A$1:$O$1310,4,FALSE)</f>
        <v>+</v>
      </c>
      <c r="BF166" s="201" t="str">
        <f>VLOOKUP($A166,'[3]allergenen 6nr'!$A$1:$O$1310,5,FALSE)</f>
        <v>+</v>
      </c>
      <c r="BG166" s="201" t="str">
        <f>VLOOKUP($A166,'[3]allergenen 6nr'!$A$1:$O$1310,6,FALSE)</f>
        <v>X</v>
      </c>
      <c r="BH166" s="201" t="str">
        <f>VLOOKUP($A166,'[3]allergenen 6nr'!$A$1:$O$1310,7,FALSE)</f>
        <v>+</v>
      </c>
      <c r="BI166" s="201" t="str">
        <f>VLOOKUP($A166,'[3]allergenen 6nr'!$A$1:$O$1310,8,FALSE)</f>
        <v>X</v>
      </c>
      <c r="BJ166" s="201" t="str">
        <f>VLOOKUP($A166,'[3]allergenen 6nr'!$A$1:$O$1310,9,FALSE)</f>
        <v>-</v>
      </c>
      <c r="BK166" s="201" t="str">
        <f>VLOOKUP($A166,'[3]allergenen 6nr'!$A$1:$O$1310,10,FALSE)</f>
        <v>-</v>
      </c>
      <c r="BL166" s="201" t="str">
        <f>VLOOKUP($A166,'[3]allergenen 6nr'!$A$1:$O$1310,11,FALSE)</f>
        <v>-</v>
      </c>
      <c r="BM166" s="201" t="str">
        <f>VLOOKUP($A166,'[3]allergenen 6nr'!$A$1:$O$1310,12,FALSE)</f>
        <v>-</v>
      </c>
      <c r="BN166" s="201" t="str">
        <f>VLOOKUP($A166,'[3]allergenen 6nr'!$A$1:$O$1310,13,FALSE)</f>
        <v>+</v>
      </c>
      <c r="BO166" s="201" t="str">
        <f>VLOOKUP($A166,'[3]allergenen 6nr'!$A$1:$O$1310,14,FALSE)</f>
        <v>+</v>
      </c>
      <c r="BP166" s="202" t="str">
        <f>VLOOKUP($A166,'[3]allergenen 6nr'!$A$1:$O$1310,15,FALSE)</f>
        <v>-</v>
      </c>
    </row>
    <row r="167" spans="1:68" x14ac:dyDescent="0.2">
      <c r="A167" s="89">
        <v>63519200</v>
      </c>
      <c r="B167" s="53" t="str">
        <f>VLOOKUP($A167,[1]maaltijden!$A$1:$IV$65536,4,FALSE)</f>
        <v>DMC RISOTTO KIP BOSCHAMPIGNONS</v>
      </c>
      <c r="C167" s="46" t="str">
        <f>VLOOKUP($A167,[1]maaltijden!$A$1:$IV$65536,7,FALSE)</f>
        <v>C2227-1H</v>
      </c>
      <c r="D167" s="22" t="str">
        <f>VLOOKUP($A167,[1]maaltijden!$A$1:$IV$65536,10,FALSE)</f>
        <v>NVT</v>
      </c>
      <c r="E167" s="22" t="str">
        <f>VLOOKUP($A167,[1]maaltijden!$A$1:$IV$65536,13,FALSE)</f>
        <v>DMC X 6</v>
      </c>
      <c r="F167" s="20">
        <f t="shared" si="2"/>
        <v>0</v>
      </c>
      <c r="G167" s="20" t="str">
        <f>VLOOKUP($A167,[1]maaltijden!$A$1:$IV$65536,27,FALSE)</f>
        <v>! !</v>
      </c>
      <c r="H167" s="22">
        <f>VLOOKUP($A167,[1]maaltijden!$A$1:$IV$65536,21,FALSE)</f>
        <v>6</v>
      </c>
      <c r="I167" s="22">
        <f>VLOOKUP($A167,[1]maaltijden!$A$1:$IV$65536,21,FALSE)</f>
        <v>6</v>
      </c>
      <c r="J167" s="22">
        <f>VLOOKUP($A167,[1]maaltijden!$A$1:$IV$65536,18,FALSE)</f>
        <v>3</v>
      </c>
      <c r="K167" s="22">
        <f>VLOOKUP($A167,[1]maaltijden!$A$1:$IV$65536,17,FALSE)</f>
        <v>3.5</v>
      </c>
      <c r="L167" s="22">
        <f>VLOOKUP($A167,[1]maaltijden!$A$1:$IV$65536,20,FALSE)</f>
        <v>2200</v>
      </c>
      <c r="M167" s="22">
        <f>VLOOKUP($A167,[1]maaltijden!$A$1:$IV$65536,22,FALSE)</f>
        <v>2200</v>
      </c>
      <c r="N167" s="135"/>
      <c r="O167" s="50"/>
      <c r="P167" s="19">
        <v>0</v>
      </c>
      <c r="Q167" s="20">
        <v>1</v>
      </c>
      <c r="R167" s="21">
        <v>0</v>
      </c>
      <c r="S167" s="19">
        <v>0</v>
      </c>
      <c r="T167" s="20">
        <v>1</v>
      </c>
      <c r="U167" s="19">
        <v>1</v>
      </c>
      <c r="V167" s="20">
        <v>1</v>
      </c>
      <c r="W167" s="20">
        <v>1</v>
      </c>
      <c r="X167" s="20">
        <v>1</v>
      </c>
      <c r="Y167" s="20">
        <v>1</v>
      </c>
      <c r="Z167" s="20">
        <v>0</v>
      </c>
      <c r="AA167" s="20">
        <v>0</v>
      </c>
      <c r="AB167" s="49">
        <v>0</v>
      </c>
      <c r="AC167" s="49">
        <v>0</v>
      </c>
      <c r="AD167" s="49">
        <v>0</v>
      </c>
      <c r="AE167" s="49">
        <v>0</v>
      </c>
      <c r="AF167" s="49">
        <v>0</v>
      </c>
      <c r="AG167" s="161">
        <v>1</v>
      </c>
      <c r="AH167" s="162">
        <v>1</v>
      </c>
      <c r="AI167" s="162">
        <v>1</v>
      </c>
      <c r="AJ167" s="162">
        <v>0</v>
      </c>
      <c r="AK167" s="162">
        <v>0</v>
      </c>
      <c r="AL167" s="163">
        <v>0</v>
      </c>
      <c r="AM167" s="19">
        <v>0</v>
      </c>
      <c r="AN167" s="20">
        <f>IFERROR(INDEX([2]lijnopstellingsfiche!$AP$1:$AP$65536,MATCH(A167,[2]lijnopstellingsfiche!$AQ$1:$AQ$65536,0)),"")</f>
        <v>1</v>
      </c>
      <c r="AO167" s="20">
        <v>1</v>
      </c>
      <c r="AP167" s="20">
        <v>0</v>
      </c>
      <c r="AQ167" s="20">
        <v>2</v>
      </c>
      <c r="AR167" s="20">
        <v>0</v>
      </c>
      <c r="AS167" s="20">
        <v>0</v>
      </c>
      <c r="AT167" s="20">
        <v>1</v>
      </c>
      <c r="AU167" s="20">
        <v>0</v>
      </c>
      <c r="AV167" s="23">
        <v>0</v>
      </c>
      <c r="AW167" s="108">
        <v>0</v>
      </c>
      <c r="AX167" s="108">
        <v>0</v>
      </c>
      <c r="AY167" s="108">
        <v>1</v>
      </c>
      <c r="AZ167" s="108">
        <v>0</v>
      </c>
      <c r="BA167" s="114">
        <v>1</v>
      </c>
      <c r="BB167" s="20">
        <v>0</v>
      </c>
      <c r="BC167" s="113">
        <v>0</v>
      </c>
      <c r="BD167" s="200" t="str">
        <f>VLOOKUP($A167,'[3]allergenen 6nr'!$A$1:$O$1310,3,FALSE)</f>
        <v>-</v>
      </c>
      <c r="BE167" s="201" t="str">
        <f>VLOOKUP($A167,'[3]allergenen 6nr'!$A$1:$O$1310,4,FALSE)</f>
        <v>-</v>
      </c>
      <c r="BF167" s="201" t="str">
        <f>VLOOKUP($A167,'[3]allergenen 6nr'!$A$1:$O$1310,5,FALSE)</f>
        <v>X</v>
      </c>
      <c r="BG167" s="201" t="str">
        <f>VLOOKUP($A167,'[3]allergenen 6nr'!$A$1:$O$1310,6,FALSE)</f>
        <v>-</v>
      </c>
      <c r="BH167" s="201" t="str">
        <f>VLOOKUP($A167,'[3]allergenen 6nr'!$A$1:$O$1310,7,FALSE)</f>
        <v>+</v>
      </c>
      <c r="BI167" s="201" t="str">
        <f>VLOOKUP($A167,'[3]allergenen 6nr'!$A$1:$O$1310,8,FALSE)</f>
        <v>X</v>
      </c>
      <c r="BJ167" s="201" t="str">
        <f>VLOOKUP($A167,'[3]allergenen 6nr'!$A$1:$O$1310,9,FALSE)</f>
        <v>-</v>
      </c>
      <c r="BK167" s="201" t="str">
        <f>VLOOKUP($A167,'[3]allergenen 6nr'!$A$1:$O$1310,10,FALSE)</f>
        <v>-</v>
      </c>
      <c r="BL167" s="201" t="str">
        <f>VLOOKUP($A167,'[3]allergenen 6nr'!$A$1:$O$1310,11,FALSE)</f>
        <v>X</v>
      </c>
      <c r="BM167" s="201" t="str">
        <f>VLOOKUP($A167,'[3]allergenen 6nr'!$A$1:$O$1310,12,FALSE)</f>
        <v>-</v>
      </c>
      <c r="BN167" s="201" t="str">
        <f>VLOOKUP($A167,'[3]allergenen 6nr'!$A$1:$O$1310,13,FALSE)</f>
        <v>-</v>
      </c>
      <c r="BO167" s="201" t="str">
        <f>VLOOKUP($A167,'[3]allergenen 6nr'!$A$1:$O$1310,14,FALSE)</f>
        <v>-</v>
      </c>
      <c r="BP167" s="202" t="str">
        <f>VLOOKUP($A167,'[3]allergenen 6nr'!$A$1:$O$1310,15,FALSE)</f>
        <v>-</v>
      </c>
    </row>
    <row r="168" spans="1:68" x14ac:dyDescent="0.2">
      <c r="A168" s="89">
        <v>63519300</v>
      </c>
      <c r="B168" s="53" t="str">
        <f>VLOOKUP($A168,[1]maaltijden!$A$1:$IV$65536,4,FALSE)</f>
        <v>DMC LUIKSE SALADE MET EI EN SPEK</v>
      </c>
      <c r="C168" s="46" t="str">
        <f>VLOOKUP($A168,[1]maaltijden!$A$1:$IV$65536,7,FALSE)</f>
        <v>C2227-1H</v>
      </c>
      <c r="D168" s="22" t="str">
        <f>VLOOKUP($A168,[1]maaltijden!$A$1:$IV$65536,10,FALSE)</f>
        <v>NVT</v>
      </c>
      <c r="E168" s="22" t="str">
        <f>VLOOKUP($A168,[1]maaltijden!$A$1:$IV$65536,13,FALSE)</f>
        <v>DMC X 6</v>
      </c>
      <c r="F168" s="20">
        <f t="shared" si="2"/>
        <v>0</v>
      </c>
      <c r="G168" s="20" t="str">
        <f>VLOOKUP($A168,[1]maaltijden!$A$1:$IV$65536,27,FALSE)</f>
        <v>! !</v>
      </c>
      <c r="H168" s="22">
        <f>VLOOKUP($A168,[1]maaltijden!$A$1:$IV$65536,21,FALSE)</f>
        <v>3</v>
      </c>
      <c r="I168" s="22">
        <f>VLOOKUP($A168,[1]maaltijden!$A$1:$IV$65536,21,FALSE)</f>
        <v>3</v>
      </c>
      <c r="J168" s="22">
        <f>VLOOKUP($A168,[1]maaltijden!$A$1:$IV$65536,18,FALSE)</f>
        <v>3</v>
      </c>
      <c r="K168" s="22">
        <f>VLOOKUP($A168,[1]maaltijden!$A$1:$IV$65536,17,FALSE)</f>
        <v>1</v>
      </c>
      <c r="L168" s="22">
        <f>VLOOKUP($A168,[1]maaltijden!$A$1:$IV$65536,20,FALSE)</f>
        <v>2200</v>
      </c>
      <c r="M168" s="22">
        <f>VLOOKUP($A168,[1]maaltijden!$A$1:$IV$65536,22,FALSE)</f>
        <v>2200</v>
      </c>
      <c r="N168" s="135"/>
      <c r="O168" s="50"/>
      <c r="P168" s="19">
        <v>0</v>
      </c>
      <c r="Q168" s="20">
        <v>1</v>
      </c>
      <c r="R168" s="21">
        <v>0</v>
      </c>
      <c r="S168" s="19">
        <v>0</v>
      </c>
      <c r="T168" s="20">
        <v>1</v>
      </c>
      <c r="U168" s="19">
        <v>1</v>
      </c>
      <c r="V168" s="20">
        <v>1</v>
      </c>
      <c r="W168" s="20">
        <v>1</v>
      </c>
      <c r="X168" s="20">
        <v>1</v>
      </c>
      <c r="Y168" s="20">
        <v>1</v>
      </c>
      <c r="Z168" s="20">
        <v>0</v>
      </c>
      <c r="AA168" s="20">
        <v>0</v>
      </c>
      <c r="AB168" s="49">
        <v>0</v>
      </c>
      <c r="AC168" s="49">
        <v>0</v>
      </c>
      <c r="AD168" s="49">
        <v>0</v>
      </c>
      <c r="AE168" s="49">
        <v>0</v>
      </c>
      <c r="AF168" s="49">
        <v>0</v>
      </c>
      <c r="AG168" s="161">
        <v>0</v>
      </c>
      <c r="AH168" s="162">
        <v>1</v>
      </c>
      <c r="AI168" s="162">
        <v>0</v>
      </c>
      <c r="AJ168" s="162">
        <v>0</v>
      </c>
      <c r="AK168" s="162">
        <v>0</v>
      </c>
      <c r="AL168" s="163">
        <v>0</v>
      </c>
      <c r="AM168" s="19">
        <v>0</v>
      </c>
      <c r="AN168" s="20">
        <f>IFERROR(INDEX([2]lijnopstellingsfiche!$AP$1:$AP$65536,MATCH(A168,[2]lijnopstellingsfiche!$AQ$1:$AQ$65536,0)),"")</f>
        <v>4</v>
      </c>
      <c r="AO168" s="20">
        <v>0</v>
      </c>
      <c r="AP168" s="20">
        <v>0</v>
      </c>
      <c r="AQ168" s="20">
        <v>0</v>
      </c>
      <c r="AR168" s="20">
        <v>0</v>
      </c>
      <c r="AS168" s="20">
        <v>0</v>
      </c>
      <c r="AT168" s="20">
        <v>1</v>
      </c>
      <c r="AU168" s="20">
        <v>0</v>
      </c>
      <c r="AV168" s="23">
        <v>0</v>
      </c>
      <c r="AW168" s="108">
        <v>0</v>
      </c>
      <c r="AX168" s="108">
        <v>0</v>
      </c>
      <c r="AY168" s="108">
        <v>1</v>
      </c>
      <c r="AZ168" s="108">
        <v>0</v>
      </c>
      <c r="BA168" s="114">
        <v>1</v>
      </c>
      <c r="BB168" s="20">
        <v>0</v>
      </c>
      <c r="BC168" s="113">
        <v>0</v>
      </c>
      <c r="BD168" s="200" t="e">
        <f>VLOOKUP($A168,'[3]allergenen 6nr'!$A$1:$O$1310,3,FALSE)</f>
        <v>#N/A</v>
      </c>
      <c r="BE168" s="201" t="e">
        <f>VLOOKUP($A168,'[3]allergenen 6nr'!$A$1:$O$1310,4,FALSE)</f>
        <v>#N/A</v>
      </c>
      <c r="BF168" s="201" t="e">
        <f>VLOOKUP($A168,'[3]allergenen 6nr'!$A$1:$O$1310,5,FALSE)</f>
        <v>#N/A</v>
      </c>
      <c r="BG168" s="201" t="e">
        <f>VLOOKUP($A168,'[3]allergenen 6nr'!$A$1:$O$1310,6,FALSE)</f>
        <v>#N/A</v>
      </c>
      <c r="BH168" s="201" t="e">
        <f>VLOOKUP($A168,'[3]allergenen 6nr'!$A$1:$O$1310,7,FALSE)</f>
        <v>#N/A</v>
      </c>
      <c r="BI168" s="201" t="e">
        <f>VLOOKUP($A168,'[3]allergenen 6nr'!$A$1:$O$1310,8,FALSE)</f>
        <v>#N/A</v>
      </c>
      <c r="BJ168" s="201" t="e">
        <f>VLOOKUP($A168,'[3]allergenen 6nr'!$A$1:$O$1310,9,FALSE)</f>
        <v>#N/A</v>
      </c>
      <c r="BK168" s="201" t="e">
        <f>VLOOKUP($A168,'[3]allergenen 6nr'!$A$1:$O$1310,10,FALSE)</f>
        <v>#N/A</v>
      </c>
      <c r="BL168" s="201" t="e">
        <f>VLOOKUP($A168,'[3]allergenen 6nr'!$A$1:$O$1310,11,FALSE)</f>
        <v>#N/A</v>
      </c>
      <c r="BM168" s="201" t="e">
        <f>VLOOKUP($A168,'[3]allergenen 6nr'!$A$1:$O$1310,12,FALSE)</f>
        <v>#N/A</v>
      </c>
      <c r="BN168" s="201" t="e">
        <f>VLOOKUP($A168,'[3]allergenen 6nr'!$A$1:$O$1310,13,FALSE)</f>
        <v>#N/A</v>
      </c>
      <c r="BO168" s="201" t="e">
        <f>VLOOKUP($A168,'[3]allergenen 6nr'!$A$1:$O$1310,14,FALSE)</f>
        <v>#N/A</v>
      </c>
      <c r="BP168" s="202" t="e">
        <f>VLOOKUP($A168,'[3]allergenen 6nr'!$A$1:$O$1310,15,FALSE)</f>
        <v>#N/A</v>
      </c>
    </row>
    <row r="169" spans="1:68" x14ac:dyDescent="0.2">
      <c r="A169" s="126">
        <v>63551200</v>
      </c>
      <c r="B169" s="53" t="str">
        <f>VLOOKUP($A169,[1]maaltijden!$A$1:$IV$65536,4,FALSE)</f>
        <v>DMC EDJ HERT GRAND VENEUR BOONTJES SPEK KNOLSELDERPUREE</v>
      </c>
      <c r="C169" s="46" t="str">
        <f>VLOOKUP($A169,[1]maaltijden!$A$1:$IV$65536,7,FALSE)</f>
        <v>C2227-2K</v>
      </c>
      <c r="D169" s="22" t="str">
        <f>VLOOKUP($A169,[1]maaltijden!$A$1:$IV$65536,10,FALSE)</f>
        <v>NVT</v>
      </c>
      <c r="E169" s="22" t="str">
        <f>VLOOKUP($A169,[1]maaltijden!$A$1:$IV$65536,13,FALSE)</f>
        <v>DMC X 6</v>
      </c>
      <c r="F169" s="20">
        <f t="shared" si="2"/>
        <v>0</v>
      </c>
      <c r="G169" s="20" t="str">
        <f>VLOOKUP($A169,[1]maaltijden!$A$1:$IV$65536,27,FALSE)</f>
        <v>! ! !</v>
      </c>
      <c r="H169" s="22">
        <f>VLOOKUP($A169,[1]maaltijden!$A$1:$IV$65536,21,FALSE)</f>
        <v>8</v>
      </c>
      <c r="I169" s="22">
        <f>VLOOKUP($A169,[1]maaltijden!$A$1:$IV$65536,21,FALSE)</f>
        <v>8</v>
      </c>
      <c r="J169" s="22">
        <f>VLOOKUP($A169,[1]maaltijden!$A$1:$IV$65536,18,FALSE)</f>
        <v>3</v>
      </c>
      <c r="K169" s="22">
        <f>VLOOKUP($A169,[1]maaltijden!$A$1:$IV$65536,17,FALSE)</f>
        <v>3</v>
      </c>
      <c r="L169" s="22">
        <f>VLOOKUP($A169,[1]maaltijden!$A$1:$IV$65536,20,FALSE)</f>
        <v>1750</v>
      </c>
      <c r="M169" s="22">
        <f>VLOOKUP($A169,[1]maaltijden!$A$1:$IV$65536,22,FALSE)</f>
        <v>1750</v>
      </c>
      <c r="N169" s="135"/>
      <c r="O169" s="50"/>
      <c r="P169" s="19">
        <v>0</v>
      </c>
      <c r="Q169" s="20">
        <v>1</v>
      </c>
      <c r="R169" s="21">
        <v>0</v>
      </c>
      <c r="S169" s="19">
        <v>0</v>
      </c>
      <c r="T169" s="20">
        <v>1</v>
      </c>
      <c r="U169" s="19"/>
      <c r="V169" s="20"/>
      <c r="W169" s="20"/>
      <c r="X169" s="20"/>
      <c r="Y169" s="20"/>
      <c r="Z169" s="20"/>
      <c r="AA169" s="20"/>
      <c r="AB169" s="49"/>
      <c r="AC169" s="49"/>
      <c r="AD169" s="49"/>
      <c r="AE169" s="49"/>
      <c r="AF169" s="49"/>
      <c r="AG169" s="173">
        <v>0</v>
      </c>
      <c r="AH169" s="174">
        <v>2</v>
      </c>
      <c r="AI169" s="174">
        <v>2</v>
      </c>
      <c r="AJ169" s="174">
        <v>0</v>
      </c>
      <c r="AK169" s="174">
        <v>0</v>
      </c>
      <c r="AL169" s="175">
        <v>0</v>
      </c>
      <c r="AM169" s="19">
        <v>0</v>
      </c>
      <c r="AN169" s="20">
        <f>IFERROR(INDEX([2]lijnopstellingsfiche!$AP$1:$AP$65536,MATCH(A169,[2]lijnopstellingsfiche!$AQ$1:$AQ$65536,0)),"")</f>
        <v>4</v>
      </c>
      <c r="AO169" s="20">
        <v>0</v>
      </c>
      <c r="AP169" s="20">
        <v>0</v>
      </c>
      <c r="AQ169" s="20">
        <v>1</v>
      </c>
      <c r="AR169" s="20">
        <v>1</v>
      </c>
      <c r="AS169" s="20">
        <v>0</v>
      </c>
      <c r="AT169" s="20">
        <v>0</v>
      </c>
      <c r="AU169" s="20">
        <v>0</v>
      </c>
      <c r="AV169" s="23">
        <v>0</v>
      </c>
      <c r="AW169" s="108">
        <v>0</v>
      </c>
      <c r="AX169" s="108">
        <v>0</v>
      </c>
      <c r="AY169" s="108">
        <v>1</v>
      </c>
      <c r="AZ169" s="108">
        <v>0</v>
      </c>
      <c r="BA169" s="114">
        <v>1</v>
      </c>
      <c r="BB169" s="20">
        <v>0</v>
      </c>
      <c r="BC169" s="113">
        <v>0</v>
      </c>
      <c r="BD169" s="200" t="str">
        <f>VLOOKUP($A169,'[3]allergenen 6nr'!$A$1:$O$1310,3,FALSE)</f>
        <v>-</v>
      </c>
      <c r="BE169" s="201" t="str">
        <f>VLOOKUP($A169,'[3]allergenen 6nr'!$A$1:$O$1310,4,FALSE)</f>
        <v>-</v>
      </c>
      <c r="BF169" s="201" t="str">
        <f>VLOOKUP($A169,'[3]allergenen 6nr'!$A$1:$O$1310,5,FALSE)</f>
        <v>+</v>
      </c>
      <c r="BG169" s="201" t="str">
        <f>VLOOKUP($A169,'[3]allergenen 6nr'!$A$1:$O$1310,6,FALSE)</f>
        <v>X</v>
      </c>
      <c r="BH169" s="201" t="str">
        <f>VLOOKUP($A169,'[3]allergenen 6nr'!$A$1:$O$1310,7,FALSE)</f>
        <v>+</v>
      </c>
      <c r="BI169" s="201" t="str">
        <f>VLOOKUP($A169,'[3]allergenen 6nr'!$A$1:$O$1310,8,FALSE)</f>
        <v>X</v>
      </c>
      <c r="BJ169" s="201" t="str">
        <f>VLOOKUP($A169,'[3]allergenen 6nr'!$A$1:$O$1310,9,FALSE)</f>
        <v>-</v>
      </c>
      <c r="BK169" s="201" t="str">
        <f>VLOOKUP($A169,'[3]allergenen 6nr'!$A$1:$O$1310,10,FALSE)</f>
        <v>-</v>
      </c>
      <c r="BL169" s="201" t="str">
        <f>VLOOKUP($A169,'[3]allergenen 6nr'!$A$1:$O$1310,11,FALSE)</f>
        <v>+</v>
      </c>
      <c r="BM169" s="201" t="str">
        <f>VLOOKUP($A169,'[3]allergenen 6nr'!$A$1:$O$1310,12,FALSE)</f>
        <v>-</v>
      </c>
      <c r="BN169" s="201" t="str">
        <f>VLOOKUP($A169,'[3]allergenen 6nr'!$A$1:$O$1310,13,FALSE)</f>
        <v>X</v>
      </c>
      <c r="BO169" s="201" t="str">
        <f>VLOOKUP($A169,'[3]allergenen 6nr'!$A$1:$O$1310,14,FALSE)</f>
        <v>-</v>
      </c>
      <c r="BP169" s="202" t="str">
        <f>VLOOKUP($A169,'[3]allergenen 6nr'!$A$1:$O$1310,15,FALSE)</f>
        <v>-</v>
      </c>
    </row>
    <row r="170" spans="1:68" x14ac:dyDescent="0.2">
      <c r="A170" s="126">
        <v>63551900</v>
      </c>
      <c r="B170" s="53" t="str">
        <f>VLOOKUP($A170,[1]maaltijden!$A$1:$IV$65536,4,FALSE)</f>
        <v>DMC EDJ ZALM KREEFTENSAUS SPINAZIE PUREE</v>
      </c>
      <c r="C170" s="46" t="str">
        <f>VLOOKUP($A170,[1]maaltijden!$A$1:$IV$65536,7,FALSE)</f>
        <v>C2227-3R</v>
      </c>
      <c r="D170" s="22" t="str">
        <f>VLOOKUP($A170,[1]maaltijden!$A$1:$IV$65536,10,FALSE)</f>
        <v>NVT</v>
      </c>
      <c r="E170" s="22" t="str">
        <f>VLOOKUP($A170,[1]maaltijden!$A$1:$IV$65536,13,FALSE)</f>
        <v>DMC X 6</v>
      </c>
      <c r="F170" s="20">
        <f t="shared" si="2"/>
        <v>0</v>
      </c>
      <c r="G170" s="20" t="str">
        <f>VLOOKUP($A170,[1]maaltijden!$A$1:$IV$65536,27,FALSE)</f>
        <v>! ! ! !</v>
      </c>
      <c r="H170" s="22">
        <f>VLOOKUP($A170,[1]maaltijden!$A$1:$IV$65536,21,FALSE)</f>
        <v>5</v>
      </c>
      <c r="I170" s="22">
        <f>VLOOKUP($A170,[1]maaltijden!$A$1:$IV$65536,21,FALSE)</f>
        <v>5</v>
      </c>
      <c r="J170" s="22">
        <f>VLOOKUP($A170,[1]maaltijden!$A$1:$IV$65536,18,FALSE)</f>
        <v>3</v>
      </c>
      <c r="K170" s="22">
        <f>VLOOKUP($A170,[1]maaltijden!$A$1:$IV$65536,17,FALSE)</f>
        <v>3</v>
      </c>
      <c r="L170" s="22">
        <f>VLOOKUP($A170,[1]maaltijden!$A$1:$IV$65536,20,FALSE)</f>
        <v>2000</v>
      </c>
      <c r="M170" s="22">
        <f>VLOOKUP($A170,[1]maaltijden!$A$1:$IV$65536,22,FALSE)</f>
        <v>2000</v>
      </c>
      <c r="N170" s="135"/>
      <c r="O170" s="50">
        <v>63953400</v>
      </c>
      <c r="P170" s="19">
        <v>0</v>
      </c>
      <c r="Q170" s="20">
        <v>1</v>
      </c>
      <c r="R170" s="21">
        <v>0</v>
      </c>
      <c r="S170" s="19">
        <v>0</v>
      </c>
      <c r="T170" s="20">
        <v>1</v>
      </c>
      <c r="U170" s="19"/>
      <c r="V170" s="20"/>
      <c r="W170" s="20"/>
      <c r="X170" s="20"/>
      <c r="Y170" s="20"/>
      <c r="Z170" s="20"/>
      <c r="AA170" s="20"/>
      <c r="AB170" s="49"/>
      <c r="AC170" s="49"/>
      <c r="AD170" s="49"/>
      <c r="AE170" s="49"/>
      <c r="AF170" s="49"/>
      <c r="AG170" s="19"/>
      <c r="AH170" s="20"/>
      <c r="AI170" s="20"/>
      <c r="AJ170" s="20"/>
      <c r="AK170" s="20"/>
      <c r="AL170" s="21"/>
      <c r="AM170" s="19">
        <v>0</v>
      </c>
      <c r="AN170" s="20"/>
      <c r="AO170" s="20">
        <v>0</v>
      </c>
      <c r="AP170" s="20">
        <v>0</v>
      </c>
      <c r="AQ170" s="20">
        <v>1</v>
      </c>
      <c r="AR170" s="20">
        <v>0</v>
      </c>
      <c r="AS170" s="20">
        <v>0</v>
      </c>
      <c r="AT170" s="20">
        <v>0</v>
      </c>
      <c r="AU170" s="20">
        <v>0</v>
      </c>
      <c r="AV170" s="23">
        <v>0</v>
      </c>
      <c r="AW170" s="108">
        <v>0</v>
      </c>
      <c r="AX170" s="108">
        <v>0</v>
      </c>
      <c r="AY170" s="108">
        <v>1</v>
      </c>
      <c r="AZ170" s="108">
        <v>0</v>
      </c>
      <c r="BA170" s="114">
        <v>1</v>
      </c>
      <c r="BB170" s="20">
        <v>0</v>
      </c>
      <c r="BC170" s="113">
        <v>0</v>
      </c>
      <c r="BD170" s="200"/>
      <c r="BE170" s="201"/>
      <c r="BF170" s="201"/>
      <c r="BG170" s="201"/>
      <c r="BH170" s="201"/>
      <c r="BI170" s="201"/>
      <c r="BJ170" s="201"/>
      <c r="BK170" s="201"/>
      <c r="BL170" s="201"/>
      <c r="BM170" s="201"/>
      <c r="BN170" s="201"/>
      <c r="BO170" s="201"/>
      <c r="BP170" s="202"/>
    </row>
    <row r="171" spans="1:68" x14ac:dyDescent="0.2">
      <c r="A171" s="126">
        <v>63552000</v>
      </c>
      <c r="B171" s="53" t="str">
        <f>VLOOKUP($A171,[1]maaltijden!$A$1:$IV$65536,4,FALSE)</f>
        <v>DMC EDJ KALKOEN TRUFFEL WORTEL ROSTI</v>
      </c>
      <c r="C171" s="46" t="str">
        <f>VLOOKUP($A171,[1]maaltijden!$A$1:$IV$65536,7,FALSE)</f>
        <v>C2227-2K</v>
      </c>
      <c r="D171" s="22" t="str">
        <f>VLOOKUP($A171,[1]maaltijden!$A$1:$IV$65536,10,FALSE)</f>
        <v>NVT</v>
      </c>
      <c r="E171" s="22" t="str">
        <f>VLOOKUP($A171,[1]maaltijden!$A$1:$IV$65536,13,FALSE)</f>
        <v>DMC X 6</v>
      </c>
      <c r="F171" s="20">
        <f t="shared" si="2"/>
        <v>0</v>
      </c>
      <c r="G171" s="20" t="str">
        <f>VLOOKUP($A171,[1]maaltijden!$A$1:$IV$65536,27,FALSE)</f>
        <v>! !</v>
      </c>
      <c r="H171" s="22">
        <f>VLOOKUP($A171,[1]maaltijden!$A$1:$IV$65536,21,FALSE)</f>
        <v>10</v>
      </c>
      <c r="I171" s="22">
        <f>VLOOKUP($A171,[1]maaltijden!$A$1:$IV$65536,21,FALSE)</f>
        <v>10</v>
      </c>
      <c r="J171" s="22">
        <f>VLOOKUP($A171,[1]maaltijden!$A$1:$IV$65536,18,FALSE)</f>
        <v>3</v>
      </c>
      <c r="K171" s="22">
        <f>VLOOKUP($A171,[1]maaltijden!$A$1:$IV$65536,17,FALSE)</f>
        <v>2</v>
      </c>
      <c r="L171" s="22">
        <f>VLOOKUP($A171,[1]maaltijden!$A$1:$IV$65536,20,FALSE)</f>
        <v>2000</v>
      </c>
      <c r="M171" s="22">
        <f>VLOOKUP($A171,[1]maaltijden!$A$1:$IV$65536,22,FALSE)</f>
        <v>2000</v>
      </c>
      <c r="N171" s="135"/>
      <c r="O171" s="50"/>
      <c r="P171" s="19">
        <v>0</v>
      </c>
      <c r="Q171" s="20">
        <v>1</v>
      </c>
      <c r="R171" s="21">
        <v>0</v>
      </c>
      <c r="S171" s="19">
        <v>0</v>
      </c>
      <c r="T171" s="20">
        <v>1</v>
      </c>
      <c r="U171" s="19"/>
      <c r="V171" s="20"/>
      <c r="W171" s="20"/>
      <c r="X171" s="20"/>
      <c r="Y171" s="20"/>
      <c r="Z171" s="20"/>
      <c r="AA171" s="20"/>
      <c r="AB171" s="49"/>
      <c r="AC171" s="49"/>
      <c r="AD171" s="49"/>
      <c r="AE171" s="49"/>
      <c r="AF171" s="49"/>
      <c r="AG171" s="173">
        <v>0</v>
      </c>
      <c r="AH171" s="174">
        <v>1</v>
      </c>
      <c r="AI171" s="174">
        <v>1</v>
      </c>
      <c r="AJ171" s="174">
        <v>0</v>
      </c>
      <c r="AK171" s="174">
        <v>0</v>
      </c>
      <c r="AL171" s="175">
        <v>0</v>
      </c>
      <c r="AM171" s="19">
        <v>0</v>
      </c>
      <c r="AN171" s="20">
        <f>IFERROR(INDEX([2]lijnopstellingsfiche!$AP$1:$AP$65536,MATCH(A171,[2]lijnopstellingsfiche!$AQ$1:$AQ$65536,0)),"")</f>
        <v>5</v>
      </c>
      <c r="AO171" s="20">
        <v>0</v>
      </c>
      <c r="AP171" s="20">
        <v>0</v>
      </c>
      <c r="AQ171" s="20">
        <v>1</v>
      </c>
      <c r="AR171" s="20">
        <v>0</v>
      </c>
      <c r="AS171" s="20">
        <v>0</v>
      </c>
      <c r="AT171" s="20">
        <v>0</v>
      </c>
      <c r="AU171" s="20">
        <v>0</v>
      </c>
      <c r="AV171" s="23">
        <v>0</v>
      </c>
      <c r="AW171" s="108">
        <v>0</v>
      </c>
      <c r="AX171" s="108">
        <v>0</v>
      </c>
      <c r="AY171" s="108">
        <v>1</v>
      </c>
      <c r="AZ171" s="108">
        <v>0</v>
      </c>
      <c r="BA171" s="114">
        <v>1</v>
      </c>
      <c r="BB171" s="20">
        <v>0</v>
      </c>
      <c r="BC171" s="113">
        <v>0</v>
      </c>
      <c r="BD171" s="200" t="str">
        <f>VLOOKUP($A171,'[3]allergenen 6nr'!$A$1:$O$1310,3,FALSE)</f>
        <v>-</v>
      </c>
      <c r="BE171" s="201" t="str">
        <f>VLOOKUP($A171,'[3]allergenen 6nr'!$A$1:$O$1310,4,FALSE)</f>
        <v>X</v>
      </c>
      <c r="BF171" s="201" t="str">
        <f>VLOOKUP($A171,'[3]allergenen 6nr'!$A$1:$O$1310,5,FALSE)</f>
        <v>+</v>
      </c>
      <c r="BG171" s="201" t="str">
        <f>VLOOKUP($A171,'[3]allergenen 6nr'!$A$1:$O$1310,6,FALSE)</f>
        <v>X</v>
      </c>
      <c r="BH171" s="201" t="str">
        <f>VLOOKUP($A171,'[3]allergenen 6nr'!$A$1:$O$1310,7,FALSE)</f>
        <v>+</v>
      </c>
      <c r="BI171" s="201" t="str">
        <f>VLOOKUP($A171,'[3]allergenen 6nr'!$A$1:$O$1310,8,FALSE)</f>
        <v>X</v>
      </c>
      <c r="BJ171" s="201" t="str">
        <f>VLOOKUP($A171,'[3]allergenen 6nr'!$A$1:$O$1310,9,FALSE)</f>
        <v>-</v>
      </c>
      <c r="BK171" s="201" t="str">
        <f>VLOOKUP($A171,'[3]allergenen 6nr'!$A$1:$O$1310,10,FALSE)</f>
        <v>-</v>
      </c>
      <c r="BL171" s="201" t="str">
        <f>VLOOKUP($A171,'[3]allergenen 6nr'!$A$1:$O$1310,11,FALSE)</f>
        <v>-</v>
      </c>
      <c r="BM171" s="201" t="str">
        <f>VLOOKUP($A171,'[3]allergenen 6nr'!$A$1:$O$1310,12,FALSE)</f>
        <v>-</v>
      </c>
      <c r="BN171" s="201" t="str">
        <f>VLOOKUP($A171,'[3]allergenen 6nr'!$A$1:$O$1310,13,FALSE)</f>
        <v>X</v>
      </c>
      <c r="BO171" s="201" t="str">
        <f>VLOOKUP($A171,'[3]allergenen 6nr'!$A$1:$O$1310,14,FALSE)</f>
        <v>-</v>
      </c>
      <c r="BP171" s="202" t="str">
        <f>VLOOKUP($A171,'[3]allergenen 6nr'!$A$1:$O$1310,15,FALSE)</f>
        <v>-</v>
      </c>
    </row>
    <row r="172" spans="1:68" x14ac:dyDescent="0.2">
      <c r="A172" s="126">
        <v>63552100</v>
      </c>
      <c r="B172" s="53" t="str">
        <f>VLOOKUP($A172,[1]maaltijden!$A$1:$IV$65536,4,FALSE)</f>
        <v>DMC EDJ KABELJAUW KREEFTENSAUS SPINAZIE PUREE</v>
      </c>
      <c r="C172" s="46" t="str">
        <f>VLOOKUP($A172,[1]maaltijden!$A$1:$IV$65536,7,FALSE)</f>
        <v>C2227-2K</v>
      </c>
      <c r="D172" s="22" t="str">
        <f>VLOOKUP($A172,[1]maaltijden!$A$1:$IV$65536,10,FALSE)</f>
        <v>NVT</v>
      </c>
      <c r="E172" s="22" t="str">
        <f>VLOOKUP($A172,[1]maaltijden!$A$1:$IV$65536,13,FALSE)</f>
        <v>DMC X 6</v>
      </c>
      <c r="F172" s="20">
        <f t="shared" si="2"/>
        <v>0</v>
      </c>
      <c r="G172" s="20" t="str">
        <f>VLOOKUP($A172,[1]maaltijden!$A$1:$IV$65536,27,FALSE)</f>
        <v>! ! ! !</v>
      </c>
      <c r="H172" s="22">
        <f>VLOOKUP($A172,[1]maaltijden!$A$1:$IV$65536,21,FALSE)</f>
        <v>5</v>
      </c>
      <c r="I172" s="22">
        <f>VLOOKUP($A172,[1]maaltijden!$A$1:$IV$65536,21,FALSE)</f>
        <v>5</v>
      </c>
      <c r="J172" s="22">
        <f>VLOOKUP($A172,[1]maaltijden!$A$1:$IV$65536,18,FALSE)</f>
        <v>3</v>
      </c>
      <c r="K172" s="22">
        <f>VLOOKUP($A172,[1]maaltijden!$A$1:$IV$65536,17,FALSE)</f>
        <v>3</v>
      </c>
      <c r="L172" s="22">
        <f>VLOOKUP($A172,[1]maaltijden!$A$1:$IV$65536,20,FALSE)</f>
        <v>2000</v>
      </c>
      <c r="M172" s="22">
        <f>VLOOKUP($A172,[1]maaltijden!$A$1:$IV$65536,22,FALSE)</f>
        <v>2000</v>
      </c>
      <c r="N172" s="135"/>
      <c r="O172" s="50"/>
      <c r="P172" s="19">
        <v>0</v>
      </c>
      <c r="Q172" s="20">
        <v>1</v>
      </c>
      <c r="R172" s="21">
        <v>0</v>
      </c>
      <c r="S172" s="19">
        <v>0</v>
      </c>
      <c r="T172" s="20">
        <v>1</v>
      </c>
      <c r="U172" s="19"/>
      <c r="V172" s="20"/>
      <c r="W172" s="20"/>
      <c r="X172" s="20"/>
      <c r="Y172" s="20"/>
      <c r="Z172" s="20"/>
      <c r="AA172" s="20"/>
      <c r="AB172" s="49"/>
      <c r="AC172" s="49"/>
      <c r="AD172" s="49"/>
      <c r="AE172" s="49"/>
      <c r="AF172" s="49"/>
      <c r="AG172" s="161">
        <v>0</v>
      </c>
      <c r="AH172" s="174">
        <v>2</v>
      </c>
      <c r="AI172" s="174">
        <v>1</v>
      </c>
      <c r="AJ172" s="174">
        <v>0</v>
      </c>
      <c r="AK172" s="174">
        <v>0</v>
      </c>
      <c r="AL172" s="175">
        <v>0</v>
      </c>
      <c r="AM172" s="19">
        <v>0</v>
      </c>
      <c r="AN172" s="20" t="str">
        <f>IFERROR(INDEX([2]lijnopstellingsfiche!$AP$1:$AP$65536,MATCH(A172,[2]lijnopstellingsfiche!$AQ$1:$AQ$65536,0)),"")</f>
        <v>-</v>
      </c>
      <c r="AO172" s="20">
        <v>0</v>
      </c>
      <c r="AP172" s="20">
        <v>0</v>
      </c>
      <c r="AQ172" s="20">
        <v>1</v>
      </c>
      <c r="AR172" s="20">
        <v>1</v>
      </c>
      <c r="AS172" s="20">
        <v>0</v>
      </c>
      <c r="AT172" s="20">
        <v>0</v>
      </c>
      <c r="AU172" s="20">
        <v>0</v>
      </c>
      <c r="AV172" s="23">
        <v>0</v>
      </c>
      <c r="AW172" s="108">
        <v>0</v>
      </c>
      <c r="AX172" s="108">
        <v>0</v>
      </c>
      <c r="AY172" s="108">
        <v>1</v>
      </c>
      <c r="AZ172" s="108">
        <v>0</v>
      </c>
      <c r="BA172" s="114">
        <v>1</v>
      </c>
      <c r="BB172" s="20">
        <v>0</v>
      </c>
      <c r="BC172" s="113">
        <v>0</v>
      </c>
      <c r="BD172" s="200" t="str">
        <f>VLOOKUP($A172,'[3]allergenen 6nr'!$A$1:$O$1310,3,FALSE)</f>
        <v>-</v>
      </c>
      <c r="BE172" s="201" t="str">
        <f>VLOOKUP($A172,'[3]allergenen 6nr'!$A$1:$O$1310,4,FALSE)</f>
        <v>+</v>
      </c>
      <c r="BF172" s="201" t="str">
        <f>VLOOKUP($A172,'[3]allergenen 6nr'!$A$1:$O$1310,5,FALSE)</f>
        <v>+</v>
      </c>
      <c r="BG172" s="201" t="str">
        <f>VLOOKUP($A172,'[3]allergenen 6nr'!$A$1:$O$1310,6,FALSE)</f>
        <v>X</v>
      </c>
      <c r="BH172" s="201" t="str">
        <f>VLOOKUP($A172,'[3]allergenen 6nr'!$A$1:$O$1310,7,FALSE)</f>
        <v>+</v>
      </c>
      <c r="BI172" s="201" t="str">
        <f>VLOOKUP($A172,'[3]allergenen 6nr'!$A$1:$O$1310,8,FALSE)</f>
        <v>X</v>
      </c>
      <c r="BJ172" s="201" t="str">
        <f>VLOOKUP($A172,'[3]allergenen 6nr'!$A$1:$O$1310,9,FALSE)</f>
        <v>-</v>
      </c>
      <c r="BK172" s="201" t="str">
        <f>VLOOKUP($A172,'[3]allergenen 6nr'!$A$1:$O$1310,10,FALSE)</f>
        <v>+</v>
      </c>
      <c r="BL172" s="201" t="str">
        <f>VLOOKUP($A172,'[3]allergenen 6nr'!$A$1:$O$1310,11,FALSE)</f>
        <v>+</v>
      </c>
      <c r="BM172" s="201" t="str">
        <f>VLOOKUP($A172,'[3]allergenen 6nr'!$A$1:$O$1310,12,FALSE)</f>
        <v>-</v>
      </c>
      <c r="BN172" s="201" t="str">
        <f>VLOOKUP($A172,'[3]allergenen 6nr'!$A$1:$O$1310,13,FALSE)</f>
        <v>X</v>
      </c>
      <c r="BO172" s="201" t="str">
        <f>VLOOKUP($A172,'[3]allergenen 6nr'!$A$1:$O$1310,14,FALSE)</f>
        <v>+</v>
      </c>
      <c r="BP172" s="202" t="str">
        <f>VLOOKUP($A172,'[3]allergenen 6nr'!$A$1:$O$1310,15,FALSE)</f>
        <v>X</v>
      </c>
    </row>
    <row r="173" spans="1:68" x14ac:dyDescent="0.2">
      <c r="A173" s="126">
        <v>63552200</v>
      </c>
      <c r="B173" s="53" t="str">
        <f>VLOOKUP($A173,[1]maaltijden!$A$1:$IV$65536,4,FALSE)</f>
        <v>DMC EDJ VARKENSHAAS PEPERSAUS BOONTJES SPEK AARD KUBUS GEKRUID</v>
      </c>
      <c r="C173" s="46" t="str">
        <f>VLOOKUP($A173,[1]maaltijden!$A$1:$IV$65536,7,FALSE)</f>
        <v>C2227-2K</v>
      </c>
      <c r="D173" s="22" t="str">
        <f>VLOOKUP($A173,[1]maaltijden!$A$1:$IV$65536,10,FALSE)</f>
        <v>NVT</v>
      </c>
      <c r="E173" s="22" t="str">
        <f>VLOOKUP($A173,[1]maaltijden!$A$1:$IV$65536,13,FALSE)</f>
        <v>DMC X 6</v>
      </c>
      <c r="F173" s="20">
        <f t="shared" si="2"/>
        <v>0</v>
      </c>
      <c r="G173" s="20" t="str">
        <f>VLOOKUP($A173,[1]maaltijden!$A$1:$IV$65536,27,FALSE)</f>
        <v>! ! !</v>
      </c>
      <c r="H173" s="22">
        <f>VLOOKUP($A173,[1]maaltijden!$A$1:$IV$65536,21,FALSE)</f>
        <v>0</v>
      </c>
      <c r="I173" s="22">
        <f>VLOOKUP($A173,[1]maaltijden!$A$1:$IV$65536,21,FALSE)</f>
        <v>0</v>
      </c>
      <c r="J173" s="22">
        <f>VLOOKUP($A173,[1]maaltijden!$A$1:$IV$65536,18,FALSE)</f>
        <v>0</v>
      </c>
      <c r="K173" s="22">
        <f>VLOOKUP($A173,[1]maaltijden!$A$1:$IV$65536,17,FALSE)</f>
        <v>0</v>
      </c>
      <c r="L173" s="22">
        <f>VLOOKUP($A173,[1]maaltijden!$A$1:$IV$65536,20,FALSE)</f>
        <v>0</v>
      </c>
      <c r="M173" s="22">
        <f>VLOOKUP($A173,[1]maaltijden!$A$1:$IV$65536,22,FALSE)</f>
        <v>0</v>
      </c>
      <c r="N173" s="135"/>
      <c r="O173" s="50">
        <v>63953700</v>
      </c>
      <c r="P173" s="19">
        <v>0</v>
      </c>
      <c r="Q173" s="20">
        <v>1</v>
      </c>
      <c r="R173" s="21">
        <v>0</v>
      </c>
      <c r="S173" s="19">
        <v>0</v>
      </c>
      <c r="T173" s="20">
        <v>1</v>
      </c>
      <c r="U173" s="19"/>
      <c r="V173" s="20"/>
      <c r="W173" s="20"/>
      <c r="X173" s="20"/>
      <c r="Y173" s="20"/>
      <c r="Z173" s="20"/>
      <c r="AA173" s="20"/>
      <c r="AB173" s="49"/>
      <c r="AC173" s="49"/>
      <c r="AD173" s="49"/>
      <c r="AE173" s="49"/>
      <c r="AF173" s="49"/>
      <c r="AG173" s="19"/>
      <c r="AH173" s="20"/>
      <c r="AI173" s="20"/>
      <c r="AJ173" s="20"/>
      <c r="AK173" s="20"/>
      <c r="AL173" s="21"/>
      <c r="AM173" s="19"/>
      <c r="AN173" s="20"/>
      <c r="AO173" s="20"/>
      <c r="AP173" s="20"/>
      <c r="AQ173" s="20"/>
      <c r="AR173" s="20"/>
      <c r="AS173" s="20"/>
      <c r="AT173" s="20"/>
      <c r="AU173" s="20"/>
      <c r="AV173" s="23">
        <v>0</v>
      </c>
      <c r="AW173" s="108">
        <v>0</v>
      </c>
      <c r="AX173" s="108">
        <v>0</v>
      </c>
      <c r="AY173" s="108">
        <v>1</v>
      </c>
      <c r="AZ173" s="108">
        <v>0</v>
      </c>
      <c r="BA173" s="114">
        <v>1</v>
      </c>
      <c r="BB173" s="20">
        <v>0</v>
      </c>
      <c r="BC173" s="113">
        <v>0</v>
      </c>
      <c r="BD173" s="200"/>
      <c r="BE173" s="201"/>
      <c r="BF173" s="201"/>
      <c r="BG173" s="201"/>
      <c r="BH173" s="201"/>
      <c r="BI173" s="201"/>
      <c r="BJ173" s="201"/>
      <c r="BK173" s="201"/>
      <c r="BL173" s="201"/>
      <c r="BM173" s="201"/>
      <c r="BN173" s="201"/>
      <c r="BO173" s="201"/>
      <c r="BP173" s="202"/>
    </row>
    <row r="174" spans="1:68" x14ac:dyDescent="0.2">
      <c r="A174" s="89">
        <v>63560400</v>
      </c>
      <c r="B174" s="53" t="str">
        <f>VLOOKUP($A174,[1]maaltijden!$A$1:$IV$65536,4,FALSE)</f>
        <v>DMC VEG BULGUR GEITENKAAS BROCCOLI BLOEMKOOL</v>
      </c>
      <c r="C174" s="46" t="str">
        <f>VLOOKUP($A174,[1]maaltijden!$A$1:$IV$65536,7,FALSE)</f>
        <v>C2227-1H</v>
      </c>
      <c r="D174" s="22" t="str">
        <f>VLOOKUP($A174,[1]maaltijden!$A$1:$IV$65536,10,FALSE)</f>
        <v>NVT</v>
      </c>
      <c r="E174" s="22" t="str">
        <f>VLOOKUP($A174,[1]maaltijden!$A$1:$IV$65536,13,FALSE)</f>
        <v>DMC X 6</v>
      </c>
      <c r="F174" s="20">
        <f t="shared" si="2"/>
        <v>0</v>
      </c>
      <c r="G174" s="20" t="str">
        <f>VLOOKUP($A174,[1]maaltijden!$A$1:$IV$65536,27,FALSE)</f>
        <v>! !</v>
      </c>
      <c r="H174" s="22">
        <f>VLOOKUP($A174,[1]maaltijden!$A$1:$IV$65536,21,FALSE)</f>
        <v>6</v>
      </c>
      <c r="I174" s="22">
        <f>VLOOKUP($A174,[1]maaltijden!$A$1:$IV$65536,21,FALSE)</f>
        <v>6</v>
      </c>
      <c r="J174" s="22">
        <f>VLOOKUP($A174,[1]maaltijden!$A$1:$IV$65536,18,FALSE)</f>
        <v>3</v>
      </c>
      <c r="K174" s="22">
        <f>VLOOKUP($A174,[1]maaltijden!$A$1:$IV$65536,17,FALSE)</f>
        <v>2.5</v>
      </c>
      <c r="L174" s="22">
        <f>VLOOKUP($A174,[1]maaltijden!$A$1:$IV$65536,20,FALSE)</f>
        <v>1750</v>
      </c>
      <c r="M174" s="22">
        <f>VLOOKUP($A174,[1]maaltijden!$A$1:$IV$65536,22,FALSE)</f>
        <v>1750</v>
      </c>
      <c r="N174" s="135"/>
      <c r="O174" s="50"/>
      <c r="P174" s="19">
        <v>0</v>
      </c>
      <c r="Q174" s="20">
        <v>1</v>
      </c>
      <c r="R174" s="21">
        <v>0</v>
      </c>
      <c r="S174" s="19">
        <v>0</v>
      </c>
      <c r="T174" s="20">
        <v>1</v>
      </c>
      <c r="U174" s="19">
        <v>0</v>
      </c>
      <c r="V174" s="20">
        <v>1</v>
      </c>
      <c r="W174" s="20">
        <v>1</v>
      </c>
      <c r="X174" s="20">
        <v>1</v>
      </c>
      <c r="Y174" s="20">
        <v>1</v>
      </c>
      <c r="Z174" s="20">
        <v>1</v>
      </c>
      <c r="AA174" s="20">
        <v>0</v>
      </c>
      <c r="AB174" s="49">
        <v>0</v>
      </c>
      <c r="AC174" s="49">
        <v>0</v>
      </c>
      <c r="AD174" s="49">
        <v>0</v>
      </c>
      <c r="AE174" s="49">
        <v>1</v>
      </c>
      <c r="AF174" s="49">
        <v>0</v>
      </c>
      <c r="AG174" s="173">
        <v>0</v>
      </c>
      <c r="AH174" s="174">
        <v>2</v>
      </c>
      <c r="AI174" s="174">
        <v>1</v>
      </c>
      <c r="AJ174" s="174">
        <v>1</v>
      </c>
      <c r="AK174" s="174">
        <v>0</v>
      </c>
      <c r="AL174" s="175">
        <v>0</v>
      </c>
      <c r="AM174" s="19">
        <v>0</v>
      </c>
      <c r="AN174" s="20">
        <f>IFERROR(INDEX([2]lijnopstellingsfiche!$AP$1:$AP$65536,MATCH(A174,[2]lijnopstellingsfiche!$AQ$1:$AQ$65536,0)),"")</f>
        <v>1</v>
      </c>
      <c r="AO174" s="20">
        <v>1</v>
      </c>
      <c r="AP174" s="20">
        <v>0</v>
      </c>
      <c r="AQ174" s="20">
        <v>1</v>
      </c>
      <c r="AR174" s="20">
        <v>0</v>
      </c>
      <c r="AS174" s="20">
        <v>0</v>
      </c>
      <c r="AT174" s="20">
        <v>0</v>
      </c>
      <c r="AU174" s="20">
        <v>0</v>
      </c>
      <c r="AV174" s="23">
        <v>0</v>
      </c>
      <c r="AW174" s="108">
        <v>0</v>
      </c>
      <c r="AX174" s="108">
        <v>0</v>
      </c>
      <c r="AY174" s="108">
        <v>1</v>
      </c>
      <c r="AZ174" s="108">
        <v>0</v>
      </c>
      <c r="BA174" s="114">
        <v>1</v>
      </c>
      <c r="BB174" s="20">
        <v>0</v>
      </c>
      <c r="BC174" s="113">
        <v>0</v>
      </c>
      <c r="BD174" s="200" t="str">
        <f>VLOOKUP($A174,'[3]allergenen 6nr'!$A$1:$O$1310,3,FALSE)</f>
        <v>-</v>
      </c>
      <c r="BE174" s="201" t="str">
        <f>VLOOKUP($A174,'[3]allergenen 6nr'!$A$1:$O$1310,4,FALSE)</f>
        <v>-</v>
      </c>
      <c r="BF174" s="201" t="str">
        <f>VLOOKUP($A174,'[3]allergenen 6nr'!$A$1:$O$1310,5,FALSE)</f>
        <v>+</v>
      </c>
      <c r="BG174" s="201" t="str">
        <f>VLOOKUP($A174,'[3]allergenen 6nr'!$A$1:$O$1310,6,FALSE)</f>
        <v>-</v>
      </c>
      <c r="BH174" s="201" t="str">
        <f>VLOOKUP($A174,'[3]allergenen 6nr'!$A$1:$O$1310,7,FALSE)</f>
        <v>+</v>
      </c>
      <c r="BI174" s="201" t="str">
        <f>VLOOKUP($A174,'[3]allergenen 6nr'!$A$1:$O$1310,8,FALSE)</f>
        <v>-</v>
      </c>
      <c r="BJ174" s="201" t="str">
        <f>VLOOKUP($A174,'[3]allergenen 6nr'!$A$1:$O$1310,9,FALSE)</f>
        <v>-</v>
      </c>
      <c r="BK174" s="201" t="str">
        <f>VLOOKUP($A174,'[3]allergenen 6nr'!$A$1:$O$1310,10,FALSE)</f>
        <v>-</v>
      </c>
      <c r="BL174" s="201" t="str">
        <f>VLOOKUP($A174,'[3]allergenen 6nr'!$A$1:$O$1310,11,FALSE)</f>
        <v>-</v>
      </c>
      <c r="BM174" s="201" t="str">
        <f>VLOOKUP($A174,'[3]allergenen 6nr'!$A$1:$O$1310,12,FALSE)</f>
        <v>-</v>
      </c>
      <c r="BN174" s="201" t="str">
        <f>VLOOKUP($A174,'[3]allergenen 6nr'!$A$1:$O$1310,13,FALSE)</f>
        <v>X</v>
      </c>
      <c r="BO174" s="201" t="str">
        <f>VLOOKUP($A174,'[3]allergenen 6nr'!$A$1:$O$1310,14,FALSE)</f>
        <v>-</v>
      </c>
      <c r="BP174" s="202" t="str">
        <f>VLOOKUP($A174,'[3]allergenen 6nr'!$A$1:$O$1310,15,FALSE)</f>
        <v>-</v>
      </c>
    </row>
    <row r="175" spans="1:68" x14ac:dyDescent="0.2">
      <c r="A175" s="89">
        <v>63562600</v>
      </c>
      <c r="B175" s="53" t="str">
        <f>VLOOKUP($A175,[1]maaltijden!$A$1:$IV$65536,4,FALSE)</f>
        <v>DMC VEG BALLETJES ITALIAANSE SAUS VOLK PENNE</v>
      </c>
      <c r="C175" s="46" t="str">
        <f>VLOOKUP($A175,[1]maaltijden!$A$1:$IV$65536,7,FALSE)</f>
        <v>C2227-1H</v>
      </c>
      <c r="D175" s="22" t="str">
        <f>VLOOKUP($A175,[1]maaltijden!$A$1:$IV$65536,10,FALSE)</f>
        <v>NVT</v>
      </c>
      <c r="E175" s="22" t="str">
        <f>VLOOKUP($A175,[1]maaltijden!$A$1:$IV$65536,13,FALSE)</f>
        <v>DMC X 6</v>
      </c>
      <c r="F175" s="20">
        <f t="shared" si="2"/>
        <v>0</v>
      </c>
      <c r="G175" s="20" t="str">
        <f>VLOOKUP($A175,[1]maaltijden!$A$1:$IV$65536,27,FALSE)</f>
        <v>! ! !</v>
      </c>
      <c r="H175" s="22">
        <f>VLOOKUP($A175,[1]maaltijden!$A$1:$IV$65536,21,FALSE)</f>
        <v>7</v>
      </c>
      <c r="I175" s="22">
        <f>VLOOKUP($A175,[1]maaltijden!$A$1:$IV$65536,21,FALSE)</f>
        <v>7</v>
      </c>
      <c r="J175" s="22">
        <f>VLOOKUP($A175,[1]maaltijden!$A$1:$IV$65536,18,FALSE)</f>
        <v>3</v>
      </c>
      <c r="K175" s="22">
        <f>VLOOKUP($A175,[1]maaltijden!$A$1:$IV$65536,17,FALSE)</f>
        <v>3</v>
      </c>
      <c r="L175" s="22">
        <f>VLOOKUP($A175,[1]maaltijden!$A$1:$IV$65536,20,FALSE)</f>
        <v>2200</v>
      </c>
      <c r="M175" s="22">
        <f>VLOOKUP($A175,[1]maaltijden!$A$1:$IV$65536,22,FALSE)</f>
        <v>2200</v>
      </c>
      <c r="N175" s="135"/>
      <c r="O175" s="50"/>
      <c r="P175" s="19">
        <v>0</v>
      </c>
      <c r="Q175" s="20">
        <v>1</v>
      </c>
      <c r="R175" s="21">
        <v>0</v>
      </c>
      <c r="S175" s="19">
        <v>0</v>
      </c>
      <c r="T175" s="20">
        <v>1</v>
      </c>
      <c r="U175" s="19">
        <v>1</v>
      </c>
      <c r="V175" s="20">
        <v>1</v>
      </c>
      <c r="W175" s="20">
        <v>1</v>
      </c>
      <c r="X175" s="20">
        <v>1</v>
      </c>
      <c r="Y175" s="20">
        <v>1</v>
      </c>
      <c r="Z175" s="20">
        <v>0</v>
      </c>
      <c r="AA175" s="20">
        <v>0</v>
      </c>
      <c r="AB175" s="49">
        <v>0</v>
      </c>
      <c r="AC175" s="49">
        <v>0</v>
      </c>
      <c r="AD175" s="49">
        <v>0</v>
      </c>
      <c r="AE175" s="49">
        <v>0</v>
      </c>
      <c r="AF175" s="49">
        <v>0</v>
      </c>
      <c r="AG175" s="173">
        <v>1</v>
      </c>
      <c r="AH175" s="174">
        <v>1</v>
      </c>
      <c r="AI175" s="174">
        <v>0</v>
      </c>
      <c r="AJ175" s="174">
        <v>1</v>
      </c>
      <c r="AK175" s="174">
        <v>0</v>
      </c>
      <c r="AL175" s="175">
        <v>0</v>
      </c>
      <c r="AM175" s="19">
        <v>0</v>
      </c>
      <c r="AN175" s="20">
        <f>IFERROR(INDEX([2]lijnopstellingsfiche!$AP$1:$AP$65536,MATCH(A175,[2]lijnopstellingsfiche!$AQ$1:$AQ$65536,0)),"")</f>
        <v>1</v>
      </c>
      <c r="AO175" s="20">
        <v>1</v>
      </c>
      <c r="AP175" s="20">
        <v>1</v>
      </c>
      <c r="AQ175" s="20">
        <v>1</v>
      </c>
      <c r="AR175" s="20">
        <v>0</v>
      </c>
      <c r="AS175" s="20">
        <v>0</v>
      </c>
      <c r="AT175" s="20">
        <v>0</v>
      </c>
      <c r="AU175" s="20">
        <v>0</v>
      </c>
      <c r="AV175" s="23">
        <v>0</v>
      </c>
      <c r="AW175" s="108">
        <v>0</v>
      </c>
      <c r="AX175" s="108">
        <v>0</v>
      </c>
      <c r="AY175" s="108">
        <v>1</v>
      </c>
      <c r="AZ175" s="108">
        <v>0</v>
      </c>
      <c r="BA175" s="114">
        <v>1</v>
      </c>
      <c r="BB175" s="20">
        <v>0</v>
      </c>
      <c r="BC175" s="113">
        <v>0</v>
      </c>
      <c r="BD175" s="200" t="str">
        <f>VLOOKUP($A175,'[3]allergenen 6nr'!$A$1:$O$1310,3,FALSE)</f>
        <v>-</v>
      </c>
      <c r="BE175" s="201" t="str">
        <f>VLOOKUP($A175,'[3]allergenen 6nr'!$A$1:$O$1310,4,FALSE)</f>
        <v>X</v>
      </c>
      <c r="BF175" s="201" t="str">
        <f>VLOOKUP($A175,'[3]allergenen 6nr'!$A$1:$O$1310,5,FALSE)</f>
        <v>+</v>
      </c>
      <c r="BG175" s="201" t="str">
        <f>VLOOKUP($A175,'[3]allergenen 6nr'!$A$1:$O$1310,6,FALSE)</f>
        <v>X</v>
      </c>
      <c r="BH175" s="201" t="str">
        <f>VLOOKUP($A175,'[3]allergenen 6nr'!$A$1:$O$1310,7,FALSE)</f>
        <v>+</v>
      </c>
      <c r="BI175" s="201" t="str">
        <f>VLOOKUP($A175,'[3]allergenen 6nr'!$A$1:$O$1310,8,FALSE)</f>
        <v>X</v>
      </c>
      <c r="BJ175" s="201" t="str">
        <f>VLOOKUP($A175,'[3]allergenen 6nr'!$A$1:$O$1310,9,FALSE)</f>
        <v>-</v>
      </c>
      <c r="BK175" s="201" t="str">
        <f>VLOOKUP($A175,'[3]allergenen 6nr'!$A$1:$O$1310,10,FALSE)</f>
        <v>X</v>
      </c>
      <c r="BL175" s="201" t="str">
        <f>VLOOKUP($A175,'[3]allergenen 6nr'!$A$1:$O$1310,11,FALSE)</f>
        <v>X</v>
      </c>
      <c r="BM175" s="201" t="str">
        <f>VLOOKUP($A175,'[3]allergenen 6nr'!$A$1:$O$1310,12,FALSE)</f>
        <v>-</v>
      </c>
      <c r="BN175" s="201" t="str">
        <f>VLOOKUP($A175,'[3]allergenen 6nr'!$A$1:$O$1310,13,FALSE)</f>
        <v>X</v>
      </c>
      <c r="BO175" s="201" t="str">
        <f>VLOOKUP($A175,'[3]allergenen 6nr'!$A$1:$O$1310,14,FALSE)</f>
        <v>X</v>
      </c>
      <c r="BP175" s="202" t="str">
        <f>VLOOKUP($A175,'[3]allergenen 6nr'!$A$1:$O$1310,15,FALSE)</f>
        <v>-</v>
      </c>
    </row>
    <row r="176" spans="1:68" x14ac:dyDescent="0.2">
      <c r="A176" s="89">
        <v>63562800</v>
      </c>
      <c r="B176" s="53" t="str">
        <f>VLOOKUP($A176,[1]maaltijden!$A$1:$IV$65536,4,FALSE)</f>
        <v>DMC VEG SPAGHETTI BOLOGNAISE</v>
      </c>
      <c r="C176" s="46" t="str">
        <f>VLOOKUP($A176,[1]maaltijden!$A$1:$IV$65536,7,FALSE)</f>
        <v>C2227-1H</v>
      </c>
      <c r="D176" s="22" t="str">
        <f>VLOOKUP($A176,[1]maaltijden!$A$1:$IV$65536,10,FALSE)</f>
        <v>NVT</v>
      </c>
      <c r="E176" s="22" t="str">
        <f>VLOOKUP($A176,[1]maaltijden!$A$1:$IV$65536,13,FALSE)</f>
        <v>DMC X 6</v>
      </c>
      <c r="F176" s="20">
        <f t="shared" si="2"/>
        <v>0</v>
      </c>
      <c r="G176" s="20" t="str">
        <f>VLOOKUP($A176,[1]maaltijden!$A$1:$IV$65536,27,FALSE)</f>
        <v>! ! !</v>
      </c>
      <c r="H176" s="22">
        <f>VLOOKUP($A176,[1]maaltijden!$A$1:$IV$65536,21,FALSE)</f>
        <v>3</v>
      </c>
      <c r="I176" s="22">
        <f>VLOOKUP($A176,[1]maaltijden!$A$1:$IV$65536,21,FALSE)</f>
        <v>3</v>
      </c>
      <c r="J176" s="22">
        <f>VLOOKUP($A176,[1]maaltijden!$A$1:$IV$65536,18,FALSE)</f>
        <v>3</v>
      </c>
      <c r="K176" s="22">
        <f>VLOOKUP($A176,[1]maaltijden!$A$1:$IV$65536,17,FALSE)</f>
        <v>2</v>
      </c>
      <c r="L176" s="22">
        <f>VLOOKUP($A176,[1]maaltijden!$A$1:$IV$65536,20,FALSE)</f>
        <v>2200</v>
      </c>
      <c r="M176" s="22">
        <f>VLOOKUP($A176,[1]maaltijden!$A$1:$IV$65536,22,FALSE)</f>
        <v>2200</v>
      </c>
      <c r="N176" s="135" t="s">
        <v>380</v>
      </c>
      <c r="O176" s="50" t="s">
        <v>379</v>
      </c>
      <c r="P176" s="19">
        <v>0</v>
      </c>
      <c r="Q176" s="20">
        <v>1</v>
      </c>
      <c r="R176" s="21">
        <v>0</v>
      </c>
      <c r="S176" s="19">
        <v>0</v>
      </c>
      <c r="T176" s="20">
        <v>1</v>
      </c>
      <c r="U176" s="19">
        <v>1</v>
      </c>
      <c r="V176" s="20">
        <v>1</v>
      </c>
      <c r="W176" s="20">
        <v>1</v>
      </c>
      <c r="X176" s="20">
        <v>1</v>
      </c>
      <c r="Y176" s="20">
        <v>1</v>
      </c>
      <c r="Z176" s="20">
        <v>0</v>
      </c>
      <c r="AA176" s="20">
        <v>0</v>
      </c>
      <c r="AB176" s="49">
        <v>0</v>
      </c>
      <c r="AC176" s="49">
        <v>0</v>
      </c>
      <c r="AD176" s="49">
        <v>0</v>
      </c>
      <c r="AE176" s="49">
        <v>0</v>
      </c>
      <c r="AF176" s="49">
        <v>0</v>
      </c>
      <c r="AG176" s="173">
        <v>1</v>
      </c>
      <c r="AH176" s="174">
        <v>1</v>
      </c>
      <c r="AI176" s="174">
        <v>0</v>
      </c>
      <c r="AJ176" s="174">
        <v>0</v>
      </c>
      <c r="AK176" s="174">
        <v>0</v>
      </c>
      <c r="AL176" s="175">
        <v>0</v>
      </c>
      <c r="AM176" s="19">
        <v>0</v>
      </c>
      <c r="AN176" s="20">
        <f>IFERROR(INDEX([2]lijnopstellingsfiche!$AP$1:$AP$65536,MATCH(A176,[2]lijnopstellingsfiche!$AQ$1:$AQ$65536,0)),"")</f>
        <v>1</v>
      </c>
      <c r="AO176" s="20">
        <v>1</v>
      </c>
      <c r="AP176" s="20">
        <v>0</v>
      </c>
      <c r="AQ176" s="20">
        <v>2</v>
      </c>
      <c r="AR176" s="20">
        <v>0</v>
      </c>
      <c r="AS176" s="20">
        <v>0</v>
      </c>
      <c r="AT176" s="20">
        <v>0</v>
      </c>
      <c r="AU176" s="20">
        <v>0</v>
      </c>
      <c r="AV176" s="23">
        <v>0</v>
      </c>
      <c r="AW176" s="108">
        <v>0</v>
      </c>
      <c r="AX176" s="108">
        <v>0</v>
      </c>
      <c r="AY176" s="108">
        <v>1</v>
      </c>
      <c r="AZ176" s="108">
        <v>0</v>
      </c>
      <c r="BA176" s="114">
        <v>1</v>
      </c>
      <c r="BB176" s="20">
        <v>0</v>
      </c>
      <c r="BC176" s="113">
        <v>0</v>
      </c>
      <c r="BD176" s="200" t="str">
        <f>VLOOKUP($A176,'[3]allergenen 6nr'!$A$1:$O$1310,3,FALSE)</f>
        <v>-</v>
      </c>
      <c r="BE176" s="201" t="str">
        <f>VLOOKUP($A176,'[3]allergenen 6nr'!$A$1:$O$1310,4,FALSE)</f>
        <v>X</v>
      </c>
      <c r="BF176" s="201" t="str">
        <f>VLOOKUP($A176,'[3]allergenen 6nr'!$A$1:$O$1310,5,FALSE)</f>
        <v>+</v>
      </c>
      <c r="BG176" s="201" t="str">
        <f>VLOOKUP($A176,'[3]allergenen 6nr'!$A$1:$O$1310,6,FALSE)</f>
        <v>X</v>
      </c>
      <c r="BH176" s="201" t="str">
        <f>VLOOKUP($A176,'[3]allergenen 6nr'!$A$1:$O$1310,7,FALSE)</f>
        <v>X</v>
      </c>
      <c r="BI176" s="201" t="str">
        <f>VLOOKUP($A176,'[3]allergenen 6nr'!$A$1:$O$1310,8,FALSE)</f>
        <v>X</v>
      </c>
      <c r="BJ176" s="201" t="str">
        <f>VLOOKUP($A176,'[3]allergenen 6nr'!$A$1:$O$1310,9,FALSE)</f>
        <v>-</v>
      </c>
      <c r="BK176" s="201" t="str">
        <f>VLOOKUP($A176,'[3]allergenen 6nr'!$A$1:$O$1310,10,FALSE)</f>
        <v>X</v>
      </c>
      <c r="BL176" s="201" t="str">
        <f>VLOOKUP($A176,'[3]allergenen 6nr'!$A$1:$O$1310,11,FALSE)</f>
        <v>+</v>
      </c>
      <c r="BM176" s="201" t="str">
        <f>VLOOKUP($A176,'[3]allergenen 6nr'!$A$1:$O$1310,12,FALSE)</f>
        <v>-</v>
      </c>
      <c r="BN176" s="201" t="str">
        <f>VLOOKUP($A176,'[3]allergenen 6nr'!$A$1:$O$1310,13,FALSE)</f>
        <v>+</v>
      </c>
      <c r="BO176" s="201" t="str">
        <f>VLOOKUP($A176,'[3]allergenen 6nr'!$A$1:$O$1310,14,FALSE)</f>
        <v>X</v>
      </c>
      <c r="BP176" s="202" t="str">
        <f>VLOOKUP($A176,'[3]allergenen 6nr'!$A$1:$O$1310,15,FALSE)</f>
        <v>-</v>
      </c>
    </row>
    <row r="177" spans="1:68" x14ac:dyDescent="0.2">
      <c r="A177" s="89">
        <v>63563000</v>
      </c>
      <c r="B177" s="53" t="str">
        <f>VLOOKUP($A177,[1]maaltijden!$A$1:$IV$65536,4,FALSE)</f>
        <v>DMC VEG TAJINE ZUIDERSE GROENTEN COUSCOUS</v>
      </c>
      <c r="C177" s="46" t="str">
        <f>VLOOKUP($A177,[1]maaltijden!$A$1:$IV$65536,7,FALSE)</f>
        <v>C2227-1H</v>
      </c>
      <c r="D177" s="22" t="str">
        <f>VLOOKUP($A177,[1]maaltijden!$A$1:$IV$65536,10,FALSE)</f>
        <v>NVT</v>
      </c>
      <c r="E177" s="22" t="str">
        <f>VLOOKUP($A177,[1]maaltijden!$A$1:$IV$65536,13,FALSE)</f>
        <v>DMC X 6</v>
      </c>
      <c r="F177" s="20">
        <f t="shared" si="2"/>
        <v>0</v>
      </c>
      <c r="G177" s="20" t="str">
        <f>VLOOKUP($A177,[1]maaltijden!$A$1:$IV$65536,27,FALSE)</f>
        <v>! !</v>
      </c>
      <c r="H177" s="22">
        <f>VLOOKUP($A177,[1]maaltijden!$A$1:$IV$65536,21,FALSE)</f>
        <v>6</v>
      </c>
      <c r="I177" s="22">
        <f>VLOOKUP($A177,[1]maaltijden!$A$1:$IV$65536,21,FALSE)</f>
        <v>6</v>
      </c>
      <c r="J177" s="22">
        <f>VLOOKUP($A177,[1]maaltijden!$A$1:$IV$65536,18,FALSE)</f>
        <v>3</v>
      </c>
      <c r="K177" s="22">
        <f>VLOOKUP($A177,[1]maaltijden!$A$1:$IV$65536,17,FALSE)</f>
        <v>3</v>
      </c>
      <c r="L177" s="22">
        <f>VLOOKUP($A177,[1]maaltijden!$A$1:$IV$65536,20,FALSE)</f>
        <v>2000</v>
      </c>
      <c r="M177" s="22">
        <f>VLOOKUP($A177,[1]maaltijden!$A$1:$IV$65536,22,FALSE)</f>
        <v>2000</v>
      </c>
      <c r="N177" s="135"/>
      <c r="O177" s="50"/>
      <c r="P177" s="19">
        <v>0</v>
      </c>
      <c r="Q177" s="20">
        <v>1</v>
      </c>
      <c r="R177" s="21">
        <v>0</v>
      </c>
      <c r="S177" s="19">
        <v>0</v>
      </c>
      <c r="T177" s="20">
        <v>1</v>
      </c>
      <c r="U177" s="19">
        <v>0</v>
      </c>
      <c r="V177" s="20">
        <v>1</v>
      </c>
      <c r="W177" s="20">
        <v>1</v>
      </c>
      <c r="X177" s="20">
        <v>1</v>
      </c>
      <c r="Y177" s="20">
        <v>1</v>
      </c>
      <c r="Z177" s="20">
        <v>0</v>
      </c>
      <c r="AA177" s="20">
        <v>0</v>
      </c>
      <c r="AB177" s="49">
        <v>0</v>
      </c>
      <c r="AC177" s="49">
        <v>0</v>
      </c>
      <c r="AD177" s="49">
        <v>0</v>
      </c>
      <c r="AE177" s="49">
        <v>1</v>
      </c>
      <c r="AF177" s="49">
        <v>0</v>
      </c>
      <c r="AG177" s="161">
        <v>0</v>
      </c>
      <c r="AH177" s="174">
        <v>1</v>
      </c>
      <c r="AI177" s="174">
        <v>0</v>
      </c>
      <c r="AJ177" s="174">
        <v>1</v>
      </c>
      <c r="AK177" s="174">
        <v>0</v>
      </c>
      <c r="AL177" s="175">
        <v>0</v>
      </c>
      <c r="AM177" s="19">
        <v>0</v>
      </c>
      <c r="AN177" s="20">
        <f>IFERROR(INDEX([2]lijnopstellingsfiche!$AP$1:$AP$65536,MATCH(A177,[2]lijnopstellingsfiche!$AQ$1:$AQ$65536,0)),"")</f>
        <v>2</v>
      </c>
      <c r="AO177" s="20">
        <v>1</v>
      </c>
      <c r="AP177" s="20">
        <v>0</v>
      </c>
      <c r="AQ177" s="20">
        <v>1</v>
      </c>
      <c r="AR177" s="20">
        <v>0</v>
      </c>
      <c r="AS177" s="20">
        <v>0</v>
      </c>
      <c r="AT177" s="20">
        <v>1</v>
      </c>
      <c r="AU177" s="20">
        <v>0</v>
      </c>
      <c r="AV177" s="23">
        <v>0</v>
      </c>
      <c r="AW177" s="108">
        <v>0</v>
      </c>
      <c r="AX177" s="108">
        <v>0</v>
      </c>
      <c r="AY177" s="108">
        <v>1</v>
      </c>
      <c r="AZ177" s="108">
        <v>0</v>
      </c>
      <c r="BA177" s="114">
        <v>1</v>
      </c>
      <c r="BB177" s="20">
        <v>0</v>
      </c>
      <c r="BC177" s="113">
        <v>0</v>
      </c>
      <c r="BD177" s="200" t="str">
        <f>VLOOKUP($A177,'[3]allergenen 6nr'!$A$1:$O$1310,3,FALSE)</f>
        <v>-</v>
      </c>
      <c r="BE177" s="201" t="str">
        <f>VLOOKUP($A177,'[3]allergenen 6nr'!$A$1:$O$1310,4,FALSE)</f>
        <v>-</v>
      </c>
      <c r="BF177" s="201" t="str">
        <f>VLOOKUP($A177,'[3]allergenen 6nr'!$A$1:$O$1310,5,FALSE)</f>
        <v>+</v>
      </c>
      <c r="BG177" s="201" t="str">
        <f>VLOOKUP($A177,'[3]allergenen 6nr'!$A$1:$O$1310,6,FALSE)</f>
        <v>X</v>
      </c>
      <c r="BH177" s="201" t="str">
        <f>VLOOKUP($A177,'[3]allergenen 6nr'!$A$1:$O$1310,7,FALSE)</f>
        <v>X</v>
      </c>
      <c r="BI177" s="201" t="str">
        <f>VLOOKUP($A177,'[3]allergenen 6nr'!$A$1:$O$1310,8,FALSE)</f>
        <v>X</v>
      </c>
      <c r="BJ177" s="201" t="str">
        <f>VLOOKUP($A177,'[3]allergenen 6nr'!$A$1:$O$1310,9,FALSE)</f>
        <v>-</v>
      </c>
      <c r="BK177" s="201" t="str">
        <f>VLOOKUP($A177,'[3]allergenen 6nr'!$A$1:$O$1310,10,FALSE)</f>
        <v>-</v>
      </c>
      <c r="BL177" s="201" t="str">
        <f>VLOOKUP($A177,'[3]allergenen 6nr'!$A$1:$O$1310,11,FALSE)</f>
        <v>+</v>
      </c>
      <c r="BM177" s="201" t="str">
        <f>VLOOKUP($A177,'[3]allergenen 6nr'!$A$1:$O$1310,12,FALSE)</f>
        <v>-</v>
      </c>
      <c r="BN177" s="201" t="str">
        <f>VLOOKUP($A177,'[3]allergenen 6nr'!$A$1:$O$1310,13,FALSE)</f>
        <v>X</v>
      </c>
      <c r="BO177" s="201" t="str">
        <f>VLOOKUP($A177,'[3]allergenen 6nr'!$A$1:$O$1310,14,FALSE)</f>
        <v>-</v>
      </c>
      <c r="BP177" s="202" t="str">
        <f>VLOOKUP($A177,'[3]allergenen 6nr'!$A$1:$O$1310,15,FALSE)</f>
        <v>-</v>
      </c>
    </row>
    <row r="178" spans="1:68" x14ac:dyDescent="0.2">
      <c r="A178" s="89">
        <v>63563200</v>
      </c>
      <c r="B178" s="53" t="str">
        <f>VLOOKUP($A178,[1]maaltijden!$A$1:$IV$65536,4,FALSE)</f>
        <v>DMC VEG VOL AU VENT BOSCHAMPIGNONS PUREE</v>
      </c>
      <c r="C178" s="46" t="str">
        <f>VLOOKUP($A178,[1]maaltijden!$A$1:$IV$65536,7,FALSE)</f>
        <v>C2227-2K</v>
      </c>
      <c r="D178" s="22" t="str">
        <f>VLOOKUP($A178,[1]maaltijden!$A$1:$IV$65536,10,FALSE)</f>
        <v>NVT</v>
      </c>
      <c r="E178" s="22" t="str">
        <f>VLOOKUP($A178,[1]maaltijden!$A$1:$IV$65536,13,FALSE)</f>
        <v>DMC X 6</v>
      </c>
      <c r="F178" s="20">
        <f t="shared" si="2"/>
        <v>0</v>
      </c>
      <c r="G178" s="20" t="str">
        <f>VLOOKUP($A178,[1]maaltijden!$A$1:$IV$65536,27,FALSE)</f>
        <v>! ! !</v>
      </c>
      <c r="H178" s="22">
        <f>VLOOKUP($A178,[1]maaltijden!$A$1:$IV$65536,21,FALSE)</f>
        <v>2</v>
      </c>
      <c r="I178" s="22">
        <f>VLOOKUP($A178,[1]maaltijden!$A$1:$IV$65536,21,FALSE)</f>
        <v>2</v>
      </c>
      <c r="J178" s="22">
        <f>VLOOKUP($A178,[1]maaltijden!$A$1:$IV$65536,18,FALSE)</f>
        <v>3</v>
      </c>
      <c r="K178" s="22">
        <f>VLOOKUP($A178,[1]maaltijden!$A$1:$IV$65536,17,FALSE)</f>
        <v>2</v>
      </c>
      <c r="L178" s="22">
        <f>VLOOKUP($A178,[1]maaltijden!$A$1:$IV$65536,20,FALSE)</f>
        <v>2200</v>
      </c>
      <c r="M178" s="22">
        <f>VLOOKUP($A178,[1]maaltijden!$A$1:$IV$65536,22,FALSE)</f>
        <v>2200</v>
      </c>
      <c r="N178" s="135"/>
      <c r="O178" s="50"/>
      <c r="P178" s="19">
        <v>0</v>
      </c>
      <c r="Q178" s="20">
        <v>1</v>
      </c>
      <c r="R178" s="21">
        <v>0</v>
      </c>
      <c r="S178" s="19">
        <v>0</v>
      </c>
      <c r="T178" s="20">
        <v>1</v>
      </c>
      <c r="U178" s="19">
        <v>1</v>
      </c>
      <c r="V178" s="20">
        <v>1</v>
      </c>
      <c r="W178" s="20">
        <v>1</v>
      </c>
      <c r="X178" s="20">
        <v>1</v>
      </c>
      <c r="Y178" s="20">
        <v>1</v>
      </c>
      <c r="Z178" s="20">
        <v>0</v>
      </c>
      <c r="AA178" s="20">
        <v>0</v>
      </c>
      <c r="AB178" s="49">
        <v>0</v>
      </c>
      <c r="AC178" s="49">
        <v>0</v>
      </c>
      <c r="AD178" s="49">
        <v>0</v>
      </c>
      <c r="AE178" s="49">
        <v>0</v>
      </c>
      <c r="AF178" s="49">
        <v>0</v>
      </c>
      <c r="AG178" s="161">
        <v>0</v>
      </c>
      <c r="AH178" s="162">
        <v>3</v>
      </c>
      <c r="AI178" s="162">
        <v>0</v>
      </c>
      <c r="AJ178" s="162">
        <v>0</v>
      </c>
      <c r="AK178" s="162">
        <v>0</v>
      </c>
      <c r="AL178" s="163">
        <v>0</v>
      </c>
      <c r="AM178" s="19">
        <v>0</v>
      </c>
      <c r="AN178" s="20" t="str">
        <f>IFERROR(INDEX([2]lijnopstellingsfiche!$AP$1:$AP$65536,MATCH(A178,[2]lijnopstellingsfiche!$AQ$1:$AQ$65536,0)),"")</f>
        <v>-</v>
      </c>
      <c r="AO178" s="20">
        <v>0</v>
      </c>
      <c r="AP178" s="20">
        <v>0</v>
      </c>
      <c r="AQ178" s="20">
        <v>1</v>
      </c>
      <c r="AR178" s="20">
        <v>1</v>
      </c>
      <c r="AS178" s="20">
        <v>0</v>
      </c>
      <c r="AT178" s="20">
        <v>1</v>
      </c>
      <c r="AU178" s="20">
        <v>0</v>
      </c>
      <c r="AV178" s="23">
        <v>0</v>
      </c>
      <c r="AW178" s="108">
        <v>0</v>
      </c>
      <c r="AX178" s="108">
        <v>0</v>
      </c>
      <c r="AY178" s="108">
        <v>1</v>
      </c>
      <c r="AZ178" s="108">
        <v>0</v>
      </c>
      <c r="BA178" s="114">
        <v>1</v>
      </c>
      <c r="BB178" s="20">
        <v>0</v>
      </c>
      <c r="BC178" s="113">
        <v>0</v>
      </c>
      <c r="BD178" s="200" t="str">
        <f>VLOOKUP($A178,'[3]allergenen 6nr'!$A$1:$O$1310,3,FALSE)</f>
        <v>-</v>
      </c>
      <c r="BE178" s="201" t="str">
        <f>VLOOKUP($A178,'[3]allergenen 6nr'!$A$1:$O$1310,4,FALSE)</f>
        <v>+</v>
      </c>
      <c r="BF178" s="201" t="str">
        <f>VLOOKUP($A178,'[3]allergenen 6nr'!$A$1:$O$1310,5,FALSE)</f>
        <v>+</v>
      </c>
      <c r="BG178" s="201" t="str">
        <f>VLOOKUP($A178,'[3]allergenen 6nr'!$A$1:$O$1310,6,FALSE)</f>
        <v>X</v>
      </c>
      <c r="BH178" s="201" t="str">
        <f>VLOOKUP($A178,'[3]allergenen 6nr'!$A$1:$O$1310,7,FALSE)</f>
        <v>+</v>
      </c>
      <c r="BI178" s="201" t="str">
        <f>VLOOKUP($A178,'[3]allergenen 6nr'!$A$1:$O$1310,8,FALSE)</f>
        <v>X</v>
      </c>
      <c r="BJ178" s="201" t="str">
        <f>VLOOKUP($A178,'[3]allergenen 6nr'!$A$1:$O$1310,9,FALSE)</f>
        <v>-</v>
      </c>
      <c r="BK178" s="201" t="str">
        <f>VLOOKUP($A178,'[3]allergenen 6nr'!$A$1:$O$1310,10,FALSE)</f>
        <v>-</v>
      </c>
      <c r="BL178" s="201" t="str">
        <f>VLOOKUP($A178,'[3]allergenen 6nr'!$A$1:$O$1310,11,FALSE)</f>
        <v>-</v>
      </c>
      <c r="BM178" s="201" t="str">
        <f>VLOOKUP($A178,'[3]allergenen 6nr'!$A$1:$O$1310,12,FALSE)</f>
        <v>-</v>
      </c>
      <c r="BN178" s="201" t="str">
        <f>VLOOKUP($A178,'[3]allergenen 6nr'!$A$1:$O$1310,13,FALSE)</f>
        <v>+</v>
      </c>
      <c r="BO178" s="201" t="str">
        <f>VLOOKUP($A178,'[3]allergenen 6nr'!$A$1:$O$1310,14,FALSE)</f>
        <v>-</v>
      </c>
      <c r="BP178" s="202" t="str">
        <f>VLOOKUP($A178,'[3]allergenen 6nr'!$A$1:$O$1310,15,FALSE)</f>
        <v>-</v>
      </c>
    </row>
    <row r="179" spans="1:68" x14ac:dyDescent="0.2">
      <c r="A179" s="89">
        <v>63563400</v>
      </c>
      <c r="B179" s="53" t="str">
        <f>VLOOKUP($A179,[1]maaltijden!$A$1:$IV$65536,4,FALSE)</f>
        <v>DMC VEG GROENTEMIX THAI CURRY ZOETE AARD WORTEL</v>
      </c>
      <c r="C179" s="46" t="str">
        <f>VLOOKUP($A179,[1]maaltijden!$A$1:$IV$65536,7,FALSE)</f>
        <v>C2227-2K</v>
      </c>
      <c r="D179" s="22" t="str">
        <f>VLOOKUP($A179,[1]maaltijden!$A$1:$IV$65536,10,FALSE)</f>
        <v>NVT</v>
      </c>
      <c r="E179" s="22" t="str">
        <f>VLOOKUP($A179,[1]maaltijden!$A$1:$IV$65536,13,FALSE)</f>
        <v>DMC X 6</v>
      </c>
      <c r="F179" s="20">
        <f t="shared" si="2"/>
        <v>0</v>
      </c>
      <c r="G179" s="20" t="str">
        <f>VLOOKUP($A179,[1]maaltijden!$A$1:$IV$65536,27,FALSE)</f>
        <v>! ! !</v>
      </c>
      <c r="H179" s="22">
        <f>VLOOKUP($A179,[1]maaltijden!$A$1:$IV$65536,21,FALSE)</f>
        <v>2</v>
      </c>
      <c r="I179" s="22">
        <f>VLOOKUP($A179,[1]maaltijden!$A$1:$IV$65536,21,FALSE)</f>
        <v>2</v>
      </c>
      <c r="J179" s="22">
        <f>VLOOKUP($A179,[1]maaltijden!$A$1:$IV$65536,18,FALSE)</f>
        <v>3</v>
      </c>
      <c r="K179" s="22">
        <f>VLOOKUP($A179,[1]maaltijden!$A$1:$IV$65536,17,FALSE)</f>
        <v>3</v>
      </c>
      <c r="L179" s="22">
        <f>VLOOKUP($A179,[1]maaltijden!$A$1:$IV$65536,20,FALSE)</f>
        <v>2200</v>
      </c>
      <c r="M179" s="22">
        <f>VLOOKUP($A179,[1]maaltijden!$A$1:$IV$65536,22,FALSE)</f>
        <v>2200</v>
      </c>
      <c r="N179" s="135"/>
      <c r="O179" s="50"/>
      <c r="P179" s="19">
        <v>0</v>
      </c>
      <c r="Q179" s="20">
        <v>1</v>
      </c>
      <c r="R179" s="21">
        <v>0</v>
      </c>
      <c r="S179" s="19">
        <v>0</v>
      </c>
      <c r="T179" s="20">
        <v>1</v>
      </c>
      <c r="U179" s="19">
        <v>1</v>
      </c>
      <c r="V179" s="20">
        <v>1</v>
      </c>
      <c r="W179" s="20">
        <v>1</v>
      </c>
      <c r="X179" s="20">
        <v>1</v>
      </c>
      <c r="Y179" s="20">
        <v>1</v>
      </c>
      <c r="Z179" s="20">
        <v>0</v>
      </c>
      <c r="AA179" s="20">
        <v>0</v>
      </c>
      <c r="AB179" s="49">
        <v>0</v>
      </c>
      <c r="AC179" s="49">
        <v>0</v>
      </c>
      <c r="AD179" s="49">
        <v>0</v>
      </c>
      <c r="AE179" s="49">
        <v>0</v>
      </c>
      <c r="AF179" s="49">
        <v>0</v>
      </c>
      <c r="AG179" s="161">
        <v>0</v>
      </c>
      <c r="AH179" s="174">
        <v>1</v>
      </c>
      <c r="AI179" s="174">
        <v>1</v>
      </c>
      <c r="AJ179" s="174">
        <v>1</v>
      </c>
      <c r="AK179" s="174">
        <v>0</v>
      </c>
      <c r="AL179" s="175">
        <v>0</v>
      </c>
      <c r="AM179" s="19">
        <v>0</v>
      </c>
      <c r="AN179" s="20" t="str">
        <f>IFERROR(INDEX([2]lijnopstellingsfiche!$AP$1:$AP$65536,MATCH(A179,[2]lijnopstellingsfiche!$AQ$1:$AQ$65536,0)),"")</f>
        <v>-</v>
      </c>
      <c r="AO179" s="20">
        <v>0</v>
      </c>
      <c r="AP179" s="20">
        <v>0</v>
      </c>
      <c r="AQ179" s="20">
        <v>1</v>
      </c>
      <c r="AR179" s="20">
        <v>1</v>
      </c>
      <c r="AS179" s="20">
        <v>0</v>
      </c>
      <c r="AT179" s="20">
        <v>1</v>
      </c>
      <c r="AU179" s="20">
        <v>0</v>
      </c>
      <c r="AV179" s="23">
        <v>0</v>
      </c>
      <c r="AW179" s="108">
        <v>0</v>
      </c>
      <c r="AX179" s="108">
        <v>0</v>
      </c>
      <c r="AY179" s="108">
        <v>1</v>
      </c>
      <c r="AZ179" s="108">
        <v>0</v>
      </c>
      <c r="BA179" s="114">
        <v>1</v>
      </c>
      <c r="BB179" s="20">
        <v>0</v>
      </c>
      <c r="BC179" s="113">
        <v>0</v>
      </c>
      <c r="BD179" s="200" t="str">
        <f>VLOOKUP($A179,'[3]allergenen 6nr'!$A$1:$O$1310,3,FALSE)</f>
        <v>-</v>
      </c>
      <c r="BE179" s="201" t="str">
        <f>VLOOKUP($A179,'[3]allergenen 6nr'!$A$1:$O$1310,4,FALSE)</f>
        <v>-</v>
      </c>
      <c r="BF179" s="201" t="str">
        <f>VLOOKUP($A179,'[3]allergenen 6nr'!$A$1:$O$1310,5,FALSE)</f>
        <v>-</v>
      </c>
      <c r="BG179" s="201" t="str">
        <f>VLOOKUP($A179,'[3]allergenen 6nr'!$A$1:$O$1310,6,FALSE)</f>
        <v>-</v>
      </c>
      <c r="BH179" s="201" t="str">
        <f>VLOOKUP($A179,'[3]allergenen 6nr'!$A$1:$O$1310,7,FALSE)</f>
        <v>-</v>
      </c>
      <c r="BI179" s="201" t="str">
        <f>VLOOKUP($A179,'[3]allergenen 6nr'!$A$1:$O$1310,8,FALSE)</f>
        <v>-</v>
      </c>
      <c r="BJ179" s="201" t="str">
        <f>VLOOKUP($A179,'[3]allergenen 6nr'!$A$1:$O$1310,9,FALSE)</f>
        <v>-</v>
      </c>
      <c r="BK179" s="201" t="str">
        <f>VLOOKUP($A179,'[3]allergenen 6nr'!$A$1:$O$1310,10,FALSE)</f>
        <v>-</v>
      </c>
      <c r="BL179" s="201" t="str">
        <f>VLOOKUP($A179,'[3]allergenen 6nr'!$A$1:$O$1310,11,FALSE)</f>
        <v>+</v>
      </c>
      <c r="BM179" s="201" t="str">
        <f>VLOOKUP($A179,'[3]allergenen 6nr'!$A$1:$O$1310,12,FALSE)</f>
        <v>-</v>
      </c>
      <c r="BN179" s="201" t="str">
        <f>VLOOKUP($A179,'[3]allergenen 6nr'!$A$1:$O$1310,13,FALSE)</f>
        <v>+</v>
      </c>
      <c r="BO179" s="201" t="str">
        <f>VLOOKUP($A179,'[3]allergenen 6nr'!$A$1:$O$1310,14,FALSE)</f>
        <v>-</v>
      </c>
      <c r="BP179" s="202" t="str">
        <f>VLOOKUP($A179,'[3]allergenen 6nr'!$A$1:$O$1310,15,FALSE)</f>
        <v>-</v>
      </c>
    </row>
    <row r="180" spans="1:68" x14ac:dyDescent="0.2">
      <c r="A180" s="89">
        <v>63563500</v>
      </c>
      <c r="B180" s="53" t="str">
        <f>VLOOKUP($A180,[1]maaltijden!$A$1:$IV$65536,4,FALSE)</f>
        <v xml:space="preserve">DMC VEG OMELET KAASSAUS WORTELTJES GEBAK. AARDAP.     </v>
      </c>
      <c r="C180" s="46" t="str">
        <f>VLOOKUP($A180,[1]maaltijden!$A$1:$IV$65536,7,FALSE)</f>
        <v>C2227-3R</v>
      </c>
      <c r="D180" s="22" t="str">
        <f>VLOOKUP($A180,[1]maaltijden!$A$1:$IV$65536,10,FALSE)</f>
        <v>NVT</v>
      </c>
      <c r="E180" s="22" t="str">
        <f>VLOOKUP($A180,[1]maaltijden!$A$1:$IV$65536,13,FALSE)</f>
        <v>DMC X 6</v>
      </c>
      <c r="F180" s="20">
        <f t="shared" si="2"/>
        <v>0</v>
      </c>
      <c r="G180" s="20" t="str">
        <f>VLOOKUP($A180,[1]maaltijden!$A$1:$IV$65536,27,FALSE)</f>
        <v>! !</v>
      </c>
      <c r="H180" s="22">
        <f>VLOOKUP($A180,[1]maaltijden!$A$1:$IV$65536,21,FALSE)</f>
        <v>6</v>
      </c>
      <c r="I180" s="22">
        <f>VLOOKUP($A180,[1]maaltijden!$A$1:$IV$65536,21,FALSE)</f>
        <v>6</v>
      </c>
      <c r="J180" s="22">
        <f>VLOOKUP($A180,[1]maaltijden!$A$1:$IV$65536,18,FALSE)</f>
        <v>3</v>
      </c>
      <c r="K180" s="22">
        <f>VLOOKUP($A180,[1]maaltijden!$A$1:$IV$65536,17,FALSE)</f>
        <v>2</v>
      </c>
      <c r="L180" s="22">
        <f>VLOOKUP($A180,[1]maaltijden!$A$1:$IV$65536,20,FALSE)</f>
        <v>2000</v>
      </c>
      <c r="M180" s="22">
        <f>VLOOKUP($A180,[1]maaltijden!$A$1:$IV$65536,22,FALSE)</f>
        <v>2000</v>
      </c>
      <c r="N180" s="135"/>
      <c r="O180" s="50"/>
      <c r="P180" s="19">
        <v>0</v>
      </c>
      <c r="Q180" s="20">
        <v>1</v>
      </c>
      <c r="R180" s="21">
        <v>0</v>
      </c>
      <c r="S180" s="19">
        <v>0</v>
      </c>
      <c r="T180" s="20">
        <v>1</v>
      </c>
      <c r="U180" s="19">
        <v>1</v>
      </c>
      <c r="V180" s="20">
        <v>1</v>
      </c>
      <c r="W180" s="20">
        <v>1</v>
      </c>
      <c r="X180" s="20">
        <v>1</v>
      </c>
      <c r="Y180" s="20">
        <v>1</v>
      </c>
      <c r="Z180" s="20">
        <v>0</v>
      </c>
      <c r="AA180" s="20">
        <v>0</v>
      </c>
      <c r="AB180" s="49">
        <v>0</v>
      </c>
      <c r="AC180" s="49">
        <v>0</v>
      </c>
      <c r="AD180" s="49">
        <v>0</v>
      </c>
      <c r="AE180" s="49">
        <v>0</v>
      </c>
      <c r="AF180" s="49">
        <v>0</v>
      </c>
      <c r="AG180" s="173">
        <v>0</v>
      </c>
      <c r="AH180" s="174">
        <v>1</v>
      </c>
      <c r="AI180" s="174">
        <v>1</v>
      </c>
      <c r="AJ180" s="174">
        <v>0</v>
      </c>
      <c r="AK180" s="174">
        <v>0</v>
      </c>
      <c r="AL180" s="175">
        <v>0</v>
      </c>
      <c r="AM180" s="19">
        <v>0</v>
      </c>
      <c r="AN180" s="20" t="str">
        <f>IFERROR(INDEX([2]lijnopstellingsfiche!$AP$1:$AP$65536,MATCH(A180,[2]lijnopstellingsfiche!$AQ$1:$AQ$65536,0)),"")</f>
        <v>-</v>
      </c>
      <c r="AO180" s="20">
        <v>0</v>
      </c>
      <c r="AP180" s="20">
        <v>0</v>
      </c>
      <c r="AQ180" s="20">
        <v>1</v>
      </c>
      <c r="AR180" s="20">
        <v>0</v>
      </c>
      <c r="AS180" s="20">
        <v>0</v>
      </c>
      <c r="AT180" s="20">
        <v>0</v>
      </c>
      <c r="AU180" s="20">
        <v>0</v>
      </c>
      <c r="AV180" s="23">
        <v>0</v>
      </c>
      <c r="AW180" s="108">
        <v>0</v>
      </c>
      <c r="AX180" s="108">
        <v>0</v>
      </c>
      <c r="AY180" s="108">
        <v>1</v>
      </c>
      <c r="AZ180" s="108">
        <v>0</v>
      </c>
      <c r="BA180" s="114">
        <v>1</v>
      </c>
      <c r="BB180" s="20">
        <v>0</v>
      </c>
      <c r="BC180" s="113">
        <v>0</v>
      </c>
      <c r="BD180" s="200" t="str">
        <f>VLOOKUP($A180,'[3]allergenen 6nr'!$A$1:$O$1310,3,FALSE)</f>
        <v>-</v>
      </c>
      <c r="BE180" s="201" t="str">
        <f>VLOOKUP($A180,'[3]allergenen 6nr'!$A$1:$O$1310,4,FALSE)</f>
        <v>+</v>
      </c>
      <c r="BF180" s="201" t="str">
        <f>VLOOKUP($A180,'[3]allergenen 6nr'!$A$1:$O$1310,5,FALSE)</f>
        <v>-</v>
      </c>
      <c r="BG180" s="201" t="str">
        <f>VLOOKUP($A180,'[3]allergenen 6nr'!$A$1:$O$1310,6,FALSE)</f>
        <v>-</v>
      </c>
      <c r="BH180" s="201" t="str">
        <f>VLOOKUP($A180,'[3]allergenen 6nr'!$A$1:$O$1310,7,FALSE)</f>
        <v>+</v>
      </c>
      <c r="BI180" s="201" t="str">
        <f>VLOOKUP($A180,'[3]allergenen 6nr'!$A$1:$O$1310,8,FALSE)</f>
        <v>-</v>
      </c>
      <c r="BJ180" s="201" t="str">
        <f>VLOOKUP($A180,'[3]allergenen 6nr'!$A$1:$O$1310,9,FALSE)</f>
        <v>-</v>
      </c>
      <c r="BK180" s="201" t="str">
        <f>VLOOKUP($A180,'[3]allergenen 6nr'!$A$1:$O$1310,10,FALSE)</f>
        <v>-</v>
      </c>
      <c r="BL180" s="201" t="str">
        <f>VLOOKUP($A180,'[3]allergenen 6nr'!$A$1:$O$1310,11,FALSE)</f>
        <v>-</v>
      </c>
      <c r="BM180" s="201" t="str">
        <f>VLOOKUP($A180,'[3]allergenen 6nr'!$A$1:$O$1310,12,FALSE)</f>
        <v>-</v>
      </c>
      <c r="BN180" s="201" t="str">
        <f>VLOOKUP($A180,'[3]allergenen 6nr'!$A$1:$O$1310,13,FALSE)</f>
        <v>-</v>
      </c>
      <c r="BO180" s="201" t="str">
        <f>VLOOKUP($A180,'[3]allergenen 6nr'!$A$1:$O$1310,14,FALSE)</f>
        <v>-</v>
      </c>
      <c r="BP180" s="202" t="str">
        <f>VLOOKUP($A180,'[3]allergenen 6nr'!$A$1:$O$1310,15,FALSE)</f>
        <v>-</v>
      </c>
    </row>
    <row r="181" spans="1:68" x14ac:dyDescent="0.2">
      <c r="A181" s="89">
        <v>63563600</v>
      </c>
      <c r="B181" s="53" t="str">
        <f>VLOOKUP($A181,[1]maaltijden!$A$1:$IV$65536,4,FALSE)</f>
        <v>DMC RAVIOLI TRUFFEL BOSCHAMPIGNON BROCCOLI</v>
      </c>
      <c r="C181" s="46" t="str">
        <f>VLOOKUP($A181,[1]maaltijden!$A$1:$IV$65536,7,FALSE)</f>
        <v>C2227-1H</v>
      </c>
      <c r="D181" s="22" t="str">
        <f>VLOOKUP($A181,[1]maaltijden!$A$1:$IV$65536,10,FALSE)</f>
        <v>NVT</v>
      </c>
      <c r="E181" s="22" t="str">
        <f>VLOOKUP($A181,[1]maaltijden!$A$1:$IV$65536,13,FALSE)</f>
        <v>DMC X 6</v>
      </c>
      <c r="F181" s="20">
        <f t="shared" si="2"/>
        <v>0</v>
      </c>
      <c r="G181" s="20" t="str">
        <f>VLOOKUP($A181,[1]maaltijden!$A$1:$IV$65536,27,FALSE)</f>
        <v>! ! !</v>
      </c>
      <c r="H181" s="22">
        <f>VLOOKUP($A181,[1]maaltijden!$A$1:$IV$65536,21,FALSE)</f>
        <v>4</v>
      </c>
      <c r="I181" s="22">
        <f>VLOOKUP($A181,[1]maaltijden!$A$1:$IV$65536,21,FALSE)</f>
        <v>4</v>
      </c>
      <c r="J181" s="22">
        <f>VLOOKUP($A181,[1]maaltijden!$A$1:$IV$65536,18,FALSE)</f>
        <v>3</v>
      </c>
      <c r="K181" s="22">
        <f>VLOOKUP($A181,[1]maaltijden!$A$1:$IV$65536,17,FALSE)</f>
        <v>1</v>
      </c>
      <c r="L181" s="22">
        <f>VLOOKUP($A181,[1]maaltijden!$A$1:$IV$65536,20,FALSE)</f>
        <v>2000</v>
      </c>
      <c r="M181" s="22">
        <f>VLOOKUP($A181,[1]maaltijden!$A$1:$IV$65536,22,FALSE)</f>
        <v>2000</v>
      </c>
      <c r="N181" s="135"/>
      <c r="O181" s="50"/>
      <c r="P181" s="19">
        <v>0</v>
      </c>
      <c r="Q181" s="20">
        <v>1</v>
      </c>
      <c r="R181" s="21">
        <v>0</v>
      </c>
      <c r="S181" s="19">
        <v>0</v>
      </c>
      <c r="T181" s="20">
        <v>1</v>
      </c>
      <c r="U181" s="19">
        <v>1</v>
      </c>
      <c r="V181" s="20">
        <v>1</v>
      </c>
      <c r="W181" s="20">
        <v>1</v>
      </c>
      <c r="X181" s="20">
        <v>1</v>
      </c>
      <c r="Y181" s="20">
        <v>1</v>
      </c>
      <c r="Z181" s="20">
        <v>0</v>
      </c>
      <c r="AA181" s="20">
        <v>0</v>
      </c>
      <c r="AB181" s="49">
        <v>0</v>
      </c>
      <c r="AC181" s="49">
        <v>0</v>
      </c>
      <c r="AD181" s="49">
        <v>0</v>
      </c>
      <c r="AE181" s="49">
        <v>0</v>
      </c>
      <c r="AF181" s="49">
        <v>0</v>
      </c>
      <c r="AG181" s="161">
        <v>0</v>
      </c>
      <c r="AH181" s="162">
        <v>1</v>
      </c>
      <c r="AI181" s="162">
        <v>0</v>
      </c>
      <c r="AJ181" s="162">
        <v>0</v>
      </c>
      <c r="AK181" s="162">
        <v>0</v>
      </c>
      <c r="AL181" s="163">
        <v>0</v>
      </c>
      <c r="AM181" s="19">
        <v>0</v>
      </c>
      <c r="AN181" s="20">
        <f>IFERROR(INDEX([2]lijnopstellingsfiche!$AP$1:$AP$65536,MATCH(A181,[2]lijnopstellingsfiche!$AQ$1:$AQ$65536,0)),"")</f>
        <v>1</v>
      </c>
      <c r="AO181" s="20">
        <v>0</v>
      </c>
      <c r="AP181" s="20">
        <v>0</v>
      </c>
      <c r="AQ181" s="20">
        <v>1</v>
      </c>
      <c r="AR181" s="20">
        <v>0</v>
      </c>
      <c r="AS181" s="20">
        <v>0</v>
      </c>
      <c r="AT181" s="20">
        <v>1</v>
      </c>
      <c r="AU181" s="20">
        <v>0</v>
      </c>
      <c r="AV181" s="23">
        <v>0</v>
      </c>
      <c r="AW181" s="108">
        <v>0</v>
      </c>
      <c r="AX181" s="108">
        <v>0</v>
      </c>
      <c r="AY181" s="108">
        <v>1</v>
      </c>
      <c r="AZ181" s="108">
        <v>0</v>
      </c>
      <c r="BA181" s="114">
        <v>1</v>
      </c>
      <c r="BB181" s="20">
        <v>0</v>
      </c>
      <c r="BC181" s="113">
        <v>0</v>
      </c>
      <c r="BD181" s="200" t="str">
        <f>VLOOKUP($A181,'[3]allergenen 6nr'!$A$1:$O$1310,3,FALSE)</f>
        <v>-</v>
      </c>
      <c r="BE181" s="201" t="str">
        <f>VLOOKUP($A181,'[3]allergenen 6nr'!$A$1:$O$1310,4,FALSE)</f>
        <v>+</v>
      </c>
      <c r="BF181" s="201" t="str">
        <f>VLOOKUP($A181,'[3]allergenen 6nr'!$A$1:$O$1310,5,FALSE)</f>
        <v>+</v>
      </c>
      <c r="BG181" s="201" t="str">
        <f>VLOOKUP($A181,'[3]allergenen 6nr'!$A$1:$O$1310,6,FALSE)</f>
        <v>X</v>
      </c>
      <c r="BH181" s="201" t="str">
        <f>VLOOKUP($A181,'[3]allergenen 6nr'!$A$1:$O$1310,7,FALSE)</f>
        <v>+</v>
      </c>
      <c r="BI181" s="201" t="str">
        <f>VLOOKUP($A181,'[3]allergenen 6nr'!$A$1:$O$1310,8,FALSE)</f>
        <v>X</v>
      </c>
      <c r="BJ181" s="201" t="str">
        <f>VLOOKUP($A181,'[3]allergenen 6nr'!$A$1:$O$1310,9,FALSE)</f>
        <v>-</v>
      </c>
      <c r="BK181" s="201" t="str">
        <f>VLOOKUP($A181,'[3]allergenen 6nr'!$A$1:$O$1310,10,FALSE)</f>
        <v>-</v>
      </c>
      <c r="BL181" s="201" t="str">
        <f>VLOOKUP($A181,'[3]allergenen 6nr'!$A$1:$O$1310,11,FALSE)</f>
        <v>+</v>
      </c>
      <c r="BM181" s="201" t="str">
        <f>VLOOKUP($A181,'[3]allergenen 6nr'!$A$1:$O$1310,12,FALSE)</f>
        <v>-</v>
      </c>
      <c r="BN181" s="201" t="str">
        <f>VLOOKUP($A181,'[3]allergenen 6nr'!$A$1:$O$1310,13,FALSE)</f>
        <v>X</v>
      </c>
      <c r="BO181" s="201" t="str">
        <f>VLOOKUP($A181,'[3]allergenen 6nr'!$A$1:$O$1310,14,FALSE)</f>
        <v>-</v>
      </c>
      <c r="BP181" s="202" t="str">
        <f>VLOOKUP($A181,'[3]allergenen 6nr'!$A$1:$O$1310,15,FALSE)</f>
        <v>-</v>
      </c>
    </row>
    <row r="182" spans="1:68" x14ac:dyDescent="0.2">
      <c r="A182" s="89">
        <v>63563700</v>
      </c>
      <c r="B182" s="53" t="str">
        <f>VLOOKUP($A182,[1]maaltijden!$A$1:$IV$65536,4,FALSE)</f>
        <v>DMC VEG INDISCHE CURRY RIJST MET GROENTEN</v>
      </c>
      <c r="C182" s="46" t="str">
        <f>VLOOKUP($A182,[1]maaltijden!$A$1:$IV$65536,7,FALSE)</f>
        <v>C2227-2K</v>
      </c>
      <c r="D182" s="22" t="str">
        <f>VLOOKUP($A182,[1]maaltijden!$A$1:$IV$65536,10,FALSE)</f>
        <v>NVT</v>
      </c>
      <c r="E182" s="22" t="str">
        <f>VLOOKUP($A182,[1]maaltijden!$A$1:$IV$65536,13,FALSE)</f>
        <v>DMC X 6</v>
      </c>
      <c r="F182" s="20">
        <f t="shared" si="2"/>
        <v>0</v>
      </c>
      <c r="G182" s="20" t="str">
        <f>VLOOKUP($A182,[1]maaltijden!$A$1:$IV$65536,27,FALSE)</f>
        <v>! ! ! ! !</v>
      </c>
      <c r="H182" s="22">
        <f>VLOOKUP($A182,[1]maaltijden!$A$1:$IV$65536,21,FALSE)</f>
        <v>6</v>
      </c>
      <c r="I182" s="22">
        <f>VLOOKUP($A182,[1]maaltijden!$A$1:$IV$65536,21,FALSE)</f>
        <v>6</v>
      </c>
      <c r="J182" s="22">
        <f>VLOOKUP($A182,[1]maaltijden!$A$1:$IV$65536,18,FALSE)</f>
        <v>3</v>
      </c>
      <c r="K182" s="22">
        <f>VLOOKUP($A182,[1]maaltijden!$A$1:$IV$65536,17,FALSE)</f>
        <v>2</v>
      </c>
      <c r="L182" s="22">
        <f>VLOOKUP($A182,[1]maaltijden!$A$1:$IV$65536,20,FALSE)</f>
        <v>2200</v>
      </c>
      <c r="M182" s="22">
        <f>VLOOKUP($A182,[1]maaltijden!$A$1:$IV$65536,22,FALSE)</f>
        <v>2200</v>
      </c>
      <c r="N182" s="135"/>
      <c r="O182" s="50"/>
      <c r="P182" s="19">
        <v>0</v>
      </c>
      <c r="Q182" s="20">
        <v>1</v>
      </c>
      <c r="R182" s="21">
        <v>0</v>
      </c>
      <c r="S182" s="19">
        <v>0</v>
      </c>
      <c r="T182" s="20">
        <v>1</v>
      </c>
      <c r="U182" s="19">
        <v>1</v>
      </c>
      <c r="V182" s="20">
        <v>1</v>
      </c>
      <c r="W182" s="20">
        <v>1</v>
      </c>
      <c r="X182" s="20">
        <v>1</v>
      </c>
      <c r="Y182" s="20">
        <v>1</v>
      </c>
      <c r="Z182" s="20">
        <v>0</v>
      </c>
      <c r="AA182" s="20">
        <v>0</v>
      </c>
      <c r="AB182" s="49">
        <v>0</v>
      </c>
      <c r="AC182" s="49">
        <v>0</v>
      </c>
      <c r="AD182" s="49">
        <v>0</v>
      </c>
      <c r="AE182" s="49">
        <v>0</v>
      </c>
      <c r="AF182" s="49">
        <v>0</v>
      </c>
      <c r="AG182" s="192">
        <v>1</v>
      </c>
      <c r="AH182" s="182">
        <v>1</v>
      </c>
      <c r="AI182" s="182">
        <v>0</v>
      </c>
      <c r="AJ182" s="182">
        <v>1</v>
      </c>
      <c r="AK182" s="182">
        <v>0</v>
      </c>
      <c r="AL182" s="183">
        <v>0</v>
      </c>
      <c r="AM182" s="19">
        <v>1</v>
      </c>
      <c r="AN182" s="20">
        <f>IFERROR(INDEX([2]lijnopstellingsfiche!$AP$1:$AP$65536,MATCH(A182,[2]lijnopstellingsfiche!$AQ$1:$AQ$65536,0)),"")</f>
        <v>1</v>
      </c>
      <c r="AO182" s="20">
        <v>0</v>
      </c>
      <c r="AP182" s="20">
        <v>0</v>
      </c>
      <c r="AQ182" s="20">
        <v>1</v>
      </c>
      <c r="AR182" s="20">
        <v>0</v>
      </c>
      <c r="AS182" s="20">
        <v>0</v>
      </c>
      <c r="AT182" s="20">
        <v>1</v>
      </c>
      <c r="AU182" s="20">
        <v>0</v>
      </c>
      <c r="AV182" s="23">
        <v>0</v>
      </c>
      <c r="AW182" s="108">
        <v>0</v>
      </c>
      <c r="AX182" s="108">
        <v>0</v>
      </c>
      <c r="AY182" s="108">
        <v>1</v>
      </c>
      <c r="AZ182" s="108">
        <v>0</v>
      </c>
      <c r="BA182" s="114">
        <v>1</v>
      </c>
      <c r="BB182" s="20">
        <v>0</v>
      </c>
      <c r="BC182" s="113">
        <v>0</v>
      </c>
      <c r="BD182" s="200" t="e">
        <f>VLOOKUP($A182,'[3]allergenen 6nr'!$A$1:$O$1310,3,FALSE)</f>
        <v>#N/A</v>
      </c>
      <c r="BE182" s="201" t="e">
        <f>VLOOKUP($A182,'[3]allergenen 6nr'!$A$1:$O$1310,4,FALSE)</f>
        <v>#N/A</v>
      </c>
      <c r="BF182" s="201" t="e">
        <f>VLOOKUP($A182,'[3]allergenen 6nr'!$A$1:$O$1310,5,FALSE)</f>
        <v>#N/A</v>
      </c>
      <c r="BG182" s="201" t="e">
        <f>VLOOKUP($A182,'[3]allergenen 6nr'!$A$1:$O$1310,6,FALSE)</f>
        <v>#N/A</v>
      </c>
      <c r="BH182" s="201" t="e">
        <f>VLOOKUP($A182,'[3]allergenen 6nr'!$A$1:$O$1310,7,FALSE)</f>
        <v>#N/A</v>
      </c>
      <c r="BI182" s="201" t="e">
        <f>VLOOKUP($A182,'[3]allergenen 6nr'!$A$1:$O$1310,8,FALSE)</f>
        <v>#N/A</v>
      </c>
      <c r="BJ182" s="201" t="e">
        <f>VLOOKUP($A182,'[3]allergenen 6nr'!$A$1:$O$1310,9,FALSE)</f>
        <v>#N/A</v>
      </c>
      <c r="BK182" s="201" t="e">
        <f>VLOOKUP($A182,'[3]allergenen 6nr'!$A$1:$O$1310,10,FALSE)</f>
        <v>#N/A</v>
      </c>
      <c r="BL182" s="201" t="e">
        <f>VLOOKUP($A182,'[3]allergenen 6nr'!$A$1:$O$1310,11,FALSE)</f>
        <v>#N/A</v>
      </c>
      <c r="BM182" s="201" t="e">
        <f>VLOOKUP($A182,'[3]allergenen 6nr'!$A$1:$O$1310,12,FALSE)</f>
        <v>#N/A</v>
      </c>
      <c r="BN182" s="201" t="e">
        <f>VLOOKUP($A182,'[3]allergenen 6nr'!$A$1:$O$1310,13,FALSE)</f>
        <v>#N/A</v>
      </c>
      <c r="BO182" s="201" t="e">
        <f>VLOOKUP($A182,'[3]allergenen 6nr'!$A$1:$O$1310,14,FALSE)</f>
        <v>#N/A</v>
      </c>
      <c r="BP182" s="202" t="e">
        <f>VLOOKUP($A182,'[3]allergenen 6nr'!$A$1:$O$1310,15,FALSE)</f>
        <v>#N/A</v>
      </c>
    </row>
    <row r="183" spans="1:68" x14ac:dyDescent="0.2">
      <c r="A183" s="126">
        <v>63563800</v>
      </c>
      <c r="B183" s="53" t="str">
        <f>VLOOKUP($A183,[1]maaltijden!$A$1:$IV$65536,4,FALSE)</f>
        <v>DMC VEG DUO RISOTTO GORGONZOLA ASPERGE</v>
      </c>
      <c r="C183" s="46" t="str">
        <f>VLOOKUP($A183,[1]maaltijden!$A$1:$IV$65536,7,FALSE)</f>
        <v>C2227-1H</v>
      </c>
      <c r="D183" s="22" t="str">
        <f>VLOOKUP($A183,[1]maaltijden!$A$1:$IV$65536,10,FALSE)</f>
        <v>NVT</v>
      </c>
      <c r="E183" s="22" t="str">
        <f>VLOOKUP($A183,[1]maaltijden!$A$1:$IV$65536,13,FALSE)</f>
        <v>DMC X 6</v>
      </c>
      <c r="F183" s="20">
        <f t="shared" si="2"/>
        <v>0</v>
      </c>
      <c r="G183" s="20" t="str">
        <f>VLOOKUP($A183,[1]maaltijden!$A$1:$IV$65536,27,FALSE)</f>
        <v>! ! !</v>
      </c>
      <c r="H183" s="22">
        <f>VLOOKUP($A183,[1]maaltijden!$A$1:$IV$65536,21,FALSE)</f>
        <v>5</v>
      </c>
      <c r="I183" s="22">
        <f>VLOOKUP($A183,[1]maaltijden!$A$1:$IV$65536,21,FALSE)</f>
        <v>5</v>
      </c>
      <c r="J183" s="22">
        <f>VLOOKUP($A183,[1]maaltijden!$A$1:$IV$65536,18,FALSE)</f>
        <v>0</v>
      </c>
      <c r="K183" s="22">
        <f>VLOOKUP($A183,[1]maaltijden!$A$1:$IV$65536,17,FALSE)</f>
        <v>0</v>
      </c>
      <c r="L183" s="22">
        <f>VLOOKUP($A183,[1]maaltijden!$A$1:$IV$65536,20,FALSE)</f>
        <v>2000</v>
      </c>
      <c r="M183" s="22">
        <f>VLOOKUP($A183,[1]maaltijden!$A$1:$IV$65536,22,FALSE)</f>
        <v>2000</v>
      </c>
      <c r="N183" s="135"/>
      <c r="O183" s="50">
        <v>63953100</v>
      </c>
      <c r="P183" s="19">
        <v>0</v>
      </c>
      <c r="Q183" s="20">
        <v>1</v>
      </c>
      <c r="R183" s="21">
        <v>0</v>
      </c>
      <c r="S183" s="19">
        <v>0</v>
      </c>
      <c r="T183" s="20">
        <v>1</v>
      </c>
      <c r="U183" s="19"/>
      <c r="V183" s="20"/>
      <c r="W183" s="20"/>
      <c r="X183" s="20"/>
      <c r="Y183" s="20"/>
      <c r="Z183" s="20"/>
      <c r="AA183" s="20"/>
      <c r="AB183" s="49"/>
      <c r="AC183" s="49"/>
      <c r="AD183" s="49"/>
      <c r="AE183" s="49"/>
      <c r="AF183" s="49"/>
      <c r="AG183" s="19"/>
      <c r="AH183" s="20"/>
      <c r="AI183" s="20"/>
      <c r="AJ183" s="20"/>
      <c r="AK183" s="20"/>
      <c r="AL183" s="21"/>
      <c r="AM183" s="19"/>
      <c r="AN183" s="20"/>
      <c r="AO183" s="20"/>
      <c r="AP183" s="20"/>
      <c r="AQ183" s="20"/>
      <c r="AR183" s="20"/>
      <c r="AS183" s="20"/>
      <c r="AT183" s="20"/>
      <c r="AU183" s="20"/>
      <c r="AV183" s="23">
        <v>0</v>
      </c>
      <c r="AW183" s="108">
        <v>0</v>
      </c>
      <c r="AX183" s="108">
        <v>0</v>
      </c>
      <c r="AY183" s="108">
        <v>1</v>
      </c>
      <c r="AZ183" s="108">
        <v>0</v>
      </c>
      <c r="BA183" s="114">
        <v>1</v>
      </c>
      <c r="BB183" s="20">
        <v>0</v>
      </c>
      <c r="BC183" s="113">
        <v>0</v>
      </c>
      <c r="BD183" s="200"/>
      <c r="BE183" s="201"/>
      <c r="BF183" s="201"/>
      <c r="BG183" s="201"/>
      <c r="BH183" s="201"/>
      <c r="BI183" s="201"/>
      <c r="BJ183" s="201"/>
      <c r="BK183" s="201"/>
      <c r="BL183" s="201"/>
      <c r="BM183" s="201"/>
      <c r="BN183" s="201"/>
      <c r="BO183" s="201"/>
      <c r="BP183" s="202"/>
    </row>
    <row r="184" spans="1:68" x14ac:dyDescent="0.2">
      <c r="A184" s="89">
        <v>63572100</v>
      </c>
      <c r="B184" s="53" t="str">
        <f>VLOOKUP($A184,[1]maaltijden!$A$1:$IV$65536,4,FALSE)</f>
        <v xml:space="preserve">DLC MIX VARKENSVLEES MET SPERZIEBONEN EN AARDAPPELPUREE     </v>
      </c>
      <c r="C184" s="46" t="str">
        <f>VLOOKUP($A184,[1]maaltijden!$A$1:$IV$65536,7,FALSE)</f>
        <v>C2227-3R</v>
      </c>
      <c r="D184" s="22" t="str">
        <f>VLOOKUP($A184,[1]maaltijden!$A$1:$IV$65536,10,FALSE)</f>
        <v>NVT</v>
      </c>
      <c r="E184" s="22" t="str">
        <f>VLOOKUP($A184,[1]maaltijden!$A$1:$IV$65536,13,FALSE)</f>
        <v>DLC X 6</v>
      </c>
      <c r="F184" s="20">
        <f t="shared" si="2"/>
        <v>0</v>
      </c>
      <c r="G184" s="20" t="str">
        <f>VLOOKUP($A184,[1]maaltijden!$A$1:$IV$65536,27,FALSE)</f>
        <v>! ! !</v>
      </c>
      <c r="H184" s="22">
        <f>VLOOKUP($A184,[1]maaltijden!$A$1:$IV$65536,21,FALSE)</f>
        <v>3</v>
      </c>
      <c r="I184" s="22">
        <f>VLOOKUP($A184,[1]maaltijden!$A$1:$IV$65536,21,FALSE)</f>
        <v>3</v>
      </c>
      <c r="J184" s="22">
        <f>VLOOKUP($A184,[1]maaltijden!$A$1:$IV$65536,18,FALSE)</f>
        <v>3</v>
      </c>
      <c r="K184" s="22">
        <f>VLOOKUP($A184,[1]maaltijden!$A$1:$IV$65536,17,FALSE)</f>
        <v>3</v>
      </c>
      <c r="L184" s="22">
        <f>VLOOKUP($A184,[1]maaltijden!$A$1:$IV$65536,20,FALSE)</f>
        <v>2000</v>
      </c>
      <c r="M184" s="22">
        <f>VLOOKUP($A184,[1]maaltijden!$A$1:$IV$65536,22,FALSE)</f>
        <v>2000</v>
      </c>
      <c r="N184" s="135"/>
      <c r="O184" s="50"/>
      <c r="P184" s="19">
        <v>0</v>
      </c>
      <c r="Q184" s="20">
        <v>1</v>
      </c>
      <c r="R184" s="21">
        <v>0</v>
      </c>
      <c r="S184" s="19">
        <v>0</v>
      </c>
      <c r="T184" s="20">
        <v>1</v>
      </c>
      <c r="U184" s="19">
        <v>0</v>
      </c>
      <c r="V184" s="20">
        <v>1</v>
      </c>
      <c r="W184" s="20">
        <v>1</v>
      </c>
      <c r="X184" s="20">
        <v>1</v>
      </c>
      <c r="Y184" s="20">
        <v>1</v>
      </c>
      <c r="Z184" s="20">
        <v>1</v>
      </c>
      <c r="AA184" s="20">
        <v>0</v>
      </c>
      <c r="AB184" s="11">
        <v>0</v>
      </c>
      <c r="AC184" s="49">
        <v>0</v>
      </c>
      <c r="AD184" s="49">
        <v>0</v>
      </c>
      <c r="AE184" s="49">
        <v>1</v>
      </c>
      <c r="AF184" s="49">
        <v>0</v>
      </c>
      <c r="AG184" s="161">
        <v>0</v>
      </c>
      <c r="AH184" s="174">
        <v>2</v>
      </c>
      <c r="AI184" s="174">
        <v>1</v>
      </c>
      <c r="AJ184" s="174">
        <v>0</v>
      </c>
      <c r="AK184" s="174">
        <v>0</v>
      </c>
      <c r="AL184" s="175">
        <v>0</v>
      </c>
      <c r="AM184" s="19">
        <v>0</v>
      </c>
      <c r="AN184" s="20" t="str">
        <f>IFERROR(INDEX([2]lijnopstellingsfiche!$AP$1:$AP$65536,MATCH(A184,[2]lijnopstellingsfiche!$AQ$1:$AQ$65536,0)),"")</f>
        <v>-</v>
      </c>
      <c r="AO184" s="20">
        <v>0</v>
      </c>
      <c r="AP184" s="20">
        <v>0</v>
      </c>
      <c r="AQ184" s="20">
        <v>2</v>
      </c>
      <c r="AR184" s="20">
        <v>1</v>
      </c>
      <c r="AS184" s="20">
        <v>0</v>
      </c>
      <c r="AT184" s="20">
        <v>0</v>
      </c>
      <c r="AU184" s="20">
        <v>0</v>
      </c>
      <c r="AV184" s="23">
        <v>0</v>
      </c>
      <c r="AW184" s="108">
        <v>0</v>
      </c>
      <c r="AX184" s="108">
        <v>0</v>
      </c>
      <c r="AY184" s="108">
        <v>1</v>
      </c>
      <c r="AZ184" s="108">
        <v>0</v>
      </c>
      <c r="BA184" s="114">
        <v>1</v>
      </c>
      <c r="BB184" s="20">
        <v>0</v>
      </c>
      <c r="BC184" s="113">
        <v>0</v>
      </c>
      <c r="BD184" s="200" t="str">
        <f>VLOOKUP($A184,'[3]allergenen 6nr'!$A$1:$O$1310,3,FALSE)</f>
        <v>-</v>
      </c>
      <c r="BE184" s="201" t="str">
        <f>VLOOKUP($A184,'[3]allergenen 6nr'!$A$1:$O$1310,4,FALSE)</f>
        <v>+</v>
      </c>
      <c r="BF184" s="201" t="str">
        <f>VLOOKUP($A184,'[3]allergenen 6nr'!$A$1:$O$1310,5,FALSE)</f>
        <v>+</v>
      </c>
      <c r="BG184" s="201" t="str">
        <f>VLOOKUP($A184,'[3]allergenen 6nr'!$A$1:$O$1310,6,FALSE)</f>
        <v>X</v>
      </c>
      <c r="BH184" s="201" t="str">
        <f>VLOOKUP($A184,'[3]allergenen 6nr'!$A$1:$O$1310,7,FALSE)</f>
        <v>+</v>
      </c>
      <c r="BI184" s="201" t="str">
        <f>VLOOKUP($A184,'[3]allergenen 6nr'!$A$1:$O$1310,8,FALSE)</f>
        <v>X</v>
      </c>
      <c r="BJ184" s="201" t="str">
        <f>VLOOKUP($A184,'[3]allergenen 6nr'!$A$1:$O$1310,9,FALSE)</f>
        <v>-</v>
      </c>
      <c r="BK184" s="201" t="str">
        <f>VLOOKUP($A184,'[3]allergenen 6nr'!$A$1:$O$1310,10,FALSE)</f>
        <v>-</v>
      </c>
      <c r="BL184" s="201" t="str">
        <f>VLOOKUP($A184,'[3]allergenen 6nr'!$A$1:$O$1310,11,FALSE)</f>
        <v>+</v>
      </c>
      <c r="BM184" s="201" t="str">
        <f>VLOOKUP($A184,'[3]allergenen 6nr'!$A$1:$O$1310,12,FALSE)</f>
        <v>-</v>
      </c>
      <c r="BN184" s="201" t="str">
        <f>VLOOKUP($A184,'[3]allergenen 6nr'!$A$1:$O$1310,13,FALSE)</f>
        <v>X</v>
      </c>
      <c r="BO184" s="201" t="str">
        <f>VLOOKUP($A184,'[3]allergenen 6nr'!$A$1:$O$1310,14,FALSE)</f>
        <v>-</v>
      </c>
      <c r="BP184" s="202" t="str">
        <f>VLOOKUP($A184,'[3]allergenen 6nr'!$A$1:$O$1310,15,FALSE)</f>
        <v>-</v>
      </c>
    </row>
    <row r="185" spans="1:68" x14ac:dyDescent="0.2">
      <c r="A185" s="89">
        <v>63572200</v>
      </c>
      <c r="B185" s="53" t="str">
        <f>VLOOKUP($A185,[1]maaltijden!$A$1:$IV$65536,4,FALSE)</f>
        <v xml:space="preserve">DLC MIX KIP MET WORTELTJES EN AARDAPPELPUREE          </v>
      </c>
      <c r="C185" s="46" t="str">
        <f>VLOOKUP($A185,[1]maaltijden!$A$1:$IV$65536,7,FALSE)</f>
        <v>C2227-3R</v>
      </c>
      <c r="D185" s="22" t="str">
        <f>VLOOKUP($A185,[1]maaltijden!$A$1:$IV$65536,10,FALSE)</f>
        <v>NVT</v>
      </c>
      <c r="E185" s="22" t="str">
        <f>VLOOKUP($A185,[1]maaltijden!$A$1:$IV$65536,13,FALSE)</f>
        <v>DLC X 6</v>
      </c>
      <c r="F185" s="20">
        <f t="shared" si="2"/>
        <v>0</v>
      </c>
      <c r="G185" s="20" t="str">
        <f>VLOOKUP($A185,[1]maaltijden!$A$1:$IV$65536,27,FALSE)</f>
        <v>! ! !</v>
      </c>
      <c r="H185" s="22">
        <f>VLOOKUP($A185,[1]maaltijden!$A$1:$IV$65536,21,FALSE)</f>
        <v>3</v>
      </c>
      <c r="I185" s="22">
        <f>VLOOKUP($A185,[1]maaltijden!$A$1:$IV$65536,21,FALSE)</f>
        <v>3</v>
      </c>
      <c r="J185" s="22">
        <f>VLOOKUP($A185,[1]maaltijden!$A$1:$IV$65536,18,FALSE)</f>
        <v>3</v>
      </c>
      <c r="K185" s="22">
        <f>VLOOKUP($A185,[1]maaltijden!$A$1:$IV$65536,17,FALSE)</f>
        <v>3</v>
      </c>
      <c r="L185" s="22">
        <f>VLOOKUP($A185,[1]maaltijden!$A$1:$IV$65536,20,FALSE)</f>
        <v>2000</v>
      </c>
      <c r="M185" s="22">
        <f>VLOOKUP($A185,[1]maaltijden!$A$1:$IV$65536,22,FALSE)</f>
        <v>2000</v>
      </c>
      <c r="N185" s="135"/>
      <c r="O185" s="50"/>
      <c r="P185" s="19">
        <v>0</v>
      </c>
      <c r="Q185" s="20">
        <v>1</v>
      </c>
      <c r="R185" s="21">
        <v>0</v>
      </c>
      <c r="S185" s="19">
        <v>0</v>
      </c>
      <c r="T185" s="20">
        <v>1</v>
      </c>
      <c r="U185" s="19">
        <v>1</v>
      </c>
      <c r="V185" s="20">
        <v>1</v>
      </c>
      <c r="W185" s="20">
        <v>1</v>
      </c>
      <c r="X185" s="20">
        <v>1</v>
      </c>
      <c r="Y185" s="20">
        <v>1</v>
      </c>
      <c r="Z185" s="20">
        <v>0</v>
      </c>
      <c r="AA185" s="20">
        <v>0</v>
      </c>
      <c r="AB185" s="49">
        <v>0</v>
      </c>
      <c r="AC185" s="49">
        <v>0</v>
      </c>
      <c r="AD185" s="49">
        <v>0</v>
      </c>
      <c r="AE185" s="49">
        <v>0</v>
      </c>
      <c r="AF185" s="49">
        <v>0</v>
      </c>
      <c r="AG185" s="161">
        <v>0</v>
      </c>
      <c r="AH185" s="174">
        <v>3</v>
      </c>
      <c r="AI185" s="174">
        <v>0</v>
      </c>
      <c r="AJ185" s="174">
        <v>0</v>
      </c>
      <c r="AK185" s="174">
        <v>0</v>
      </c>
      <c r="AL185" s="175">
        <v>0</v>
      </c>
      <c r="AM185" s="19">
        <v>0</v>
      </c>
      <c r="AN185" s="20" t="str">
        <f>IFERROR(INDEX([2]lijnopstellingsfiche!$AP$1:$AP$65536,MATCH(A185,[2]lijnopstellingsfiche!$AQ$1:$AQ$65536,0)),"")</f>
        <v>-</v>
      </c>
      <c r="AO185" s="20">
        <v>0</v>
      </c>
      <c r="AP185" s="20">
        <v>0</v>
      </c>
      <c r="AQ185" s="20">
        <v>2</v>
      </c>
      <c r="AR185" s="20">
        <v>1</v>
      </c>
      <c r="AS185" s="20">
        <v>0</v>
      </c>
      <c r="AT185" s="20">
        <v>0</v>
      </c>
      <c r="AU185" s="20">
        <v>0</v>
      </c>
      <c r="AV185" s="23">
        <v>0</v>
      </c>
      <c r="AW185" s="108">
        <v>0</v>
      </c>
      <c r="AX185" s="108">
        <v>0</v>
      </c>
      <c r="AY185" s="108">
        <v>1</v>
      </c>
      <c r="AZ185" s="108">
        <v>0</v>
      </c>
      <c r="BA185" s="114">
        <v>1</v>
      </c>
      <c r="BB185" s="20">
        <v>0</v>
      </c>
      <c r="BC185" s="113">
        <v>0</v>
      </c>
      <c r="BD185" s="200" t="str">
        <f>VLOOKUP($A185,'[3]allergenen 6nr'!$A$1:$O$1310,3,FALSE)</f>
        <v>-</v>
      </c>
      <c r="BE185" s="201" t="str">
        <f>VLOOKUP($A185,'[3]allergenen 6nr'!$A$1:$O$1310,4,FALSE)</f>
        <v>+</v>
      </c>
      <c r="BF185" s="201" t="str">
        <f>VLOOKUP($A185,'[3]allergenen 6nr'!$A$1:$O$1310,5,FALSE)</f>
        <v>+</v>
      </c>
      <c r="BG185" s="201" t="str">
        <f>VLOOKUP($A185,'[3]allergenen 6nr'!$A$1:$O$1310,6,FALSE)</f>
        <v>X</v>
      </c>
      <c r="BH185" s="201" t="str">
        <f>VLOOKUP($A185,'[3]allergenen 6nr'!$A$1:$O$1310,7,FALSE)</f>
        <v>+</v>
      </c>
      <c r="BI185" s="201" t="str">
        <f>VLOOKUP($A185,'[3]allergenen 6nr'!$A$1:$O$1310,8,FALSE)</f>
        <v>X</v>
      </c>
      <c r="BJ185" s="201" t="str">
        <f>VLOOKUP($A185,'[3]allergenen 6nr'!$A$1:$O$1310,9,FALSE)</f>
        <v>-</v>
      </c>
      <c r="BK185" s="201" t="str">
        <f>VLOOKUP($A185,'[3]allergenen 6nr'!$A$1:$O$1310,10,FALSE)</f>
        <v>-</v>
      </c>
      <c r="BL185" s="201" t="str">
        <f>VLOOKUP($A185,'[3]allergenen 6nr'!$A$1:$O$1310,11,FALSE)</f>
        <v>+</v>
      </c>
      <c r="BM185" s="201" t="str">
        <f>VLOOKUP($A185,'[3]allergenen 6nr'!$A$1:$O$1310,12,FALSE)</f>
        <v>-</v>
      </c>
      <c r="BN185" s="201" t="str">
        <f>VLOOKUP($A185,'[3]allergenen 6nr'!$A$1:$O$1310,13,FALSE)</f>
        <v>X</v>
      </c>
      <c r="BO185" s="201" t="str">
        <f>VLOOKUP($A185,'[3]allergenen 6nr'!$A$1:$O$1310,14,FALSE)</f>
        <v>-</v>
      </c>
      <c r="BP185" s="202" t="str">
        <f>VLOOKUP($A185,'[3]allergenen 6nr'!$A$1:$O$1310,15,FALSE)</f>
        <v>-</v>
      </c>
    </row>
    <row r="186" spans="1:68" x14ac:dyDescent="0.2">
      <c r="A186" s="89">
        <v>63572300</v>
      </c>
      <c r="B186" s="53" t="str">
        <f>VLOOKUP($A186,[1]maaltijden!$A$1:$IV$65536,4,FALSE)</f>
        <v xml:space="preserve">DLC MIX GEHAKT MET PREI EN AARDAPPELPUREE             </v>
      </c>
      <c r="C186" s="46" t="str">
        <f>VLOOKUP($A186,[1]maaltijden!$A$1:$IV$65536,7,FALSE)</f>
        <v>C2227-3R</v>
      </c>
      <c r="D186" s="22" t="str">
        <f>VLOOKUP($A186,[1]maaltijden!$A$1:$IV$65536,10,FALSE)</f>
        <v>NVT</v>
      </c>
      <c r="E186" s="22" t="str">
        <f>VLOOKUP($A186,[1]maaltijden!$A$1:$IV$65536,13,FALSE)</f>
        <v>DLC X 6</v>
      </c>
      <c r="F186" s="20">
        <f t="shared" si="2"/>
        <v>0</v>
      </c>
      <c r="G186" s="20" t="str">
        <f>VLOOKUP($A186,[1]maaltijden!$A$1:$IV$65536,27,FALSE)</f>
        <v>! ! !</v>
      </c>
      <c r="H186" s="22">
        <f>VLOOKUP($A186,[1]maaltijden!$A$1:$IV$65536,21,FALSE)</f>
        <v>1</v>
      </c>
      <c r="I186" s="22">
        <f>VLOOKUP($A186,[1]maaltijden!$A$1:$IV$65536,21,FALSE)</f>
        <v>1</v>
      </c>
      <c r="J186" s="22">
        <f>VLOOKUP($A186,[1]maaltijden!$A$1:$IV$65536,18,FALSE)</f>
        <v>3</v>
      </c>
      <c r="K186" s="22">
        <f>VLOOKUP($A186,[1]maaltijden!$A$1:$IV$65536,17,FALSE)</f>
        <v>3</v>
      </c>
      <c r="L186" s="22">
        <f>VLOOKUP($A186,[1]maaltijden!$A$1:$IV$65536,20,FALSE)</f>
        <v>2000</v>
      </c>
      <c r="M186" s="22">
        <f>VLOOKUP($A186,[1]maaltijden!$A$1:$IV$65536,22,FALSE)</f>
        <v>2000</v>
      </c>
      <c r="N186" s="135"/>
      <c r="O186" s="50"/>
      <c r="P186" s="19">
        <v>0</v>
      </c>
      <c r="Q186" s="20">
        <v>1</v>
      </c>
      <c r="R186" s="21">
        <v>0</v>
      </c>
      <c r="S186" s="19">
        <v>0</v>
      </c>
      <c r="T186" s="20">
        <v>1</v>
      </c>
      <c r="U186" s="19">
        <v>0</v>
      </c>
      <c r="V186" s="20">
        <v>1</v>
      </c>
      <c r="W186" s="20">
        <v>1</v>
      </c>
      <c r="X186" s="20">
        <v>1</v>
      </c>
      <c r="Y186" s="20">
        <v>1</v>
      </c>
      <c r="Z186" s="20">
        <v>0</v>
      </c>
      <c r="AA186" s="20">
        <v>0</v>
      </c>
      <c r="AB186" s="49">
        <v>0</v>
      </c>
      <c r="AC186" s="49">
        <v>0</v>
      </c>
      <c r="AD186" s="49">
        <v>0</v>
      </c>
      <c r="AE186" s="49">
        <v>1</v>
      </c>
      <c r="AF186" s="49">
        <v>0</v>
      </c>
      <c r="AG186" s="184">
        <v>0</v>
      </c>
      <c r="AH186" s="182">
        <v>3</v>
      </c>
      <c r="AI186" s="182">
        <v>0</v>
      </c>
      <c r="AJ186" s="182">
        <v>0</v>
      </c>
      <c r="AK186" s="182">
        <v>0</v>
      </c>
      <c r="AL186" s="183">
        <v>0</v>
      </c>
      <c r="AM186" s="19">
        <v>0</v>
      </c>
      <c r="AN186" s="20" t="str">
        <f>IFERROR(INDEX([2]lijnopstellingsfiche!$AP$1:$AP$65536,MATCH(A186,[2]lijnopstellingsfiche!$AQ$1:$AQ$65536,0)),"")</f>
        <v>-</v>
      </c>
      <c r="AO186" s="20">
        <v>0</v>
      </c>
      <c r="AP186" s="20">
        <v>0</v>
      </c>
      <c r="AQ186" s="20">
        <v>2</v>
      </c>
      <c r="AR186" s="20">
        <v>2</v>
      </c>
      <c r="AS186" s="20">
        <v>0</v>
      </c>
      <c r="AT186" s="20">
        <v>0</v>
      </c>
      <c r="AU186" s="20">
        <v>0</v>
      </c>
      <c r="AV186" s="23">
        <v>0</v>
      </c>
      <c r="AW186" s="108">
        <v>0</v>
      </c>
      <c r="AX186" s="108">
        <v>0</v>
      </c>
      <c r="AY186" s="108">
        <v>1</v>
      </c>
      <c r="AZ186" s="108">
        <v>0</v>
      </c>
      <c r="BA186" s="114">
        <v>1</v>
      </c>
      <c r="BB186" s="20">
        <v>0</v>
      </c>
      <c r="BC186" s="113">
        <v>0</v>
      </c>
      <c r="BD186" s="200" t="str">
        <f>VLOOKUP($A186,'[3]allergenen 6nr'!$A$1:$O$1310,3,FALSE)</f>
        <v>-</v>
      </c>
      <c r="BE186" s="201" t="str">
        <f>VLOOKUP($A186,'[3]allergenen 6nr'!$A$1:$O$1310,4,FALSE)</f>
        <v>+</v>
      </c>
      <c r="BF186" s="201" t="str">
        <f>VLOOKUP($A186,'[3]allergenen 6nr'!$A$1:$O$1310,5,FALSE)</f>
        <v>+</v>
      </c>
      <c r="BG186" s="201" t="str">
        <f>VLOOKUP($A186,'[3]allergenen 6nr'!$A$1:$O$1310,6,FALSE)</f>
        <v>X</v>
      </c>
      <c r="BH186" s="201" t="str">
        <f>VLOOKUP($A186,'[3]allergenen 6nr'!$A$1:$O$1310,7,FALSE)</f>
        <v>+</v>
      </c>
      <c r="BI186" s="201" t="str">
        <f>VLOOKUP($A186,'[3]allergenen 6nr'!$A$1:$O$1310,8,FALSE)</f>
        <v>X</v>
      </c>
      <c r="BJ186" s="201" t="str">
        <f>VLOOKUP($A186,'[3]allergenen 6nr'!$A$1:$O$1310,9,FALSE)</f>
        <v>-</v>
      </c>
      <c r="BK186" s="201" t="str">
        <f>VLOOKUP($A186,'[3]allergenen 6nr'!$A$1:$O$1310,10,FALSE)</f>
        <v>-</v>
      </c>
      <c r="BL186" s="201" t="str">
        <f>VLOOKUP($A186,'[3]allergenen 6nr'!$A$1:$O$1310,11,FALSE)</f>
        <v>+</v>
      </c>
      <c r="BM186" s="201" t="str">
        <f>VLOOKUP($A186,'[3]allergenen 6nr'!$A$1:$O$1310,12,FALSE)</f>
        <v>-</v>
      </c>
      <c r="BN186" s="201" t="str">
        <f>VLOOKUP($A186,'[3]allergenen 6nr'!$A$1:$O$1310,13,FALSE)</f>
        <v>X</v>
      </c>
      <c r="BO186" s="201" t="str">
        <f>VLOOKUP($A186,'[3]allergenen 6nr'!$A$1:$O$1310,14,FALSE)</f>
        <v>-</v>
      </c>
      <c r="BP186" s="202" t="str">
        <f>VLOOKUP($A186,'[3]allergenen 6nr'!$A$1:$O$1310,15,FALSE)</f>
        <v>-</v>
      </c>
    </row>
    <row r="187" spans="1:68" x14ac:dyDescent="0.2">
      <c r="A187" s="89">
        <v>63572400</v>
      </c>
      <c r="B187" s="53" t="str">
        <f>VLOOKUP($A187,[1]maaltijden!$A$1:$IV$65536,4,FALSE)</f>
        <v xml:space="preserve">DLC MIX RUNDVLEES MET WITTE KOOL EN AARDAPPELPUREE     </v>
      </c>
      <c r="C187" s="46" t="str">
        <f>VLOOKUP($A187,[1]maaltijden!$A$1:$IV$65536,7,FALSE)</f>
        <v>C2227-3R</v>
      </c>
      <c r="D187" s="22" t="str">
        <f>VLOOKUP($A187,[1]maaltijden!$A$1:$IV$65536,10,FALSE)</f>
        <v>NVT</v>
      </c>
      <c r="E187" s="22" t="str">
        <f>VLOOKUP($A187,[1]maaltijden!$A$1:$IV$65536,13,FALSE)</f>
        <v>DLC X 6</v>
      </c>
      <c r="F187" s="20">
        <f t="shared" si="2"/>
        <v>0</v>
      </c>
      <c r="G187" s="20" t="str">
        <f>VLOOKUP($A187,[1]maaltijden!$A$1:$IV$65536,27,FALSE)</f>
        <v>! ! !</v>
      </c>
      <c r="H187" s="22">
        <f>VLOOKUP($A187,[1]maaltijden!$A$1:$IV$65536,21,FALSE)</f>
        <v>1</v>
      </c>
      <c r="I187" s="22">
        <f>VLOOKUP($A187,[1]maaltijden!$A$1:$IV$65536,21,FALSE)</f>
        <v>1</v>
      </c>
      <c r="J187" s="22">
        <f>VLOOKUP($A187,[1]maaltijden!$A$1:$IV$65536,18,FALSE)</f>
        <v>3</v>
      </c>
      <c r="K187" s="22">
        <f>VLOOKUP($A187,[1]maaltijden!$A$1:$IV$65536,17,FALSE)</f>
        <v>3</v>
      </c>
      <c r="L187" s="22">
        <f>VLOOKUP($A187,[1]maaltijden!$A$1:$IV$65536,20,FALSE)</f>
        <v>2000</v>
      </c>
      <c r="M187" s="22">
        <f>VLOOKUP($A187,[1]maaltijden!$A$1:$IV$65536,22,FALSE)</f>
        <v>2000</v>
      </c>
      <c r="N187" s="135"/>
      <c r="O187" s="50"/>
      <c r="P187" s="19">
        <v>0</v>
      </c>
      <c r="Q187" s="20">
        <v>1</v>
      </c>
      <c r="R187" s="21">
        <v>0</v>
      </c>
      <c r="S187" s="19">
        <v>0</v>
      </c>
      <c r="T187" s="20">
        <v>1</v>
      </c>
      <c r="U187" s="19">
        <v>0</v>
      </c>
      <c r="V187" s="20">
        <v>1</v>
      </c>
      <c r="W187" s="20">
        <v>1</v>
      </c>
      <c r="X187" s="20">
        <v>1</v>
      </c>
      <c r="Y187" s="20">
        <v>1</v>
      </c>
      <c r="Z187" s="20">
        <v>0</v>
      </c>
      <c r="AA187" s="20">
        <v>0</v>
      </c>
      <c r="AB187" s="49">
        <v>0</v>
      </c>
      <c r="AC187" s="49">
        <v>0</v>
      </c>
      <c r="AD187" s="49">
        <v>0</v>
      </c>
      <c r="AE187" s="49">
        <v>1</v>
      </c>
      <c r="AF187" s="49">
        <v>0</v>
      </c>
      <c r="AG187" s="173">
        <v>0</v>
      </c>
      <c r="AH187" s="182">
        <v>3</v>
      </c>
      <c r="AI187" s="174">
        <v>0</v>
      </c>
      <c r="AJ187" s="174">
        <v>0</v>
      </c>
      <c r="AK187" s="174">
        <v>0</v>
      </c>
      <c r="AL187" s="175">
        <v>0</v>
      </c>
      <c r="AM187" s="19">
        <v>0</v>
      </c>
      <c r="AN187" s="20" t="str">
        <f>IFERROR(INDEX([2]lijnopstellingsfiche!$AP$1:$AP$65536,MATCH(A187,[2]lijnopstellingsfiche!$AQ$1:$AQ$65536,0)),"")</f>
        <v>-</v>
      </c>
      <c r="AO187" s="20">
        <v>0</v>
      </c>
      <c r="AP187" s="20">
        <v>0</v>
      </c>
      <c r="AQ187" s="20">
        <v>2</v>
      </c>
      <c r="AR187" s="20">
        <v>2</v>
      </c>
      <c r="AS187" s="20">
        <v>0</v>
      </c>
      <c r="AT187" s="20">
        <v>0</v>
      </c>
      <c r="AU187" s="20">
        <v>0</v>
      </c>
      <c r="AV187" s="23">
        <v>0</v>
      </c>
      <c r="AW187" s="108">
        <v>0</v>
      </c>
      <c r="AX187" s="108">
        <v>0</v>
      </c>
      <c r="AY187" s="108">
        <v>1</v>
      </c>
      <c r="AZ187" s="108">
        <v>0</v>
      </c>
      <c r="BA187" s="114">
        <v>1</v>
      </c>
      <c r="BB187" s="20">
        <v>0</v>
      </c>
      <c r="BC187" s="113">
        <v>0</v>
      </c>
      <c r="BD187" s="200" t="str">
        <f>VLOOKUP($A187,'[3]allergenen 6nr'!$A$1:$O$1310,3,FALSE)</f>
        <v>-</v>
      </c>
      <c r="BE187" s="201" t="str">
        <f>VLOOKUP($A187,'[3]allergenen 6nr'!$A$1:$O$1310,4,FALSE)</f>
        <v>+</v>
      </c>
      <c r="BF187" s="201" t="str">
        <f>VLOOKUP($A187,'[3]allergenen 6nr'!$A$1:$O$1310,5,FALSE)</f>
        <v>+</v>
      </c>
      <c r="BG187" s="201" t="str">
        <f>VLOOKUP($A187,'[3]allergenen 6nr'!$A$1:$O$1310,6,FALSE)</f>
        <v>X</v>
      </c>
      <c r="BH187" s="201" t="str">
        <f>VLOOKUP($A187,'[3]allergenen 6nr'!$A$1:$O$1310,7,FALSE)</f>
        <v>+</v>
      </c>
      <c r="BI187" s="201" t="str">
        <f>VLOOKUP($A187,'[3]allergenen 6nr'!$A$1:$O$1310,8,FALSE)</f>
        <v>+</v>
      </c>
      <c r="BJ187" s="201" t="str">
        <f>VLOOKUP($A187,'[3]allergenen 6nr'!$A$1:$O$1310,9,FALSE)</f>
        <v>X</v>
      </c>
      <c r="BK187" s="201" t="str">
        <f>VLOOKUP($A187,'[3]allergenen 6nr'!$A$1:$O$1310,10,FALSE)</f>
        <v>-</v>
      </c>
      <c r="BL187" s="201" t="str">
        <f>VLOOKUP($A187,'[3]allergenen 6nr'!$A$1:$O$1310,11,FALSE)</f>
        <v>+</v>
      </c>
      <c r="BM187" s="201" t="str">
        <f>VLOOKUP($A187,'[3]allergenen 6nr'!$A$1:$O$1310,12,FALSE)</f>
        <v>-</v>
      </c>
      <c r="BN187" s="201" t="str">
        <f>VLOOKUP($A187,'[3]allergenen 6nr'!$A$1:$O$1310,13,FALSE)</f>
        <v>X</v>
      </c>
      <c r="BO187" s="201" t="str">
        <f>VLOOKUP($A187,'[3]allergenen 6nr'!$A$1:$O$1310,14,FALSE)</f>
        <v>-</v>
      </c>
      <c r="BP187" s="202" t="str">
        <f>VLOOKUP($A187,'[3]allergenen 6nr'!$A$1:$O$1310,15,FALSE)</f>
        <v>-</v>
      </c>
    </row>
    <row r="188" spans="1:68" x14ac:dyDescent="0.2">
      <c r="A188" s="89">
        <v>63572500</v>
      </c>
      <c r="B188" s="53" t="str">
        <f>VLOOKUP($A188,[1]maaltijden!$A$1:$IV$65536,4,FALSE)</f>
        <v xml:space="preserve">DLC MIX KIP IN CREMESAUS BROCCOLI AARDAPPELPUREE      </v>
      </c>
      <c r="C188" s="46" t="str">
        <f>VLOOKUP($A188,[1]maaltijden!$A$1:$IV$65536,7,FALSE)</f>
        <v>C2227-3R</v>
      </c>
      <c r="D188" s="22" t="str">
        <f>VLOOKUP($A188,[1]maaltijden!$A$1:$IV$65536,10,FALSE)</f>
        <v>NVT</v>
      </c>
      <c r="E188" s="22" t="str">
        <f>VLOOKUP($A188,[1]maaltijden!$A$1:$IV$65536,13,FALSE)</f>
        <v>DLC X 6</v>
      </c>
      <c r="F188" s="20">
        <f t="shared" si="2"/>
        <v>0</v>
      </c>
      <c r="G188" s="20" t="str">
        <f>VLOOKUP($A188,[1]maaltijden!$A$1:$IV$65536,27,FALSE)</f>
        <v>! !</v>
      </c>
      <c r="H188" s="22">
        <f>VLOOKUP($A188,[1]maaltijden!$A$1:$IV$65536,21,FALSE)</f>
        <v>3</v>
      </c>
      <c r="I188" s="22">
        <f>VLOOKUP($A188,[1]maaltijden!$A$1:$IV$65536,21,FALSE)</f>
        <v>3</v>
      </c>
      <c r="J188" s="22">
        <f>VLOOKUP($A188,[1]maaltijden!$A$1:$IV$65536,18,FALSE)</f>
        <v>3</v>
      </c>
      <c r="K188" s="22">
        <f>VLOOKUP($A188,[1]maaltijden!$A$1:$IV$65536,17,FALSE)</f>
        <v>3</v>
      </c>
      <c r="L188" s="22">
        <f>VLOOKUP($A188,[1]maaltijden!$A$1:$IV$65536,20,FALSE)</f>
        <v>2000</v>
      </c>
      <c r="M188" s="22">
        <f>VLOOKUP($A188,[1]maaltijden!$A$1:$IV$65536,22,FALSE)</f>
        <v>2000</v>
      </c>
      <c r="N188" s="135"/>
      <c r="O188" s="50"/>
      <c r="P188" s="19">
        <v>0</v>
      </c>
      <c r="Q188" s="20">
        <v>1</v>
      </c>
      <c r="R188" s="21">
        <v>0</v>
      </c>
      <c r="S188" s="19">
        <v>0</v>
      </c>
      <c r="T188" s="20">
        <v>1</v>
      </c>
      <c r="U188" s="19">
        <v>1</v>
      </c>
      <c r="V188" s="20">
        <v>1</v>
      </c>
      <c r="W188" s="20">
        <v>1</v>
      </c>
      <c r="X188" s="20">
        <v>1</v>
      </c>
      <c r="Y188" s="20">
        <v>1</v>
      </c>
      <c r="Z188" s="20">
        <v>0</v>
      </c>
      <c r="AA188" s="20">
        <v>0</v>
      </c>
      <c r="AB188" s="49">
        <v>0</v>
      </c>
      <c r="AC188" s="49">
        <v>0</v>
      </c>
      <c r="AD188" s="49">
        <v>0</v>
      </c>
      <c r="AE188" s="49">
        <v>0</v>
      </c>
      <c r="AF188" s="49">
        <v>0</v>
      </c>
      <c r="AG188" s="173">
        <v>0</v>
      </c>
      <c r="AH188" s="174">
        <v>3</v>
      </c>
      <c r="AI188" s="174">
        <v>0</v>
      </c>
      <c r="AJ188" s="174">
        <v>0</v>
      </c>
      <c r="AK188" s="174">
        <v>0</v>
      </c>
      <c r="AL188" s="175">
        <v>0</v>
      </c>
      <c r="AM188" s="19">
        <v>0</v>
      </c>
      <c r="AN188" s="20" t="str">
        <f>IFERROR(INDEX([2]lijnopstellingsfiche!$AP$1:$AP$65536,MATCH(A188,[2]lijnopstellingsfiche!$AQ$1:$AQ$65536,0)),"")</f>
        <v>-</v>
      </c>
      <c r="AO188" s="20">
        <v>0</v>
      </c>
      <c r="AP188" s="20">
        <v>0</v>
      </c>
      <c r="AQ188" s="20">
        <v>2</v>
      </c>
      <c r="AR188" s="20">
        <v>1</v>
      </c>
      <c r="AS188" s="20">
        <v>0</v>
      </c>
      <c r="AT188" s="20">
        <v>0</v>
      </c>
      <c r="AU188" s="20">
        <v>0</v>
      </c>
      <c r="AV188" s="23">
        <v>0</v>
      </c>
      <c r="AW188" s="108">
        <v>0</v>
      </c>
      <c r="AX188" s="108">
        <v>0</v>
      </c>
      <c r="AY188" s="108">
        <v>1</v>
      </c>
      <c r="AZ188" s="108">
        <v>0</v>
      </c>
      <c r="BA188" s="114">
        <v>1</v>
      </c>
      <c r="BB188" s="20">
        <v>0</v>
      </c>
      <c r="BC188" s="113">
        <v>0</v>
      </c>
      <c r="BD188" s="200" t="str">
        <f>VLOOKUP($A188,'[3]allergenen 6nr'!$A$1:$O$1310,3,FALSE)</f>
        <v>-</v>
      </c>
      <c r="BE188" s="201" t="str">
        <f>VLOOKUP($A188,'[3]allergenen 6nr'!$A$1:$O$1310,4,FALSE)</f>
        <v>+</v>
      </c>
      <c r="BF188" s="201" t="str">
        <f>VLOOKUP($A188,'[3]allergenen 6nr'!$A$1:$O$1310,5,FALSE)</f>
        <v>+</v>
      </c>
      <c r="BG188" s="201" t="str">
        <f>VLOOKUP($A188,'[3]allergenen 6nr'!$A$1:$O$1310,6,FALSE)</f>
        <v>X</v>
      </c>
      <c r="BH188" s="201" t="str">
        <f>VLOOKUP($A188,'[3]allergenen 6nr'!$A$1:$O$1310,7,FALSE)</f>
        <v>+</v>
      </c>
      <c r="BI188" s="201" t="str">
        <f>VLOOKUP($A188,'[3]allergenen 6nr'!$A$1:$O$1310,8,FALSE)</f>
        <v>X</v>
      </c>
      <c r="BJ188" s="201" t="str">
        <f>VLOOKUP($A188,'[3]allergenen 6nr'!$A$1:$O$1310,9,FALSE)</f>
        <v>-</v>
      </c>
      <c r="BK188" s="201" t="str">
        <f>VLOOKUP($A188,'[3]allergenen 6nr'!$A$1:$O$1310,10,FALSE)</f>
        <v>-</v>
      </c>
      <c r="BL188" s="201" t="str">
        <f>VLOOKUP($A188,'[3]allergenen 6nr'!$A$1:$O$1310,11,FALSE)</f>
        <v>X</v>
      </c>
      <c r="BM188" s="201" t="str">
        <f>VLOOKUP($A188,'[3]allergenen 6nr'!$A$1:$O$1310,12,FALSE)</f>
        <v>-</v>
      </c>
      <c r="BN188" s="201" t="str">
        <f>VLOOKUP($A188,'[3]allergenen 6nr'!$A$1:$O$1310,13,FALSE)</f>
        <v>X</v>
      </c>
      <c r="BO188" s="201" t="str">
        <f>VLOOKUP($A188,'[3]allergenen 6nr'!$A$1:$O$1310,14,FALSE)</f>
        <v>-</v>
      </c>
      <c r="BP188" s="202" t="str">
        <f>VLOOKUP($A188,'[3]allergenen 6nr'!$A$1:$O$1310,15,FALSE)</f>
        <v>-</v>
      </c>
    </row>
    <row r="189" spans="1:68" x14ac:dyDescent="0.2">
      <c r="A189" s="89">
        <v>63572600</v>
      </c>
      <c r="B189" s="53" t="str">
        <f>VLOOKUP($A189,[1]maaltijden!$A$1:$IV$65536,4,FALSE)</f>
        <v xml:space="preserve">DLC MIX ZALM IN VISSAUS WORTELEN AARDAPPELPUREE       </v>
      </c>
      <c r="C189" s="46" t="str">
        <f>VLOOKUP($A189,[1]maaltijden!$A$1:$IV$65536,7,FALSE)</f>
        <v>C2227-3R</v>
      </c>
      <c r="D189" s="22" t="str">
        <f>VLOOKUP($A189,[1]maaltijden!$A$1:$IV$65536,10,FALSE)</f>
        <v>NVT</v>
      </c>
      <c r="E189" s="22" t="str">
        <f>VLOOKUP($A189,[1]maaltijden!$A$1:$IV$65536,13,FALSE)</f>
        <v>DLC X 6</v>
      </c>
      <c r="F189" s="20">
        <f t="shared" si="2"/>
        <v>0</v>
      </c>
      <c r="G189" s="20" t="str">
        <f>VLOOKUP($A189,[1]maaltijden!$A$1:$IV$65536,27,FALSE)</f>
        <v>! ! ! !</v>
      </c>
      <c r="H189" s="22">
        <f>VLOOKUP($A189,[1]maaltijden!$A$1:$IV$65536,21,FALSE)</f>
        <v>3</v>
      </c>
      <c r="I189" s="22">
        <f>VLOOKUP($A189,[1]maaltijden!$A$1:$IV$65536,21,FALSE)</f>
        <v>3</v>
      </c>
      <c r="J189" s="22">
        <f>VLOOKUP($A189,[1]maaltijden!$A$1:$IV$65536,18,FALSE)</f>
        <v>3</v>
      </c>
      <c r="K189" s="22">
        <f>VLOOKUP($A189,[1]maaltijden!$A$1:$IV$65536,17,FALSE)</f>
        <v>3</v>
      </c>
      <c r="L189" s="22">
        <f>VLOOKUP($A189,[1]maaltijden!$A$1:$IV$65536,20,FALSE)</f>
        <v>2000</v>
      </c>
      <c r="M189" s="22">
        <f>VLOOKUP($A189,[1]maaltijden!$A$1:$IV$65536,22,FALSE)</f>
        <v>2000</v>
      </c>
      <c r="N189" s="135"/>
      <c r="O189" s="50"/>
      <c r="P189" s="19">
        <v>0</v>
      </c>
      <c r="Q189" s="20">
        <v>1</v>
      </c>
      <c r="R189" s="21">
        <v>0</v>
      </c>
      <c r="S189" s="19">
        <v>0</v>
      </c>
      <c r="T189" s="20">
        <v>1</v>
      </c>
      <c r="U189" s="19">
        <v>1</v>
      </c>
      <c r="V189" s="20">
        <v>1</v>
      </c>
      <c r="W189" s="20">
        <v>1</v>
      </c>
      <c r="X189" s="20">
        <v>1</v>
      </c>
      <c r="Y189" s="20">
        <v>1</v>
      </c>
      <c r="Z189" s="20">
        <v>0</v>
      </c>
      <c r="AA189" s="20">
        <v>1</v>
      </c>
      <c r="AB189" s="49">
        <v>0</v>
      </c>
      <c r="AC189" s="49">
        <v>0</v>
      </c>
      <c r="AD189" s="49">
        <v>0</v>
      </c>
      <c r="AE189" s="49">
        <v>0</v>
      </c>
      <c r="AF189" s="49">
        <v>1</v>
      </c>
      <c r="AG189" s="173">
        <v>0</v>
      </c>
      <c r="AH189" s="174">
        <v>3</v>
      </c>
      <c r="AI189" s="174">
        <v>0</v>
      </c>
      <c r="AJ189" s="174">
        <v>0</v>
      </c>
      <c r="AK189" s="174">
        <v>0</v>
      </c>
      <c r="AL189" s="175">
        <v>0</v>
      </c>
      <c r="AM189" s="19">
        <v>0</v>
      </c>
      <c r="AN189" s="20" t="str">
        <f>IFERROR(INDEX([2]lijnopstellingsfiche!$AP$1:$AP$65536,MATCH(A189,[2]lijnopstellingsfiche!$AQ$1:$AQ$65536,0)),"")</f>
        <v>-</v>
      </c>
      <c r="AO189" s="20">
        <v>0</v>
      </c>
      <c r="AP189" s="20">
        <v>0</v>
      </c>
      <c r="AQ189" s="20">
        <v>2</v>
      </c>
      <c r="AR189" s="20">
        <v>1</v>
      </c>
      <c r="AS189" s="20">
        <v>0</v>
      </c>
      <c r="AT189" s="20">
        <v>0</v>
      </c>
      <c r="AU189" s="20">
        <v>0</v>
      </c>
      <c r="AV189" s="23">
        <v>0</v>
      </c>
      <c r="AW189" s="108">
        <v>0</v>
      </c>
      <c r="AX189" s="108">
        <v>0</v>
      </c>
      <c r="AY189" s="108">
        <v>1</v>
      </c>
      <c r="AZ189" s="108">
        <v>0</v>
      </c>
      <c r="BA189" s="114">
        <v>1</v>
      </c>
      <c r="BB189" s="20">
        <v>0</v>
      </c>
      <c r="BC189" s="113">
        <v>0</v>
      </c>
      <c r="BD189" s="200" t="str">
        <f>VLOOKUP($A189,'[3]allergenen 6nr'!$A$1:$O$1310,3,FALSE)</f>
        <v>-</v>
      </c>
      <c r="BE189" s="201" t="str">
        <f>VLOOKUP($A189,'[3]allergenen 6nr'!$A$1:$O$1310,4,FALSE)</f>
        <v>+</v>
      </c>
      <c r="BF189" s="201" t="str">
        <f>VLOOKUP($A189,'[3]allergenen 6nr'!$A$1:$O$1310,5,FALSE)</f>
        <v>+</v>
      </c>
      <c r="BG189" s="201" t="str">
        <f>VLOOKUP($A189,'[3]allergenen 6nr'!$A$1:$O$1310,6,FALSE)</f>
        <v>-</v>
      </c>
      <c r="BH189" s="201" t="str">
        <f>VLOOKUP($A189,'[3]allergenen 6nr'!$A$1:$O$1310,7,FALSE)</f>
        <v>+</v>
      </c>
      <c r="BI189" s="201" t="str">
        <f>VLOOKUP($A189,'[3]allergenen 6nr'!$A$1:$O$1310,8,FALSE)</f>
        <v>+</v>
      </c>
      <c r="BJ189" s="201" t="str">
        <f>VLOOKUP($A189,'[3]allergenen 6nr'!$A$1:$O$1310,9,FALSE)</f>
        <v>-</v>
      </c>
      <c r="BK189" s="201" t="str">
        <f>VLOOKUP($A189,'[3]allergenen 6nr'!$A$1:$O$1310,10,FALSE)</f>
        <v>X</v>
      </c>
      <c r="BL189" s="201" t="str">
        <f>VLOOKUP($A189,'[3]allergenen 6nr'!$A$1:$O$1310,11,FALSE)</f>
        <v>+</v>
      </c>
      <c r="BM189" s="201" t="str">
        <f>VLOOKUP($A189,'[3]allergenen 6nr'!$A$1:$O$1310,12,FALSE)</f>
        <v>-</v>
      </c>
      <c r="BN189" s="201" t="str">
        <f>VLOOKUP($A189,'[3]allergenen 6nr'!$A$1:$O$1310,13,FALSE)</f>
        <v>X</v>
      </c>
      <c r="BO189" s="201" t="str">
        <f>VLOOKUP($A189,'[3]allergenen 6nr'!$A$1:$O$1310,14,FALSE)</f>
        <v>+</v>
      </c>
      <c r="BP189" s="202" t="str">
        <f>VLOOKUP($A189,'[3]allergenen 6nr'!$A$1:$O$1310,15,FALSE)</f>
        <v>X</v>
      </c>
    </row>
    <row r="190" spans="1:68" x14ac:dyDescent="0.2">
      <c r="A190" s="89">
        <v>63572700</v>
      </c>
      <c r="B190" s="53" t="str">
        <f>VLOOKUP($A190,[1]maaltijden!$A$1:$IV$65536,4,FALSE)</f>
        <v xml:space="preserve">DLC MIX VARKENSVLEES MET ERWTEN EN AARDAPPELPUREE     </v>
      </c>
      <c r="C190" s="46" t="str">
        <f>VLOOKUP($A190,[1]maaltijden!$A$1:$IV$65536,7,FALSE)</f>
        <v>C2227-3R</v>
      </c>
      <c r="D190" s="22" t="str">
        <f>VLOOKUP($A190,[1]maaltijden!$A$1:$IV$65536,10,FALSE)</f>
        <v>NVT</v>
      </c>
      <c r="E190" s="22" t="str">
        <f>VLOOKUP($A190,[1]maaltijden!$A$1:$IV$65536,13,FALSE)</f>
        <v>DLC X 6</v>
      </c>
      <c r="F190" s="20">
        <f t="shared" si="2"/>
        <v>0</v>
      </c>
      <c r="G190" s="20" t="str">
        <f>VLOOKUP($A190,[1]maaltijden!$A$1:$IV$65536,27,FALSE)</f>
        <v>! ! !</v>
      </c>
      <c r="H190" s="22">
        <f>VLOOKUP($A190,[1]maaltijden!$A$1:$IV$65536,21,FALSE)</f>
        <v>3</v>
      </c>
      <c r="I190" s="22">
        <f>VLOOKUP($A190,[1]maaltijden!$A$1:$IV$65536,21,FALSE)</f>
        <v>3</v>
      </c>
      <c r="J190" s="22">
        <f>VLOOKUP($A190,[1]maaltijden!$A$1:$IV$65536,18,FALSE)</f>
        <v>3</v>
      </c>
      <c r="K190" s="22">
        <f>VLOOKUP($A190,[1]maaltijden!$A$1:$IV$65536,17,FALSE)</f>
        <v>3</v>
      </c>
      <c r="L190" s="22">
        <f>VLOOKUP($A190,[1]maaltijden!$A$1:$IV$65536,20,FALSE)</f>
        <v>2000</v>
      </c>
      <c r="M190" s="22">
        <f>VLOOKUP($A190,[1]maaltijden!$A$1:$IV$65536,22,FALSE)</f>
        <v>2000</v>
      </c>
      <c r="N190" s="135"/>
      <c r="O190" s="50"/>
      <c r="P190" s="19">
        <v>0</v>
      </c>
      <c r="Q190" s="20">
        <v>1</v>
      </c>
      <c r="R190" s="21">
        <v>0</v>
      </c>
      <c r="S190" s="19">
        <v>0</v>
      </c>
      <c r="T190" s="20">
        <v>1</v>
      </c>
      <c r="U190" s="19">
        <v>0</v>
      </c>
      <c r="V190" s="20">
        <v>1</v>
      </c>
      <c r="W190" s="20">
        <v>1</v>
      </c>
      <c r="X190" s="20">
        <v>1</v>
      </c>
      <c r="Y190" s="20">
        <v>1</v>
      </c>
      <c r="Z190" s="20">
        <v>1</v>
      </c>
      <c r="AA190" s="20">
        <v>0</v>
      </c>
      <c r="AB190" s="49">
        <v>0</v>
      </c>
      <c r="AC190" s="49">
        <v>0</v>
      </c>
      <c r="AD190" s="49">
        <v>0</v>
      </c>
      <c r="AE190" s="49">
        <v>1</v>
      </c>
      <c r="AF190" s="49">
        <v>0</v>
      </c>
      <c r="AG190" s="161">
        <v>0</v>
      </c>
      <c r="AH190" s="162">
        <v>3</v>
      </c>
      <c r="AI190" s="162">
        <v>0</v>
      </c>
      <c r="AJ190" s="162">
        <v>0</v>
      </c>
      <c r="AK190" s="162">
        <v>0</v>
      </c>
      <c r="AL190" s="163">
        <v>0</v>
      </c>
      <c r="AM190" s="19">
        <v>0</v>
      </c>
      <c r="AN190" s="20" t="str">
        <f>IFERROR(INDEX([2]lijnopstellingsfiche!$AP$1:$AP$65536,MATCH(A190,[2]lijnopstellingsfiche!$AQ$1:$AQ$65536,0)),"")</f>
        <v>-</v>
      </c>
      <c r="AO190" s="20">
        <v>0</v>
      </c>
      <c r="AP190" s="20">
        <v>0</v>
      </c>
      <c r="AQ190" s="20">
        <v>2</v>
      </c>
      <c r="AR190" s="20">
        <v>1</v>
      </c>
      <c r="AS190" s="20">
        <v>0</v>
      </c>
      <c r="AT190" s="20">
        <v>0</v>
      </c>
      <c r="AU190" s="20">
        <v>0</v>
      </c>
      <c r="AV190" s="23">
        <v>0</v>
      </c>
      <c r="AW190" s="108">
        <v>0</v>
      </c>
      <c r="AX190" s="108">
        <v>0</v>
      </c>
      <c r="AY190" s="108">
        <v>1</v>
      </c>
      <c r="AZ190" s="108">
        <v>0</v>
      </c>
      <c r="BA190" s="114">
        <v>1</v>
      </c>
      <c r="BB190" s="20">
        <v>0</v>
      </c>
      <c r="BC190" s="113">
        <v>0</v>
      </c>
      <c r="BD190" s="200" t="str">
        <f>VLOOKUP($A190,'[3]allergenen 6nr'!$A$1:$O$1310,3,FALSE)</f>
        <v>-</v>
      </c>
      <c r="BE190" s="201" t="str">
        <f>VLOOKUP($A190,'[3]allergenen 6nr'!$A$1:$O$1310,4,FALSE)</f>
        <v>+</v>
      </c>
      <c r="BF190" s="201" t="str">
        <f>VLOOKUP($A190,'[3]allergenen 6nr'!$A$1:$O$1310,5,FALSE)</f>
        <v>+</v>
      </c>
      <c r="BG190" s="201" t="str">
        <f>VLOOKUP($A190,'[3]allergenen 6nr'!$A$1:$O$1310,6,FALSE)</f>
        <v>X</v>
      </c>
      <c r="BH190" s="201" t="str">
        <f>VLOOKUP($A190,'[3]allergenen 6nr'!$A$1:$O$1310,7,FALSE)</f>
        <v>+</v>
      </c>
      <c r="BI190" s="201" t="str">
        <f>VLOOKUP($A190,'[3]allergenen 6nr'!$A$1:$O$1310,8,FALSE)</f>
        <v>X</v>
      </c>
      <c r="BJ190" s="201" t="str">
        <f>VLOOKUP($A190,'[3]allergenen 6nr'!$A$1:$O$1310,9,FALSE)</f>
        <v>-</v>
      </c>
      <c r="BK190" s="201" t="str">
        <f>VLOOKUP($A190,'[3]allergenen 6nr'!$A$1:$O$1310,10,FALSE)</f>
        <v>-</v>
      </c>
      <c r="BL190" s="201" t="str">
        <f>VLOOKUP($A190,'[3]allergenen 6nr'!$A$1:$O$1310,11,FALSE)</f>
        <v>+</v>
      </c>
      <c r="BM190" s="201" t="str">
        <f>VLOOKUP($A190,'[3]allergenen 6nr'!$A$1:$O$1310,12,FALSE)</f>
        <v>-</v>
      </c>
      <c r="BN190" s="201" t="str">
        <f>VLOOKUP($A190,'[3]allergenen 6nr'!$A$1:$O$1310,13,FALSE)</f>
        <v>X</v>
      </c>
      <c r="BO190" s="201" t="str">
        <f>VLOOKUP($A190,'[3]allergenen 6nr'!$A$1:$O$1310,14,FALSE)</f>
        <v>-</v>
      </c>
      <c r="BP190" s="202" t="str">
        <f>VLOOKUP($A190,'[3]allergenen 6nr'!$A$1:$O$1310,15,FALSE)</f>
        <v>-</v>
      </c>
    </row>
    <row r="191" spans="1:68" x14ac:dyDescent="0.2">
      <c r="A191" s="89">
        <v>63572800</v>
      </c>
      <c r="B191" s="53" t="str">
        <f>VLOOKUP($A191,[1]maaltijden!$A$1:$IV$65536,4,FALSE)</f>
        <v xml:space="preserve">DLC MIX WORTELPUREE MET RUNDVLEES                         </v>
      </c>
      <c r="C191" s="46" t="str">
        <f>VLOOKUP($A191,[1]maaltijden!$A$1:$IV$65536,7,FALSE)</f>
        <v>C2227-2K</v>
      </c>
      <c r="D191" s="22" t="str">
        <f>VLOOKUP($A191,[1]maaltijden!$A$1:$IV$65536,10,FALSE)</f>
        <v>NVT</v>
      </c>
      <c r="E191" s="22" t="str">
        <f>VLOOKUP($A191,[1]maaltijden!$A$1:$IV$65536,13,FALSE)</f>
        <v>DLC X 6</v>
      </c>
      <c r="F191" s="20">
        <f t="shared" si="2"/>
        <v>0</v>
      </c>
      <c r="G191" s="20" t="str">
        <f>VLOOKUP($A191,[1]maaltijden!$A$1:$IV$65536,27,FALSE)</f>
        <v>! ! !</v>
      </c>
      <c r="H191" s="22">
        <f>VLOOKUP($A191,[1]maaltijden!$A$1:$IV$65536,21,FALSE)</f>
        <v>1</v>
      </c>
      <c r="I191" s="22">
        <f>VLOOKUP($A191,[1]maaltijden!$A$1:$IV$65536,21,FALSE)</f>
        <v>1</v>
      </c>
      <c r="J191" s="22">
        <f>VLOOKUP($A191,[1]maaltijden!$A$1:$IV$65536,18,FALSE)</f>
        <v>3</v>
      </c>
      <c r="K191" s="22">
        <f>VLOOKUP($A191,[1]maaltijden!$A$1:$IV$65536,17,FALSE)</f>
        <v>3</v>
      </c>
      <c r="L191" s="22">
        <f>VLOOKUP($A191,[1]maaltijden!$A$1:$IV$65536,20,FALSE)</f>
        <v>2000</v>
      </c>
      <c r="M191" s="22">
        <f>VLOOKUP($A191,[1]maaltijden!$A$1:$IV$65536,22,FALSE)</f>
        <v>2000</v>
      </c>
      <c r="N191" s="135"/>
      <c r="O191" s="50"/>
      <c r="P191" s="19">
        <v>0</v>
      </c>
      <c r="Q191" s="20">
        <v>1</v>
      </c>
      <c r="R191" s="21">
        <v>0</v>
      </c>
      <c r="S191" s="19">
        <v>0</v>
      </c>
      <c r="T191" s="20">
        <v>1</v>
      </c>
      <c r="U191" s="19">
        <v>0</v>
      </c>
      <c r="V191" s="20">
        <v>1</v>
      </c>
      <c r="W191" s="20">
        <v>1</v>
      </c>
      <c r="X191" s="20">
        <v>1</v>
      </c>
      <c r="Y191" s="20">
        <v>1</v>
      </c>
      <c r="Z191" s="20">
        <v>0</v>
      </c>
      <c r="AA191" s="20">
        <v>0</v>
      </c>
      <c r="AB191" s="49">
        <v>0</v>
      </c>
      <c r="AC191" s="49">
        <v>0</v>
      </c>
      <c r="AD191" s="49">
        <v>0</v>
      </c>
      <c r="AE191" s="49">
        <v>1</v>
      </c>
      <c r="AF191" s="49">
        <v>0</v>
      </c>
      <c r="AG191" s="161">
        <v>0</v>
      </c>
      <c r="AH191" s="174">
        <v>3</v>
      </c>
      <c r="AI191" s="174">
        <v>0</v>
      </c>
      <c r="AJ191" s="174">
        <v>0</v>
      </c>
      <c r="AK191" s="174">
        <v>0</v>
      </c>
      <c r="AL191" s="175">
        <v>0</v>
      </c>
      <c r="AM191" s="19">
        <v>0</v>
      </c>
      <c r="AN191" s="20" t="str">
        <f>IFERROR(INDEX([2]lijnopstellingsfiche!$AP$1:$AP$65536,MATCH(A191,[2]lijnopstellingsfiche!$AQ$1:$AQ$65536,0)),"")</f>
        <v>-</v>
      </c>
      <c r="AO191" s="20">
        <v>0</v>
      </c>
      <c r="AP191" s="20">
        <v>0</v>
      </c>
      <c r="AQ191" s="20">
        <v>2</v>
      </c>
      <c r="AR191" s="20">
        <v>1</v>
      </c>
      <c r="AS191" s="20">
        <v>0</v>
      </c>
      <c r="AT191" s="20">
        <v>0</v>
      </c>
      <c r="AU191" s="20">
        <v>0</v>
      </c>
      <c r="AV191" s="23">
        <v>0</v>
      </c>
      <c r="AW191" s="108">
        <v>0</v>
      </c>
      <c r="AX191" s="108">
        <v>0</v>
      </c>
      <c r="AY191" s="108">
        <v>1</v>
      </c>
      <c r="AZ191" s="108">
        <v>0</v>
      </c>
      <c r="BA191" s="114">
        <v>1</v>
      </c>
      <c r="BB191" s="20">
        <v>0</v>
      </c>
      <c r="BC191" s="113">
        <v>0</v>
      </c>
      <c r="BD191" s="200" t="str">
        <f>VLOOKUP($A191,'[3]allergenen 6nr'!$A$1:$O$1310,3,FALSE)</f>
        <v>-</v>
      </c>
      <c r="BE191" s="201" t="str">
        <f>VLOOKUP($A191,'[3]allergenen 6nr'!$A$1:$O$1310,4,FALSE)</f>
        <v>-</v>
      </c>
      <c r="BF191" s="201" t="str">
        <f>VLOOKUP($A191,'[3]allergenen 6nr'!$A$1:$O$1310,5,FALSE)</f>
        <v>+</v>
      </c>
      <c r="BG191" s="201" t="str">
        <f>VLOOKUP($A191,'[3]allergenen 6nr'!$A$1:$O$1310,6,FALSE)</f>
        <v>X</v>
      </c>
      <c r="BH191" s="201" t="str">
        <f>VLOOKUP($A191,'[3]allergenen 6nr'!$A$1:$O$1310,7,FALSE)</f>
        <v>+</v>
      </c>
      <c r="BI191" s="201" t="str">
        <f>VLOOKUP($A191,'[3]allergenen 6nr'!$A$1:$O$1310,8,FALSE)</f>
        <v>+</v>
      </c>
      <c r="BJ191" s="201" t="str">
        <f>VLOOKUP($A191,'[3]allergenen 6nr'!$A$1:$O$1310,9,FALSE)</f>
        <v>X</v>
      </c>
      <c r="BK191" s="201" t="str">
        <f>VLOOKUP($A191,'[3]allergenen 6nr'!$A$1:$O$1310,10,FALSE)</f>
        <v>-</v>
      </c>
      <c r="BL191" s="201" t="str">
        <f>VLOOKUP($A191,'[3]allergenen 6nr'!$A$1:$O$1310,11,FALSE)</f>
        <v>+</v>
      </c>
      <c r="BM191" s="201" t="str">
        <f>VLOOKUP($A191,'[3]allergenen 6nr'!$A$1:$O$1310,12,FALSE)</f>
        <v>-</v>
      </c>
      <c r="BN191" s="201" t="str">
        <f>VLOOKUP($A191,'[3]allergenen 6nr'!$A$1:$O$1310,13,FALSE)</f>
        <v>X</v>
      </c>
      <c r="BO191" s="201" t="str">
        <f>VLOOKUP($A191,'[3]allergenen 6nr'!$A$1:$O$1310,14,FALSE)</f>
        <v>-</v>
      </c>
      <c r="BP191" s="202" t="str">
        <f>VLOOKUP($A191,'[3]allergenen 6nr'!$A$1:$O$1310,15,FALSE)</f>
        <v>-</v>
      </c>
    </row>
    <row r="192" spans="1:68" x14ac:dyDescent="0.2">
      <c r="A192" s="89">
        <v>63572900</v>
      </c>
      <c r="B192" s="53" t="str">
        <f>VLOOKUP($A192,[1]maaltijden!$A$1:$IV$65536,4,FALSE)</f>
        <v xml:space="preserve">DLC MIX BOERENKOOL MET RUNDERGEHAKT                   </v>
      </c>
      <c r="C192" s="46" t="str">
        <f>VLOOKUP($A192,[1]maaltijden!$A$1:$IV$65536,7,FALSE)</f>
        <v>C2227-2K</v>
      </c>
      <c r="D192" s="22" t="str">
        <f>VLOOKUP($A192,[1]maaltijden!$A$1:$IV$65536,10,FALSE)</f>
        <v>NVT</v>
      </c>
      <c r="E192" s="22" t="str">
        <f>VLOOKUP($A192,[1]maaltijden!$A$1:$IV$65536,13,FALSE)</f>
        <v>DLC X 6</v>
      </c>
      <c r="F192" s="20">
        <f t="shared" si="2"/>
        <v>0</v>
      </c>
      <c r="G192" s="20" t="str">
        <f>VLOOKUP($A192,[1]maaltijden!$A$1:$IV$65536,27,FALSE)</f>
        <v>! ! !</v>
      </c>
      <c r="H192" s="22">
        <f>VLOOKUP($A192,[1]maaltijden!$A$1:$IV$65536,21,FALSE)</f>
        <v>1</v>
      </c>
      <c r="I192" s="22">
        <f>VLOOKUP($A192,[1]maaltijden!$A$1:$IV$65536,21,FALSE)</f>
        <v>1</v>
      </c>
      <c r="J192" s="22">
        <f>VLOOKUP($A192,[1]maaltijden!$A$1:$IV$65536,18,FALSE)</f>
        <v>3</v>
      </c>
      <c r="K192" s="22">
        <f>VLOOKUP($A192,[1]maaltijden!$A$1:$IV$65536,17,FALSE)</f>
        <v>3</v>
      </c>
      <c r="L192" s="22">
        <f>VLOOKUP($A192,[1]maaltijden!$A$1:$IV$65536,20,FALSE)</f>
        <v>2000</v>
      </c>
      <c r="M192" s="22">
        <f>VLOOKUP($A192,[1]maaltijden!$A$1:$IV$65536,22,FALSE)</f>
        <v>2000</v>
      </c>
      <c r="N192" s="135"/>
      <c r="O192" s="50"/>
      <c r="P192" s="19">
        <v>0</v>
      </c>
      <c r="Q192" s="20">
        <v>1</v>
      </c>
      <c r="R192" s="21">
        <v>0</v>
      </c>
      <c r="S192" s="19">
        <v>0</v>
      </c>
      <c r="T192" s="20">
        <v>1</v>
      </c>
      <c r="U192" s="122">
        <v>0</v>
      </c>
      <c r="V192" s="20">
        <v>1</v>
      </c>
      <c r="W192" s="20">
        <v>1</v>
      </c>
      <c r="X192" s="20">
        <v>1</v>
      </c>
      <c r="Y192" s="20">
        <v>1</v>
      </c>
      <c r="Z192" s="20">
        <v>0</v>
      </c>
      <c r="AA192" s="20">
        <v>0</v>
      </c>
      <c r="AB192" s="49">
        <v>0</v>
      </c>
      <c r="AC192" s="49">
        <v>0</v>
      </c>
      <c r="AD192" s="49">
        <v>0</v>
      </c>
      <c r="AE192" s="49">
        <v>1</v>
      </c>
      <c r="AF192" s="49">
        <v>0</v>
      </c>
      <c r="AG192" s="173">
        <v>0</v>
      </c>
      <c r="AH192" s="174">
        <v>3</v>
      </c>
      <c r="AI192" s="174">
        <v>0</v>
      </c>
      <c r="AJ192" s="174">
        <v>0</v>
      </c>
      <c r="AK192" s="174">
        <v>0</v>
      </c>
      <c r="AL192" s="175">
        <v>0</v>
      </c>
      <c r="AM192" s="19">
        <v>0</v>
      </c>
      <c r="AN192" s="20" t="str">
        <f>IFERROR(INDEX([2]lijnopstellingsfiche!$AP$1:$AP$65536,MATCH(A192,[2]lijnopstellingsfiche!$AQ$1:$AQ$65536,0)),"")</f>
        <v>-</v>
      </c>
      <c r="AO192" s="20">
        <v>0</v>
      </c>
      <c r="AP192" s="20">
        <v>0</v>
      </c>
      <c r="AQ192" s="20">
        <v>2</v>
      </c>
      <c r="AR192" s="20">
        <v>1</v>
      </c>
      <c r="AS192" s="20">
        <v>0</v>
      </c>
      <c r="AT192" s="20">
        <v>0</v>
      </c>
      <c r="AU192" s="20">
        <v>0</v>
      </c>
      <c r="AV192" s="23">
        <v>0</v>
      </c>
      <c r="AW192" s="108">
        <v>0</v>
      </c>
      <c r="AX192" s="108">
        <v>0</v>
      </c>
      <c r="AY192" s="108">
        <v>1</v>
      </c>
      <c r="AZ192" s="108">
        <v>0</v>
      </c>
      <c r="BA192" s="114">
        <v>1</v>
      </c>
      <c r="BB192" s="20">
        <v>0</v>
      </c>
      <c r="BC192" s="113">
        <v>0</v>
      </c>
      <c r="BD192" s="200" t="str">
        <f>VLOOKUP($A192,'[3]allergenen 6nr'!$A$1:$O$1310,3,FALSE)</f>
        <v>-</v>
      </c>
      <c r="BE192" s="201" t="str">
        <f>VLOOKUP($A192,'[3]allergenen 6nr'!$A$1:$O$1310,4,FALSE)</f>
        <v>-</v>
      </c>
      <c r="BF192" s="201" t="str">
        <f>VLOOKUP($A192,'[3]allergenen 6nr'!$A$1:$O$1310,5,FALSE)</f>
        <v>+</v>
      </c>
      <c r="BG192" s="201" t="str">
        <f>VLOOKUP($A192,'[3]allergenen 6nr'!$A$1:$O$1310,6,FALSE)</f>
        <v>X</v>
      </c>
      <c r="BH192" s="201" t="str">
        <f>VLOOKUP($A192,'[3]allergenen 6nr'!$A$1:$O$1310,7,FALSE)</f>
        <v>+</v>
      </c>
      <c r="BI192" s="201" t="str">
        <f>VLOOKUP($A192,'[3]allergenen 6nr'!$A$1:$O$1310,8,FALSE)</f>
        <v>X</v>
      </c>
      <c r="BJ192" s="201" t="str">
        <f>VLOOKUP($A192,'[3]allergenen 6nr'!$A$1:$O$1310,9,FALSE)</f>
        <v>-</v>
      </c>
      <c r="BK192" s="201" t="str">
        <f>VLOOKUP($A192,'[3]allergenen 6nr'!$A$1:$O$1310,10,FALSE)</f>
        <v>-</v>
      </c>
      <c r="BL192" s="201" t="str">
        <f>VLOOKUP($A192,'[3]allergenen 6nr'!$A$1:$O$1310,11,FALSE)</f>
        <v>+</v>
      </c>
      <c r="BM192" s="201" t="str">
        <f>VLOOKUP($A192,'[3]allergenen 6nr'!$A$1:$O$1310,12,FALSE)</f>
        <v>-</v>
      </c>
      <c r="BN192" s="201" t="str">
        <f>VLOOKUP($A192,'[3]allergenen 6nr'!$A$1:$O$1310,13,FALSE)</f>
        <v>X</v>
      </c>
      <c r="BO192" s="201" t="str">
        <f>VLOOKUP($A192,'[3]allergenen 6nr'!$A$1:$O$1310,14,FALSE)</f>
        <v>-</v>
      </c>
      <c r="BP192" s="202" t="str">
        <f>VLOOKUP($A192,'[3]allergenen 6nr'!$A$1:$O$1310,15,FALSE)</f>
        <v>-</v>
      </c>
    </row>
    <row r="193" spans="1:68" x14ac:dyDescent="0.2">
      <c r="A193" s="89">
        <v>63573000</v>
      </c>
      <c r="B193" s="53" t="str">
        <f>VLOOKUP($A193,[1]maaltijden!$A$1:$IV$65536,4,FALSE)</f>
        <v xml:space="preserve">DLC MIX RUNDVLEES MET RODE BIETJES AARDAPPELPUREE     </v>
      </c>
      <c r="C193" s="46" t="str">
        <f>VLOOKUP($A193,[1]maaltijden!$A$1:$IV$65536,7,FALSE)</f>
        <v>C2227-3R</v>
      </c>
      <c r="D193" s="22" t="str">
        <f>VLOOKUP($A193,[1]maaltijden!$A$1:$IV$65536,10,FALSE)</f>
        <v>NVT</v>
      </c>
      <c r="E193" s="22" t="str">
        <f>VLOOKUP($A193,[1]maaltijden!$A$1:$IV$65536,13,FALSE)</f>
        <v>DLC X 6</v>
      </c>
      <c r="F193" s="20">
        <f t="shared" si="2"/>
        <v>0</v>
      </c>
      <c r="G193" s="20" t="str">
        <f>VLOOKUP($A193,[1]maaltijden!$A$1:$IV$65536,27,FALSE)</f>
        <v>! ! !</v>
      </c>
      <c r="H193" s="22">
        <f>VLOOKUP($A193,[1]maaltijden!$A$1:$IV$65536,21,FALSE)</f>
        <v>1</v>
      </c>
      <c r="I193" s="22">
        <f>VLOOKUP($A193,[1]maaltijden!$A$1:$IV$65536,21,FALSE)</f>
        <v>1</v>
      </c>
      <c r="J193" s="22">
        <f>VLOOKUP($A193,[1]maaltijden!$A$1:$IV$65536,18,FALSE)</f>
        <v>3</v>
      </c>
      <c r="K193" s="22">
        <f>VLOOKUP($A193,[1]maaltijden!$A$1:$IV$65536,17,FALSE)</f>
        <v>3</v>
      </c>
      <c r="L193" s="22">
        <f>VLOOKUP($A193,[1]maaltijden!$A$1:$IV$65536,20,FALSE)</f>
        <v>2000</v>
      </c>
      <c r="M193" s="22">
        <f>VLOOKUP($A193,[1]maaltijden!$A$1:$IV$65536,22,FALSE)</f>
        <v>2000</v>
      </c>
      <c r="N193" s="135"/>
      <c r="O193" s="50"/>
      <c r="P193" s="19">
        <v>0</v>
      </c>
      <c r="Q193" s="20">
        <v>1</v>
      </c>
      <c r="R193" s="21">
        <v>0</v>
      </c>
      <c r="S193" s="19">
        <v>0</v>
      </c>
      <c r="T193" s="20">
        <v>1</v>
      </c>
      <c r="U193" s="19">
        <v>0</v>
      </c>
      <c r="V193" s="20">
        <v>1</v>
      </c>
      <c r="W193" s="20">
        <v>1</v>
      </c>
      <c r="X193" s="20">
        <v>1</v>
      </c>
      <c r="Y193" s="20">
        <v>1</v>
      </c>
      <c r="Z193" s="20">
        <v>0</v>
      </c>
      <c r="AA193" s="20">
        <v>0</v>
      </c>
      <c r="AB193" s="11">
        <v>0</v>
      </c>
      <c r="AC193" s="49">
        <v>0</v>
      </c>
      <c r="AD193" s="49">
        <v>0</v>
      </c>
      <c r="AE193" s="49">
        <v>1</v>
      </c>
      <c r="AF193" s="49">
        <v>0</v>
      </c>
      <c r="AG193" s="173">
        <v>0</v>
      </c>
      <c r="AH193" s="174">
        <v>3</v>
      </c>
      <c r="AI193" s="174">
        <v>0</v>
      </c>
      <c r="AJ193" s="174">
        <v>0</v>
      </c>
      <c r="AK193" s="174">
        <v>0</v>
      </c>
      <c r="AL193" s="175">
        <v>0</v>
      </c>
      <c r="AM193" s="19">
        <v>0</v>
      </c>
      <c r="AN193" s="20" t="str">
        <f>IFERROR(INDEX([2]lijnopstellingsfiche!$AP$1:$AP$65536,MATCH(A193,[2]lijnopstellingsfiche!$AQ$1:$AQ$65536,0)),"")</f>
        <v>-</v>
      </c>
      <c r="AO193" s="20">
        <v>0</v>
      </c>
      <c r="AP193" s="20">
        <v>0</v>
      </c>
      <c r="AQ193" s="20">
        <v>3</v>
      </c>
      <c r="AR193" s="20">
        <v>1</v>
      </c>
      <c r="AS193" s="20">
        <v>0</v>
      </c>
      <c r="AT193" s="20">
        <v>0</v>
      </c>
      <c r="AU193" s="20">
        <v>0</v>
      </c>
      <c r="AV193" s="23">
        <v>0</v>
      </c>
      <c r="AW193" s="108">
        <v>0</v>
      </c>
      <c r="AX193" s="108">
        <v>0</v>
      </c>
      <c r="AY193" s="108">
        <v>1</v>
      </c>
      <c r="AZ193" s="108">
        <v>0</v>
      </c>
      <c r="BA193" s="114">
        <v>1</v>
      </c>
      <c r="BB193" s="20">
        <v>0</v>
      </c>
      <c r="BC193" s="113">
        <v>0</v>
      </c>
      <c r="BD193" s="200" t="str">
        <f>VLOOKUP($A193,'[3]allergenen 6nr'!$A$1:$O$1310,3,FALSE)</f>
        <v>-</v>
      </c>
      <c r="BE193" s="201" t="str">
        <f>VLOOKUP($A193,'[3]allergenen 6nr'!$A$1:$O$1310,4,FALSE)</f>
        <v>+</v>
      </c>
      <c r="BF193" s="201" t="str">
        <f>VLOOKUP($A193,'[3]allergenen 6nr'!$A$1:$O$1310,5,FALSE)</f>
        <v>+</v>
      </c>
      <c r="BG193" s="201" t="str">
        <f>VLOOKUP($A193,'[3]allergenen 6nr'!$A$1:$O$1310,6,FALSE)</f>
        <v>X</v>
      </c>
      <c r="BH193" s="201" t="str">
        <f>VLOOKUP($A193,'[3]allergenen 6nr'!$A$1:$O$1310,7,FALSE)</f>
        <v>+</v>
      </c>
      <c r="BI193" s="201" t="str">
        <f>VLOOKUP($A193,'[3]allergenen 6nr'!$A$1:$O$1310,8,FALSE)</f>
        <v>+</v>
      </c>
      <c r="BJ193" s="201" t="str">
        <f>VLOOKUP($A193,'[3]allergenen 6nr'!$A$1:$O$1310,9,FALSE)</f>
        <v>X</v>
      </c>
      <c r="BK193" s="201" t="str">
        <f>VLOOKUP($A193,'[3]allergenen 6nr'!$A$1:$O$1310,10,FALSE)</f>
        <v>-</v>
      </c>
      <c r="BL193" s="201" t="str">
        <f>VLOOKUP($A193,'[3]allergenen 6nr'!$A$1:$O$1310,11,FALSE)</f>
        <v>+</v>
      </c>
      <c r="BM193" s="201" t="str">
        <f>VLOOKUP($A193,'[3]allergenen 6nr'!$A$1:$O$1310,12,FALSE)</f>
        <v>-</v>
      </c>
      <c r="BN193" s="201" t="str">
        <f>VLOOKUP($A193,'[3]allergenen 6nr'!$A$1:$O$1310,13,FALSE)</f>
        <v>X</v>
      </c>
      <c r="BO193" s="201" t="str">
        <f>VLOOKUP($A193,'[3]allergenen 6nr'!$A$1:$O$1310,14,FALSE)</f>
        <v>-</v>
      </c>
      <c r="BP193" s="202" t="str">
        <f>VLOOKUP($A193,'[3]allergenen 6nr'!$A$1:$O$1310,15,FALSE)</f>
        <v>-</v>
      </c>
    </row>
    <row r="194" spans="1:68" x14ac:dyDescent="0.2">
      <c r="A194" s="89">
        <v>63573200</v>
      </c>
      <c r="B194" s="53" t="str">
        <f>VLOOKUP($A194,[1]maaltijden!$A$1:$IV$65536,4,FALSE)</f>
        <v xml:space="preserve">DLC MIX GEHAKT MET BLOEMKOOL EN KNOLSELDERIJPUREE     </v>
      </c>
      <c r="C194" s="46" t="str">
        <f>VLOOKUP($A194,[1]maaltijden!$A$1:$IV$65536,7,FALSE)</f>
        <v>C2227-3R</v>
      </c>
      <c r="D194" s="22" t="str">
        <f>VLOOKUP($A194,[1]maaltijden!$A$1:$IV$65536,10,FALSE)</f>
        <v>NVT</v>
      </c>
      <c r="E194" s="22" t="str">
        <f>VLOOKUP($A194,[1]maaltijden!$A$1:$IV$65536,13,FALSE)</f>
        <v>DLC X 6</v>
      </c>
      <c r="F194" s="20">
        <f t="shared" si="2"/>
        <v>0</v>
      </c>
      <c r="G194" s="20" t="str">
        <f>VLOOKUP($A194,[1]maaltijden!$A$1:$IV$65536,27,FALSE)</f>
        <v>! ! !</v>
      </c>
      <c r="H194" s="22">
        <f>VLOOKUP($A194,[1]maaltijden!$A$1:$IV$65536,21,FALSE)</f>
        <v>3</v>
      </c>
      <c r="I194" s="22">
        <f>VLOOKUP($A194,[1]maaltijden!$A$1:$IV$65536,21,FALSE)</f>
        <v>3</v>
      </c>
      <c r="J194" s="22">
        <f>VLOOKUP($A194,[1]maaltijden!$A$1:$IV$65536,18,FALSE)</f>
        <v>3</v>
      </c>
      <c r="K194" s="22">
        <f>VLOOKUP($A194,[1]maaltijden!$A$1:$IV$65536,17,FALSE)</f>
        <v>3</v>
      </c>
      <c r="L194" s="22">
        <f>VLOOKUP($A194,[1]maaltijden!$A$1:$IV$65536,20,FALSE)</f>
        <v>2000</v>
      </c>
      <c r="M194" s="22">
        <f>VLOOKUP($A194,[1]maaltijden!$A$1:$IV$65536,22,FALSE)</f>
        <v>2000</v>
      </c>
      <c r="N194" s="135"/>
      <c r="O194" s="50"/>
      <c r="P194" s="19">
        <v>0</v>
      </c>
      <c r="Q194" s="20">
        <v>1</v>
      </c>
      <c r="R194" s="21">
        <v>0</v>
      </c>
      <c r="S194" s="19">
        <v>0</v>
      </c>
      <c r="T194" s="20">
        <v>1</v>
      </c>
      <c r="U194" s="19">
        <v>0</v>
      </c>
      <c r="V194" s="20">
        <v>1</v>
      </c>
      <c r="W194" s="20">
        <v>1</v>
      </c>
      <c r="X194" s="20">
        <v>1</v>
      </c>
      <c r="Y194" s="20">
        <v>1</v>
      </c>
      <c r="Z194" s="20">
        <v>0</v>
      </c>
      <c r="AA194" s="20">
        <v>0</v>
      </c>
      <c r="AB194" s="49">
        <v>0</v>
      </c>
      <c r="AC194" s="49">
        <v>0</v>
      </c>
      <c r="AD194" s="49">
        <v>0</v>
      </c>
      <c r="AE194" s="49">
        <v>1</v>
      </c>
      <c r="AF194" s="49">
        <v>0</v>
      </c>
      <c r="AG194" s="173">
        <v>0</v>
      </c>
      <c r="AH194" s="174">
        <v>3</v>
      </c>
      <c r="AI194" s="174">
        <v>0</v>
      </c>
      <c r="AJ194" s="174">
        <v>0</v>
      </c>
      <c r="AK194" s="174">
        <v>0</v>
      </c>
      <c r="AL194" s="175">
        <v>0</v>
      </c>
      <c r="AM194" s="19">
        <v>0</v>
      </c>
      <c r="AN194" s="20" t="str">
        <f>IFERROR(INDEX([2]lijnopstellingsfiche!$AP$1:$AP$65536,MATCH(A194,[2]lijnopstellingsfiche!$AQ$1:$AQ$65536,0)),"")</f>
        <v>-</v>
      </c>
      <c r="AO194" s="20">
        <v>0</v>
      </c>
      <c r="AP194" s="20">
        <v>0</v>
      </c>
      <c r="AQ194" s="20">
        <v>2</v>
      </c>
      <c r="AR194" s="20">
        <v>1</v>
      </c>
      <c r="AS194" s="20">
        <v>0</v>
      </c>
      <c r="AT194" s="20">
        <v>0</v>
      </c>
      <c r="AU194" s="20">
        <v>0</v>
      </c>
      <c r="AV194" s="23">
        <v>0</v>
      </c>
      <c r="AW194" s="108">
        <v>0</v>
      </c>
      <c r="AX194" s="108">
        <v>0</v>
      </c>
      <c r="AY194" s="108">
        <v>1</v>
      </c>
      <c r="AZ194" s="108">
        <v>0</v>
      </c>
      <c r="BA194" s="114">
        <v>1</v>
      </c>
      <c r="BB194" s="20">
        <v>0</v>
      </c>
      <c r="BC194" s="113">
        <v>0</v>
      </c>
      <c r="BD194" s="200" t="str">
        <f>VLOOKUP($A194,'[3]allergenen 6nr'!$A$1:$O$1310,3,FALSE)</f>
        <v>-</v>
      </c>
      <c r="BE194" s="201" t="str">
        <f>VLOOKUP($A194,'[3]allergenen 6nr'!$A$1:$O$1310,4,FALSE)</f>
        <v>+</v>
      </c>
      <c r="BF194" s="201" t="str">
        <f>VLOOKUP($A194,'[3]allergenen 6nr'!$A$1:$O$1310,5,FALSE)</f>
        <v>+</v>
      </c>
      <c r="BG194" s="201" t="str">
        <f>VLOOKUP($A194,'[3]allergenen 6nr'!$A$1:$O$1310,6,FALSE)</f>
        <v>X</v>
      </c>
      <c r="BH194" s="201" t="str">
        <f>VLOOKUP($A194,'[3]allergenen 6nr'!$A$1:$O$1310,7,FALSE)</f>
        <v>+</v>
      </c>
      <c r="BI194" s="201" t="str">
        <f>VLOOKUP($A194,'[3]allergenen 6nr'!$A$1:$O$1310,8,FALSE)</f>
        <v>X</v>
      </c>
      <c r="BJ194" s="201" t="str">
        <f>VLOOKUP($A194,'[3]allergenen 6nr'!$A$1:$O$1310,9,FALSE)</f>
        <v>-</v>
      </c>
      <c r="BK194" s="201" t="str">
        <f>VLOOKUP($A194,'[3]allergenen 6nr'!$A$1:$O$1310,10,FALSE)</f>
        <v>-</v>
      </c>
      <c r="BL194" s="201" t="str">
        <f>VLOOKUP($A194,'[3]allergenen 6nr'!$A$1:$O$1310,11,FALSE)</f>
        <v>+</v>
      </c>
      <c r="BM194" s="201" t="str">
        <f>VLOOKUP($A194,'[3]allergenen 6nr'!$A$1:$O$1310,12,FALSE)</f>
        <v>-</v>
      </c>
      <c r="BN194" s="201" t="str">
        <f>VLOOKUP($A194,'[3]allergenen 6nr'!$A$1:$O$1310,13,FALSE)</f>
        <v>X</v>
      </c>
      <c r="BO194" s="201" t="str">
        <f>VLOOKUP($A194,'[3]allergenen 6nr'!$A$1:$O$1310,14,FALSE)</f>
        <v>-</v>
      </c>
      <c r="BP194" s="202" t="str">
        <f>VLOOKUP($A194,'[3]allergenen 6nr'!$A$1:$O$1310,15,FALSE)</f>
        <v>-</v>
      </c>
    </row>
    <row r="195" spans="1:68" x14ac:dyDescent="0.2">
      <c r="A195" s="89">
        <v>63573300</v>
      </c>
      <c r="B195" s="53" t="str">
        <f>VLOOKUP($A195,[1]maaltijden!$A$1:$IV$65536,4,FALSE)</f>
        <v xml:space="preserve">DLC MIX KIP MET SPERZIEBOONTJES EN AARDAPPELPUREE     </v>
      </c>
      <c r="C195" s="46" t="str">
        <f>VLOOKUP($A195,[1]maaltijden!$A$1:$IV$65536,7,FALSE)</f>
        <v>C2227-3R</v>
      </c>
      <c r="D195" s="22" t="str">
        <f>VLOOKUP($A195,[1]maaltijden!$A$1:$IV$65536,10,FALSE)</f>
        <v>NVT</v>
      </c>
      <c r="E195" s="22" t="str">
        <f>VLOOKUP($A195,[1]maaltijden!$A$1:$IV$65536,13,FALSE)</f>
        <v>DLC X 6</v>
      </c>
      <c r="F195" s="20">
        <f t="shared" ref="F195:F258" si="3">IF($D195="Bedrukte folie 470x300",1,0)</f>
        <v>0</v>
      </c>
      <c r="G195" s="20" t="str">
        <f>VLOOKUP($A195,[1]maaltijden!$A$1:$IV$65536,27,FALSE)</f>
        <v>! ! !</v>
      </c>
      <c r="H195" s="22">
        <f>VLOOKUP($A195,[1]maaltijden!$A$1:$IV$65536,21,FALSE)</f>
        <v>3</v>
      </c>
      <c r="I195" s="22">
        <f>VLOOKUP($A195,[1]maaltijden!$A$1:$IV$65536,21,FALSE)</f>
        <v>3</v>
      </c>
      <c r="J195" s="22">
        <f>VLOOKUP($A195,[1]maaltijden!$A$1:$IV$65536,18,FALSE)</f>
        <v>3</v>
      </c>
      <c r="K195" s="22">
        <f>VLOOKUP($A195,[1]maaltijden!$A$1:$IV$65536,17,FALSE)</f>
        <v>3</v>
      </c>
      <c r="L195" s="22">
        <f>VLOOKUP($A195,[1]maaltijden!$A$1:$IV$65536,20,FALSE)</f>
        <v>2000</v>
      </c>
      <c r="M195" s="22">
        <f>VLOOKUP($A195,[1]maaltijden!$A$1:$IV$65536,22,FALSE)</f>
        <v>2000</v>
      </c>
      <c r="N195" s="135"/>
      <c r="O195" s="50"/>
      <c r="P195" s="19">
        <v>0</v>
      </c>
      <c r="Q195" s="20">
        <v>1</v>
      </c>
      <c r="R195" s="21">
        <v>0</v>
      </c>
      <c r="S195" s="19">
        <v>0</v>
      </c>
      <c r="T195" s="20">
        <v>1</v>
      </c>
      <c r="U195" s="19">
        <v>1</v>
      </c>
      <c r="V195" s="20">
        <v>1</v>
      </c>
      <c r="W195" s="20">
        <v>1</v>
      </c>
      <c r="X195" s="20">
        <v>1</v>
      </c>
      <c r="Y195" s="20">
        <v>1</v>
      </c>
      <c r="Z195" s="20">
        <v>0</v>
      </c>
      <c r="AA195" s="20">
        <v>0</v>
      </c>
      <c r="AB195" s="49">
        <v>0</v>
      </c>
      <c r="AC195" s="49">
        <v>0</v>
      </c>
      <c r="AD195" s="49">
        <v>0</v>
      </c>
      <c r="AE195" s="49">
        <v>0</v>
      </c>
      <c r="AF195" s="49">
        <v>0</v>
      </c>
      <c r="AG195" s="184">
        <v>0</v>
      </c>
      <c r="AH195" s="182">
        <v>3</v>
      </c>
      <c r="AI195" s="182">
        <v>0</v>
      </c>
      <c r="AJ195" s="182">
        <v>0</v>
      </c>
      <c r="AK195" s="182">
        <v>0</v>
      </c>
      <c r="AL195" s="183">
        <v>0</v>
      </c>
      <c r="AM195" s="19">
        <v>0</v>
      </c>
      <c r="AN195" s="20" t="str">
        <f>IFERROR(INDEX([2]lijnopstellingsfiche!$AP$1:$AP$65536,MATCH(A195,[2]lijnopstellingsfiche!$AQ$1:$AQ$65536,0)),"")</f>
        <v>-</v>
      </c>
      <c r="AO195" s="20">
        <v>0</v>
      </c>
      <c r="AP195" s="20">
        <v>0</v>
      </c>
      <c r="AQ195" s="20">
        <v>2</v>
      </c>
      <c r="AR195" s="20">
        <v>1</v>
      </c>
      <c r="AS195" s="20">
        <v>0</v>
      </c>
      <c r="AT195" s="20">
        <v>0</v>
      </c>
      <c r="AU195" s="20">
        <v>0</v>
      </c>
      <c r="AV195" s="23">
        <v>0</v>
      </c>
      <c r="AW195" s="108">
        <v>0</v>
      </c>
      <c r="AX195" s="108">
        <v>0</v>
      </c>
      <c r="AY195" s="108">
        <v>1</v>
      </c>
      <c r="AZ195" s="108">
        <v>0</v>
      </c>
      <c r="BA195" s="114">
        <v>1</v>
      </c>
      <c r="BB195" s="20">
        <v>0</v>
      </c>
      <c r="BC195" s="113">
        <v>0</v>
      </c>
      <c r="BD195" s="200" t="str">
        <f>VLOOKUP($A195,'[3]allergenen 6nr'!$A$1:$O$1310,3,FALSE)</f>
        <v>-</v>
      </c>
      <c r="BE195" s="201" t="str">
        <f>VLOOKUP($A195,'[3]allergenen 6nr'!$A$1:$O$1310,4,FALSE)</f>
        <v>+</v>
      </c>
      <c r="BF195" s="201" t="str">
        <f>VLOOKUP($A195,'[3]allergenen 6nr'!$A$1:$O$1310,5,FALSE)</f>
        <v>+</v>
      </c>
      <c r="BG195" s="201" t="str">
        <f>VLOOKUP($A195,'[3]allergenen 6nr'!$A$1:$O$1310,6,FALSE)</f>
        <v>X</v>
      </c>
      <c r="BH195" s="201" t="str">
        <f>VLOOKUP($A195,'[3]allergenen 6nr'!$A$1:$O$1310,7,FALSE)</f>
        <v>+</v>
      </c>
      <c r="BI195" s="201" t="str">
        <f>VLOOKUP($A195,'[3]allergenen 6nr'!$A$1:$O$1310,8,FALSE)</f>
        <v>X</v>
      </c>
      <c r="BJ195" s="201" t="str">
        <f>VLOOKUP($A195,'[3]allergenen 6nr'!$A$1:$O$1310,9,FALSE)</f>
        <v>-</v>
      </c>
      <c r="BK195" s="201" t="str">
        <f>VLOOKUP($A195,'[3]allergenen 6nr'!$A$1:$O$1310,10,FALSE)</f>
        <v>-</v>
      </c>
      <c r="BL195" s="201" t="str">
        <f>VLOOKUP($A195,'[3]allergenen 6nr'!$A$1:$O$1310,11,FALSE)</f>
        <v>+</v>
      </c>
      <c r="BM195" s="201" t="str">
        <f>VLOOKUP($A195,'[3]allergenen 6nr'!$A$1:$O$1310,12,FALSE)</f>
        <v>-</v>
      </c>
      <c r="BN195" s="201" t="str">
        <f>VLOOKUP($A195,'[3]allergenen 6nr'!$A$1:$O$1310,13,FALSE)</f>
        <v>X</v>
      </c>
      <c r="BO195" s="201" t="str">
        <f>VLOOKUP($A195,'[3]allergenen 6nr'!$A$1:$O$1310,14,FALSE)</f>
        <v>-</v>
      </c>
      <c r="BP195" s="202" t="str">
        <f>VLOOKUP($A195,'[3]allergenen 6nr'!$A$1:$O$1310,15,FALSE)</f>
        <v>-</v>
      </c>
    </row>
    <row r="196" spans="1:68" x14ac:dyDescent="0.2">
      <c r="A196" s="89">
        <v>63573400</v>
      </c>
      <c r="B196" s="53" t="str">
        <f>VLOOKUP($A196,[1]maaltijden!$A$1:$IV$65536,4,FALSE)</f>
        <v xml:space="preserve">DLC MIX RUNDERHACHEE MET RODE KOOL AARDAPPELPUREE     </v>
      </c>
      <c r="C196" s="46" t="str">
        <f>VLOOKUP($A196,[1]maaltijden!$A$1:$IV$65536,7,FALSE)</f>
        <v>C2227-3R</v>
      </c>
      <c r="D196" s="22" t="str">
        <f>VLOOKUP($A196,[1]maaltijden!$A$1:$IV$65536,10,FALSE)</f>
        <v>NVT</v>
      </c>
      <c r="E196" s="22" t="str">
        <f>VLOOKUP($A196,[1]maaltijden!$A$1:$IV$65536,13,FALSE)</f>
        <v>DLC X 6</v>
      </c>
      <c r="F196" s="20">
        <f t="shared" si="3"/>
        <v>0</v>
      </c>
      <c r="G196" s="20" t="str">
        <f>VLOOKUP($A196,[1]maaltijden!$A$1:$IV$65536,27,FALSE)</f>
        <v>! ! !</v>
      </c>
      <c r="H196" s="22">
        <f>VLOOKUP($A196,[1]maaltijden!$A$1:$IV$65536,21,FALSE)</f>
        <v>1</v>
      </c>
      <c r="I196" s="22">
        <f>VLOOKUP($A196,[1]maaltijden!$A$1:$IV$65536,21,FALSE)</f>
        <v>1</v>
      </c>
      <c r="J196" s="22">
        <f>VLOOKUP($A196,[1]maaltijden!$A$1:$IV$65536,18,FALSE)</f>
        <v>3</v>
      </c>
      <c r="K196" s="22">
        <f>VLOOKUP($A196,[1]maaltijden!$A$1:$IV$65536,17,FALSE)</f>
        <v>3</v>
      </c>
      <c r="L196" s="22">
        <f>VLOOKUP($A196,[1]maaltijden!$A$1:$IV$65536,20,FALSE)</f>
        <v>2000</v>
      </c>
      <c r="M196" s="22">
        <f>VLOOKUP($A196,[1]maaltijden!$A$1:$IV$65536,22,FALSE)</f>
        <v>2000</v>
      </c>
      <c r="N196" s="135"/>
      <c r="O196" s="50"/>
      <c r="P196" s="19">
        <v>0</v>
      </c>
      <c r="Q196" s="20">
        <v>1</v>
      </c>
      <c r="R196" s="21">
        <v>0</v>
      </c>
      <c r="S196" s="19">
        <v>0</v>
      </c>
      <c r="T196" s="20">
        <v>1</v>
      </c>
      <c r="U196" s="19">
        <v>0</v>
      </c>
      <c r="V196" s="20">
        <v>1</v>
      </c>
      <c r="W196" s="20">
        <v>1</v>
      </c>
      <c r="X196" s="20">
        <v>1</v>
      </c>
      <c r="Y196" s="20">
        <v>1</v>
      </c>
      <c r="Z196" s="20">
        <v>0</v>
      </c>
      <c r="AA196" s="20">
        <v>0</v>
      </c>
      <c r="AB196" s="49">
        <v>0</v>
      </c>
      <c r="AC196" s="49">
        <v>0</v>
      </c>
      <c r="AD196" s="49">
        <v>0</v>
      </c>
      <c r="AE196" s="49">
        <v>1</v>
      </c>
      <c r="AF196" s="49">
        <v>0</v>
      </c>
      <c r="AG196" s="173">
        <v>0</v>
      </c>
      <c r="AH196" s="174">
        <v>3</v>
      </c>
      <c r="AI196" s="174">
        <v>0</v>
      </c>
      <c r="AJ196" s="174">
        <v>0</v>
      </c>
      <c r="AK196" s="174">
        <v>0</v>
      </c>
      <c r="AL196" s="175">
        <v>0</v>
      </c>
      <c r="AM196" s="19">
        <v>0</v>
      </c>
      <c r="AN196" s="20" t="str">
        <f>IFERROR(INDEX([2]lijnopstellingsfiche!$AP$1:$AP$65536,MATCH(A196,[2]lijnopstellingsfiche!$AQ$1:$AQ$65536,0)),"")</f>
        <v>-</v>
      </c>
      <c r="AO196" s="20">
        <v>0</v>
      </c>
      <c r="AP196" s="20">
        <v>0</v>
      </c>
      <c r="AQ196" s="20">
        <v>3</v>
      </c>
      <c r="AR196" s="20">
        <v>1</v>
      </c>
      <c r="AS196" s="20">
        <v>0</v>
      </c>
      <c r="AT196" s="20">
        <v>0</v>
      </c>
      <c r="AU196" s="20">
        <v>0</v>
      </c>
      <c r="AV196" s="23">
        <v>0</v>
      </c>
      <c r="AW196" s="108">
        <v>0</v>
      </c>
      <c r="AX196" s="108">
        <v>0</v>
      </c>
      <c r="AY196" s="108">
        <v>1</v>
      </c>
      <c r="AZ196" s="108">
        <v>0</v>
      </c>
      <c r="BA196" s="114">
        <v>1</v>
      </c>
      <c r="BB196" s="20">
        <v>0</v>
      </c>
      <c r="BC196" s="113">
        <v>0</v>
      </c>
      <c r="BD196" s="200" t="str">
        <f>VLOOKUP($A196,'[3]allergenen 6nr'!$A$1:$O$1310,3,FALSE)</f>
        <v>-</v>
      </c>
      <c r="BE196" s="201" t="str">
        <f>VLOOKUP($A196,'[3]allergenen 6nr'!$A$1:$O$1310,4,FALSE)</f>
        <v>+</v>
      </c>
      <c r="BF196" s="201" t="str">
        <f>VLOOKUP($A196,'[3]allergenen 6nr'!$A$1:$O$1310,5,FALSE)</f>
        <v>+</v>
      </c>
      <c r="BG196" s="201" t="str">
        <f>VLOOKUP($A196,'[3]allergenen 6nr'!$A$1:$O$1310,6,FALSE)</f>
        <v>-</v>
      </c>
      <c r="BH196" s="201" t="str">
        <f>VLOOKUP($A196,'[3]allergenen 6nr'!$A$1:$O$1310,7,FALSE)</f>
        <v>+</v>
      </c>
      <c r="BI196" s="201" t="str">
        <f>VLOOKUP($A196,'[3]allergenen 6nr'!$A$1:$O$1310,8,FALSE)</f>
        <v>-</v>
      </c>
      <c r="BJ196" s="201" t="str">
        <f>VLOOKUP($A196,'[3]allergenen 6nr'!$A$1:$O$1310,9,FALSE)</f>
        <v>-</v>
      </c>
      <c r="BK196" s="201" t="str">
        <f>VLOOKUP($A196,'[3]allergenen 6nr'!$A$1:$O$1310,10,FALSE)</f>
        <v>-</v>
      </c>
      <c r="BL196" s="201" t="str">
        <f>VLOOKUP($A196,'[3]allergenen 6nr'!$A$1:$O$1310,11,FALSE)</f>
        <v>+</v>
      </c>
      <c r="BM196" s="201" t="str">
        <f>VLOOKUP($A196,'[3]allergenen 6nr'!$A$1:$O$1310,12,FALSE)</f>
        <v>-</v>
      </c>
      <c r="BN196" s="201" t="str">
        <f>VLOOKUP($A196,'[3]allergenen 6nr'!$A$1:$O$1310,13,FALSE)</f>
        <v>-</v>
      </c>
      <c r="BO196" s="201" t="str">
        <f>VLOOKUP($A196,'[3]allergenen 6nr'!$A$1:$O$1310,14,FALSE)</f>
        <v>-</v>
      </c>
      <c r="BP196" s="202" t="str">
        <f>VLOOKUP($A196,'[3]allergenen 6nr'!$A$1:$O$1310,15,FALSE)</f>
        <v>-</v>
      </c>
    </row>
    <row r="197" spans="1:68" x14ac:dyDescent="0.2">
      <c r="A197" s="89">
        <v>63573500</v>
      </c>
      <c r="B197" s="53" t="str">
        <f>VLOOKUP($A197,[1]maaltijden!$A$1:$IV$65536,4,FALSE)</f>
        <v xml:space="preserve">DLC MIX RUNDVLEES MET WITLOF EN AARDAPPELPUREE     </v>
      </c>
      <c r="C197" s="46" t="str">
        <f>VLOOKUP($A197,[1]maaltijden!$A$1:$IV$65536,7,FALSE)</f>
        <v>C2227-3R</v>
      </c>
      <c r="D197" s="22" t="str">
        <f>VLOOKUP($A197,[1]maaltijden!$A$1:$IV$65536,10,FALSE)</f>
        <v>NVT</v>
      </c>
      <c r="E197" s="22" t="str">
        <f>VLOOKUP($A197,[1]maaltijden!$A$1:$IV$65536,13,FALSE)</f>
        <v>DLC X 6</v>
      </c>
      <c r="F197" s="20">
        <f t="shared" si="3"/>
        <v>0</v>
      </c>
      <c r="G197" s="20" t="str">
        <f>VLOOKUP($A197,[1]maaltijden!$A$1:$IV$65536,27,FALSE)</f>
        <v>! ! !</v>
      </c>
      <c r="H197" s="22">
        <f>VLOOKUP($A197,[1]maaltijden!$A$1:$IV$65536,21,FALSE)</f>
        <v>1</v>
      </c>
      <c r="I197" s="22">
        <f>VLOOKUP($A197,[1]maaltijden!$A$1:$IV$65536,21,FALSE)</f>
        <v>1</v>
      </c>
      <c r="J197" s="22">
        <f>VLOOKUP($A197,[1]maaltijden!$A$1:$IV$65536,18,FALSE)</f>
        <v>3</v>
      </c>
      <c r="K197" s="22">
        <f>VLOOKUP($A197,[1]maaltijden!$A$1:$IV$65536,17,FALSE)</f>
        <v>3</v>
      </c>
      <c r="L197" s="22">
        <f>VLOOKUP($A197,[1]maaltijden!$A$1:$IV$65536,20,FALSE)</f>
        <v>2000</v>
      </c>
      <c r="M197" s="22">
        <f>VLOOKUP($A197,[1]maaltijden!$A$1:$IV$65536,22,FALSE)</f>
        <v>2000</v>
      </c>
      <c r="N197" s="135"/>
      <c r="O197" s="50"/>
      <c r="P197" s="19">
        <v>0</v>
      </c>
      <c r="Q197" s="20">
        <v>1</v>
      </c>
      <c r="R197" s="21">
        <v>0</v>
      </c>
      <c r="S197" s="19">
        <v>0</v>
      </c>
      <c r="T197" s="20">
        <v>1</v>
      </c>
      <c r="U197" s="19">
        <v>0</v>
      </c>
      <c r="V197" s="20">
        <v>1</v>
      </c>
      <c r="W197" s="20">
        <v>1</v>
      </c>
      <c r="X197" s="20">
        <v>1</v>
      </c>
      <c r="Y197" s="20">
        <v>1</v>
      </c>
      <c r="Z197" s="20">
        <v>1</v>
      </c>
      <c r="AA197" s="20">
        <v>0</v>
      </c>
      <c r="AB197" s="49">
        <v>0</v>
      </c>
      <c r="AC197" s="49">
        <v>0</v>
      </c>
      <c r="AD197" s="49">
        <v>0</v>
      </c>
      <c r="AE197" s="49">
        <v>1</v>
      </c>
      <c r="AF197" s="49">
        <v>0</v>
      </c>
      <c r="AG197" s="161">
        <v>0</v>
      </c>
      <c r="AH197" s="162">
        <v>3</v>
      </c>
      <c r="AI197" s="162">
        <v>0</v>
      </c>
      <c r="AJ197" s="162">
        <v>0</v>
      </c>
      <c r="AK197" s="162">
        <v>0</v>
      </c>
      <c r="AL197" s="163">
        <v>0</v>
      </c>
      <c r="AM197" s="19">
        <v>0</v>
      </c>
      <c r="AN197" s="20" t="str">
        <f>IFERROR(INDEX([2]lijnopstellingsfiche!$AP$1:$AP$65536,MATCH(A197,[2]lijnopstellingsfiche!$AQ$1:$AQ$65536,0)),"")</f>
        <v>-</v>
      </c>
      <c r="AO197" s="20">
        <v>0</v>
      </c>
      <c r="AP197" s="20">
        <v>0</v>
      </c>
      <c r="AQ197" s="20">
        <v>2</v>
      </c>
      <c r="AR197" s="20">
        <v>1</v>
      </c>
      <c r="AS197" s="20">
        <v>0</v>
      </c>
      <c r="AT197" s="20">
        <v>0</v>
      </c>
      <c r="AU197" s="20">
        <v>0</v>
      </c>
      <c r="AV197" s="23">
        <v>0</v>
      </c>
      <c r="AW197" s="108">
        <v>0</v>
      </c>
      <c r="AX197" s="108">
        <v>0</v>
      </c>
      <c r="AY197" s="108">
        <v>1</v>
      </c>
      <c r="AZ197" s="108">
        <v>0</v>
      </c>
      <c r="BA197" s="114">
        <v>1</v>
      </c>
      <c r="BB197" s="20">
        <v>0</v>
      </c>
      <c r="BC197" s="113">
        <v>0</v>
      </c>
      <c r="BD197" s="200" t="str">
        <f>VLOOKUP($A197,'[3]allergenen 6nr'!$A$1:$O$1310,3,FALSE)</f>
        <v>-</v>
      </c>
      <c r="BE197" s="201" t="str">
        <f>VLOOKUP($A197,'[3]allergenen 6nr'!$A$1:$O$1310,4,FALSE)</f>
        <v>+</v>
      </c>
      <c r="BF197" s="201" t="str">
        <f>VLOOKUP($A197,'[3]allergenen 6nr'!$A$1:$O$1310,5,FALSE)</f>
        <v>+</v>
      </c>
      <c r="BG197" s="201" t="str">
        <f>VLOOKUP($A197,'[3]allergenen 6nr'!$A$1:$O$1310,6,FALSE)</f>
        <v>X</v>
      </c>
      <c r="BH197" s="201" t="str">
        <f>VLOOKUP($A197,'[3]allergenen 6nr'!$A$1:$O$1310,7,FALSE)</f>
        <v>+</v>
      </c>
      <c r="BI197" s="201" t="str">
        <f>VLOOKUP($A197,'[3]allergenen 6nr'!$A$1:$O$1310,8,FALSE)</f>
        <v>+</v>
      </c>
      <c r="BJ197" s="201" t="str">
        <f>VLOOKUP($A197,'[3]allergenen 6nr'!$A$1:$O$1310,9,FALSE)</f>
        <v>X</v>
      </c>
      <c r="BK197" s="201" t="str">
        <f>VLOOKUP($A197,'[3]allergenen 6nr'!$A$1:$O$1310,10,FALSE)</f>
        <v>-</v>
      </c>
      <c r="BL197" s="201" t="str">
        <f>VLOOKUP($A197,'[3]allergenen 6nr'!$A$1:$O$1310,11,FALSE)</f>
        <v>+</v>
      </c>
      <c r="BM197" s="201" t="str">
        <f>VLOOKUP($A197,'[3]allergenen 6nr'!$A$1:$O$1310,12,FALSE)</f>
        <v>-</v>
      </c>
      <c r="BN197" s="201" t="str">
        <f>VLOOKUP($A197,'[3]allergenen 6nr'!$A$1:$O$1310,13,FALSE)</f>
        <v>X</v>
      </c>
      <c r="BO197" s="201" t="str">
        <f>VLOOKUP($A197,'[3]allergenen 6nr'!$A$1:$O$1310,14,FALSE)</f>
        <v>-</v>
      </c>
      <c r="BP197" s="202" t="str">
        <f>VLOOKUP($A197,'[3]allergenen 6nr'!$A$1:$O$1310,15,FALSE)</f>
        <v>-</v>
      </c>
    </row>
    <row r="198" spans="1:68" x14ac:dyDescent="0.2">
      <c r="A198" s="89">
        <v>63573700</v>
      </c>
      <c r="B198" s="53" t="str">
        <f>VLOOKUP($A198,[1]maaltijden!$A$1:$IV$65536,4,FALSE)</f>
        <v>DLC MIX ANDIJVIESTAMPPOT MET GEHAKTBAL</v>
      </c>
      <c r="C198" s="46" t="str">
        <f>VLOOKUP($A198,[1]maaltijden!$A$1:$IV$65536,7,FALSE)</f>
        <v>C2227-2K</v>
      </c>
      <c r="D198" s="22" t="str">
        <f>VLOOKUP($A198,[1]maaltijden!$A$1:$IV$65536,10,FALSE)</f>
        <v>NVT</v>
      </c>
      <c r="E198" s="22" t="str">
        <f>VLOOKUP($A198,[1]maaltijden!$A$1:$IV$65536,13,FALSE)</f>
        <v>DLC X 6</v>
      </c>
      <c r="F198" s="20">
        <f t="shared" si="3"/>
        <v>0</v>
      </c>
      <c r="G198" s="20" t="str">
        <f>VLOOKUP($A198,[1]maaltijden!$A$1:$IV$65536,27,FALSE)</f>
        <v>! ! !</v>
      </c>
      <c r="H198" s="22">
        <f>VLOOKUP($A198,[1]maaltijden!$A$1:$IV$65536,21,FALSE)</f>
        <v>1</v>
      </c>
      <c r="I198" s="22">
        <f>VLOOKUP($A198,[1]maaltijden!$A$1:$IV$65536,21,FALSE)</f>
        <v>1</v>
      </c>
      <c r="J198" s="22">
        <f>VLOOKUP($A198,[1]maaltijden!$A$1:$IV$65536,18,FALSE)</f>
        <v>3</v>
      </c>
      <c r="K198" s="22">
        <f>VLOOKUP($A198,[1]maaltijden!$A$1:$IV$65536,17,FALSE)</f>
        <v>3</v>
      </c>
      <c r="L198" s="22">
        <f>VLOOKUP($A198,[1]maaltijden!$A$1:$IV$65536,20,FALSE)</f>
        <v>2000</v>
      </c>
      <c r="M198" s="22">
        <f>VLOOKUP($A198,[1]maaltijden!$A$1:$IV$65536,22,FALSE)</f>
        <v>2000</v>
      </c>
      <c r="N198" s="135"/>
      <c r="O198" s="50"/>
      <c r="P198" s="19">
        <v>0</v>
      </c>
      <c r="Q198" s="20">
        <v>1</v>
      </c>
      <c r="R198" s="21">
        <v>0</v>
      </c>
      <c r="S198" s="19">
        <v>0</v>
      </c>
      <c r="T198" s="20">
        <v>1</v>
      </c>
      <c r="U198" s="19">
        <v>0</v>
      </c>
      <c r="V198" s="20">
        <v>1</v>
      </c>
      <c r="W198" s="20">
        <v>1</v>
      </c>
      <c r="X198" s="20">
        <v>1</v>
      </c>
      <c r="Y198" s="20">
        <v>1</v>
      </c>
      <c r="Z198" s="20">
        <v>0</v>
      </c>
      <c r="AA198" s="20">
        <v>0</v>
      </c>
      <c r="AB198" s="11">
        <v>0</v>
      </c>
      <c r="AC198" s="49">
        <v>0</v>
      </c>
      <c r="AD198" s="49">
        <v>0</v>
      </c>
      <c r="AE198" s="49">
        <v>1</v>
      </c>
      <c r="AF198" s="49">
        <v>0</v>
      </c>
      <c r="AG198" s="173">
        <v>0</v>
      </c>
      <c r="AH198" s="174">
        <v>3</v>
      </c>
      <c r="AI198" s="174">
        <v>0</v>
      </c>
      <c r="AJ198" s="174">
        <v>0</v>
      </c>
      <c r="AK198" s="174">
        <v>0</v>
      </c>
      <c r="AL198" s="175">
        <v>0</v>
      </c>
      <c r="AM198" s="19">
        <v>0</v>
      </c>
      <c r="AN198" s="20" t="str">
        <f>IFERROR(INDEX([2]lijnopstellingsfiche!$AP$1:$AP$65536,MATCH(A198,[2]lijnopstellingsfiche!$AQ$1:$AQ$65536,0)),"")</f>
        <v>-</v>
      </c>
      <c r="AO198" s="20">
        <v>0</v>
      </c>
      <c r="AP198" s="20">
        <v>0</v>
      </c>
      <c r="AQ198" s="20">
        <v>2</v>
      </c>
      <c r="AR198" s="20">
        <v>1</v>
      </c>
      <c r="AS198" s="20">
        <v>0</v>
      </c>
      <c r="AT198" s="20">
        <v>0</v>
      </c>
      <c r="AU198" s="20">
        <v>0</v>
      </c>
      <c r="AV198" s="23">
        <v>0</v>
      </c>
      <c r="AW198" s="108">
        <v>0</v>
      </c>
      <c r="AX198" s="108">
        <v>0</v>
      </c>
      <c r="AY198" s="108">
        <v>1</v>
      </c>
      <c r="AZ198" s="108">
        <v>0</v>
      </c>
      <c r="BA198" s="114">
        <v>1</v>
      </c>
      <c r="BB198" s="20">
        <v>0</v>
      </c>
      <c r="BC198" s="113">
        <v>0</v>
      </c>
      <c r="BD198" s="200" t="str">
        <f>VLOOKUP($A198,'[3]allergenen 6nr'!$A$1:$O$1310,3,FALSE)</f>
        <v>-</v>
      </c>
      <c r="BE198" s="201" t="str">
        <f>VLOOKUP($A198,'[3]allergenen 6nr'!$A$1:$O$1310,4,FALSE)</f>
        <v>X</v>
      </c>
      <c r="BF198" s="201" t="str">
        <f>VLOOKUP($A198,'[3]allergenen 6nr'!$A$1:$O$1310,5,FALSE)</f>
        <v>+</v>
      </c>
      <c r="BG198" s="201" t="str">
        <f>VLOOKUP($A198,'[3]allergenen 6nr'!$A$1:$O$1310,6,FALSE)</f>
        <v>X</v>
      </c>
      <c r="BH198" s="201" t="str">
        <f>VLOOKUP($A198,'[3]allergenen 6nr'!$A$1:$O$1310,7,FALSE)</f>
        <v>+</v>
      </c>
      <c r="BI198" s="201" t="str">
        <f>VLOOKUP($A198,'[3]allergenen 6nr'!$A$1:$O$1310,8,FALSE)</f>
        <v>X</v>
      </c>
      <c r="BJ198" s="201" t="str">
        <f>VLOOKUP($A198,'[3]allergenen 6nr'!$A$1:$O$1310,9,FALSE)</f>
        <v>-</v>
      </c>
      <c r="BK198" s="201" t="str">
        <f>VLOOKUP($A198,'[3]allergenen 6nr'!$A$1:$O$1310,10,FALSE)</f>
        <v>-</v>
      </c>
      <c r="BL198" s="201" t="str">
        <f>VLOOKUP($A198,'[3]allergenen 6nr'!$A$1:$O$1310,11,FALSE)</f>
        <v>+</v>
      </c>
      <c r="BM198" s="201" t="str">
        <f>VLOOKUP($A198,'[3]allergenen 6nr'!$A$1:$O$1310,12,FALSE)</f>
        <v>-</v>
      </c>
      <c r="BN198" s="201" t="str">
        <f>VLOOKUP($A198,'[3]allergenen 6nr'!$A$1:$O$1310,13,FALSE)</f>
        <v>X</v>
      </c>
      <c r="BO198" s="201" t="str">
        <f>VLOOKUP($A198,'[3]allergenen 6nr'!$A$1:$O$1310,14,FALSE)</f>
        <v>-</v>
      </c>
      <c r="BP198" s="202" t="str">
        <f>VLOOKUP($A198,'[3]allergenen 6nr'!$A$1:$O$1310,15,FALSE)</f>
        <v>-</v>
      </c>
    </row>
    <row r="199" spans="1:68" x14ac:dyDescent="0.2">
      <c r="A199" s="89">
        <v>63573800</v>
      </c>
      <c r="B199" s="53" t="str">
        <f>VLOOKUP($A199,[1]maaltijden!$A$1:$IV$65536,4,FALSE)</f>
        <v>DLC MIX VARKENSLAPJE JUS SPINAZIE AARDAPPELPUREE</v>
      </c>
      <c r="C199" s="46" t="str">
        <f>VLOOKUP($A199,[1]maaltijden!$A$1:$IV$65536,7,FALSE)</f>
        <v>C2227-3R</v>
      </c>
      <c r="D199" s="22" t="str">
        <f>VLOOKUP($A199,[1]maaltijden!$A$1:$IV$65536,10,FALSE)</f>
        <v>NVT</v>
      </c>
      <c r="E199" s="22" t="str">
        <f>VLOOKUP($A199,[1]maaltijden!$A$1:$IV$65536,13,FALSE)</f>
        <v>DLC X 6</v>
      </c>
      <c r="F199" s="20">
        <f t="shared" si="3"/>
        <v>0</v>
      </c>
      <c r="G199" s="20" t="str">
        <f>VLOOKUP($A199,[1]maaltijden!$A$1:$IV$65536,27,FALSE)</f>
        <v>! ! !</v>
      </c>
      <c r="H199" s="22">
        <f>VLOOKUP($A199,[1]maaltijden!$A$1:$IV$65536,21,FALSE)</f>
        <v>1</v>
      </c>
      <c r="I199" s="22">
        <f>VLOOKUP($A199,[1]maaltijden!$A$1:$IV$65536,21,FALSE)</f>
        <v>1</v>
      </c>
      <c r="J199" s="22">
        <f>VLOOKUP($A199,[1]maaltijden!$A$1:$IV$65536,18,FALSE)</f>
        <v>3</v>
      </c>
      <c r="K199" s="22">
        <f>VLOOKUP($A199,[1]maaltijden!$A$1:$IV$65536,17,FALSE)</f>
        <v>3</v>
      </c>
      <c r="L199" s="22">
        <f>VLOOKUP($A199,[1]maaltijden!$A$1:$IV$65536,20,FALSE)</f>
        <v>2000</v>
      </c>
      <c r="M199" s="22">
        <f>VLOOKUP($A199,[1]maaltijden!$A$1:$IV$65536,22,FALSE)</f>
        <v>2000</v>
      </c>
      <c r="N199" s="135"/>
      <c r="O199" s="50"/>
      <c r="P199" s="19">
        <v>0</v>
      </c>
      <c r="Q199" s="20">
        <v>1</v>
      </c>
      <c r="R199" s="21">
        <v>0</v>
      </c>
      <c r="S199" s="19">
        <v>0</v>
      </c>
      <c r="T199" s="20">
        <v>1</v>
      </c>
      <c r="U199" s="19">
        <v>1</v>
      </c>
      <c r="V199" s="20">
        <v>1</v>
      </c>
      <c r="W199" s="20">
        <v>1</v>
      </c>
      <c r="X199" s="20">
        <v>1</v>
      </c>
      <c r="Y199" s="20">
        <v>1</v>
      </c>
      <c r="Z199" s="20">
        <v>0</v>
      </c>
      <c r="AA199" s="20">
        <v>1</v>
      </c>
      <c r="AB199" s="49">
        <v>0</v>
      </c>
      <c r="AC199" s="49">
        <v>1</v>
      </c>
      <c r="AD199" s="49">
        <v>0</v>
      </c>
      <c r="AE199" s="49">
        <v>1</v>
      </c>
      <c r="AF199" s="49">
        <v>0</v>
      </c>
      <c r="AG199" s="161">
        <v>0</v>
      </c>
      <c r="AH199" s="162">
        <v>3</v>
      </c>
      <c r="AI199" s="162">
        <v>0</v>
      </c>
      <c r="AJ199" s="162">
        <v>0</v>
      </c>
      <c r="AK199" s="162">
        <v>0</v>
      </c>
      <c r="AL199" s="163">
        <v>0</v>
      </c>
      <c r="AM199" s="19">
        <v>0</v>
      </c>
      <c r="AN199" s="20" t="str">
        <f>IFERROR(INDEX([2]lijnopstellingsfiche!$AP$1:$AP$65536,MATCH(A199,[2]lijnopstellingsfiche!$AQ$1:$AQ$65536,0)),"")</f>
        <v>-</v>
      </c>
      <c r="AO199" s="20">
        <v>0</v>
      </c>
      <c r="AP199" s="20">
        <v>0</v>
      </c>
      <c r="AQ199" s="20">
        <v>3</v>
      </c>
      <c r="AR199" s="20">
        <v>1</v>
      </c>
      <c r="AS199" s="20">
        <v>0</v>
      </c>
      <c r="AT199" s="20">
        <v>0</v>
      </c>
      <c r="AU199" s="20">
        <v>0</v>
      </c>
      <c r="AV199" s="23">
        <v>0</v>
      </c>
      <c r="AW199" s="108">
        <v>0</v>
      </c>
      <c r="AX199" s="108">
        <v>0</v>
      </c>
      <c r="AY199" s="108">
        <v>1</v>
      </c>
      <c r="AZ199" s="108">
        <v>0</v>
      </c>
      <c r="BA199" s="114">
        <v>1</v>
      </c>
      <c r="BB199" s="20">
        <v>0</v>
      </c>
      <c r="BC199" s="113">
        <v>0</v>
      </c>
      <c r="BD199" s="200" t="str">
        <f>VLOOKUP($A199,'[3]allergenen 6nr'!$A$1:$O$1310,3,FALSE)</f>
        <v>-</v>
      </c>
      <c r="BE199" s="201" t="str">
        <f>VLOOKUP($A199,'[3]allergenen 6nr'!$A$1:$O$1310,4,FALSE)</f>
        <v>+</v>
      </c>
      <c r="BF199" s="201" t="str">
        <f>VLOOKUP($A199,'[3]allergenen 6nr'!$A$1:$O$1310,5,FALSE)</f>
        <v>+</v>
      </c>
      <c r="BG199" s="201" t="str">
        <f>VLOOKUP($A199,'[3]allergenen 6nr'!$A$1:$O$1310,6,FALSE)</f>
        <v>X</v>
      </c>
      <c r="BH199" s="201" t="str">
        <f>VLOOKUP($A199,'[3]allergenen 6nr'!$A$1:$O$1310,7,FALSE)</f>
        <v>+</v>
      </c>
      <c r="BI199" s="201" t="str">
        <f>VLOOKUP($A199,'[3]allergenen 6nr'!$A$1:$O$1310,8,FALSE)</f>
        <v>X</v>
      </c>
      <c r="BJ199" s="201" t="str">
        <f>VLOOKUP($A199,'[3]allergenen 6nr'!$A$1:$O$1310,9,FALSE)</f>
        <v>-</v>
      </c>
      <c r="BK199" s="201" t="str">
        <f>VLOOKUP($A199,'[3]allergenen 6nr'!$A$1:$O$1310,10,FALSE)</f>
        <v>-</v>
      </c>
      <c r="BL199" s="201" t="str">
        <f>VLOOKUP($A199,'[3]allergenen 6nr'!$A$1:$O$1310,11,FALSE)</f>
        <v>+</v>
      </c>
      <c r="BM199" s="201" t="str">
        <f>VLOOKUP($A199,'[3]allergenen 6nr'!$A$1:$O$1310,12,FALSE)</f>
        <v>-</v>
      </c>
      <c r="BN199" s="201" t="str">
        <f>VLOOKUP($A199,'[3]allergenen 6nr'!$A$1:$O$1310,13,FALSE)</f>
        <v>X</v>
      </c>
      <c r="BO199" s="201" t="str">
        <f>VLOOKUP($A199,'[3]allergenen 6nr'!$A$1:$O$1310,14,FALSE)</f>
        <v>-</v>
      </c>
      <c r="BP199" s="202" t="str">
        <f>VLOOKUP($A199,'[3]allergenen 6nr'!$A$1:$O$1310,15,FALSE)</f>
        <v>-</v>
      </c>
    </row>
    <row r="200" spans="1:68" x14ac:dyDescent="0.2">
      <c r="A200" s="54">
        <v>63573900</v>
      </c>
      <c r="B200" s="53" t="str">
        <f>VLOOKUP($A200,[1]maaltijden!$A$1:$IV$65536,4,FALSE)</f>
        <v xml:space="preserve">DLC MIX KABELJAUW IN SAUS BROCCOLI EN KRUIDENPUREE      </v>
      </c>
      <c r="C200" s="46" t="str">
        <f>VLOOKUP($A200,[1]maaltijden!$A$1:$IV$65536,7,FALSE)</f>
        <v>C2227-3R</v>
      </c>
      <c r="D200" s="22" t="str">
        <f>VLOOKUP($A200,[1]maaltijden!$A$1:$IV$65536,10,FALSE)</f>
        <v>NVT</v>
      </c>
      <c r="E200" s="22" t="str">
        <f>VLOOKUP($A200,[1]maaltijden!$A$1:$IV$65536,13,FALSE)</f>
        <v>DLC X 6</v>
      </c>
      <c r="F200" s="20">
        <f t="shared" si="3"/>
        <v>0</v>
      </c>
      <c r="G200" s="20" t="str">
        <f>VLOOKUP($A200,[1]maaltijden!$A$1:$IV$65536,27,FALSE)</f>
        <v>! ! ! !</v>
      </c>
      <c r="H200" s="22">
        <f>VLOOKUP($A200,[1]maaltijden!$A$1:$IV$65536,21,FALSE)</f>
        <v>3</v>
      </c>
      <c r="I200" s="22">
        <f>VLOOKUP($A200,[1]maaltijden!$A$1:$IV$65536,21,FALSE)</f>
        <v>3</v>
      </c>
      <c r="J200" s="22">
        <f>VLOOKUP($A200,[1]maaltijden!$A$1:$IV$65536,18,FALSE)</f>
        <v>3</v>
      </c>
      <c r="K200" s="22">
        <f>VLOOKUP($A200,[1]maaltijden!$A$1:$IV$65536,17,FALSE)</f>
        <v>3</v>
      </c>
      <c r="L200" s="22">
        <f>VLOOKUP($A200,[1]maaltijden!$A$1:$IV$65536,20,FALSE)</f>
        <v>2000</v>
      </c>
      <c r="M200" s="22">
        <f>VLOOKUP($A200,[1]maaltijden!$A$1:$IV$65536,22,FALSE)</f>
        <v>2000</v>
      </c>
      <c r="N200" s="135"/>
      <c r="O200" s="50"/>
      <c r="P200" s="19">
        <v>0</v>
      </c>
      <c r="Q200" s="20">
        <v>1</v>
      </c>
      <c r="R200" s="21">
        <v>0</v>
      </c>
      <c r="S200" s="19">
        <v>0</v>
      </c>
      <c r="T200" s="20">
        <v>1</v>
      </c>
      <c r="U200" s="19"/>
      <c r="V200" s="20"/>
      <c r="W200" s="20"/>
      <c r="X200" s="20"/>
      <c r="Y200" s="20"/>
      <c r="Z200" s="20"/>
      <c r="AA200" s="20"/>
      <c r="AB200" s="49"/>
      <c r="AC200" s="49"/>
      <c r="AD200" s="49"/>
      <c r="AE200" s="49"/>
      <c r="AF200" s="49"/>
      <c r="AG200" s="161">
        <v>0</v>
      </c>
      <c r="AH200" s="168">
        <v>3</v>
      </c>
      <c r="AI200" s="20"/>
      <c r="AJ200" s="20"/>
      <c r="AK200" s="20"/>
      <c r="AL200" s="21"/>
      <c r="AM200" s="19">
        <v>0</v>
      </c>
      <c r="AN200" s="20" t="str">
        <f>IFERROR(INDEX([2]lijnopstellingsfiche!$AP$1:$AP$65536,MATCH(A200,[2]lijnopstellingsfiche!$AQ$1:$AQ$65536,0)),"")</f>
        <v>-</v>
      </c>
      <c r="AO200" s="20">
        <v>0</v>
      </c>
      <c r="AP200" s="20">
        <v>0</v>
      </c>
      <c r="AQ200" s="20">
        <v>2</v>
      </c>
      <c r="AR200" s="20">
        <v>1</v>
      </c>
      <c r="AS200" s="20">
        <v>0</v>
      </c>
      <c r="AT200" s="20">
        <v>0</v>
      </c>
      <c r="AU200" s="20">
        <v>0</v>
      </c>
      <c r="AV200" s="23">
        <v>0</v>
      </c>
      <c r="AW200" s="108">
        <v>0</v>
      </c>
      <c r="AX200" s="108">
        <v>0</v>
      </c>
      <c r="AY200" s="108">
        <v>1</v>
      </c>
      <c r="AZ200" s="108">
        <v>0</v>
      </c>
      <c r="BA200" s="114">
        <v>1</v>
      </c>
      <c r="BB200" s="20">
        <v>0</v>
      </c>
      <c r="BC200" s="113">
        <v>0</v>
      </c>
      <c r="BD200" s="200" t="str">
        <f>VLOOKUP($A200,'[3]allergenen 6nr'!$A$1:$O$1310,3,FALSE)</f>
        <v>-</v>
      </c>
      <c r="BE200" s="201" t="str">
        <f>VLOOKUP($A200,'[3]allergenen 6nr'!$A$1:$O$1310,4,FALSE)</f>
        <v>+</v>
      </c>
      <c r="BF200" s="201" t="str">
        <f>VLOOKUP($A200,'[3]allergenen 6nr'!$A$1:$O$1310,5,FALSE)</f>
        <v>+</v>
      </c>
      <c r="BG200" s="201" t="str">
        <f>VLOOKUP($A200,'[3]allergenen 6nr'!$A$1:$O$1310,6,FALSE)</f>
        <v>-</v>
      </c>
      <c r="BH200" s="201" t="str">
        <f>VLOOKUP($A200,'[3]allergenen 6nr'!$A$1:$O$1310,7,FALSE)</f>
        <v>+</v>
      </c>
      <c r="BI200" s="201" t="str">
        <f>VLOOKUP($A200,'[3]allergenen 6nr'!$A$1:$O$1310,8,FALSE)</f>
        <v>-</v>
      </c>
      <c r="BJ200" s="201" t="str">
        <f>VLOOKUP($A200,'[3]allergenen 6nr'!$A$1:$O$1310,9,FALSE)</f>
        <v>-</v>
      </c>
      <c r="BK200" s="201" t="str">
        <f>VLOOKUP($A200,'[3]allergenen 6nr'!$A$1:$O$1310,10,FALSE)</f>
        <v>X</v>
      </c>
      <c r="BL200" s="201" t="str">
        <f>VLOOKUP($A200,'[3]allergenen 6nr'!$A$1:$O$1310,11,FALSE)</f>
        <v>+</v>
      </c>
      <c r="BM200" s="201" t="str">
        <f>VLOOKUP($A200,'[3]allergenen 6nr'!$A$1:$O$1310,12,FALSE)</f>
        <v>-</v>
      </c>
      <c r="BN200" s="201" t="str">
        <f>VLOOKUP($A200,'[3]allergenen 6nr'!$A$1:$O$1310,13,FALSE)</f>
        <v>X</v>
      </c>
      <c r="BO200" s="201" t="str">
        <f>VLOOKUP($A200,'[3]allergenen 6nr'!$A$1:$O$1310,14,FALSE)</f>
        <v>+</v>
      </c>
      <c r="BP200" s="202" t="str">
        <f>VLOOKUP($A200,'[3]allergenen 6nr'!$A$1:$O$1310,15,FALSE)</f>
        <v>X</v>
      </c>
    </row>
    <row r="201" spans="1:68" x14ac:dyDescent="0.2">
      <c r="A201" s="54">
        <v>63574000</v>
      </c>
      <c r="B201" s="53" t="str">
        <f>VLOOKUP($A201,[1]maaltijden!$A$1:$IV$65536,4,FALSE)</f>
        <v>DLC MIX VIS HOLLANDAISESAUS SPINAZIE AARDAPPELPUREE</v>
      </c>
      <c r="C201" s="46" t="str">
        <f>VLOOKUP($A201,[1]maaltijden!$A$1:$IV$65536,7,FALSE)</f>
        <v>C2227-3R</v>
      </c>
      <c r="D201" s="22" t="str">
        <f>VLOOKUP($A201,[1]maaltijden!$A$1:$IV$65536,10,FALSE)</f>
        <v>NVT</v>
      </c>
      <c r="E201" s="22" t="str">
        <f>VLOOKUP($A201,[1]maaltijden!$A$1:$IV$65536,13,FALSE)</f>
        <v>DLC X 6</v>
      </c>
      <c r="F201" s="20">
        <f t="shared" si="3"/>
        <v>0</v>
      </c>
      <c r="G201" s="20" t="str">
        <f>VLOOKUP($A201,[1]maaltijden!$A$1:$IV$65536,27,FALSE)</f>
        <v>! ! ! !</v>
      </c>
      <c r="H201" s="22">
        <f>VLOOKUP($A201,[1]maaltijden!$A$1:$IV$65536,21,FALSE)</f>
        <v>1</v>
      </c>
      <c r="I201" s="22">
        <f>VLOOKUP($A201,[1]maaltijden!$A$1:$IV$65536,21,FALSE)</f>
        <v>1</v>
      </c>
      <c r="J201" s="22">
        <f>VLOOKUP($A201,[1]maaltijden!$A$1:$IV$65536,18,FALSE)</f>
        <v>3</v>
      </c>
      <c r="K201" s="22">
        <f>VLOOKUP($A201,[1]maaltijden!$A$1:$IV$65536,17,FALSE)</f>
        <v>3</v>
      </c>
      <c r="L201" s="22">
        <f>VLOOKUP($A201,[1]maaltijden!$A$1:$IV$65536,20,FALSE)</f>
        <v>2000</v>
      </c>
      <c r="M201" s="22">
        <f>VLOOKUP($A201,[1]maaltijden!$A$1:$IV$65536,22,FALSE)</f>
        <v>2000</v>
      </c>
      <c r="N201" s="135"/>
      <c r="O201" s="50"/>
      <c r="P201" s="19">
        <v>0</v>
      </c>
      <c r="Q201" s="20">
        <v>1</v>
      </c>
      <c r="R201" s="21">
        <v>0</v>
      </c>
      <c r="S201" s="19">
        <v>0</v>
      </c>
      <c r="T201" s="20">
        <v>1</v>
      </c>
      <c r="U201" s="19"/>
      <c r="V201" s="20"/>
      <c r="W201" s="20"/>
      <c r="X201" s="20"/>
      <c r="Y201" s="20"/>
      <c r="Z201" s="20"/>
      <c r="AA201" s="20"/>
      <c r="AB201" s="49"/>
      <c r="AC201" s="49"/>
      <c r="AD201" s="49"/>
      <c r="AE201" s="49"/>
      <c r="AF201" s="49"/>
      <c r="AG201" s="161">
        <v>0</v>
      </c>
      <c r="AH201" s="168">
        <v>3</v>
      </c>
      <c r="AI201" s="20"/>
      <c r="AJ201" s="20"/>
      <c r="AK201" s="20"/>
      <c r="AL201" s="21"/>
      <c r="AM201" s="19">
        <v>0</v>
      </c>
      <c r="AN201" s="20" t="str">
        <f>IFERROR(INDEX([2]lijnopstellingsfiche!$AP$1:$AP$65536,MATCH(A201,[2]lijnopstellingsfiche!$AQ$1:$AQ$65536,0)),"")</f>
        <v>-</v>
      </c>
      <c r="AO201" s="20">
        <v>0</v>
      </c>
      <c r="AP201" s="20">
        <v>0</v>
      </c>
      <c r="AQ201" s="20">
        <v>3</v>
      </c>
      <c r="AR201" s="20">
        <v>1</v>
      </c>
      <c r="AS201" s="20">
        <v>0</v>
      </c>
      <c r="AT201" s="20">
        <v>0</v>
      </c>
      <c r="AU201" s="20">
        <v>0</v>
      </c>
      <c r="AV201" s="23">
        <v>0</v>
      </c>
      <c r="AW201" s="108">
        <v>0</v>
      </c>
      <c r="AX201" s="108">
        <v>0</v>
      </c>
      <c r="AY201" s="108">
        <v>1</v>
      </c>
      <c r="AZ201" s="108">
        <v>0</v>
      </c>
      <c r="BA201" s="114">
        <v>1</v>
      </c>
      <c r="BB201" s="20">
        <v>0</v>
      </c>
      <c r="BC201" s="113">
        <v>0</v>
      </c>
      <c r="BD201" s="200" t="str">
        <f>VLOOKUP($A201,'[3]allergenen 6nr'!$A$1:$O$1310,3,FALSE)</f>
        <v>-</v>
      </c>
      <c r="BE201" s="201" t="str">
        <f>VLOOKUP($A201,'[3]allergenen 6nr'!$A$1:$O$1310,4,FALSE)</f>
        <v>+</v>
      </c>
      <c r="BF201" s="201" t="str">
        <f>VLOOKUP($A201,'[3]allergenen 6nr'!$A$1:$O$1310,5,FALSE)</f>
        <v>+</v>
      </c>
      <c r="BG201" s="201" t="str">
        <f>VLOOKUP($A201,'[3]allergenen 6nr'!$A$1:$O$1310,6,FALSE)</f>
        <v>X</v>
      </c>
      <c r="BH201" s="201" t="str">
        <f>VLOOKUP($A201,'[3]allergenen 6nr'!$A$1:$O$1310,7,FALSE)</f>
        <v>+</v>
      </c>
      <c r="BI201" s="201" t="str">
        <f>VLOOKUP($A201,'[3]allergenen 6nr'!$A$1:$O$1310,8,FALSE)</f>
        <v>X</v>
      </c>
      <c r="BJ201" s="201" t="str">
        <f>VLOOKUP($A201,'[3]allergenen 6nr'!$A$1:$O$1310,9,FALSE)</f>
        <v>-</v>
      </c>
      <c r="BK201" s="201" t="str">
        <f>VLOOKUP($A201,'[3]allergenen 6nr'!$A$1:$O$1310,10,FALSE)</f>
        <v>X</v>
      </c>
      <c r="BL201" s="201" t="str">
        <f>VLOOKUP($A201,'[3]allergenen 6nr'!$A$1:$O$1310,11,FALSE)</f>
        <v>+</v>
      </c>
      <c r="BM201" s="201" t="str">
        <f>VLOOKUP($A201,'[3]allergenen 6nr'!$A$1:$O$1310,12,FALSE)</f>
        <v>-</v>
      </c>
      <c r="BN201" s="201" t="str">
        <f>VLOOKUP($A201,'[3]allergenen 6nr'!$A$1:$O$1310,13,FALSE)</f>
        <v>X</v>
      </c>
      <c r="BO201" s="201" t="str">
        <f>VLOOKUP($A201,'[3]allergenen 6nr'!$A$1:$O$1310,14,FALSE)</f>
        <v>+</v>
      </c>
      <c r="BP201" s="202" t="str">
        <f>VLOOKUP($A201,'[3]allergenen 6nr'!$A$1:$O$1310,15,FALSE)</f>
        <v>X</v>
      </c>
    </row>
    <row r="202" spans="1:68" x14ac:dyDescent="0.2">
      <c r="A202" s="54">
        <v>63582200</v>
      </c>
      <c r="B202" s="53" t="str">
        <f>VLOOKUP($A202,[1]maaltijden!$A$1:$IV$65536,4,FALSE)</f>
        <v>DLC NA-ARM RUNDSTOOFVLEES SPRUITEN AARDAPPEL</v>
      </c>
      <c r="C202" s="46" t="str">
        <f>VLOOKUP($A202,[1]maaltijden!$A$1:$IV$65536,7,FALSE)</f>
        <v>C2227-3R</v>
      </c>
      <c r="D202" s="22" t="str">
        <f>VLOOKUP($A202,[1]maaltijden!$A$1:$IV$65536,10,FALSE)</f>
        <v>NVT</v>
      </c>
      <c r="E202" s="22" t="str">
        <f>VLOOKUP($A202,[1]maaltijden!$A$1:$IV$65536,13,FALSE)</f>
        <v>DLC X 6</v>
      </c>
      <c r="F202" s="20">
        <f t="shared" si="3"/>
        <v>0</v>
      </c>
      <c r="G202" s="20" t="str">
        <f>VLOOKUP($A202,[1]maaltijden!$A$1:$IV$65536,27,FALSE)</f>
        <v>! ! ! ! !</v>
      </c>
      <c r="H202" s="22">
        <f>VLOOKUP($A202,[1]maaltijden!$A$1:$IV$65536,21,FALSE)</f>
        <v>7</v>
      </c>
      <c r="I202" s="22">
        <f>VLOOKUP($A202,[1]maaltijden!$A$1:$IV$65536,21,FALSE)</f>
        <v>7</v>
      </c>
      <c r="J202" s="22">
        <f>VLOOKUP($A202,[1]maaltijden!$A$1:$IV$65536,18,FALSE)</f>
        <v>3</v>
      </c>
      <c r="K202" s="22">
        <f>VLOOKUP($A202,[1]maaltijden!$A$1:$IV$65536,17,FALSE)</f>
        <v>2</v>
      </c>
      <c r="L202" s="22">
        <f>VLOOKUP($A202,[1]maaltijden!$A$1:$IV$65536,20,FALSE)</f>
        <v>1750</v>
      </c>
      <c r="M202" s="22">
        <f>VLOOKUP($A202,[1]maaltijden!$A$1:$IV$65536,22,FALSE)</f>
        <v>1750</v>
      </c>
      <c r="N202" s="135"/>
      <c r="O202" s="50"/>
      <c r="P202" s="19">
        <v>0</v>
      </c>
      <c r="Q202" s="20">
        <v>1</v>
      </c>
      <c r="R202" s="21">
        <v>0</v>
      </c>
      <c r="S202" s="19">
        <v>0</v>
      </c>
      <c r="T202" s="20">
        <v>1</v>
      </c>
      <c r="U202" s="19"/>
      <c r="V202" s="20"/>
      <c r="W202" s="20"/>
      <c r="X202" s="20"/>
      <c r="Y202" s="20"/>
      <c r="Z202" s="20"/>
      <c r="AA202" s="20"/>
      <c r="AB202" s="49"/>
      <c r="AC202" s="49"/>
      <c r="AD202" s="49"/>
      <c r="AE202" s="49"/>
      <c r="AF202" s="49"/>
      <c r="AG202" s="161">
        <v>0</v>
      </c>
      <c r="AH202" s="168">
        <v>1</v>
      </c>
      <c r="AI202" s="168">
        <v>1</v>
      </c>
      <c r="AJ202" s="20"/>
      <c r="AK202" s="20"/>
      <c r="AL202" s="21"/>
      <c r="AM202" s="19">
        <v>0</v>
      </c>
      <c r="AN202" s="20">
        <f>IFERROR(INDEX([2]lijnopstellingsfiche!$AP$1:$AP$65536,MATCH(A202,[2]lijnopstellingsfiche!$AQ$1:$AQ$65536,0)),"")</f>
        <v>6</v>
      </c>
      <c r="AO202" s="20">
        <v>0</v>
      </c>
      <c r="AP202" s="20">
        <v>0</v>
      </c>
      <c r="AQ202" s="20">
        <v>1</v>
      </c>
      <c r="AR202" s="20">
        <v>0</v>
      </c>
      <c r="AS202" s="20">
        <v>0</v>
      </c>
      <c r="AT202" s="20">
        <v>0</v>
      </c>
      <c r="AU202" s="20">
        <v>0</v>
      </c>
      <c r="AV202" s="23">
        <v>0</v>
      </c>
      <c r="AW202" s="108">
        <v>0</v>
      </c>
      <c r="AX202" s="108">
        <v>0</v>
      </c>
      <c r="AY202" s="108">
        <v>1</v>
      </c>
      <c r="AZ202" s="108">
        <v>0</v>
      </c>
      <c r="BA202" s="114">
        <v>1</v>
      </c>
      <c r="BB202" s="20">
        <v>0</v>
      </c>
      <c r="BC202" s="113">
        <v>0</v>
      </c>
      <c r="BD202" s="200" t="str">
        <f>VLOOKUP($A202,'[3]allergenen 6nr'!$A$1:$O$1310,3,FALSE)</f>
        <v>-</v>
      </c>
      <c r="BE202" s="201" t="str">
        <f>VLOOKUP($A202,'[3]allergenen 6nr'!$A$1:$O$1310,4,FALSE)</f>
        <v>-</v>
      </c>
      <c r="BF202" s="201" t="str">
        <f>VLOOKUP($A202,'[3]allergenen 6nr'!$A$1:$O$1310,5,FALSE)</f>
        <v>+</v>
      </c>
      <c r="BG202" s="201" t="str">
        <f>VLOOKUP($A202,'[3]allergenen 6nr'!$A$1:$O$1310,6,FALSE)</f>
        <v>X</v>
      </c>
      <c r="BH202" s="201" t="str">
        <f>VLOOKUP($A202,'[3]allergenen 6nr'!$A$1:$O$1310,7,FALSE)</f>
        <v>X</v>
      </c>
      <c r="BI202" s="201" t="str">
        <f>VLOOKUP($A202,'[3]allergenen 6nr'!$A$1:$O$1310,8,FALSE)</f>
        <v>X</v>
      </c>
      <c r="BJ202" s="201" t="str">
        <f>VLOOKUP($A202,'[3]allergenen 6nr'!$A$1:$O$1310,9,FALSE)</f>
        <v>+</v>
      </c>
      <c r="BK202" s="201" t="str">
        <f>VLOOKUP($A202,'[3]allergenen 6nr'!$A$1:$O$1310,10,FALSE)</f>
        <v>-</v>
      </c>
      <c r="BL202" s="201" t="str">
        <f>VLOOKUP($A202,'[3]allergenen 6nr'!$A$1:$O$1310,11,FALSE)</f>
        <v>+</v>
      </c>
      <c r="BM202" s="201" t="str">
        <f>VLOOKUP($A202,'[3]allergenen 6nr'!$A$1:$O$1310,12,FALSE)</f>
        <v>-</v>
      </c>
      <c r="BN202" s="201" t="str">
        <f>VLOOKUP($A202,'[3]allergenen 6nr'!$A$1:$O$1310,13,FALSE)</f>
        <v>X</v>
      </c>
      <c r="BO202" s="201" t="str">
        <f>VLOOKUP($A202,'[3]allergenen 6nr'!$A$1:$O$1310,14,FALSE)</f>
        <v>-</v>
      </c>
      <c r="BP202" s="202" t="str">
        <f>VLOOKUP($A202,'[3]allergenen 6nr'!$A$1:$O$1310,15,FALSE)</f>
        <v>-</v>
      </c>
    </row>
    <row r="203" spans="1:68" x14ac:dyDescent="0.2">
      <c r="A203" s="89">
        <v>63582300</v>
      </c>
      <c r="B203" s="53" t="str">
        <f>VLOOKUP($A203,[1]maaltijden!$A$1:$IV$65536,4,FALSE)</f>
        <v>DLC NA-ARM JACHTSCHOTEL RODE KOOL PUREE</v>
      </c>
      <c r="C203" s="46" t="str">
        <f>VLOOKUP($A203,[1]maaltijden!$A$1:$IV$65536,7,FALSE)</f>
        <v>C2227-3R</v>
      </c>
      <c r="D203" s="22" t="str">
        <f>VLOOKUP($A203,[1]maaltijden!$A$1:$IV$65536,10,FALSE)</f>
        <v>NVT</v>
      </c>
      <c r="E203" s="22" t="str">
        <f>VLOOKUP($A203,[1]maaltijden!$A$1:$IV$65536,13,FALSE)</f>
        <v>DLC X 6</v>
      </c>
      <c r="F203" s="20">
        <f t="shared" si="3"/>
        <v>0</v>
      </c>
      <c r="G203" s="20" t="str">
        <f>VLOOKUP($A203,[1]maaltijden!$A$1:$IV$65536,27,FALSE)</f>
        <v>! ! !</v>
      </c>
      <c r="H203" s="22">
        <f>VLOOKUP($A203,[1]maaltijden!$A$1:$IV$65536,21,FALSE)</f>
        <v>6</v>
      </c>
      <c r="I203" s="22">
        <f>VLOOKUP($A203,[1]maaltijden!$A$1:$IV$65536,21,FALSE)</f>
        <v>6</v>
      </c>
      <c r="J203" s="22">
        <f>VLOOKUP($A203,[1]maaltijden!$A$1:$IV$65536,18,FALSE)</f>
        <v>3</v>
      </c>
      <c r="K203" s="22">
        <f>VLOOKUP($A203,[1]maaltijden!$A$1:$IV$65536,17,FALSE)</f>
        <v>3</v>
      </c>
      <c r="L203" s="22">
        <f>VLOOKUP($A203,[1]maaltijden!$A$1:$IV$65536,20,FALSE)</f>
        <v>2000</v>
      </c>
      <c r="M203" s="22">
        <f>VLOOKUP($A203,[1]maaltijden!$A$1:$IV$65536,22,FALSE)</f>
        <v>2000</v>
      </c>
      <c r="N203" s="135"/>
      <c r="O203" s="50"/>
      <c r="P203" s="19">
        <v>0</v>
      </c>
      <c r="Q203" s="20">
        <v>1</v>
      </c>
      <c r="R203" s="21">
        <v>0</v>
      </c>
      <c r="S203" s="19">
        <v>0</v>
      </c>
      <c r="T203" s="20">
        <v>1</v>
      </c>
      <c r="U203" s="19">
        <v>0</v>
      </c>
      <c r="V203" s="20">
        <v>1</v>
      </c>
      <c r="W203" s="20">
        <v>1</v>
      </c>
      <c r="X203" s="20">
        <v>1</v>
      </c>
      <c r="Y203" s="20">
        <v>1</v>
      </c>
      <c r="Z203" s="20">
        <v>1</v>
      </c>
      <c r="AA203" s="20">
        <v>0</v>
      </c>
      <c r="AB203" s="49">
        <v>0</v>
      </c>
      <c r="AC203" s="49">
        <v>0</v>
      </c>
      <c r="AD203" s="49">
        <v>0</v>
      </c>
      <c r="AE203" s="49">
        <v>1</v>
      </c>
      <c r="AF203" s="49">
        <v>0</v>
      </c>
      <c r="AG203" s="161">
        <v>0</v>
      </c>
      <c r="AH203" s="162">
        <v>2</v>
      </c>
      <c r="AI203" s="162">
        <v>1</v>
      </c>
      <c r="AJ203" s="162">
        <v>0</v>
      </c>
      <c r="AK203" s="162">
        <v>0</v>
      </c>
      <c r="AL203" s="163">
        <v>0</v>
      </c>
      <c r="AM203" s="19">
        <v>0</v>
      </c>
      <c r="AN203" s="20">
        <f>IFERROR(INDEX([2]lijnopstellingsfiche!$AP$1:$AP$65536,MATCH(A203,[2]lijnopstellingsfiche!$AQ$1:$AQ$65536,0)),"")</f>
        <v>5</v>
      </c>
      <c r="AO203" s="20">
        <v>0</v>
      </c>
      <c r="AP203" s="20">
        <v>0</v>
      </c>
      <c r="AQ203" s="20">
        <v>2</v>
      </c>
      <c r="AR203" s="20">
        <v>1</v>
      </c>
      <c r="AS203" s="20">
        <v>0</v>
      </c>
      <c r="AT203" s="20">
        <v>0</v>
      </c>
      <c r="AU203" s="20">
        <v>0</v>
      </c>
      <c r="AV203" s="23">
        <v>0</v>
      </c>
      <c r="AW203" s="108">
        <v>0</v>
      </c>
      <c r="AX203" s="108">
        <v>0</v>
      </c>
      <c r="AY203" s="108">
        <v>1</v>
      </c>
      <c r="AZ203" s="108">
        <v>0</v>
      </c>
      <c r="BA203" s="114">
        <v>1</v>
      </c>
      <c r="BB203" s="20">
        <v>0</v>
      </c>
      <c r="BC203" s="113">
        <v>0</v>
      </c>
      <c r="BD203" s="200" t="str">
        <f>VLOOKUP($A203,'[3]allergenen 6nr'!$A$1:$O$1310,3,FALSE)</f>
        <v>-</v>
      </c>
      <c r="BE203" s="201" t="str">
        <f>VLOOKUP($A203,'[3]allergenen 6nr'!$A$1:$O$1310,4,FALSE)</f>
        <v>+</v>
      </c>
      <c r="BF203" s="201" t="str">
        <f>VLOOKUP($A203,'[3]allergenen 6nr'!$A$1:$O$1310,5,FALSE)</f>
        <v>+</v>
      </c>
      <c r="BG203" s="201" t="str">
        <f>VLOOKUP($A203,'[3]allergenen 6nr'!$A$1:$O$1310,6,FALSE)</f>
        <v>X</v>
      </c>
      <c r="BH203" s="201" t="str">
        <f>VLOOKUP($A203,'[3]allergenen 6nr'!$A$1:$O$1310,7,FALSE)</f>
        <v>+</v>
      </c>
      <c r="BI203" s="201" t="str">
        <f>VLOOKUP($A203,'[3]allergenen 6nr'!$A$1:$O$1310,8,FALSE)</f>
        <v>X</v>
      </c>
      <c r="BJ203" s="201" t="str">
        <f>VLOOKUP($A203,'[3]allergenen 6nr'!$A$1:$O$1310,9,FALSE)</f>
        <v>-</v>
      </c>
      <c r="BK203" s="201" t="str">
        <f>VLOOKUP($A203,'[3]allergenen 6nr'!$A$1:$O$1310,10,FALSE)</f>
        <v>-</v>
      </c>
      <c r="BL203" s="201" t="str">
        <f>VLOOKUP($A203,'[3]allergenen 6nr'!$A$1:$O$1310,11,FALSE)</f>
        <v>+</v>
      </c>
      <c r="BM203" s="201" t="str">
        <f>VLOOKUP($A203,'[3]allergenen 6nr'!$A$1:$O$1310,12,FALSE)</f>
        <v>-</v>
      </c>
      <c r="BN203" s="201" t="str">
        <f>VLOOKUP($A203,'[3]allergenen 6nr'!$A$1:$O$1310,13,FALSE)</f>
        <v>X</v>
      </c>
      <c r="BO203" s="201" t="str">
        <f>VLOOKUP($A203,'[3]allergenen 6nr'!$A$1:$O$1310,14,FALSE)</f>
        <v>-</v>
      </c>
      <c r="BP203" s="202" t="str">
        <f>VLOOKUP($A203,'[3]allergenen 6nr'!$A$1:$O$1310,15,FALSE)</f>
        <v>-</v>
      </c>
    </row>
    <row r="204" spans="1:68" x14ac:dyDescent="0.2">
      <c r="A204" s="89">
        <v>63582400</v>
      </c>
      <c r="B204" s="53" t="str">
        <f>VLOOKUP($A204,[1]maaltijden!$A$1:$IV$65536,4,FALSE)</f>
        <v>DLC NA-ARM HUTSPOT RUNDERSTOVERIJ</v>
      </c>
      <c r="C204" s="46" t="str">
        <f>VLOOKUP($A204,[1]maaltijden!$A$1:$IV$65536,7,FALSE)</f>
        <v>C2227-2K</v>
      </c>
      <c r="D204" s="22" t="str">
        <f>VLOOKUP($A204,[1]maaltijden!$A$1:$IV$65536,10,FALSE)</f>
        <v>NVT</v>
      </c>
      <c r="E204" s="22" t="str">
        <f>VLOOKUP($A204,[1]maaltijden!$A$1:$IV$65536,13,FALSE)</f>
        <v>DLC X 6</v>
      </c>
      <c r="F204" s="20">
        <f t="shared" si="3"/>
        <v>0</v>
      </c>
      <c r="G204" s="20" t="str">
        <f>VLOOKUP($A204,[1]maaltijden!$A$1:$IV$65536,27,FALSE)</f>
        <v>! ! ! ! !</v>
      </c>
      <c r="H204" s="22">
        <f>VLOOKUP($A204,[1]maaltijden!$A$1:$IV$65536,21,FALSE)</f>
        <v>5</v>
      </c>
      <c r="I204" s="22">
        <f>VLOOKUP($A204,[1]maaltijden!$A$1:$IV$65536,21,FALSE)</f>
        <v>5</v>
      </c>
      <c r="J204" s="22">
        <f>VLOOKUP($A204,[1]maaltijden!$A$1:$IV$65536,18,FALSE)</f>
        <v>3</v>
      </c>
      <c r="K204" s="22">
        <f>VLOOKUP($A204,[1]maaltijden!$A$1:$IV$65536,17,FALSE)</f>
        <v>2.5</v>
      </c>
      <c r="L204" s="22">
        <f>VLOOKUP($A204,[1]maaltijden!$A$1:$IV$65536,20,FALSE)</f>
        <v>2000</v>
      </c>
      <c r="M204" s="22">
        <f>VLOOKUP($A204,[1]maaltijden!$A$1:$IV$65536,22,FALSE)</f>
        <v>2000</v>
      </c>
      <c r="N204" s="135"/>
      <c r="O204" s="50"/>
      <c r="P204" s="19">
        <v>0</v>
      </c>
      <c r="Q204" s="20">
        <v>1</v>
      </c>
      <c r="R204" s="21">
        <v>0</v>
      </c>
      <c r="S204" s="19">
        <v>0</v>
      </c>
      <c r="T204" s="20">
        <v>1</v>
      </c>
      <c r="U204" s="19">
        <v>1</v>
      </c>
      <c r="V204" s="20">
        <v>1</v>
      </c>
      <c r="W204" s="20">
        <v>1</v>
      </c>
      <c r="X204" s="20">
        <v>1</v>
      </c>
      <c r="Y204" s="20">
        <v>1</v>
      </c>
      <c r="Z204" s="20">
        <v>0</v>
      </c>
      <c r="AA204" s="20">
        <v>0</v>
      </c>
      <c r="AB204" s="49">
        <v>0</v>
      </c>
      <c r="AC204" s="49">
        <v>0</v>
      </c>
      <c r="AD204" s="49">
        <v>0</v>
      </c>
      <c r="AE204" s="49">
        <v>1</v>
      </c>
      <c r="AF204" s="49">
        <v>0</v>
      </c>
      <c r="AG204" s="161">
        <v>0</v>
      </c>
      <c r="AH204" s="162">
        <v>2</v>
      </c>
      <c r="AI204" s="162">
        <v>1</v>
      </c>
      <c r="AJ204" s="162">
        <v>0</v>
      </c>
      <c r="AK204" s="162">
        <v>0</v>
      </c>
      <c r="AL204" s="163">
        <v>0</v>
      </c>
      <c r="AM204" s="19">
        <v>0</v>
      </c>
      <c r="AN204" s="20" t="str">
        <f>IFERROR(INDEX([2]lijnopstellingsfiche!$AP$1:$AP$65536,MATCH(A204,[2]lijnopstellingsfiche!$AQ$1:$AQ$65536,0)),"")</f>
        <v>-</v>
      </c>
      <c r="AO204" s="20">
        <v>0</v>
      </c>
      <c r="AP204" s="20">
        <v>0</v>
      </c>
      <c r="AQ204" s="20">
        <v>1</v>
      </c>
      <c r="AR204" s="20">
        <v>1</v>
      </c>
      <c r="AS204" s="20">
        <v>0</v>
      </c>
      <c r="AT204" s="20">
        <v>0</v>
      </c>
      <c r="AU204" s="20">
        <v>0</v>
      </c>
      <c r="AV204" s="23">
        <v>0</v>
      </c>
      <c r="AW204" s="108">
        <v>0</v>
      </c>
      <c r="AX204" s="108">
        <v>0</v>
      </c>
      <c r="AY204" s="108">
        <v>1</v>
      </c>
      <c r="AZ204" s="108">
        <v>0</v>
      </c>
      <c r="BA204" s="114">
        <v>1</v>
      </c>
      <c r="BB204" s="20">
        <v>0</v>
      </c>
      <c r="BC204" s="113">
        <v>0</v>
      </c>
      <c r="BD204" s="200" t="str">
        <f>VLOOKUP($A204,'[3]allergenen 6nr'!$A$1:$O$1310,3,FALSE)</f>
        <v>-</v>
      </c>
      <c r="BE204" s="201" t="str">
        <f>VLOOKUP($A204,'[3]allergenen 6nr'!$A$1:$O$1310,4,FALSE)</f>
        <v>-</v>
      </c>
      <c r="BF204" s="201" t="str">
        <f>VLOOKUP($A204,'[3]allergenen 6nr'!$A$1:$O$1310,5,FALSE)</f>
        <v>+</v>
      </c>
      <c r="BG204" s="201" t="str">
        <f>VLOOKUP($A204,'[3]allergenen 6nr'!$A$1:$O$1310,6,FALSE)</f>
        <v>X</v>
      </c>
      <c r="BH204" s="201" t="str">
        <f>VLOOKUP($A204,'[3]allergenen 6nr'!$A$1:$O$1310,7,FALSE)</f>
        <v>+</v>
      </c>
      <c r="BI204" s="201" t="str">
        <f>VLOOKUP($A204,'[3]allergenen 6nr'!$A$1:$O$1310,8,FALSE)</f>
        <v>X</v>
      </c>
      <c r="BJ204" s="201" t="str">
        <f>VLOOKUP($A204,'[3]allergenen 6nr'!$A$1:$O$1310,9,FALSE)</f>
        <v>+</v>
      </c>
      <c r="BK204" s="201" t="str">
        <f>VLOOKUP($A204,'[3]allergenen 6nr'!$A$1:$O$1310,10,FALSE)</f>
        <v>-</v>
      </c>
      <c r="BL204" s="201" t="str">
        <f>VLOOKUP($A204,'[3]allergenen 6nr'!$A$1:$O$1310,11,FALSE)</f>
        <v>+</v>
      </c>
      <c r="BM204" s="201" t="str">
        <f>VLOOKUP($A204,'[3]allergenen 6nr'!$A$1:$O$1310,12,FALSE)</f>
        <v>-</v>
      </c>
      <c r="BN204" s="201" t="str">
        <f>VLOOKUP($A204,'[3]allergenen 6nr'!$A$1:$O$1310,13,FALSE)</f>
        <v>X</v>
      </c>
      <c r="BO204" s="201" t="str">
        <f>VLOOKUP($A204,'[3]allergenen 6nr'!$A$1:$O$1310,14,FALSE)</f>
        <v>-</v>
      </c>
      <c r="BP204" s="202" t="str">
        <f>VLOOKUP($A204,'[3]allergenen 6nr'!$A$1:$O$1310,15,FALSE)</f>
        <v>-</v>
      </c>
    </row>
    <row r="205" spans="1:68" x14ac:dyDescent="0.2">
      <c r="A205" s="54">
        <v>63582500</v>
      </c>
      <c r="B205" s="53" t="str">
        <f>VLOOKUP($A205,[1]maaltijden!$A$1:$IV$65536,4,FALSE)</f>
        <v>DLC NA-ARM BOERENKOOLSTAMPPOT KALFSGEHAKTBALLEN</v>
      </c>
      <c r="C205" s="46" t="str">
        <f>VLOOKUP($A205,[1]maaltijden!$A$1:$IV$65536,7,FALSE)</f>
        <v>C2227-2K</v>
      </c>
      <c r="D205" s="22" t="str">
        <f>VLOOKUP($A205,[1]maaltijden!$A$1:$IV$65536,10,FALSE)</f>
        <v>NVT</v>
      </c>
      <c r="E205" s="22" t="str">
        <f>VLOOKUP($A205,[1]maaltijden!$A$1:$IV$65536,13,FALSE)</f>
        <v>DLC X 6</v>
      </c>
      <c r="F205" s="20">
        <f t="shared" si="3"/>
        <v>0</v>
      </c>
      <c r="G205" s="20" t="str">
        <f>VLOOKUP($A205,[1]maaltijden!$A$1:$IV$65536,27,FALSE)</f>
        <v>! ! !</v>
      </c>
      <c r="H205" s="22">
        <f>VLOOKUP($A205,[1]maaltijden!$A$1:$IV$65536,21,FALSE)</f>
        <v>3</v>
      </c>
      <c r="I205" s="22">
        <f>VLOOKUP($A205,[1]maaltijden!$A$1:$IV$65536,21,FALSE)</f>
        <v>3</v>
      </c>
      <c r="J205" s="22">
        <f>VLOOKUP($A205,[1]maaltijden!$A$1:$IV$65536,18,FALSE)</f>
        <v>3</v>
      </c>
      <c r="K205" s="22">
        <f>VLOOKUP($A205,[1]maaltijden!$A$1:$IV$65536,17,FALSE)</f>
        <v>2.5</v>
      </c>
      <c r="L205" s="22">
        <f>VLOOKUP($A205,[1]maaltijden!$A$1:$IV$65536,20,FALSE)</f>
        <v>2000</v>
      </c>
      <c r="M205" s="22">
        <f>VLOOKUP($A205,[1]maaltijden!$A$1:$IV$65536,22,FALSE)</f>
        <v>2000</v>
      </c>
      <c r="N205" s="135"/>
      <c r="O205" s="50"/>
      <c r="P205" s="19">
        <v>0</v>
      </c>
      <c r="Q205" s="20">
        <v>1</v>
      </c>
      <c r="R205" s="21">
        <v>0</v>
      </c>
      <c r="S205" s="19">
        <v>0</v>
      </c>
      <c r="T205" s="20">
        <v>1</v>
      </c>
      <c r="U205" s="19"/>
      <c r="V205" s="20"/>
      <c r="W205" s="20"/>
      <c r="X205" s="20"/>
      <c r="Y205" s="20"/>
      <c r="Z205" s="20"/>
      <c r="AA205" s="20"/>
      <c r="AB205" s="49"/>
      <c r="AC205" s="49"/>
      <c r="AD205" s="49"/>
      <c r="AE205" s="49"/>
      <c r="AF205" s="49"/>
      <c r="AG205" s="161">
        <v>0</v>
      </c>
      <c r="AH205" s="168">
        <v>2</v>
      </c>
      <c r="AI205" s="20"/>
      <c r="AJ205" s="20"/>
      <c r="AK205" s="20"/>
      <c r="AL205" s="21"/>
      <c r="AM205" s="19">
        <v>0</v>
      </c>
      <c r="AN205" s="20" t="str">
        <f>IFERROR(INDEX([2]lijnopstellingsfiche!$AP$1:$AP$65536,MATCH(A205,[2]lijnopstellingsfiche!$AQ$1:$AQ$65536,0)),"")</f>
        <v>-</v>
      </c>
      <c r="AO205" s="20">
        <v>0</v>
      </c>
      <c r="AP205" s="20">
        <v>0</v>
      </c>
      <c r="AQ205" s="20">
        <v>1</v>
      </c>
      <c r="AR205" s="20">
        <v>1</v>
      </c>
      <c r="AS205" s="20">
        <v>0</v>
      </c>
      <c r="AT205" s="20">
        <v>0</v>
      </c>
      <c r="AU205" s="20">
        <v>0</v>
      </c>
      <c r="AV205" s="23">
        <v>0</v>
      </c>
      <c r="AW205" s="108">
        <v>0</v>
      </c>
      <c r="AX205" s="108">
        <v>0</v>
      </c>
      <c r="AY205" s="108">
        <v>1</v>
      </c>
      <c r="AZ205" s="108">
        <v>0</v>
      </c>
      <c r="BA205" s="114">
        <v>1</v>
      </c>
      <c r="BB205" s="20">
        <v>0</v>
      </c>
      <c r="BC205" s="113">
        <v>0</v>
      </c>
      <c r="BD205" s="200" t="str">
        <f>VLOOKUP($A205,'[3]allergenen 6nr'!$A$1:$O$1310,3,FALSE)</f>
        <v>X</v>
      </c>
      <c r="BE205" s="201" t="str">
        <f>VLOOKUP($A205,'[3]allergenen 6nr'!$A$1:$O$1310,4,FALSE)</f>
        <v>X</v>
      </c>
      <c r="BF205" s="201" t="str">
        <f>VLOOKUP($A205,'[3]allergenen 6nr'!$A$1:$O$1310,5,FALSE)</f>
        <v>+</v>
      </c>
      <c r="BG205" s="201" t="str">
        <f>VLOOKUP($A205,'[3]allergenen 6nr'!$A$1:$O$1310,6,FALSE)</f>
        <v>X</v>
      </c>
      <c r="BH205" s="201" t="str">
        <f>VLOOKUP($A205,'[3]allergenen 6nr'!$A$1:$O$1310,7,FALSE)</f>
        <v>+</v>
      </c>
      <c r="BI205" s="201" t="str">
        <f>VLOOKUP($A205,'[3]allergenen 6nr'!$A$1:$O$1310,8,FALSE)</f>
        <v>X</v>
      </c>
      <c r="BJ205" s="201" t="str">
        <f>VLOOKUP($A205,'[3]allergenen 6nr'!$A$1:$O$1310,9,FALSE)</f>
        <v>X</v>
      </c>
      <c r="BK205" s="201" t="str">
        <f>VLOOKUP($A205,'[3]allergenen 6nr'!$A$1:$O$1310,10,FALSE)</f>
        <v>X</v>
      </c>
      <c r="BL205" s="201" t="str">
        <f>VLOOKUP($A205,'[3]allergenen 6nr'!$A$1:$O$1310,11,FALSE)</f>
        <v>+</v>
      </c>
      <c r="BM205" s="201" t="str">
        <f>VLOOKUP($A205,'[3]allergenen 6nr'!$A$1:$O$1310,12,FALSE)</f>
        <v>X</v>
      </c>
      <c r="BN205" s="201" t="str">
        <f>VLOOKUP($A205,'[3]allergenen 6nr'!$A$1:$O$1310,13,FALSE)</f>
        <v>X</v>
      </c>
      <c r="BO205" s="201" t="str">
        <f>VLOOKUP($A205,'[3]allergenen 6nr'!$A$1:$O$1310,14,FALSE)</f>
        <v>X</v>
      </c>
      <c r="BP205" s="202" t="str">
        <f>VLOOKUP($A205,'[3]allergenen 6nr'!$A$1:$O$1310,15,FALSE)</f>
        <v>X</v>
      </c>
    </row>
    <row r="206" spans="1:68" x14ac:dyDescent="0.2">
      <c r="A206" s="54">
        <v>63582700</v>
      </c>
      <c r="B206" s="53" t="str">
        <f>VLOOKUP($A206,[1]maaltijden!$A$1:$IV$65536,4,FALSE)</f>
        <v>DLC NA-ARM TAGLIATELLE KIP CURRY GROENTJES</v>
      </c>
      <c r="C206" s="46" t="str">
        <f>VLOOKUP($A206,[1]maaltijden!$A$1:$IV$65536,7,FALSE)</f>
        <v>C2227-1H</v>
      </c>
      <c r="D206" s="22" t="str">
        <f>VLOOKUP($A206,[1]maaltijden!$A$1:$IV$65536,10,FALSE)</f>
        <v>NVT</v>
      </c>
      <c r="E206" s="22" t="str">
        <f>VLOOKUP($A206,[1]maaltijden!$A$1:$IV$65536,13,FALSE)</f>
        <v>DLC X 6</v>
      </c>
      <c r="F206" s="20">
        <f t="shared" si="3"/>
        <v>0</v>
      </c>
      <c r="G206" s="20" t="str">
        <f>VLOOKUP($A206,[1]maaltijden!$A$1:$IV$65536,27,FALSE)</f>
        <v>! ! !</v>
      </c>
      <c r="H206" s="22">
        <f>VLOOKUP($A206,[1]maaltijden!$A$1:$IV$65536,21,FALSE)</f>
        <v>6</v>
      </c>
      <c r="I206" s="22">
        <f>VLOOKUP($A206,[1]maaltijden!$A$1:$IV$65536,21,FALSE)</f>
        <v>6</v>
      </c>
      <c r="J206" s="22">
        <f>VLOOKUP($A206,[1]maaltijden!$A$1:$IV$65536,18,FALSE)</f>
        <v>3</v>
      </c>
      <c r="K206" s="22">
        <f>VLOOKUP($A206,[1]maaltijden!$A$1:$IV$65536,17,FALSE)</f>
        <v>3</v>
      </c>
      <c r="L206" s="22">
        <f>VLOOKUP($A206,[1]maaltijden!$A$1:$IV$65536,20,FALSE)</f>
        <v>2000</v>
      </c>
      <c r="M206" s="22">
        <f>VLOOKUP($A206,[1]maaltijden!$A$1:$IV$65536,22,FALSE)</f>
        <v>2000</v>
      </c>
      <c r="N206" s="135"/>
      <c r="O206" s="50"/>
      <c r="P206" s="19">
        <v>0</v>
      </c>
      <c r="Q206" s="20">
        <v>1</v>
      </c>
      <c r="R206" s="21">
        <v>0</v>
      </c>
      <c r="S206" s="19">
        <v>0</v>
      </c>
      <c r="T206" s="20">
        <v>1</v>
      </c>
      <c r="U206" s="19"/>
      <c r="V206" s="20"/>
      <c r="W206" s="20"/>
      <c r="X206" s="20"/>
      <c r="Y206" s="20"/>
      <c r="Z206" s="20"/>
      <c r="AA206" s="20"/>
      <c r="AB206" s="49"/>
      <c r="AC206" s="49"/>
      <c r="AD206" s="49"/>
      <c r="AE206" s="49"/>
      <c r="AF206" s="49"/>
      <c r="AG206" s="161">
        <v>1</v>
      </c>
      <c r="AH206" s="168">
        <v>1</v>
      </c>
      <c r="AI206" s="20"/>
      <c r="AJ206" s="168">
        <v>1</v>
      </c>
      <c r="AK206" s="20"/>
      <c r="AL206" s="21"/>
      <c r="AM206" s="19">
        <v>1</v>
      </c>
      <c r="AN206" s="20">
        <f>IFERROR(INDEX([2]lijnopstellingsfiche!$AP$1:$AP$65536,MATCH(A206,[2]lijnopstellingsfiche!$AQ$1:$AQ$65536,0)),"")</f>
        <v>1</v>
      </c>
      <c r="AO206" s="20">
        <v>0</v>
      </c>
      <c r="AP206" s="20">
        <v>0</v>
      </c>
      <c r="AQ206" s="20">
        <v>1</v>
      </c>
      <c r="AR206" s="20">
        <v>0</v>
      </c>
      <c r="AS206" s="20">
        <v>0</v>
      </c>
      <c r="AT206" s="20">
        <v>1</v>
      </c>
      <c r="AU206" s="20">
        <v>0</v>
      </c>
      <c r="AV206" s="23">
        <v>0</v>
      </c>
      <c r="AW206" s="108">
        <v>0</v>
      </c>
      <c r="AX206" s="108">
        <v>0</v>
      </c>
      <c r="AY206" s="108">
        <v>1</v>
      </c>
      <c r="AZ206" s="108">
        <v>0</v>
      </c>
      <c r="BA206" s="114">
        <v>1</v>
      </c>
      <c r="BB206" s="20">
        <v>0</v>
      </c>
      <c r="BC206" s="113">
        <v>0</v>
      </c>
      <c r="BD206" s="200" t="str">
        <f>VLOOKUP($A206,'[3]allergenen 6nr'!$A$1:$O$1310,3,FALSE)</f>
        <v>-</v>
      </c>
      <c r="BE206" s="201" t="str">
        <f>VLOOKUP($A206,'[3]allergenen 6nr'!$A$1:$O$1310,4,FALSE)</f>
        <v>+</v>
      </c>
      <c r="BF206" s="201" t="str">
        <f>VLOOKUP($A206,'[3]allergenen 6nr'!$A$1:$O$1310,5,FALSE)</f>
        <v>+</v>
      </c>
      <c r="BG206" s="201" t="str">
        <f>VLOOKUP($A206,'[3]allergenen 6nr'!$A$1:$O$1310,6,FALSE)</f>
        <v>X</v>
      </c>
      <c r="BH206" s="201" t="str">
        <f>VLOOKUP($A206,'[3]allergenen 6nr'!$A$1:$O$1310,7,FALSE)</f>
        <v>+</v>
      </c>
      <c r="BI206" s="201" t="str">
        <f>VLOOKUP($A206,'[3]allergenen 6nr'!$A$1:$O$1310,8,FALSE)</f>
        <v>+</v>
      </c>
      <c r="BJ206" s="201" t="str">
        <f>VLOOKUP($A206,'[3]allergenen 6nr'!$A$1:$O$1310,9,FALSE)</f>
        <v>-</v>
      </c>
      <c r="BK206" s="201" t="str">
        <f>VLOOKUP($A206,'[3]allergenen 6nr'!$A$1:$O$1310,10,FALSE)</f>
        <v>-</v>
      </c>
      <c r="BL206" s="201" t="str">
        <f>VLOOKUP($A206,'[3]allergenen 6nr'!$A$1:$O$1310,11,FALSE)</f>
        <v>+</v>
      </c>
      <c r="BM206" s="201" t="str">
        <f>VLOOKUP($A206,'[3]allergenen 6nr'!$A$1:$O$1310,12,FALSE)</f>
        <v>-</v>
      </c>
      <c r="BN206" s="201" t="str">
        <f>VLOOKUP($A206,'[3]allergenen 6nr'!$A$1:$O$1310,13,FALSE)</f>
        <v>X</v>
      </c>
      <c r="BO206" s="201" t="str">
        <f>VLOOKUP($A206,'[3]allergenen 6nr'!$A$1:$O$1310,14,FALSE)</f>
        <v>-</v>
      </c>
      <c r="BP206" s="202" t="str">
        <f>VLOOKUP($A206,'[3]allergenen 6nr'!$A$1:$O$1310,15,FALSE)</f>
        <v>-</v>
      </c>
    </row>
    <row r="207" spans="1:68" x14ac:dyDescent="0.2">
      <c r="A207" s="54">
        <v>63582800</v>
      </c>
      <c r="B207" s="53" t="str">
        <f>VLOOKUP($A207,[1]maaltijden!$A$1:$IV$65536,4,FALSE)</f>
        <v>DLC NA-ARM KIPFILET BLADSPINAZIE PUREE</v>
      </c>
      <c r="C207" s="46" t="str">
        <f>VLOOKUP($A207,[1]maaltijden!$A$1:$IV$65536,7,FALSE)</f>
        <v>C2227-3R</v>
      </c>
      <c r="D207" s="22" t="str">
        <f>VLOOKUP($A207,[1]maaltijden!$A$1:$IV$65536,10,FALSE)</f>
        <v>NVT</v>
      </c>
      <c r="E207" s="22" t="str">
        <f>VLOOKUP($A207,[1]maaltijden!$A$1:$IV$65536,13,FALSE)</f>
        <v>DLC X 6</v>
      </c>
      <c r="F207" s="20">
        <f t="shared" si="3"/>
        <v>0</v>
      </c>
      <c r="G207" s="20" t="str">
        <f>VLOOKUP($A207,[1]maaltijden!$A$1:$IV$65536,27,FALSE)</f>
        <v>! ! !</v>
      </c>
      <c r="H207" s="22">
        <f>VLOOKUP($A207,[1]maaltijden!$A$1:$IV$65536,21,FALSE)</f>
        <v>2</v>
      </c>
      <c r="I207" s="22">
        <f>VLOOKUP($A207,[1]maaltijden!$A$1:$IV$65536,21,FALSE)</f>
        <v>2</v>
      </c>
      <c r="J207" s="22">
        <f>VLOOKUP($A207,[1]maaltijden!$A$1:$IV$65536,18,FALSE)</f>
        <v>3</v>
      </c>
      <c r="K207" s="22">
        <f>VLOOKUP($A207,[1]maaltijden!$A$1:$IV$65536,17,FALSE)</f>
        <v>3</v>
      </c>
      <c r="L207" s="22">
        <f>VLOOKUP($A207,[1]maaltijden!$A$1:$IV$65536,20,FALSE)</f>
        <v>2000</v>
      </c>
      <c r="M207" s="22">
        <f>VLOOKUP($A207,[1]maaltijden!$A$1:$IV$65536,22,FALSE)</f>
        <v>2000</v>
      </c>
      <c r="N207" s="135"/>
      <c r="O207" s="50"/>
      <c r="P207" s="19">
        <v>0</v>
      </c>
      <c r="Q207" s="20">
        <v>1</v>
      </c>
      <c r="R207" s="21">
        <v>0</v>
      </c>
      <c r="S207" s="19">
        <v>0</v>
      </c>
      <c r="T207" s="20">
        <v>1</v>
      </c>
      <c r="U207" s="19"/>
      <c r="V207" s="20"/>
      <c r="W207" s="20"/>
      <c r="X207" s="20"/>
      <c r="Y207" s="20"/>
      <c r="Z207" s="20"/>
      <c r="AA207" s="20"/>
      <c r="AB207" s="49"/>
      <c r="AC207" s="49"/>
      <c r="AD207" s="49"/>
      <c r="AE207" s="49"/>
      <c r="AF207" s="49"/>
      <c r="AG207" s="161">
        <v>0</v>
      </c>
      <c r="AH207" s="168">
        <v>2</v>
      </c>
      <c r="AI207" s="168">
        <v>1</v>
      </c>
      <c r="AJ207" s="20"/>
      <c r="AK207" s="20"/>
      <c r="AL207" s="21"/>
      <c r="AM207" s="19">
        <v>0</v>
      </c>
      <c r="AN207" s="20" t="str">
        <f>IFERROR(INDEX([2]lijnopstellingsfiche!$AP$1:$AP$65536,MATCH(A207,[2]lijnopstellingsfiche!$AQ$1:$AQ$65536,0)),"")</f>
        <v>-</v>
      </c>
      <c r="AO207" s="20">
        <v>0</v>
      </c>
      <c r="AP207" s="20">
        <v>0</v>
      </c>
      <c r="AQ207" s="20">
        <v>2</v>
      </c>
      <c r="AR207" s="20">
        <v>1</v>
      </c>
      <c r="AS207" s="20">
        <v>0</v>
      </c>
      <c r="AT207" s="20">
        <v>0</v>
      </c>
      <c r="AU207" s="20">
        <v>0</v>
      </c>
      <c r="AV207" s="23">
        <v>0</v>
      </c>
      <c r="AW207" s="108">
        <v>0</v>
      </c>
      <c r="AX207" s="108">
        <v>0</v>
      </c>
      <c r="AY207" s="108">
        <v>1</v>
      </c>
      <c r="AZ207" s="108">
        <v>0</v>
      </c>
      <c r="BA207" s="114">
        <v>1</v>
      </c>
      <c r="BB207" s="20">
        <v>0</v>
      </c>
      <c r="BC207" s="113">
        <v>0</v>
      </c>
      <c r="BD207" s="200" t="str">
        <f>VLOOKUP($A207,'[3]allergenen 6nr'!$A$1:$O$1310,3,FALSE)</f>
        <v>-</v>
      </c>
      <c r="BE207" s="201" t="str">
        <f>VLOOKUP($A207,'[3]allergenen 6nr'!$A$1:$O$1310,4,FALSE)</f>
        <v>+</v>
      </c>
      <c r="BF207" s="201" t="str">
        <f>VLOOKUP($A207,'[3]allergenen 6nr'!$A$1:$O$1310,5,FALSE)</f>
        <v>+</v>
      </c>
      <c r="BG207" s="201" t="str">
        <f>VLOOKUP($A207,'[3]allergenen 6nr'!$A$1:$O$1310,6,FALSE)</f>
        <v>X</v>
      </c>
      <c r="BH207" s="201" t="str">
        <f>VLOOKUP($A207,'[3]allergenen 6nr'!$A$1:$O$1310,7,FALSE)</f>
        <v>+</v>
      </c>
      <c r="BI207" s="201" t="str">
        <f>VLOOKUP($A207,'[3]allergenen 6nr'!$A$1:$O$1310,8,FALSE)</f>
        <v>X</v>
      </c>
      <c r="BJ207" s="201" t="str">
        <f>VLOOKUP($A207,'[3]allergenen 6nr'!$A$1:$O$1310,9,FALSE)</f>
        <v>-</v>
      </c>
      <c r="BK207" s="201" t="str">
        <f>VLOOKUP($A207,'[3]allergenen 6nr'!$A$1:$O$1310,10,FALSE)</f>
        <v>-</v>
      </c>
      <c r="BL207" s="201" t="str">
        <f>VLOOKUP($A207,'[3]allergenen 6nr'!$A$1:$O$1310,11,FALSE)</f>
        <v>+</v>
      </c>
      <c r="BM207" s="201" t="str">
        <f>VLOOKUP($A207,'[3]allergenen 6nr'!$A$1:$O$1310,12,FALSE)</f>
        <v>-</v>
      </c>
      <c r="BN207" s="201" t="str">
        <f>VLOOKUP($A207,'[3]allergenen 6nr'!$A$1:$O$1310,13,FALSE)</f>
        <v>X</v>
      </c>
      <c r="BO207" s="201" t="str">
        <f>VLOOKUP($A207,'[3]allergenen 6nr'!$A$1:$O$1310,14,FALSE)</f>
        <v>-</v>
      </c>
      <c r="BP207" s="202" t="str">
        <f>VLOOKUP($A207,'[3]allergenen 6nr'!$A$1:$O$1310,15,FALSE)</f>
        <v>-</v>
      </c>
    </row>
    <row r="208" spans="1:68" x14ac:dyDescent="0.2">
      <c r="A208" s="54">
        <v>63582900</v>
      </c>
      <c r="B208" s="53" t="str">
        <f>VLOOKUP($A208,[1]maaltijden!$A$1:$IV$65536,4,FALSE)</f>
        <v>DLC NA-ARM MACARONI KALKOENHAM KAASSAUS</v>
      </c>
      <c r="C208" s="46" t="str">
        <f>VLOOKUP($A208,[1]maaltijden!$A$1:$IV$65536,7,FALSE)</f>
        <v>C2227-1H</v>
      </c>
      <c r="D208" s="22" t="str">
        <f>VLOOKUP($A208,[1]maaltijden!$A$1:$IV$65536,10,FALSE)</f>
        <v>NVT</v>
      </c>
      <c r="E208" s="22" t="str">
        <f>VLOOKUP($A208,[1]maaltijden!$A$1:$IV$65536,13,FALSE)</f>
        <v>DLC X 6</v>
      </c>
      <c r="F208" s="20">
        <f t="shared" si="3"/>
        <v>0</v>
      </c>
      <c r="G208" s="20" t="str">
        <f>VLOOKUP($A208,[1]maaltijden!$A$1:$IV$65536,27,FALSE)</f>
        <v>! !</v>
      </c>
      <c r="H208" s="22">
        <f>VLOOKUP($A208,[1]maaltijden!$A$1:$IV$65536,21,FALSE)</f>
        <v>2</v>
      </c>
      <c r="I208" s="22">
        <f>VLOOKUP($A208,[1]maaltijden!$A$1:$IV$65536,21,FALSE)</f>
        <v>2</v>
      </c>
      <c r="J208" s="22">
        <f>VLOOKUP($A208,[1]maaltijden!$A$1:$IV$65536,18,FALSE)</f>
        <v>3</v>
      </c>
      <c r="K208" s="22">
        <f>VLOOKUP($A208,[1]maaltijden!$A$1:$IV$65536,17,FALSE)</f>
        <v>2</v>
      </c>
      <c r="L208" s="22">
        <f>VLOOKUP($A208,[1]maaltijden!$A$1:$IV$65536,20,FALSE)</f>
        <v>2000</v>
      </c>
      <c r="M208" s="22">
        <f>VLOOKUP($A208,[1]maaltijden!$A$1:$IV$65536,22,FALSE)</f>
        <v>2000</v>
      </c>
      <c r="N208" s="135"/>
      <c r="O208" s="50"/>
      <c r="P208" s="19">
        <v>0</v>
      </c>
      <c r="Q208" s="20">
        <v>1</v>
      </c>
      <c r="R208" s="21">
        <v>0</v>
      </c>
      <c r="S208" s="19">
        <v>0</v>
      </c>
      <c r="T208" s="20">
        <v>1</v>
      </c>
      <c r="U208" s="19"/>
      <c r="V208" s="20"/>
      <c r="W208" s="20"/>
      <c r="X208" s="20"/>
      <c r="Y208" s="20"/>
      <c r="Z208" s="20"/>
      <c r="AA208" s="20"/>
      <c r="AB208" s="49"/>
      <c r="AC208" s="49"/>
      <c r="AD208" s="49"/>
      <c r="AE208" s="49"/>
      <c r="AF208" s="49"/>
      <c r="AG208" s="161">
        <v>1</v>
      </c>
      <c r="AH208" s="168">
        <v>1</v>
      </c>
      <c r="AI208" s="20"/>
      <c r="AJ208" s="20"/>
      <c r="AK208" s="20"/>
      <c r="AL208" s="21"/>
      <c r="AM208" s="19">
        <v>0</v>
      </c>
      <c r="AN208" s="20" t="str">
        <f>IFERROR(INDEX([2]lijnopstellingsfiche!$AP$1:$AP$65536,MATCH(A208,[2]lijnopstellingsfiche!$AQ$1:$AQ$65536,0)),"")</f>
        <v>-</v>
      </c>
      <c r="AO208" s="20">
        <v>1</v>
      </c>
      <c r="AP208" s="20">
        <v>0</v>
      </c>
      <c r="AQ208" s="20">
        <v>2</v>
      </c>
      <c r="AR208" s="20">
        <v>0</v>
      </c>
      <c r="AS208" s="20">
        <v>0</v>
      </c>
      <c r="AT208" s="20">
        <v>0</v>
      </c>
      <c r="AU208" s="20">
        <v>0</v>
      </c>
      <c r="AV208" s="23">
        <v>0</v>
      </c>
      <c r="AW208" s="108">
        <v>0</v>
      </c>
      <c r="AX208" s="108">
        <v>0</v>
      </c>
      <c r="AY208" s="108">
        <v>1</v>
      </c>
      <c r="AZ208" s="108">
        <v>0</v>
      </c>
      <c r="BA208" s="114">
        <v>1</v>
      </c>
      <c r="BB208" s="20">
        <v>0</v>
      </c>
      <c r="BC208" s="113">
        <v>0</v>
      </c>
      <c r="BD208" s="200" t="str">
        <f>VLOOKUP($A208,'[3]allergenen 6nr'!$A$1:$O$1310,3,FALSE)</f>
        <v>-</v>
      </c>
      <c r="BE208" s="201" t="str">
        <f>VLOOKUP($A208,'[3]allergenen 6nr'!$A$1:$O$1310,4,FALSE)</f>
        <v>X</v>
      </c>
      <c r="BF208" s="201" t="str">
        <f>VLOOKUP($A208,'[3]allergenen 6nr'!$A$1:$O$1310,5,FALSE)</f>
        <v>+</v>
      </c>
      <c r="BG208" s="201" t="str">
        <f>VLOOKUP($A208,'[3]allergenen 6nr'!$A$1:$O$1310,6,FALSE)</f>
        <v>X</v>
      </c>
      <c r="BH208" s="201" t="str">
        <f>VLOOKUP($A208,'[3]allergenen 6nr'!$A$1:$O$1310,7,FALSE)</f>
        <v>+</v>
      </c>
      <c r="BI208" s="201" t="str">
        <f>VLOOKUP($A208,'[3]allergenen 6nr'!$A$1:$O$1310,8,FALSE)</f>
        <v>X</v>
      </c>
      <c r="BJ208" s="201" t="str">
        <f>VLOOKUP($A208,'[3]allergenen 6nr'!$A$1:$O$1310,9,FALSE)</f>
        <v>-</v>
      </c>
      <c r="BK208" s="201" t="str">
        <f>VLOOKUP($A208,'[3]allergenen 6nr'!$A$1:$O$1310,10,FALSE)</f>
        <v>-</v>
      </c>
      <c r="BL208" s="201" t="str">
        <f>VLOOKUP($A208,'[3]allergenen 6nr'!$A$1:$O$1310,11,FALSE)</f>
        <v>-</v>
      </c>
      <c r="BM208" s="201" t="str">
        <f>VLOOKUP($A208,'[3]allergenen 6nr'!$A$1:$O$1310,12,FALSE)</f>
        <v>-</v>
      </c>
      <c r="BN208" s="201" t="str">
        <f>VLOOKUP($A208,'[3]allergenen 6nr'!$A$1:$O$1310,13,FALSE)</f>
        <v>X</v>
      </c>
      <c r="BO208" s="201" t="str">
        <f>VLOOKUP($A208,'[3]allergenen 6nr'!$A$1:$O$1310,14,FALSE)</f>
        <v>-</v>
      </c>
      <c r="BP208" s="202" t="str">
        <f>VLOOKUP($A208,'[3]allergenen 6nr'!$A$1:$O$1310,15,FALSE)</f>
        <v>-</v>
      </c>
    </row>
    <row r="209" spans="1:68" x14ac:dyDescent="0.2">
      <c r="A209" s="54">
        <v>63583000</v>
      </c>
      <c r="B209" s="53" t="str">
        <f>VLOOKUP($A209,[1]maaltijden!$A$1:$IV$65536,4,FALSE)</f>
        <v>DLC NA-ARM AARDAPPELGRATIN RU GEHAKT WORTEL</v>
      </c>
      <c r="C209" s="46" t="str">
        <f>VLOOKUP($A209,[1]maaltijden!$A$1:$IV$65536,7,FALSE)</f>
        <v>C2227-2K</v>
      </c>
      <c r="D209" s="22" t="str">
        <f>VLOOKUP($A209,[1]maaltijden!$A$1:$IV$65536,10,FALSE)</f>
        <v>NVT</v>
      </c>
      <c r="E209" s="22" t="str">
        <f>VLOOKUP($A209,[1]maaltijden!$A$1:$IV$65536,13,FALSE)</f>
        <v>DLC X 6</v>
      </c>
      <c r="F209" s="20">
        <f t="shared" si="3"/>
        <v>0</v>
      </c>
      <c r="G209" s="20" t="str">
        <f>VLOOKUP($A209,[1]maaltijden!$A$1:$IV$65536,27,FALSE)</f>
        <v>! ! !</v>
      </c>
      <c r="H209" s="22">
        <f>VLOOKUP($A209,[1]maaltijden!$A$1:$IV$65536,21,FALSE)</f>
        <v>3</v>
      </c>
      <c r="I209" s="22">
        <f>VLOOKUP($A209,[1]maaltijden!$A$1:$IV$65536,21,FALSE)</f>
        <v>3</v>
      </c>
      <c r="J209" s="22">
        <f>VLOOKUP($A209,[1]maaltijden!$A$1:$IV$65536,18,FALSE)</f>
        <v>3</v>
      </c>
      <c r="K209" s="22">
        <f>VLOOKUP($A209,[1]maaltijden!$A$1:$IV$65536,17,FALSE)</f>
        <v>3</v>
      </c>
      <c r="L209" s="22">
        <f>VLOOKUP($A209,[1]maaltijden!$A$1:$IV$65536,20,FALSE)</f>
        <v>2000</v>
      </c>
      <c r="M209" s="22">
        <f>VLOOKUP($A209,[1]maaltijden!$A$1:$IV$65536,22,FALSE)</f>
        <v>2000</v>
      </c>
      <c r="N209" s="135"/>
      <c r="O209" s="50"/>
      <c r="P209" s="19">
        <v>0</v>
      </c>
      <c r="Q209" s="20">
        <v>1</v>
      </c>
      <c r="R209" s="21">
        <v>0</v>
      </c>
      <c r="S209" s="19">
        <v>0</v>
      </c>
      <c r="T209" s="20">
        <v>1</v>
      </c>
      <c r="U209" s="19"/>
      <c r="V209" s="20"/>
      <c r="W209" s="20"/>
      <c r="X209" s="20"/>
      <c r="Y209" s="20"/>
      <c r="Z209" s="20"/>
      <c r="AA209" s="20"/>
      <c r="AB209" s="49"/>
      <c r="AC209" s="49"/>
      <c r="AD209" s="49"/>
      <c r="AE209" s="49"/>
      <c r="AF209" s="49"/>
      <c r="AG209" s="161">
        <v>0</v>
      </c>
      <c r="AH209" s="168">
        <v>2</v>
      </c>
      <c r="AI209" s="168">
        <v>1</v>
      </c>
      <c r="AJ209" s="20"/>
      <c r="AK209" s="20"/>
      <c r="AL209" s="21"/>
      <c r="AM209" s="19">
        <v>0</v>
      </c>
      <c r="AN209" s="20" t="str">
        <f>IFERROR(INDEX([2]lijnopstellingsfiche!$AP$1:$AP$65536,MATCH(A209,[2]lijnopstellingsfiche!$AQ$1:$AQ$65536,0)),"")</f>
        <v>-</v>
      </c>
      <c r="AO209" s="20">
        <v>0</v>
      </c>
      <c r="AP209" s="20">
        <v>1</v>
      </c>
      <c r="AQ209" s="20">
        <v>1</v>
      </c>
      <c r="AR209" s="20">
        <v>1</v>
      </c>
      <c r="AS209" s="20">
        <v>0</v>
      </c>
      <c r="AT209" s="20">
        <v>0</v>
      </c>
      <c r="AU209" s="20">
        <v>0</v>
      </c>
      <c r="AV209" s="23">
        <v>0</v>
      </c>
      <c r="AW209" s="108">
        <v>0</v>
      </c>
      <c r="AX209" s="108">
        <v>0</v>
      </c>
      <c r="AY209" s="108">
        <v>1</v>
      </c>
      <c r="AZ209" s="108">
        <v>0</v>
      </c>
      <c r="BA209" s="114">
        <v>1</v>
      </c>
      <c r="BB209" s="20">
        <v>0</v>
      </c>
      <c r="BC209" s="113">
        <v>0</v>
      </c>
      <c r="BD209" s="200" t="str">
        <f>VLOOKUP($A209,'[3]allergenen 6nr'!$A$1:$O$1310,3,FALSE)</f>
        <v>-</v>
      </c>
      <c r="BE209" s="201" t="str">
        <f>VLOOKUP($A209,'[3]allergenen 6nr'!$A$1:$O$1310,4,FALSE)</f>
        <v>+</v>
      </c>
      <c r="BF209" s="201" t="str">
        <f>VLOOKUP($A209,'[3]allergenen 6nr'!$A$1:$O$1310,5,FALSE)</f>
        <v>+</v>
      </c>
      <c r="BG209" s="201" t="str">
        <f>VLOOKUP($A209,'[3]allergenen 6nr'!$A$1:$O$1310,6,FALSE)</f>
        <v>-</v>
      </c>
      <c r="BH209" s="201" t="str">
        <f>VLOOKUP($A209,'[3]allergenen 6nr'!$A$1:$O$1310,7,FALSE)</f>
        <v>+</v>
      </c>
      <c r="BI209" s="201" t="str">
        <f>VLOOKUP($A209,'[3]allergenen 6nr'!$A$1:$O$1310,8,FALSE)</f>
        <v>-</v>
      </c>
      <c r="BJ209" s="201" t="str">
        <f>VLOOKUP($A209,'[3]allergenen 6nr'!$A$1:$O$1310,9,FALSE)</f>
        <v>-</v>
      </c>
      <c r="BK209" s="201" t="str">
        <f>VLOOKUP($A209,'[3]allergenen 6nr'!$A$1:$O$1310,10,FALSE)</f>
        <v>-</v>
      </c>
      <c r="BL209" s="201" t="str">
        <f>VLOOKUP($A209,'[3]allergenen 6nr'!$A$1:$O$1310,11,FALSE)</f>
        <v>+</v>
      </c>
      <c r="BM209" s="201" t="str">
        <f>VLOOKUP($A209,'[3]allergenen 6nr'!$A$1:$O$1310,12,FALSE)</f>
        <v>-</v>
      </c>
      <c r="BN209" s="201" t="str">
        <f>VLOOKUP($A209,'[3]allergenen 6nr'!$A$1:$O$1310,13,FALSE)</f>
        <v>-</v>
      </c>
      <c r="BO209" s="201" t="str">
        <f>VLOOKUP($A209,'[3]allergenen 6nr'!$A$1:$O$1310,14,FALSE)</f>
        <v>-</v>
      </c>
      <c r="BP209" s="202" t="str">
        <f>VLOOKUP($A209,'[3]allergenen 6nr'!$A$1:$O$1310,15,FALSE)</f>
        <v>-</v>
      </c>
    </row>
    <row r="210" spans="1:68" x14ac:dyDescent="0.2">
      <c r="A210" s="89">
        <v>63583100</v>
      </c>
      <c r="B210" s="53" t="str">
        <f>VLOOKUP($A210,[1]maaltijden!$A$1:$IV$65536,4,FALSE)</f>
        <v>DLC NA-ARM KIP UIENSAUS APPELMOES GEB AARD KUBUS</v>
      </c>
      <c r="C210" s="46" t="str">
        <f>VLOOKUP($A210,[1]maaltijden!$A$1:$IV$65536,7,FALSE)</f>
        <v>C2227-3R</v>
      </c>
      <c r="D210" s="22" t="str">
        <f>VLOOKUP($A210,[1]maaltijden!$A$1:$IV$65536,10,FALSE)</f>
        <v>NVT</v>
      </c>
      <c r="E210" s="22" t="str">
        <f>VLOOKUP($A210,[1]maaltijden!$A$1:$IV$65536,13,FALSE)</f>
        <v>DLC X 6</v>
      </c>
      <c r="F210" s="20">
        <f t="shared" si="3"/>
        <v>0</v>
      </c>
      <c r="G210" s="20" t="str">
        <f>VLOOKUP($A210,[1]maaltijden!$A$1:$IV$65536,27,FALSE)</f>
        <v>! ! !</v>
      </c>
      <c r="H210" s="22">
        <f>VLOOKUP($A210,[1]maaltijden!$A$1:$IV$65536,21,FALSE)</f>
        <v>4</v>
      </c>
      <c r="I210" s="22">
        <f>VLOOKUP($A210,[1]maaltijden!$A$1:$IV$65536,21,FALSE)</f>
        <v>4</v>
      </c>
      <c r="J210" s="22">
        <f>VLOOKUP($A210,[1]maaltijden!$A$1:$IV$65536,18,FALSE)</f>
        <v>3</v>
      </c>
      <c r="K210" s="22">
        <f>VLOOKUP($A210,[1]maaltijden!$A$1:$IV$65536,17,FALSE)</f>
        <v>2</v>
      </c>
      <c r="L210" s="22">
        <f>VLOOKUP($A210,[1]maaltijden!$A$1:$IV$65536,20,FALSE)</f>
        <v>2000</v>
      </c>
      <c r="M210" s="22">
        <f>VLOOKUP($A210,[1]maaltijden!$A$1:$IV$65536,22,FALSE)</f>
        <v>2000</v>
      </c>
      <c r="N210" s="135"/>
      <c r="O210" s="50"/>
      <c r="P210" s="19">
        <v>0</v>
      </c>
      <c r="Q210" s="20">
        <v>1</v>
      </c>
      <c r="R210" s="21">
        <v>0</v>
      </c>
      <c r="S210" s="19">
        <v>0</v>
      </c>
      <c r="T210" s="20">
        <v>1</v>
      </c>
      <c r="U210" s="19">
        <v>1</v>
      </c>
      <c r="V210" s="20">
        <v>1</v>
      </c>
      <c r="W210" s="20">
        <v>1</v>
      </c>
      <c r="X210" s="20">
        <v>1</v>
      </c>
      <c r="Y210" s="20">
        <v>1</v>
      </c>
      <c r="Z210" s="20">
        <v>0</v>
      </c>
      <c r="AA210" s="20">
        <v>0</v>
      </c>
      <c r="AB210" s="49">
        <v>0</v>
      </c>
      <c r="AC210" s="49">
        <v>0</v>
      </c>
      <c r="AD210" s="49">
        <v>0</v>
      </c>
      <c r="AE210" s="49">
        <v>0</v>
      </c>
      <c r="AF210" s="49">
        <v>1</v>
      </c>
      <c r="AG210" s="161">
        <v>0</v>
      </c>
      <c r="AH210" s="162">
        <v>1</v>
      </c>
      <c r="AI210" s="162">
        <v>0</v>
      </c>
      <c r="AJ210" s="162">
        <v>0</v>
      </c>
      <c r="AK210" s="162">
        <v>0</v>
      </c>
      <c r="AL210" s="163">
        <v>0</v>
      </c>
      <c r="AM210" s="19">
        <v>0</v>
      </c>
      <c r="AN210" s="20" t="str">
        <f>IFERROR(INDEX([2]lijnopstellingsfiche!$AP$1:$AP$65536,MATCH(A210,[2]lijnopstellingsfiche!$AQ$1:$AQ$65536,0)),"")</f>
        <v>-</v>
      </c>
      <c r="AO210" s="20">
        <v>0</v>
      </c>
      <c r="AP210" s="20">
        <v>0</v>
      </c>
      <c r="AQ210" s="20">
        <v>2</v>
      </c>
      <c r="AR210" s="20">
        <v>0</v>
      </c>
      <c r="AS210" s="20">
        <v>0</v>
      </c>
      <c r="AT210" s="20">
        <v>1</v>
      </c>
      <c r="AU210" s="20">
        <v>0</v>
      </c>
      <c r="AV210" s="23">
        <v>0</v>
      </c>
      <c r="AW210" s="108">
        <v>0</v>
      </c>
      <c r="AX210" s="108">
        <v>0</v>
      </c>
      <c r="AY210" s="108">
        <v>1</v>
      </c>
      <c r="AZ210" s="108">
        <v>0</v>
      </c>
      <c r="BA210" s="114">
        <v>1</v>
      </c>
      <c r="BB210" s="20">
        <v>0</v>
      </c>
      <c r="BC210" s="113">
        <v>0</v>
      </c>
      <c r="BD210" s="200" t="str">
        <f>VLOOKUP($A210,'[3]allergenen 6nr'!$A$1:$O$1310,3,FALSE)</f>
        <v>-</v>
      </c>
      <c r="BE210" s="201" t="str">
        <f>VLOOKUP($A210,'[3]allergenen 6nr'!$A$1:$O$1310,4,FALSE)</f>
        <v>-</v>
      </c>
      <c r="BF210" s="201" t="str">
        <f>VLOOKUP($A210,'[3]allergenen 6nr'!$A$1:$O$1310,5,FALSE)</f>
        <v>+</v>
      </c>
      <c r="BG210" s="201" t="str">
        <f>VLOOKUP($A210,'[3]allergenen 6nr'!$A$1:$O$1310,6,FALSE)</f>
        <v>X</v>
      </c>
      <c r="BH210" s="201" t="str">
        <f>VLOOKUP($A210,'[3]allergenen 6nr'!$A$1:$O$1310,7,FALSE)</f>
        <v>-</v>
      </c>
      <c r="BI210" s="201" t="str">
        <f>VLOOKUP($A210,'[3]allergenen 6nr'!$A$1:$O$1310,8,FALSE)</f>
        <v>X</v>
      </c>
      <c r="BJ210" s="201" t="str">
        <f>VLOOKUP($A210,'[3]allergenen 6nr'!$A$1:$O$1310,9,FALSE)</f>
        <v>-</v>
      </c>
      <c r="BK210" s="201" t="str">
        <f>VLOOKUP($A210,'[3]allergenen 6nr'!$A$1:$O$1310,10,FALSE)</f>
        <v>-</v>
      </c>
      <c r="BL210" s="201" t="str">
        <f>VLOOKUP($A210,'[3]allergenen 6nr'!$A$1:$O$1310,11,FALSE)</f>
        <v>+</v>
      </c>
      <c r="BM210" s="201" t="str">
        <f>VLOOKUP($A210,'[3]allergenen 6nr'!$A$1:$O$1310,12,FALSE)</f>
        <v>-</v>
      </c>
      <c r="BN210" s="201" t="str">
        <f>VLOOKUP($A210,'[3]allergenen 6nr'!$A$1:$O$1310,13,FALSE)</f>
        <v>X</v>
      </c>
      <c r="BO210" s="201" t="str">
        <f>VLOOKUP($A210,'[3]allergenen 6nr'!$A$1:$O$1310,14,FALSE)</f>
        <v>-</v>
      </c>
      <c r="BP210" s="202" t="str">
        <f>VLOOKUP($A210,'[3]allergenen 6nr'!$A$1:$O$1310,15,FALSE)</f>
        <v>-</v>
      </c>
    </row>
    <row r="211" spans="1:68" x14ac:dyDescent="0.2">
      <c r="A211" s="54">
        <v>63583200</v>
      </c>
      <c r="B211" s="53" t="str">
        <f>VLOOKUP($A211,[1]maaltijden!$A$1:$IV$65536,4,FALSE)</f>
        <v>DLC NA-ARM VARKEN BLACKWELL ERWT/WORTEL KRIEL</v>
      </c>
      <c r="C211" s="46" t="str">
        <f>VLOOKUP($A211,[1]maaltijden!$A$1:$IV$65536,7,FALSE)</f>
        <v>C2227-3R</v>
      </c>
      <c r="D211" s="22" t="str">
        <f>VLOOKUP($A211,[1]maaltijden!$A$1:$IV$65536,10,FALSE)</f>
        <v>NVT</v>
      </c>
      <c r="E211" s="22" t="str">
        <f>VLOOKUP($A211,[1]maaltijden!$A$1:$IV$65536,13,FALSE)</f>
        <v>DLC X 6</v>
      </c>
      <c r="F211" s="20">
        <f t="shared" si="3"/>
        <v>0</v>
      </c>
      <c r="G211" s="20" t="str">
        <f>VLOOKUP($A211,[1]maaltijden!$A$1:$IV$65536,27,FALSE)</f>
        <v>! ! !</v>
      </c>
      <c r="H211" s="22">
        <f>VLOOKUP($A211,[1]maaltijden!$A$1:$IV$65536,21,FALSE)</f>
        <v>10</v>
      </c>
      <c r="I211" s="22">
        <f>VLOOKUP($A211,[1]maaltijden!$A$1:$IV$65536,21,FALSE)</f>
        <v>10</v>
      </c>
      <c r="J211" s="22">
        <f>VLOOKUP($A211,[1]maaltijden!$A$1:$IV$65536,18,FALSE)</f>
        <v>3</v>
      </c>
      <c r="K211" s="22">
        <f>VLOOKUP($A211,[1]maaltijden!$A$1:$IV$65536,17,FALSE)</f>
        <v>2</v>
      </c>
      <c r="L211" s="22">
        <f>VLOOKUP($A211,[1]maaltijden!$A$1:$IV$65536,20,FALSE)</f>
        <v>2000</v>
      </c>
      <c r="M211" s="22">
        <f>VLOOKUP($A211,[1]maaltijden!$A$1:$IV$65536,22,FALSE)</f>
        <v>2000</v>
      </c>
      <c r="N211" s="135"/>
      <c r="O211" s="50"/>
      <c r="P211" s="19">
        <v>0</v>
      </c>
      <c r="Q211" s="20">
        <v>1</v>
      </c>
      <c r="R211" s="21">
        <v>0</v>
      </c>
      <c r="S211" s="19">
        <v>0</v>
      </c>
      <c r="T211" s="20">
        <v>1</v>
      </c>
      <c r="U211" s="19"/>
      <c r="V211" s="20"/>
      <c r="W211" s="20"/>
      <c r="X211" s="20"/>
      <c r="Y211" s="20"/>
      <c r="Z211" s="20"/>
      <c r="AA211" s="20"/>
      <c r="AB211" s="49"/>
      <c r="AC211" s="49"/>
      <c r="AD211" s="49"/>
      <c r="AE211" s="49"/>
      <c r="AF211" s="49"/>
      <c r="AG211" s="161">
        <v>0</v>
      </c>
      <c r="AH211" s="168">
        <v>1</v>
      </c>
      <c r="AI211" s="168">
        <v>1</v>
      </c>
      <c r="AJ211" s="20"/>
      <c r="AK211" s="20"/>
      <c r="AL211" s="21"/>
      <c r="AM211" s="19">
        <v>0</v>
      </c>
      <c r="AN211" s="20">
        <f>IFERROR(INDEX([2]lijnopstellingsfiche!$AP$1:$AP$65536,MATCH(A211,[2]lijnopstellingsfiche!$AQ$1:$AQ$65536,0)),"")</f>
        <v>7</v>
      </c>
      <c r="AO211" s="20">
        <v>0</v>
      </c>
      <c r="AP211" s="20">
        <v>0</v>
      </c>
      <c r="AQ211" s="20">
        <v>1</v>
      </c>
      <c r="AR211" s="20">
        <v>0</v>
      </c>
      <c r="AS211" s="20">
        <v>0</v>
      </c>
      <c r="AT211" s="20">
        <v>0</v>
      </c>
      <c r="AU211" s="20">
        <v>0</v>
      </c>
      <c r="AV211" s="23">
        <v>0</v>
      </c>
      <c r="AW211" s="108">
        <v>0</v>
      </c>
      <c r="AX211" s="108">
        <v>0</v>
      </c>
      <c r="AY211" s="108">
        <v>1</v>
      </c>
      <c r="AZ211" s="108">
        <v>0</v>
      </c>
      <c r="BA211" s="114">
        <v>1</v>
      </c>
      <c r="BB211" s="20">
        <v>0</v>
      </c>
      <c r="BC211" s="113">
        <v>0</v>
      </c>
      <c r="BD211" s="200" t="e">
        <f>VLOOKUP($A211,'[3]allergenen 6nr'!$A$1:$O$1310,3,FALSE)</f>
        <v>#N/A</v>
      </c>
      <c r="BE211" s="201" t="e">
        <f>VLOOKUP($A211,'[3]allergenen 6nr'!$A$1:$O$1310,4,FALSE)</f>
        <v>#N/A</v>
      </c>
      <c r="BF211" s="201" t="e">
        <f>VLOOKUP($A211,'[3]allergenen 6nr'!$A$1:$O$1310,5,FALSE)</f>
        <v>#N/A</v>
      </c>
      <c r="BG211" s="201" t="e">
        <f>VLOOKUP($A211,'[3]allergenen 6nr'!$A$1:$O$1310,6,FALSE)</f>
        <v>#N/A</v>
      </c>
      <c r="BH211" s="201" t="e">
        <f>VLOOKUP($A211,'[3]allergenen 6nr'!$A$1:$O$1310,7,FALSE)</f>
        <v>#N/A</v>
      </c>
      <c r="BI211" s="201" t="e">
        <f>VLOOKUP($A211,'[3]allergenen 6nr'!$A$1:$O$1310,8,FALSE)</f>
        <v>#N/A</v>
      </c>
      <c r="BJ211" s="201" t="e">
        <f>VLOOKUP($A211,'[3]allergenen 6nr'!$A$1:$O$1310,9,FALSE)</f>
        <v>#N/A</v>
      </c>
      <c r="BK211" s="201" t="e">
        <f>VLOOKUP($A211,'[3]allergenen 6nr'!$A$1:$O$1310,10,FALSE)</f>
        <v>#N/A</v>
      </c>
      <c r="BL211" s="201" t="e">
        <f>VLOOKUP($A211,'[3]allergenen 6nr'!$A$1:$O$1310,11,FALSE)</f>
        <v>#N/A</v>
      </c>
      <c r="BM211" s="201" t="e">
        <f>VLOOKUP($A211,'[3]allergenen 6nr'!$A$1:$O$1310,12,FALSE)</f>
        <v>#N/A</v>
      </c>
      <c r="BN211" s="201" t="e">
        <f>VLOOKUP($A211,'[3]allergenen 6nr'!$A$1:$O$1310,13,FALSE)</f>
        <v>#N/A</v>
      </c>
      <c r="BO211" s="201" t="e">
        <f>VLOOKUP($A211,'[3]allergenen 6nr'!$A$1:$O$1310,14,FALSE)</f>
        <v>#N/A</v>
      </c>
      <c r="BP211" s="202" t="e">
        <f>VLOOKUP($A211,'[3]allergenen 6nr'!$A$1:$O$1310,15,FALSE)</f>
        <v>#N/A</v>
      </c>
    </row>
    <row r="212" spans="1:68" x14ac:dyDescent="0.2">
      <c r="A212" s="54">
        <v>63583400</v>
      </c>
      <c r="B212" s="53" t="str">
        <f>VLOOKUP($A212,[1]maaltijden!$A$1:$IV$65536,4,FALSE)</f>
        <v>DLC NA-ARM ZALMFILET DILLESAUS GROENTEMIX PUREE TUINKRUIDEN</v>
      </c>
      <c r="C212" s="46" t="str">
        <f>VLOOKUP($A212,[1]maaltijden!$A$1:$IV$65536,7,FALSE)</f>
        <v>C2227-2K</v>
      </c>
      <c r="D212" s="22" t="str">
        <f>VLOOKUP($A212,[1]maaltijden!$A$1:$IV$65536,10,FALSE)</f>
        <v>NVT</v>
      </c>
      <c r="E212" s="22" t="str">
        <f>VLOOKUP($A212,[1]maaltijden!$A$1:$IV$65536,13,FALSE)</f>
        <v>DLC X 6</v>
      </c>
      <c r="F212" s="20">
        <f t="shared" si="3"/>
        <v>0</v>
      </c>
      <c r="G212" s="20" t="str">
        <f>VLOOKUP($A212,[1]maaltijden!$A$1:$IV$65536,27,FALSE)</f>
        <v>! ! ! !</v>
      </c>
      <c r="H212" s="22">
        <f>VLOOKUP($A212,[1]maaltijden!$A$1:$IV$65536,21,FALSE)</f>
        <v>5</v>
      </c>
      <c r="I212" s="22">
        <f>VLOOKUP($A212,[1]maaltijden!$A$1:$IV$65536,21,FALSE)</f>
        <v>5</v>
      </c>
      <c r="J212" s="22">
        <f>VLOOKUP($A212,[1]maaltijden!$A$1:$IV$65536,18,FALSE)</f>
        <v>3</v>
      </c>
      <c r="K212" s="22">
        <f>VLOOKUP($A212,[1]maaltijden!$A$1:$IV$65536,17,FALSE)</f>
        <v>3</v>
      </c>
      <c r="L212" s="22">
        <f>VLOOKUP($A212,[1]maaltijden!$A$1:$IV$65536,20,FALSE)</f>
        <v>2000</v>
      </c>
      <c r="M212" s="22">
        <f>VLOOKUP($A212,[1]maaltijden!$A$1:$IV$65536,22,FALSE)</f>
        <v>2000</v>
      </c>
      <c r="N212" s="135"/>
      <c r="O212" s="50"/>
      <c r="P212" s="19">
        <v>0</v>
      </c>
      <c r="Q212" s="20">
        <v>1</v>
      </c>
      <c r="R212" s="21">
        <v>0</v>
      </c>
      <c r="S212" s="19">
        <v>0</v>
      </c>
      <c r="T212" s="20">
        <v>1</v>
      </c>
      <c r="U212" s="19"/>
      <c r="V212" s="20"/>
      <c r="W212" s="20"/>
      <c r="X212" s="20"/>
      <c r="Y212" s="20"/>
      <c r="Z212" s="20"/>
      <c r="AA212" s="20"/>
      <c r="AB212" s="49"/>
      <c r="AC212" s="49"/>
      <c r="AD212" s="49"/>
      <c r="AE212" s="49"/>
      <c r="AF212" s="49"/>
      <c r="AG212" s="161">
        <v>0</v>
      </c>
      <c r="AH212" s="168">
        <v>2</v>
      </c>
      <c r="AI212" s="168">
        <v>1</v>
      </c>
      <c r="AJ212" s="20"/>
      <c r="AK212" s="20"/>
      <c r="AL212" s="21"/>
      <c r="AM212" s="19">
        <v>0</v>
      </c>
      <c r="AN212" s="20">
        <f>IFERROR(INDEX([2]lijnopstellingsfiche!$AP$1:$AP$65536,MATCH(A212,[2]lijnopstellingsfiche!$AQ$1:$AQ$65536,0)),"")</f>
        <v>1</v>
      </c>
      <c r="AO212" s="20">
        <v>0</v>
      </c>
      <c r="AP212" s="20">
        <v>0</v>
      </c>
      <c r="AQ212" s="20">
        <v>1</v>
      </c>
      <c r="AR212" s="20">
        <v>1</v>
      </c>
      <c r="AS212" s="20">
        <v>0</v>
      </c>
      <c r="AT212" s="20">
        <v>0</v>
      </c>
      <c r="AU212" s="20">
        <v>0</v>
      </c>
      <c r="AV212" s="23">
        <v>0</v>
      </c>
      <c r="AW212" s="108">
        <v>0</v>
      </c>
      <c r="AX212" s="108">
        <v>0</v>
      </c>
      <c r="AY212" s="108">
        <v>1</v>
      </c>
      <c r="AZ212" s="108">
        <v>0</v>
      </c>
      <c r="BA212" s="114">
        <v>1</v>
      </c>
      <c r="BB212" s="20">
        <v>0</v>
      </c>
      <c r="BC212" s="113">
        <v>0</v>
      </c>
      <c r="BD212" s="200" t="str">
        <f>VLOOKUP($A212,'[3]allergenen 6nr'!$A$1:$O$1310,3,FALSE)</f>
        <v>-</v>
      </c>
      <c r="BE212" s="201" t="str">
        <f>VLOOKUP($A212,'[3]allergenen 6nr'!$A$1:$O$1310,4,FALSE)</f>
        <v>+</v>
      </c>
      <c r="BF212" s="201" t="str">
        <f>VLOOKUP($A212,'[3]allergenen 6nr'!$A$1:$O$1310,5,FALSE)</f>
        <v>X</v>
      </c>
      <c r="BG212" s="201" t="str">
        <f>VLOOKUP($A212,'[3]allergenen 6nr'!$A$1:$O$1310,6,FALSE)</f>
        <v>-</v>
      </c>
      <c r="BH212" s="201" t="str">
        <f>VLOOKUP($A212,'[3]allergenen 6nr'!$A$1:$O$1310,7,FALSE)</f>
        <v>+</v>
      </c>
      <c r="BI212" s="201" t="str">
        <f>VLOOKUP($A212,'[3]allergenen 6nr'!$A$1:$O$1310,8,FALSE)</f>
        <v>+</v>
      </c>
      <c r="BJ212" s="201" t="str">
        <f>VLOOKUP($A212,'[3]allergenen 6nr'!$A$1:$O$1310,9,FALSE)</f>
        <v>-</v>
      </c>
      <c r="BK212" s="201" t="str">
        <f>VLOOKUP($A212,'[3]allergenen 6nr'!$A$1:$O$1310,10,FALSE)</f>
        <v>-</v>
      </c>
      <c r="BL212" s="201" t="str">
        <f>VLOOKUP($A212,'[3]allergenen 6nr'!$A$1:$O$1310,11,FALSE)</f>
        <v>+</v>
      </c>
      <c r="BM212" s="201" t="str">
        <f>VLOOKUP($A212,'[3]allergenen 6nr'!$A$1:$O$1310,12,FALSE)</f>
        <v>-</v>
      </c>
      <c r="BN212" s="201" t="str">
        <f>VLOOKUP($A212,'[3]allergenen 6nr'!$A$1:$O$1310,13,FALSE)</f>
        <v>+</v>
      </c>
      <c r="BO212" s="201" t="str">
        <f>VLOOKUP($A212,'[3]allergenen 6nr'!$A$1:$O$1310,14,FALSE)</f>
        <v>+</v>
      </c>
      <c r="BP212" s="202" t="str">
        <f>VLOOKUP($A212,'[3]allergenen 6nr'!$A$1:$O$1310,15,FALSE)</f>
        <v>-</v>
      </c>
    </row>
    <row r="213" spans="1:68" x14ac:dyDescent="0.2">
      <c r="A213" s="54">
        <v>63586100</v>
      </c>
      <c r="B213" s="53" t="str">
        <f>VLOOKUP($A213,[1]maaltijden!$A$1:$IV$65536,4,FALSE)</f>
        <v>DLC NA-ARM RUNDERSTOVERIJ BLOEMKOOL AARDAPPEL</v>
      </c>
      <c r="C213" s="46" t="str">
        <f>VLOOKUP($A213,[1]maaltijden!$A$1:$IV$65536,7,FALSE)</f>
        <v>C2227-3R</v>
      </c>
      <c r="D213" s="22" t="str">
        <f>VLOOKUP($A213,[1]maaltijden!$A$1:$IV$65536,10,FALSE)</f>
        <v>NVT</v>
      </c>
      <c r="E213" s="22" t="str">
        <f>VLOOKUP($A213,[1]maaltijden!$A$1:$IV$65536,13,FALSE)</f>
        <v>DLC X 6</v>
      </c>
      <c r="F213" s="20">
        <f t="shared" si="3"/>
        <v>0</v>
      </c>
      <c r="G213" s="20" t="str">
        <f>VLOOKUP($A213,[1]maaltijden!$A$1:$IV$65536,27,FALSE)</f>
        <v>! ! !</v>
      </c>
      <c r="H213" s="22">
        <f>VLOOKUP($A213,[1]maaltijden!$A$1:$IV$65536,21,FALSE)</f>
        <v>9</v>
      </c>
      <c r="I213" s="22">
        <f>VLOOKUP($A213,[1]maaltijden!$A$1:$IV$65536,21,FALSE)</f>
        <v>9</v>
      </c>
      <c r="J213" s="22">
        <f>VLOOKUP($A213,[1]maaltijden!$A$1:$IV$65536,18,FALSE)</f>
        <v>3</v>
      </c>
      <c r="K213" s="22">
        <f>VLOOKUP($A213,[1]maaltijden!$A$1:$IV$65536,17,FALSE)</f>
        <v>4</v>
      </c>
      <c r="L213" s="22">
        <f>VLOOKUP($A213,[1]maaltijden!$A$1:$IV$65536,20,FALSE)</f>
        <v>2000</v>
      </c>
      <c r="M213" s="22">
        <f>VLOOKUP($A213,[1]maaltijden!$A$1:$IV$65536,22,FALSE)</f>
        <v>2000</v>
      </c>
      <c r="N213" s="135"/>
      <c r="O213" s="50"/>
      <c r="P213" s="19">
        <v>0</v>
      </c>
      <c r="Q213" s="20">
        <v>1</v>
      </c>
      <c r="R213" s="21">
        <v>0</v>
      </c>
      <c r="S213" s="19">
        <v>0</v>
      </c>
      <c r="T213" s="20">
        <v>1</v>
      </c>
      <c r="U213" s="19"/>
      <c r="V213" s="20"/>
      <c r="W213" s="20"/>
      <c r="X213" s="20"/>
      <c r="Y213" s="20"/>
      <c r="Z213" s="20"/>
      <c r="AA213" s="20"/>
      <c r="AB213" s="49"/>
      <c r="AC213" s="49"/>
      <c r="AD213" s="49"/>
      <c r="AE213" s="49"/>
      <c r="AF213" s="49"/>
      <c r="AG213" s="161">
        <v>0</v>
      </c>
      <c r="AH213" s="168">
        <v>1</v>
      </c>
      <c r="AI213" s="168">
        <v>1</v>
      </c>
      <c r="AJ213" s="20"/>
      <c r="AK213" s="20"/>
      <c r="AL213" s="21"/>
      <c r="AM213" s="19">
        <v>0</v>
      </c>
      <c r="AN213" s="20" t="str">
        <f>IFERROR(INDEX([2]lijnopstellingsfiche!$AP$1:$AP$65536,MATCH(A213,[2]lijnopstellingsfiche!$AQ$1:$AQ$65536,0)),"")</f>
        <v>-</v>
      </c>
      <c r="AO213" s="20">
        <v>0</v>
      </c>
      <c r="AP213" s="20">
        <v>0</v>
      </c>
      <c r="AQ213" s="20">
        <v>2</v>
      </c>
      <c r="AR213" s="20">
        <v>0</v>
      </c>
      <c r="AS213" s="20">
        <v>0</v>
      </c>
      <c r="AT213" s="20">
        <v>0</v>
      </c>
      <c r="AU213" s="20">
        <v>0</v>
      </c>
      <c r="AV213" s="23">
        <v>0</v>
      </c>
      <c r="AW213" s="108">
        <v>0</v>
      </c>
      <c r="AX213" s="108">
        <v>0</v>
      </c>
      <c r="AY213" s="108">
        <v>1</v>
      </c>
      <c r="AZ213" s="108">
        <v>0</v>
      </c>
      <c r="BA213" s="114">
        <v>1</v>
      </c>
      <c r="BB213" s="20">
        <v>0</v>
      </c>
      <c r="BC213" s="113">
        <v>0</v>
      </c>
      <c r="BD213" s="200" t="str">
        <f>VLOOKUP($A213,'[3]allergenen 6nr'!$A$1:$O$1310,3,FALSE)</f>
        <v>-</v>
      </c>
      <c r="BE213" s="201" t="str">
        <f>VLOOKUP($A213,'[3]allergenen 6nr'!$A$1:$O$1310,4,FALSE)</f>
        <v>-</v>
      </c>
      <c r="BF213" s="201" t="str">
        <f>VLOOKUP($A213,'[3]allergenen 6nr'!$A$1:$O$1310,5,FALSE)</f>
        <v>+</v>
      </c>
      <c r="BG213" s="201" t="str">
        <f>VLOOKUP($A213,'[3]allergenen 6nr'!$A$1:$O$1310,6,FALSE)</f>
        <v>X</v>
      </c>
      <c r="BH213" s="201" t="str">
        <f>VLOOKUP($A213,'[3]allergenen 6nr'!$A$1:$O$1310,7,FALSE)</f>
        <v>+</v>
      </c>
      <c r="BI213" s="201" t="str">
        <f>VLOOKUP($A213,'[3]allergenen 6nr'!$A$1:$O$1310,8,FALSE)</f>
        <v>X</v>
      </c>
      <c r="BJ213" s="201" t="str">
        <f>VLOOKUP($A213,'[3]allergenen 6nr'!$A$1:$O$1310,9,FALSE)</f>
        <v>-</v>
      </c>
      <c r="BK213" s="201" t="str">
        <f>VLOOKUP($A213,'[3]allergenen 6nr'!$A$1:$O$1310,10,FALSE)</f>
        <v>-</v>
      </c>
      <c r="BL213" s="201" t="str">
        <f>VLOOKUP($A213,'[3]allergenen 6nr'!$A$1:$O$1310,11,FALSE)</f>
        <v>+</v>
      </c>
      <c r="BM213" s="201" t="str">
        <f>VLOOKUP($A213,'[3]allergenen 6nr'!$A$1:$O$1310,12,FALSE)</f>
        <v>-</v>
      </c>
      <c r="BN213" s="201" t="str">
        <f>VLOOKUP($A213,'[3]allergenen 6nr'!$A$1:$O$1310,13,FALSE)</f>
        <v>X</v>
      </c>
      <c r="BO213" s="201" t="str">
        <f>VLOOKUP($A213,'[3]allergenen 6nr'!$A$1:$O$1310,14,FALSE)</f>
        <v>-</v>
      </c>
      <c r="BP213" s="202" t="str">
        <f>VLOOKUP($A213,'[3]allergenen 6nr'!$A$1:$O$1310,15,FALSE)</f>
        <v>-</v>
      </c>
    </row>
    <row r="214" spans="1:68" x14ac:dyDescent="0.2">
      <c r="A214" s="54">
        <v>63586200</v>
      </c>
      <c r="B214" s="53" t="str">
        <f>VLOOKUP($A214,[1]maaltijden!$A$1:$IV$65536,4,FALSE)</f>
        <v>DLC NA-ARM KALFSWORST MOSTERDSAUS SPINAZIESTAMPPOT</v>
      </c>
      <c r="C214" s="46" t="str">
        <f>VLOOKUP($A214,[1]maaltijden!$A$1:$IV$65536,7,FALSE)</f>
        <v>C2227-2K</v>
      </c>
      <c r="D214" s="22" t="str">
        <f>VLOOKUP($A214,[1]maaltijden!$A$1:$IV$65536,10,FALSE)</f>
        <v>NVT</v>
      </c>
      <c r="E214" s="22" t="str">
        <f>VLOOKUP($A214,[1]maaltijden!$A$1:$IV$65536,13,FALSE)</f>
        <v>DLC X 6</v>
      </c>
      <c r="F214" s="20">
        <f t="shared" si="3"/>
        <v>0</v>
      </c>
      <c r="G214" s="20" t="str">
        <f>VLOOKUP($A214,[1]maaltijden!$A$1:$IV$65536,27,FALSE)</f>
        <v>! ! !</v>
      </c>
      <c r="H214" s="22">
        <f>VLOOKUP($A214,[1]maaltijden!$A$1:$IV$65536,21,FALSE)</f>
        <v>3</v>
      </c>
      <c r="I214" s="22">
        <f>VLOOKUP($A214,[1]maaltijden!$A$1:$IV$65536,21,FALSE)</f>
        <v>3</v>
      </c>
      <c r="J214" s="22">
        <f>VLOOKUP($A214,[1]maaltijden!$A$1:$IV$65536,18,FALSE)</f>
        <v>3</v>
      </c>
      <c r="K214" s="22">
        <f>VLOOKUP($A214,[1]maaltijden!$A$1:$IV$65536,17,FALSE)</f>
        <v>2</v>
      </c>
      <c r="L214" s="22">
        <f>VLOOKUP($A214,[1]maaltijden!$A$1:$IV$65536,20,FALSE)</f>
        <v>2000</v>
      </c>
      <c r="M214" s="22">
        <f>VLOOKUP($A214,[1]maaltijden!$A$1:$IV$65536,22,FALSE)</f>
        <v>2000</v>
      </c>
      <c r="N214" s="135"/>
      <c r="O214" s="50"/>
      <c r="P214" s="19">
        <v>0</v>
      </c>
      <c r="Q214" s="20">
        <v>1</v>
      </c>
      <c r="R214" s="21">
        <v>0</v>
      </c>
      <c r="S214" s="19">
        <v>0</v>
      </c>
      <c r="T214" s="20">
        <v>1</v>
      </c>
      <c r="U214" s="19"/>
      <c r="V214" s="20"/>
      <c r="W214" s="20"/>
      <c r="X214" s="20"/>
      <c r="Y214" s="20"/>
      <c r="Z214" s="20"/>
      <c r="AA214" s="20"/>
      <c r="AB214" s="49"/>
      <c r="AC214" s="49"/>
      <c r="AD214" s="49"/>
      <c r="AE214" s="49"/>
      <c r="AF214" s="49"/>
      <c r="AG214" s="161">
        <v>0</v>
      </c>
      <c r="AH214" s="168">
        <v>2</v>
      </c>
      <c r="AI214" s="20"/>
      <c r="AJ214" s="20"/>
      <c r="AK214" s="20"/>
      <c r="AL214" s="21"/>
      <c r="AM214" s="19">
        <v>0</v>
      </c>
      <c r="AN214" s="20" t="str">
        <f>IFERROR(INDEX([2]lijnopstellingsfiche!$AP$1:$AP$65536,MATCH(A214,[2]lijnopstellingsfiche!$AQ$1:$AQ$65536,0)),"")</f>
        <v>-</v>
      </c>
      <c r="AO214" s="20">
        <v>0</v>
      </c>
      <c r="AP214" s="20">
        <v>0</v>
      </c>
      <c r="AQ214" s="20">
        <v>1</v>
      </c>
      <c r="AR214" s="20">
        <v>1</v>
      </c>
      <c r="AS214" s="20">
        <v>0</v>
      </c>
      <c r="AT214" s="20">
        <v>0</v>
      </c>
      <c r="AU214" s="20">
        <v>0</v>
      </c>
      <c r="AV214" s="23">
        <v>0</v>
      </c>
      <c r="AW214" s="108">
        <v>0</v>
      </c>
      <c r="AX214" s="108">
        <v>0</v>
      </c>
      <c r="AY214" s="108">
        <v>1</v>
      </c>
      <c r="AZ214" s="108">
        <v>0</v>
      </c>
      <c r="BA214" s="114">
        <v>1</v>
      </c>
      <c r="BB214" s="20">
        <v>0</v>
      </c>
      <c r="BC214" s="113">
        <v>0</v>
      </c>
      <c r="BD214" s="200" t="str">
        <f>VLOOKUP($A214,'[3]allergenen 6nr'!$A$1:$O$1310,3,FALSE)</f>
        <v>X</v>
      </c>
      <c r="BE214" s="201" t="str">
        <f>VLOOKUP($A214,'[3]allergenen 6nr'!$A$1:$O$1310,4,FALSE)</f>
        <v>X</v>
      </c>
      <c r="BF214" s="201" t="str">
        <f>VLOOKUP($A214,'[3]allergenen 6nr'!$A$1:$O$1310,5,FALSE)</f>
        <v>+</v>
      </c>
      <c r="BG214" s="201" t="str">
        <f>VLOOKUP($A214,'[3]allergenen 6nr'!$A$1:$O$1310,6,FALSE)</f>
        <v>X</v>
      </c>
      <c r="BH214" s="201" t="str">
        <f>VLOOKUP($A214,'[3]allergenen 6nr'!$A$1:$O$1310,7,FALSE)</f>
        <v>+</v>
      </c>
      <c r="BI214" s="201" t="str">
        <f>VLOOKUP($A214,'[3]allergenen 6nr'!$A$1:$O$1310,8,FALSE)</f>
        <v>+</v>
      </c>
      <c r="BJ214" s="201" t="str">
        <f>VLOOKUP($A214,'[3]allergenen 6nr'!$A$1:$O$1310,9,FALSE)</f>
        <v>X</v>
      </c>
      <c r="BK214" s="201" t="str">
        <f>VLOOKUP($A214,'[3]allergenen 6nr'!$A$1:$O$1310,10,FALSE)</f>
        <v>X</v>
      </c>
      <c r="BL214" s="201" t="str">
        <f>VLOOKUP($A214,'[3]allergenen 6nr'!$A$1:$O$1310,11,FALSE)</f>
        <v>+</v>
      </c>
      <c r="BM214" s="201" t="str">
        <f>VLOOKUP($A214,'[3]allergenen 6nr'!$A$1:$O$1310,12,FALSE)</f>
        <v>X</v>
      </c>
      <c r="BN214" s="201" t="str">
        <f>VLOOKUP($A214,'[3]allergenen 6nr'!$A$1:$O$1310,13,FALSE)</f>
        <v>X</v>
      </c>
      <c r="BO214" s="201" t="str">
        <f>VLOOKUP($A214,'[3]allergenen 6nr'!$A$1:$O$1310,14,FALSE)</f>
        <v>X</v>
      </c>
      <c r="BP214" s="202" t="str">
        <f>VLOOKUP($A214,'[3]allergenen 6nr'!$A$1:$O$1310,15,FALSE)</f>
        <v>-</v>
      </c>
    </row>
    <row r="215" spans="1:68" x14ac:dyDescent="0.2">
      <c r="A215" s="54">
        <v>63586700</v>
      </c>
      <c r="B215" s="53" t="str">
        <f>VLOOKUP($A215,[1]maaltijden!$A$1:$IV$65536,4,FALSE)</f>
        <v>DLC NA-ARM KALFSBLANKET GROOTMOEDERS WIJZE</v>
      </c>
      <c r="C215" s="46" t="str">
        <f>VLOOKUP($A215,[1]maaltijden!$A$1:$IV$65536,7,FALSE)</f>
        <v>C2227-1H</v>
      </c>
      <c r="D215" s="22" t="str">
        <f>VLOOKUP($A215,[1]maaltijden!$A$1:$IV$65536,10,FALSE)</f>
        <v>NVT</v>
      </c>
      <c r="E215" s="22" t="str">
        <f>VLOOKUP($A215,[1]maaltijden!$A$1:$IV$65536,13,FALSE)</f>
        <v>DLC X 6</v>
      </c>
      <c r="F215" s="20">
        <f t="shared" si="3"/>
        <v>0</v>
      </c>
      <c r="G215" s="20" t="str">
        <f>VLOOKUP($A215,[1]maaltijden!$A$1:$IV$65536,27,FALSE)</f>
        <v>! ! !</v>
      </c>
      <c r="H215" s="22">
        <f>VLOOKUP($A215,[1]maaltijden!$A$1:$IV$65536,21,FALSE)</f>
        <v>6</v>
      </c>
      <c r="I215" s="22">
        <f>VLOOKUP($A215,[1]maaltijden!$A$1:$IV$65536,21,FALSE)</f>
        <v>6</v>
      </c>
      <c r="J215" s="22">
        <f>VLOOKUP($A215,[1]maaltijden!$A$1:$IV$65536,18,FALSE)</f>
        <v>3</v>
      </c>
      <c r="K215" s="22">
        <f>VLOOKUP($A215,[1]maaltijden!$A$1:$IV$65536,17,FALSE)</f>
        <v>3</v>
      </c>
      <c r="L215" s="22">
        <f>VLOOKUP($A215,[1]maaltijden!$A$1:$IV$65536,20,FALSE)</f>
        <v>1750</v>
      </c>
      <c r="M215" s="22">
        <f>VLOOKUP($A215,[1]maaltijden!$A$1:$IV$65536,22,FALSE)</f>
        <v>1750</v>
      </c>
      <c r="N215" s="135"/>
      <c r="O215" s="50"/>
      <c r="P215" s="19">
        <v>0</v>
      </c>
      <c r="Q215" s="20">
        <v>1</v>
      </c>
      <c r="R215" s="21">
        <v>0</v>
      </c>
      <c r="S215" s="19">
        <v>0</v>
      </c>
      <c r="T215" s="20">
        <v>1</v>
      </c>
      <c r="U215" s="19"/>
      <c r="V215" s="20"/>
      <c r="W215" s="20"/>
      <c r="X215" s="20"/>
      <c r="Y215" s="20"/>
      <c r="Z215" s="20"/>
      <c r="AA215" s="20"/>
      <c r="AB215" s="49"/>
      <c r="AC215" s="49"/>
      <c r="AD215" s="49"/>
      <c r="AE215" s="49"/>
      <c r="AF215" s="49"/>
      <c r="AG215" s="161">
        <v>0</v>
      </c>
      <c r="AH215" s="168">
        <v>1</v>
      </c>
      <c r="AI215" s="20"/>
      <c r="AJ215" s="20"/>
      <c r="AK215" s="20"/>
      <c r="AL215" s="21"/>
      <c r="AM215" s="19">
        <v>0</v>
      </c>
      <c r="AN215" s="20">
        <f>IFERROR(INDEX([2]lijnopstellingsfiche!$AP$1:$AP$65536,MATCH(A215,[2]lijnopstellingsfiche!$AQ$1:$AQ$65536,0)),"")</f>
        <v>5</v>
      </c>
      <c r="AO215" s="20">
        <v>0</v>
      </c>
      <c r="AP215" s="20">
        <v>0</v>
      </c>
      <c r="AQ215" s="20">
        <v>1</v>
      </c>
      <c r="AR215" s="20">
        <v>0</v>
      </c>
      <c r="AS215" s="20">
        <v>0</v>
      </c>
      <c r="AT215" s="20">
        <v>0</v>
      </c>
      <c r="AU215" s="20">
        <v>0</v>
      </c>
      <c r="AV215" s="23">
        <v>0</v>
      </c>
      <c r="AW215" s="108">
        <v>0</v>
      </c>
      <c r="AX215" s="108">
        <v>0</v>
      </c>
      <c r="AY215" s="108">
        <v>1</v>
      </c>
      <c r="AZ215" s="108">
        <v>0</v>
      </c>
      <c r="BA215" s="114">
        <v>1</v>
      </c>
      <c r="BB215" s="20">
        <v>0</v>
      </c>
      <c r="BC215" s="113">
        <v>0</v>
      </c>
      <c r="BD215" s="200" t="str">
        <f>VLOOKUP($A215,'[3]allergenen 6nr'!$A$1:$O$1310,3,FALSE)</f>
        <v>-</v>
      </c>
      <c r="BE215" s="201" t="str">
        <f>VLOOKUP($A215,'[3]allergenen 6nr'!$A$1:$O$1310,4,FALSE)</f>
        <v>-</v>
      </c>
      <c r="BF215" s="201" t="str">
        <f>VLOOKUP($A215,'[3]allergenen 6nr'!$A$1:$O$1310,5,FALSE)</f>
        <v>+</v>
      </c>
      <c r="BG215" s="201" t="str">
        <f>VLOOKUP($A215,'[3]allergenen 6nr'!$A$1:$O$1310,6,FALSE)</f>
        <v>X</v>
      </c>
      <c r="BH215" s="201" t="str">
        <f>VLOOKUP($A215,'[3]allergenen 6nr'!$A$1:$O$1310,7,FALSE)</f>
        <v>+</v>
      </c>
      <c r="BI215" s="201" t="str">
        <f>VLOOKUP($A215,'[3]allergenen 6nr'!$A$1:$O$1310,8,FALSE)</f>
        <v>X</v>
      </c>
      <c r="BJ215" s="201" t="str">
        <f>VLOOKUP($A215,'[3]allergenen 6nr'!$A$1:$O$1310,9,FALSE)</f>
        <v>-</v>
      </c>
      <c r="BK215" s="201" t="str">
        <f>VLOOKUP($A215,'[3]allergenen 6nr'!$A$1:$O$1310,10,FALSE)</f>
        <v>-</v>
      </c>
      <c r="BL215" s="201" t="str">
        <f>VLOOKUP($A215,'[3]allergenen 6nr'!$A$1:$O$1310,11,FALSE)</f>
        <v>+</v>
      </c>
      <c r="BM215" s="201" t="str">
        <f>VLOOKUP($A215,'[3]allergenen 6nr'!$A$1:$O$1310,12,FALSE)</f>
        <v>-</v>
      </c>
      <c r="BN215" s="201" t="str">
        <f>VLOOKUP($A215,'[3]allergenen 6nr'!$A$1:$O$1310,13,FALSE)</f>
        <v>+</v>
      </c>
      <c r="BO215" s="201" t="str">
        <f>VLOOKUP($A215,'[3]allergenen 6nr'!$A$1:$O$1310,14,FALSE)</f>
        <v>-</v>
      </c>
      <c r="BP215" s="202" t="str">
        <f>VLOOKUP($A215,'[3]allergenen 6nr'!$A$1:$O$1310,15,FALSE)</f>
        <v>-</v>
      </c>
    </row>
    <row r="216" spans="1:68" x14ac:dyDescent="0.2">
      <c r="A216" s="54">
        <v>63586800</v>
      </c>
      <c r="B216" s="53" t="str">
        <f>VLOOKUP($A216,[1]maaltijden!$A$1:$IV$65536,4,FALSE)</f>
        <v>DLC NA-ARM KIP ALFREDOSAUS MEDITERRAANSE RIJST</v>
      </c>
      <c r="C216" s="46" t="str">
        <f>VLOOKUP($A216,[1]maaltijden!$A$1:$IV$65536,7,FALSE)</f>
        <v>C2227-2K</v>
      </c>
      <c r="D216" s="22" t="str">
        <f>VLOOKUP($A216,[1]maaltijden!$A$1:$IV$65536,10,FALSE)</f>
        <v>NVT</v>
      </c>
      <c r="E216" s="22" t="str">
        <f>VLOOKUP($A216,[1]maaltijden!$A$1:$IV$65536,13,FALSE)</f>
        <v>DLC X 6</v>
      </c>
      <c r="F216" s="20">
        <f t="shared" si="3"/>
        <v>0</v>
      </c>
      <c r="G216" s="20" t="str">
        <f>VLOOKUP($A216,[1]maaltijden!$A$1:$IV$65536,27,FALSE)</f>
        <v>! ! !</v>
      </c>
      <c r="H216" s="22">
        <f>VLOOKUP($A216,[1]maaltijden!$A$1:$IV$65536,21,FALSE)</f>
        <v>3</v>
      </c>
      <c r="I216" s="22">
        <f>VLOOKUP($A216,[1]maaltijden!$A$1:$IV$65536,21,FALSE)</f>
        <v>3</v>
      </c>
      <c r="J216" s="22">
        <f>VLOOKUP($A216,[1]maaltijden!$A$1:$IV$65536,18,FALSE)</f>
        <v>3</v>
      </c>
      <c r="K216" s="22">
        <f>VLOOKUP($A216,[1]maaltijden!$A$1:$IV$65536,17,FALSE)</f>
        <v>2</v>
      </c>
      <c r="L216" s="22">
        <f>VLOOKUP($A216,[1]maaltijden!$A$1:$IV$65536,20,FALSE)</f>
        <v>2000</v>
      </c>
      <c r="M216" s="22">
        <f>VLOOKUP($A216,[1]maaltijden!$A$1:$IV$65536,22,FALSE)</f>
        <v>2000</v>
      </c>
      <c r="N216" s="135"/>
      <c r="O216" s="50"/>
      <c r="P216" s="19">
        <v>0</v>
      </c>
      <c r="Q216" s="20">
        <v>1</v>
      </c>
      <c r="R216" s="21">
        <v>0</v>
      </c>
      <c r="S216" s="19">
        <v>0</v>
      </c>
      <c r="T216" s="20">
        <v>1</v>
      </c>
      <c r="U216" s="19"/>
      <c r="V216" s="20"/>
      <c r="W216" s="20"/>
      <c r="X216" s="20"/>
      <c r="Y216" s="20"/>
      <c r="Z216" s="20"/>
      <c r="AA216" s="20"/>
      <c r="AB216" s="49"/>
      <c r="AC216" s="49"/>
      <c r="AD216" s="49"/>
      <c r="AE216" s="49"/>
      <c r="AF216" s="49"/>
      <c r="AG216" s="161">
        <v>1</v>
      </c>
      <c r="AH216" s="168">
        <v>1</v>
      </c>
      <c r="AI216" s="20"/>
      <c r="AJ216" s="20"/>
      <c r="AK216" s="20"/>
      <c r="AL216" s="21"/>
      <c r="AM216" s="19">
        <v>1</v>
      </c>
      <c r="AN216" s="20" t="str">
        <f>IFERROR(INDEX([2]lijnopstellingsfiche!$AP$1:$AP$65536,MATCH(A216,[2]lijnopstellingsfiche!$AQ$1:$AQ$65536,0)),"")</f>
        <v>-</v>
      </c>
      <c r="AO216" s="20">
        <v>0</v>
      </c>
      <c r="AP216" s="20">
        <v>0</v>
      </c>
      <c r="AQ216" s="20">
        <v>1</v>
      </c>
      <c r="AR216" s="20">
        <v>0</v>
      </c>
      <c r="AS216" s="20">
        <v>0</v>
      </c>
      <c r="AT216" s="20">
        <v>1</v>
      </c>
      <c r="AU216" s="20">
        <v>0</v>
      </c>
      <c r="AV216" s="23">
        <v>0</v>
      </c>
      <c r="AW216" s="108">
        <v>0</v>
      </c>
      <c r="AX216" s="108">
        <v>0</v>
      </c>
      <c r="AY216" s="108">
        <v>1</v>
      </c>
      <c r="AZ216" s="108">
        <v>0</v>
      </c>
      <c r="BA216" s="114">
        <v>1</v>
      </c>
      <c r="BB216" s="20">
        <v>0</v>
      </c>
      <c r="BC216" s="113">
        <v>0</v>
      </c>
      <c r="BD216" s="200" t="str">
        <f>VLOOKUP($A216,'[3]allergenen 6nr'!$A$1:$O$1310,3,FALSE)</f>
        <v>-</v>
      </c>
      <c r="BE216" s="201" t="str">
        <f>VLOOKUP($A216,'[3]allergenen 6nr'!$A$1:$O$1310,4,FALSE)</f>
        <v>-</v>
      </c>
      <c r="BF216" s="201" t="str">
        <f>VLOOKUP($A216,'[3]allergenen 6nr'!$A$1:$O$1310,5,FALSE)</f>
        <v>+</v>
      </c>
      <c r="BG216" s="201" t="str">
        <f>VLOOKUP($A216,'[3]allergenen 6nr'!$A$1:$O$1310,6,FALSE)</f>
        <v>X</v>
      </c>
      <c r="BH216" s="201" t="str">
        <f>VLOOKUP($A216,'[3]allergenen 6nr'!$A$1:$O$1310,7,FALSE)</f>
        <v>+</v>
      </c>
      <c r="BI216" s="201" t="str">
        <f>VLOOKUP($A216,'[3]allergenen 6nr'!$A$1:$O$1310,8,FALSE)</f>
        <v>X</v>
      </c>
      <c r="BJ216" s="201" t="str">
        <f>VLOOKUP($A216,'[3]allergenen 6nr'!$A$1:$O$1310,9,FALSE)</f>
        <v>-</v>
      </c>
      <c r="BK216" s="201" t="str">
        <f>VLOOKUP($A216,'[3]allergenen 6nr'!$A$1:$O$1310,10,FALSE)</f>
        <v>-</v>
      </c>
      <c r="BL216" s="201" t="str">
        <f>VLOOKUP($A216,'[3]allergenen 6nr'!$A$1:$O$1310,11,FALSE)</f>
        <v>+</v>
      </c>
      <c r="BM216" s="201" t="str">
        <f>VLOOKUP($A216,'[3]allergenen 6nr'!$A$1:$O$1310,12,FALSE)</f>
        <v>-</v>
      </c>
      <c r="BN216" s="201" t="str">
        <f>VLOOKUP($A216,'[3]allergenen 6nr'!$A$1:$O$1310,13,FALSE)</f>
        <v>X</v>
      </c>
      <c r="BO216" s="201" t="str">
        <f>VLOOKUP($A216,'[3]allergenen 6nr'!$A$1:$O$1310,14,FALSE)</f>
        <v>-</v>
      </c>
      <c r="BP216" s="202" t="str">
        <f>VLOOKUP($A216,'[3]allergenen 6nr'!$A$1:$O$1310,15,FALSE)</f>
        <v>-</v>
      </c>
    </row>
    <row r="217" spans="1:68" x14ac:dyDescent="0.2">
      <c r="A217" s="54">
        <v>63587400</v>
      </c>
      <c r="B217" s="53" t="str">
        <f>VLOOKUP($A217,[1]maaltijden!$A$1:$IV$65536,4,FALSE)</f>
        <v xml:space="preserve">DLC NA-ARM VISPANNETJE BROCCOLI PUREE  </v>
      </c>
      <c r="C217" s="46" t="str">
        <f>VLOOKUP($A217,[1]maaltijden!$A$1:$IV$65536,7,FALSE)</f>
        <v>C2227-3R</v>
      </c>
      <c r="D217" s="22" t="str">
        <f>VLOOKUP($A217,[1]maaltijden!$A$1:$IV$65536,10,FALSE)</f>
        <v>NVT</v>
      </c>
      <c r="E217" s="22" t="str">
        <f>VLOOKUP($A217,[1]maaltijden!$A$1:$IV$65536,13,FALSE)</f>
        <v>DLC X 6</v>
      </c>
      <c r="F217" s="20">
        <f t="shared" si="3"/>
        <v>0</v>
      </c>
      <c r="G217" s="20" t="str">
        <f>VLOOKUP($A217,[1]maaltijden!$A$1:$IV$65536,27,FALSE)</f>
        <v>! ! ! !</v>
      </c>
      <c r="H217" s="22">
        <f>VLOOKUP($A217,[1]maaltijden!$A$1:$IV$65536,21,FALSE)</f>
        <v>6</v>
      </c>
      <c r="I217" s="22">
        <f>VLOOKUP($A217,[1]maaltijden!$A$1:$IV$65536,21,FALSE)</f>
        <v>6</v>
      </c>
      <c r="J217" s="22">
        <f>VLOOKUP($A217,[1]maaltijden!$A$1:$IV$65536,18,FALSE)</f>
        <v>3</v>
      </c>
      <c r="K217" s="22">
        <f>VLOOKUP($A217,[1]maaltijden!$A$1:$IV$65536,17,FALSE)</f>
        <v>3</v>
      </c>
      <c r="L217" s="22">
        <f>VLOOKUP($A217,[1]maaltijden!$A$1:$IV$65536,20,FALSE)</f>
        <v>2000</v>
      </c>
      <c r="M217" s="22">
        <f>VLOOKUP($A217,[1]maaltijden!$A$1:$IV$65536,22,FALSE)</f>
        <v>2000</v>
      </c>
      <c r="N217" s="135"/>
      <c r="O217" s="50"/>
      <c r="P217" s="19">
        <v>0</v>
      </c>
      <c r="Q217" s="20">
        <v>1</v>
      </c>
      <c r="R217" s="21">
        <v>0</v>
      </c>
      <c r="S217" s="19">
        <v>0</v>
      </c>
      <c r="T217" s="20">
        <v>1</v>
      </c>
      <c r="U217" s="19"/>
      <c r="V217" s="20"/>
      <c r="W217" s="20"/>
      <c r="X217" s="20"/>
      <c r="Y217" s="20"/>
      <c r="Z217" s="20"/>
      <c r="AA217" s="20"/>
      <c r="AB217" s="49"/>
      <c r="AC217" s="49"/>
      <c r="AD217" s="49"/>
      <c r="AE217" s="49"/>
      <c r="AF217" s="49"/>
      <c r="AG217" s="161">
        <v>0</v>
      </c>
      <c r="AH217" s="168">
        <v>2</v>
      </c>
      <c r="AI217" s="168">
        <v>1</v>
      </c>
      <c r="AJ217" s="20"/>
      <c r="AK217" s="20"/>
      <c r="AL217" s="21"/>
      <c r="AM217" s="19">
        <v>0</v>
      </c>
      <c r="AN217" s="20" t="str">
        <f>IFERROR(INDEX([2]lijnopstellingsfiche!$AP$1:$AP$65536,MATCH(A217,[2]lijnopstellingsfiche!$AQ$1:$AQ$65536,0)),"")</f>
        <v>-</v>
      </c>
      <c r="AO217" s="20">
        <v>0</v>
      </c>
      <c r="AP217" s="20">
        <v>0</v>
      </c>
      <c r="AQ217" s="20">
        <v>1</v>
      </c>
      <c r="AR217" s="20">
        <v>1</v>
      </c>
      <c r="AS217" s="20">
        <v>0</v>
      </c>
      <c r="AT217" s="20">
        <v>0</v>
      </c>
      <c r="AU217" s="20">
        <v>0</v>
      </c>
      <c r="AV217" s="23">
        <v>0</v>
      </c>
      <c r="AW217" s="108">
        <v>0</v>
      </c>
      <c r="AX217" s="108">
        <v>0</v>
      </c>
      <c r="AY217" s="108">
        <v>1</v>
      </c>
      <c r="AZ217" s="108">
        <v>0</v>
      </c>
      <c r="BA217" s="114">
        <v>1</v>
      </c>
      <c r="BB217" s="20">
        <v>0</v>
      </c>
      <c r="BC217" s="113">
        <v>0</v>
      </c>
      <c r="BD217" s="200" t="str">
        <f>VLOOKUP($A217,'[3]allergenen 6nr'!$A$1:$O$1310,3,FALSE)</f>
        <v>-</v>
      </c>
      <c r="BE217" s="201" t="str">
        <f>VLOOKUP($A217,'[3]allergenen 6nr'!$A$1:$O$1310,4,FALSE)</f>
        <v>+</v>
      </c>
      <c r="BF217" s="201" t="str">
        <f>VLOOKUP($A217,'[3]allergenen 6nr'!$A$1:$O$1310,5,FALSE)</f>
        <v>-</v>
      </c>
      <c r="BG217" s="201" t="str">
        <f>VLOOKUP($A217,'[3]allergenen 6nr'!$A$1:$O$1310,6,FALSE)</f>
        <v>-</v>
      </c>
      <c r="BH217" s="201" t="str">
        <f>VLOOKUP($A217,'[3]allergenen 6nr'!$A$1:$O$1310,7,FALSE)</f>
        <v>+</v>
      </c>
      <c r="BI217" s="201" t="str">
        <f>VLOOKUP($A217,'[3]allergenen 6nr'!$A$1:$O$1310,8,FALSE)</f>
        <v>-</v>
      </c>
      <c r="BJ217" s="201" t="str">
        <f>VLOOKUP($A217,'[3]allergenen 6nr'!$A$1:$O$1310,9,FALSE)</f>
        <v>-</v>
      </c>
      <c r="BK217" s="201" t="str">
        <f>VLOOKUP($A217,'[3]allergenen 6nr'!$A$1:$O$1310,10,FALSE)</f>
        <v>X</v>
      </c>
      <c r="BL217" s="201" t="str">
        <f>VLOOKUP($A217,'[3]allergenen 6nr'!$A$1:$O$1310,11,FALSE)</f>
        <v>-</v>
      </c>
      <c r="BM217" s="201" t="str">
        <f>VLOOKUP($A217,'[3]allergenen 6nr'!$A$1:$O$1310,12,FALSE)</f>
        <v>-</v>
      </c>
      <c r="BN217" s="201" t="str">
        <f>VLOOKUP($A217,'[3]allergenen 6nr'!$A$1:$O$1310,13,FALSE)</f>
        <v>-</v>
      </c>
      <c r="BO217" s="201" t="str">
        <f>VLOOKUP($A217,'[3]allergenen 6nr'!$A$1:$O$1310,14,FALSE)</f>
        <v>+</v>
      </c>
      <c r="BP217" s="202" t="str">
        <f>VLOOKUP($A217,'[3]allergenen 6nr'!$A$1:$O$1310,15,FALSE)</f>
        <v>+</v>
      </c>
    </row>
    <row r="218" spans="1:68" x14ac:dyDescent="0.2">
      <c r="A218" s="54">
        <v>63587600</v>
      </c>
      <c r="B218" s="53" t="str">
        <f>VLOOKUP($A218,[1]maaltijden!$A$1:$IV$65536,4,FALSE)</f>
        <v>DLC NA-ARM HEEK KREEFTENSAUS BOONTJES GEBAKKEN AARD</v>
      </c>
      <c r="C218" s="46" t="str">
        <f>VLOOKUP($A218,[1]maaltijden!$A$1:$IV$65536,7,FALSE)</f>
        <v>C2227-2K</v>
      </c>
      <c r="D218" s="22" t="str">
        <f>VLOOKUP($A218,[1]maaltijden!$A$1:$IV$65536,10,FALSE)</f>
        <v>NVT</v>
      </c>
      <c r="E218" s="22" t="str">
        <f>VLOOKUP($A218,[1]maaltijden!$A$1:$IV$65536,13,FALSE)</f>
        <v>DLC X 6</v>
      </c>
      <c r="F218" s="20">
        <f t="shared" si="3"/>
        <v>0</v>
      </c>
      <c r="G218" s="20" t="str">
        <f>VLOOKUP($A218,[1]maaltijden!$A$1:$IV$65536,27,FALSE)</f>
        <v>! ! ! !</v>
      </c>
      <c r="H218" s="22">
        <f>VLOOKUP($A218,[1]maaltijden!$A$1:$IV$65536,21,FALSE)</f>
        <v>6</v>
      </c>
      <c r="I218" s="22">
        <f>VLOOKUP($A218,[1]maaltijden!$A$1:$IV$65536,21,FALSE)</f>
        <v>6</v>
      </c>
      <c r="J218" s="22">
        <f>VLOOKUP($A218,[1]maaltijden!$A$1:$IV$65536,18,FALSE)</f>
        <v>3</v>
      </c>
      <c r="K218" s="22">
        <f>VLOOKUP($A218,[1]maaltijden!$A$1:$IV$65536,17,FALSE)</f>
        <v>3</v>
      </c>
      <c r="L218" s="22">
        <f>VLOOKUP($A218,[1]maaltijden!$A$1:$IV$65536,20,FALSE)</f>
        <v>2000</v>
      </c>
      <c r="M218" s="22">
        <f>VLOOKUP($A218,[1]maaltijden!$A$1:$IV$65536,22,FALSE)</f>
        <v>2000</v>
      </c>
      <c r="N218" s="135"/>
      <c r="O218" s="50"/>
      <c r="P218" s="19">
        <v>0</v>
      </c>
      <c r="Q218" s="20">
        <v>1</v>
      </c>
      <c r="R218" s="21">
        <v>0</v>
      </c>
      <c r="S218" s="19">
        <v>0</v>
      </c>
      <c r="T218" s="20">
        <v>1</v>
      </c>
      <c r="U218" s="19"/>
      <c r="V218" s="20"/>
      <c r="W218" s="20"/>
      <c r="X218" s="20"/>
      <c r="Y218" s="20"/>
      <c r="Z218" s="20"/>
      <c r="AA218" s="20"/>
      <c r="AB218" s="49"/>
      <c r="AC218" s="49"/>
      <c r="AD218" s="49"/>
      <c r="AE218" s="49"/>
      <c r="AF218" s="49"/>
      <c r="AG218" s="161">
        <v>0</v>
      </c>
      <c r="AH218" s="168">
        <v>1</v>
      </c>
      <c r="AI218" s="168">
        <v>1</v>
      </c>
      <c r="AJ218" s="20"/>
      <c r="AK218" s="20"/>
      <c r="AL218" s="21"/>
      <c r="AM218" s="19">
        <v>0</v>
      </c>
      <c r="AN218" s="20">
        <f>IFERROR(INDEX([2]lijnopstellingsfiche!$AP$1:$AP$65536,MATCH(A218,[2]lijnopstellingsfiche!$AQ$1:$AQ$65536,0)),"")</f>
        <v>2</v>
      </c>
      <c r="AO218" s="20">
        <v>0</v>
      </c>
      <c r="AP218" s="20">
        <v>0</v>
      </c>
      <c r="AQ218" s="20">
        <v>1</v>
      </c>
      <c r="AR218" s="20">
        <v>0</v>
      </c>
      <c r="AS218" s="20">
        <v>0</v>
      </c>
      <c r="AT218" s="20">
        <v>0</v>
      </c>
      <c r="AU218" s="20">
        <v>0</v>
      </c>
      <c r="AV218" s="23">
        <v>0</v>
      </c>
      <c r="AW218" s="108">
        <v>0</v>
      </c>
      <c r="AX218" s="108">
        <v>0</v>
      </c>
      <c r="AY218" s="108">
        <v>1</v>
      </c>
      <c r="AZ218" s="108">
        <v>0</v>
      </c>
      <c r="BA218" s="114">
        <v>1</v>
      </c>
      <c r="BB218" s="20">
        <v>0</v>
      </c>
      <c r="BC218" s="113">
        <v>0</v>
      </c>
      <c r="BD218" s="200" t="str">
        <f>VLOOKUP($A218,'[3]allergenen 6nr'!$A$1:$O$1310,3,FALSE)</f>
        <v>-</v>
      </c>
      <c r="BE218" s="201" t="str">
        <f>VLOOKUP($A218,'[3]allergenen 6nr'!$A$1:$O$1310,4,FALSE)</f>
        <v>-</v>
      </c>
      <c r="BF218" s="201" t="str">
        <f>VLOOKUP($A218,'[3]allergenen 6nr'!$A$1:$O$1310,5,FALSE)</f>
        <v>+</v>
      </c>
      <c r="BG218" s="201" t="str">
        <f>VLOOKUP($A218,'[3]allergenen 6nr'!$A$1:$O$1310,6,FALSE)</f>
        <v>X</v>
      </c>
      <c r="BH218" s="201" t="str">
        <f>VLOOKUP($A218,'[3]allergenen 6nr'!$A$1:$O$1310,7,FALSE)</f>
        <v>+</v>
      </c>
      <c r="BI218" s="201" t="str">
        <f>VLOOKUP($A218,'[3]allergenen 6nr'!$A$1:$O$1310,8,FALSE)</f>
        <v>X</v>
      </c>
      <c r="BJ218" s="201" t="str">
        <f>VLOOKUP($A218,'[3]allergenen 6nr'!$A$1:$O$1310,9,FALSE)</f>
        <v>-</v>
      </c>
      <c r="BK218" s="201" t="str">
        <f>VLOOKUP($A218,'[3]allergenen 6nr'!$A$1:$O$1310,10,FALSE)</f>
        <v>+</v>
      </c>
      <c r="BL218" s="201" t="str">
        <f>VLOOKUP($A218,'[3]allergenen 6nr'!$A$1:$O$1310,11,FALSE)</f>
        <v>+</v>
      </c>
      <c r="BM218" s="201" t="str">
        <f>VLOOKUP($A218,'[3]allergenen 6nr'!$A$1:$O$1310,12,FALSE)</f>
        <v>-</v>
      </c>
      <c r="BN218" s="201" t="str">
        <f>VLOOKUP($A218,'[3]allergenen 6nr'!$A$1:$O$1310,13,FALSE)</f>
        <v>X</v>
      </c>
      <c r="BO218" s="201" t="str">
        <f>VLOOKUP($A218,'[3]allergenen 6nr'!$A$1:$O$1310,14,FALSE)</f>
        <v>+</v>
      </c>
      <c r="BP218" s="202" t="str">
        <f>VLOOKUP($A218,'[3]allergenen 6nr'!$A$1:$O$1310,15,FALSE)</f>
        <v>X</v>
      </c>
    </row>
    <row r="219" spans="1:68" x14ac:dyDescent="0.2">
      <c r="A219" s="54">
        <v>63587700</v>
      </c>
      <c r="B219" s="53" t="str">
        <f>VLOOKUP($A219,[1]maaltijden!$A$1:$IV$65536,4,FALSE)</f>
        <v>DLC NA-ARM KIP JAGERSAUS GROENTEMIX WATERKERSPUREE</v>
      </c>
      <c r="C219" s="46" t="str">
        <f>VLOOKUP($A219,[1]maaltijden!$A$1:$IV$65536,7,FALSE)</f>
        <v>C2227-2K</v>
      </c>
      <c r="D219" s="22" t="str">
        <f>VLOOKUP($A219,[1]maaltijden!$A$1:$IV$65536,10,FALSE)</f>
        <v>NVT</v>
      </c>
      <c r="E219" s="22" t="str">
        <f>VLOOKUP($A219,[1]maaltijden!$A$1:$IV$65536,13,FALSE)</f>
        <v>DLC X 6</v>
      </c>
      <c r="F219" s="20">
        <f t="shared" si="3"/>
        <v>0</v>
      </c>
      <c r="G219" s="20" t="str">
        <f>VLOOKUP($A219,[1]maaltijden!$A$1:$IV$65536,27,FALSE)</f>
        <v>! ! !</v>
      </c>
      <c r="H219" s="22">
        <f>VLOOKUP($A219,[1]maaltijden!$A$1:$IV$65536,21,FALSE)</f>
        <v>4</v>
      </c>
      <c r="I219" s="22">
        <f>VLOOKUP($A219,[1]maaltijden!$A$1:$IV$65536,21,FALSE)</f>
        <v>4</v>
      </c>
      <c r="J219" s="22">
        <f>VLOOKUP($A219,[1]maaltijden!$A$1:$IV$65536,18,FALSE)</f>
        <v>3</v>
      </c>
      <c r="K219" s="22">
        <f>VLOOKUP($A219,[1]maaltijden!$A$1:$IV$65536,17,FALSE)</f>
        <v>3</v>
      </c>
      <c r="L219" s="22">
        <f>VLOOKUP($A219,[1]maaltijden!$A$1:$IV$65536,20,FALSE)</f>
        <v>2000</v>
      </c>
      <c r="M219" s="22">
        <f>VLOOKUP($A219,[1]maaltijden!$A$1:$IV$65536,22,FALSE)</f>
        <v>2000</v>
      </c>
      <c r="N219" s="135"/>
      <c r="O219" s="50"/>
      <c r="P219" s="19">
        <v>0</v>
      </c>
      <c r="Q219" s="20">
        <v>1</v>
      </c>
      <c r="R219" s="21">
        <v>0</v>
      </c>
      <c r="S219" s="19">
        <v>0</v>
      </c>
      <c r="T219" s="20">
        <v>1</v>
      </c>
      <c r="U219" s="19"/>
      <c r="V219" s="20"/>
      <c r="W219" s="20"/>
      <c r="X219" s="20"/>
      <c r="Y219" s="20"/>
      <c r="Z219" s="20"/>
      <c r="AA219" s="20"/>
      <c r="AB219" s="49"/>
      <c r="AC219" s="49"/>
      <c r="AD219" s="49"/>
      <c r="AE219" s="49"/>
      <c r="AF219" s="49"/>
      <c r="AG219" s="161">
        <v>0</v>
      </c>
      <c r="AH219" s="168">
        <v>2</v>
      </c>
      <c r="AI219" s="168">
        <v>1</v>
      </c>
      <c r="AJ219" s="20"/>
      <c r="AK219" s="20"/>
      <c r="AL219" s="21"/>
      <c r="AM219" s="19">
        <v>0</v>
      </c>
      <c r="AN219" s="20">
        <f>IFERROR(INDEX([2]lijnopstellingsfiche!$AP$1:$AP$65536,MATCH(A219,[2]lijnopstellingsfiche!$AQ$1:$AQ$65536,0)),"")</f>
        <v>6</v>
      </c>
      <c r="AO219" s="20">
        <v>0</v>
      </c>
      <c r="AP219" s="20">
        <v>0</v>
      </c>
      <c r="AQ219" s="20">
        <v>1</v>
      </c>
      <c r="AR219" s="20">
        <v>1</v>
      </c>
      <c r="AS219" s="20">
        <v>0</v>
      </c>
      <c r="AT219" s="20">
        <v>1</v>
      </c>
      <c r="AU219" s="20">
        <v>0</v>
      </c>
      <c r="AV219" s="23">
        <v>0</v>
      </c>
      <c r="AW219" s="108">
        <v>0</v>
      </c>
      <c r="AX219" s="108">
        <v>0</v>
      </c>
      <c r="AY219" s="108">
        <v>1</v>
      </c>
      <c r="AZ219" s="108">
        <v>0</v>
      </c>
      <c r="BA219" s="114">
        <v>1</v>
      </c>
      <c r="BB219" s="20">
        <v>0</v>
      </c>
      <c r="BC219" s="113">
        <v>0</v>
      </c>
      <c r="BD219" s="200" t="str">
        <f>VLOOKUP($A219,'[3]allergenen 6nr'!$A$1:$O$1310,3,FALSE)</f>
        <v>-</v>
      </c>
      <c r="BE219" s="201" t="str">
        <f>VLOOKUP($A219,'[3]allergenen 6nr'!$A$1:$O$1310,4,FALSE)</f>
        <v>+</v>
      </c>
      <c r="BF219" s="201" t="str">
        <f>VLOOKUP($A219,'[3]allergenen 6nr'!$A$1:$O$1310,5,FALSE)</f>
        <v>-</v>
      </c>
      <c r="BG219" s="201" t="str">
        <f>VLOOKUP($A219,'[3]allergenen 6nr'!$A$1:$O$1310,6,FALSE)</f>
        <v>-</v>
      </c>
      <c r="BH219" s="201" t="str">
        <f>VLOOKUP($A219,'[3]allergenen 6nr'!$A$1:$O$1310,7,FALSE)</f>
        <v>+</v>
      </c>
      <c r="BI219" s="201" t="str">
        <f>VLOOKUP($A219,'[3]allergenen 6nr'!$A$1:$O$1310,8,FALSE)</f>
        <v>-</v>
      </c>
      <c r="BJ219" s="201" t="str">
        <f>VLOOKUP($A219,'[3]allergenen 6nr'!$A$1:$O$1310,9,FALSE)</f>
        <v>-</v>
      </c>
      <c r="BK219" s="201" t="str">
        <f>VLOOKUP($A219,'[3]allergenen 6nr'!$A$1:$O$1310,10,FALSE)</f>
        <v>-</v>
      </c>
      <c r="BL219" s="201" t="str">
        <f>VLOOKUP($A219,'[3]allergenen 6nr'!$A$1:$O$1310,11,FALSE)</f>
        <v>+</v>
      </c>
      <c r="BM219" s="201" t="str">
        <f>VLOOKUP($A219,'[3]allergenen 6nr'!$A$1:$O$1310,12,FALSE)</f>
        <v>-</v>
      </c>
      <c r="BN219" s="201" t="str">
        <f>VLOOKUP($A219,'[3]allergenen 6nr'!$A$1:$O$1310,13,FALSE)</f>
        <v>-</v>
      </c>
      <c r="BO219" s="201" t="str">
        <f>VLOOKUP($A219,'[3]allergenen 6nr'!$A$1:$O$1310,14,FALSE)</f>
        <v>-</v>
      </c>
      <c r="BP219" s="202" t="str">
        <f>VLOOKUP($A219,'[3]allergenen 6nr'!$A$1:$O$1310,15,FALSE)</f>
        <v>-</v>
      </c>
    </row>
    <row r="220" spans="1:68" x14ac:dyDescent="0.2">
      <c r="A220" s="54">
        <v>63587800</v>
      </c>
      <c r="B220" s="53" t="str">
        <f>VLOOKUP($A220,[1]maaltijden!$A$1:$IV$65536,4,FALSE)</f>
        <v>DLC NA-ARM LINGUINE PUTTANESCA KABELJAUW</v>
      </c>
      <c r="C220" s="46" t="str">
        <f>VLOOKUP($A220,[1]maaltijden!$A$1:$IV$65536,7,FALSE)</f>
        <v>C2227-1H</v>
      </c>
      <c r="D220" s="22" t="str">
        <f>VLOOKUP($A220,[1]maaltijden!$A$1:$IV$65536,10,FALSE)</f>
        <v>NVT</v>
      </c>
      <c r="E220" s="22" t="str">
        <f>VLOOKUP($A220,[1]maaltijden!$A$1:$IV$65536,13,FALSE)</f>
        <v>DLC X 6</v>
      </c>
      <c r="F220" s="20">
        <f t="shared" si="3"/>
        <v>0</v>
      </c>
      <c r="G220" s="20" t="str">
        <f>VLOOKUP($A220,[1]maaltijden!$A$1:$IV$65536,27,FALSE)</f>
        <v>! ! ! !</v>
      </c>
      <c r="H220" s="22">
        <f>VLOOKUP($A220,[1]maaltijden!$A$1:$IV$65536,21,FALSE)</f>
        <v>6</v>
      </c>
      <c r="I220" s="22">
        <f>VLOOKUP($A220,[1]maaltijden!$A$1:$IV$65536,21,FALSE)</f>
        <v>6</v>
      </c>
      <c r="J220" s="22">
        <f>VLOOKUP($A220,[1]maaltijden!$A$1:$IV$65536,18,FALSE)</f>
        <v>3</v>
      </c>
      <c r="K220" s="22">
        <f>VLOOKUP($A220,[1]maaltijden!$A$1:$IV$65536,17,FALSE)</f>
        <v>3</v>
      </c>
      <c r="L220" s="22">
        <f>VLOOKUP($A220,[1]maaltijden!$A$1:$IV$65536,20,FALSE)</f>
        <v>2000</v>
      </c>
      <c r="M220" s="22">
        <f>VLOOKUP($A220,[1]maaltijden!$A$1:$IV$65536,22,FALSE)</f>
        <v>2000</v>
      </c>
      <c r="N220" s="135"/>
      <c r="O220" s="50"/>
      <c r="P220" s="19">
        <v>0</v>
      </c>
      <c r="Q220" s="20">
        <v>1</v>
      </c>
      <c r="R220" s="21">
        <v>0</v>
      </c>
      <c r="S220" s="19">
        <v>0</v>
      </c>
      <c r="T220" s="20">
        <v>1</v>
      </c>
      <c r="U220" s="19"/>
      <c r="V220" s="20"/>
      <c r="W220" s="20"/>
      <c r="X220" s="20"/>
      <c r="Y220" s="20"/>
      <c r="Z220" s="20"/>
      <c r="AA220" s="20"/>
      <c r="AB220" s="49"/>
      <c r="AC220" s="49"/>
      <c r="AD220" s="49"/>
      <c r="AE220" s="49"/>
      <c r="AF220" s="49"/>
      <c r="AG220" s="161">
        <v>1</v>
      </c>
      <c r="AH220" s="168">
        <v>1</v>
      </c>
      <c r="AI220" s="20"/>
      <c r="AJ220" s="20"/>
      <c r="AK220" s="20"/>
      <c r="AL220" s="21"/>
      <c r="AM220" s="19">
        <v>0</v>
      </c>
      <c r="AN220" s="20" t="str">
        <f>IFERROR(INDEX([2]lijnopstellingsfiche!$AP$1:$AP$65536,MATCH(A220,[2]lijnopstellingsfiche!$AQ$1:$AQ$65536,0)),"")</f>
        <v>-</v>
      </c>
      <c r="AO220" s="20">
        <v>1</v>
      </c>
      <c r="AP220" s="20">
        <v>0</v>
      </c>
      <c r="AQ220" s="20">
        <v>2</v>
      </c>
      <c r="AR220" s="20">
        <v>0</v>
      </c>
      <c r="AS220" s="20">
        <v>0</v>
      </c>
      <c r="AT220" s="20">
        <v>0</v>
      </c>
      <c r="AU220" s="20">
        <v>0</v>
      </c>
      <c r="AV220" s="23">
        <v>0</v>
      </c>
      <c r="AW220" s="108">
        <v>0</v>
      </c>
      <c r="AX220" s="108">
        <v>0</v>
      </c>
      <c r="AY220" s="108">
        <v>1</v>
      </c>
      <c r="AZ220" s="108">
        <v>0</v>
      </c>
      <c r="BA220" s="114">
        <v>1</v>
      </c>
      <c r="BB220" s="20">
        <v>0</v>
      </c>
      <c r="BC220" s="113">
        <v>0</v>
      </c>
      <c r="BD220" s="200" t="str">
        <f>VLOOKUP($A220,'[3]allergenen 6nr'!$A$1:$O$1310,3,FALSE)</f>
        <v>-</v>
      </c>
      <c r="BE220" s="201" t="str">
        <f>VLOOKUP($A220,'[3]allergenen 6nr'!$A$1:$O$1310,4,FALSE)</f>
        <v>X</v>
      </c>
      <c r="BF220" s="201" t="str">
        <f>VLOOKUP($A220,'[3]allergenen 6nr'!$A$1:$O$1310,5,FALSE)</f>
        <v>+</v>
      </c>
      <c r="BG220" s="201" t="str">
        <f>VLOOKUP($A220,'[3]allergenen 6nr'!$A$1:$O$1310,6,FALSE)</f>
        <v>X</v>
      </c>
      <c r="BH220" s="201" t="str">
        <f>VLOOKUP($A220,'[3]allergenen 6nr'!$A$1:$O$1310,7,FALSE)</f>
        <v>-</v>
      </c>
      <c r="BI220" s="201" t="str">
        <f>VLOOKUP($A220,'[3]allergenen 6nr'!$A$1:$O$1310,8,FALSE)</f>
        <v>X</v>
      </c>
      <c r="BJ220" s="201" t="str">
        <f>VLOOKUP($A220,'[3]allergenen 6nr'!$A$1:$O$1310,9,FALSE)</f>
        <v>-</v>
      </c>
      <c r="BK220" s="201" t="str">
        <f>VLOOKUP($A220,'[3]allergenen 6nr'!$A$1:$O$1310,10,FALSE)</f>
        <v>-</v>
      </c>
      <c r="BL220" s="201" t="str">
        <f>VLOOKUP($A220,'[3]allergenen 6nr'!$A$1:$O$1310,11,FALSE)</f>
        <v>-</v>
      </c>
      <c r="BM220" s="201" t="str">
        <f>VLOOKUP($A220,'[3]allergenen 6nr'!$A$1:$O$1310,12,FALSE)</f>
        <v>-</v>
      </c>
      <c r="BN220" s="201" t="str">
        <f>VLOOKUP($A220,'[3]allergenen 6nr'!$A$1:$O$1310,13,FALSE)</f>
        <v>X</v>
      </c>
      <c r="BO220" s="201" t="str">
        <f>VLOOKUP($A220,'[3]allergenen 6nr'!$A$1:$O$1310,14,FALSE)</f>
        <v>+</v>
      </c>
      <c r="BP220" s="202" t="str">
        <f>VLOOKUP($A220,'[3]allergenen 6nr'!$A$1:$O$1310,15,FALSE)</f>
        <v>-</v>
      </c>
    </row>
    <row r="221" spans="1:68" x14ac:dyDescent="0.2">
      <c r="A221" s="54">
        <v>63588200</v>
      </c>
      <c r="B221" s="53" t="str">
        <f>VLOOKUP($A221,[1]maaltijden!$A$1:$IV$65536,4,FALSE)</f>
        <v>DLC NA-ARM KALKOEN BOSCHAMP SAUS APPELMOES AARDAPPEL WEDGES</v>
      </c>
      <c r="C221" s="46" t="str">
        <f>VLOOKUP($A221,[1]maaltijden!$A$1:$IV$65536,7,FALSE)</f>
        <v>C2227-3R</v>
      </c>
      <c r="D221" s="22" t="str">
        <f>VLOOKUP($A221,[1]maaltijden!$A$1:$IV$65536,10,FALSE)</f>
        <v>NVT</v>
      </c>
      <c r="E221" s="22" t="str">
        <f>VLOOKUP($A221,[1]maaltijden!$A$1:$IV$65536,13,FALSE)</f>
        <v>DLC X 6</v>
      </c>
      <c r="F221" s="20">
        <f t="shared" si="3"/>
        <v>0</v>
      </c>
      <c r="G221" s="20" t="str">
        <f>VLOOKUP($A221,[1]maaltijden!$A$1:$IV$65536,27,FALSE)</f>
        <v>! ! !</v>
      </c>
      <c r="H221" s="22">
        <f>VLOOKUP($A221,[1]maaltijden!$A$1:$IV$65536,21,FALSE)</f>
        <v>8</v>
      </c>
      <c r="I221" s="22">
        <f>VLOOKUP($A221,[1]maaltijden!$A$1:$IV$65536,21,FALSE)</f>
        <v>8</v>
      </c>
      <c r="J221" s="22">
        <f>VLOOKUP($A221,[1]maaltijden!$A$1:$IV$65536,18,FALSE)</f>
        <v>3</v>
      </c>
      <c r="K221" s="22">
        <f>VLOOKUP($A221,[1]maaltijden!$A$1:$IV$65536,17,FALSE)</f>
        <v>2</v>
      </c>
      <c r="L221" s="22">
        <f>VLOOKUP($A221,[1]maaltijden!$A$1:$IV$65536,20,FALSE)</f>
        <v>2000</v>
      </c>
      <c r="M221" s="22">
        <f>VLOOKUP($A221,[1]maaltijden!$A$1:$IV$65536,22,FALSE)</f>
        <v>2000</v>
      </c>
      <c r="N221" s="135"/>
      <c r="O221" s="50"/>
      <c r="P221" s="19">
        <v>0</v>
      </c>
      <c r="Q221" s="20">
        <v>1</v>
      </c>
      <c r="R221" s="21">
        <v>0</v>
      </c>
      <c r="S221" s="19">
        <v>0</v>
      </c>
      <c r="T221" s="20">
        <v>1</v>
      </c>
      <c r="U221" s="19"/>
      <c r="V221" s="20"/>
      <c r="W221" s="20"/>
      <c r="X221" s="20"/>
      <c r="Y221" s="20"/>
      <c r="Z221" s="20"/>
      <c r="AA221" s="20"/>
      <c r="AB221" s="49"/>
      <c r="AC221" s="49"/>
      <c r="AD221" s="49"/>
      <c r="AE221" s="49"/>
      <c r="AF221" s="49"/>
      <c r="AG221" s="161">
        <v>0</v>
      </c>
      <c r="AH221" s="168">
        <v>1</v>
      </c>
      <c r="AI221" s="20"/>
      <c r="AJ221" s="20"/>
      <c r="AK221" s="20"/>
      <c r="AL221" s="21"/>
      <c r="AM221" s="19">
        <v>0</v>
      </c>
      <c r="AN221" s="20">
        <f>IFERROR(INDEX([2]lijnopstellingsfiche!$AP$1:$AP$65536,MATCH(A221,[2]lijnopstellingsfiche!$AQ$1:$AQ$65536,0)),"")</f>
        <v>6</v>
      </c>
      <c r="AO221" s="20">
        <v>0</v>
      </c>
      <c r="AP221" s="20">
        <v>0</v>
      </c>
      <c r="AQ221" s="20">
        <v>2</v>
      </c>
      <c r="AR221" s="20">
        <v>0</v>
      </c>
      <c r="AS221" s="20">
        <v>0</v>
      </c>
      <c r="AT221" s="20">
        <v>0</v>
      </c>
      <c r="AU221" s="20">
        <v>0</v>
      </c>
      <c r="AV221" s="23">
        <v>0</v>
      </c>
      <c r="AW221" s="108">
        <v>0</v>
      </c>
      <c r="AX221" s="108">
        <v>0</v>
      </c>
      <c r="AY221" s="108">
        <v>1</v>
      </c>
      <c r="AZ221" s="108">
        <v>0</v>
      </c>
      <c r="BA221" s="114">
        <v>1</v>
      </c>
      <c r="BB221" s="20">
        <v>0</v>
      </c>
      <c r="BC221" s="113">
        <v>0</v>
      </c>
      <c r="BD221" s="200" t="e">
        <f>VLOOKUP($A221,'[3]allergenen 6nr'!$A$1:$O$1310,3,FALSE)</f>
        <v>#N/A</v>
      </c>
      <c r="BE221" s="201" t="e">
        <f>VLOOKUP($A221,'[3]allergenen 6nr'!$A$1:$O$1310,4,FALSE)</f>
        <v>#N/A</v>
      </c>
      <c r="BF221" s="201" t="e">
        <f>VLOOKUP($A221,'[3]allergenen 6nr'!$A$1:$O$1310,5,FALSE)</f>
        <v>#N/A</v>
      </c>
      <c r="BG221" s="201" t="e">
        <f>VLOOKUP($A221,'[3]allergenen 6nr'!$A$1:$O$1310,6,FALSE)</f>
        <v>#N/A</v>
      </c>
      <c r="BH221" s="201" t="e">
        <f>VLOOKUP($A221,'[3]allergenen 6nr'!$A$1:$O$1310,7,FALSE)</f>
        <v>#N/A</v>
      </c>
      <c r="BI221" s="201" t="e">
        <f>VLOOKUP($A221,'[3]allergenen 6nr'!$A$1:$O$1310,8,FALSE)</f>
        <v>#N/A</v>
      </c>
      <c r="BJ221" s="201" t="e">
        <f>VLOOKUP($A221,'[3]allergenen 6nr'!$A$1:$O$1310,9,FALSE)</f>
        <v>#N/A</v>
      </c>
      <c r="BK221" s="201" t="e">
        <f>VLOOKUP($A221,'[3]allergenen 6nr'!$A$1:$O$1310,10,FALSE)</f>
        <v>#N/A</v>
      </c>
      <c r="BL221" s="201" t="e">
        <f>VLOOKUP($A221,'[3]allergenen 6nr'!$A$1:$O$1310,11,FALSE)</f>
        <v>#N/A</v>
      </c>
      <c r="BM221" s="201" t="e">
        <f>VLOOKUP($A221,'[3]allergenen 6nr'!$A$1:$O$1310,12,FALSE)</f>
        <v>#N/A</v>
      </c>
      <c r="BN221" s="201" t="e">
        <f>VLOOKUP($A221,'[3]allergenen 6nr'!$A$1:$O$1310,13,FALSE)</f>
        <v>#N/A</v>
      </c>
      <c r="BO221" s="201" t="e">
        <f>VLOOKUP($A221,'[3]allergenen 6nr'!$A$1:$O$1310,14,FALSE)</f>
        <v>#N/A</v>
      </c>
      <c r="BP221" s="202" t="e">
        <f>VLOOKUP($A221,'[3]allergenen 6nr'!$A$1:$O$1310,15,FALSE)</f>
        <v>#N/A</v>
      </c>
    </row>
    <row r="222" spans="1:68" x14ac:dyDescent="0.2">
      <c r="A222" s="54">
        <v>63588800</v>
      </c>
      <c r="B222" s="53" t="str">
        <f>VLOOKUP($A222,[1]maaltijden!$A$1:$IV$65536,4,FALSE)</f>
        <v>DLC NA-ARM VOL AU VENT AARDAPPELPOTJE GROENTEN</v>
      </c>
      <c r="C222" s="46" t="str">
        <f>VLOOKUP($A222,[1]maaltijden!$A$1:$IV$65536,7,FALSE)</f>
        <v>C2227-2K</v>
      </c>
      <c r="D222" s="22" t="str">
        <f>VLOOKUP($A222,[1]maaltijden!$A$1:$IV$65536,10,FALSE)</f>
        <v>NVT</v>
      </c>
      <c r="E222" s="22" t="str">
        <f>VLOOKUP($A222,[1]maaltijden!$A$1:$IV$65536,13,FALSE)</f>
        <v>DLC X 6</v>
      </c>
      <c r="F222" s="20">
        <f t="shared" si="3"/>
        <v>0</v>
      </c>
      <c r="G222" s="20" t="str">
        <f>VLOOKUP($A222,[1]maaltijden!$A$1:$IV$65536,27,FALSE)</f>
        <v>! ! !</v>
      </c>
      <c r="H222" s="22">
        <f>VLOOKUP($A222,[1]maaltijden!$A$1:$IV$65536,21,FALSE)</f>
        <v>3</v>
      </c>
      <c r="I222" s="22">
        <f>VLOOKUP($A222,[1]maaltijden!$A$1:$IV$65536,21,FALSE)</f>
        <v>3</v>
      </c>
      <c r="J222" s="22">
        <f>VLOOKUP($A222,[1]maaltijden!$A$1:$IV$65536,18,FALSE)</f>
        <v>3</v>
      </c>
      <c r="K222" s="22">
        <f>VLOOKUP($A222,[1]maaltijden!$A$1:$IV$65536,17,FALSE)</f>
        <v>2</v>
      </c>
      <c r="L222" s="22">
        <f>VLOOKUP($A222,[1]maaltijden!$A$1:$IV$65536,20,FALSE)</f>
        <v>2000</v>
      </c>
      <c r="M222" s="22">
        <f>VLOOKUP($A222,[1]maaltijden!$A$1:$IV$65536,22,FALSE)</f>
        <v>2000</v>
      </c>
      <c r="N222" s="135"/>
      <c r="O222" s="50"/>
      <c r="P222" s="19">
        <v>0</v>
      </c>
      <c r="Q222" s="20">
        <v>1</v>
      </c>
      <c r="R222" s="21">
        <v>0</v>
      </c>
      <c r="S222" s="19">
        <v>0</v>
      </c>
      <c r="T222" s="20">
        <v>1</v>
      </c>
      <c r="U222" s="19"/>
      <c r="V222" s="20"/>
      <c r="W222" s="20"/>
      <c r="X222" s="20"/>
      <c r="Y222" s="20"/>
      <c r="Z222" s="20"/>
      <c r="AA222" s="20"/>
      <c r="AB222" s="49"/>
      <c r="AC222" s="49"/>
      <c r="AD222" s="49"/>
      <c r="AE222" s="49"/>
      <c r="AF222" s="49"/>
      <c r="AG222" s="161">
        <v>0</v>
      </c>
      <c r="AH222" s="168">
        <v>1</v>
      </c>
      <c r="AI222" s="168">
        <v>1</v>
      </c>
      <c r="AJ222" s="168">
        <v>1</v>
      </c>
      <c r="AK222" s="20"/>
      <c r="AL222" s="21"/>
      <c r="AM222" s="19">
        <v>0</v>
      </c>
      <c r="AN222" s="20">
        <f>IFERROR(INDEX([2]lijnopstellingsfiche!$AP$1:$AP$65536,MATCH(A222,[2]lijnopstellingsfiche!$AQ$1:$AQ$65536,0)),"")</f>
        <v>1</v>
      </c>
      <c r="AO222" s="20">
        <v>0</v>
      </c>
      <c r="AP222" s="20">
        <v>0</v>
      </c>
      <c r="AQ222" s="20">
        <v>1</v>
      </c>
      <c r="AR222" s="20">
        <v>0</v>
      </c>
      <c r="AS222" s="20">
        <v>0</v>
      </c>
      <c r="AT222" s="20">
        <v>0</v>
      </c>
      <c r="AU222" s="20">
        <v>0</v>
      </c>
      <c r="AV222" s="23">
        <v>0</v>
      </c>
      <c r="AW222" s="108">
        <v>0</v>
      </c>
      <c r="AX222" s="108">
        <v>0</v>
      </c>
      <c r="AY222" s="108">
        <v>1</v>
      </c>
      <c r="AZ222" s="108">
        <v>0</v>
      </c>
      <c r="BA222" s="114">
        <v>1</v>
      </c>
      <c r="BB222" s="20">
        <v>0</v>
      </c>
      <c r="BC222" s="113">
        <v>0</v>
      </c>
      <c r="BD222" s="200" t="str">
        <f>VLOOKUP($A222,'[3]allergenen 6nr'!$A$1:$O$1310,3,FALSE)</f>
        <v>-</v>
      </c>
      <c r="BE222" s="201" t="str">
        <f>VLOOKUP($A222,'[3]allergenen 6nr'!$A$1:$O$1310,4,FALSE)</f>
        <v>X</v>
      </c>
      <c r="BF222" s="201" t="str">
        <f>VLOOKUP($A222,'[3]allergenen 6nr'!$A$1:$O$1310,5,FALSE)</f>
        <v>+</v>
      </c>
      <c r="BG222" s="201" t="str">
        <f>VLOOKUP($A222,'[3]allergenen 6nr'!$A$1:$O$1310,6,FALSE)</f>
        <v>X</v>
      </c>
      <c r="BH222" s="201" t="str">
        <f>VLOOKUP($A222,'[3]allergenen 6nr'!$A$1:$O$1310,7,FALSE)</f>
        <v>+</v>
      </c>
      <c r="BI222" s="201" t="str">
        <f>VLOOKUP($A222,'[3]allergenen 6nr'!$A$1:$O$1310,8,FALSE)</f>
        <v>X</v>
      </c>
      <c r="BJ222" s="201" t="str">
        <f>VLOOKUP($A222,'[3]allergenen 6nr'!$A$1:$O$1310,9,FALSE)</f>
        <v>-</v>
      </c>
      <c r="BK222" s="201" t="str">
        <f>VLOOKUP($A222,'[3]allergenen 6nr'!$A$1:$O$1310,10,FALSE)</f>
        <v>X</v>
      </c>
      <c r="BL222" s="201" t="str">
        <f>VLOOKUP($A222,'[3]allergenen 6nr'!$A$1:$O$1310,11,FALSE)</f>
        <v>+</v>
      </c>
      <c r="BM222" s="201" t="str">
        <f>VLOOKUP($A222,'[3]allergenen 6nr'!$A$1:$O$1310,12,FALSE)</f>
        <v>-</v>
      </c>
      <c r="BN222" s="201" t="str">
        <f>VLOOKUP($A222,'[3]allergenen 6nr'!$A$1:$O$1310,13,FALSE)</f>
        <v>X</v>
      </c>
      <c r="BO222" s="201" t="str">
        <f>VLOOKUP($A222,'[3]allergenen 6nr'!$A$1:$O$1310,14,FALSE)</f>
        <v>X</v>
      </c>
      <c r="BP222" s="202" t="str">
        <f>VLOOKUP($A222,'[3]allergenen 6nr'!$A$1:$O$1310,15,FALSE)</f>
        <v>X</v>
      </c>
    </row>
    <row r="223" spans="1:68" x14ac:dyDescent="0.2">
      <c r="A223" s="54">
        <v>63589200</v>
      </c>
      <c r="B223" s="53" t="str">
        <f>VLOOKUP($A223,[1]maaltijden!$A$1:$IV$65536,4,FALSE)</f>
        <v>DLC NA-ARM SPAGHETTI BOLOGNAISE</v>
      </c>
      <c r="C223" s="46" t="str">
        <f>VLOOKUP($A223,[1]maaltijden!$A$1:$IV$65536,7,FALSE)</f>
        <v>C2227-1H</v>
      </c>
      <c r="D223" s="22" t="str">
        <f>VLOOKUP($A223,[1]maaltijden!$A$1:$IV$65536,10,FALSE)</f>
        <v>NVT</v>
      </c>
      <c r="E223" s="22" t="str">
        <f>VLOOKUP($A223,[1]maaltijden!$A$1:$IV$65536,13,FALSE)</f>
        <v>DLC X 6</v>
      </c>
      <c r="F223" s="20">
        <f t="shared" si="3"/>
        <v>0</v>
      </c>
      <c r="G223" s="20" t="str">
        <f>VLOOKUP($A223,[1]maaltijden!$A$1:$IV$65536,27,FALSE)</f>
        <v>! ! !</v>
      </c>
      <c r="H223" s="22">
        <f>VLOOKUP($A223,[1]maaltijden!$A$1:$IV$65536,21,FALSE)</f>
        <v>3</v>
      </c>
      <c r="I223" s="22">
        <f>VLOOKUP($A223,[1]maaltijden!$A$1:$IV$65536,21,FALSE)</f>
        <v>3</v>
      </c>
      <c r="J223" s="22">
        <f>VLOOKUP($A223,[1]maaltijden!$A$1:$IV$65536,18,FALSE)</f>
        <v>3</v>
      </c>
      <c r="K223" s="22">
        <f>VLOOKUP($A223,[1]maaltijden!$A$1:$IV$65536,17,FALSE)</f>
        <v>2.5</v>
      </c>
      <c r="L223" s="22">
        <f>VLOOKUP($A223,[1]maaltijden!$A$1:$IV$65536,20,FALSE)</f>
        <v>2000</v>
      </c>
      <c r="M223" s="22">
        <f>VLOOKUP($A223,[1]maaltijden!$A$1:$IV$65536,22,FALSE)</f>
        <v>2000</v>
      </c>
      <c r="N223" s="135"/>
      <c r="O223" s="50"/>
      <c r="P223" s="19">
        <v>0</v>
      </c>
      <c r="Q223" s="20">
        <v>1</v>
      </c>
      <c r="R223" s="21">
        <v>0</v>
      </c>
      <c r="S223" s="19">
        <v>0</v>
      </c>
      <c r="T223" s="20">
        <v>1</v>
      </c>
      <c r="U223" s="19"/>
      <c r="V223" s="20"/>
      <c r="W223" s="20"/>
      <c r="X223" s="20"/>
      <c r="Y223" s="20"/>
      <c r="Z223" s="20"/>
      <c r="AA223" s="20"/>
      <c r="AB223" s="49"/>
      <c r="AC223" s="49"/>
      <c r="AD223" s="49"/>
      <c r="AE223" s="49"/>
      <c r="AF223" s="49"/>
      <c r="AG223" s="161">
        <v>1</v>
      </c>
      <c r="AH223" s="168">
        <v>1</v>
      </c>
      <c r="AI223" s="20"/>
      <c r="AJ223" s="20"/>
      <c r="AK223" s="20"/>
      <c r="AL223" s="21"/>
      <c r="AM223" s="19">
        <v>1</v>
      </c>
      <c r="AN223" s="20">
        <f>IFERROR(INDEX([2]lijnopstellingsfiche!$AP$1:$AP$65536,MATCH(A223,[2]lijnopstellingsfiche!$AQ$1:$AQ$65536,0)),"")</f>
        <v>1</v>
      </c>
      <c r="AO223" s="20">
        <v>0</v>
      </c>
      <c r="AP223" s="20">
        <v>0</v>
      </c>
      <c r="AQ223" s="20">
        <v>2</v>
      </c>
      <c r="AR223" s="20">
        <v>0</v>
      </c>
      <c r="AS223" s="20">
        <v>0</v>
      </c>
      <c r="AT223" s="20">
        <v>0</v>
      </c>
      <c r="AU223" s="20">
        <v>0</v>
      </c>
      <c r="AV223" s="23">
        <v>0</v>
      </c>
      <c r="AW223" s="108">
        <v>0</v>
      </c>
      <c r="AX223" s="108">
        <v>0</v>
      </c>
      <c r="AY223" s="108">
        <v>1</v>
      </c>
      <c r="AZ223" s="108">
        <v>0</v>
      </c>
      <c r="BA223" s="114">
        <v>1</v>
      </c>
      <c r="BB223" s="20">
        <v>0</v>
      </c>
      <c r="BC223" s="113">
        <v>0</v>
      </c>
      <c r="BD223" s="200" t="str">
        <f>VLOOKUP($A223,'[3]allergenen 6nr'!$A$1:$O$1310,3,FALSE)</f>
        <v>-</v>
      </c>
      <c r="BE223" s="201" t="str">
        <f>VLOOKUP($A223,'[3]allergenen 6nr'!$A$1:$O$1310,4,FALSE)</f>
        <v>X</v>
      </c>
      <c r="BF223" s="201" t="str">
        <f>VLOOKUP($A223,'[3]allergenen 6nr'!$A$1:$O$1310,5,FALSE)</f>
        <v>+</v>
      </c>
      <c r="BG223" s="201" t="str">
        <f>VLOOKUP($A223,'[3]allergenen 6nr'!$A$1:$O$1310,6,FALSE)</f>
        <v>X</v>
      </c>
      <c r="BH223" s="201" t="str">
        <f>VLOOKUP($A223,'[3]allergenen 6nr'!$A$1:$O$1310,7,FALSE)</f>
        <v>-</v>
      </c>
      <c r="BI223" s="201" t="str">
        <f>VLOOKUP($A223,'[3]allergenen 6nr'!$A$1:$O$1310,8,FALSE)</f>
        <v>X</v>
      </c>
      <c r="BJ223" s="201" t="str">
        <f>VLOOKUP($A223,'[3]allergenen 6nr'!$A$1:$O$1310,9,FALSE)</f>
        <v>-</v>
      </c>
      <c r="BK223" s="201" t="str">
        <f>VLOOKUP($A223,'[3]allergenen 6nr'!$A$1:$O$1310,10,FALSE)</f>
        <v>-</v>
      </c>
      <c r="BL223" s="201" t="str">
        <f>VLOOKUP($A223,'[3]allergenen 6nr'!$A$1:$O$1310,11,FALSE)</f>
        <v>+</v>
      </c>
      <c r="BM223" s="201" t="str">
        <f>VLOOKUP($A223,'[3]allergenen 6nr'!$A$1:$O$1310,12,FALSE)</f>
        <v>-</v>
      </c>
      <c r="BN223" s="201" t="str">
        <f>VLOOKUP($A223,'[3]allergenen 6nr'!$A$1:$O$1310,13,FALSE)</f>
        <v>X</v>
      </c>
      <c r="BO223" s="201" t="str">
        <f>VLOOKUP($A223,'[3]allergenen 6nr'!$A$1:$O$1310,14,FALSE)</f>
        <v>-</v>
      </c>
      <c r="BP223" s="202" t="str">
        <f>VLOOKUP($A223,'[3]allergenen 6nr'!$A$1:$O$1310,15,FALSE)</f>
        <v>-</v>
      </c>
    </row>
    <row r="224" spans="1:68" x14ac:dyDescent="0.2">
      <c r="A224" s="54">
        <v>63589300</v>
      </c>
      <c r="B224" s="53" t="str">
        <f>VLOOKUP($A224,[1]maaltijden!$A$1:$IV$65536,4,FALSE)</f>
        <v>DLC NA-ARM HAMBURGER WITLOOFSAUS GROENE KOOL AARDAPPEL</v>
      </c>
      <c r="C224" s="46" t="str">
        <f>VLOOKUP($A224,[1]maaltijden!$A$1:$IV$65536,7,FALSE)</f>
        <v>C2227-3R</v>
      </c>
      <c r="D224" s="22" t="str">
        <f>VLOOKUP($A224,[1]maaltijden!$A$1:$IV$65536,10,FALSE)</f>
        <v>NVT</v>
      </c>
      <c r="E224" s="22" t="str">
        <f>VLOOKUP($A224,[1]maaltijden!$A$1:$IV$65536,13,FALSE)</f>
        <v>DLC X 6</v>
      </c>
      <c r="F224" s="20">
        <f t="shared" si="3"/>
        <v>0</v>
      </c>
      <c r="G224" s="20" t="str">
        <f>VLOOKUP($A224,[1]maaltijden!$A$1:$IV$65536,27,FALSE)</f>
        <v>! !</v>
      </c>
      <c r="H224" s="22">
        <f>VLOOKUP($A224,[1]maaltijden!$A$1:$IV$65536,21,FALSE)</f>
        <v>4</v>
      </c>
      <c r="I224" s="22">
        <f>VLOOKUP($A224,[1]maaltijden!$A$1:$IV$65536,21,FALSE)</f>
        <v>4</v>
      </c>
      <c r="J224" s="22">
        <f>VLOOKUP($A224,[1]maaltijden!$A$1:$IV$65536,18,FALSE)</f>
        <v>3</v>
      </c>
      <c r="K224" s="22">
        <f>VLOOKUP($A224,[1]maaltijden!$A$1:$IV$65536,17,FALSE)</f>
        <v>2</v>
      </c>
      <c r="L224" s="22">
        <f>VLOOKUP($A224,[1]maaltijden!$A$1:$IV$65536,20,FALSE)</f>
        <v>2000</v>
      </c>
      <c r="M224" s="22">
        <f>VLOOKUP($A224,[1]maaltijden!$A$1:$IV$65536,22,FALSE)</f>
        <v>2000</v>
      </c>
      <c r="N224" s="135"/>
      <c r="O224" s="50"/>
      <c r="P224" s="19">
        <v>0</v>
      </c>
      <c r="Q224" s="20">
        <v>1</v>
      </c>
      <c r="R224" s="21">
        <v>0</v>
      </c>
      <c r="S224" s="19">
        <v>0</v>
      </c>
      <c r="T224" s="20">
        <v>1</v>
      </c>
      <c r="U224" s="19">
        <v>0</v>
      </c>
      <c r="V224" s="20">
        <v>1</v>
      </c>
      <c r="W224" s="20">
        <v>1</v>
      </c>
      <c r="X224" s="20">
        <v>1</v>
      </c>
      <c r="Y224" s="20">
        <v>1</v>
      </c>
      <c r="Z224" s="20">
        <v>0</v>
      </c>
      <c r="AA224" s="20">
        <v>0</v>
      </c>
      <c r="AB224" s="49">
        <v>0</v>
      </c>
      <c r="AC224" s="49">
        <v>1</v>
      </c>
      <c r="AD224" s="49">
        <v>0</v>
      </c>
      <c r="AE224" s="49">
        <v>1</v>
      </c>
      <c r="AF224" s="49">
        <v>0</v>
      </c>
      <c r="AG224" s="161">
        <v>0</v>
      </c>
      <c r="AH224" s="162">
        <v>2</v>
      </c>
      <c r="AI224" s="162">
        <v>0</v>
      </c>
      <c r="AJ224" s="162">
        <v>0</v>
      </c>
      <c r="AK224" s="162">
        <v>0</v>
      </c>
      <c r="AL224" s="163">
        <v>0</v>
      </c>
      <c r="AM224" s="19">
        <v>0</v>
      </c>
      <c r="AN224" s="20" t="str">
        <f>IFERROR(INDEX([2]lijnopstellingsfiche!$AP$1:$AP$65536,MATCH(A224,[2]lijnopstellingsfiche!$AQ$1:$AQ$65536,0)),"")</f>
        <v>-</v>
      </c>
      <c r="AO224" s="20">
        <v>0</v>
      </c>
      <c r="AP224" s="20">
        <v>0</v>
      </c>
      <c r="AQ224" s="20">
        <v>2</v>
      </c>
      <c r="AR224" s="20">
        <v>0</v>
      </c>
      <c r="AS224" s="20">
        <v>0</v>
      </c>
      <c r="AT224" s="20">
        <v>0</v>
      </c>
      <c r="AU224" s="20">
        <v>0</v>
      </c>
      <c r="AV224" s="23">
        <v>0</v>
      </c>
      <c r="AW224" s="108">
        <v>0</v>
      </c>
      <c r="AX224" s="108">
        <v>0</v>
      </c>
      <c r="AY224" s="108">
        <v>1</v>
      </c>
      <c r="AZ224" s="108">
        <v>0</v>
      </c>
      <c r="BA224" s="114">
        <v>1</v>
      </c>
      <c r="BB224" s="20">
        <v>0</v>
      </c>
      <c r="BC224" s="113">
        <v>0</v>
      </c>
      <c r="BD224" s="200" t="str">
        <f>VLOOKUP($A224,'[3]allergenen 6nr'!$A$1:$O$1310,3,FALSE)</f>
        <v>-</v>
      </c>
      <c r="BE224" s="201" t="str">
        <f>VLOOKUP($A224,'[3]allergenen 6nr'!$A$1:$O$1310,4,FALSE)</f>
        <v>+</v>
      </c>
      <c r="BF224" s="201" t="str">
        <f>VLOOKUP($A224,'[3]allergenen 6nr'!$A$1:$O$1310,5,FALSE)</f>
        <v>+</v>
      </c>
      <c r="BG224" s="201" t="str">
        <f>VLOOKUP($A224,'[3]allergenen 6nr'!$A$1:$O$1310,6,FALSE)</f>
        <v>X</v>
      </c>
      <c r="BH224" s="201" t="str">
        <f>VLOOKUP($A224,'[3]allergenen 6nr'!$A$1:$O$1310,7,FALSE)</f>
        <v>+</v>
      </c>
      <c r="BI224" s="201" t="str">
        <f>VLOOKUP($A224,'[3]allergenen 6nr'!$A$1:$O$1310,8,FALSE)</f>
        <v>X</v>
      </c>
      <c r="BJ224" s="201" t="str">
        <f>VLOOKUP($A224,'[3]allergenen 6nr'!$A$1:$O$1310,9,FALSE)</f>
        <v>-</v>
      </c>
      <c r="BK224" s="201" t="str">
        <f>VLOOKUP($A224,'[3]allergenen 6nr'!$A$1:$O$1310,10,FALSE)</f>
        <v>-</v>
      </c>
      <c r="BL224" s="201" t="str">
        <f>VLOOKUP($A224,'[3]allergenen 6nr'!$A$1:$O$1310,11,FALSE)</f>
        <v>X</v>
      </c>
      <c r="BM224" s="201" t="str">
        <f>VLOOKUP($A224,'[3]allergenen 6nr'!$A$1:$O$1310,12,FALSE)</f>
        <v>-</v>
      </c>
      <c r="BN224" s="201" t="str">
        <f>VLOOKUP($A224,'[3]allergenen 6nr'!$A$1:$O$1310,13,FALSE)</f>
        <v>X</v>
      </c>
      <c r="BO224" s="201" t="str">
        <f>VLOOKUP($A224,'[3]allergenen 6nr'!$A$1:$O$1310,14,FALSE)</f>
        <v>-</v>
      </c>
      <c r="BP224" s="202" t="str">
        <f>VLOOKUP($A224,'[3]allergenen 6nr'!$A$1:$O$1310,15,FALSE)</f>
        <v>-</v>
      </c>
    </row>
    <row r="225" spans="1:68" x14ac:dyDescent="0.2">
      <c r="A225" s="54">
        <v>63589400</v>
      </c>
      <c r="B225" s="53" t="str">
        <f>VLOOKUP($A225,[1]maaltijden!$A$1:$IV$65536,4,FALSE)</f>
        <v>DLC NA-ARM BLINDE VINK PROVENCAALSE SAUS GEBAK AARD KUBUS</v>
      </c>
      <c r="C225" s="46" t="str">
        <f>VLOOKUP($A225,[1]maaltijden!$A$1:$IV$65536,7,FALSE)</f>
        <v>C2227-2K</v>
      </c>
      <c r="D225" s="22" t="str">
        <f>VLOOKUP($A225,[1]maaltijden!$A$1:$IV$65536,10,FALSE)</f>
        <v>NVT</v>
      </c>
      <c r="E225" s="22" t="str">
        <f>VLOOKUP($A225,[1]maaltijden!$A$1:$IV$65536,13,FALSE)</f>
        <v>DLC X 6</v>
      </c>
      <c r="F225" s="20">
        <f t="shared" si="3"/>
        <v>0</v>
      </c>
      <c r="G225" s="20" t="str">
        <f>VLOOKUP($A225,[1]maaltijden!$A$1:$IV$65536,27,FALSE)</f>
        <v>! ! !</v>
      </c>
      <c r="H225" s="22">
        <f>VLOOKUP($A225,[1]maaltijden!$A$1:$IV$65536,21,FALSE)</f>
        <v>4</v>
      </c>
      <c r="I225" s="22">
        <f>VLOOKUP($A225,[1]maaltijden!$A$1:$IV$65536,21,FALSE)</f>
        <v>4</v>
      </c>
      <c r="J225" s="22">
        <f>VLOOKUP($A225,[1]maaltijden!$A$1:$IV$65536,18,FALSE)</f>
        <v>3</v>
      </c>
      <c r="K225" s="22">
        <f>VLOOKUP($A225,[1]maaltijden!$A$1:$IV$65536,17,FALSE)</f>
        <v>0</v>
      </c>
      <c r="L225" s="22">
        <f>VLOOKUP($A225,[1]maaltijden!$A$1:$IV$65536,20,FALSE)</f>
        <v>2000</v>
      </c>
      <c r="M225" s="22">
        <f>VLOOKUP($A225,[1]maaltijden!$A$1:$IV$65536,22,FALSE)</f>
        <v>2000</v>
      </c>
      <c r="N225" s="135"/>
      <c r="O225" s="50"/>
      <c r="P225" s="19">
        <v>0</v>
      </c>
      <c r="Q225" s="20">
        <v>1</v>
      </c>
      <c r="R225" s="21">
        <v>0</v>
      </c>
      <c r="S225" s="19">
        <v>0</v>
      </c>
      <c r="T225" s="20">
        <v>1</v>
      </c>
      <c r="U225" s="19"/>
      <c r="V225" s="20"/>
      <c r="W225" s="20"/>
      <c r="X225" s="20"/>
      <c r="Y225" s="20"/>
      <c r="Z225" s="20"/>
      <c r="AA225" s="20"/>
      <c r="AB225" s="49"/>
      <c r="AC225" s="49"/>
      <c r="AD225" s="49"/>
      <c r="AE225" s="49"/>
      <c r="AF225" s="49"/>
      <c r="AG225" s="161">
        <v>0</v>
      </c>
      <c r="AH225" s="168">
        <v>1</v>
      </c>
      <c r="AI225" s="20"/>
      <c r="AJ225" s="20"/>
      <c r="AK225" s="20"/>
      <c r="AL225" s="21"/>
      <c r="AM225" s="19">
        <v>0</v>
      </c>
      <c r="AN225" s="20" t="str">
        <f>IFERROR(INDEX([2]lijnopstellingsfiche!$AP$1:$AP$65536,MATCH(A225,[2]lijnopstellingsfiche!$AQ$1:$AQ$65536,0)),"")</f>
        <v>-</v>
      </c>
      <c r="AO225" s="20">
        <v>0</v>
      </c>
      <c r="AP225" s="20">
        <v>0</v>
      </c>
      <c r="AQ225" s="20">
        <v>2</v>
      </c>
      <c r="AR225" s="20">
        <v>0</v>
      </c>
      <c r="AS225" s="20">
        <v>0</v>
      </c>
      <c r="AT225" s="20">
        <v>1</v>
      </c>
      <c r="AU225" s="20">
        <v>0</v>
      </c>
      <c r="AV225" s="23">
        <v>0</v>
      </c>
      <c r="AW225" s="108">
        <v>0</v>
      </c>
      <c r="AX225" s="108">
        <v>0</v>
      </c>
      <c r="AY225" s="108">
        <v>1</v>
      </c>
      <c r="AZ225" s="108">
        <v>0</v>
      </c>
      <c r="BA225" s="114">
        <v>1</v>
      </c>
      <c r="BB225" s="20">
        <v>0</v>
      </c>
      <c r="BC225" s="113">
        <v>0</v>
      </c>
      <c r="BD225" s="200" t="str">
        <f>VLOOKUP($A225,'[3]allergenen 6nr'!$A$1:$O$1310,3,FALSE)</f>
        <v>X</v>
      </c>
      <c r="BE225" s="201" t="str">
        <f>VLOOKUP($A225,'[3]allergenen 6nr'!$A$1:$O$1310,4,FALSE)</f>
        <v>X</v>
      </c>
      <c r="BF225" s="201" t="str">
        <f>VLOOKUP($A225,'[3]allergenen 6nr'!$A$1:$O$1310,5,FALSE)</f>
        <v>X</v>
      </c>
      <c r="BG225" s="201" t="str">
        <f>VLOOKUP($A225,'[3]allergenen 6nr'!$A$1:$O$1310,6,FALSE)</f>
        <v>X</v>
      </c>
      <c r="BH225" s="201" t="str">
        <f>VLOOKUP($A225,'[3]allergenen 6nr'!$A$1:$O$1310,7,FALSE)</f>
        <v>X</v>
      </c>
      <c r="BI225" s="201" t="str">
        <f>VLOOKUP($A225,'[3]allergenen 6nr'!$A$1:$O$1310,8,FALSE)</f>
        <v>X</v>
      </c>
      <c r="BJ225" s="201" t="str">
        <f>VLOOKUP($A225,'[3]allergenen 6nr'!$A$1:$O$1310,9,FALSE)</f>
        <v>X</v>
      </c>
      <c r="BK225" s="201" t="str">
        <f>VLOOKUP($A225,'[3]allergenen 6nr'!$A$1:$O$1310,10,FALSE)</f>
        <v>X</v>
      </c>
      <c r="BL225" s="201" t="str">
        <f>VLOOKUP($A225,'[3]allergenen 6nr'!$A$1:$O$1310,11,FALSE)</f>
        <v>+</v>
      </c>
      <c r="BM225" s="201" t="str">
        <f>VLOOKUP($A225,'[3]allergenen 6nr'!$A$1:$O$1310,12,FALSE)</f>
        <v>X</v>
      </c>
      <c r="BN225" s="201" t="str">
        <f>VLOOKUP($A225,'[3]allergenen 6nr'!$A$1:$O$1310,13,FALSE)</f>
        <v>X</v>
      </c>
      <c r="BO225" s="201" t="str">
        <f>VLOOKUP($A225,'[3]allergenen 6nr'!$A$1:$O$1310,14,FALSE)</f>
        <v>X</v>
      </c>
      <c r="BP225" s="202" t="str">
        <f>VLOOKUP($A225,'[3]allergenen 6nr'!$A$1:$O$1310,15,FALSE)</f>
        <v>-</v>
      </c>
    </row>
    <row r="226" spans="1:68" x14ac:dyDescent="0.2">
      <c r="A226" s="54">
        <v>63589500</v>
      </c>
      <c r="B226" s="53" t="str">
        <f>VLOOKUP($A226,[1]maaltijden!$A$1:$IV$65536,4,FALSE)</f>
        <v>DLC NA-ARM GEHAKTBAL GESTOOFDE PREI AARDAPPEL</v>
      </c>
      <c r="C226" s="46" t="str">
        <f>VLOOKUP($A226,[1]maaltijden!$A$1:$IV$65536,7,FALSE)</f>
        <v>C2227-3R</v>
      </c>
      <c r="D226" s="22" t="str">
        <f>VLOOKUP($A226,[1]maaltijden!$A$1:$IV$65536,10,FALSE)</f>
        <v>NVT</v>
      </c>
      <c r="E226" s="22" t="str">
        <f>VLOOKUP($A226,[1]maaltijden!$A$1:$IV$65536,13,FALSE)</f>
        <v>DLC X 6</v>
      </c>
      <c r="F226" s="20">
        <f t="shared" si="3"/>
        <v>0</v>
      </c>
      <c r="G226" s="20" t="str">
        <f>VLOOKUP($A226,[1]maaltijden!$A$1:$IV$65536,27,FALSE)</f>
        <v>! ! !</v>
      </c>
      <c r="H226" s="22">
        <f>VLOOKUP($A226,[1]maaltijden!$A$1:$IV$65536,21,FALSE)</f>
        <v>5</v>
      </c>
      <c r="I226" s="22">
        <f>VLOOKUP($A226,[1]maaltijden!$A$1:$IV$65536,21,FALSE)</f>
        <v>5</v>
      </c>
      <c r="J226" s="22">
        <f>VLOOKUP($A226,[1]maaltijden!$A$1:$IV$65536,18,FALSE)</f>
        <v>3</v>
      </c>
      <c r="K226" s="22">
        <f>VLOOKUP($A226,[1]maaltijden!$A$1:$IV$65536,17,FALSE)</f>
        <v>2.5</v>
      </c>
      <c r="L226" s="22">
        <f>VLOOKUP($A226,[1]maaltijden!$A$1:$IV$65536,20,FALSE)</f>
        <v>2000</v>
      </c>
      <c r="M226" s="22">
        <f>VLOOKUP($A226,[1]maaltijden!$A$1:$IV$65536,22,FALSE)</f>
        <v>2000</v>
      </c>
      <c r="N226" s="135"/>
      <c r="O226" s="50"/>
      <c r="P226" s="19">
        <v>0</v>
      </c>
      <c r="Q226" s="20">
        <v>1</v>
      </c>
      <c r="R226" s="21">
        <v>0</v>
      </c>
      <c r="S226" s="19">
        <v>0</v>
      </c>
      <c r="T226" s="20">
        <v>1</v>
      </c>
      <c r="U226" s="19"/>
      <c r="V226" s="20"/>
      <c r="W226" s="20"/>
      <c r="X226" s="20"/>
      <c r="Y226" s="20"/>
      <c r="Z226" s="20"/>
      <c r="AA226" s="20"/>
      <c r="AB226" s="49"/>
      <c r="AC226" s="49"/>
      <c r="AD226" s="49"/>
      <c r="AE226" s="49"/>
      <c r="AF226" s="49"/>
      <c r="AG226" s="161">
        <v>0</v>
      </c>
      <c r="AH226" s="168">
        <v>2</v>
      </c>
      <c r="AI226" s="20"/>
      <c r="AJ226" s="20"/>
      <c r="AK226" s="20"/>
      <c r="AL226" s="21"/>
      <c r="AM226" s="19">
        <v>0</v>
      </c>
      <c r="AN226" s="20" t="str">
        <f>IFERROR(INDEX([2]lijnopstellingsfiche!$AP$1:$AP$65536,MATCH(A226,[2]lijnopstellingsfiche!$AQ$1:$AQ$65536,0)),"")</f>
        <v>-</v>
      </c>
      <c r="AO226" s="20">
        <v>0</v>
      </c>
      <c r="AP226" s="20">
        <v>0</v>
      </c>
      <c r="AQ226" s="20">
        <v>2</v>
      </c>
      <c r="AR226" s="20">
        <v>0</v>
      </c>
      <c r="AS226" s="20">
        <v>0</v>
      </c>
      <c r="AT226" s="20">
        <v>0</v>
      </c>
      <c r="AU226" s="20">
        <v>0</v>
      </c>
      <c r="AV226" s="23">
        <v>0</v>
      </c>
      <c r="AW226" s="108">
        <v>0</v>
      </c>
      <c r="AX226" s="108">
        <v>0</v>
      </c>
      <c r="AY226" s="108">
        <v>1</v>
      </c>
      <c r="AZ226" s="108">
        <v>0</v>
      </c>
      <c r="BA226" s="114">
        <v>1</v>
      </c>
      <c r="BB226" s="20">
        <v>0</v>
      </c>
      <c r="BC226" s="113">
        <v>0</v>
      </c>
      <c r="BD226" s="200" t="str">
        <f>VLOOKUP($A226,'[3]allergenen 6nr'!$A$1:$O$1310,3,FALSE)</f>
        <v>X</v>
      </c>
      <c r="BE226" s="201" t="str">
        <f>VLOOKUP($A226,'[3]allergenen 6nr'!$A$1:$O$1310,4,FALSE)</f>
        <v>X</v>
      </c>
      <c r="BF226" s="201" t="str">
        <f>VLOOKUP($A226,'[3]allergenen 6nr'!$A$1:$O$1310,5,FALSE)</f>
        <v>+</v>
      </c>
      <c r="BG226" s="201" t="str">
        <f>VLOOKUP($A226,'[3]allergenen 6nr'!$A$1:$O$1310,6,FALSE)</f>
        <v>X</v>
      </c>
      <c r="BH226" s="201" t="str">
        <f>VLOOKUP($A226,'[3]allergenen 6nr'!$A$1:$O$1310,7,FALSE)</f>
        <v>+</v>
      </c>
      <c r="BI226" s="201" t="str">
        <f>VLOOKUP($A226,'[3]allergenen 6nr'!$A$1:$O$1310,8,FALSE)</f>
        <v>X</v>
      </c>
      <c r="BJ226" s="201" t="str">
        <f>VLOOKUP($A226,'[3]allergenen 6nr'!$A$1:$O$1310,9,FALSE)</f>
        <v>X</v>
      </c>
      <c r="BK226" s="201" t="str">
        <f>VLOOKUP($A226,'[3]allergenen 6nr'!$A$1:$O$1310,10,FALSE)</f>
        <v>X</v>
      </c>
      <c r="BL226" s="201" t="str">
        <f>VLOOKUP($A226,'[3]allergenen 6nr'!$A$1:$O$1310,11,FALSE)</f>
        <v>+</v>
      </c>
      <c r="BM226" s="201" t="str">
        <f>VLOOKUP($A226,'[3]allergenen 6nr'!$A$1:$O$1310,12,FALSE)</f>
        <v>X</v>
      </c>
      <c r="BN226" s="201" t="str">
        <f>VLOOKUP($A226,'[3]allergenen 6nr'!$A$1:$O$1310,13,FALSE)</f>
        <v>X</v>
      </c>
      <c r="BO226" s="201" t="str">
        <f>VLOOKUP($A226,'[3]allergenen 6nr'!$A$1:$O$1310,14,FALSE)</f>
        <v>X</v>
      </c>
      <c r="BP226" s="202" t="str">
        <f>VLOOKUP($A226,'[3]allergenen 6nr'!$A$1:$O$1310,15,FALSE)</f>
        <v>X</v>
      </c>
    </row>
    <row r="227" spans="1:68" x14ac:dyDescent="0.2">
      <c r="A227" s="54">
        <v>63596300</v>
      </c>
      <c r="B227" s="53" t="str">
        <f>VLOOKUP($A227,[1]maaltijden!$A$1:$IV$65536,4,FALSE)</f>
        <v>DMC BLOEMKOOLSOEP 300G</v>
      </c>
      <c r="C227" s="46" t="str">
        <f>VLOOKUP($A227,[1]maaltijden!$A$1:$IV$65536,7,FALSE)</f>
        <v>C2187-1F</v>
      </c>
      <c r="D227" s="22" t="str">
        <f>VLOOKUP($A227,[1]maaltijden!$A$1:$IV$65536,10,FALSE)</f>
        <v>NVT</v>
      </c>
      <c r="E227" s="22" t="str">
        <f>VLOOKUP($A227,[1]maaltijden!$A$1:$IV$65536,13,FALSE)</f>
        <v>H11X24</v>
      </c>
      <c r="F227" s="20">
        <f t="shared" si="3"/>
        <v>0</v>
      </c>
      <c r="G227" s="20" t="str">
        <f>VLOOKUP($A227,[1]maaltijden!$A$1:$IV$65536,27,FALSE)</f>
        <v>! ! !</v>
      </c>
      <c r="H227" s="22">
        <f>VLOOKUP($A227,[1]maaltijden!$A$1:$IV$65536,21,FALSE)</f>
        <v>2</v>
      </c>
      <c r="I227" s="22">
        <f>VLOOKUP($A227,[1]maaltijden!$A$1:$IV$65536,21,FALSE)</f>
        <v>2</v>
      </c>
      <c r="J227" s="22">
        <f>VLOOKUP($A227,[1]maaltijden!$A$1:$IV$65536,18,FALSE)</f>
        <v>3</v>
      </c>
      <c r="K227" s="22">
        <f>VLOOKUP($A227,[1]maaltijden!$A$1:$IV$65536,17,FALSE)</f>
        <v>1.5</v>
      </c>
      <c r="L227" s="22">
        <f>VLOOKUP($A227,[1]maaltijden!$A$1:$IV$65536,20,FALSE)</f>
        <v>1750</v>
      </c>
      <c r="M227" s="22">
        <f>VLOOKUP($A227,[1]maaltijden!$A$1:$IV$65536,22,FALSE)</f>
        <v>1750</v>
      </c>
      <c r="N227" s="135"/>
      <c r="O227" s="50"/>
      <c r="P227" s="19">
        <v>0</v>
      </c>
      <c r="Q227" s="20">
        <v>1</v>
      </c>
      <c r="R227" s="21">
        <v>0</v>
      </c>
      <c r="S227" s="19">
        <v>0</v>
      </c>
      <c r="T227" s="20">
        <v>1</v>
      </c>
      <c r="U227" s="19"/>
      <c r="V227" s="20"/>
      <c r="W227" s="20"/>
      <c r="X227" s="20"/>
      <c r="Y227" s="20"/>
      <c r="Z227" s="20"/>
      <c r="AA227" s="20"/>
      <c r="AB227" s="49"/>
      <c r="AC227" s="49"/>
      <c r="AD227" s="49"/>
      <c r="AE227" s="49"/>
      <c r="AF227" s="49"/>
      <c r="AG227" s="161">
        <v>0</v>
      </c>
      <c r="AH227" s="20"/>
      <c r="AI227" s="168">
        <v>1</v>
      </c>
      <c r="AJ227" s="20"/>
      <c r="AK227" s="20"/>
      <c r="AL227" s="21"/>
      <c r="AM227" s="19">
        <v>0</v>
      </c>
      <c r="AN227" s="20">
        <f>IFERROR(INDEX([2]lijnopstellingsfiche!$AP$1:$AP$65536,MATCH(A227,[2]lijnopstellingsfiche!$AQ$1:$AQ$65536,0)),"")</f>
        <v>1</v>
      </c>
      <c r="AO227" s="20">
        <v>0</v>
      </c>
      <c r="AP227" s="20">
        <v>0</v>
      </c>
      <c r="AQ227" s="20">
        <v>2</v>
      </c>
      <c r="AR227" s="20">
        <v>0</v>
      </c>
      <c r="AS227" s="20">
        <v>0</v>
      </c>
      <c r="AT227" s="20">
        <v>1</v>
      </c>
      <c r="AU227" s="20">
        <v>0</v>
      </c>
      <c r="AV227" s="23">
        <v>0</v>
      </c>
      <c r="AW227" s="108">
        <v>0</v>
      </c>
      <c r="AX227" s="108">
        <v>0</v>
      </c>
      <c r="AY227" s="108">
        <v>1</v>
      </c>
      <c r="AZ227" s="108">
        <v>0</v>
      </c>
      <c r="BA227" s="114">
        <v>1</v>
      </c>
      <c r="BB227" s="20">
        <v>0</v>
      </c>
      <c r="BC227" s="113">
        <v>0</v>
      </c>
      <c r="BD227" s="200" t="str">
        <f>VLOOKUP($A227,'[3]allergenen 6nr'!$A$1:$O$1310,3,FALSE)</f>
        <v>-</v>
      </c>
      <c r="BE227" s="201" t="str">
        <f>VLOOKUP($A227,'[3]allergenen 6nr'!$A$1:$O$1310,4,FALSE)</f>
        <v>X</v>
      </c>
      <c r="BF227" s="201" t="str">
        <f>VLOOKUP($A227,'[3]allergenen 6nr'!$A$1:$O$1310,5,FALSE)</f>
        <v>-</v>
      </c>
      <c r="BG227" s="201" t="str">
        <f>VLOOKUP($A227,'[3]allergenen 6nr'!$A$1:$O$1310,6,FALSE)</f>
        <v>-</v>
      </c>
      <c r="BH227" s="201" t="str">
        <f>VLOOKUP($A227,'[3]allergenen 6nr'!$A$1:$O$1310,7,FALSE)</f>
        <v>+</v>
      </c>
      <c r="BI227" s="201" t="str">
        <f>VLOOKUP($A227,'[3]allergenen 6nr'!$A$1:$O$1310,8,FALSE)</f>
        <v>-</v>
      </c>
      <c r="BJ227" s="201" t="str">
        <f>VLOOKUP($A227,'[3]allergenen 6nr'!$A$1:$O$1310,9,FALSE)</f>
        <v>-</v>
      </c>
      <c r="BK227" s="201" t="str">
        <f>VLOOKUP($A227,'[3]allergenen 6nr'!$A$1:$O$1310,10,FALSE)</f>
        <v>-</v>
      </c>
      <c r="BL227" s="201" t="str">
        <f>VLOOKUP($A227,'[3]allergenen 6nr'!$A$1:$O$1310,11,FALSE)</f>
        <v>+</v>
      </c>
      <c r="BM227" s="201" t="str">
        <f>VLOOKUP($A227,'[3]allergenen 6nr'!$A$1:$O$1310,12,FALSE)</f>
        <v>-</v>
      </c>
      <c r="BN227" s="201" t="str">
        <f>VLOOKUP($A227,'[3]allergenen 6nr'!$A$1:$O$1310,13,FALSE)</f>
        <v>-</v>
      </c>
      <c r="BO227" s="201" t="str">
        <f>VLOOKUP($A227,'[3]allergenen 6nr'!$A$1:$O$1310,14,FALSE)</f>
        <v>-</v>
      </c>
      <c r="BP227" s="202" t="str">
        <f>VLOOKUP($A227,'[3]allergenen 6nr'!$A$1:$O$1310,15,FALSE)</f>
        <v>-</v>
      </c>
    </row>
    <row r="228" spans="1:68" x14ac:dyDescent="0.2">
      <c r="A228" s="54">
        <v>63596400</v>
      </c>
      <c r="B228" s="53" t="str">
        <f>VLOOKUP($A228,[1]maaltijden!$A$1:$IV$65536,4,FALSE)</f>
        <v>DMC KERVELSOEP 300G</v>
      </c>
      <c r="C228" s="46" t="str">
        <f>VLOOKUP($A228,[1]maaltijden!$A$1:$IV$65536,7,FALSE)</f>
        <v>C2187-1F</v>
      </c>
      <c r="D228" s="22" t="str">
        <f>VLOOKUP($A228,[1]maaltijden!$A$1:$IV$65536,10,FALSE)</f>
        <v>NVT</v>
      </c>
      <c r="E228" s="22" t="str">
        <f>VLOOKUP($A228,[1]maaltijden!$A$1:$IV$65536,13,FALSE)</f>
        <v>H11X24</v>
      </c>
      <c r="F228" s="20">
        <f t="shared" si="3"/>
        <v>0</v>
      </c>
      <c r="G228" s="20" t="str">
        <f>VLOOKUP($A228,[1]maaltijden!$A$1:$IV$65536,27,FALSE)</f>
        <v>! ! !</v>
      </c>
      <c r="H228" s="22">
        <f>VLOOKUP($A228,[1]maaltijden!$A$1:$IV$65536,21,FALSE)</f>
        <v>2</v>
      </c>
      <c r="I228" s="22">
        <f>VLOOKUP($A228,[1]maaltijden!$A$1:$IV$65536,21,FALSE)</f>
        <v>2</v>
      </c>
      <c r="J228" s="22">
        <f>VLOOKUP($A228,[1]maaltijden!$A$1:$IV$65536,18,FALSE)</f>
        <v>3</v>
      </c>
      <c r="K228" s="22">
        <f>VLOOKUP($A228,[1]maaltijden!$A$1:$IV$65536,17,FALSE)</f>
        <v>1.5</v>
      </c>
      <c r="L228" s="22">
        <f>VLOOKUP($A228,[1]maaltijden!$A$1:$IV$65536,20,FALSE)</f>
        <v>1750</v>
      </c>
      <c r="M228" s="22">
        <f>VLOOKUP($A228,[1]maaltijden!$A$1:$IV$65536,22,FALSE)</f>
        <v>1750</v>
      </c>
      <c r="N228" s="135"/>
      <c r="O228" s="50"/>
      <c r="P228" s="19">
        <v>0</v>
      </c>
      <c r="Q228" s="20">
        <v>1</v>
      </c>
      <c r="R228" s="21">
        <v>0</v>
      </c>
      <c r="S228" s="19">
        <v>0</v>
      </c>
      <c r="T228" s="20">
        <v>1</v>
      </c>
      <c r="U228" s="19">
        <v>1</v>
      </c>
      <c r="V228" s="20">
        <v>1</v>
      </c>
      <c r="W228" s="20">
        <v>1</v>
      </c>
      <c r="X228" s="20">
        <v>1</v>
      </c>
      <c r="Y228" s="20">
        <v>1</v>
      </c>
      <c r="Z228" s="20">
        <v>0</v>
      </c>
      <c r="AA228" s="20">
        <v>0</v>
      </c>
      <c r="AB228" s="49">
        <v>0</v>
      </c>
      <c r="AC228" s="49">
        <v>0</v>
      </c>
      <c r="AD228" s="49">
        <v>0</v>
      </c>
      <c r="AE228" s="49">
        <v>1</v>
      </c>
      <c r="AF228" s="49">
        <v>0</v>
      </c>
      <c r="AG228" s="161">
        <v>0</v>
      </c>
      <c r="AH228" s="162">
        <v>0</v>
      </c>
      <c r="AI228" s="162">
        <v>1</v>
      </c>
      <c r="AJ228" s="162">
        <v>0</v>
      </c>
      <c r="AK228" s="162">
        <v>0</v>
      </c>
      <c r="AL228" s="163">
        <v>0</v>
      </c>
      <c r="AM228" s="19">
        <v>0</v>
      </c>
      <c r="AN228" s="20" t="str">
        <f>IFERROR(INDEX([2]lijnopstellingsfiche!$AP$1:$AP$65536,MATCH(A228,[2]lijnopstellingsfiche!$AQ$1:$AQ$65536,0)),"")</f>
        <v>-</v>
      </c>
      <c r="AO228" s="20">
        <v>0</v>
      </c>
      <c r="AP228" s="20">
        <v>0</v>
      </c>
      <c r="AQ228" s="20">
        <v>2</v>
      </c>
      <c r="AR228" s="20">
        <v>0</v>
      </c>
      <c r="AS228" s="20">
        <v>0</v>
      </c>
      <c r="AT228" s="20">
        <v>0</v>
      </c>
      <c r="AU228" s="20">
        <v>0</v>
      </c>
      <c r="AV228" s="23">
        <v>0</v>
      </c>
      <c r="AW228" s="108">
        <v>0</v>
      </c>
      <c r="AX228" s="108">
        <v>0</v>
      </c>
      <c r="AY228" s="108">
        <v>1</v>
      </c>
      <c r="AZ228" s="108">
        <v>0</v>
      </c>
      <c r="BA228" s="114">
        <v>1</v>
      </c>
      <c r="BB228" s="20">
        <v>0</v>
      </c>
      <c r="BC228" s="113">
        <v>0</v>
      </c>
      <c r="BD228" s="200" t="str">
        <f>VLOOKUP($A228,'[3]allergenen 6nr'!$A$1:$O$1310,3,FALSE)</f>
        <v>-</v>
      </c>
      <c r="BE228" s="201" t="str">
        <f>VLOOKUP($A228,'[3]allergenen 6nr'!$A$1:$O$1310,4,FALSE)</f>
        <v>X</v>
      </c>
      <c r="BF228" s="201" t="str">
        <f>VLOOKUP($A228,'[3]allergenen 6nr'!$A$1:$O$1310,5,FALSE)</f>
        <v>-</v>
      </c>
      <c r="BG228" s="201" t="str">
        <f>VLOOKUP($A228,'[3]allergenen 6nr'!$A$1:$O$1310,6,FALSE)</f>
        <v>-</v>
      </c>
      <c r="BH228" s="201" t="str">
        <f>VLOOKUP($A228,'[3]allergenen 6nr'!$A$1:$O$1310,7,FALSE)</f>
        <v>+</v>
      </c>
      <c r="BI228" s="201" t="str">
        <f>VLOOKUP($A228,'[3]allergenen 6nr'!$A$1:$O$1310,8,FALSE)</f>
        <v>-</v>
      </c>
      <c r="BJ228" s="201" t="str">
        <f>VLOOKUP($A228,'[3]allergenen 6nr'!$A$1:$O$1310,9,FALSE)</f>
        <v>-</v>
      </c>
      <c r="BK228" s="201" t="str">
        <f>VLOOKUP($A228,'[3]allergenen 6nr'!$A$1:$O$1310,10,FALSE)</f>
        <v>-</v>
      </c>
      <c r="BL228" s="201" t="str">
        <f>VLOOKUP($A228,'[3]allergenen 6nr'!$A$1:$O$1310,11,FALSE)</f>
        <v>+</v>
      </c>
      <c r="BM228" s="201" t="str">
        <f>VLOOKUP($A228,'[3]allergenen 6nr'!$A$1:$O$1310,12,FALSE)</f>
        <v>-</v>
      </c>
      <c r="BN228" s="201" t="str">
        <f>VLOOKUP($A228,'[3]allergenen 6nr'!$A$1:$O$1310,13,FALSE)</f>
        <v>-</v>
      </c>
      <c r="BO228" s="201" t="str">
        <f>VLOOKUP($A228,'[3]allergenen 6nr'!$A$1:$O$1310,14,FALSE)</f>
        <v>-</v>
      </c>
      <c r="BP228" s="202" t="str">
        <f>VLOOKUP($A228,'[3]allergenen 6nr'!$A$1:$O$1310,15,FALSE)</f>
        <v>-</v>
      </c>
    </row>
    <row r="229" spans="1:68" x14ac:dyDescent="0.2">
      <c r="A229" s="89">
        <v>63596500</v>
      </c>
      <c r="B229" s="53" t="str">
        <f>VLOOKUP($A229,[1]maaltijden!$A$1:$IV$65536,4,FALSE)</f>
        <v>DMC TOMATENVELOUTE MET BALLETJES 300G</v>
      </c>
      <c r="C229" s="46" t="str">
        <f>VLOOKUP($A229,[1]maaltijden!$A$1:$IV$65536,7,FALSE)</f>
        <v>C2187-1F</v>
      </c>
      <c r="D229" s="22" t="str">
        <f>VLOOKUP($A229,[1]maaltijden!$A$1:$IV$65536,10,FALSE)</f>
        <v>NVT</v>
      </c>
      <c r="E229" s="22" t="str">
        <f>VLOOKUP($A229,[1]maaltijden!$A$1:$IV$65536,13,FALSE)</f>
        <v>H11X24</v>
      </c>
      <c r="F229" s="20">
        <f t="shared" si="3"/>
        <v>0</v>
      </c>
      <c r="G229" s="20" t="str">
        <f>VLOOKUP($A229,[1]maaltijden!$A$1:$IV$65536,27,FALSE)</f>
        <v>! ! !</v>
      </c>
      <c r="H229" s="22">
        <f>VLOOKUP($A229,[1]maaltijden!$A$1:$IV$65536,21,FALSE)</f>
        <v>2</v>
      </c>
      <c r="I229" s="22">
        <f>VLOOKUP($A229,[1]maaltijden!$A$1:$IV$65536,21,FALSE)</f>
        <v>2</v>
      </c>
      <c r="J229" s="22">
        <f>VLOOKUP($A229,[1]maaltijden!$A$1:$IV$65536,18,FALSE)</f>
        <v>3</v>
      </c>
      <c r="K229" s="22">
        <f>VLOOKUP($A229,[1]maaltijden!$A$1:$IV$65536,17,FALSE)</f>
        <v>1.5</v>
      </c>
      <c r="L229" s="22">
        <f>VLOOKUP($A229,[1]maaltijden!$A$1:$IV$65536,20,FALSE)</f>
        <v>2000</v>
      </c>
      <c r="M229" s="22">
        <f>VLOOKUP($A229,[1]maaltijden!$A$1:$IV$65536,22,FALSE)</f>
        <v>2000</v>
      </c>
      <c r="N229" s="135"/>
      <c r="O229" s="50">
        <v>63990500</v>
      </c>
      <c r="P229" s="19">
        <v>0</v>
      </c>
      <c r="Q229" s="20">
        <v>1</v>
      </c>
      <c r="R229" s="21">
        <v>0</v>
      </c>
      <c r="S229" s="19">
        <v>0</v>
      </c>
      <c r="T229" s="20">
        <v>1</v>
      </c>
      <c r="U229" s="19">
        <v>0</v>
      </c>
      <c r="V229" s="20">
        <v>1</v>
      </c>
      <c r="W229" s="20">
        <v>1</v>
      </c>
      <c r="X229" s="20">
        <v>1</v>
      </c>
      <c r="Y229" s="20">
        <v>1</v>
      </c>
      <c r="Z229" s="20">
        <v>0</v>
      </c>
      <c r="AA229" s="20">
        <v>0</v>
      </c>
      <c r="AB229" s="49">
        <v>0</v>
      </c>
      <c r="AC229" s="49">
        <v>0</v>
      </c>
      <c r="AD229" s="49">
        <v>0</v>
      </c>
      <c r="AE229" s="49">
        <v>1</v>
      </c>
      <c r="AF229" s="49">
        <v>0</v>
      </c>
      <c r="AG229" s="161">
        <v>0</v>
      </c>
      <c r="AH229" s="162">
        <v>0</v>
      </c>
      <c r="AI229" s="162">
        <v>1</v>
      </c>
      <c r="AJ229" s="162">
        <v>0</v>
      </c>
      <c r="AK229" s="162">
        <v>0</v>
      </c>
      <c r="AL229" s="163">
        <v>0</v>
      </c>
      <c r="AM229" s="19">
        <v>0</v>
      </c>
      <c r="AN229" s="20">
        <f>IFERROR(INDEX([2]lijnopstellingsfiche!$AP$1:$AP$65536,MATCH(A229,[2]lijnopstellingsfiche!$AQ$1:$AQ$65536,0)),"")</f>
        <v>1</v>
      </c>
      <c r="AO229" s="20">
        <v>0</v>
      </c>
      <c r="AP229" s="20">
        <v>0</v>
      </c>
      <c r="AQ229" s="20">
        <v>2</v>
      </c>
      <c r="AR229" s="20">
        <v>0</v>
      </c>
      <c r="AS229" s="20">
        <v>0</v>
      </c>
      <c r="AT229" s="20">
        <v>1</v>
      </c>
      <c r="AU229" s="20">
        <v>0</v>
      </c>
      <c r="AV229" s="23">
        <v>0</v>
      </c>
      <c r="AW229" s="108">
        <v>0</v>
      </c>
      <c r="AX229" s="108">
        <v>0</v>
      </c>
      <c r="AY229" s="108">
        <v>1</v>
      </c>
      <c r="AZ229" s="108">
        <v>0</v>
      </c>
      <c r="BA229" s="114">
        <v>1</v>
      </c>
      <c r="BB229" s="20">
        <v>0</v>
      </c>
      <c r="BC229" s="113">
        <v>0</v>
      </c>
      <c r="BD229" s="200" t="str">
        <f>VLOOKUP($A229,'[3]allergenen 6nr'!$A$1:$O$1310,3,FALSE)</f>
        <v>-</v>
      </c>
      <c r="BE229" s="201" t="str">
        <f>VLOOKUP($A229,'[3]allergenen 6nr'!$A$1:$O$1310,4,FALSE)</f>
        <v>X</v>
      </c>
      <c r="BF229" s="201" t="str">
        <f>VLOOKUP($A229,'[3]allergenen 6nr'!$A$1:$O$1310,5,FALSE)</f>
        <v>+</v>
      </c>
      <c r="BG229" s="201" t="str">
        <f>VLOOKUP($A229,'[3]allergenen 6nr'!$A$1:$O$1310,6,FALSE)</f>
        <v>X</v>
      </c>
      <c r="BH229" s="201" t="str">
        <f>VLOOKUP($A229,'[3]allergenen 6nr'!$A$1:$O$1310,7,FALSE)</f>
        <v>+</v>
      </c>
      <c r="BI229" s="201" t="str">
        <f>VLOOKUP($A229,'[3]allergenen 6nr'!$A$1:$O$1310,8,FALSE)</f>
        <v>X</v>
      </c>
      <c r="BJ229" s="201" t="str">
        <f>VLOOKUP($A229,'[3]allergenen 6nr'!$A$1:$O$1310,9,FALSE)</f>
        <v>-</v>
      </c>
      <c r="BK229" s="201" t="str">
        <f>VLOOKUP($A229,'[3]allergenen 6nr'!$A$1:$O$1310,10,FALSE)</f>
        <v>X</v>
      </c>
      <c r="BL229" s="201" t="str">
        <f>VLOOKUP($A229,'[3]allergenen 6nr'!$A$1:$O$1310,11,FALSE)</f>
        <v>+</v>
      </c>
      <c r="BM229" s="201" t="str">
        <f>VLOOKUP($A229,'[3]allergenen 6nr'!$A$1:$O$1310,12,FALSE)</f>
        <v>-</v>
      </c>
      <c r="BN229" s="201" t="str">
        <f>VLOOKUP($A229,'[3]allergenen 6nr'!$A$1:$O$1310,13,FALSE)</f>
        <v>X</v>
      </c>
      <c r="BO229" s="201" t="str">
        <f>VLOOKUP($A229,'[3]allergenen 6nr'!$A$1:$O$1310,14,FALSE)</f>
        <v>X</v>
      </c>
      <c r="BP229" s="202" t="str">
        <f>VLOOKUP($A229,'[3]allergenen 6nr'!$A$1:$O$1310,15,FALSE)</f>
        <v>X</v>
      </c>
    </row>
    <row r="230" spans="1:68" x14ac:dyDescent="0.2">
      <c r="A230" s="54">
        <v>63596600</v>
      </c>
      <c r="B230" s="53" t="str">
        <f>VLOOKUP($A230,[1]maaltijden!$A$1:$IV$65536,4,FALSE)</f>
        <v>DMC CHAMPIGNONROOMSOEP 300G</v>
      </c>
      <c r="C230" s="46" t="str">
        <f>VLOOKUP($A230,[1]maaltijden!$A$1:$IV$65536,7,FALSE)</f>
        <v>C2187-1F</v>
      </c>
      <c r="D230" s="22" t="str">
        <f>VLOOKUP($A230,[1]maaltijden!$A$1:$IV$65536,10,FALSE)</f>
        <v>NVT</v>
      </c>
      <c r="E230" s="22" t="str">
        <f>VLOOKUP($A230,[1]maaltijden!$A$1:$IV$65536,13,FALSE)</f>
        <v>H11X24</v>
      </c>
      <c r="F230" s="20">
        <f t="shared" si="3"/>
        <v>0</v>
      </c>
      <c r="G230" s="20" t="str">
        <f>VLOOKUP($A230,[1]maaltijden!$A$1:$IV$65536,27,FALSE)</f>
        <v>! ! !</v>
      </c>
      <c r="H230" s="22">
        <f>VLOOKUP($A230,[1]maaltijden!$A$1:$IV$65536,21,FALSE)</f>
        <v>1</v>
      </c>
      <c r="I230" s="22">
        <f>VLOOKUP($A230,[1]maaltijden!$A$1:$IV$65536,21,FALSE)</f>
        <v>1</v>
      </c>
      <c r="J230" s="22">
        <f>VLOOKUP($A230,[1]maaltijden!$A$1:$IV$65536,18,FALSE)</f>
        <v>3</v>
      </c>
      <c r="K230" s="22">
        <f>VLOOKUP($A230,[1]maaltijden!$A$1:$IV$65536,17,FALSE)</f>
        <v>1.5</v>
      </c>
      <c r="L230" s="22">
        <f>VLOOKUP($A230,[1]maaltijden!$A$1:$IV$65536,20,FALSE)</f>
        <v>1750</v>
      </c>
      <c r="M230" s="22">
        <f>VLOOKUP($A230,[1]maaltijden!$A$1:$IV$65536,22,FALSE)</f>
        <v>1750</v>
      </c>
      <c r="N230" s="135"/>
      <c r="O230" s="50"/>
      <c r="P230" s="19">
        <v>0</v>
      </c>
      <c r="Q230" s="20">
        <v>1</v>
      </c>
      <c r="R230" s="21">
        <v>0</v>
      </c>
      <c r="S230" s="19">
        <v>0</v>
      </c>
      <c r="T230" s="20">
        <v>1</v>
      </c>
      <c r="U230" s="19"/>
      <c r="V230" s="20"/>
      <c r="W230" s="20"/>
      <c r="X230" s="20"/>
      <c r="Y230" s="20"/>
      <c r="Z230" s="20"/>
      <c r="AA230" s="20"/>
      <c r="AB230" s="49"/>
      <c r="AC230" s="49"/>
      <c r="AD230" s="49"/>
      <c r="AE230" s="49"/>
      <c r="AF230" s="49"/>
      <c r="AG230" s="161">
        <v>0</v>
      </c>
      <c r="AH230" s="20"/>
      <c r="AI230" s="168">
        <v>1</v>
      </c>
      <c r="AJ230" s="20"/>
      <c r="AK230" s="20"/>
      <c r="AL230" s="21"/>
      <c r="AM230" s="19">
        <v>0</v>
      </c>
      <c r="AN230" s="20" t="str">
        <f>IFERROR(INDEX([2]lijnopstellingsfiche!$AP$1:$AP$65536,MATCH(A230,[2]lijnopstellingsfiche!$AQ$1:$AQ$65536,0)),"")</f>
        <v>-</v>
      </c>
      <c r="AO230" s="20">
        <v>0</v>
      </c>
      <c r="AP230" s="20">
        <v>0</v>
      </c>
      <c r="AQ230" s="20">
        <v>2</v>
      </c>
      <c r="AR230" s="20">
        <v>0</v>
      </c>
      <c r="AS230" s="20">
        <v>0</v>
      </c>
      <c r="AT230" s="20">
        <v>0</v>
      </c>
      <c r="AU230" s="20">
        <v>0</v>
      </c>
      <c r="AV230" s="23">
        <v>0</v>
      </c>
      <c r="AW230" s="108">
        <v>0</v>
      </c>
      <c r="AX230" s="108">
        <v>0</v>
      </c>
      <c r="AY230" s="108">
        <v>1</v>
      </c>
      <c r="AZ230" s="108">
        <v>0</v>
      </c>
      <c r="BA230" s="114">
        <v>1</v>
      </c>
      <c r="BB230" s="20">
        <v>0</v>
      </c>
      <c r="BC230" s="113">
        <v>0</v>
      </c>
      <c r="BD230" s="200" t="str">
        <f>VLOOKUP($A230,'[3]allergenen 6nr'!$A$1:$O$1310,3,FALSE)</f>
        <v>-</v>
      </c>
      <c r="BE230" s="201" t="str">
        <f>VLOOKUP($A230,'[3]allergenen 6nr'!$A$1:$O$1310,4,FALSE)</f>
        <v>X</v>
      </c>
      <c r="BF230" s="201" t="str">
        <f>VLOOKUP($A230,'[3]allergenen 6nr'!$A$1:$O$1310,5,FALSE)</f>
        <v>+</v>
      </c>
      <c r="BG230" s="201" t="str">
        <f>VLOOKUP($A230,'[3]allergenen 6nr'!$A$1:$O$1310,6,FALSE)</f>
        <v>X</v>
      </c>
      <c r="BH230" s="201" t="str">
        <f>VLOOKUP($A230,'[3]allergenen 6nr'!$A$1:$O$1310,7,FALSE)</f>
        <v>+</v>
      </c>
      <c r="BI230" s="201" t="str">
        <f>VLOOKUP($A230,'[3]allergenen 6nr'!$A$1:$O$1310,8,FALSE)</f>
        <v>X</v>
      </c>
      <c r="BJ230" s="201" t="str">
        <f>VLOOKUP($A230,'[3]allergenen 6nr'!$A$1:$O$1310,9,FALSE)</f>
        <v>-</v>
      </c>
      <c r="BK230" s="201" t="str">
        <f>VLOOKUP($A230,'[3]allergenen 6nr'!$A$1:$O$1310,10,FALSE)</f>
        <v>-</v>
      </c>
      <c r="BL230" s="201" t="str">
        <f>VLOOKUP($A230,'[3]allergenen 6nr'!$A$1:$O$1310,11,FALSE)</f>
        <v>+</v>
      </c>
      <c r="BM230" s="201" t="str">
        <f>VLOOKUP($A230,'[3]allergenen 6nr'!$A$1:$O$1310,12,FALSE)</f>
        <v>-</v>
      </c>
      <c r="BN230" s="201" t="str">
        <f>VLOOKUP($A230,'[3]allergenen 6nr'!$A$1:$O$1310,13,FALSE)</f>
        <v>X</v>
      </c>
      <c r="BO230" s="201" t="str">
        <f>VLOOKUP($A230,'[3]allergenen 6nr'!$A$1:$O$1310,14,FALSE)</f>
        <v>-</v>
      </c>
      <c r="BP230" s="202" t="str">
        <f>VLOOKUP($A230,'[3]allergenen 6nr'!$A$1:$O$1310,15,FALSE)</f>
        <v>-</v>
      </c>
    </row>
    <row r="231" spans="1:68" x14ac:dyDescent="0.2">
      <c r="A231" s="54">
        <v>63596700</v>
      </c>
      <c r="B231" s="53" t="str">
        <f>VLOOKUP($A231,[1]maaltijden!$A$1:$IV$65536,4,FALSE)</f>
        <v>DMC GROENTESOEP MET BALLETJES 300G</v>
      </c>
      <c r="C231" s="46" t="str">
        <f>VLOOKUP($A231,[1]maaltijden!$A$1:$IV$65536,7,FALSE)</f>
        <v>C2187-1F</v>
      </c>
      <c r="D231" s="22" t="str">
        <f>VLOOKUP($A231,[1]maaltijden!$A$1:$IV$65536,10,FALSE)</f>
        <v>NVT</v>
      </c>
      <c r="E231" s="22" t="str">
        <f>VLOOKUP($A231,[1]maaltijden!$A$1:$IV$65536,13,FALSE)</f>
        <v>H11X24</v>
      </c>
      <c r="F231" s="20">
        <f t="shared" si="3"/>
        <v>0</v>
      </c>
      <c r="G231" s="20" t="str">
        <f>VLOOKUP($A231,[1]maaltijden!$A$1:$IV$65536,27,FALSE)</f>
        <v>! ! !</v>
      </c>
      <c r="H231" s="22">
        <f>VLOOKUP($A231,[1]maaltijden!$A$1:$IV$65536,21,FALSE)</f>
        <v>3</v>
      </c>
      <c r="I231" s="22">
        <f>VLOOKUP($A231,[1]maaltijden!$A$1:$IV$65536,21,FALSE)</f>
        <v>3</v>
      </c>
      <c r="J231" s="22">
        <f>VLOOKUP($A231,[1]maaltijden!$A$1:$IV$65536,18,FALSE)</f>
        <v>3</v>
      </c>
      <c r="K231" s="22">
        <f>VLOOKUP($A231,[1]maaltijden!$A$1:$IV$65536,17,FALSE)</f>
        <v>1.5</v>
      </c>
      <c r="L231" s="22">
        <f>VLOOKUP($A231,[1]maaltijden!$A$1:$IV$65536,20,FALSE)</f>
        <v>2000</v>
      </c>
      <c r="M231" s="22">
        <f>VLOOKUP($A231,[1]maaltijden!$A$1:$IV$65536,22,FALSE)</f>
        <v>2000</v>
      </c>
      <c r="N231" s="135"/>
      <c r="O231" s="50"/>
      <c r="P231" s="19">
        <v>0</v>
      </c>
      <c r="Q231" s="20">
        <v>1</v>
      </c>
      <c r="R231" s="21">
        <v>0</v>
      </c>
      <c r="S231" s="19">
        <v>0</v>
      </c>
      <c r="T231" s="20">
        <v>1</v>
      </c>
      <c r="U231" s="19"/>
      <c r="V231" s="20"/>
      <c r="W231" s="20"/>
      <c r="X231" s="20"/>
      <c r="Y231" s="20"/>
      <c r="Z231" s="20"/>
      <c r="AA231" s="20"/>
      <c r="AB231" s="49"/>
      <c r="AC231" s="49"/>
      <c r="AD231" s="49"/>
      <c r="AE231" s="49"/>
      <c r="AF231" s="49"/>
      <c r="AG231" s="161">
        <v>0</v>
      </c>
      <c r="AH231" s="20"/>
      <c r="AI231" s="168">
        <v>1</v>
      </c>
      <c r="AJ231" s="20"/>
      <c r="AK231" s="20"/>
      <c r="AL231" s="21"/>
      <c r="AM231" s="19">
        <v>0</v>
      </c>
      <c r="AN231" s="20" t="str">
        <f>IFERROR(INDEX([2]lijnopstellingsfiche!$AP$1:$AP$65536,MATCH(A231,[2]lijnopstellingsfiche!$AQ$1:$AQ$65536,0)),"")</f>
        <v>-</v>
      </c>
      <c r="AO231" s="20">
        <v>0</v>
      </c>
      <c r="AP231" s="20">
        <v>0</v>
      </c>
      <c r="AQ231" s="20">
        <v>2</v>
      </c>
      <c r="AR231" s="20">
        <v>0</v>
      </c>
      <c r="AS231" s="20">
        <v>0</v>
      </c>
      <c r="AT231" s="20">
        <v>1</v>
      </c>
      <c r="AU231" s="20">
        <v>0</v>
      </c>
      <c r="AV231" s="23">
        <v>0</v>
      </c>
      <c r="AW231" s="108">
        <v>0</v>
      </c>
      <c r="AX231" s="108">
        <v>0</v>
      </c>
      <c r="AY231" s="108">
        <v>1</v>
      </c>
      <c r="AZ231" s="108">
        <v>0</v>
      </c>
      <c r="BA231" s="114">
        <v>1</v>
      </c>
      <c r="BB231" s="20">
        <v>0</v>
      </c>
      <c r="BC231" s="113">
        <v>0</v>
      </c>
      <c r="BD231" s="200" t="str">
        <f>VLOOKUP($A231,'[3]allergenen 6nr'!$A$1:$O$1310,3,FALSE)</f>
        <v>-</v>
      </c>
      <c r="BE231" s="201" t="str">
        <f>VLOOKUP($A231,'[3]allergenen 6nr'!$A$1:$O$1310,4,FALSE)</f>
        <v>X</v>
      </c>
      <c r="BF231" s="201" t="str">
        <f>VLOOKUP($A231,'[3]allergenen 6nr'!$A$1:$O$1310,5,FALSE)</f>
        <v>X</v>
      </c>
      <c r="BG231" s="201" t="str">
        <f>VLOOKUP($A231,'[3]allergenen 6nr'!$A$1:$O$1310,6,FALSE)</f>
        <v>-</v>
      </c>
      <c r="BH231" s="201" t="str">
        <f>VLOOKUP($A231,'[3]allergenen 6nr'!$A$1:$O$1310,7,FALSE)</f>
        <v>X</v>
      </c>
      <c r="BI231" s="201" t="str">
        <f>VLOOKUP($A231,'[3]allergenen 6nr'!$A$1:$O$1310,8,FALSE)</f>
        <v>X</v>
      </c>
      <c r="BJ231" s="201" t="str">
        <f>VLOOKUP($A231,'[3]allergenen 6nr'!$A$1:$O$1310,9,FALSE)</f>
        <v>-</v>
      </c>
      <c r="BK231" s="201" t="str">
        <f>VLOOKUP($A231,'[3]allergenen 6nr'!$A$1:$O$1310,10,FALSE)</f>
        <v>X</v>
      </c>
      <c r="BL231" s="201" t="str">
        <f>VLOOKUP($A231,'[3]allergenen 6nr'!$A$1:$O$1310,11,FALSE)</f>
        <v>+</v>
      </c>
      <c r="BM231" s="201" t="str">
        <f>VLOOKUP($A231,'[3]allergenen 6nr'!$A$1:$O$1310,12,FALSE)</f>
        <v>-</v>
      </c>
      <c r="BN231" s="201" t="str">
        <f>VLOOKUP($A231,'[3]allergenen 6nr'!$A$1:$O$1310,13,FALSE)</f>
        <v>X</v>
      </c>
      <c r="BO231" s="201" t="str">
        <f>VLOOKUP($A231,'[3]allergenen 6nr'!$A$1:$O$1310,14,FALSE)</f>
        <v>X</v>
      </c>
      <c r="BP231" s="202" t="str">
        <f>VLOOKUP($A231,'[3]allergenen 6nr'!$A$1:$O$1310,15,FALSE)</f>
        <v>X</v>
      </c>
    </row>
    <row r="232" spans="1:68" x14ac:dyDescent="0.2">
      <c r="A232" s="54">
        <v>63596800</v>
      </c>
      <c r="B232" s="53" t="str">
        <f>VLOOKUP($A232,[1]maaltijden!$A$1:$IV$65536,4,FALSE)</f>
        <v>DMC KIPPENSOEP MET KIPPENSTUKJES 300G</v>
      </c>
      <c r="C232" s="46" t="str">
        <f>VLOOKUP($A232,[1]maaltijden!$A$1:$IV$65536,7,FALSE)</f>
        <v>C2187-1F</v>
      </c>
      <c r="D232" s="22" t="str">
        <f>VLOOKUP($A232,[1]maaltijden!$A$1:$IV$65536,10,FALSE)</f>
        <v>NVT</v>
      </c>
      <c r="E232" s="22" t="str">
        <f>VLOOKUP($A232,[1]maaltijden!$A$1:$IV$65536,13,FALSE)</f>
        <v>H11X24</v>
      </c>
      <c r="F232" s="20">
        <f t="shared" si="3"/>
        <v>0</v>
      </c>
      <c r="G232" s="20" t="str">
        <f>VLOOKUP($A232,[1]maaltijden!$A$1:$IV$65536,27,FALSE)</f>
        <v>! ! !</v>
      </c>
      <c r="H232" s="22">
        <f>VLOOKUP($A232,[1]maaltijden!$A$1:$IV$65536,21,FALSE)</f>
        <v>4</v>
      </c>
      <c r="I232" s="22">
        <f>VLOOKUP($A232,[1]maaltijden!$A$1:$IV$65536,21,FALSE)</f>
        <v>4</v>
      </c>
      <c r="J232" s="22">
        <f>VLOOKUP($A232,[1]maaltijden!$A$1:$IV$65536,18,FALSE)</f>
        <v>3</v>
      </c>
      <c r="K232" s="22">
        <f>VLOOKUP($A232,[1]maaltijden!$A$1:$IV$65536,17,FALSE)</f>
        <v>1.5</v>
      </c>
      <c r="L232" s="22">
        <f>VLOOKUP($A232,[1]maaltijden!$A$1:$IV$65536,20,FALSE)</f>
        <v>1750</v>
      </c>
      <c r="M232" s="22">
        <f>VLOOKUP($A232,[1]maaltijden!$A$1:$IV$65536,22,FALSE)</f>
        <v>1750</v>
      </c>
      <c r="N232" s="135"/>
      <c r="O232" s="50">
        <v>63990800</v>
      </c>
      <c r="P232" s="19">
        <v>0</v>
      </c>
      <c r="Q232" s="20">
        <v>1</v>
      </c>
      <c r="R232" s="21">
        <v>0</v>
      </c>
      <c r="S232" s="19">
        <v>0</v>
      </c>
      <c r="T232" s="20">
        <v>1</v>
      </c>
      <c r="U232" s="19"/>
      <c r="V232" s="20"/>
      <c r="W232" s="20"/>
      <c r="X232" s="20"/>
      <c r="Y232" s="20"/>
      <c r="Z232" s="20"/>
      <c r="AA232" s="20"/>
      <c r="AB232" s="49"/>
      <c r="AC232" s="49"/>
      <c r="AD232" s="49"/>
      <c r="AE232" s="49"/>
      <c r="AF232" s="49"/>
      <c r="AG232" s="161">
        <v>0</v>
      </c>
      <c r="AH232" s="20"/>
      <c r="AI232" s="168">
        <v>1</v>
      </c>
      <c r="AJ232" s="20"/>
      <c r="AK232" s="20"/>
      <c r="AL232" s="21"/>
      <c r="AM232" s="19">
        <v>0</v>
      </c>
      <c r="AN232" s="20" t="str">
        <f>IFERROR(INDEX([2]lijnopstellingsfiche!$AP$1:$AP$65536,MATCH(A232,[2]lijnopstellingsfiche!$AQ$1:$AQ$65536,0)),"")</f>
        <v>-</v>
      </c>
      <c r="AO232" s="20">
        <v>0</v>
      </c>
      <c r="AP232" s="20">
        <v>0</v>
      </c>
      <c r="AQ232" s="20">
        <v>2</v>
      </c>
      <c r="AR232" s="20">
        <v>0</v>
      </c>
      <c r="AS232" s="20">
        <v>0</v>
      </c>
      <c r="AT232" s="20">
        <v>0</v>
      </c>
      <c r="AU232" s="20">
        <v>0</v>
      </c>
      <c r="AV232" s="23">
        <v>0</v>
      </c>
      <c r="AW232" s="108">
        <v>0</v>
      </c>
      <c r="AX232" s="108">
        <v>0</v>
      </c>
      <c r="AY232" s="108">
        <v>1</v>
      </c>
      <c r="AZ232" s="108">
        <v>0</v>
      </c>
      <c r="BA232" s="114">
        <v>1</v>
      </c>
      <c r="BB232" s="20">
        <v>0</v>
      </c>
      <c r="BC232" s="113">
        <v>0</v>
      </c>
      <c r="BD232" s="200" t="str">
        <f>VLOOKUP($A232,'[3]allergenen 6nr'!$A$1:$O$1310,3,FALSE)</f>
        <v>-</v>
      </c>
      <c r="BE232" s="201" t="str">
        <f>VLOOKUP($A232,'[3]allergenen 6nr'!$A$1:$O$1310,4,FALSE)</f>
        <v>X</v>
      </c>
      <c r="BF232" s="201" t="str">
        <f>VLOOKUP($A232,'[3]allergenen 6nr'!$A$1:$O$1310,5,FALSE)</f>
        <v>+</v>
      </c>
      <c r="BG232" s="201" t="str">
        <f>VLOOKUP($A232,'[3]allergenen 6nr'!$A$1:$O$1310,6,FALSE)</f>
        <v>X</v>
      </c>
      <c r="BH232" s="201" t="str">
        <f>VLOOKUP($A232,'[3]allergenen 6nr'!$A$1:$O$1310,7,FALSE)</f>
        <v>+</v>
      </c>
      <c r="BI232" s="201" t="str">
        <f>VLOOKUP($A232,'[3]allergenen 6nr'!$A$1:$O$1310,8,FALSE)</f>
        <v>X</v>
      </c>
      <c r="BJ232" s="201" t="str">
        <f>VLOOKUP($A232,'[3]allergenen 6nr'!$A$1:$O$1310,9,FALSE)</f>
        <v>-</v>
      </c>
      <c r="BK232" s="201" t="str">
        <f>VLOOKUP($A232,'[3]allergenen 6nr'!$A$1:$O$1310,10,FALSE)</f>
        <v>-</v>
      </c>
      <c r="BL232" s="201" t="str">
        <f>VLOOKUP($A232,'[3]allergenen 6nr'!$A$1:$O$1310,11,FALSE)</f>
        <v>+</v>
      </c>
      <c r="BM232" s="201" t="str">
        <f>VLOOKUP($A232,'[3]allergenen 6nr'!$A$1:$O$1310,12,FALSE)</f>
        <v>-</v>
      </c>
      <c r="BN232" s="201" t="str">
        <f>VLOOKUP($A232,'[3]allergenen 6nr'!$A$1:$O$1310,13,FALSE)</f>
        <v>X</v>
      </c>
      <c r="BO232" s="201" t="str">
        <f>VLOOKUP($A232,'[3]allergenen 6nr'!$A$1:$O$1310,14,FALSE)</f>
        <v>-</v>
      </c>
      <c r="BP232" s="202" t="str">
        <f>VLOOKUP($A232,'[3]allergenen 6nr'!$A$1:$O$1310,15,FALSE)</f>
        <v>-</v>
      </c>
    </row>
    <row r="233" spans="1:68" x14ac:dyDescent="0.2">
      <c r="A233" s="54">
        <v>63597000</v>
      </c>
      <c r="B233" s="53" t="str">
        <f>VLOOKUP($A233,[1]maaltijden!$A$1:$IV$65536,4,FALSE)</f>
        <v>DMC POMPOENSOEP 300G</v>
      </c>
      <c r="C233" s="46" t="str">
        <f>VLOOKUP($A233,[1]maaltijden!$A$1:$IV$65536,7,FALSE)</f>
        <v>C2187-1F</v>
      </c>
      <c r="D233" s="22" t="str">
        <f>VLOOKUP($A233,[1]maaltijden!$A$1:$IV$65536,10,FALSE)</f>
        <v>NVT</v>
      </c>
      <c r="E233" s="22" t="str">
        <f>VLOOKUP($A233,[1]maaltijden!$A$1:$IV$65536,13,FALSE)</f>
        <v>H11X24</v>
      </c>
      <c r="F233" s="20">
        <f t="shared" si="3"/>
        <v>0</v>
      </c>
      <c r="G233" s="20" t="str">
        <f>VLOOKUP($A233,[1]maaltijden!$A$1:$IV$65536,27,FALSE)</f>
        <v>! ! !</v>
      </c>
      <c r="H233" s="22">
        <f>VLOOKUP($A233,[1]maaltijden!$A$1:$IV$65536,21,FALSE)</f>
        <v>2</v>
      </c>
      <c r="I233" s="22">
        <f>VLOOKUP($A233,[1]maaltijden!$A$1:$IV$65536,21,FALSE)</f>
        <v>2</v>
      </c>
      <c r="J233" s="22">
        <f>VLOOKUP($A233,[1]maaltijden!$A$1:$IV$65536,18,FALSE)</f>
        <v>3</v>
      </c>
      <c r="K233" s="22">
        <f>VLOOKUP($A233,[1]maaltijden!$A$1:$IV$65536,17,FALSE)</f>
        <v>1.5</v>
      </c>
      <c r="L233" s="22">
        <f>VLOOKUP($A233,[1]maaltijden!$A$1:$IV$65536,20,FALSE)</f>
        <v>1750</v>
      </c>
      <c r="M233" s="22">
        <f>VLOOKUP($A233,[1]maaltijden!$A$1:$IV$65536,22,FALSE)</f>
        <v>1750</v>
      </c>
      <c r="N233" s="135"/>
      <c r="O233" s="50"/>
      <c r="P233" s="19">
        <v>0</v>
      </c>
      <c r="Q233" s="20">
        <v>1</v>
      </c>
      <c r="R233" s="21">
        <v>0</v>
      </c>
      <c r="S233" s="19">
        <v>0</v>
      </c>
      <c r="T233" s="20">
        <v>1</v>
      </c>
      <c r="U233" s="19"/>
      <c r="V233" s="20"/>
      <c r="W233" s="20"/>
      <c r="X233" s="20"/>
      <c r="Y233" s="20"/>
      <c r="Z233" s="20"/>
      <c r="AA233" s="20"/>
      <c r="AB233" s="49"/>
      <c r="AC233" s="49"/>
      <c r="AD233" s="49"/>
      <c r="AE233" s="49"/>
      <c r="AF233" s="49"/>
      <c r="AG233" s="161">
        <v>0</v>
      </c>
      <c r="AH233" s="20"/>
      <c r="AI233" s="168">
        <v>1</v>
      </c>
      <c r="AJ233" s="20"/>
      <c r="AK233" s="20"/>
      <c r="AL233" s="21"/>
      <c r="AM233" s="19">
        <v>0</v>
      </c>
      <c r="AN233" s="20" t="str">
        <f>IFERROR(INDEX([2]lijnopstellingsfiche!$AP$1:$AP$65536,MATCH(A233,[2]lijnopstellingsfiche!$AQ$1:$AQ$65536,0)),"")</f>
        <v>-</v>
      </c>
      <c r="AO233" s="20">
        <v>0</v>
      </c>
      <c r="AP233" s="20">
        <v>0</v>
      </c>
      <c r="AQ233" s="20">
        <v>2</v>
      </c>
      <c r="AR233" s="20">
        <v>0</v>
      </c>
      <c r="AS233" s="20">
        <v>0</v>
      </c>
      <c r="AT233" s="20">
        <v>0</v>
      </c>
      <c r="AU233" s="20">
        <v>0</v>
      </c>
      <c r="AV233" s="23">
        <v>0</v>
      </c>
      <c r="AW233" s="108">
        <v>0</v>
      </c>
      <c r="AX233" s="108">
        <v>0</v>
      </c>
      <c r="AY233" s="108">
        <v>1</v>
      </c>
      <c r="AZ233" s="108">
        <v>0</v>
      </c>
      <c r="BA233" s="114">
        <v>1</v>
      </c>
      <c r="BB233" s="20">
        <v>0</v>
      </c>
      <c r="BC233" s="113">
        <v>0</v>
      </c>
      <c r="BD233" s="200" t="str">
        <f>VLOOKUP($A233,'[3]allergenen 6nr'!$A$1:$O$1310,3,FALSE)</f>
        <v>-</v>
      </c>
      <c r="BE233" s="201" t="str">
        <f>VLOOKUP($A233,'[3]allergenen 6nr'!$A$1:$O$1310,4,FALSE)</f>
        <v>-</v>
      </c>
      <c r="BF233" s="201" t="str">
        <f>VLOOKUP($A233,'[3]allergenen 6nr'!$A$1:$O$1310,5,FALSE)</f>
        <v>X</v>
      </c>
      <c r="BG233" s="201" t="str">
        <f>VLOOKUP($A233,'[3]allergenen 6nr'!$A$1:$O$1310,6,FALSE)</f>
        <v>-</v>
      </c>
      <c r="BH233" s="201" t="str">
        <f>VLOOKUP($A233,'[3]allergenen 6nr'!$A$1:$O$1310,7,FALSE)</f>
        <v>+</v>
      </c>
      <c r="BI233" s="201" t="str">
        <f>VLOOKUP($A233,'[3]allergenen 6nr'!$A$1:$O$1310,8,FALSE)</f>
        <v>X</v>
      </c>
      <c r="BJ233" s="201" t="str">
        <f>VLOOKUP($A233,'[3]allergenen 6nr'!$A$1:$O$1310,9,FALSE)</f>
        <v>-</v>
      </c>
      <c r="BK233" s="201" t="str">
        <f>VLOOKUP($A233,'[3]allergenen 6nr'!$A$1:$O$1310,10,FALSE)</f>
        <v>-</v>
      </c>
      <c r="BL233" s="201" t="str">
        <f>VLOOKUP($A233,'[3]allergenen 6nr'!$A$1:$O$1310,11,FALSE)</f>
        <v>+</v>
      </c>
      <c r="BM233" s="201" t="str">
        <f>VLOOKUP($A233,'[3]allergenen 6nr'!$A$1:$O$1310,12,FALSE)</f>
        <v>-</v>
      </c>
      <c r="BN233" s="201" t="str">
        <f>VLOOKUP($A233,'[3]allergenen 6nr'!$A$1:$O$1310,13,FALSE)</f>
        <v>-</v>
      </c>
      <c r="BO233" s="201" t="str">
        <f>VLOOKUP($A233,'[3]allergenen 6nr'!$A$1:$O$1310,14,FALSE)</f>
        <v>-</v>
      </c>
      <c r="BP233" s="202" t="str">
        <f>VLOOKUP($A233,'[3]allergenen 6nr'!$A$1:$O$1310,15,FALSE)</f>
        <v>-</v>
      </c>
    </row>
    <row r="234" spans="1:68" x14ac:dyDescent="0.2">
      <c r="A234" s="54">
        <v>63597200</v>
      </c>
      <c r="B234" s="53" t="str">
        <f>VLOOKUP($A234,[1]maaltijden!$A$1:$IV$65536,4,FALSE)</f>
        <v>DMC FRANSE UIENSOEP 300G</v>
      </c>
      <c r="C234" s="46" t="str">
        <f>VLOOKUP($A234,[1]maaltijden!$A$1:$IV$65536,7,FALSE)</f>
        <v>C2187-1F</v>
      </c>
      <c r="D234" s="22" t="str">
        <f>VLOOKUP($A234,[1]maaltijden!$A$1:$IV$65536,10,FALSE)</f>
        <v>NVT</v>
      </c>
      <c r="E234" s="22" t="str">
        <f>VLOOKUP($A234,[1]maaltijden!$A$1:$IV$65536,13,FALSE)</f>
        <v>H11X24</v>
      </c>
      <c r="F234" s="20">
        <f t="shared" si="3"/>
        <v>0</v>
      </c>
      <c r="G234" s="20" t="str">
        <f>VLOOKUP($A234,[1]maaltijden!$A$1:$IV$65536,27,FALSE)</f>
        <v>! ! !</v>
      </c>
      <c r="H234" s="22">
        <f>VLOOKUP($A234,[1]maaltijden!$A$1:$IV$65536,21,FALSE)</f>
        <v>1</v>
      </c>
      <c r="I234" s="22">
        <f>VLOOKUP($A234,[1]maaltijden!$A$1:$IV$65536,21,FALSE)</f>
        <v>1</v>
      </c>
      <c r="J234" s="22">
        <f>VLOOKUP($A234,[1]maaltijden!$A$1:$IV$65536,18,FALSE)</f>
        <v>3</v>
      </c>
      <c r="K234" s="22">
        <f>VLOOKUP($A234,[1]maaltijden!$A$1:$IV$65536,17,FALSE)</f>
        <v>1.5</v>
      </c>
      <c r="L234" s="22">
        <f>VLOOKUP($A234,[1]maaltijden!$A$1:$IV$65536,20,FALSE)</f>
        <v>1750</v>
      </c>
      <c r="M234" s="22">
        <f>VLOOKUP($A234,[1]maaltijden!$A$1:$IV$65536,22,FALSE)</f>
        <v>1750</v>
      </c>
      <c r="N234" s="135"/>
      <c r="O234" s="50"/>
      <c r="P234" s="19">
        <v>0</v>
      </c>
      <c r="Q234" s="20">
        <v>1</v>
      </c>
      <c r="R234" s="21">
        <v>0</v>
      </c>
      <c r="S234" s="19">
        <v>0</v>
      </c>
      <c r="T234" s="20">
        <v>1</v>
      </c>
      <c r="U234" s="19"/>
      <c r="V234" s="20"/>
      <c r="W234" s="20"/>
      <c r="X234" s="20"/>
      <c r="Y234" s="20"/>
      <c r="Z234" s="20"/>
      <c r="AA234" s="20"/>
      <c r="AB234" s="49"/>
      <c r="AC234" s="49"/>
      <c r="AD234" s="49"/>
      <c r="AE234" s="49"/>
      <c r="AF234" s="49"/>
      <c r="AG234" s="161">
        <v>0</v>
      </c>
      <c r="AH234" s="20"/>
      <c r="AI234" s="168">
        <v>1</v>
      </c>
      <c r="AJ234" s="20"/>
      <c r="AK234" s="20"/>
      <c r="AL234" s="21"/>
      <c r="AM234" s="19">
        <v>0</v>
      </c>
      <c r="AN234" s="20" t="str">
        <f>IFERROR(INDEX([2]lijnopstellingsfiche!$AP$1:$AP$65536,MATCH(A234,[2]lijnopstellingsfiche!$AQ$1:$AQ$65536,0)),"")</f>
        <v>-</v>
      </c>
      <c r="AO234" s="20">
        <v>0</v>
      </c>
      <c r="AP234" s="20">
        <v>0</v>
      </c>
      <c r="AQ234" s="20">
        <v>2</v>
      </c>
      <c r="AR234" s="20">
        <v>0</v>
      </c>
      <c r="AS234" s="20">
        <v>0</v>
      </c>
      <c r="AT234" s="20">
        <v>0</v>
      </c>
      <c r="AU234" s="20">
        <v>0</v>
      </c>
      <c r="AV234" s="23">
        <v>0</v>
      </c>
      <c r="AW234" s="108">
        <v>0</v>
      </c>
      <c r="AX234" s="108">
        <v>0</v>
      </c>
      <c r="AY234" s="108">
        <v>1</v>
      </c>
      <c r="AZ234" s="108">
        <v>0</v>
      </c>
      <c r="BA234" s="114">
        <v>1</v>
      </c>
      <c r="BB234" s="20">
        <v>0</v>
      </c>
      <c r="BC234" s="113">
        <v>0</v>
      </c>
      <c r="BD234" s="200" t="str">
        <f>VLOOKUP($A234,'[3]allergenen 6nr'!$A$1:$O$1310,3,FALSE)</f>
        <v>-</v>
      </c>
      <c r="BE234" s="201" t="str">
        <f>VLOOKUP($A234,'[3]allergenen 6nr'!$A$1:$O$1310,4,FALSE)</f>
        <v>X</v>
      </c>
      <c r="BF234" s="201" t="str">
        <f>VLOOKUP($A234,'[3]allergenen 6nr'!$A$1:$O$1310,5,FALSE)</f>
        <v>-</v>
      </c>
      <c r="BG234" s="201" t="str">
        <f>VLOOKUP($A234,'[3]allergenen 6nr'!$A$1:$O$1310,6,FALSE)</f>
        <v>-</v>
      </c>
      <c r="BH234" s="201" t="str">
        <f>VLOOKUP($A234,'[3]allergenen 6nr'!$A$1:$O$1310,7,FALSE)</f>
        <v>-</v>
      </c>
      <c r="BI234" s="201" t="str">
        <f>VLOOKUP($A234,'[3]allergenen 6nr'!$A$1:$O$1310,8,FALSE)</f>
        <v>-</v>
      </c>
      <c r="BJ234" s="201" t="str">
        <f>VLOOKUP($A234,'[3]allergenen 6nr'!$A$1:$O$1310,9,FALSE)</f>
        <v>-</v>
      </c>
      <c r="BK234" s="201" t="str">
        <f>VLOOKUP($A234,'[3]allergenen 6nr'!$A$1:$O$1310,10,FALSE)</f>
        <v>-</v>
      </c>
      <c r="BL234" s="201" t="str">
        <f>VLOOKUP($A234,'[3]allergenen 6nr'!$A$1:$O$1310,11,FALSE)</f>
        <v>+</v>
      </c>
      <c r="BM234" s="201" t="str">
        <f>VLOOKUP($A234,'[3]allergenen 6nr'!$A$1:$O$1310,12,FALSE)</f>
        <v>-</v>
      </c>
      <c r="BN234" s="201" t="str">
        <f>VLOOKUP($A234,'[3]allergenen 6nr'!$A$1:$O$1310,13,FALSE)</f>
        <v>-</v>
      </c>
      <c r="BO234" s="201" t="str">
        <f>VLOOKUP($A234,'[3]allergenen 6nr'!$A$1:$O$1310,14,FALSE)</f>
        <v>-</v>
      </c>
      <c r="BP234" s="202" t="str">
        <f>VLOOKUP($A234,'[3]allergenen 6nr'!$A$1:$O$1310,15,FALSE)</f>
        <v>-</v>
      </c>
    </row>
    <row r="235" spans="1:68" x14ac:dyDescent="0.2">
      <c r="A235" s="89">
        <v>63804300</v>
      </c>
      <c r="B235" s="53" t="str">
        <f>VLOOKUP($A235,[1]maaltijden!$A$1:$IV$65536,4,FALSE)</f>
        <v>IGLO BE WITLOOFGRATIN HAM VERSE PUREE 450G</v>
      </c>
      <c r="C235" s="46" t="str">
        <f>VLOOKUP($A235,[1]maaltijden!$A$1:$IV$65536,7,FALSE)</f>
        <v>UK-59</v>
      </c>
      <c r="D235" s="22" t="str">
        <f>VLOOKUP($A235,[1]maaltijden!$A$1:$IV$65536,10,FALSE)</f>
        <v>H22</v>
      </c>
      <c r="E235" s="22" t="str">
        <f>VLOOKUP($A235,[1]maaltijden!$A$1:$IV$65536,13,FALSE)</f>
        <v>Shrink H22 X 6</v>
      </c>
      <c r="F235" s="20">
        <f t="shared" si="3"/>
        <v>0</v>
      </c>
      <c r="G235" s="20" t="str">
        <f>VLOOKUP($A235,[1]maaltijden!$A$1:$IV$65536,27,FALSE)</f>
        <v>! !</v>
      </c>
      <c r="H235" s="22">
        <f>VLOOKUP($A235,[1]maaltijden!$A$1:$IV$65536,21,FALSE)</f>
        <v>5</v>
      </c>
      <c r="I235" s="22">
        <f>VLOOKUP($A235,[1]maaltijden!$A$1:$IV$65536,21,FALSE)</f>
        <v>5</v>
      </c>
      <c r="J235" s="22">
        <f>VLOOKUP($A235,[1]maaltijden!$A$1:$IV$65536,18,FALSE)</f>
        <v>2</v>
      </c>
      <c r="K235" s="22">
        <f>VLOOKUP($A235,[1]maaltijden!$A$1:$IV$65536,17,FALSE)</f>
        <v>2</v>
      </c>
      <c r="L235" s="22">
        <f>VLOOKUP($A235,[1]maaltijden!$A$1:$IV$65536,20,FALSE)</f>
        <v>2500</v>
      </c>
      <c r="M235" s="22">
        <f>VLOOKUP($A235,[1]maaltijden!$A$1:$IV$65536,22,FALSE)</f>
        <v>2500</v>
      </c>
      <c r="N235" s="135"/>
      <c r="O235" s="50"/>
      <c r="P235" s="19">
        <v>1</v>
      </c>
      <c r="Q235" s="20">
        <v>0</v>
      </c>
      <c r="R235" s="21">
        <v>0</v>
      </c>
      <c r="S235" s="19">
        <v>1</v>
      </c>
      <c r="T235" s="20">
        <v>0</v>
      </c>
      <c r="U235" s="19">
        <v>0</v>
      </c>
      <c r="V235" s="20">
        <v>1</v>
      </c>
      <c r="W235" s="20">
        <v>1</v>
      </c>
      <c r="X235" s="20">
        <v>1</v>
      </c>
      <c r="Y235" s="20">
        <v>1</v>
      </c>
      <c r="Z235" s="20">
        <v>1</v>
      </c>
      <c r="AA235" s="20">
        <v>0</v>
      </c>
      <c r="AB235" s="49">
        <v>1</v>
      </c>
      <c r="AC235" s="49">
        <v>0</v>
      </c>
      <c r="AD235" s="49">
        <v>0</v>
      </c>
      <c r="AE235" s="49">
        <v>1</v>
      </c>
      <c r="AF235" s="49">
        <v>0</v>
      </c>
      <c r="AG235" s="161">
        <v>0</v>
      </c>
      <c r="AH235" s="162">
        <v>2</v>
      </c>
      <c r="AI235" s="162">
        <v>0</v>
      </c>
      <c r="AJ235" s="162">
        <v>0</v>
      </c>
      <c r="AK235" s="162">
        <v>0</v>
      </c>
      <c r="AL235" s="163">
        <v>0</v>
      </c>
      <c r="AM235" s="19">
        <v>0</v>
      </c>
      <c r="AN235" s="20" t="str">
        <f>IFERROR(INDEX([2]lijnopstellingsfiche!$AP$1:$AP$65536,MATCH(A235,[2]lijnopstellingsfiche!$AQ$1:$AQ$65536,0)),"")</f>
        <v>-</v>
      </c>
      <c r="AO235" s="20">
        <v>0</v>
      </c>
      <c r="AP235" s="20">
        <v>1</v>
      </c>
      <c r="AQ235" s="20">
        <v>1</v>
      </c>
      <c r="AR235" s="20">
        <v>1</v>
      </c>
      <c r="AS235" s="20">
        <v>0</v>
      </c>
      <c r="AT235" s="20">
        <v>0</v>
      </c>
      <c r="AU235" s="20">
        <v>2</v>
      </c>
      <c r="AV235" s="23">
        <v>0</v>
      </c>
      <c r="AW235" s="108">
        <v>1</v>
      </c>
      <c r="AX235" s="108">
        <v>1</v>
      </c>
      <c r="AY235" s="108">
        <v>0</v>
      </c>
      <c r="AZ235" s="108">
        <v>0</v>
      </c>
      <c r="BA235" s="114">
        <v>0</v>
      </c>
      <c r="BB235" s="20">
        <v>0</v>
      </c>
      <c r="BC235" s="113">
        <v>1</v>
      </c>
      <c r="BD235" s="200" t="str">
        <f>VLOOKUP($A235,'[3]allergenen 6nr'!$A$1:$O$1310,3,FALSE)</f>
        <v>-</v>
      </c>
      <c r="BE235" s="201" t="str">
        <f>VLOOKUP($A235,'[3]allergenen 6nr'!$A$1:$O$1310,4,FALSE)</f>
        <v>+</v>
      </c>
      <c r="BF235" s="201" t="str">
        <f>VLOOKUP($A235,'[3]allergenen 6nr'!$A$1:$O$1310,5,FALSE)</f>
        <v>+</v>
      </c>
      <c r="BG235" s="201" t="str">
        <f>VLOOKUP($A235,'[3]allergenen 6nr'!$A$1:$O$1310,6,FALSE)</f>
        <v>-</v>
      </c>
      <c r="BH235" s="201" t="str">
        <f>VLOOKUP($A235,'[3]allergenen 6nr'!$A$1:$O$1310,7,FALSE)</f>
        <v>+</v>
      </c>
      <c r="BI235" s="201" t="str">
        <f>VLOOKUP($A235,'[3]allergenen 6nr'!$A$1:$O$1310,8,FALSE)</f>
        <v>-</v>
      </c>
      <c r="BJ235" s="201" t="str">
        <f>VLOOKUP($A235,'[3]allergenen 6nr'!$A$1:$O$1310,9,FALSE)</f>
        <v>-</v>
      </c>
      <c r="BK235" s="201" t="str">
        <f>VLOOKUP($A235,'[3]allergenen 6nr'!$A$1:$O$1310,10,FALSE)</f>
        <v>-</v>
      </c>
      <c r="BL235" s="201" t="str">
        <f>VLOOKUP($A235,'[3]allergenen 6nr'!$A$1:$O$1310,11,FALSE)</f>
        <v>-</v>
      </c>
      <c r="BM235" s="201" t="str">
        <f>VLOOKUP($A235,'[3]allergenen 6nr'!$A$1:$O$1310,12,FALSE)</f>
        <v>-</v>
      </c>
      <c r="BN235" s="201" t="str">
        <f>VLOOKUP($A235,'[3]allergenen 6nr'!$A$1:$O$1310,13,FALSE)</f>
        <v>-</v>
      </c>
      <c r="BO235" s="201" t="str">
        <f>VLOOKUP($A235,'[3]allergenen 6nr'!$A$1:$O$1310,14,FALSE)</f>
        <v>-</v>
      </c>
      <c r="BP235" s="202" t="str">
        <f>VLOOKUP($A235,'[3]allergenen 6nr'!$A$1:$O$1310,15,FALSE)</f>
        <v>-</v>
      </c>
    </row>
    <row r="236" spans="1:68" x14ac:dyDescent="0.2">
      <c r="A236" s="89">
        <v>63805600</v>
      </c>
      <c r="B236" s="53" t="str">
        <f>VLOOKUP($A236,[1]maaltijden!$A$1:$IV$65536,4,FALSE)</f>
        <v>IGLO BE BRAADWORST WORTELSTAMPPOT 450G</v>
      </c>
      <c r="C236" s="46" t="str">
        <f>VLOOKUP($A236,[1]maaltijden!$A$1:$IV$65536,7,FALSE)</f>
        <v>UK-59</v>
      </c>
      <c r="D236" s="22" t="str">
        <f>VLOOKUP($A236,[1]maaltijden!$A$1:$IV$65536,10,FALSE)</f>
        <v>H22</v>
      </c>
      <c r="E236" s="22" t="str">
        <f>VLOOKUP($A236,[1]maaltijden!$A$1:$IV$65536,13,FALSE)</f>
        <v>Shrink H22 X 6</v>
      </c>
      <c r="F236" s="20">
        <f t="shared" si="3"/>
        <v>0</v>
      </c>
      <c r="G236" s="20" t="str">
        <f>VLOOKUP($A236,[1]maaltijden!$A$1:$IV$65536,27,FALSE)</f>
        <v>! !</v>
      </c>
      <c r="H236" s="22">
        <f>VLOOKUP($A236,[1]maaltijden!$A$1:$IV$65536,21,FALSE)</f>
        <v>4</v>
      </c>
      <c r="I236" s="22">
        <f>VLOOKUP($A236,[1]maaltijden!$A$1:$IV$65536,21,FALSE)</f>
        <v>4</v>
      </c>
      <c r="J236" s="22">
        <f>VLOOKUP($A236,[1]maaltijden!$A$1:$IV$65536,18,FALSE)</f>
        <v>2</v>
      </c>
      <c r="K236" s="22">
        <f>VLOOKUP($A236,[1]maaltijden!$A$1:$IV$65536,17,FALSE)</f>
        <v>3</v>
      </c>
      <c r="L236" s="22">
        <f>VLOOKUP($A236,[1]maaltijden!$A$1:$IV$65536,20,FALSE)</f>
        <v>3500</v>
      </c>
      <c r="M236" s="22">
        <f>VLOOKUP($A236,[1]maaltijden!$A$1:$IV$65536,22,FALSE)</f>
        <v>3500</v>
      </c>
      <c r="N236" s="135"/>
      <c r="O236" s="50"/>
      <c r="P236" s="19">
        <v>1</v>
      </c>
      <c r="Q236" s="20">
        <v>0</v>
      </c>
      <c r="R236" s="21">
        <v>0</v>
      </c>
      <c r="S236" s="19">
        <v>1</v>
      </c>
      <c r="T236" s="20">
        <v>0</v>
      </c>
      <c r="U236" s="19">
        <v>0</v>
      </c>
      <c r="V236" s="20">
        <v>1</v>
      </c>
      <c r="W236" s="20">
        <v>1</v>
      </c>
      <c r="X236" s="20">
        <v>1</v>
      </c>
      <c r="Y236" s="20">
        <v>1</v>
      </c>
      <c r="Z236" s="20">
        <v>0</v>
      </c>
      <c r="AA236" s="20">
        <v>0</v>
      </c>
      <c r="AB236" s="49">
        <v>0</v>
      </c>
      <c r="AC236" s="49">
        <v>0</v>
      </c>
      <c r="AD236" s="49">
        <v>0</v>
      </c>
      <c r="AE236" s="49">
        <v>1</v>
      </c>
      <c r="AF236" s="49">
        <v>0</v>
      </c>
      <c r="AG236" s="161">
        <v>0</v>
      </c>
      <c r="AH236" s="162">
        <v>3</v>
      </c>
      <c r="AI236" s="162">
        <v>2</v>
      </c>
      <c r="AJ236" s="162">
        <v>0</v>
      </c>
      <c r="AK236" s="162">
        <v>0</v>
      </c>
      <c r="AL236" s="163">
        <v>0</v>
      </c>
      <c r="AM236" s="19">
        <v>0</v>
      </c>
      <c r="AN236" s="20" t="str">
        <f>IFERROR(INDEX([2]lijnopstellingsfiche!$AP$1:$AP$65536,MATCH(A236,[2]lijnopstellingsfiche!$AQ$1:$AQ$65536,0)),"")</f>
        <v>-</v>
      </c>
      <c r="AO236" s="20">
        <v>0</v>
      </c>
      <c r="AP236" s="20">
        <v>0</v>
      </c>
      <c r="AQ236" s="20">
        <v>2</v>
      </c>
      <c r="AR236" s="20">
        <v>2</v>
      </c>
      <c r="AS236" s="20">
        <v>0</v>
      </c>
      <c r="AT236" s="20">
        <v>0</v>
      </c>
      <c r="AU236" s="20">
        <v>0</v>
      </c>
      <c r="AV236" s="23">
        <v>0</v>
      </c>
      <c r="AW236" s="108">
        <v>1</v>
      </c>
      <c r="AX236" s="108">
        <v>1</v>
      </c>
      <c r="AY236" s="108">
        <v>0</v>
      </c>
      <c r="AZ236" s="108">
        <v>0</v>
      </c>
      <c r="BA236" s="114">
        <v>0</v>
      </c>
      <c r="BB236" s="20">
        <v>0</v>
      </c>
      <c r="BC236" s="113">
        <v>1</v>
      </c>
      <c r="BD236" s="200" t="str">
        <f>VLOOKUP($A236,'[3]allergenen 6nr'!$A$1:$O$1310,3,FALSE)</f>
        <v>-</v>
      </c>
      <c r="BE236" s="201" t="str">
        <f>VLOOKUP($A236,'[3]allergenen 6nr'!$A$1:$O$1310,4,FALSE)</f>
        <v>X</v>
      </c>
      <c r="BF236" s="201" t="str">
        <f>VLOOKUP($A236,'[3]allergenen 6nr'!$A$1:$O$1310,5,FALSE)</f>
        <v>+</v>
      </c>
      <c r="BG236" s="201" t="str">
        <f>VLOOKUP($A236,'[3]allergenen 6nr'!$A$1:$O$1310,6,FALSE)</f>
        <v>-</v>
      </c>
      <c r="BH236" s="201" t="str">
        <f>VLOOKUP($A236,'[3]allergenen 6nr'!$A$1:$O$1310,7,FALSE)</f>
        <v>+</v>
      </c>
      <c r="BI236" s="201" t="str">
        <f>VLOOKUP($A236,'[3]allergenen 6nr'!$A$1:$O$1310,8,FALSE)</f>
        <v>X</v>
      </c>
      <c r="BJ236" s="201" t="str">
        <f>VLOOKUP($A236,'[3]allergenen 6nr'!$A$1:$O$1310,9,FALSE)</f>
        <v>-</v>
      </c>
      <c r="BK236" s="201" t="str">
        <f>VLOOKUP($A236,'[3]allergenen 6nr'!$A$1:$O$1310,10,FALSE)</f>
        <v>-</v>
      </c>
      <c r="BL236" s="201" t="str">
        <f>VLOOKUP($A236,'[3]allergenen 6nr'!$A$1:$O$1310,11,FALSE)</f>
        <v>X</v>
      </c>
      <c r="BM236" s="201" t="str">
        <f>VLOOKUP($A236,'[3]allergenen 6nr'!$A$1:$O$1310,12,FALSE)</f>
        <v>-</v>
      </c>
      <c r="BN236" s="201" t="str">
        <f>VLOOKUP($A236,'[3]allergenen 6nr'!$A$1:$O$1310,13,FALSE)</f>
        <v>-</v>
      </c>
      <c r="BO236" s="201" t="str">
        <f>VLOOKUP($A236,'[3]allergenen 6nr'!$A$1:$O$1310,14,FALSE)</f>
        <v>-</v>
      </c>
      <c r="BP236" s="202" t="str">
        <f>VLOOKUP($A236,'[3]allergenen 6nr'!$A$1:$O$1310,15,FALSE)</f>
        <v>-</v>
      </c>
    </row>
    <row r="237" spans="1:68" x14ac:dyDescent="0.2">
      <c r="A237" s="89">
        <v>63808200</v>
      </c>
      <c r="B237" s="53" t="str">
        <f>VLOOKUP($A237,[1]maaltijden!$A$1:$IV$65536,4,FALSE)</f>
        <v xml:space="preserve">IGLO BE MACARONI HAM KAAS 450G          </v>
      </c>
      <c r="C237" s="46" t="str">
        <f>VLOOKUP($A237,[1]maaltijden!$A$1:$IV$65536,7,FALSE)</f>
        <v>UK-59</v>
      </c>
      <c r="D237" s="22" t="str">
        <f>VLOOKUP($A237,[1]maaltijden!$A$1:$IV$65536,10,FALSE)</f>
        <v>H22</v>
      </c>
      <c r="E237" s="22" t="str">
        <f>VLOOKUP($A237,[1]maaltijden!$A$1:$IV$65536,13,FALSE)</f>
        <v>Shrink H22 X 6</v>
      </c>
      <c r="F237" s="20">
        <f t="shared" si="3"/>
        <v>0</v>
      </c>
      <c r="G237" s="20" t="str">
        <f>VLOOKUP($A237,[1]maaltijden!$A$1:$IV$65536,27,FALSE)</f>
        <v>! ! !</v>
      </c>
      <c r="H237" s="22">
        <f>VLOOKUP($A237,[1]maaltijden!$A$1:$IV$65536,21,FALSE)</f>
        <v>4</v>
      </c>
      <c r="I237" s="22">
        <f>VLOOKUP($A237,[1]maaltijden!$A$1:$IV$65536,21,FALSE)</f>
        <v>4</v>
      </c>
      <c r="J237" s="22">
        <f>VLOOKUP($A237,[1]maaltijden!$A$1:$IV$65536,18,FALSE)</f>
        <v>2</v>
      </c>
      <c r="K237" s="22">
        <f>VLOOKUP($A237,[1]maaltijden!$A$1:$IV$65536,17,FALSE)</f>
        <v>2.5</v>
      </c>
      <c r="L237" s="22">
        <f>VLOOKUP($A237,[1]maaltijden!$A$1:$IV$65536,20,FALSE)</f>
        <v>3500</v>
      </c>
      <c r="M237" s="22">
        <f>VLOOKUP($A237,[1]maaltijden!$A$1:$IV$65536,22,FALSE)</f>
        <v>3500</v>
      </c>
      <c r="N237" s="135"/>
      <c r="O237" s="50"/>
      <c r="P237" s="19">
        <v>1</v>
      </c>
      <c r="Q237" s="20">
        <v>0</v>
      </c>
      <c r="R237" s="21">
        <v>0</v>
      </c>
      <c r="S237" s="19">
        <v>1</v>
      </c>
      <c r="T237" s="20">
        <v>0</v>
      </c>
      <c r="U237" s="19">
        <v>1</v>
      </c>
      <c r="V237" s="20">
        <v>1</v>
      </c>
      <c r="W237" s="20">
        <v>1</v>
      </c>
      <c r="X237" s="20">
        <v>1</v>
      </c>
      <c r="Y237" s="20">
        <v>1</v>
      </c>
      <c r="Z237" s="20">
        <v>0</v>
      </c>
      <c r="AA237" s="20">
        <v>0</v>
      </c>
      <c r="AB237" s="49">
        <v>0</v>
      </c>
      <c r="AC237" s="49">
        <v>0</v>
      </c>
      <c r="AD237" s="49">
        <v>0</v>
      </c>
      <c r="AE237" s="49">
        <v>0</v>
      </c>
      <c r="AF237" s="49">
        <v>0</v>
      </c>
      <c r="AG237" s="161">
        <v>1</v>
      </c>
      <c r="AH237" s="162">
        <v>2</v>
      </c>
      <c r="AI237" s="162">
        <v>0</v>
      </c>
      <c r="AJ237" s="162">
        <v>0</v>
      </c>
      <c r="AK237" s="162">
        <v>0</v>
      </c>
      <c r="AL237" s="163">
        <v>0</v>
      </c>
      <c r="AM237" s="19">
        <v>0</v>
      </c>
      <c r="AN237" s="20" t="str">
        <f>IFERROR(INDEX([2]lijnopstellingsfiche!$AP$1:$AP$65536,MATCH(A237,[2]lijnopstellingsfiche!$AQ$1:$AQ$65536,0)),"")</f>
        <v>-</v>
      </c>
      <c r="AO237" s="20">
        <v>0</v>
      </c>
      <c r="AP237" s="20">
        <v>1</v>
      </c>
      <c r="AQ237" s="20">
        <v>2</v>
      </c>
      <c r="AR237" s="20">
        <v>0</v>
      </c>
      <c r="AS237" s="20">
        <v>1</v>
      </c>
      <c r="AT237" s="20">
        <v>0</v>
      </c>
      <c r="AU237" s="20">
        <v>0</v>
      </c>
      <c r="AV237" s="23">
        <v>0</v>
      </c>
      <c r="AW237" s="108">
        <v>1</v>
      </c>
      <c r="AX237" s="108">
        <v>1</v>
      </c>
      <c r="AY237" s="108">
        <v>0</v>
      </c>
      <c r="AZ237" s="108">
        <v>0</v>
      </c>
      <c r="BA237" s="114">
        <v>0</v>
      </c>
      <c r="BB237" s="20">
        <v>0</v>
      </c>
      <c r="BC237" s="113">
        <v>1</v>
      </c>
      <c r="BD237" s="200" t="str">
        <f>VLOOKUP($A237,'[3]allergenen 6nr'!$A$1:$O$1310,3,FALSE)</f>
        <v>-</v>
      </c>
      <c r="BE237" s="201" t="str">
        <f>VLOOKUP($A237,'[3]allergenen 6nr'!$A$1:$O$1310,4,FALSE)</f>
        <v>X</v>
      </c>
      <c r="BF237" s="201" t="str">
        <f>VLOOKUP($A237,'[3]allergenen 6nr'!$A$1:$O$1310,5,FALSE)</f>
        <v>+</v>
      </c>
      <c r="BG237" s="201" t="str">
        <f>VLOOKUP($A237,'[3]allergenen 6nr'!$A$1:$O$1310,6,FALSE)</f>
        <v>X</v>
      </c>
      <c r="BH237" s="201" t="str">
        <f>VLOOKUP($A237,'[3]allergenen 6nr'!$A$1:$O$1310,7,FALSE)</f>
        <v>+</v>
      </c>
      <c r="BI237" s="201" t="str">
        <f>VLOOKUP($A237,'[3]allergenen 6nr'!$A$1:$O$1310,8,FALSE)</f>
        <v>X</v>
      </c>
      <c r="BJ237" s="201" t="str">
        <f>VLOOKUP($A237,'[3]allergenen 6nr'!$A$1:$O$1310,9,FALSE)</f>
        <v>-</v>
      </c>
      <c r="BK237" s="201" t="str">
        <f>VLOOKUP($A237,'[3]allergenen 6nr'!$A$1:$O$1310,10,FALSE)</f>
        <v>-</v>
      </c>
      <c r="BL237" s="201" t="str">
        <f>VLOOKUP($A237,'[3]allergenen 6nr'!$A$1:$O$1310,11,FALSE)</f>
        <v>+</v>
      </c>
      <c r="BM237" s="201" t="str">
        <f>VLOOKUP($A237,'[3]allergenen 6nr'!$A$1:$O$1310,12,FALSE)</f>
        <v>-</v>
      </c>
      <c r="BN237" s="201" t="str">
        <f>VLOOKUP($A237,'[3]allergenen 6nr'!$A$1:$O$1310,13,FALSE)</f>
        <v>X</v>
      </c>
      <c r="BO237" s="201" t="str">
        <f>VLOOKUP($A237,'[3]allergenen 6nr'!$A$1:$O$1310,14,FALSE)</f>
        <v>-</v>
      </c>
      <c r="BP237" s="202" t="str">
        <f>VLOOKUP($A237,'[3]allergenen 6nr'!$A$1:$O$1310,15,FALSE)</f>
        <v>-</v>
      </c>
    </row>
    <row r="238" spans="1:68" x14ac:dyDescent="0.2">
      <c r="A238" s="89">
        <v>63808400</v>
      </c>
      <c r="B238" s="53" t="str">
        <f>VLOOKUP($A238,[1]maaltijden!$A$1:$IV$65536,4,FALSE)</f>
        <v>IGLO BE PENNE 4 KAZEN 450G</v>
      </c>
      <c r="C238" s="46" t="str">
        <f>VLOOKUP($A238,[1]maaltijden!$A$1:$IV$65536,7,FALSE)</f>
        <v>UK-59</v>
      </c>
      <c r="D238" s="22" t="str">
        <f>VLOOKUP($A238,[1]maaltijden!$A$1:$IV$65536,10,FALSE)</f>
        <v>H22</v>
      </c>
      <c r="E238" s="22" t="str">
        <f>VLOOKUP($A238,[1]maaltijden!$A$1:$IV$65536,13,FALSE)</f>
        <v>Shrink H22 X 6</v>
      </c>
      <c r="F238" s="20">
        <f t="shared" si="3"/>
        <v>0</v>
      </c>
      <c r="G238" s="20" t="str">
        <f>VLOOKUP($A238,[1]maaltijden!$A$1:$IV$65536,27,FALSE)</f>
        <v>! ! !</v>
      </c>
      <c r="H238" s="22">
        <f>VLOOKUP($A238,[1]maaltijden!$A$1:$IV$65536,21,FALSE)</f>
        <v>5</v>
      </c>
      <c r="I238" s="22">
        <f>VLOOKUP($A238,[1]maaltijden!$A$1:$IV$65536,21,FALSE)</f>
        <v>5</v>
      </c>
      <c r="J238" s="22">
        <f>VLOOKUP($A238,[1]maaltijden!$A$1:$IV$65536,18,FALSE)</f>
        <v>2</v>
      </c>
      <c r="K238" s="22">
        <f>VLOOKUP($A238,[1]maaltijden!$A$1:$IV$65536,17,FALSE)</f>
        <v>3</v>
      </c>
      <c r="L238" s="22">
        <f>VLOOKUP($A238,[1]maaltijden!$A$1:$IV$65536,20,FALSE)</f>
        <v>3500</v>
      </c>
      <c r="M238" s="22">
        <f>VLOOKUP($A238,[1]maaltijden!$A$1:$IV$65536,22,FALSE)</f>
        <v>3500</v>
      </c>
      <c r="N238" s="135"/>
      <c r="O238" s="50"/>
      <c r="P238" s="19">
        <v>1</v>
      </c>
      <c r="Q238" s="20">
        <v>0</v>
      </c>
      <c r="R238" s="21">
        <v>0</v>
      </c>
      <c r="S238" s="19">
        <v>1</v>
      </c>
      <c r="T238" s="20">
        <v>0</v>
      </c>
      <c r="U238" s="19">
        <v>1</v>
      </c>
      <c r="V238" s="20">
        <v>1</v>
      </c>
      <c r="W238" s="20">
        <v>1</v>
      </c>
      <c r="X238" s="20">
        <v>1</v>
      </c>
      <c r="Y238" s="20">
        <v>1</v>
      </c>
      <c r="Z238" s="20">
        <v>0</v>
      </c>
      <c r="AA238" s="20">
        <v>0</v>
      </c>
      <c r="AB238" s="49">
        <v>0</v>
      </c>
      <c r="AC238" s="49">
        <v>0</v>
      </c>
      <c r="AD238" s="49">
        <v>0</v>
      </c>
      <c r="AE238" s="49">
        <v>0</v>
      </c>
      <c r="AF238" s="49">
        <v>0</v>
      </c>
      <c r="AG238" s="161">
        <v>1</v>
      </c>
      <c r="AH238" s="162">
        <v>2</v>
      </c>
      <c r="AI238" s="162">
        <v>0</v>
      </c>
      <c r="AJ238" s="162">
        <v>0</v>
      </c>
      <c r="AK238" s="162">
        <v>0</v>
      </c>
      <c r="AL238" s="163">
        <v>0</v>
      </c>
      <c r="AM238" s="19">
        <v>1</v>
      </c>
      <c r="AN238" s="20" t="str">
        <f>IFERROR(INDEX([2]lijnopstellingsfiche!$AP$1:$AP$65536,MATCH(A238,[2]lijnopstellingsfiche!$AQ$1:$AQ$65536,0)),"")</f>
        <v>-</v>
      </c>
      <c r="AO238" s="20">
        <v>0</v>
      </c>
      <c r="AP238" s="20">
        <v>1</v>
      </c>
      <c r="AQ238" s="20">
        <v>2</v>
      </c>
      <c r="AR238" s="20">
        <v>0</v>
      </c>
      <c r="AS238" s="20">
        <v>0</v>
      </c>
      <c r="AT238" s="20">
        <v>0</v>
      </c>
      <c r="AU238" s="20">
        <v>0</v>
      </c>
      <c r="AV238" s="23">
        <v>0</v>
      </c>
      <c r="AW238" s="108">
        <v>1</v>
      </c>
      <c r="AX238" s="108">
        <v>1</v>
      </c>
      <c r="AY238" s="108">
        <v>0</v>
      </c>
      <c r="AZ238" s="108">
        <v>0</v>
      </c>
      <c r="BA238" s="114">
        <v>0</v>
      </c>
      <c r="BB238" s="20">
        <v>0</v>
      </c>
      <c r="BC238" s="113">
        <v>1</v>
      </c>
      <c r="BD238" s="200" t="str">
        <f>VLOOKUP($A238,'[3]allergenen 6nr'!$A$1:$O$1310,3,FALSE)</f>
        <v>-</v>
      </c>
      <c r="BE238" s="201" t="str">
        <f>VLOOKUP($A238,'[3]allergenen 6nr'!$A$1:$O$1310,4,FALSE)</f>
        <v>X</v>
      </c>
      <c r="BF238" s="201" t="str">
        <f>VLOOKUP($A238,'[3]allergenen 6nr'!$A$1:$O$1310,5,FALSE)</f>
        <v>+</v>
      </c>
      <c r="BG238" s="201" t="str">
        <f>VLOOKUP($A238,'[3]allergenen 6nr'!$A$1:$O$1310,6,FALSE)</f>
        <v>X</v>
      </c>
      <c r="BH238" s="201" t="str">
        <f>VLOOKUP($A238,'[3]allergenen 6nr'!$A$1:$O$1310,7,FALSE)</f>
        <v>+</v>
      </c>
      <c r="BI238" s="201" t="str">
        <f>VLOOKUP($A238,'[3]allergenen 6nr'!$A$1:$O$1310,8,FALSE)</f>
        <v>X</v>
      </c>
      <c r="BJ238" s="201" t="str">
        <f>VLOOKUP($A238,'[3]allergenen 6nr'!$A$1:$O$1310,9,FALSE)</f>
        <v>-</v>
      </c>
      <c r="BK238" s="201" t="str">
        <f>VLOOKUP($A238,'[3]allergenen 6nr'!$A$1:$O$1310,10,FALSE)</f>
        <v>-</v>
      </c>
      <c r="BL238" s="201" t="str">
        <f>VLOOKUP($A238,'[3]allergenen 6nr'!$A$1:$O$1310,11,FALSE)</f>
        <v>+</v>
      </c>
      <c r="BM238" s="201" t="str">
        <f>VLOOKUP($A238,'[3]allergenen 6nr'!$A$1:$O$1310,12,FALSE)</f>
        <v>-</v>
      </c>
      <c r="BN238" s="201" t="str">
        <f>VLOOKUP($A238,'[3]allergenen 6nr'!$A$1:$O$1310,13,FALSE)</f>
        <v>X</v>
      </c>
      <c r="BO238" s="201" t="str">
        <f>VLOOKUP($A238,'[3]allergenen 6nr'!$A$1:$O$1310,14,FALSE)</f>
        <v>-</v>
      </c>
      <c r="BP238" s="202" t="str">
        <f>VLOOKUP($A238,'[3]allergenen 6nr'!$A$1:$O$1310,15,FALSE)</f>
        <v>-</v>
      </c>
    </row>
    <row r="239" spans="1:68" x14ac:dyDescent="0.2">
      <c r="A239" s="89">
        <v>63808500</v>
      </c>
      <c r="B239" s="53" t="str">
        <f>VLOOKUP($A239,[1]maaltijden!$A$1:$IV$65536,4,FALSE)</f>
        <v>IGLO BE AARDAPPELGRATIN MET SPINAZIE 450G</v>
      </c>
      <c r="C239" s="46" t="str">
        <f>VLOOKUP($A239,[1]maaltijden!$A$1:$IV$65536,7,FALSE)</f>
        <v>UK-59</v>
      </c>
      <c r="D239" s="22" t="str">
        <f>VLOOKUP($A239,[1]maaltijden!$A$1:$IV$65536,10,FALSE)</f>
        <v>H22</v>
      </c>
      <c r="E239" s="22" t="str">
        <f>VLOOKUP($A239,[1]maaltijden!$A$1:$IV$65536,13,FALSE)</f>
        <v>Shrink H22 X 6</v>
      </c>
      <c r="F239" s="20">
        <f t="shared" si="3"/>
        <v>0</v>
      </c>
      <c r="G239" s="20" t="str">
        <f>VLOOKUP($A239,[1]maaltijden!$A$1:$IV$65536,27,FALSE)</f>
        <v>! ! !</v>
      </c>
      <c r="H239" s="22">
        <f>VLOOKUP($A239,[1]maaltijden!$A$1:$IV$65536,21,FALSE)</f>
        <v>2</v>
      </c>
      <c r="I239" s="22">
        <f>VLOOKUP($A239,[1]maaltijden!$A$1:$IV$65536,21,FALSE)</f>
        <v>2</v>
      </c>
      <c r="J239" s="22">
        <f>VLOOKUP($A239,[1]maaltijden!$A$1:$IV$65536,18,FALSE)</f>
        <v>2</v>
      </c>
      <c r="K239" s="22">
        <f>VLOOKUP($A239,[1]maaltijden!$A$1:$IV$65536,17,FALSE)</f>
        <v>3</v>
      </c>
      <c r="L239" s="22">
        <f>VLOOKUP($A239,[1]maaltijden!$A$1:$IV$65536,20,FALSE)</f>
        <v>3500</v>
      </c>
      <c r="M239" s="22">
        <f>VLOOKUP($A239,[1]maaltijden!$A$1:$IV$65536,22,FALSE)</f>
        <v>3500</v>
      </c>
      <c r="N239" s="135"/>
      <c r="O239" s="50"/>
      <c r="P239" s="19">
        <v>1</v>
      </c>
      <c r="Q239" s="20">
        <v>0</v>
      </c>
      <c r="R239" s="21">
        <v>0</v>
      </c>
      <c r="S239" s="19">
        <v>1</v>
      </c>
      <c r="T239" s="20">
        <v>0</v>
      </c>
      <c r="U239" s="19">
        <v>0</v>
      </c>
      <c r="V239" s="20">
        <v>1</v>
      </c>
      <c r="W239" s="20">
        <v>1</v>
      </c>
      <c r="X239" s="20">
        <v>1</v>
      </c>
      <c r="Y239" s="20">
        <v>1</v>
      </c>
      <c r="Z239" s="20">
        <v>0</v>
      </c>
      <c r="AA239" s="20">
        <v>0</v>
      </c>
      <c r="AB239" s="49">
        <v>1</v>
      </c>
      <c r="AC239" s="49">
        <v>0</v>
      </c>
      <c r="AD239" s="49">
        <v>0</v>
      </c>
      <c r="AE239" s="49">
        <v>1</v>
      </c>
      <c r="AF239" s="49">
        <v>0</v>
      </c>
      <c r="AG239" s="161">
        <v>0</v>
      </c>
      <c r="AH239" s="174">
        <v>3</v>
      </c>
      <c r="AI239" s="162">
        <v>1</v>
      </c>
      <c r="AJ239" s="162">
        <v>0</v>
      </c>
      <c r="AK239" s="162">
        <v>0</v>
      </c>
      <c r="AL239" s="163">
        <v>0</v>
      </c>
      <c r="AM239" s="19">
        <v>0</v>
      </c>
      <c r="AN239" s="20" t="str">
        <f>IFERROR(INDEX([2]lijnopstellingsfiche!$AP$1:$AP$65536,MATCH(A239,[2]lijnopstellingsfiche!$AQ$1:$AQ$65536,0)),"")</f>
        <v>-</v>
      </c>
      <c r="AO239" s="20">
        <v>0</v>
      </c>
      <c r="AP239" s="20">
        <v>0</v>
      </c>
      <c r="AQ239" s="20">
        <v>4</v>
      </c>
      <c r="AR239" s="20">
        <v>2</v>
      </c>
      <c r="AS239" s="20">
        <v>0</v>
      </c>
      <c r="AT239" s="20">
        <v>0</v>
      </c>
      <c r="AU239" s="20">
        <v>0</v>
      </c>
      <c r="AV239" s="23">
        <v>0</v>
      </c>
      <c r="AW239" s="108">
        <v>1</v>
      </c>
      <c r="AX239" s="108">
        <v>1</v>
      </c>
      <c r="AY239" s="108">
        <v>0</v>
      </c>
      <c r="AZ239" s="108">
        <v>0</v>
      </c>
      <c r="BA239" s="114">
        <v>0</v>
      </c>
      <c r="BB239" s="20">
        <v>0</v>
      </c>
      <c r="BC239" s="113">
        <v>1</v>
      </c>
      <c r="BD239" s="200" t="str">
        <f>VLOOKUP($A239,'[3]allergenen 6nr'!$A$1:$O$1310,3,FALSE)</f>
        <v>-</v>
      </c>
      <c r="BE239" s="201" t="str">
        <f>VLOOKUP($A239,'[3]allergenen 6nr'!$A$1:$O$1310,4,FALSE)</f>
        <v>+</v>
      </c>
      <c r="BF239" s="201" t="str">
        <f>VLOOKUP($A239,'[3]allergenen 6nr'!$A$1:$O$1310,5,FALSE)</f>
        <v>+</v>
      </c>
      <c r="BG239" s="201" t="str">
        <f>VLOOKUP($A239,'[3]allergenen 6nr'!$A$1:$O$1310,6,FALSE)</f>
        <v>-</v>
      </c>
      <c r="BH239" s="201" t="str">
        <f>VLOOKUP($A239,'[3]allergenen 6nr'!$A$1:$O$1310,7,FALSE)</f>
        <v>+</v>
      </c>
      <c r="BI239" s="201" t="str">
        <f>VLOOKUP($A239,'[3]allergenen 6nr'!$A$1:$O$1310,8,FALSE)</f>
        <v>-</v>
      </c>
      <c r="BJ239" s="201" t="str">
        <f>VLOOKUP($A239,'[3]allergenen 6nr'!$A$1:$O$1310,9,FALSE)</f>
        <v>-</v>
      </c>
      <c r="BK239" s="201" t="str">
        <f>VLOOKUP($A239,'[3]allergenen 6nr'!$A$1:$O$1310,10,FALSE)</f>
        <v>-</v>
      </c>
      <c r="BL239" s="201" t="str">
        <f>VLOOKUP($A239,'[3]allergenen 6nr'!$A$1:$O$1310,11,FALSE)</f>
        <v>+</v>
      </c>
      <c r="BM239" s="201" t="str">
        <f>VLOOKUP($A239,'[3]allergenen 6nr'!$A$1:$O$1310,12,FALSE)</f>
        <v>-</v>
      </c>
      <c r="BN239" s="201" t="str">
        <f>VLOOKUP($A239,'[3]allergenen 6nr'!$A$1:$O$1310,13,FALSE)</f>
        <v>-</v>
      </c>
      <c r="BO239" s="201" t="str">
        <f>VLOOKUP($A239,'[3]allergenen 6nr'!$A$1:$O$1310,14,FALSE)</f>
        <v>-</v>
      </c>
      <c r="BP239" s="202" t="str">
        <f>VLOOKUP($A239,'[3]allergenen 6nr'!$A$1:$O$1310,15,FALSE)</f>
        <v>-</v>
      </c>
    </row>
    <row r="240" spans="1:68" x14ac:dyDescent="0.2">
      <c r="A240" s="89">
        <v>63808600</v>
      </c>
      <c r="B240" s="53" t="str">
        <f>VLOOKUP($A240,[1]maaltijden!$A$1:$IV$65536,4,FALSE)</f>
        <v>IGLO BE BALLETJES TOMATENSAUS PUREE 450G</v>
      </c>
      <c r="C240" s="46" t="str">
        <f>VLOOKUP($A240,[1]maaltijden!$A$1:$IV$65536,7,FALSE)</f>
        <v>UK-59</v>
      </c>
      <c r="D240" s="22" t="str">
        <f>VLOOKUP($A240,[1]maaltijden!$A$1:$IV$65536,10,FALSE)</f>
        <v>H22</v>
      </c>
      <c r="E240" s="22" t="str">
        <f>VLOOKUP($A240,[1]maaltijden!$A$1:$IV$65536,13,FALSE)</f>
        <v>Shrink H22 X 6</v>
      </c>
      <c r="F240" s="20">
        <f t="shared" si="3"/>
        <v>0</v>
      </c>
      <c r="G240" s="20" t="str">
        <f>VLOOKUP($A240,[1]maaltijden!$A$1:$IV$65536,27,FALSE)</f>
        <v>! ! !</v>
      </c>
      <c r="H240" s="22">
        <f>VLOOKUP($A240,[1]maaltijden!$A$1:$IV$65536,21,FALSE)</f>
        <v>3</v>
      </c>
      <c r="I240" s="22">
        <f>VLOOKUP($A240,[1]maaltijden!$A$1:$IV$65536,21,FALSE)</f>
        <v>3</v>
      </c>
      <c r="J240" s="22">
        <f>VLOOKUP($A240,[1]maaltijden!$A$1:$IV$65536,18,FALSE)</f>
        <v>2</v>
      </c>
      <c r="K240" s="22">
        <f>VLOOKUP($A240,[1]maaltijden!$A$1:$IV$65536,17,FALSE)</f>
        <v>2</v>
      </c>
      <c r="L240" s="22">
        <f>VLOOKUP($A240,[1]maaltijden!$A$1:$IV$65536,20,FALSE)</f>
        <v>3500</v>
      </c>
      <c r="M240" s="22">
        <f>VLOOKUP($A240,[1]maaltijden!$A$1:$IV$65536,22,FALSE)</f>
        <v>3500</v>
      </c>
      <c r="N240" s="135"/>
      <c r="O240" s="50"/>
      <c r="P240" s="19">
        <v>1</v>
      </c>
      <c r="Q240" s="20">
        <v>0</v>
      </c>
      <c r="R240" s="21">
        <v>0</v>
      </c>
      <c r="S240" s="19">
        <v>1</v>
      </c>
      <c r="T240" s="20">
        <v>0</v>
      </c>
      <c r="U240" s="19">
        <v>1</v>
      </c>
      <c r="V240" s="20">
        <v>1</v>
      </c>
      <c r="W240" s="20">
        <v>1</v>
      </c>
      <c r="X240" s="20">
        <v>1</v>
      </c>
      <c r="Y240" s="20">
        <v>1</v>
      </c>
      <c r="Z240" s="20">
        <v>0</v>
      </c>
      <c r="AA240" s="20">
        <v>0</v>
      </c>
      <c r="AB240" s="49">
        <v>0</v>
      </c>
      <c r="AC240" s="49">
        <v>0</v>
      </c>
      <c r="AD240" s="49">
        <v>0</v>
      </c>
      <c r="AE240" s="49">
        <v>0</v>
      </c>
      <c r="AF240" s="49">
        <v>0</v>
      </c>
      <c r="AG240" s="161">
        <v>0</v>
      </c>
      <c r="AH240" s="162">
        <v>2</v>
      </c>
      <c r="AI240" s="162">
        <v>1</v>
      </c>
      <c r="AJ240" s="162">
        <v>0</v>
      </c>
      <c r="AK240" s="162">
        <v>0</v>
      </c>
      <c r="AL240" s="163">
        <v>0</v>
      </c>
      <c r="AM240" s="19">
        <v>0</v>
      </c>
      <c r="AN240" s="20" t="str">
        <f>IFERROR(INDEX([2]lijnopstellingsfiche!$AP$1:$AP$65536,MATCH(A240,[2]lijnopstellingsfiche!$AQ$1:$AQ$65536,0)),"")</f>
        <v>-</v>
      </c>
      <c r="AO240" s="20">
        <v>0</v>
      </c>
      <c r="AP240" s="20">
        <v>0</v>
      </c>
      <c r="AQ240" s="20">
        <v>2</v>
      </c>
      <c r="AR240" s="20">
        <v>2</v>
      </c>
      <c r="AS240" s="20">
        <v>1</v>
      </c>
      <c r="AT240" s="20">
        <v>0</v>
      </c>
      <c r="AU240" s="20">
        <v>0</v>
      </c>
      <c r="AV240" s="23">
        <v>0</v>
      </c>
      <c r="AW240" s="108">
        <v>1</v>
      </c>
      <c r="AX240" s="108">
        <v>1</v>
      </c>
      <c r="AY240" s="108">
        <v>0</v>
      </c>
      <c r="AZ240" s="108">
        <v>0</v>
      </c>
      <c r="BA240" s="114">
        <v>0</v>
      </c>
      <c r="BB240" s="20">
        <v>0</v>
      </c>
      <c r="BC240" s="113">
        <v>1</v>
      </c>
      <c r="BD240" s="200" t="str">
        <f>VLOOKUP($A240,'[3]allergenen 6nr'!$A$1:$O$1310,3,FALSE)</f>
        <v>-</v>
      </c>
      <c r="BE240" s="201" t="str">
        <f>VLOOKUP($A240,'[3]allergenen 6nr'!$A$1:$O$1310,4,FALSE)</f>
        <v>+</v>
      </c>
      <c r="BF240" s="201" t="str">
        <f>VLOOKUP($A240,'[3]allergenen 6nr'!$A$1:$O$1310,5,FALSE)</f>
        <v>+</v>
      </c>
      <c r="BG240" s="201" t="str">
        <f>VLOOKUP($A240,'[3]allergenen 6nr'!$A$1:$O$1310,6,FALSE)</f>
        <v>X</v>
      </c>
      <c r="BH240" s="201" t="str">
        <f>VLOOKUP($A240,'[3]allergenen 6nr'!$A$1:$O$1310,7,FALSE)</f>
        <v>+</v>
      </c>
      <c r="BI240" s="201" t="str">
        <f>VLOOKUP($A240,'[3]allergenen 6nr'!$A$1:$O$1310,8,FALSE)</f>
        <v>X</v>
      </c>
      <c r="BJ240" s="201" t="str">
        <f>VLOOKUP($A240,'[3]allergenen 6nr'!$A$1:$O$1310,9,FALSE)</f>
        <v>-</v>
      </c>
      <c r="BK240" s="201" t="str">
        <f>VLOOKUP($A240,'[3]allergenen 6nr'!$A$1:$O$1310,10,FALSE)</f>
        <v>-</v>
      </c>
      <c r="BL240" s="201" t="str">
        <f>VLOOKUP($A240,'[3]allergenen 6nr'!$A$1:$O$1310,11,FALSE)</f>
        <v>+</v>
      </c>
      <c r="BM240" s="201" t="str">
        <f>VLOOKUP($A240,'[3]allergenen 6nr'!$A$1:$O$1310,12,FALSE)</f>
        <v>-</v>
      </c>
      <c r="BN240" s="201" t="str">
        <f>VLOOKUP($A240,'[3]allergenen 6nr'!$A$1:$O$1310,13,FALSE)</f>
        <v>X</v>
      </c>
      <c r="BO240" s="201" t="str">
        <f>VLOOKUP($A240,'[3]allergenen 6nr'!$A$1:$O$1310,14,FALSE)</f>
        <v>-</v>
      </c>
      <c r="BP240" s="202" t="str">
        <f>VLOOKUP($A240,'[3]allergenen 6nr'!$A$1:$O$1310,15,FALSE)</f>
        <v>-</v>
      </c>
    </row>
    <row r="241" spans="1:68" x14ac:dyDescent="0.2">
      <c r="A241" s="89">
        <v>63809000</v>
      </c>
      <c r="B241" s="53" t="str">
        <f>VLOOKUP($A241,[1]maaltijden!$A$1:$IV$65536,4,FALSE)</f>
        <v xml:space="preserve">IGLO BE LASAGNE BOLOGNAISE 450G </v>
      </c>
      <c r="C241" s="46" t="str">
        <f>VLOOKUP($A241,[1]maaltijden!$A$1:$IV$65536,7,FALSE)</f>
        <v>UK-59</v>
      </c>
      <c r="D241" s="22" t="str">
        <f>VLOOKUP($A241,[1]maaltijden!$A$1:$IV$65536,10,FALSE)</f>
        <v>H22</v>
      </c>
      <c r="E241" s="22" t="str">
        <f>VLOOKUP($A241,[1]maaltijden!$A$1:$IV$65536,13,FALSE)</f>
        <v>Shrink H22 X 6</v>
      </c>
      <c r="F241" s="20">
        <f t="shared" si="3"/>
        <v>0</v>
      </c>
      <c r="G241" s="20" t="str">
        <f>VLOOKUP($A241,[1]maaltijden!$A$1:$IV$65536,27,FALSE)</f>
        <v>! ! !</v>
      </c>
      <c r="H241" s="22">
        <f>VLOOKUP($A241,[1]maaltijden!$A$1:$IV$65536,21,FALSE)</f>
        <v>6</v>
      </c>
      <c r="I241" s="22">
        <f>VLOOKUP($A241,[1]maaltijden!$A$1:$IV$65536,21,FALSE)</f>
        <v>6</v>
      </c>
      <c r="J241" s="22">
        <f>VLOOKUP($A241,[1]maaltijden!$A$1:$IV$65536,18,FALSE)</f>
        <v>2</v>
      </c>
      <c r="K241" s="22">
        <f>VLOOKUP($A241,[1]maaltijden!$A$1:$IV$65536,17,FALSE)</f>
        <v>2</v>
      </c>
      <c r="L241" s="22">
        <f>VLOOKUP($A241,[1]maaltijden!$A$1:$IV$65536,20,FALSE)</f>
        <v>2500</v>
      </c>
      <c r="M241" s="22">
        <f>VLOOKUP($A241,[1]maaltijden!$A$1:$IV$65536,22,FALSE)</f>
        <v>2500</v>
      </c>
      <c r="N241" s="135"/>
      <c r="O241" s="50"/>
      <c r="P241" s="19">
        <v>1</v>
      </c>
      <c r="Q241" s="20">
        <v>0</v>
      </c>
      <c r="R241" s="21">
        <v>0</v>
      </c>
      <c r="S241" s="19">
        <v>1</v>
      </c>
      <c r="T241" s="20">
        <v>0</v>
      </c>
      <c r="U241" s="19">
        <v>0</v>
      </c>
      <c r="V241" s="20">
        <v>1</v>
      </c>
      <c r="W241" s="20">
        <v>1</v>
      </c>
      <c r="X241" s="20">
        <v>1</v>
      </c>
      <c r="Y241" s="20">
        <v>1</v>
      </c>
      <c r="Z241" s="20">
        <v>0</v>
      </c>
      <c r="AA241" s="20">
        <v>0</v>
      </c>
      <c r="AB241" s="49">
        <v>1</v>
      </c>
      <c r="AC241" s="49">
        <v>0</v>
      </c>
      <c r="AD241" s="49">
        <v>0</v>
      </c>
      <c r="AE241" s="49">
        <v>1</v>
      </c>
      <c r="AF241" s="49">
        <v>0</v>
      </c>
      <c r="AG241" s="161">
        <v>0</v>
      </c>
      <c r="AH241" s="162">
        <v>3</v>
      </c>
      <c r="AI241" s="162">
        <v>0</v>
      </c>
      <c r="AJ241" s="162">
        <v>0</v>
      </c>
      <c r="AK241" s="162">
        <v>0</v>
      </c>
      <c r="AL241" s="163">
        <v>0</v>
      </c>
      <c r="AM241" s="19">
        <v>0</v>
      </c>
      <c r="AN241" s="20" t="str">
        <f>IFERROR(INDEX([2]lijnopstellingsfiche!$AP$1:$AP$65536,MATCH(A241,[2]lijnopstellingsfiche!$AQ$1:$AQ$65536,0)),"")</f>
        <v>-</v>
      </c>
      <c r="AO241" s="20">
        <v>0</v>
      </c>
      <c r="AP241" s="20">
        <v>1</v>
      </c>
      <c r="AQ241" s="20">
        <v>4</v>
      </c>
      <c r="AR241" s="20">
        <v>1</v>
      </c>
      <c r="AS241" s="20">
        <v>0</v>
      </c>
      <c r="AT241" s="20">
        <v>0</v>
      </c>
      <c r="AU241" s="20">
        <v>0</v>
      </c>
      <c r="AV241" s="23">
        <v>0</v>
      </c>
      <c r="AW241" s="108">
        <v>1</v>
      </c>
      <c r="AX241" s="108">
        <v>1</v>
      </c>
      <c r="AY241" s="108">
        <v>0</v>
      </c>
      <c r="AZ241" s="108">
        <v>0</v>
      </c>
      <c r="BA241" s="114">
        <v>0</v>
      </c>
      <c r="BB241" s="20">
        <v>0</v>
      </c>
      <c r="BC241" s="113">
        <v>1</v>
      </c>
      <c r="BD241" s="200" t="str">
        <f>VLOOKUP($A241,'[3]allergenen 6nr'!$A$1:$O$1310,3,FALSE)</f>
        <v>-</v>
      </c>
      <c r="BE241" s="201" t="str">
        <f>VLOOKUP($A241,'[3]allergenen 6nr'!$A$1:$O$1310,4,FALSE)</f>
        <v>+</v>
      </c>
      <c r="BF241" s="201" t="str">
        <f>VLOOKUP($A241,'[3]allergenen 6nr'!$A$1:$O$1310,5,FALSE)</f>
        <v>+</v>
      </c>
      <c r="BG241" s="201" t="str">
        <f>VLOOKUP($A241,'[3]allergenen 6nr'!$A$1:$O$1310,6,FALSE)</f>
        <v>-</v>
      </c>
      <c r="BH241" s="201" t="str">
        <f>VLOOKUP($A241,'[3]allergenen 6nr'!$A$1:$O$1310,7,FALSE)</f>
        <v>+</v>
      </c>
      <c r="BI241" s="201" t="str">
        <f>VLOOKUP($A241,'[3]allergenen 6nr'!$A$1:$O$1310,8,FALSE)</f>
        <v>X</v>
      </c>
      <c r="BJ241" s="201" t="str">
        <f>VLOOKUP($A241,'[3]allergenen 6nr'!$A$1:$O$1310,9,FALSE)</f>
        <v>-</v>
      </c>
      <c r="BK241" s="201" t="str">
        <f>VLOOKUP($A241,'[3]allergenen 6nr'!$A$1:$O$1310,10,FALSE)</f>
        <v>-</v>
      </c>
      <c r="BL241" s="201" t="str">
        <f>VLOOKUP($A241,'[3]allergenen 6nr'!$A$1:$O$1310,11,FALSE)</f>
        <v>+</v>
      </c>
      <c r="BM241" s="201" t="str">
        <f>VLOOKUP($A241,'[3]allergenen 6nr'!$A$1:$O$1310,12,FALSE)</f>
        <v>-</v>
      </c>
      <c r="BN241" s="201" t="str">
        <f>VLOOKUP($A241,'[3]allergenen 6nr'!$A$1:$O$1310,13,FALSE)</f>
        <v>-</v>
      </c>
      <c r="BO241" s="201" t="str">
        <f>VLOOKUP($A241,'[3]allergenen 6nr'!$A$1:$O$1310,14,FALSE)</f>
        <v>-</v>
      </c>
      <c r="BP241" s="202" t="str">
        <f>VLOOKUP($A241,'[3]allergenen 6nr'!$A$1:$O$1310,15,FALSE)</f>
        <v>X</v>
      </c>
    </row>
    <row r="242" spans="1:68" x14ac:dyDescent="0.2">
      <c r="A242" s="89">
        <v>63809200</v>
      </c>
      <c r="B242" s="53" t="str">
        <f>VLOOKUP($A242,[1]maaltijden!$A$1:$IV$65536,4,FALSE)</f>
        <v xml:space="preserve">IGLO BE SPAGHETTI BOLOGNAISE 450G </v>
      </c>
      <c r="C242" s="46" t="str">
        <f>VLOOKUP($A242,[1]maaltijden!$A$1:$IV$65536,7,FALSE)</f>
        <v>UK-59</v>
      </c>
      <c r="D242" s="22" t="str">
        <f>VLOOKUP($A242,[1]maaltijden!$A$1:$IV$65536,10,FALSE)</f>
        <v>H22</v>
      </c>
      <c r="E242" s="22" t="str">
        <f>VLOOKUP($A242,[1]maaltijden!$A$1:$IV$65536,13,FALSE)</f>
        <v>Shrink H22 X 6</v>
      </c>
      <c r="F242" s="20">
        <f t="shared" si="3"/>
        <v>0</v>
      </c>
      <c r="G242" s="20" t="str">
        <f>VLOOKUP($A242,[1]maaltijden!$A$1:$IV$65536,27,FALSE)</f>
        <v>! ! !</v>
      </c>
      <c r="H242" s="22">
        <f>VLOOKUP($A242,[1]maaltijden!$A$1:$IV$65536,21,FALSE)</f>
        <v>4</v>
      </c>
      <c r="I242" s="22">
        <f>VLOOKUP($A242,[1]maaltijden!$A$1:$IV$65536,21,FALSE)</f>
        <v>4</v>
      </c>
      <c r="J242" s="22">
        <f>VLOOKUP($A242,[1]maaltijden!$A$1:$IV$65536,18,FALSE)</f>
        <v>2</v>
      </c>
      <c r="K242" s="22">
        <f>VLOOKUP($A242,[1]maaltijden!$A$1:$IV$65536,17,FALSE)</f>
        <v>3</v>
      </c>
      <c r="L242" s="22">
        <f>VLOOKUP($A242,[1]maaltijden!$A$1:$IV$65536,20,FALSE)</f>
        <v>3500</v>
      </c>
      <c r="M242" s="22">
        <f>VLOOKUP($A242,[1]maaltijden!$A$1:$IV$65536,22,FALSE)</f>
        <v>3500</v>
      </c>
      <c r="N242" s="135"/>
      <c r="O242" s="50"/>
      <c r="P242" s="19">
        <v>1</v>
      </c>
      <c r="Q242" s="20">
        <v>0</v>
      </c>
      <c r="R242" s="21">
        <v>0</v>
      </c>
      <c r="S242" s="19">
        <v>1</v>
      </c>
      <c r="T242" s="20">
        <v>0</v>
      </c>
      <c r="U242" s="19">
        <v>0</v>
      </c>
      <c r="V242" s="20">
        <v>1</v>
      </c>
      <c r="W242" s="20">
        <v>1</v>
      </c>
      <c r="X242" s="20">
        <v>1</v>
      </c>
      <c r="Y242" s="20">
        <v>1</v>
      </c>
      <c r="Z242" s="20">
        <v>0</v>
      </c>
      <c r="AA242" s="20">
        <v>0</v>
      </c>
      <c r="AB242" s="49">
        <v>0</v>
      </c>
      <c r="AC242" s="49">
        <v>0</v>
      </c>
      <c r="AD242" s="49">
        <v>0</v>
      </c>
      <c r="AE242" s="49">
        <v>1</v>
      </c>
      <c r="AF242" s="49">
        <v>0</v>
      </c>
      <c r="AG242" s="161">
        <v>1</v>
      </c>
      <c r="AH242" s="162">
        <v>2</v>
      </c>
      <c r="AI242" s="162">
        <v>0</v>
      </c>
      <c r="AJ242" s="162">
        <v>0</v>
      </c>
      <c r="AK242" s="162">
        <v>0</v>
      </c>
      <c r="AL242" s="163">
        <v>0</v>
      </c>
      <c r="AM242" s="19">
        <v>1</v>
      </c>
      <c r="AN242" s="20" t="str">
        <f>IFERROR(INDEX([2]lijnopstellingsfiche!$AP$1:$AP$65536,MATCH(A242,[2]lijnopstellingsfiche!$AQ$1:$AQ$65536,0)),"")</f>
        <v>-</v>
      </c>
      <c r="AO242" s="20">
        <v>0</v>
      </c>
      <c r="AP242" s="20">
        <v>0</v>
      </c>
      <c r="AQ242" s="20">
        <v>2</v>
      </c>
      <c r="AR242" s="20">
        <v>0</v>
      </c>
      <c r="AS242" s="20">
        <v>0</v>
      </c>
      <c r="AT242" s="20">
        <v>0</v>
      </c>
      <c r="AU242" s="20">
        <v>0</v>
      </c>
      <c r="AV242" s="23">
        <v>0</v>
      </c>
      <c r="AW242" s="108">
        <v>1</v>
      </c>
      <c r="AX242" s="108">
        <v>1</v>
      </c>
      <c r="AY242" s="108">
        <v>0</v>
      </c>
      <c r="AZ242" s="108">
        <v>0</v>
      </c>
      <c r="BA242" s="114">
        <v>0</v>
      </c>
      <c r="BB242" s="20">
        <v>0</v>
      </c>
      <c r="BC242" s="113">
        <v>1</v>
      </c>
      <c r="BD242" s="200" t="str">
        <f>VLOOKUP($A242,'[3]allergenen 6nr'!$A$1:$O$1310,3,FALSE)</f>
        <v>-</v>
      </c>
      <c r="BE242" s="201" t="str">
        <f>VLOOKUP($A242,'[3]allergenen 6nr'!$A$1:$O$1310,4,FALSE)</f>
        <v>X</v>
      </c>
      <c r="BF242" s="201" t="str">
        <f>VLOOKUP($A242,'[3]allergenen 6nr'!$A$1:$O$1310,5,FALSE)</f>
        <v>+</v>
      </c>
      <c r="BG242" s="201" t="str">
        <f>VLOOKUP($A242,'[3]allergenen 6nr'!$A$1:$O$1310,6,FALSE)</f>
        <v>X</v>
      </c>
      <c r="BH242" s="201" t="str">
        <f>VLOOKUP($A242,'[3]allergenen 6nr'!$A$1:$O$1310,7,FALSE)</f>
        <v>-</v>
      </c>
      <c r="BI242" s="201" t="str">
        <f>VLOOKUP($A242,'[3]allergenen 6nr'!$A$1:$O$1310,8,FALSE)</f>
        <v>X</v>
      </c>
      <c r="BJ242" s="201" t="str">
        <f>VLOOKUP($A242,'[3]allergenen 6nr'!$A$1:$O$1310,9,FALSE)</f>
        <v>-</v>
      </c>
      <c r="BK242" s="201" t="str">
        <f>VLOOKUP($A242,'[3]allergenen 6nr'!$A$1:$O$1310,10,FALSE)</f>
        <v>-</v>
      </c>
      <c r="BL242" s="201" t="str">
        <f>VLOOKUP($A242,'[3]allergenen 6nr'!$A$1:$O$1310,11,FALSE)</f>
        <v>+</v>
      </c>
      <c r="BM242" s="201" t="str">
        <f>VLOOKUP($A242,'[3]allergenen 6nr'!$A$1:$O$1310,12,FALSE)</f>
        <v>-</v>
      </c>
      <c r="BN242" s="201" t="str">
        <f>VLOOKUP($A242,'[3]allergenen 6nr'!$A$1:$O$1310,13,FALSE)</f>
        <v>X</v>
      </c>
      <c r="BO242" s="201" t="str">
        <f>VLOOKUP($A242,'[3]allergenen 6nr'!$A$1:$O$1310,14,FALSE)</f>
        <v>-</v>
      </c>
      <c r="BP242" s="202" t="str">
        <f>VLOOKUP($A242,'[3]allergenen 6nr'!$A$1:$O$1310,15,FALSE)</f>
        <v>-</v>
      </c>
    </row>
    <row r="243" spans="1:68" x14ac:dyDescent="0.2">
      <c r="A243" s="89">
        <v>63809300</v>
      </c>
      <c r="B243" s="53" t="str">
        <f>VLOOKUP($A243,[1]maaltijden!$A$1:$IV$65536,4,FALSE)</f>
        <v>IGLO BE ZALM ASC GROENTEN MOSTERD BOTERPUREE 450G</v>
      </c>
      <c r="C243" s="46" t="str">
        <f>VLOOKUP($A243,[1]maaltijden!$A$1:$IV$65536,7,FALSE)</f>
        <v>UK-59</v>
      </c>
      <c r="D243" s="22" t="str">
        <f>VLOOKUP($A243,[1]maaltijden!$A$1:$IV$65536,10,FALSE)</f>
        <v>H22</v>
      </c>
      <c r="E243" s="22" t="str">
        <f>VLOOKUP($A243,[1]maaltijden!$A$1:$IV$65536,13,FALSE)</f>
        <v>Shrink H22 X 6</v>
      </c>
      <c r="F243" s="20">
        <f t="shared" si="3"/>
        <v>0</v>
      </c>
      <c r="G243" s="20" t="str">
        <f>VLOOKUP($A243,[1]maaltijden!$A$1:$IV$65536,27,FALSE)</f>
        <v>! ! ! !</v>
      </c>
      <c r="H243" s="22">
        <f>VLOOKUP($A243,[1]maaltijden!$A$1:$IV$65536,21,FALSE)</f>
        <v>7</v>
      </c>
      <c r="I243" s="22">
        <f>VLOOKUP($A243,[1]maaltijden!$A$1:$IV$65536,21,FALSE)</f>
        <v>7</v>
      </c>
      <c r="J243" s="22">
        <f>VLOOKUP($A243,[1]maaltijden!$A$1:$IV$65536,18,FALSE)</f>
        <v>2</v>
      </c>
      <c r="K243" s="22">
        <f>VLOOKUP($A243,[1]maaltijden!$A$1:$IV$65536,17,FALSE)</f>
        <v>3</v>
      </c>
      <c r="L243" s="22">
        <f>VLOOKUP($A243,[1]maaltijden!$A$1:$IV$65536,20,FALSE)</f>
        <v>3500</v>
      </c>
      <c r="M243" s="22">
        <f>VLOOKUP($A243,[1]maaltijden!$A$1:$IV$65536,22,FALSE)</f>
        <v>3500</v>
      </c>
      <c r="N243" s="135"/>
      <c r="O243" s="50"/>
      <c r="P243" s="19">
        <v>1</v>
      </c>
      <c r="Q243" s="20">
        <v>0</v>
      </c>
      <c r="R243" s="21">
        <v>0</v>
      </c>
      <c r="S243" s="19">
        <v>1</v>
      </c>
      <c r="T243" s="20">
        <v>0</v>
      </c>
      <c r="U243" s="19">
        <v>1</v>
      </c>
      <c r="V243" s="20">
        <v>1</v>
      </c>
      <c r="W243" s="20">
        <v>1</v>
      </c>
      <c r="X243" s="20">
        <v>1</v>
      </c>
      <c r="Y243" s="20">
        <v>1</v>
      </c>
      <c r="Z243" s="20">
        <v>0</v>
      </c>
      <c r="AA243" s="20">
        <v>0</v>
      </c>
      <c r="AB243" s="49">
        <v>0</v>
      </c>
      <c r="AC243" s="49">
        <v>0</v>
      </c>
      <c r="AD243" s="49">
        <v>0</v>
      </c>
      <c r="AE243" s="49">
        <v>0</v>
      </c>
      <c r="AF243" s="49">
        <v>1</v>
      </c>
      <c r="AG243" s="161">
        <v>0</v>
      </c>
      <c r="AH243" s="162">
        <v>3</v>
      </c>
      <c r="AI243" s="162">
        <v>0</v>
      </c>
      <c r="AJ243" s="162">
        <v>1</v>
      </c>
      <c r="AK243" s="162">
        <v>0</v>
      </c>
      <c r="AL243" s="163">
        <v>0</v>
      </c>
      <c r="AM243" s="19">
        <v>0</v>
      </c>
      <c r="AN243" s="20" t="str">
        <f>IFERROR(INDEX([2]lijnopstellingsfiche!$AP$1:$AP$65536,MATCH(A243,[2]lijnopstellingsfiche!$AQ$1:$AQ$65536,0)),"")</f>
        <v>-</v>
      </c>
      <c r="AO243" s="20">
        <v>0</v>
      </c>
      <c r="AP243" s="20">
        <v>0</v>
      </c>
      <c r="AQ243" s="20">
        <v>2</v>
      </c>
      <c r="AR243" s="20">
        <v>2</v>
      </c>
      <c r="AS243" s="20">
        <v>0</v>
      </c>
      <c r="AT243" s="20">
        <v>0</v>
      </c>
      <c r="AU243" s="20">
        <v>0</v>
      </c>
      <c r="AV243" s="23">
        <v>0</v>
      </c>
      <c r="AW243" s="108">
        <v>1</v>
      </c>
      <c r="AX243" s="108">
        <v>1</v>
      </c>
      <c r="AY243" s="108">
        <v>0</v>
      </c>
      <c r="AZ243" s="108">
        <v>0</v>
      </c>
      <c r="BA243" s="114">
        <v>0</v>
      </c>
      <c r="BB243" s="20">
        <v>0</v>
      </c>
      <c r="BC243" s="113">
        <v>1</v>
      </c>
      <c r="BD243" s="200" t="str">
        <f>VLOOKUP($A243,'[3]allergenen 6nr'!$A$1:$O$1310,3,FALSE)</f>
        <v>-</v>
      </c>
      <c r="BE243" s="201" t="str">
        <f>VLOOKUP($A243,'[3]allergenen 6nr'!$A$1:$O$1310,4,FALSE)</f>
        <v>+</v>
      </c>
      <c r="BF243" s="201" t="str">
        <f>VLOOKUP($A243,'[3]allergenen 6nr'!$A$1:$O$1310,5,FALSE)</f>
        <v>+</v>
      </c>
      <c r="BG243" s="201" t="str">
        <f>VLOOKUP($A243,'[3]allergenen 6nr'!$A$1:$O$1310,6,FALSE)</f>
        <v>-</v>
      </c>
      <c r="BH243" s="201" t="str">
        <f>VLOOKUP($A243,'[3]allergenen 6nr'!$A$1:$O$1310,7,FALSE)</f>
        <v>+</v>
      </c>
      <c r="BI243" s="201" t="str">
        <f>VLOOKUP($A243,'[3]allergenen 6nr'!$A$1:$O$1310,8,FALSE)</f>
        <v>+</v>
      </c>
      <c r="BJ243" s="201" t="str">
        <f>VLOOKUP($A243,'[3]allergenen 6nr'!$A$1:$O$1310,9,FALSE)</f>
        <v>-</v>
      </c>
      <c r="BK243" s="201" t="str">
        <f>VLOOKUP($A243,'[3]allergenen 6nr'!$A$1:$O$1310,10,FALSE)</f>
        <v>-</v>
      </c>
      <c r="BL243" s="201" t="str">
        <f>VLOOKUP($A243,'[3]allergenen 6nr'!$A$1:$O$1310,11,FALSE)</f>
        <v>+</v>
      </c>
      <c r="BM243" s="201" t="str">
        <f>VLOOKUP($A243,'[3]allergenen 6nr'!$A$1:$O$1310,12,FALSE)</f>
        <v>-</v>
      </c>
      <c r="BN243" s="201" t="str">
        <f>VLOOKUP($A243,'[3]allergenen 6nr'!$A$1:$O$1310,13,FALSE)</f>
        <v>-</v>
      </c>
      <c r="BO243" s="201" t="str">
        <f>VLOOKUP($A243,'[3]allergenen 6nr'!$A$1:$O$1310,14,FALSE)</f>
        <v>+</v>
      </c>
      <c r="BP243" s="202" t="str">
        <f>VLOOKUP($A243,'[3]allergenen 6nr'!$A$1:$O$1310,15,FALSE)</f>
        <v>-</v>
      </c>
    </row>
    <row r="244" spans="1:68" x14ac:dyDescent="0.2">
      <c r="A244" s="89">
        <v>63809400</v>
      </c>
      <c r="B244" s="53" t="str">
        <f>VLOOKUP($A244,[1]maaltijden!$A$1:$IV$65536,4,FALSE)</f>
        <v>IGLO BE KABELJAUW MSC GROENTEN WITTE WIJNSAUS PUREE 450G</v>
      </c>
      <c r="C244" s="46" t="str">
        <f>VLOOKUP($A244,[1]maaltijden!$A$1:$IV$65536,7,FALSE)</f>
        <v>UK-59</v>
      </c>
      <c r="D244" s="22" t="str">
        <f>VLOOKUP($A244,[1]maaltijden!$A$1:$IV$65536,10,FALSE)</f>
        <v>H22</v>
      </c>
      <c r="E244" s="22" t="str">
        <f>VLOOKUP($A244,[1]maaltijden!$A$1:$IV$65536,13,FALSE)</f>
        <v>Shrink H22 X 6</v>
      </c>
      <c r="F244" s="20">
        <f t="shared" si="3"/>
        <v>0</v>
      </c>
      <c r="G244" s="20" t="str">
        <f>VLOOKUP($A244,[1]maaltijden!$A$1:$IV$65536,27,FALSE)</f>
        <v>! ! ! !</v>
      </c>
      <c r="H244" s="22">
        <f>VLOOKUP($A244,[1]maaltijden!$A$1:$IV$65536,21,FALSE)</f>
        <v>6</v>
      </c>
      <c r="I244" s="22">
        <f>VLOOKUP($A244,[1]maaltijden!$A$1:$IV$65536,21,FALSE)</f>
        <v>6</v>
      </c>
      <c r="J244" s="22">
        <f>VLOOKUP($A244,[1]maaltijden!$A$1:$IV$65536,18,FALSE)</f>
        <v>2</v>
      </c>
      <c r="K244" s="22">
        <f>VLOOKUP($A244,[1]maaltijden!$A$1:$IV$65536,17,FALSE)</f>
        <v>3</v>
      </c>
      <c r="L244" s="22">
        <f>VLOOKUP($A244,[1]maaltijden!$A$1:$IV$65536,20,FALSE)</f>
        <v>3500</v>
      </c>
      <c r="M244" s="22">
        <f>VLOOKUP($A244,[1]maaltijden!$A$1:$IV$65536,22,FALSE)</f>
        <v>3500</v>
      </c>
      <c r="N244" s="135"/>
      <c r="O244" s="50"/>
      <c r="P244" s="19">
        <v>1</v>
      </c>
      <c r="Q244" s="20">
        <v>0</v>
      </c>
      <c r="R244" s="21">
        <v>0</v>
      </c>
      <c r="S244" s="19">
        <v>1</v>
      </c>
      <c r="T244" s="20">
        <v>0</v>
      </c>
      <c r="U244" s="19">
        <v>1</v>
      </c>
      <c r="V244" s="20">
        <v>1</v>
      </c>
      <c r="W244" s="20">
        <v>1</v>
      </c>
      <c r="X244" s="20">
        <v>1</v>
      </c>
      <c r="Y244" s="20">
        <v>1</v>
      </c>
      <c r="Z244" s="20">
        <v>0</v>
      </c>
      <c r="AA244" s="20">
        <v>0</v>
      </c>
      <c r="AB244" s="49">
        <v>0</v>
      </c>
      <c r="AC244" s="49">
        <v>0</v>
      </c>
      <c r="AD244" s="49">
        <v>0</v>
      </c>
      <c r="AE244" s="49">
        <v>0</v>
      </c>
      <c r="AF244" s="49">
        <v>1</v>
      </c>
      <c r="AG244" s="161">
        <v>0</v>
      </c>
      <c r="AH244" s="162">
        <v>3</v>
      </c>
      <c r="AI244" s="162">
        <v>1</v>
      </c>
      <c r="AJ244" s="162">
        <v>0</v>
      </c>
      <c r="AK244" s="162">
        <v>0</v>
      </c>
      <c r="AL244" s="163">
        <v>0</v>
      </c>
      <c r="AM244" s="19">
        <v>0</v>
      </c>
      <c r="AN244" s="20" t="str">
        <f>IFERROR(INDEX([2]lijnopstellingsfiche!$AP$1:$AP$65536,MATCH(A244,[2]lijnopstellingsfiche!$AQ$1:$AQ$65536,0)),"")</f>
        <v>-</v>
      </c>
      <c r="AO244" s="20">
        <v>0</v>
      </c>
      <c r="AP244" s="20">
        <v>0</v>
      </c>
      <c r="AQ244" s="20">
        <v>2</v>
      </c>
      <c r="AR244" s="20">
        <v>2</v>
      </c>
      <c r="AS244" s="20">
        <v>0</v>
      </c>
      <c r="AT244" s="20">
        <v>0</v>
      </c>
      <c r="AU244" s="20">
        <v>0</v>
      </c>
      <c r="AV244" s="23">
        <v>0</v>
      </c>
      <c r="AW244" s="108">
        <v>1</v>
      </c>
      <c r="AX244" s="108">
        <v>1</v>
      </c>
      <c r="AY244" s="108">
        <v>0</v>
      </c>
      <c r="AZ244" s="108">
        <v>0</v>
      </c>
      <c r="BA244" s="114">
        <v>0</v>
      </c>
      <c r="BB244" s="20">
        <v>0</v>
      </c>
      <c r="BC244" s="113">
        <v>1</v>
      </c>
      <c r="BD244" s="200" t="str">
        <f>VLOOKUP($A244,'[3]allergenen 6nr'!$A$1:$O$1310,3,FALSE)</f>
        <v>-</v>
      </c>
      <c r="BE244" s="201" t="str">
        <f>VLOOKUP($A244,'[3]allergenen 6nr'!$A$1:$O$1310,4,FALSE)</f>
        <v>+</v>
      </c>
      <c r="BF244" s="201" t="str">
        <f>VLOOKUP($A244,'[3]allergenen 6nr'!$A$1:$O$1310,5,FALSE)</f>
        <v>+</v>
      </c>
      <c r="BG244" s="201" t="str">
        <f>VLOOKUP($A244,'[3]allergenen 6nr'!$A$1:$O$1310,6,FALSE)</f>
        <v>-</v>
      </c>
      <c r="BH244" s="201" t="str">
        <f>VLOOKUP($A244,'[3]allergenen 6nr'!$A$1:$O$1310,7,FALSE)</f>
        <v>+</v>
      </c>
      <c r="BI244" s="201" t="str">
        <f>VLOOKUP($A244,'[3]allergenen 6nr'!$A$1:$O$1310,8,FALSE)</f>
        <v>-</v>
      </c>
      <c r="BJ244" s="201" t="str">
        <f>VLOOKUP($A244,'[3]allergenen 6nr'!$A$1:$O$1310,9,FALSE)</f>
        <v>-</v>
      </c>
      <c r="BK244" s="201" t="str">
        <f>VLOOKUP($A244,'[3]allergenen 6nr'!$A$1:$O$1310,10,FALSE)</f>
        <v>-</v>
      </c>
      <c r="BL244" s="201" t="str">
        <f>VLOOKUP($A244,'[3]allergenen 6nr'!$A$1:$O$1310,11,FALSE)</f>
        <v>+</v>
      </c>
      <c r="BM244" s="201" t="str">
        <f>VLOOKUP($A244,'[3]allergenen 6nr'!$A$1:$O$1310,12,FALSE)</f>
        <v>-</v>
      </c>
      <c r="BN244" s="201" t="str">
        <f>VLOOKUP($A244,'[3]allergenen 6nr'!$A$1:$O$1310,13,FALSE)</f>
        <v>-</v>
      </c>
      <c r="BO244" s="201" t="str">
        <f>VLOOKUP($A244,'[3]allergenen 6nr'!$A$1:$O$1310,14,FALSE)</f>
        <v>+</v>
      </c>
      <c r="BP244" s="202" t="str">
        <f>VLOOKUP($A244,'[3]allergenen 6nr'!$A$1:$O$1310,15,FALSE)</f>
        <v>-</v>
      </c>
    </row>
    <row r="245" spans="1:68" x14ac:dyDescent="0.2">
      <c r="A245" s="89">
        <v>63809600</v>
      </c>
      <c r="B245" s="53" t="str">
        <f>VLOOKUP($A245,[1]maaltijden!$A$1:$IV$65536,4,FALSE)</f>
        <v>IGLO BE RUNDSTONG MADEIRASAUS PUREE 450G</v>
      </c>
      <c r="C245" s="46" t="str">
        <f>VLOOKUP($A245,[1]maaltijden!$A$1:$IV$65536,7,FALSE)</f>
        <v>UK-59</v>
      </c>
      <c r="D245" s="22" t="str">
        <f>VLOOKUP($A245,[1]maaltijden!$A$1:$IV$65536,10,FALSE)</f>
        <v>H22</v>
      </c>
      <c r="E245" s="22" t="str">
        <f>VLOOKUP($A245,[1]maaltijden!$A$1:$IV$65536,13,FALSE)</f>
        <v>Shrink H22 X 6</v>
      </c>
      <c r="F245" s="20">
        <f t="shared" si="3"/>
        <v>0</v>
      </c>
      <c r="G245" s="20" t="str">
        <f>VLOOKUP($A245,[1]maaltijden!$A$1:$IV$65536,27,FALSE)</f>
        <v>! ! !</v>
      </c>
      <c r="H245" s="22">
        <f>VLOOKUP($A245,[1]maaltijden!$A$1:$IV$65536,21,FALSE)</f>
        <v>10</v>
      </c>
      <c r="I245" s="22">
        <f>VLOOKUP($A245,[1]maaltijden!$A$1:$IV$65536,21,FALSE)</f>
        <v>10</v>
      </c>
      <c r="J245" s="22">
        <f>VLOOKUP($A245,[1]maaltijden!$A$1:$IV$65536,18,FALSE)</f>
        <v>2</v>
      </c>
      <c r="K245" s="22">
        <f>VLOOKUP($A245,[1]maaltijden!$A$1:$IV$65536,17,FALSE)</f>
        <v>2</v>
      </c>
      <c r="L245" s="22">
        <f>VLOOKUP($A245,[1]maaltijden!$A$1:$IV$65536,20,FALSE)</f>
        <v>3500</v>
      </c>
      <c r="M245" s="22">
        <f>VLOOKUP($A245,[1]maaltijden!$A$1:$IV$65536,22,FALSE)</f>
        <v>3500</v>
      </c>
      <c r="N245" s="135"/>
      <c r="O245" s="50"/>
      <c r="P245" s="19">
        <v>1</v>
      </c>
      <c r="Q245" s="20">
        <v>0</v>
      </c>
      <c r="R245" s="21">
        <v>0</v>
      </c>
      <c r="S245" s="19">
        <v>1</v>
      </c>
      <c r="T245" s="20">
        <v>0</v>
      </c>
      <c r="U245" s="19">
        <v>0</v>
      </c>
      <c r="V245" s="20">
        <v>1</v>
      </c>
      <c r="W245" s="20">
        <v>1</v>
      </c>
      <c r="X245" s="20">
        <v>1</v>
      </c>
      <c r="Y245" s="20">
        <v>1</v>
      </c>
      <c r="Z245" s="20">
        <v>1</v>
      </c>
      <c r="AA245" s="20">
        <v>1</v>
      </c>
      <c r="AB245" s="49">
        <v>1</v>
      </c>
      <c r="AC245" s="49">
        <v>0</v>
      </c>
      <c r="AD245" s="49">
        <v>0</v>
      </c>
      <c r="AE245" s="49">
        <v>1</v>
      </c>
      <c r="AF245" s="49">
        <v>0</v>
      </c>
      <c r="AG245" s="161">
        <v>0</v>
      </c>
      <c r="AH245" s="162">
        <v>1</v>
      </c>
      <c r="AI245" s="162">
        <v>2</v>
      </c>
      <c r="AJ245" s="162">
        <v>0</v>
      </c>
      <c r="AK245" s="162">
        <v>0</v>
      </c>
      <c r="AL245" s="163">
        <v>0</v>
      </c>
      <c r="AM245" s="19">
        <v>0</v>
      </c>
      <c r="AN245" s="20">
        <f>IFERROR(INDEX([2]lijnopstellingsfiche!$AP$1:$AP$65536,MATCH(A245,[2]lijnopstellingsfiche!$AQ$1:$AQ$65536,0)),"")</f>
        <v>8</v>
      </c>
      <c r="AO245" s="20">
        <v>0</v>
      </c>
      <c r="AP245" s="20">
        <v>0</v>
      </c>
      <c r="AQ245" s="20">
        <v>2</v>
      </c>
      <c r="AR245" s="20">
        <v>2</v>
      </c>
      <c r="AS245" s="20">
        <v>0</v>
      </c>
      <c r="AT245" s="20">
        <v>0</v>
      </c>
      <c r="AU245" s="20">
        <v>0</v>
      </c>
      <c r="AV245" s="23">
        <v>0</v>
      </c>
      <c r="AW245" s="108">
        <v>1</v>
      </c>
      <c r="AX245" s="108">
        <v>1</v>
      </c>
      <c r="AY245" s="108">
        <v>0</v>
      </c>
      <c r="AZ245" s="108">
        <v>0</v>
      </c>
      <c r="BA245" s="114">
        <v>0</v>
      </c>
      <c r="BB245" s="20">
        <v>0</v>
      </c>
      <c r="BC245" s="113">
        <v>1</v>
      </c>
      <c r="BD245" s="200" t="str">
        <f>VLOOKUP($A245,'[3]allergenen 6nr'!$A$1:$O$1310,3,FALSE)</f>
        <v>-</v>
      </c>
      <c r="BE245" s="201" t="str">
        <f>VLOOKUP($A245,'[3]allergenen 6nr'!$A$1:$O$1310,4,FALSE)</f>
        <v>+</v>
      </c>
      <c r="BF245" s="201" t="str">
        <f>VLOOKUP($A245,'[3]allergenen 6nr'!$A$1:$O$1310,5,FALSE)</f>
        <v>+</v>
      </c>
      <c r="BG245" s="201" t="str">
        <f>VLOOKUP($A245,'[3]allergenen 6nr'!$A$1:$O$1310,6,FALSE)</f>
        <v>-</v>
      </c>
      <c r="BH245" s="201" t="str">
        <f>VLOOKUP($A245,'[3]allergenen 6nr'!$A$1:$O$1310,7,FALSE)</f>
        <v>+</v>
      </c>
      <c r="BI245" s="201" t="str">
        <f>VLOOKUP($A245,'[3]allergenen 6nr'!$A$1:$O$1310,8,FALSE)</f>
        <v>-</v>
      </c>
      <c r="BJ245" s="201" t="str">
        <f>VLOOKUP($A245,'[3]allergenen 6nr'!$A$1:$O$1310,9,FALSE)</f>
        <v>-</v>
      </c>
      <c r="BK245" s="201" t="str">
        <f>VLOOKUP($A245,'[3]allergenen 6nr'!$A$1:$O$1310,10,FALSE)</f>
        <v>-</v>
      </c>
      <c r="BL245" s="201" t="str">
        <f>VLOOKUP($A245,'[3]allergenen 6nr'!$A$1:$O$1310,11,FALSE)</f>
        <v>+</v>
      </c>
      <c r="BM245" s="201" t="str">
        <f>VLOOKUP($A245,'[3]allergenen 6nr'!$A$1:$O$1310,12,FALSE)</f>
        <v>-</v>
      </c>
      <c r="BN245" s="201" t="str">
        <f>VLOOKUP($A245,'[3]allergenen 6nr'!$A$1:$O$1310,13,FALSE)</f>
        <v>-</v>
      </c>
      <c r="BO245" s="201" t="str">
        <f>VLOOKUP($A245,'[3]allergenen 6nr'!$A$1:$O$1310,14,FALSE)</f>
        <v>-</v>
      </c>
      <c r="BP245" s="202" t="str">
        <f>VLOOKUP($A245,'[3]allergenen 6nr'!$A$1:$O$1310,15,FALSE)</f>
        <v>-</v>
      </c>
    </row>
    <row r="246" spans="1:68" x14ac:dyDescent="0.2">
      <c r="A246" s="89">
        <v>63810000</v>
      </c>
      <c r="B246" s="53" t="str">
        <f>VLOOKUP($A246,[1]maaltijden!$A$1:$IV$65536,4,FALSE)</f>
        <v>IGLO BE VOL AU VENT PUREE PETERSELIE 425G</v>
      </c>
      <c r="C246" s="46" t="str">
        <f>VLOOKUP($A246,[1]maaltijden!$A$1:$IV$65536,7,FALSE)</f>
        <v>UK-59</v>
      </c>
      <c r="D246" s="22" t="str">
        <f>VLOOKUP($A246,[1]maaltijden!$A$1:$IV$65536,10,FALSE)</f>
        <v>H22</v>
      </c>
      <c r="E246" s="22" t="str">
        <f>VLOOKUP($A246,[1]maaltijden!$A$1:$IV$65536,13,FALSE)</f>
        <v>Shrink H22 X 6</v>
      </c>
      <c r="F246" s="20">
        <f t="shared" si="3"/>
        <v>0</v>
      </c>
      <c r="G246" s="20" t="str">
        <f>VLOOKUP($A246,[1]maaltijden!$A$1:$IV$65536,27,FALSE)</f>
        <v>! ! !</v>
      </c>
      <c r="H246" s="22">
        <f>VLOOKUP($A246,[1]maaltijden!$A$1:$IV$65536,21,FALSE)</f>
        <v>2</v>
      </c>
      <c r="I246" s="22">
        <f>VLOOKUP($A246,[1]maaltijden!$A$1:$IV$65536,21,FALSE)</f>
        <v>2</v>
      </c>
      <c r="J246" s="22">
        <f>VLOOKUP($A246,[1]maaltijden!$A$1:$IV$65536,18,FALSE)</f>
        <v>2</v>
      </c>
      <c r="K246" s="22">
        <f>VLOOKUP($A246,[1]maaltijden!$A$1:$IV$65536,17,FALSE)</f>
        <v>3</v>
      </c>
      <c r="L246" s="22">
        <f>VLOOKUP($A246,[1]maaltijden!$A$1:$IV$65536,20,FALSE)</f>
        <v>3500</v>
      </c>
      <c r="M246" s="22">
        <f>VLOOKUP($A246,[1]maaltijden!$A$1:$IV$65536,22,FALSE)</f>
        <v>3500</v>
      </c>
      <c r="N246" s="135"/>
      <c r="O246" s="50"/>
      <c r="P246" s="19">
        <v>1</v>
      </c>
      <c r="Q246" s="20">
        <v>0</v>
      </c>
      <c r="R246" s="21">
        <v>0</v>
      </c>
      <c r="S246" s="19">
        <v>1</v>
      </c>
      <c r="T246" s="20">
        <v>0</v>
      </c>
      <c r="U246" s="19">
        <v>1</v>
      </c>
      <c r="V246" s="20">
        <v>1</v>
      </c>
      <c r="W246" s="20">
        <v>1</v>
      </c>
      <c r="X246" s="20">
        <v>1</v>
      </c>
      <c r="Y246" s="20">
        <v>1</v>
      </c>
      <c r="Z246" s="20">
        <v>0</v>
      </c>
      <c r="AA246" s="20">
        <v>0</v>
      </c>
      <c r="AB246" s="49">
        <v>0</v>
      </c>
      <c r="AC246" s="49">
        <v>0</v>
      </c>
      <c r="AD246" s="49">
        <v>0</v>
      </c>
      <c r="AE246" s="49">
        <v>0</v>
      </c>
      <c r="AF246" s="49">
        <v>0</v>
      </c>
      <c r="AG246" s="161">
        <v>0</v>
      </c>
      <c r="AH246" s="162">
        <v>3</v>
      </c>
      <c r="AI246" s="162">
        <v>0</v>
      </c>
      <c r="AJ246" s="162">
        <v>0</v>
      </c>
      <c r="AK246" s="162">
        <v>0</v>
      </c>
      <c r="AL246" s="163">
        <v>0</v>
      </c>
      <c r="AM246" s="19">
        <v>0</v>
      </c>
      <c r="AN246" s="20" t="str">
        <f>IFERROR(INDEX([2]lijnopstellingsfiche!$AP$1:$AP$65536,MATCH(A246,[2]lijnopstellingsfiche!$AQ$1:$AQ$65536,0)),"")</f>
        <v>-</v>
      </c>
      <c r="AO246" s="20">
        <v>0</v>
      </c>
      <c r="AP246" s="20">
        <v>0</v>
      </c>
      <c r="AQ246" s="20">
        <v>2</v>
      </c>
      <c r="AR246" s="20">
        <v>2</v>
      </c>
      <c r="AS246" s="20">
        <v>0</v>
      </c>
      <c r="AT246" s="20">
        <v>0</v>
      </c>
      <c r="AU246" s="20">
        <v>0</v>
      </c>
      <c r="AV246" s="23">
        <v>0</v>
      </c>
      <c r="AW246" s="108">
        <v>1</v>
      </c>
      <c r="AX246" s="108">
        <v>1</v>
      </c>
      <c r="AY246" s="108">
        <v>0</v>
      </c>
      <c r="AZ246" s="108">
        <v>0</v>
      </c>
      <c r="BA246" s="114">
        <v>0</v>
      </c>
      <c r="BB246" s="20">
        <v>0</v>
      </c>
      <c r="BC246" s="113">
        <v>1</v>
      </c>
      <c r="BD246" s="200" t="str">
        <f>VLOOKUP($A246,'[3]allergenen 6nr'!$A$1:$O$1310,3,FALSE)</f>
        <v>-</v>
      </c>
      <c r="BE246" s="201" t="str">
        <f>VLOOKUP($A246,'[3]allergenen 6nr'!$A$1:$O$1310,4,FALSE)</f>
        <v>+</v>
      </c>
      <c r="BF246" s="201" t="str">
        <f>VLOOKUP($A246,'[3]allergenen 6nr'!$A$1:$O$1310,5,FALSE)</f>
        <v>+</v>
      </c>
      <c r="BG246" s="201" t="str">
        <f>VLOOKUP($A246,'[3]allergenen 6nr'!$A$1:$O$1310,6,FALSE)</f>
        <v>-</v>
      </c>
      <c r="BH246" s="201" t="str">
        <f>VLOOKUP($A246,'[3]allergenen 6nr'!$A$1:$O$1310,7,FALSE)</f>
        <v>+</v>
      </c>
      <c r="BI246" s="201" t="str">
        <f>VLOOKUP($A246,'[3]allergenen 6nr'!$A$1:$O$1310,8,FALSE)</f>
        <v>X</v>
      </c>
      <c r="BJ246" s="201" t="str">
        <f>VLOOKUP($A246,'[3]allergenen 6nr'!$A$1:$O$1310,9,FALSE)</f>
        <v>-</v>
      </c>
      <c r="BK246" s="201" t="str">
        <f>VLOOKUP($A246,'[3]allergenen 6nr'!$A$1:$O$1310,10,FALSE)</f>
        <v>X</v>
      </c>
      <c r="BL246" s="201" t="str">
        <f>VLOOKUP($A246,'[3]allergenen 6nr'!$A$1:$O$1310,11,FALSE)</f>
        <v>+</v>
      </c>
      <c r="BM246" s="201" t="str">
        <f>VLOOKUP($A246,'[3]allergenen 6nr'!$A$1:$O$1310,12,FALSE)</f>
        <v>-</v>
      </c>
      <c r="BN246" s="201" t="str">
        <f>VLOOKUP($A246,'[3]allergenen 6nr'!$A$1:$O$1310,13,FALSE)</f>
        <v>X</v>
      </c>
      <c r="BO246" s="201" t="str">
        <f>VLOOKUP($A246,'[3]allergenen 6nr'!$A$1:$O$1310,14,FALSE)</f>
        <v>X</v>
      </c>
      <c r="BP246" s="202" t="str">
        <f>VLOOKUP($A246,'[3]allergenen 6nr'!$A$1:$O$1310,15,FALSE)</f>
        <v>X</v>
      </c>
    </row>
    <row r="247" spans="1:68" x14ac:dyDescent="0.2">
      <c r="A247" s="89">
        <v>63810100</v>
      </c>
      <c r="B247" s="53" t="str">
        <f>VLOOKUP($A247,[1]maaltijden!$A$1:$IV$65536,4,FALSE)</f>
        <v>IGLO BE KIPFILET WITLOOFSAUS PUREE 425G</v>
      </c>
      <c r="C247" s="46" t="str">
        <f>VLOOKUP($A247,[1]maaltijden!$A$1:$IV$65536,7,FALSE)</f>
        <v>UK-59</v>
      </c>
      <c r="D247" s="22" t="str">
        <f>VLOOKUP($A247,[1]maaltijden!$A$1:$IV$65536,10,FALSE)</f>
        <v>H22</v>
      </c>
      <c r="E247" s="22" t="str">
        <f>VLOOKUP($A247,[1]maaltijden!$A$1:$IV$65536,13,FALSE)</f>
        <v>Shrink H22 X 6</v>
      </c>
      <c r="F247" s="20">
        <f t="shared" si="3"/>
        <v>0</v>
      </c>
      <c r="G247" s="20" t="str">
        <f>VLOOKUP($A247,[1]maaltijden!$A$1:$IV$65536,27,FALSE)</f>
        <v>! !</v>
      </c>
      <c r="H247" s="22">
        <f>VLOOKUP($A247,[1]maaltijden!$A$1:$IV$65536,21,FALSE)</f>
        <v>4</v>
      </c>
      <c r="I247" s="22">
        <f>VLOOKUP($A247,[1]maaltijden!$A$1:$IV$65536,21,FALSE)</f>
        <v>4</v>
      </c>
      <c r="J247" s="22">
        <f>VLOOKUP($A247,[1]maaltijden!$A$1:$IV$65536,18,FALSE)</f>
        <v>2</v>
      </c>
      <c r="K247" s="22">
        <f>VLOOKUP($A247,[1]maaltijden!$A$1:$IV$65536,17,FALSE)</f>
        <v>2</v>
      </c>
      <c r="L247" s="22">
        <f>VLOOKUP($A247,[1]maaltijden!$A$1:$IV$65536,20,FALSE)</f>
        <v>3500</v>
      </c>
      <c r="M247" s="22">
        <f>VLOOKUP($A247,[1]maaltijden!$A$1:$IV$65536,22,FALSE)</f>
        <v>3500</v>
      </c>
      <c r="N247" s="135"/>
      <c r="O247" s="50"/>
      <c r="P247" s="19">
        <v>1</v>
      </c>
      <c r="Q247" s="20">
        <v>0</v>
      </c>
      <c r="R247" s="21">
        <v>0</v>
      </c>
      <c r="S247" s="19">
        <v>1</v>
      </c>
      <c r="T247" s="20">
        <v>0</v>
      </c>
      <c r="U247" s="19">
        <v>0</v>
      </c>
      <c r="V247" s="20">
        <v>1</v>
      </c>
      <c r="W247" s="20">
        <v>1</v>
      </c>
      <c r="X247" s="20">
        <v>1</v>
      </c>
      <c r="Y247" s="20">
        <v>1</v>
      </c>
      <c r="Z247" s="20">
        <v>1</v>
      </c>
      <c r="AA247" s="20">
        <v>0</v>
      </c>
      <c r="AB247" s="49">
        <v>1</v>
      </c>
      <c r="AC247" s="49">
        <v>0</v>
      </c>
      <c r="AD247" s="49">
        <v>0</v>
      </c>
      <c r="AE247" s="49">
        <v>1</v>
      </c>
      <c r="AF247" s="49">
        <v>0</v>
      </c>
      <c r="AG247" s="161">
        <v>0</v>
      </c>
      <c r="AH247" s="162">
        <v>2</v>
      </c>
      <c r="AI247" s="162">
        <v>1</v>
      </c>
      <c r="AJ247" s="162">
        <v>0</v>
      </c>
      <c r="AK247" s="162">
        <v>0</v>
      </c>
      <c r="AL247" s="163">
        <v>0</v>
      </c>
      <c r="AM247" s="19">
        <v>0</v>
      </c>
      <c r="AN247" s="20" t="str">
        <f>IFERROR(INDEX([2]lijnopstellingsfiche!$AP$1:$AP$65536,MATCH(A247,[2]lijnopstellingsfiche!$AQ$1:$AQ$65536,0)),"")</f>
        <v>-</v>
      </c>
      <c r="AO247" s="20">
        <v>0</v>
      </c>
      <c r="AP247" s="20">
        <v>0</v>
      </c>
      <c r="AQ247" s="20">
        <v>2</v>
      </c>
      <c r="AR247" s="20">
        <v>2</v>
      </c>
      <c r="AS247" s="20">
        <v>0</v>
      </c>
      <c r="AT247" s="20">
        <v>0</v>
      </c>
      <c r="AU247" s="20">
        <v>0</v>
      </c>
      <c r="AV247" s="23">
        <v>0</v>
      </c>
      <c r="AW247" s="108">
        <v>1</v>
      </c>
      <c r="AX247" s="108">
        <v>1</v>
      </c>
      <c r="AY247" s="108">
        <v>0</v>
      </c>
      <c r="AZ247" s="108">
        <v>0</v>
      </c>
      <c r="BA247" s="114">
        <v>0</v>
      </c>
      <c r="BB247" s="20">
        <v>0</v>
      </c>
      <c r="BC247" s="113">
        <v>1</v>
      </c>
      <c r="BD247" s="200" t="str">
        <f>VLOOKUP($A247,'[3]allergenen 6nr'!$A$1:$O$1310,3,FALSE)</f>
        <v>-</v>
      </c>
      <c r="BE247" s="201" t="str">
        <f>VLOOKUP($A247,'[3]allergenen 6nr'!$A$1:$O$1310,4,FALSE)</f>
        <v>+</v>
      </c>
      <c r="BF247" s="201" t="str">
        <f>VLOOKUP($A247,'[3]allergenen 6nr'!$A$1:$O$1310,5,FALSE)</f>
        <v>+</v>
      </c>
      <c r="BG247" s="201" t="str">
        <f>VLOOKUP($A247,'[3]allergenen 6nr'!$A$1:$O$1310,6,FALSE)</f>
        <v>X</v>
      </c>
      <c r="BH247" s="201" t="str">
        <f>VLOOKUP($A247,'[3]allergenen 6nr'!$A$1:$O$1310,7,FALSE)</f>
        <v>+</v>
      </c>
      <c r="BI247" s="201" t="str">
        <f>VLOOKUP($A247,'[3]allergenen 6nr'!$A$1:$O$1310,8,FALSE)</f>
        <v>X</v>
      </c>
      <c r="BJ247" s="201" t="str">
        <f>VLOOKUP($A247,'[3]allergenen 6nr'!$A$1:$O$1310,9,FALSE)</f>
        <v>-</v>
      </c>
      <c r="BK247" s="201" t="str">
        <f>VLOOKUP($A247,'[3]allergenen 6nr'!$A$1:$O$1310,10,FALSE)</f>
        <v>-</v>
      </c>
      <c r="BL247" s="201" t="str">
        <f>VLOOKUP($A247,'[3]allergenen 6nr'!$A$1:$O$1310,11,FALSE)</f>
        <v>X</v>
      </c>
      <c r="BM247" s="201" t="str">
        <f>VLOOKUP($A247,'[3]allergenen 6nr'!$A$1:$O$1310,12,FALSE)</f>
        <v>-</v>
      </c>
      <c r="BN247" s="201" t="str">
        <f>VLOOKUP($A247,'[3]allergenen 6nr'!$A$1:$O$1310,13,FALSE)</f>
        <v>X</v>
      </c>
      <c r="BO247" s="201" t="str">
        <f>VLOOKUP($A247,'[3]allergenen 6nr'!$A$1:$O$1310,14,FALSE)</f>
        <v>-</v>
      </c>
      <c r="BP247" s="202" t="str">
        <f>VLOOKUP($A247,'[3]allergenen 6nr'!$A$1:$O$1310,15,FALSE)</f>
        <v>-</v>
      </c>
    </row>
    <row r="248" spans="1:68" x14ac:dyDescent="0.2">
      <c r="A248" s="89">
        <v>63810200</v>
      </c>
      <c r="B248" s="53" t="str">
        <f>VLOOKUP($A248,[1]maaltijden!$A$1:$IV$65536,4,FALSE)</f>
        <v>IGLO BE KIPFILET ARCHIDUCSAUS PUREE 425G</v>
      </c>
      <c r="C248" s="46" t="str">
        <f>VLOOKUP($A248,[1]maaltijden!$A$1:$IV$65536,7,FALSE)</f>
        <v>UK-59</v>
      </c>
      <c r="D248" s="22" t="str">
        <f>VLOOKUP($A248,[1]maaltijden!$A$1:$IV$65536,10,FALSE)</f>
        <v>H22</v>
      </c>
      <c r="E248" s="22" t="str">
        <f>VLOOKUP($A248,[1]maaltijden!$A$1:$IV$65536,13,FALSE)</f>
        <v>Shrink H22 X 6</v>
      </c>
      <c r="F248" s="20">
        <f t="shared" si="3"/>
        <v>0</v>
      </c>
      <c r="G248" s="20" t="str">
        <f>VLOOKUP($A248,[1]maaltijden!$A$1:$IV$65536,27,FALSE)</f>
        <v>! !</v>
      </c>
      <c r="H248" s="22">
        <f>VLOOKUP($A248,[1]maaltijden!$A$1:$IV$65536,21,FALSE)</f>
        <v>4</v>
      </c>
      <c r="I248" s="22">
        <f>VLOOKUP($A248,[1]maaltijden!$A$1:$IV$65536,21,FALSE)</f>
        <v>4</v>
      </c>
      <c r="J248" s="22">
        <f>VLOOKUP($A248,[1]maaltijden!$A$1:$IV$65536,18,FALSE)</f>
        <v>2</v>
      </c>
      <c r="K248" s="22">
        <f>VLOOKUP($A248,[1]maaltijden!$A$1:$IV$65536,17,FALSE)</f>
        <v>2</v>
      </c>
      <c r="L248" s="22">
        <f>VLOOKUP($A248,[1]maaltijden!$A$1:$IV$65536,20,FALSE)</f>
        <v>3500</v>
      </c>
      <c r="M248" s="22">
        <f>VLOOKUP($A248,[1]maaltijden!$A$1:$IV$65536,22,FALSE)</f>
        <v>3500</v>
      </c>
      <c r="N248" s="135"/>
      <c r="O248" s="50"/>
      <c r="P248" s="19">
        <v>1</v>
      </c>
      <c r="Q248" s="20">
        <v>0</v>
      </c>
      <c r="R248" s="21">
        <v>0</v>
      </c>
      <c r="S248" s="19">
        <v>1</v>
      </c>
      <c r="T248" s="20">
        <v>0</v>
      </c>
      <c r="U248" s="19">
        <v>1</v>
      </c>
      <c r="V248" s="20">
        <v>1</v>
      </c>
      <c r="W248" s="20">
        <v>1</v>
      </c>
      <c r="X248" s="20">
        <v>1</v>
      </c>
      <c r="Y248" s="20">
        <v>1</v>
      </c>
      <c r="Z248" s="20">
        <v>0</v>
      </c>
      <c r="AA248" s="20">
        <v>0</v>
      </c>
      <c r="AB248" s="49">
        <v>0</v>
      </c>
      <c r="AC248" s="49">
        <v>0</v>
      </c>
      <c r="AD248" s="49">
        <v>0</v>
      </c>
      <c r="AE248" s="49">
        <v>0</v>
      </c>
      <c r="AF248" s="49">
        <v>0</v>
      </c>
      <c r="AG248" s="161">
        <v>0</v>
      </c>
      <c r="AH248" s="162">
        <v>2</v>
      </c>
      <c r="AI248" s="162">
        <v>2</v>
      </c>
      <c r="AJ248" s="162">
        <v>0</v>
      </c>
      <c r="AK248" s="162">
        <v>0</v>
      </c>
      <c r="AL248" s="163">
        <v>0</v>
      </c>
      <c r="AM248" s="19">
        <v>0</v>
      </c>
      <c r="AN248" s="20" t="str">
        <f>IFERROR(INDEX([2]lijnopstellingsfiche!$AP$1:$AP$65536,MATCH(A248,[2]lijnopstellingsfiche!$AQ$1:$AQ$65536,0)),"")</f>
        <v>-</v>
      </c>
      <c r="AO248" s="20">
        <v>0</v>
      </c>
      <c r="AP248" s="20">
        <v>0</v>
      </c>
      <c r="AQ248" s="20">
        <v>2</v>
      </c>
      <c r="AR248" s="20">
        <v>2</v>
      </c>
      <c r="AS248" s="20">
        <v>0</v>
      </c>
      <c r="AT248" s="20">
        <v>0</v>
      </c>
      <c r="AU248" s="20">
        <v>0</v>
      </c>
      <c r="AV248" s="23">
        <v>0</v>
      </c>
      <c r="AW248" s="108">
        <v>1</v>
      </c>
      <c r="AX248" s="108">
        <v>1</v>
      </c>
      <c r="AY248" s="108">
        <v>0</v>
      </c>
      <c r="AZ248" s="108">
        <v>0</v>
      </c>
      <c r="BA248" s="114">
        <v>0</v>
      </c>
      <c r="BB248" s="20">
        <v>0</v>
      </c>
      <c r="BC248" s="113">
        <v>1</v>
      </c>
      <c r="BD248" s="200" t="str">
        <f>VLOOKUP($A248,'[3]allergenen 6nr'!$A$1:$O$1310,3,FALSE)</f>
        <v>-</v>
      </c>
      <c r="BE248" s="201" t="str">
        <f>VLOOKUP($A248,'[3]allergenen 6nr'!$A$1:$O$1310,4,FALSE)</f>
        <v>+</v>
      </c>
      <c r="BF248" s="201" t="str">
        <f>VLOOKUP($A248,'[3]allergenen 6nr'!$A$1:$O$1310,5,FALSE)</f>
        <v>+</v>
      </c>
      <c r="BG248" s="201" t="str">
        <f>VLOOKUP($A248,'[3]allergenen 6nr'!$A$1:$O$1310,6,FALSE)</f>
        <v>X</v>
      </c>
      <c r="BH248" s="201" t="str">
        <f>VLOOKUP($A248,'[3]allergenen 6nr'!$A$1:$O$1310,7,FALSE)</f>
        <v>+</v>
      </c>
      <c r="BI248" s="201" t="str">
        <f>VLOOKUP($A248,'[3]allergenen 6nr'!$A$1:$O$1310,8,FALSE)</f>
        <v>X</v>
      </c>
      <c r="BJ248" s="201" t="str">
        <f>VLOOKUP($A248,'[3]allergenen 6nr'!$A$1:$O$1310,9,FALSE)</f>
        <v>-</v>
      </c>
      <c r="BK248" s="201" t="str">
        <f>VLOOKUP($A248,'[3]allergenen 6nr'!$A$1:$O$1310,10,FALSE)</f>
        <v>-</v>
      </c>
      <c r="BL248" s="201" t="str">
        <f>VLOOKUP($A248,'[3]allergenen 6nr'!$A$1:$O$1310,11,FALSE)</f>
        <v>X</v>
      </c>
      <c r="BM248" s="201" t="str">
        <f>VLOOKUP($A248,'[3]allergenen 6nr'!$A$1:$O$1310,12,FALSE)</f>
        <v>-</v>
      </c>
      <c r="BN248" s="201" t="str">
        <f>VLOOKUP($A248,'[3]allergenen 6nr'!$A$1:$O$1310,13,FALSE)</f>
        <v>X</v>
      </c>
      <c r="BO248" s="201" t="str">
        <f>VLOOKUP($A248,'[3]allergenen 6nr'!$A$1:$O$1310,14,FALSE)</f>
        <v>-</v>
      </c>
      <c r="BP248" s="202" t="str">
        <f>VLOOKUP($A248,'[3]allergenen 6nr'!$A$1:$O$1310,15,FALSE)</f>
        <v>-</v>
      </c>
    </row>
    <row r="249" spans="1:68" x14ac:dyDescent="0.2">
      <c r="A249" s="89">
        <v>63810500</v>
      </c>
      <c r="B249" s="53" t="str">
        <f>VLOOKUP($A249,[1]maaltijden!$A$1:$IV$65536,4,FALSE)</f>
        <v>IGLO BE TAGLIATELLE DI MARE MSC 450G</v>
      </c>
      <c r="C249" s="46" t="str">
        <f>VLOOKUP($A249,[1]maaltijden!$A$1:$IV$65536,7,FALSE)</f>
        <v>UK-59</v>
      </c>
      <c r="D249" s="22" t="str">
        <f>VLOOKUP($A249,[1]maaltijden!$A$1:$IV$65536,10,FALSE)</f>
        <v>H22</v>
      </c>
      <c r="E249" s="22" t="str">
        <f>VLOOKUP($A249,[1]maaltijden!$A$1:$IV$65536,13,FALSE)</f>
        <v>Shrink H22 X 6</v>
      </c>
      <c r="F249" s="20">
        <f t="shared" si="3"/>
        <v>0</v>
      </c>
      <c r="G249" s="20" t="str">
        <f>VLOOKUP($A249,[1]maaltijden!$A$1:$IV$65536,27,FALSE)</f>
        <v>! ! ! !</v>
      </c>
      <c r="H249" s="22">
        <f>VLOOKUP($A249,[1]maaltijden!$A$1:$IV$65536,21,FALSE)</f>
        <v>6</v>
      </c>
      <c r="I249" s="22">
        <f>VLOOKUP($A249,[1]maaltijden!$A$1:$IV$65536,21,FALSE)</f>
        <v>6</v>
      </c>
      <c r="J249" s="22">
        <f>VLOOKUP($A249,[1]maaltijden!$A$1:$IV$65536,18,FALSE)</f>
        <v>2</v>
      </c>
      <c r="K249" s="22">
        <f>VLOOKUP($A249,[1]maaltijden!$A$1:$IV$65536,17,FALSE)</f>
        <v>3</v>
      </c>
      <c r="L249" s="22">
        <f>VLOOKUP($A249,[1]maaltijden!$A$1:$IV$65536,20,FALSE)</f>
        <v>3500</v>
      </c>
      <c r="M249" s="22">
        <f>VLOOKUP($A249,[1]maaltijden!$A$1:$IV$65536,22,FALSE)</f>
        <v>3500</v>
      </c>
      <c r="N249" s="135"/>
      <c r="O249" s="50"/>
      <c r="P249" s="19">
        <v>1</v>
      </c>
      <c r="Q249" s="20">
        <v>0</v>
      </c>
      <c r="R249" s="21">
        <v>0</v>
      </c>
      <c r="S249" s="19">
        <v>1</v>
      </c>
      <c r="T249" s="20">
        <v>0</v>
      </c>
      <c r="U249" s="19">
        <v>1</v>
      </c>
      <c r="V249" s="20">
        <v>1</v>
      </c>
      <c r="W249" s="20">
        <v>1</v>
      </c>
      <c r="X249" s="20">
        <v>1</v>
      </c>
      <c r="Y249" s="20">
        <v>1</v>
      </c>
      <c r="Z249" s="20">
        <v>0</v>
      </c>
      <c r="AA249" s="20">
        <v>0</v>
      </c>
      <c r="AB249" s="49">
        <v>0</v>
      </c>
      <c r="AC249" s="49">
        <v>0</v>
      </c>
      <c r="AD249" s="49">
        <v>0</v>
      </c>
      <c r="AE249" s="49">
        <v>0</v>
      </c>
      <c r="AF249" s="49">
        <v>0</v>
      </c>
      <c r="AG249" s="161">
        <v>1</v>
      </c>
      <c r="AH249" s="162">
        <v>2</v>
      </c>
      <c r="AI249" s="162">
        <v>0</v>
      </c>
      <c r="AJ249" s="162">
        <v>0</v>
      </c>
      <c r="AK249" s="162">
        <v>0</v>
      </c>
      <c r="AL249" s="163">
        <v>0</v>
      </c>
      <c r="AM249" s="19">
        <v>1</v>
      </c>
      <c r="AN249" s="20">
        <f>IFERROR(INDEX([2]lijnopstellingsfiche!$AP$1:$AP$65536,MATCH(A249,[2]lijnopstellingsfiche!$AQ$1:$AQ$65536,0)),"")</f>
        <v>1</v>
      </c>
      <c r="AO249" s="20">
        <v>0</v>
      </c>
      <c r="AP249" s="20">
        <v>0</v>
      </c>
      <c r="AQ249" s="20">
        <v>2</v>
      </c>
      <c r="AR249" s="20">
        <v>0</v>
      </c>
      <c r="AS249" s="20">
        <v>1</v>
      </c>
      <c r="AT249" s="20">
        <v>0</v>
      </c>
      <c r="AU249" s="20">
        <v>0</v>
      </c>
      <c r="AV249" s="23">
        <v>0</v>
      </c>
      <c r="AW249" s="108">
        <v>1</v>
      </c>
      <c r="AX249" s="108">
        <v>1</v>
      </c>
      <c r="AY249" s="108">
        <v>0</v>
      </c>
      <c r="AZ249" s="108">
        <v>0</v>
      </c>
      <c r="BA249" s="114">
        <v>0</v>
      </c>
      <c r="BB249" s="20">
        <v>0</v>
      </c>
      <c r="BC249" s="113">
        <v>1</v>
      </c>
      <c r="BD249" s="200" t="str">
        <f>VLOOKUP($A249,'[3]allergenen 6nr'!$A$1:$O$1310,3,FALSE)</f>
        <v>-</v>
      </c>
      <c r="BE249" s="201" t="str">
        <f>VLOOKUP($A249,'[3]allergenen 6nr'!$A$1:$O$1310,4,FALSE)</f>
        <v>+</v>
      </c>
      <c r="BF249" s="201" t="str">
        <f>VLOOKUP($A249,'[3]allergenen 6nr'!$A$1:$O$1310,5,FALSE)</f>
        <v>+</v>
      </c>
      <c r="BG249" s="201" t="str">
        <f>VLOOKUP($A249,'[3]allergenen 6nr'!$A$1:$O$1310,6,FALSE)</f>
        <v>X</v>
      </c>
      <c r="BH249" s="201" t="str">
        <f>VLOOKUP($A249,'[3]allergenen 6nr'!$A$1:$O$1310,7,FALSE)</f>
        <v>+</v>
      </c>
      <c r="BI249" s="201" t="str">
        <f>VLOOKUP($A249,'[3]allergenen 6nr'!$A$1:$O$1310,8,FALSE)</f>
        <v>X</v>
      </c>
      <c r="BJ249" s="201" t="str">
        <f>VLOOKUP($A249,'[3]allergenen 6nr'!$A$1:$O$1310,9,FALSE)</f>
        <v>-</v>
      </c>
      <c r="BK249" s="201" t="str">
        <f>VLOOKUP($A249,'[3]allergenen 6nr'!$A$1:$O$1310,10,FALSE)</f>
        <v>+</v>
      </c>
      <c r="BL249" s="201" t="str">
        <f>VLOOKUP($A249,'[3]allergenen 6nr'!$A$1:$O$1310,11,FALSE)</f>
        <v>-</v>
      </c>
      <c r="BM249" s="201" t="str">
        <f>VLOOKUP($A249,'[3]allergenen 6nr'!$A$1:$O$1310,12,FALSE)</f>
        <v>-</v>
      </c>
      <c r="BN249" s="201" t="str">
        <f>VLOOKUP($A249,'[3]allergenen 6nr'!$A$1:$O$1310,13,FALSE)</f>
        <v>X</v>
      </c>
      <c r="BO249" s="201" t="str">
        <f>VLOOKUP($A249,'[3]allergenen 6nr'!$A$1:$O$1310,14,FALSE)</f>
        <v>+</v>
      </c>
      <c r="BP249" s="202" t="str">
        <f>VLOOKUP($A249,'[3]allergenen 6nr'!$A$1:$O$1310,15,FALSE)</f>
        <v>X</v>
      </c>
    </row>
    <row r="250" spans="1:68" x14ac:dyDescent="0.2">
      <c r="A250" s="89">
        <v>63810800</v>
      </c>
      <c r="B250" s="53" t="str">
        <f>VLOOKUP($A250,[1]maaltijden!$A$1:$IV$65536,4,FALSE)</f>
        <v>IGLO BE VISGRATIN MSC SPINAZIE 450G</v>
      </c>
      <c r="C250" s="46" t="str">
        <f>VLOOKUP($A250,[1]maaltijden!$A$1:$IV$65536,7,FALSE)</f>
        <v>UK-59</v>
      </c>
      <c r="D250" s="22" t="str">
        <f>VLOOKUP($A250,[1]maaltijden!$A$1:$IV$65536,10,FALSE)</f>
        <v>H22</v>
      </c>
      <c r="E250" s="22" t="str">
        <f>VLOOKUP($A250,[1]maaltijden!$A$1:$IV$65536,13,FALSE)</f>
        <v>Shrink H22 X 6</v>
      </c>
      <c r="F250" s="20">
        <f t="shared" si="3"/>
        <v>0</v>
      </c>
      <c r="G250" s="20" t="str">
        <f>VLOOKUP($A250,[1]maaltijden!$A$1:$IV$65536,27,FALSE)</f>
        <v>! ! ! !</v>
      </c>
      <c r="H250" s="22">
        <f>VLOOKUP($A250,[1]maaltijden!$A$1:$IV$65536,21,FALSE)</f>
        <v>4</v>
      </c>
      <c r="I250" s="22">
        <f>VLOOKUP($A250,[1]maaltijden!$A$1:$IV$65536,21,FALSE)</f>
        <v>4</v>
      </c>
      <c r="J250" s="22">
        <f>VLOOKUP($A250,[1]maaltijden!$A$1:$IV$65536,18,FALSE)</f>
        <v>2</v>
      </c>
      <c r="K250" s="22">
        <f>VLOOKUP($A250,[1]maaltijden!$A$1:$IV$65536,17,FALSE)</f>
        <v>3</v>
      </c>
      <c r="L250" s="22">
        <f>VLOOKUP($A250,[1]maaltijden!$A$1:$IV$65536,20,FALSE)</f>
        <v>3500</v>
      </c>
      <c r="M250" s="22">
        <f>VLOOKUP($A250,[1]maaltijden!$A$1:$IV$65536,22,FALSE)</f>
        <v>3500</v>
      </c>
      <c r="N250" s="135"/>
      <c r="O250" s="50"/>
      <c r="P250" s="19">
        <v>1</v>
      </c>
      <c r="Q250" s="20">
        <v>0</v>
      </c>
      <c r="R250" s="21">
        <v>0</v>
      </c>
      <c r="S250" s="19">
        <v>1</v>
      </c>
      <c r="T250" s="20">
        <v>0</v>
      </c>
      <c r="U250" s="19">
        <v>1</v>
      </c>
      <c r="V250" s="20">
        <v>1</v>
      </c>
      <c r="W250" s="20">
        <v>1</v>
      </c>
      <c r="X250" s="20">
        <v>1</v>
      </c>
      <c r="Y250" s="20">
        <v>1</v>
      </c>
      <c r="Z250" s="20">
        <v>0</v>
      </c>
      <c r="AA250" s="20">
        <v>0</v>
      </c>
      <c r="AB250" s="49">
        <v>1</v>
      </c>
      <c r="AC250" s="49">
        <v>0</v>
      </c>
      <c r="AD250" s="49">
        <v>0</v>
      </c>
      <c r="AE250" s="49">
        <v>1</v>
      </c>
      <c r="AF250" s="49">
        <v>1</v>
      </c>
      <c r="AG250" s="161">
        <v>0</v>
      </c>
      <c r="AH250" s="162">
        <v>1</v>
      </c>
      <c r="AI250" s="162">
        <v>1</v>
      </c>
      <c r="AJ250" s="162">
        <v>0</v>
      </c>
      <c r="AK250" s="162">
        <v>0</v>
      </c>
      <c r="AL250" s="163">
        <v>0</v>
      </c>
      <c r="AM250" s="19">
        <v>0</v>
      </c>
      <c r="AN250" s="20" t="str">
        <f>IFERROR(INDEX([2]lijnopstellingsfiche!$AP$1:$AP$65536,MATCH(A250,[2]lijnopstellingsfiche!$AQ$1:$AQ$65536,0)),"")</f>
        <v>-</v>
      </c>
      <c r="AO250" s="20">
        <v>0</v>
      </c>
      <c r="AP250" s="20">
        <v>0</v>
      </c>
      <c r="AQ250" s="20">
        <v>4</v>
      </c>
      <c r="AR250" s="20">
        <v>2</v>
      </c>
      <c r="AS250" s="20">
        <v>0</v>
      </c>
      <c r="AT250" s="20">
        <v>0</v>
      </c>
      <c r="AU250" s="20">
        <v>0</v>
      </c>
      <c r="AV250" s="23">
        <v>0</v>
      </c>
      <c r="AW250" s="108">
        <v>1</v>
      </c>
      <c r="AX250" s="108">
        <v>1</v>
      </c>
      <c r="AY250" s="108">
        <v>0</v>
      </c>
      <c r="AZ250" s="108">
        <v>0</v>
      </c>
      <c r="BA250" s="114">
        <v>0</v>
      </c>
      <c r="BB250" s="20">
        <v>0</v>
      </c>
      <c r="BC250" s="113">
        <v>1</v>
      </c>
      <c r="BD250" s="200" t="str">
        <f>VLOOKUP($A250,'[3]allergenen 6nr'!$A$1:$O$1310,3,FALSE)</f>
        <v>-</v>
      </c>
      <c r="BE250" s="201" t="str">
        <f>VLOOKUP($A250,'[3]allergenen 6nr'!$A$1:$O$1310,4,FALSE)</f>
        <v>+</v>
      </c>
      <c r="BF250" s="201" t="str">
        <f>VLOOKUP($A250,'[3]allergenen 6nr'!$A$1:$O$1310,5,FALSE)</f>
        <v>-</v>
      </c>
      <c r="BG250" s="201" t="str">
        <f>VLOOKUP($A250,'[3]allergenen 6nr'!$A$1:$O$1310,6,FALSE)</f>
        <v>-</v>
      </c>
      <c r="BH250" s="201" t="str">
        <f>VLOOKUP($A250,'[3]allergenen 6nr'!$A$1:$O$1310,7,FALSE)</f>
        <v>+</v>
      </c>
      <c r="BI250" s="201" t="str">
        <f>VLOOKUP($A250,'[3]allergenen 6nr'!$A$1:$O$1310,8,FALSE)</f>
        <v>-</v>
      </c>
      <c r="BJ250" s="201" t="str">
        <f>VLOOKUP($A250,'[3]allergenen 6nr'!$A$1:$O$1310,9,FALSE)</f>
        <v>-</v>
      </c>
      <c r="BK250" s="201" t="str">
        <f>VLOOKUP($A250,'[3]allergenen 6nr'!$A$1:$O$1310,10,FALSE)</f>
        <v>-</v>
      </c>
      <c r="BL250" s="201" t="str">
        <f>VLOOKUP($A250,'[3]allergenen 6nr'!$A$1:$O$1310,11,FALSE)</f>
        <v>+</v>
      </c>
      <c r="BM250" s="201" t="str">
        <f>VLOOKUP($A250,'[3]allergenen 6nr'!$A$1:$O$1310,12,FALSE)</f>
        <v>-</v>
      </c>
      <c r="BN250" s="201" t="str">
        <f>VLOOKUP($A250,'[3]allergenen 6nr'!$A$1:$O$1310,13,FALSE)</f>
        <v>-</v>
      </c>
      <c r="BO250" s="201" t="str">
        <f>VLOOKUP($A250,'[3]allergenen 6nr'!$A$1:$O$1310,14,FALSE)</f>
        <v>+</v>
      </c>
      <c r="BP250" s="202" t="str">
        <f>VLOOKUP($A250,'[3]allergenen 6nr'!$A$1:$O$1310,15,FALSE)</f>
        <v>-</v>
      </c>
    </row>
    <row r="251" spans="1:68" x14ac:dyDescent="0.2">
      <c r="A251" s="89">
        <v>63811000</v>
      </c>
      <c r="B251" s="53" t="str">
        <f>VLOOKUP($A251,[1]maaltijden!$A$1:$IV$65536,4,FALSE)</f>
        <v>IGLO BE BLINDE VINK JUS SPINAZIESTAMPPOT 450G</v>
      </c>
      <c r="C251" s="46" t="str">
        <f>VLOOKUP($A251,[1]maaltijden!$A$1:$IV$65536,7,FALSE)</f>
        <v>UK-59</v>
      </c>
      <c r="D251" s="22" t="str">
        <f>VLOOKUP($A251,[1]maaltijden!$A$1:$IV$65536,10,FALSE)</f>
        <v>H22</v>
      </c>
      <c r="E251" s="22" t="str">
        <f>VLOOKUP($A251,[1]maaltijden!$A$1:$IV$65536,13,FALSE)</f>
        <v>Shrink H22 X 6</v>
      </c>
      <c r="F251" s="20">
        <f t="shared" si="3"/>
        <v>0</v>
      </c>
      <c r="G251" s="20" t="str">
        <f>VLOOKUP($A251,[1]maaltijden!$A$1:$IV$65536,27,FALSE)</f>
        <v>! !</v>
      </c>
      <c r="H251" s="22">
        <f>VLOOKUP($A251,[1]maaltijden!$A$1:$IV$65536,21,FALSE)</f>
        <v>4</v>
      </c>
      <c r="I251" s="22">
        <f>VLOOKUP($A251,[1]maaltijden!$A$1:$IV$65536,21,FALSE)</f>
        <v>4</v>
      </c>
      <c r="J251" s="22">
        <f>VLOOKUP($A251,[1]maaltijden!$A$1:$IV$65536,18,FALSE)</f>
        <v>2</v>
      </c>
      <c r="K251" s="22">
        <f>VLOOKUP($A251,[1]maaltijden!$A$1:$IV$65536,17,FALSE)</f>
        <v>3</v>
      </c>
      <c r="L251" s="22">
        <f>VLOOKUP($A251,[1]maaltijden!$A$1:$IV$65536,20,FALSE)</f>
        <v>3500</v>
      </c>
      <c r="M251" s="22">
        <f>VLOOKUP($A251,[1]maaltijden!$A$1:$IV$65536,22,FALSE)</f>
        <v>3500</v>
      </c>
      <c r="N251" s="135"/>
      <c r="O251" s="50"/>
      <c r="P251" s="19">
        <v>1</v>
      </c>
      <c r="Q251" s="20">
        <v>0</v>
      </c>
      <c r="R251" s="21">
        <v>0</v>
      </c>
      <c r="S251" s="19">
        <v>1</v>
      </c>
      <c r="T251" s="20">
        <v>0</v>
      </c>
      <c r="U251" s="19">
        <v>0</v>
      </c>
      <c r="V251" s="20">
        <v>1</v>
      </c>
      <c r="W251" s="20">
        <v>1</v>
      </c>
      <c r="X251" s="20">
        <v>1</v>
      </c>
      <c r="Y251" s="20">
        <v>1</v>
      </c>
      <c r="Z251" s="20">
        <v>0</v>
      </c>
      <c r="AA251" s="20">
        <v>0</v>
      </c>
      <c r="AB251" s="49">
        <v>0</v>
      </c>
      <c r="AC251" s="49">
        <v>0</v>
      </c>
      <c r="AD251" s="49">
        <v>0</v>
      </c>
      <c r="AE251" s="49">
        <v>1</v>
      </c>
      <c r="AF251" s="49">
        <v>0</v>
      </c>
      <c r="AG251" s="161">
        <v>0</v>
      </c>
      <c r="AH251" s="162">
        <v>3</v>
      </c>
      <c r="AI251" s="162">
        <v>0</v>
      </c>
      <c r="AJ251" s="162">
        <v>0</v>
      </c>
      <c r="AK251" s="162">
        <v>0</v>
      </c>
      <c r="AL251" s="163">
        <v>0</v>
      </c>
      <c r="AM251" s="19">
        <v>0</v>
      </c>
      <c r="AN251" s="20" t="str">
        <f>IFERROR(INDEX([2]lijnopstellingsfiche!$AP$1:$AP$65536,MATCH(A251,[2]lijnopstellingsfiche!$AQ$1:$AQ$65536,0)),"")</f>
        <v>-</v>
      </c>
      <c r="AO251" s="20">
        <v>0</v>
      </c>
      <c r="AP251" s="20">
        <v>0</v>
      </c>
      <c r="AQ251" s="20">
        <v>2</v>
      </c>
      <c r="AR251" s="20">
        <v>2</v>
      </c>
      <c r="AS251" s="20">
        <v>0</v>
      </c>
      <c r="AT251" s="20">
        <v>0</v>
      </c>
      <c r="AU251" s="20">
        <v>0</v>
      </c>
      <c r="AV251" s="23">
        <v>0</v>
      </c>
      <c r="AW251" s="108">
        <v>1</v>
      </c>
      <c r="AX251" s="108">
        <v>1</v>
      </c>
      <c r="AY251" s="108">
        <v>0</v>
      </c>
      <c r="AZ251" s="108">
        <v>0</v>
      </c>
      <c r="BA251" s="114">
        <v>0</v>
      </c>
      <c r="BB251" s="20">
        <v>0</v>
      </c>
      <c r="BC251" s="113">
        <v>1</v>
      </c>
      <c r="BD251" s="200" t="str">
        <f>VLOOKUP($A251,'[3]allergenen 6nr'!$A$1:$O$1310,3,FALSE)</f>
        <v>-</v>
      </c>
      <c r="BE251" s="201" t="str">
        <f>VLOOKUP($A251,'[3]allergenen 6nr'!$A$1:$O$1310,4,FALSE)</f>
        <v>X</v>
      </c>
      <c r="BF251" s="201" t="str">
        <f>VLOOKUP($A251,'[3]allergenen 6nr'!$A$1:$O$1310,5,FALSE)</f>
        <v>+</v>
      </c>
      <c r="BG251" s="201" t="str">
        <f>VLOOKUP($A251,'[3]allergenen 6nr'!$A$1:$O$1310,6,FALSE)</f>
        <v>-</v>
      </c>
      <c r="BH251" s="201" t="str">
        <f>VLOOKUP($A251,'[3]allergenen 6nr'!$A$1:$O$1310,7,FALSE)</f>
        <v>+</v>
      </c>
      <c r="BI251" s="201" t="str">
        <f>VLOOKUP($A251,'[3]allergenen 6nr'!$A$1:$O$1310,8,FALSE)</f>
        <v>X</v>
      </c>
      <c r="BJ251" s="201" t="str">
        <f>VLOOKUP($A251,'[3]allergenen 6nr'!$A$1:$O$1310,9,FALSE)</f>
        <v>-</v>
      </c>
      <c r="BK251" s="201" t="str">
        <f>VLOOKUP($A251,'[3]allergenen 6nr'!$A$1:$O$1310,10,FALSE)</f>
        <v>-</v>
      </c>
      <c r="BL251" s="201" t="str">
        <f>VLOOKUP($A251,'[3]allergenen 6nr'!$A$1:$O$1310,11,FALSE)</f>
        <v>X</v>
      </c>
      <c r="BM251" s="201" t="str">
        <f>VLOOKUP($A251,'[3]allergenen 6nr'!$A$1:$O$1310,12,FALSE)</f>
        <v>-</v>
      </c>
      <c r="BN251" s="201" t="str">
        <f>VLOOKUP($A251,'[3]allergenen 6nr'!$A$1:$O$1310,13,FALSE)</f>
        <v>X</v>
      </c>
      <c r="BO251" s="201" t="str">
        <f>VLOOKUP($A251,'[3]allergenen 6nr'!$A$1:$O$1310,14,FALSE)</f>
        <v>-</v>
      </c>
      <c r="BP251" s="202" t="str">
        <f>VLOOKUP($A251,'[3]allergenen 6nr'!$A$1:$O$1310,15,FALSE)</f>
        <v>-</v>
      </c>
    </row>
    <row r="252" spans="1:68" x14ac:dyDescent="0.2">
      <c r="A252" s="89">
        <v>63811100</v>
      </c>
      <c r="B252" s="53" t="str">
        <f>VLOOKUP($A252,[1]maaltijden!$A$1:$IV$65536,4,FALSE)</f>
        <v>IGLO BE EW PASTA KIP KRUIDENSAUS GROENTEN 400G</v>
      </c>
      <c r="C252" s="46" t="str">
        <f>VLOOKUP($A252,[1]maaltijden!$A$1:$IV$65536,7,FALSE)</f>
        <v>UK-59</v>
      </c>
      <c r="D252" s="22" t="str">
        <f>VLOOKUP($A252,[1]maaltijden!$A$1:$IV$65536,10,FALSE)</f>
        <v>H22</v>
      </c>
      <c r="E252" s="22" t="str">
        <f>VLOOKUP($A252,[1]maaltijden!$A$1:$IV$65536,13,FALSE)</f>
        <v>Shrink H22 X 6</v>
      </c>
      <c r="F252" s="20">
        <f t="shared" si="3"/>
        <v>0</v>
      </c>
      <c r="G252" s="20" t="str">
        <f>VLOOKUP($A252,[1]maaltijden!$A$1:$IV$65536,27,FALSE)</f>
        <v>! ! !</v>
      </c>
      <c r="H252" s="22">
        <f>VLOOKUP($A252,[1]maaltijden!$A$1:$IV$65536,21,FALSE)</f>
        <v>7</v>
      </c>
      <c r="I252" s="22">
        <f>VLOOKUP($A252,[1]maaltijden!$A$1:$IV$65536,21,FALSE)</f>
        <v>7</v>
      </c>
      <c r="J252" s="22">
        <f>VLOOKUP($A252,[1]maaltijden!$A$1:$IV$65536,18,FALSE)</f>
        <v>2</v>
      </c>
      <c r="K252" s="22">
        <f>VLOOKUP($A252,[1]maaltijden!$A$1:$IV$65536,17,FALSE)</f>
        <v>3</v>
      </c>
      <c r="L252" s="22">
        <f>VLOOKUP($A252,[1]maaltijden!$A$1:$IV$65536,20,FALSE)</f>
        <v>3500</v>
      </c>
      <c r="M252" s="22">
        <f>VLOOKUP($A252,[1]maaltijden!$A$1:$IV$65536,22,FALSE)</f>
        <v>3500</v>
      </c>
      <c r="N252" s="135"/>
      <c r="O252" s="50"/>
      <c r="P252" s="19">
        <v>1</v>
      </c>
      <c r="Q252" s="20">
        <v>0</v>
      </c>
      <c r="R252" s="21">
        <v>0</v>
      </c>
      <c r="S252" s="19">
        <v>1</v>
      </c>
      <c r="T252" s="20">
        <v>0</v>
      </c>
      <c r="U252" s="19">
        <v>1</v>
      </c>
      <c r="V252" s="20">
        <v>1</v>
      </c>
      <c r="W252" s="20">
        <v>1</v>
      </c>
      <c r="X252" s="20">
        <v>1</v>
      </c>
      <c r="Y252" s="20">
        <v>1</v>
      </c>
      <c r="Z252" s="20">
        <v>0</v>
      </c>
      <c r="AA252" s="20">
        <v>0</v>
      </c>
      <c r="AB252" s="49">
        <v>0</v>
      </c>
      <c r="AC252" s="49">
        <v>0</v>
      </c>
      <c r="AD252" s="49">
        <v>0</v>
      </c>
      <c r="AE252" s="49">
        <v>0</v>
      </c>
      <c r="AF252" s="49">
        <v>0</v>
      </c>
      <c r="AG252" s="161">
        <v>1</v>
      </c>
      <c r="AH252" s="162">
        <v>1</v>
      </c>
      <c r="AI252" s="162">
        <v>1</v>
      </c>
      <c r="AJ252" s="162">
        <v>0</v>
      </c>
      <c r="AK252" s="162">
        <v>0</v>
      </c>
      <c r="AL252" s="163">
        <v>0</v>
      </c>
      <c r="AM252" s="19">
        <v>1</v>
      </c>
      <c r="AN252" s="20" t="str">
        <f>IFERROR(INDEX([2]lijnopstellingsfiche!$AP$1:$AP$65536,MATCH(A252,[2]lijnopstellingsfiche!$AQ$1:$AQ$65536,0)),"")</f>
        <v>-</v>
      </c>
      <c r="AO252" s="20">
        <v>0</v>
      </c>
      <c r="AP252" s="20">
        <v>0</v>
      </c>
      <c r="AQ252" s="20">
        <v>2</v>
      </c>
      <c r="AR252" s="20">
        <v>0</v>
      </c>
      <c r="AS252" s="20">
        <v>1</v>
      </c>
      <c r="AT252" s="20">
        <v>0</v>
      </c>
      <c r="AU252" s="20">
        <v>0</v>
      </c>
      <c r="AV252" s="23">
        <v>0</v>
      </c>
      <c r="AW252" s="108">
        <v>1</v>
      </c>
      <c r="AX252" s="108">
        <v>1</v>
      </c>
      <c r="AY252" s="108">
        <v>0</v>
      </c>
      <c r="AZ252" s="108">
        <v>0</v>
      </c>
      <c r="BA252" s="114">
        <v>0</v>
      </c>
      <c r="BB252" s="20">
        <v>0</v>
      </c>
      <c r="BC252" s="113">
        <v>1</v>
      </c>
      <c r="BD252" s="200" t="str">
        <f>VLOOKUP($A252,'[3]allergenen 6nr'!$A$1:$O$1310,3,FALSE)</f>
        <v>-</v>
      </c>
      <c r="BE252" s="201" t="str">
        <f>VLOOKUP($A252,'[3]allergenen 6nr'!$A$1:$O$1310,4,FALSE)</f>
        <v>+</v>
      </c>
      <c r="BF252" s="201" t="str">
        <f>VLOOKUP($A252,'[3]allergenen 6nr'!$A$1:$O$1310,5,FALSE)</f>
        <v>+</v>
      </c>
      <c r="BG252" s="201" t="str">
        <f>VLOOKUP($A252,'[3]allergenen 6nr'!$A$1:$O$1310,6,FALSE)</f>
        <v>X</v>
      </c>
      <c r="BH252" s="201" t="str">
        <f>VLOOKUP($A252,'[3]allergenen 6nr'!$A$1:$O$1310,7,FALSE)</f>
        <v>+</v>
      </c>
      <c r="BI252" s="201" t="str">
        <f>VLOOKUP($A252,'[3]allergenen 6nr'!$A$1:$O$1310,8,FALSE)</f>
        <v>X</v>
      </c>
      <c r="BJ252" s="201" t="str">
        <f>VLOOKUP($A252,'[3]allergenen 6nr'!$A$1:$O$1310,9,FALSE)</f>
        <v>-</v>
      </c>
      <c r="BK252" s="201" t="str">
        <f>VLOOKUP($A252,'[3]allergenen 6nr'!$A$1:$O$1310,10,FALSE)</f>
        <v>-</v>
      </c>
      <c r="BL252" s="201" t="str">
        <f>VLOOKUP($A252,'[3]allergenen 6nr'!$A$1:$O$1310,11,FALSE)</f>
        <v>-</v>
      </c>
      <c r="BM252" s="201" t="str">
        <f>VLOOKUP($A252,'[3]allergenen 6nr'!$A$1:$O$1310,12,FALSE)</f>
        <v>-</v>
      </c>
      <c r="BN252" s="201" t="str">
        <f>VLOOKUP($A252,'[3]allergenen 6nr'!$A$1:$O$1310,13,FALSE)</f>
        <v>+</v>
      </c>
      <c r="BO252" s="201" t="str">
        <f>VLOOKUP($A252,'[3]allergenen 6nr'!$A$1:$O$1310,14,FALSE)</f>
        <v>-</v>
      </c>
      <c r="BP252" s="202" t="str">
        <f>VLOOKUP($A252,'[3]allergenen 6nr'!$A$1:$O$1310,15,FALSE)</f>
        <v>-</v>
      </c>
    </row>
    <row r="253" spans="1:68" x14ac:dyDescent="0.2">
      <c r="A253" s="89">
        <v>63811200</v>
      </c>
      <c r="B253" s="53" t="str">
        <f>VLOOKUP($A253,[1]maaltijden!$A$1:$IV$65536,4,FALSE)</f>
        <v>IGLO BE EW RISOTTO KIP CHAMPIGNON ERWT 400G</v>
      </c>
      <c r="C253" s="46" t="str">
        <f>VLOOKUP($A253,[1]maaltijden!$A$1:$IV$65536,7,FALSE)</f>
        <v>UK-59</v>
      </c>
      <c r="D253" s="22" t="str">
        <f>VLOOKUP($A253,[1]maaltijden!$A$1:$IV$65536,10,FALSE)</f>
        <v>H22</v>
      </c>
      <c r="E253" s="22" t="str">
        <f>VLOOKUP($A253,[1]maaltijden!$A$1:$IV$65536,13,FALSE)</f>
        <v>Shrink H22 X 6</v>
      </c>
      <c r="F253" s="20">
        <f t="shared" si="3"/>
        <v>0</v>
      </c>
      <c r="G253" s="20" t="str">
        <f>VLOOKUP($A253,[1]maaltijden!$A$1:$IV$65536,27,FALSE)</f>
        <v>! !</v>
      </c>
      <c r="H253" s="22">
        <f>VLOOKUP($A253,[1]maaltijden!$A$1:$IV$65536,21,FALSE)</f>
        <v>5</v>
      </c>
      <c r="I253" s="22">
        <f>VLOOKUP($A253,[1]maaltijden!$A$1:$IV$65536,21,FALSE)</f>
        <v>5</v>
      </c>
      <c r="J253" s="22">
        <f>VLOOKUP($A253,[1]maaltijden!$A$1:$IV$65536,18,FALSE)</f>
        <v>2</v>
      </c>
      <c r="K253" s="22">
        <f>VLOOKUP($A253,[1]maaltijden!$A$1:$IV$65536,17,FALSE)</f>
        <v>2</v>
      </c>
      <c r="L253" s="22">
        <f>VLOOKUP($A253,[1]maaltijden!$A$1:$IV$65536,20,FALSE)</f>
        <v>3500</v>
      </c>
      <c r="M253" s="22">
        <f>VLOOKUP($A253,[1]maaltijden!$A$1:$IV$65536,22,FALSE)</f>
        <v>3500</v>
      </c>
      <c r="N253" s="135"/>
      <c r="O253" s="50"/>
      <c r="P253" s="19">
        <v>1</v>
      </c>
      <c r="Q253" s="20">
        <v>0</v>
      </c>
      <c r="R253" s="21">
        <v>0</v>
      </c>
      <c r="S253" s="19">
        <v>1</v>
      </c>
      <c r="T253" s="20">
        <v>0</v>
      </c>
      <c r="U253" s="19">
        <v>1</v>
      </c>
      <c r="V253" s="20">
        <v>1</v>
      </c>
      <c r="W253" s="20">
        <v>1</v>
      </c>
      <c r="X253" s="20">
        <v>1</v>
      </c>
      <c r="Y253" s="20">
        <v>1</v>
      </c>
      <c r="Z253" s="20">
        <v>0</v>
      </c>
      <c r="AA253" s="20">
        <v>0</v>
      </c>
      <c r="AB253" s="49">
        <v>0</v>
      </c>
      <c r="AC253" s="49">
        <v>0</v>
      </c>
      <c r="AD253" s="49">
        <v>0</v>
      </c>
      <c r="AE253" s="49">
        <v>0</v>
      </c>
      <c r="AF253" s="49">
        <v>0</v>
      </c>
      <c r="AG253" s="161">
        <v>1</v>
      </c>
      <c r="AH253" s="162">
        <v>1</v>
      </c>
      <c r="AI253" s="162">
        <v>0</v>
      </c>
      <c r="AJ253" s="162">
        <v>1</v>
      </c>
      <c r="AK253" s="162">
        <v>0</v>
      </c>
      <c r="AL253" s="163">
        <v>0</v>
      </c>
      <c r="AM253" s="19">
        <v>1</v>
      </c>
      <c r="AN253" s="20" t="str">
        <f>IFERROR(INDEX([2]lijnopstellingsfiche!$AP$1:$AP$65536,MATCH(A253,[2]lijnopstellingsfiche!$AQ$1:$AQ$65536,0)),"")</f>
        <v>-</v>
      </c>
      <c r="AO253" s="20">
        <v>0</v>
      </c>
      <c r="AP253" s="20">
        <v>0</v>
      </c>
      <c r="AQ253" s="20">
        <v>2</v>
      </c>
      <c r="AR253" s="20">
        <v>0</v>
      </c>
      <c r="AS253" s="20">
        <v>1</v>
      </c>
      <c r="AT253" s="20">
        <v>0</v>
      </c>
      <c r="AU253" s="20">
        <v>0</v>
      </c>
      <c r="AV253" s="23">
        <v>0</v>
      </c>
      <c r="AW253" s="108">
        <v>1</v>
      </c>
      <c r="AX253" s="108">
        <v>1</v>
      </c>
      <c r="AY253" s="108">
        <v>0</v>
      </c>
      <c r="AZ253" s="108">
        <v>0</v>
      </c>
      <c r="BA253" s="114">
        <v>0</v>
      </c>
      <c r="BB253" s="20">
        <v>0</v>
      </c>
      <c r="BC253" s="113">
        <v>1</v>
      </c>
      <c r="BD253" s="200" t="str">
        <f>VLOOKUP($A253,'[3]allergenen 6nr'!$A$1:$O$1310,3,FALSE)</f>
        <v>-</v>
      </c>
      <c r="BE253" s="201" t="str">
        <f>VLOOKUP($A253,'[3]allergenen 6nr'!$A$1:$O$1310,4,FALSE)</f>
        <v>-</v>
      </c>
      <c r="BF253" s="201" t="str">
        <f>VLOOKUP($A253,'[3]allergenen 6nr'!$A$1:$O$1310,5,FALSE)</f>
        <v>-</v>
      </c>
      <c r="BG253" s="201" t="str">
        <f>VLOOKUP($A253,'[3]allergenen 6nr'!$A$1:$O$1310,6,FALSE)</f>
        <v>-</v>
      </c>
      <c r="BH253" s="201" t="str">
        <f>VLOOKUP($A253,'[3]allergenen 6nr'!$A$1:$O$1310,7,FALSE)</f>
        <v>+</v>
      </c>
      <c r="BI253" s="201" t="str">
        <f>VLOOKUP($A253,'[3]allergenen 6nr'!$A$1:$O$1310,8,FALSE)</f>
        <v>-</v>
      </c>
      <c r="BJ253" s="201" t="str">
        <f>VLOOKUP($A253,'[3]allergenen 6nr'!$A$1:$O$1310,9,FALSE)</f>
        <v>-</v>
      </c>
      <c r="BK253" s="201" t="str">
        <f>VLOOKUP($A253,'[3]allergenen 6nr'!$A$1:$O$1310,10,FALSE)</f>
        <v>-</v>
      </c>
      <c r="BL253" s="201" t="str">
        <f>VLOOKUP($A253,'[3]allergenen 6nr'!$A$1:$O$1310,11,FALSE)</f>
        <v>-</v>
      </c>
      <c r="BM253" s="201" t="str">
        <f>VLOOKUP($A253,'[3]allergenen 6nr'!$A$1:$O$1310,12,FALSE)</f>
        <v>-</v>
      </c>
      <c r="BN253" s="201" t="str">
        <f>VLOOKUP($A253,'[3]allergenen 6nr'!$A$1:$O$1310,13,FALSE)</f>
        <v>-</v>
      </c>
      <c r="BO253" s="201" t="str">
        <f>VLOOKUP($A253,'[3]allergenen 6nr'!$A$1:$O$1310,14,FALSE)</f>
        <v>-</v>
      </c>
      <c r="BP253" s="202" t="str">
        <f>VLOOKUP($A253,'[3]allergenen 6nr'!$A$1:$O$1310,15,FALSE)</f>
        <v>-</v>
      </c>
    </row>
    <row r="254" spans="1:68" x14ac:dyDescent="0.2">
      <c r="A254" s="89">
        <v>63820200</v>
      </c>
      <c r="B254" s="53" t="str">
        <f>VLOOKUP($A254,[1]maaltijden!$A$1:$IV$65536,4,FALSE)</f>
        <v>IGLO NL BABI PANGANG BAMI SATE WITTE KOOL 380G</v>
      </c>
      <c r="C254" s="46" t="str">
        <f>VLOOKUP($A254,[1]maaltijden!$A$1:$IV$65536,7,FALSE)</f>
        <v>UK-59</v>
      </c>
      <c r="D254" s="22" t="str">
        <f>VLOOKUP($A254,[1]maaltijden!$A$1:$IV$65536,10,FALSE)</f>
        <v>H22</v>
      </c>
      <c r="E254" s="22" t="str">
        <f>VLOOKUP($A254,[1]maaltijden!$A$1:$IV$65536,13,FALSE)</f>
        <v>Shrink H22 X 6</v>
      </c>
      <c r="F254" s="20">
        <f t="shared" si="3"/>
        <v>0</v>
      </c>
      <c r="G254" s="20" t="str">
        <f>VLOOKUP($A254,[1]maaltijden!$A$1:$IV$65536,27,FALSE)</f>
        <v>X</v>
      </c>
      <c r="H254" s="22">
        <f>VLOOKUP($A254,[1]maaltijden!$A$1:$IV$65536,21,FALSE)</f>
        <v>5</v>
      </c>
      <c r="I254" s="22">
        <f>VLOOKUP($A254,[1]maaltijden!$A$1:$IV$65536,21,FALSE)</f>
        <v>5</v>
      </c>
      <c r="J254" s="22">
        <f>VLOOKUP($A254,[1]maaltijden!$A$1:$IV$65536,18,FALSE)</f>
        <v>2</v>
      </c>
      <c r="K254" s="22">
        <f>VLOOKUP($A254,[1]maaltijden!$A$1:$IV$65536,17,FALSE)</f>
        <v>3</v>
      </c>
      <c r="L254" s="22">
        <f>VLOOKUP($A254,[1]maaltijden!$A$1:$IV$65536,20,FALSE)</f>
        <v>3500</v>
      </c>
      <c r="M254" s="22">
        <f>VLOOKUP($A254,[1]maaltijden!$A$1:$IV$65536,22,FALSE)</f>
        <v>3500</v>
      </c>
      <c r="N254" s="135"/>
      <c r="O254" s="50"/>
      <c r="P254" s="19">
        <v>1</v>
      </c>
      <c r="Q254" s="20">
        <v>0</v>
      </c>
      <c r="R254" s="21">
        <v>0</v>
      </c>
      <c r="S254" s="19">
        <v>1</v>
      </c>
      <c r="T254" s="20">
        <v>0</v>
      </c>
      <c r="U254" s="19">
        <v>1</v>
      </c>
      <c r="V254" s="20">
        <v>1</v>
      </c>
      <c r="W254" s="20">
        <v>1</v>
      </c>
      <c r="X254" s="20">
        <v>1</v>
      </c>
      <c r="Y254" s="20">
        <v>1</v>
      </c>
      <c r="Z254" s="20">
        <v>0</v>
      </c>
      <c r="AA254" s="20">
        <v>0</v>
      </c>
      <c r="AB254" s="49">
        <v>0</v>
      </c>
      <c r="AC254" s="49">
        <v>1</v>
      </c>
      <c r="AD254" s="49">
        <v>1</v>
      </c>
      <c r="AE254" s="49">
        <v>0</v>
      </c>
      <c r="AF254" s="49">
        <v>0</v>
      </c>
      <c r="AG254" s="161">
        <v>1</v>
      </c>
      <c r="AH254" s="162">
        <v>1</v>
      </c>
      <c r="AI254" s="162">
        <v>1</v>
      </c>
      <c r="AJ254" s="162">
        <v>1</v>
      </c>
      <c r="AK254" s="162">
        <v>0</v>
      </c>
      <c r="AL254" s="163">
        <v>0</v>
      </c>
      <c r="AM254" s="19">
        <v>1</v>
      </c>
      <c r="AN254" s="20">
        <f>IFERROR(INDEX([2]lijnopstellingsfiche!$AP$1:$AP$65536,MATCH(A254,[2]lijnopstellingsfiche!$AQ$1:$AQ$65536,0)),"")</f>
        <v>1</v>
      </c>
      <c r="AO254" s="20">
        <v>0</v>
      </c>
      <c r="AP254" s="20">
        <v>0</v>
      </c>
      <c r="AQ254" s="20">
        <v>2</v>
      </c>
      <c r="AR254" s="20">
        <v>0</v>
      </c>
      <c r="AS254" s="20">
        <v>1</v>
      </c>
      <c r="AT254" s="20">
        <v>0</v>
      </c>
      <c r="AU254" s="20">
        <v>0</v>
      </c>
      <c r="AV254" s="23">
        <v>0</v>
      </c>
      <c r="AW254" s="108">
        <v>1</v>
      </c>
      <c r="AX254" s="108">
        <v>1</v>
      </c>
      <c r="AY254" s="108">
        <v>0</v>
      </c>
      <c r="AZ254" s="108">
        <v>0</v>
      </c>
      <c r="BA254" s="114">
        <v>0</v>
      </c>
      <c r="BB254" s="20">
        <v>0</v>
      </c>
      <c r="BC254" s="113">
        <v>1</v>
      </c>
      <c r="BD254" s="200" t="e">
        <f>VLOOKUP($A254,'[3]allergenen 6nr'!$A$1:$O$1310,3,FALSE)</f>
        <v>#N/A</v>
      </c>
      <c r="BE254" s="201" t="e">
        <f>VLOOKUP($A254,'[3]allergenen 6nr'!$A$1:$O$1310,4,FALSE)</f>
        <v>#N/A</v>
      </c>
      <c r="BF254" s="201" t="e">
        <f>VLOOKUP($A254,'[3]allergenen 6nr'!$A$1:$O$1310,5,FALSE)</f>
        <v>#N/A</v>
      </c>
      <c r="BG254" s="201" t="e">
        <f>VLOOKUP($A254,'[3]allergenen 6nr'!$A$1:$O$1310,6,FALSE)</f>
        <v>#N/A</v>
      </c>
      <c r="BH254" s="201" t="e">
        <f>VLOOKUP($A254,'[3]allergenen 6nr'!$A$1:$O$1310,7,FALSE)</f>
        <v>#N/A</v>
      </c>
      <c r="BI254" s="201" t="e">
        <f>VLOOKUP($A254,'[3]allergenen 6nr'!$A$1:$O$1310,8,FALSE)</f>
        <v>#N/A</v>
      </c>
      <c r="BJ254" s="201" t="e">
        <f>VLOOKUP($A254,'[3]allergenen 6nr'!$A$1:$O$1310,9,FALSE)</f>
        <v>#N/A</v>
      </c>
      <c r="BK254" s="201" t="e">
        <f>VLOOKUP($A254,'[3]allergenen 6nr'!$A$1:$O$1310,10,FALSE)</f>
        <v>#N/A</v>
      </c>
      <c r="BL254" s="201" t="e">
        <f>VLOOKUP($A254,'[3]allergenen 6nr'!$A$1:$O$1310,11,FALSE)</f>
        <v>#N/A</v>
      </c>
      <c r="BM254" s="201" t="e">
        <f>VLOOKUP($A254,'[3]allergenen 6nr'!$A$1:$O$1310,12,FALSE)</f>
        <v>#N/A</v>
      </c>
      <c r="BN254" s="201" t="e">
        <f>VLOOKUP($A254,'[3]allergenen 6nr'!$A$1:$O$1310,13,FALSE)</f>
        <v>#N/A</v>
      </c>
      <c r="BO254" s="201" t="e">
        <f>VLOOKUP($A254,'[3]allergenen 6nr'!$A$1:$O$1310,14,FALSE)</f>
        <v>#N/A</v>
      </c>
      <c r="BP254" s="202" t="e">
        <f>VLOOKUP($A254,'[3]allergenen 6nr'!$A$1:$O$1310,15,FALSE)</f>
        <v>#N/A</v>
      </c>
    </row>
    <row r="255" spans="1:68" x14ac:dyDescent="0.2">
      <c r="A255" s="89">
        <v>63860500</v>
      </c>
      <c r="B255" s="53" t="str">
        <f>VLOOKUP($A255,[1]maaltijden!$A$1:$IV$65536,4,FALSE)</f>
        <v>FINDUS SE NO VEG LINGUINI BOLOGNAISE 400G</v>
      </c>
      <c r="C255" s="46" t="str">
        <f>VLOOKUP($A255,[1]maaltijden!$A$1:$IV$65536,7,FALSE)</f>
        <v>UK-59</v>
      </c>
      <c r="D255" s="22" t="str">
        <f>VLOOKUP($A255,[1]maaltijden!$A$1:$IV$65536,10,FALSE)</f>
        <v>H22</v>
      </c>
      <c r="E255" s="22" t="str">
        <f>VLOOKUP($A255,[1]maaltijden!$A$1:$IV$65536,13,FALSE)</f>
        <v>Shrink H22 X 6</v>
      </c>
      <c r="F255" s="20">
        <f t="shared" si="3"/>
        <v>0</v>
      </c>
      <c r="G255" s="20" t="str">
        <f>VLOOKUP($A255,[1]maaltijden!$A$1:$IV$65536,27,FALSE)</f>
        <v>! ! !</v>
      </c>
      <c r="H255" s="22">
        <f>VLOOKUP($A255,[1]maaltijden!$A$1:$IV$65536,21,FALSE)</f>
        <v>4</v>
      </c>
      <c r="I255" s="22">
        <f>VLOOKUP($A255,[1]maaltijden!$A$1:$IV$65536,21,FALSE)</f>
        <v>4</v>
      </c>
      <c r="J255" s="22">
        <f>VLOOKUP($A255,[1]maaltijden!$A$1:$IV$65536,18,FALSE)</f>
        <v>2</v>
      </c>
      <c r="K255" s="22">
        <f>VLOOKUP($A255,[1]maaltijden!$A$1:$IV$65536,17,FALSE)</f>
        <v>3</v>
      </c>
      <c r="L255" s="22">
        <f>VLOOKUP($A255,[1]maaltijden!$A$1:$IV$65536,20,FALSE)</f>
        <v>3500</v>
      </c>
      <c r="M255" s="22">
        <f>VLOOKUP($A255,[1]maaltijden!$A$1:$IV$65536,22,FALSE)</f>
        <v>3500</v>
      </c>
      <c r="N255" s="135"/>
      <c r="O255" s="50"/>
      <c r="P255" s="19">
        <v>1</v>
      </c>
      <c r="Q255" s="20">
        <v>0</v>
      </c>
      <c r="R255" s="21">
        <v>0</v>
      </c>
      <c r="S255" s="19">
        <v>1</v>
      </c>
      <c r="T255" s="20">
        <v>0</v>
      </c>
      <c r="U255" s="19">
        <v>1</v>
      </c>
      <c r="V255" s="20">
        <v>1</v>
      </c>
      <c r="W255" s="20">
        <v>1</v>
      </c>
      <c r="X255" s="20">
        <v>1</v>
      </c>
      <c r="Y255" s="20">
        <v>1</v>
      </c>
      <c r="Z255" s="20">
        <v>0</v>
      </c>
      <c r="AA255" s="20">
        <v>0</v>
      </c>
      <c r="AB255" s="49">
        <v>0</v>
      </c>
      <c r="AC255" s="49">
        <v>0</v>
      </c>
      <c r="AD255" s="49">
        <v>0</v>
      </c>
      <c r="AE255" s="49">
        <v>0</v>
      </c>
      <c r="AF255" s="49">
        <v>0</v>
      </c>
      <c r="AG255" s="161">
        <v>1</v>
      </c>
      <c r="AH255" s="162">
        <v>2</v>
      </c>
      <c r="AI255" s="162">
        <v>0</v>
      </c>
      <c r="AJ255" s="162">
        <v>0</v>
      </c>
      <c r="AK255" s="162">
        <v>0</v>
      </c>
      <c r="AL255" s="163">
        <v>0</v>
      </c>
      <c r="AM255" s="19">
        <v>1</v>
      </c>
      <c r="AN255" s="20">
        <f>IFERROR(INDEX([2]lijnopstellingsfiche!$AP$1:$AP$65536,MATCH(A255,[2]lijnopstellingsfiche!$AQ$1:$AQ$65536,0)),"")</f>
        <v>1</v>
      </c>
      <c r="AO255" s="20">
        <v>0</v>
      </c>
      <c r="AP255" s="20">
        <v>0</v>
      </c>
      <c r="AQ255" s="20">
        <v>2</v>
      </c>
      <c r="AR255" s="20">
        <v>0</v>
      </c>
      <c r="AS255" s="20">
        <v>0</v>
      </c>
      <c r="AT255" s="20">
        <v>0</v>
      </c>
      <c r="AU255" s="20">
        <v>0</v>
      </c>
      <c r="AV255" s="23">
        <v>0</v>
      </c>
      <c r="AW255" s="108">
        <v>1</v>
      </c>
      <c r="AX255" s="108">
        <v>1</v>
      </c>
      <c r="AY255" s="108">
        <v>0</v>
      </c>
      <c r="AZ255" s="108">
        <v>0</v>
      </c>
      <c r="BA255" s="114">
        <v>0</v>
      </c>
      <c r="BB255" s="20">
        <v>0</v>
      </c>
      <c r="BC255" s="113">
        <v>1</v>
      </c>
      <c r="BD255" s="200" t="str">
        <f>VLOOKUP($A255,'[3]allergenen 6nr'!$A$1:$O$1310,3,FALSE)</f>
        <v>-</v>
      </c>
      <c r="BE255" s="201" t="str">
        <f>VLOOKUP($A255,'[3]allergenen 6nr'!$A$1:$O$1310,4,FALSE)</f>
        <v>X</v>
      </c>
      <c r="BF255" s="201" t="str">
        <f>VLOOKUP($A255,'[3]allergenen 6nr'!$A$1:$O$1310,5,FALSE)</f>
        <v>+</v>
      </c>
      <c r="BG255" s="201" t="str">
        <f>VLOOKUP($A255,'[3]allergenen 6nr'!$A$1:$O$1310,6,FALSE)</f>
        <v>X</v>
      </c>
      <c r="BH255" s="201" t="str">
        <f>VLOOKUP($A255,'[3]allergenen 6nr'!$A$1:$O$1310,7,FALSE)</f>
        <v>-</v>
      </c>
      <c r="BI255" s="201" t="str">
        <f>VLOOKUP($A255,'[3]allergenen 6nr'!$A$1:$O$1310,8,FALSE)</f>
        <v>X</v>
      </c>
      <c r="BJ255" s="201" t="str">
        <f>VLOOKUP($A255,'[3]allergenen 6nr'!$A$1:$O$1310,9,FALSE)</f>
        <v>-</v>
      </c>
      <c r="BK255" s="201" t="str">
        <f>VLOOKUP($A255,'[3]allergenen 6nr'!$A$1:$O$1310,10,FALSE)</f>
        <v>-</v>
      </c>
      <c r="BL255" s="201" t="str">
        <f>VLOOKUP($A255,'[3]allergenen 6nr'!$A$1:$O$1310,11,FALSE)</f>
        <v>+</v>
      </c>
      <c r="BM255" s="201" t="str">
        <f>VLOOKUP($A255,'[3]allergenen 6nr'!$A$1:$O$1310,12,FALSE)</f>
        <v>-</v>
      </c>
      <c r="BN255" s="201" t="str">
        <f>VLOOKUP($A255,'[3]allergenen 6nr'!$A$1:$O$1310,13,FALSE)</f>
        <v>X</v>
      </c>
      <c r="BO255" s="201" t="str">
        <f>VLOOKUP($A255,'[3]allergenen 6nr'!$A$1:$O$1310,14,FALSE)</f>
        <v>-</v>
      </c>
      <c r="BP255" s="202" t="str">
        <f>VLOOKUP($A255,'[3]allergenen 6nr'!$A$1:$O$1310,15,FALSE)</f>
        <v>-</v>
      </c>
    </row>
    <row r="256" spans="1:68" x14ac:dyDescent="0.2">
      <c r="A256" s="89">
        <v>63900200</v>
      </c>
      <c r="B256" s="53" t="str">
        <f>VLOOKUP($A256,[1]maaltijden!$A$1:$IV$65536,4,FALSE)</f>
        <v xml:space="preserve">VAT STOOFPOTJE MET ANDIJVIE A LA CREME PUREE      </v>
      </c>
      <c r="C256" s="46" t="str">
        <f>VLOOKUP($A256,[1]maaltijden!$A$1:$IV$65536,7,FALSE)</f>
        <v>C2227-3R</v>
      </c>
      <c r="D256" s="22" t="str">
        <f>VLOOKUP($A256,[1]maaltijden!$A$1:$IV$65536,10,FALSE)</f>
        <v>NVT</v>
      </c>
      <c r="E256" s="22" t="str">
        <f>VLOOKUP($A256,[1]maaltijden!$A$1:$IV$65536,13,FALSE)</f>
        <v xml:space="preserve">VAT X 6 </v>
      </c>
      <c r="F256" s="20">
        <f t="shared" si="3"/>
        <v>0</v>
      </c>
      <c r="G256" s="20" t="str">
        <f>VLOOKUP($A256,[1]maaltijden!$A$1:$IV$65536,27,FALSE)</f>
        <v>! ! !</v>
      </c>
      <c r="H256" s="22">
        <f>VLOOKUP($A256,[1]maaltijden!$A$1:$IV$65536,21,FALSE)</f>
        <v>1</v>
      </c>
      <c r="I256" s="22">
        <f>VLOOKUP($A256,[1]maaltijden!$A$1:$IV$65536,21,FALSE)</f>
        <v>1</v>
      </c>
      <c r="J256" s="22">
        <f>VLOOKUP($A256,[1]maaltijden!$A$1:$IV$65536,18,FALSE)</f>
        <v>3</v>
      </c>
      <c r="K256" s="22">
        <f>VLOOKUP($A256,[1]maaltijden!$A$1:$IV$65536,17,FALSE)</f>
        <v>3</v>
      </c>
      <c r="L256" s="22">
        <f>VLOOKUP($A256,[1]maaltijden!$A$1:$IV$65536,20,FALSE)</f>
        <v>2200</v>
      </c>
      <c r="M256" s="22">
        <f>VLOOKUP($A256,[1]maaltijden!$A$1:$IV$65536,22,FALSE)</f>
        <v>2200</v>
      </c>
      <c r="N256" s="135"/>
      <c r="O256" s="50"/>
      <c r="P256" s="19">
        <v>0</v>
      </c>
      <c r="Q256" s="20">
        <v>1</v>
      </c>
      <c r="R256" s="21">
        <v>0</v>
      </c>
      <c r="S256" s="19">
        <v>0</v>
      </c>
      <c r="T256" s="20">
        <v>1</v>
      </c>
      <c r="U256" s="19">
        <v>1</v>
      </c>
      <c r="V256" s="20">
        <v>1</v>
      </c>
      <c r="W256" s="20">
        <v>1</v>
      </c>
      <c r="X256" s="20">
        <v>1</v>
      </c>
      <c r="Y256" s="20">
        <v>1</v>
      </c>
      <c r="Z256" s="20">
        <v>0</v>
      </c>
      <c r="AA256" s="20">
        <v>0</v>
      </c>
      <c r="AB256" s="49">
        <v>0</v>
      </c>
      <c r="AC256" s="49">
        <v>0</v>
      </c>
      <c r="AD256" s="49">
        <v>0</v>
      </c>
      <c r="AE256" s="49">
        <v>1</v>
      </c>
      <c r="AF256" s="49">
        <v>0</v>
      </c>
      <c r="AG256" s="161">
        <v>0</v>
      </c>
      <c r="AH256" s="162">
        <v>2</v>
      </c>
      <c r="AI256" s="162">
        <v>1</v>
      </c>
      <c r="AJ256" s="162">
        <v>0</v>
      </c>
      <c r="AK256" s="162">
        <v>0</v>
      </c>
      <c r="AL256" s="163">
        <v>0</v>
      </c>
      <c r="AM256" s="19">
        <v>0</v>
      </c>
      <c r="AN256" s="20" t="str">
        <f>IFERROR(INDEX([2]lijnopstellingsfiche!$AP$1:$AP$65536,MATCH(A256,[2]lijnopstellingsfiche!$AQ$1:$AQ$65536,0)),"")</f>
        <v>-</v>
      </c>
      <c r="AO256" s="20">
        <v>0</v>
      </c>
      <c r="AP256" s="20">
        <v>0</v>
      </c>
      <c r="AQ256" s="20">
        <v>2</v>
      </c>
      <c r="AR256" s="20">
        <v>1</v>
      </c>
      <c r="AS256" s="20">
        <v>0</v>
      </c>
      <c r="AT256" s="20">
        <v>0</v>
      </c>
      <c r="AU256" s="20">
        <v>0</v>
      </c>
      <c r="AV256" s="23">
        <v>0</v>
      </c>
      <c r="AW256" s="108">
        <v>0</v>
      </c>
      <c r="AX256" s="108">
        <v>0</v>
      </c>
      <c r="AY256" s="108">
        <v>1</v>
      </c>
      <c r="AZ256" s="108">
        <v>0</v>
      </c>
      <c r="BA256" s="114">
        <v>1</v>
      </c>
      <c r="BB256" s="20">
        <v>0</v>
      </c>
      <c r="BC256" s="113">
        <v>0</v>
      </c>
      <c r="BD256" s="200" t="str">
        <f>VLOOKUP($A256,'[3]allergenen 6nr'!$A$1:$O$1310,3,FALSE)</f>
        <v>-</v>
      </c>
      <c r="BE256" s="201" t="str">
        <f>VLOOKUP($A256,'[3]allergenen 6nr'!$A$1:$O$1310,4,FALSE)</f>
        <v>+</v>
      </c>
      <c r="BF256" s="201" t="str">
        <f>VLOOKUP($A256,'[3]allergenen 6nr'!$A$1:$O$1310,5,FALSE)</f>
        <v>+</v>
      </c>
      <c r="BG256" s="201" t="str">
        <f>VLOOKUP($A256,'[3]allergenen 6nr'!$A$1:$O$1310,6,FALSE)</f>
        <v>-</v>
      </c>
      <c r="BH256" s="201" t="str">
        <f>VLOOKUP($A256,'[3]allergenen 6nr'!$A$1:$O$1310,7,FALSE)</f>
        <v>+</v>
      </c>
      <c r="BI256" s="201" t="str">
        <f>VLOOKUP($A256,'[3]allergenen 6nr'!$A$1:$O$1310,8,FALSE)</f>
        <v>X</v>
      </c>
      <c r="BJ256" s="201" t="str">
        <f>VLOOKUP($A256,'[3]allergenen 6nr'!$A$1:$O$1310,9,FALSE)</f>
        <v>-</v>
      </c>
      <c r="BK256" s="201" t="str">
        <f>VLOOKUP($A256,'[3]allergenen 6nr'!$A$1:$O$1310,10,FALSE)</f>
        <v>-</v>
      </c>
      <c r="BL256" s="201" t="str">
        <f>VLOOKUP($A256,'[3]allergenen 6nr'!$A$1:$O$1310,11,FALSE)</f>
        <v>+</v>
      </c>
      <c r="BM256" s="201" t="str">
        <f>VLOOKUP($A256,'[3]allergenen 6nr'!$A$1:$O$1310,12,FALSE)</f>
        <v>-</v>
      </c>
      <c r="BN256" s="201" t="str">
        <f>VLOOKUP($A256,'[3]allergenen 6nr'!$A$1:$O$1310,13,FALSE)</f>
        <v>X</v>
      </c>
      <c r="BO256" s="201" t="str">
        <f>VLOOKUP($A256,'[3]allergenen 6nr'!$A$1:$O$1310,14,FALSE)</f>
        <v>-</v>
      </c>
      <c r="BP256" s="202" t="str">
        <f>VLOOKUP($A256,'[3]allergenen 6nr'!$A$1:$O$1310,15,FALSE)</f>
        <v>-</v>
      </c>
    </row>
    <row r="257" spans="1:68" x14ac:dyDescent="0.2">
      <c r="A257" s="89">
        <v>63900300</v>
      </c>
      <c r="B257" s="53" t="str">
        <f>VLOOKUP($A257,[1]maaltijden!$A$1:$IV$65536,4,FALSE)</f>
        <v xml:space="preserve">VAT HOLLANDSE HACHEE RODE KOOL EN GEKOOKTE AARD   </v>
      </c>
      <c r="C257" s="46" t="str">
        <f>VLOOKUP($A257,[1]maaltijden!$A$1:$IV$65536,7,FALSE)</f>
        <v>C2227-3R</v>
      </c>
      <c r="D257" s="22" t="str">
        <f>VLOOKUP($A257,[1]maaltijden!$A$1:$IV$65536,10,FALSE)</f>
        <v>NVT</v>
      </c>
      <c r="E257" s="22" t="str">
        <f>VLOOKUP($A257,[1]maaltijden!$A$1:$IV$65536,13,FALSE)</f>
        <v xml:space="preserve">VAT X 6 </v>
      </c>
      <c r="F257" s="20">
        <f t="shared" si="3"/>
        <v>0</v>
      </c>
      <c r="G257" s="20" t="str">
        <f>VLOOKUP($A257,[1]maaltijden!$A$1:$IV$65536,27,FALSE)</f>
        <v>! !</v>
      </c>
      <c r="H257" s="22">
        <f>VLOOKUP($A257,[1]maaltijden!$A$1:$IV$65536,21,FALSE)</f>
        <v>3</v>
      </c>
      <c r="I257" s="22">
        <f>VLOOKUP($A257,[1]maaltijden!$A$1:$IV$65536,21,FALSE)</f>
        <v>3</v>
      </c>
      <c r="J257" s="22">
        <f>VLOOKUP($A257,[1]maaltijden!$A$1:$IV$65536,18,FALSE)</f>
        <v>3</v>
      </c>
      <c r="K257" s="22">
        <f>VLOOKUP($A257,[1]maaltijden!$A$1:$IV$65536,17,FALSE)</f>
        <v>3</v>
      </c>
      <c r="L257" s="22">
        <f>VLOOKUP($A257,[1]maaltijden!$A$1:$IV$65536,20,FALSE)</f>
        <v>2200</v>
      </c>
      <c r="M257" s="22">
        <f>VLOOKUP($A257,[1]maaltijden!$A$1:$IV$65536,22,FALSE)</f>
        <v>2200</v>
      </c>
      <c r="N257" s="135"/>
      <c r="O257" s="50">
        <v>63930100</v>
      </c>
      <c r="P257" s="19">
        <v>0</v>
      </c>
      <c r="Q257" s="20">
        <v>1</v>
      </c>
      <c r="R257" s="21">
        <v>0</v>
      </c>
      <c r="S257" s="19">
        <v>0</v>
      </c>
      <c r="T257" s="20">
        <v>1</v>
      </c>
      <c r="U257" s="19">
        <v>1</v>
      </c>
      <c r="V257" s="20">
        <v>1</v>
      </c>
      <c r="W257" s="20">
        <v>1</v>
      </c>
      <c r="X257" s="20">
        <v>1</v>
      </c>
      <c r="Y257" s="20">
        <v>1</v>
      </c>
      <c r="Z257" s="20">
        <v>0</v>
      </c>
      <c r="AA257" s="20">
        <v>0</v>
      </c>
      <c r="AB257" s="49">
        <v>0</v>
      </c>
      <c r="AC257" s="49">
        <v>0</v>
      </c>
      <c r="AD257" s="49">
        <v>0</v>
      </c>
      <c r="AE257" s="49">
        <v>1</v>
      </c>
      <c r="AF257" s="49">
        <v>0</v>
      </c>
      <c r="AG257" s="161">
        <v>0</v>
      </c>
      <c r="AH257" s="162">
        <v>3</v>
      </c>
      <c r="AI257" s="162">
        <v>0</v>
      </c>
      <c r="AJ257" s="162">
        <v>0</v>
      </c>
      <c r="AK257" s="162">
        <v>0</v>
      </c>
      <c r="AL257" s="163">
        <v>0</v>
      </c>
      <c r="AM257" s="19">
        <v>0</v>
      </c>
      <c r="AN257" s="20" t="str">
        <f>IFERROR(INDEX([2]lijnopstellingsfiche!$AP$1:$AP$65536,MATCH(A257,[2]lijnopstellingsfiche!$AQ$1:$AQ$65536,0)),"")</f>
        <v>-</v>
      </c>
      <c r="AO257" s="20">
        <v>0</v>
      </c>
      <c r="AP257" s="20">
        <v>0</v>
      </c>
      <c r="AQ257" s="20">
        <v>2</v>
      </c>
      <c r="AR257" s="20">
        <v>0</v>
      </c>
      <c r="AS257" s="20">
        <v>0</v>
      </c>
      <c r="AT257" s="20">
        <v>0</v>
      </c>
      <c r="AU257" s="20">
        <v>0</v>
      </c>
      <c r="AV257" s="23">
        <v>0</v>
      </c>
      <c r="AW257" s="108">
        <v>0</v>
      </c>
      <c r="AX257" s="108">
        <v>0</v>
      </c>
      <c r="AY257" s="108">
        <v>1</v>
      </c>
      <c r="AZ257" s="108">
        <v>0</v>
      </c>
      <c r="BA257" s="114">
        <v>1</v>
      </c>
      <c r="BB257" s="20">
        <v>0</v>
      </c>
      <c r="BC257" s="113">
        <v>0</v>
      </c>
      <c r="BD257" s="200" t="str">
        <f>VLOOKUP($A257,'[3]allergenen 6nr'!$A$1:$O$1310,3,FALSE)</f>
        <v>-</v>
      </c>
      <c r="BE257" s="201" t="str">
        <f>VLOOKUP($A257,'[3]allergenen 6nr'!$A$1:$O$1310,4,FALSE)</f>
        <v>X</v>
      </c>
      <c r="BF257" s="201" t="str">
        <f>VLOOKUP($A257,'[3]allergenen 6nr'!$A$1:$O$1310,5,FALSE)</f>
        <v>+</v>
      </c>
      <c r="BG257" s="201" t="str">
        <f>VLOOKUP($A257,'[3]allergenen 6nr'!$A$1:$O$1310,6,FALSE)</f>
        <v>-</v>
      </c>
      <c r="BH257" s="201" t="str">
        <f>VLOOKUP($A257,'[3]allergenen 6nr'!$A$1:$O$1310,7,FALSE)</f>
        <v>X</v>
      </c>
      <c r="BI257" s="201" t="str">
        <f>VLOOKUP($A257,'[3]allergenen 6nr'!$A$1:$O$1310,8,FALSE)</f>
        <v>X</v>
      </c>
      <c r="BJ257" s="201" t="str">
        <f>VLOOKUP($A257,'[3]allergenen 6nr'!$A$1:$O$1310,9,FALSE)</f>
        <v>-</v>
      </c>
      <c r="BK257" s="201" t="str">
        <f>VLOOKUP($A257,'[3]allergenen 6nr'!$A$1:$O$1310,10,FALSE)</f>
        <v>-</v>
      </c>
      <c r="BL257" s="201" t="str">
        <f>VLOOKUP($A257,'[3]allergenen 6nr'!$A$1:$O$1310,11,FALSE)</f>
        <v>-</v>
      </c>
      <c r="BM257" s="201" t="str">
        <f>VLOOKUP($A257,'[3]allergenen 6nr'!$A$1:$O$1310,12,FALSE)</f>
        <v>-</v>
      </c>
      <c r="BN257" s="201" t="str">
        <f>VLOOKUP($A257,'[3]allergenen 6nr'!$A$1:$O$1310,13,FALSE)</f>
        <v>X</v>
      </c>
      <c r="BO257" s="201" t="str">
        <f>VLOOKUP($A257,'[3]allergenen 6nr'!$A$1:$O$1310,14,FALSE)</f>
        <v>-</v>
      </c>
      <c r="BP257" s="202" t="str">
        <f>VLOOKUP($A257,'[3]allergenen 6nr'!$A$1:$O$1310,15,FALSE)</f>
        <v>-</v>
      </c>
    </row>
    <row r="258" spans="1:68" x14ac:dyDescent="0.2">
      <c r="A258" s="89">
        <v>63900400</v>
      </c>
      <c r="B258" s="53" t="str">
        <f>VLOOKUP($A258,[1]maaltijden!$A$1:$IV$65536,4,FALSE)</f>
        <v>VAT GEPAN SCHNITZEL SPERZIEBONEN GEKRUIDE AARDAPPELKUBUS</v>
      </c>
      <c r="C258" s="46" t="str">
        <f>VLOOKUP($A258,[1]maaltijden!$A$1:$IV$65536,7,FALSE)</f>
        <v>C2227-2K</v>
      </c>
      <c r="D258" s="22" t="str">
        <f>VLOOKUP($A258,[1]maaltijden!$A$1:$IV$65536,10,FALSE)</f>
        <v>NVT</v>
      </c>
      <c r="E258" s="22" t="str">
        <f>VLOOKUP($A258,[1]maaltijden!$A$1:$IV$65536,13,FALSE)</f>
        <v xml:space="preserve">VAT X 6 </v>
      </c>
      <c r="F258" s="20">
        <f t="shared" si="3"/>
        <v>0</v>
      </c>
      <c r="G258" s="20" t="str">
        <f>VLOOKUP($A258,[1]maaltijden!$A$1:$IV$65536,27,FALSE)</f>
        <v>! ! !</v>
      </c>
      <c r="H258" s="22">
        <f>VLOOKUP($A258,[1]maaltijden!$A$1:$IV$65536,21,FALSE)</f>
        <v>5</v>
      </c>
      <c r="I258" s="22">
        <f>VLOOKUP($A258,[1]maaltijden!$A$1:$IV$65536,21,FALSE)</f>
        <v>5</v>
      </c>
      <c r="J258" s="22">
        <f>VLOOKUP($A258,[1]maaltijden!$A$1:$IV$65536,18,FALSE)</f>
        <v>3</v>
      </c>
      <c r="K258" s="22">
        <f>VLOOKUP($A258,[1]maaltijden!$A$1:$IV$65536,17,FALSE)</f>
        <v>1</v>
      </c>
      <c r="L258" s="22">
        <f>VLOOKUP($A258,[1]maaltijden!$A$1:$IV$65536,20,FALSE)</f>
        <v>2200</v>
      </c>
      <c r="M258" s="22">
        <f>VLOOKUP($A258,[1]maaltijden!$A$1:$IV$65536,22,FALSE)</f>
        <v>2000</v>
      </c>
      <c r="N258" s="135"/>
      <c r="O258" s="50"/>
      <c r="P258" s="19">
        <v>0</v>
      </c>
      <c r="Q258" s="20">
        <v>1</v>
      </c>
      <c r="R258" s="21">
        <v>0</v>
      </c>
      <c r="S258" s="19">
        <v>0</v>
      </c>
      <c r="T258" s="20">
        <v>1</v>
      </c>
      <c r="U258" s="19">
        <v>0</v>
      </c>
      <c r="V258" s="20">
        <v>1</v>
      </c>
      <c r="W258" s="20">
        <v>1</v>
      </c>
      <c r="X258" s="20">
        <v>1</v>
      </c>
      <c r="Y258" s="20">
        <v>1</v>
      </c>
      <c r="Z258" s="20">
        <v>0</v>
      </c>
      <c r="AA258" s="20">
        <v>0</v>
      </c>
      <c r="AB258" s="49">
        <v>0</v>
      </c>
      <c r="AC258" s="49">
        <v>0</v>
      </c>
      <c r="AD258" s="49">
        <v>0</v>
      </c>
      <c r="AE258" s="49">
        <v>1</v>
      </c>
      <c r="AF258" s="49">
        <v>0</v>
      </c>
      <c r="AG258" s="161">
        <v>0</v>
      </c>
      <c r="AH258" s="162">
        <v>1</v>
      </c>
      <c r="AI258" s="162">
        <v>1</v>
      </c>
      <c r="AJ258" s="162">
        <v>0</v>
      </c>
      <c r="AK258" s="162">
        <v>0</v>
      </c>
      <c r="AL258" s="163">
        <v>0</v>
      </c>
      <c r="AM258" s="19">
        <v>0</v>
      </c>
      <c r="AN258" s="20">
        <f>IFERROR(INDEX([2]lijnopstellingsfiche!$AP$1:$AP$65536,MATCH(A258,[2]lijnopstellingsfiche!$AQ$1:$AQ$65536,0)),"")</f>
        <v>1</v>
      </c>
      <c r="AO258" s="20">
        <v>0</v>
      </c>
      <c r="AP258" s="20">
        <v>0</v>
      </c>
      <c r="AQ258" s="20">
        <v>0</v>
      </c>
      <c r="AR258" s="20">
        <v>0</v>
      </c>
      <c r="AS258" s="20">
        <v>0</v>
      </c>
      <c r="AT258" s="20">
        <v>1</v>
      </c>
      <c r="AU258" s="20">
        <v>0</v>
      </c>
      <c r="AV258" s="23">
        <v>0</v>
      </c>
      <c r="AW258" s="108">
        <v>0</v>
      </c>
      <c r="AX258" s="108">
        <v>0</v>
      </c>
      <c r="AY258" s="108">
        <v>1</v>
      </c>
      <c r="AZ258" s="108">
        <v>0</v>
      </c>
      <c r="BA258" s="114">
        <v>1</v>
      </c>
      <c r="BB258" s="20">
        <v>0</v>
      </c>
      <c r="BC258" s="113">
        <v>0</v>
      </c>
      <c r="BD258" s="200" t="str">
        <f>VLOOKUP($A258,'[3]allergenen 6nr'!$A$1:$O$1310,3,FALSE)</f>
        <v>X</v>
      </c>
      <c r="BE258" s="201" t="str">
        <f>VLOOKUP($A258,'[3]allergenen 6nr'!$A$1:$O$1310,4,FALSE)</f>
        <v>X</v>
      </c>
      <c r="BF258" s="201" t="str">
        <f>VLOOKUP($A258,'[3]allergenen 6nr'!$A$1:$O$1310,5,FALSE)</f>
        <v>+</v>
      </c>
      <c r="BG258" s="201" t="str">
        <f>VLOOKUP($A258,'[3]allergenen 6nr'!$A$1:$O$1310,6,FALSE)</f>
        <v>X</v>
      </c>
      <c r="BH258" s="201" t="str">
        <f>VLOOKUP($A258,'[3]allergenen 6nr'!$A$1:$O$1310,7,FALSE)</f>
        <v>+</v>
      </c>
      <c r="BI258" s="201" t="str">
        <f>VLOOKUP($A258,'[3]allergenen 6nr'!$A$1:$O$1310,8,FALSE)</f>
        <v>+</v>
      </c>
      <c r="BJ258" s="201" t="str">
        <f>VLOOKUP($A258,'[3]allergenen 6nr'!$A$1:$O$1310,9,FALSE)</f>
        <v>X</v>
      </c>
      <c r="BK258" s="201" t="str">
        <f>VLOOKUP($A258,'[3]allergenen 6nr'!$A$1:$O$1310,10,FALSE)</f>
        <v>X</v>
      </c>
      <c r="BL258" s="201" t="str">
        <f>VLOOKUP($A258,'[3]allergenen 6nr'!$A$1:$O$1310,11,FALSE)</f>
        <v>+</v>
      </c>
      <c r="BM258" s="201" t="str">
        <f>VLOOKUP($A258,'[3]allergenen 6nr'!$A$1:$O$1310,12,FALSE)</f>
        <v>X</v>
      </c>
      <c r="BN258" s="201" t="str">
        <f>VLOOKUP($A258,'[3]allergenen 6nr'!$A$1:$O$1310,13,FALSE)</f>
        <v>X</v>
      </c>
      <c r="BO258" s="201" t="str">
        <f>VLOOKUP($A258,'[3]allergenen 6nr'!$A$1:$O$1310,14,FALSE)</f>
        <v>X</v>
      </c>
      <c r="BP258" s="202" t="str">
        <f>VLOOKUP($A258,'[3]allergenen 6nr'!$A$1:$O$1310,15,FALSE)</f>
        <v>-</v>
      </c>
    </row>
    <row r="259" spans="1:68" x14ac:dyDescent="0.2">
      <c r="A259" s="89">
        <v>63900500</v>
      </c>
      <c r="B259" s="53" t="str">
        <f>VLOOKUP($A259,[1]maaltijden!$A$1:$IV$65536,4,FALSE)</f>
        <v>VAT VARKENSHAASJE CHAMPIGNONROOMSAUS GROENTEMIX GEBAKKEN AARD</v>
      </c>
      <c r="C259" s="46" t="str">
        <f>VLOOKUP($A259,[1]maaltijden!$A$1:$IV$65536,7,FALSE)</f>
        <v>C2227-2K</v>
      </c>
      <c r="D259" s="22" t="str">
        <f>VLOOKUP($A259,[1]maaltijden!$A$1:$IV$65536,10,FALSE)</f>
        <v>NVT</v>
      </c>
      <c r="E259" s="22" t="str">
        <f>VLOOKUP($A259,[1]maaltijden!$A$1:$IV$65536,13,FALSE)</f>
        <v xml:space="preserve">VAT X 6 </v>
      </c>
      <c r="F259" s="20">
        <f t="shared" ref="F259:F322" si="4">IF($D259="Bedrukte folie 470x300",1,0)</f>
        <v>0</v>
      </c>
      <c r="G259" s="20" t="str">
        <f>VLOOKUP($A259,[1]maaltijden!$A$1:$IV$65536,27,FALSE)</f>
        <v>! ! !</v>
      </c>
      <c r="H259" s="22">
        <f>VLOOKUP($A259,[1]maaltijden!$A$1:$IV$65536,21,FALSE)</f>
        <v>7</v>
      </c>
      <c r="I259" s="22">
        <f>VLOOKUP($A259,[1]maaltijden!$A$1:$IV$65536,21,FALSE)</f>
        <v>7</v>
      </c>
      <c r="J259" s="22">
        <f>VLOOKUP($A259,[1]maaltijden!$A$1:$IV$65536,18,FALSE)</f>
        <v>3</v>
      </c>
      <c r="K259" s="22">
        <f>VLOOKUP($A259,[1]maaltijden!$A$1:$IV$65536,17,FALSE)</f>
        <v>2</v>
      </c>
      <c r="L259" s="22">
        <f>VLOOKUP($A259,[1]maaltijden!$A$1:$IV$65536,20,FALSE)</f>
        <v>2200</v>
      </c>
      <c r="M259" s="22">
        <f>VLOOKUP($A259,[1]maaltijden!$A$1:$IV$65536,22,FALSE)</f>
        <v>2200</v>
      </c>
      <c r="N259" s="135"/>
      <c r="O259" s="50"/>
      <c r="P259" s="19">
        <v>0</v>
      </c>
      <c r="Q259" s="20">
        <v>1</v>
      </c>
      <c r="R259" s="21">
        <v>0</v>
      </c>
      <c r="S259" s="19">
        <v>0</v>
      </c>
      <c r="T259" s="20">
        <v>1</v>
      </c>
      <c r="U259" s="19">
        <v>1</v>
      </c>
      <c r="V259" s="20">
        <v>1</v>
      </c>
      <c r="W259" s="20">
        <v>1</v>
      </c>
      <c r="X259" s="20">
        <v>1</v>
      </c>
      <c r="Y259" s="20">
        <v>1</v>
      </c>
      <c r="Z259" s="20">
        <v>0</v>
      </c>
      <c r="AA259" s="20">
        <v>0</v>
      </c>
      <c r="AB259" s="49">
        <v>0</v>
      </c>
      <c r="AC259" s="49">
        <v>0</v>
      </c>
      <c r="AD259" s="49">
        <v>0</v>
      </c>
      <c r="AE259" s="49">
        <v>0</v>
      </c>
      <c r="AF259" s="49">
        <v>0</v>
      </c>
      <c r="AG259" s="161">
        <v>0</v>
      </c>
      <c r="AH259" s="162">
        <v>1</v>
      </c>
      <c r="AI259" s="162">
        <v>0</v>
      </c>
      <c r="AJ259" s="162">
        <v>1</v>
      </c>
      <c r="AK259" s="162">
        <v>0</v>
      </c>
      <c r="AL259" s="163">
        <v>0</v>
      </c>
      <c r="AM259" s="19">
        <v>0</v>
      </c>
      <c r="AN259" s="20" t="str">
        <f>IFERROR(INDEX([2]lijnopstellingsfiche!$AP$1:$AP$65536,MATCH(A259,[2]lijnopstellingsfiche!$AQ$1:$AQ$65536,0)),"")</f>
        <v>-</v>
      </c>
      <c r="AO259" s="20">
        <v>0</v>
      </c>
      <c r="AP259" s="20">
        <v>0</v>
      </c>
      <c r="AQ259" s="20">
        <v>1</v>
      </c>
      <c r="AR259" s="20">
        <v>0</v>
      </c>
      <c r="AS259" s="20">
        <v>0</v>
      </c>
      <c r="AT259" s="20">
        <v>1</v>
      </c>
      <c r="AU259" s="20">
        <v>0</v>
      </c>
      <c r="AV259" s="23">
        <v>0</v>
      </c>
      <c r="AW259" s="108">
        <v>0</v>
      </c>
      <c r="AX259" s="108">
        <v>0</v>
      </c>
      <c r="AY259" s="108">
        <v>1</v>
      </c>
      <c r="AZ259" s="108">
        <v>0</v>
      </c>
      <c r="BA259" s="114">
        <v>1</v>
      </c>
      <c r="BB259" s="20">
        <v>0</v>
      </c>
      <c r="BC259" s="113">
        <v>0</v>
      </c>
      <c r="BD259" s="200" t="str">
        <f>VLOOKUP($A259,'[3]allergenen 6nr'!$A$1:$O$1310,3,FALSE)</f>
        <v>-</v>
      </c>
      <c r="BE259" s="201" t="str">
        <f>VLOOKUP($A259,'[3]allergenen 6nr'!$A$1:$O$1310,4,FALSE)</f>
        <v>X</v>
      </c>
      <c r="BF259" s="201" t="str">
        <f>VLOOKUP($A259,'[3]allergenen 6nr'!$A$1:$O$1310,5,FALSE)</f>
        <v>+</v>
      </c>
      <c r="BG259" s="201" t="str">
        <f>VLOOKUP($A259,'[3]allergenen 6nr'!$A$1:$O$1310,6,FALSE)</f>
        <v>X</v>
      </c>
      <c r="BH259" s="201" t="str">
        <f>VLOOKUP($A259,'[3]allergenen 6nr'!$A$1:$O$1310,7,FALSE)</f>
        <v>+</v>
      </c>
      <c r="BI259" s="201" t="str">
        <f>VLOOKUP($A259,'[3]allergenen 6nr'!$A$1:$O$1310,8,FALSE)</f>
        <v>X</v>
      </c>
      <c r="BJ259" s="201" t="str">
        <f>VLOOKUP($A259,'[3]allergenen 6nr'!$A$1:$O$1310,9,FALSE)</f>
        <v>-</v>
      </c>
      <c r="BK259" s="201" t="str">
        <f>VLOOKUP($A259,'[3]allergenen 6nr'!$A$1:$O$1310,10,FALSE)</f>
        <v>-</v>
      </c>
      <c r="BL259" s="201" t="str">
        <f>VLOOKUP($A259,'[3]allergenen 6nr'!$A$1:$O$1310,11,FALSE)</f>
        <v>-</v>
      </c>
      <c r="BM259" s="201" t="str">
        <f>VLOOKUP($A259,'[3]allergenen 6nr'!$A$1:$O$1310,12,FALSE)</f>
        <v>-</v>
      </c>
      <c r="BN259" s="201" t="str">
        <f>VLOOKUP($A259,'[3]allergenen 6nr'!$A$1:$O$1310,13,FALSE)</f>
        <v>X</v>
      </c>
      <c r="BO259" s="201" t="str">
        <f>VLOOKUP($A259,'[3]allergenen 6nr'!$A$1:$O$1310,14,FALSE)</f>
        <v>-</v>
      </c>
      <c r="BP259" s="202" t="str">
        <f>VLOOKUP($A259,'[3]allergenen 6nr'!$A$1:$O$1310,15,FALSE)</f>
        <v>-</v>
      </c>
    </row>
    <row r="260" spans="1:68" x14ac:dyDescent="0.2">
      <c r="A260" s="89">
        <v>63900700</v>
      </c>
      <c r="B260" s="53" t="str">
        <f>VLOOKUP($A260,[1]maaltijden!$A$1:$IV$65536,4,FALSE)</f>
        <v xml:space="preserve">VAT GEGRILDE KIPPENBOUT GROENTEMIX EN PUREE       </v>
      </c>
      <c r="C260" s="46" t="str">
        <f>VLOOKUP($A260,[1]maaltijden!$A$1:$IV$65536,7,FALSE)</f>
        <v>C2227-2K</v>
      </c>
      <c r="D260" s="22" t="str">
        <f>VLOOKUP($A260,[1]maaltijden!$A$1:$IV$65536,10,FALSE)</f>
        <v>NVT</v>
      </c>
      <c r="E260" s="22" t="str">
        <f>VLOOKUP($A260,[1]maaltijden!$A$1:$IV$65536,13,FALSE)</f>
        <v xml:space="preserve">VAT X 6 </v>
      </c>
      <c r="F260" s="20">
        <f t="shared" si="4"/>
        <v>0</v>
      </c>
      <c r="G260" s="20" t="str">
        <f>VLOOKUP($A260,[1]maaltijden!$A$1:$IV$65536,27,FALSE)</f>
        <v>! ! !</v>
      </c>
      <c r="H260" s="22">
        <f>VLOOKUP($A260,[1]maaltijden!$A$1:$IV$65536,21,FALSE)</f>
        <v>5</v>
      </c>
      <c r="I260" s="22">
        <f>VLOOKUP($A260,[1]maaltijden!$A$1:$IV$65536,21,FALSE)</f>
        <v>5</v>
      </c>
      <c r="J260" s="22">
        <f>VLOOKUP($A260,[1]maaltijden!$A$1:$IV$65536,18,FALSE)</f>
        <v>3</v>
      </c>
      <c r="K260" s="22">
        <f>VLOOKUP($A260,[1]maaltijden!$A$1:$IV$65536,17,FALSE)</f>
        <v>2.5</v>
      </c>
      <c r="L260" s="22">
        <f>VLOOKUP($A260,[1]maaltijden!$A$1:$IV$65536,20,FALSE)</f>
        <v>2000</v>
      </c>
      <c r="M260" s="22">
        <f>VLOOKUP($A260,[1]maaltijden!$A$1:$IV$65536,22,FALSE)</f>
        <v>2000</v>
      </c>
      <c r="N260" s="135"/>
      <c r="O260" s="50"/>
      <c r="P260" s="19">
        <v>0</v>
      </c>
      <c r="Q260" s="20">
        <v>1</v>
      </c>
      <c r="R260" s="21">
        <v>0</v>
      </c>
      <c r="S260" s="19">
        <v>0</v>
      </c>
      <c r="T260" s="20">
        <v>1</v>
      </c>
      <c r="U260" s="19">
        <v>0</v>
      </c>
      <c r="V260" s="20">
        <v>1</v>
      </c>
      <c r="W260" s="20">
        <v>1</v>
      </c>
      <c r="X260" s="20">
        <v>1</v>
      </c>
      <c r="Y260" s="20">
        <v>1</v>
      </c>
      <c r="Z260" s="20">
        <v>1</v>
      </c>
      <c r="AA260" s="20">
        <v>0</v>
      </c>
      <c r="AB260" s="49">
        <v>0</v>
      </c>
      <c r="AC260" s="49">
        <v>0</v>
      </c>
      <c r="AD260" s="49">
        <v>0</v>
      </c>
      <c r="AE260" s="49">
        <v>1</v>
      </c>
      <c r="AF260" s="49">
        <v>0</v>
      </c>
      <c r="AG260" s="161">
        <v>0</v>
      </c>
      <c r="AH260" s="162">
        <v>2</v>
      </c>
      <c r="AI260" s="162">
        <v>1</v>
      </c>
      <c r="AJ260" s="162">
        <v>0</v>
      </c>
      <c r="AK260" s="162">
        <v>0</v>
      </c>
      <c r="AL260" s="163">
        <v>0</v>
      </c>
      <c r="AM260" s="19">
        <v>0</v>
      </c>
      <c r="AN260" s="20" t="str">
        <f>IFERROR(INDEX([2]lijnopstellingsfiche!$AP$1:$AP$65536,MATCH(A260,[2]lijnopstellingsfiche!$AQ$1:$AQ$65536,0)),"")</f>
        <v>-</v>
      </c>
      <c r="AO260" s="20">
        <v>0</v>
      </c>
      <c r="AP260" s="20">
        <v>0</v>
      </c>
      <c r="AQ260" s="20">
        <v>1</v>
      </c>
      <c r="AR260" s="20">
        <v>1</v>
      </c>
      <c r="AS260" s="20">
        <v>0</v>
      </c>
      <c r="AT260" s="20">
        <v>0</v>
      </c>
      <c r="AU260" s="20">
        <v>0</v>
      </c>
      <c r="AV260" s="23">
        <v>0</v>
      </c>
      <c r="AW260" s="108">
        <v>0</v>
      </c>
      <c r="AX260" s="108">
        <v>0</v>
      </c>
      <c r="AY260" s="108">
        <v>1</v>
      </c>
      <c r="AZ260" s="108">
        <v>0</v>
      </c>
      <c r="BA260" s="114">
        <v>1</v>
      </c>
      <c r="BB260" s="20">
        <v>0</v>
      </c>
      <c r="BC260" s="113">
        <v>0</v>
      </c>
      <c r="BD260" s="200" t="str">
        <f>VLOOKUP($A260,'[3]allergenen 6nr'!$A$1:$O$1310,3,FALSE)</f>
        <v>-</v>
      </c>
      <c r="BE260" s="201" t="str">
        <f>VLOOKUP($A260,'[3]allergenen 6nr'!$A$1:$O$1310,4,FALSE)</f>
        <v>+</v>
      </c>
      <c r="BF260" s="201" t="str">
        <f>VLOOKUP($A260,'[3]allergenen 6nr'!$A$1:$O$1310,5,FALSE)</f>
        <v>+</v>
      </c>
      <c r="BG260" s="201" t="str">
        <f>VLOOKUP($A260,'[3]allergenen 6nr'!$A$1:$O$1310,6,FALSE)</f>
        <v>-</v>
      </c>
      <c r="BH260" s="201" t="str">
        <f>VLOOKUP($A260,'[3]allergenen 6nr'!$A$1:$O$1310,7,FALSE)</f>
        <v>+</v>
      </c>
      <c r="BI260" s="201" t="str">
        <f>VLOOKUP($A260,'[3]allergenen 6nr'!$A$1:$O$1310,8,FALSE)</f>
        <v>X</v>
      </c>
      <c r="BJ260" s="201" t="str">
        <f>VLOOKUP($A260,'[3]allergenen 6nr'!$A$1:$O$1310,9,FALSE)</f>
        <v>-</v>
      </c>
      <c r="BK260" s="201" t="str">
        <f>VLOOKUP($A260,'[3]allergenen 6nr'!$A$1:$O$1310,10,FALSE)</f>
        <v>-</v>
      </c>
      <c r="BL260" s="201" t="str">
        <f>VLOOKUP($A260,'[3]allergenen 6nr'!$A$1:$O$1310,11,FALSE)</f>
        <v>+</v>
      </c>
      <c r="BM260" s="201" t="str">
        <f>VLOOKUP($A260,'[3]allergenen 6nr'!$A$1:$O$1310,12,FALSE)</f>
        <v>-</v>
      </c>
      <c r="BN260" s="201" t="str">
        <f>VLOOKUP($A260,'[3]allergenen 6nr'!$A$1:$O$1310,13,FALSE)</f>
        <v>-</v>
      </c>
      <c r="BO260" s="201" t="str">
        <f>VLOOKUP($A260,'[3]allergenen 6nr'!$A$1:$O$1310,14,FALSE)</f>
        <v>-</v>
      </c>
      <c r="BP260" s="202" t="str">
        <f>VLOOKUP($A260,'[3]allergenen 6nr'!$A$1:$O$1310,15,FALSE)</f>
        <v>-</v>
      </c>
    </row>
    <row r="261" spans="1:68" x14ac:dyDescent="0.2">
      <c r="A261" s="89">
        <v>63900800</v>
      </c>
      <c r="B261" s="53" t="str">
        <f>VLOOKUP($A261,[1]maaltijden!$A$1:$IV$65536,4,FALSE)</f>
        <v xml:space="preserve">VAT LASAGNA BOLOGNESE                             </v>
      </c>
      <c r="C261" s="46" t="str">
        <f>VLOOKUP($A261,[1]maaltijden!$A$1:$IV$65536,7,FALSE)</f>
        <v xml:space="preserve">C2227-1H </v>
      </c>
      <c r="D261" s="22" t="str">
        <f>VLOOKUP($A261,[1]maaltijden!$A$1:$IV$65536,10,FALSE)</f>
        <v>NVT</v>
      </c>
      <c r="E261" s="22" t="str">
        <f>VLOOKUP($A261,[1]maaltijden!$A$1:$IV$65536,13,FALSE)</f>
        <v xml:space="preserve">VAT X 6 </v>
      </c>
      <c r="F261" s="20">
        <f t="shared" si="4"/>
        <v>0</v>
      </c>
      <c r="G261" s="20" t="str">
        <f>VLOOKUP($A261,[1]maaltijden!$A$1:$IV$65536,27,FALSE)</f>
        <v>! ! !</v>
      </c>
      <c r="H261" s="22">
        <f>VLOOKUP($A261,[1]maaltijden!$A$1:$IV$65536,21,FALSE)</f>
        <v>3</v>
      </c>
      <c r="I261" s="22">
        <f>VLOOKUP($A261,[1]maaltijden!$A$1:$IV$65536,21,FALSE)</f>
        <v>3</v>
      </c>
      <c r="J261" s="22">
        <f>VLOOKUP($A261,[1]maaltijden!$A$1:$IV$65536,18,FALSE)</f>
        <v>3</v>
      </c>
      <c r="K261" s="22">
        <f>VLOOKUP($A261,[1]maaltijden!$A$1:$IV$65536,17,FALSE)</f>
        <v>2</v>
      </c>
      <c r="L261" s="22">
        <f>VLOOKUP($A261,[1]maaltijden!$A$1:$IV$65536,20,FALSE)</f>
        <v>2200</v>
      </c>
      <c r="M261" s="22">
        <f>VLOOKUP($A261,[1]maaltijden!$A$1:$IV$65536,22,FALSE)</f>
        <v>2200</v>
      </c>
      <c r="N261" s="135"/>
      <c r="O261" s="50"/>
      <c r="P261" s="19">
        <v>0</v>
      </c>
      <c r="Q261" s="20">
        <v>1</v>
      </c>
      <c r="R261" s="21">
        <v>0</v>
      </c>
      <c r="S261" s="19">
        <v>0</v>
      </c>
      <c r="T261" s="20">
        <v>1</v>
      </c>
      <c r="U261" s="19">
        <v>0</v>
      </c>
      <c r="V261" s="20">
        <v>1</v>
      </c>
      <c r="W261" s="20">
        <v>1</v>
      </c>
      <c r="X261" s="20">
        <v>1</v>
      </c>
      <c r="Y261" s="20">
        <v>1</v>
      </c>
      <c r="Z261" s="20">
        <v>0</v>
      </c>
      <c r="AA261" s="20">
        <v>0</v>
      </c>
      <c r="AB261" s="49">
        <v>1</v>
      </c>
      <c r="AC261" s="49">
        <v>0</v>
      </c>
      <c r="AD261" s="49">
        <v>0</v>
      </c>
      <c r="AE261" s="49">
        <v>1</v>
      </c>
      <c r="AF261" s="49">
        <v>0</v>
      </c>
      <c r="AG261" s="161">
        <v>0</v>
      </c>
      <c r="AH261" s="162">
        <v>2</v>
      </c>
      <c r="AI261" s="162">
        <v>0</v>
      </c>
      <c r="AJ261" s="162">
        <v>0</v>
      </c>
      <c r="AK261" s="162">
        <v>0</v>
      </c>
      <c r="AL261" s="163">
        <v>0</v>
      </c>
      <c r="AM261" s="19">
        <v>0</v>
      </c>
      <c r="AN261" s="20" t="str">
        <f>IFERROR(INDEX([2]lijnopstellingsfiche!$AP$1:$AP$65536,MATCH(A261,[2]lijnopstellingsfiche!$AQ$1:$AQ$65536,0)),"")</f>
        <v>-</v>
      </c>
      <c r="AO261" s="20">
        <v>0</v>
      </c>
      <c r="AP261" s="20">
        <v>1</v>
      </c>
      <c r="AQ261" s="20">
        <v>4</v>
      </c>
      <c r="AR261" s="20">
        <v>0</v>
      </c>
      <c r="AS261" s="20">
        <v>0</v>
      </c>
      <c r="AT261" s="20">
        <v>0</v>
      </c>
      <c r="AU261" s="20">
        <v>0</v>
      </c>
      <c r="AV261" s="23">
        <v>0</v>
      </c>
      <c r="AW261" s="108">
        <v>0</v>
      </c>
      <c r="AX261" s="108">
        <v>0</v>
      </c>
      <c r="AY261" s="108">
        <v>1</v>
      </c>
      <c r="AZ261" s="108">
        <v>0</v>
      </c>
      <c r="BA261" s="114">
        <v>1</v>
      </c>
      <c r="BB261" s="20">
        <v>0</v>
      </c>
      <c r="BC261" s="113">
        <v>0</v>
      </c>
      <c r="BD261" s="200" t="str">
        <f>VLOOKUP($A261,'[3]allergenen 6nr'!$A$1:$O$1310,3,FALSE)</f>
        <v>-</v>
      </c>
      <c r="BE261" s="201" t="str">
        <f>VLOOKUP($A261,'[3]allergenen 6nr'!$A$1:$O$1310,4,FALSE)</f>
        <v>+</v>
      </c>
      <c r="BF261" s="201" t="str">
        <f>VLOOKUP($A261,'[3]allergenen 6nr'!$A$1:$O$1310,5,FALSE)</f>
        <v>+</v>
      </c>
      <c r="BG261" s="201" t="str">
        <f>VLOOKUP($A261,'[3]allergenen 6nr'!$A$1:$O$1310,6,FALSE)</f>
        <v>X</v>
      </c>
      <c r="BH261" s="201" t="str">
        <f>VLOOKUP($A261,'[3]allergenen 6nr'!$A$1:$O$1310,7,FALSE)</f>
        <v>+</v>
      </c>
      <c r="BI261" s="201" t="str">
        <f>VLOOKUP($A261,'[3]allergenen 6nr'!$A$1:$O$1310,8,FALSE)</f>
        <v>X</v>
      </c>
      <c r="BJ261" s="201" t="str">
        <f>VLOOKUP($A261,'[3]allergenen 6nr'!$A$1:$O$1310,9,FALSE)</f>
        <v>-</v>
      </c>
      <c r="BK261" s="201" t="str">
        <f>VLOOKUP($A261,'[3]allergenen 6nr'!$A$1:$O$1310,10,FALSE)</f>
        <v>X</v>
      </c>
      <c r="BL261" s="201" t="str">
        <f>VLOOKUP($A261,'[3]allergenen 6nr'!$A$1:$O$1310,11,FALSE)</f>
        <v>+</v>
      </c>
      <c r="BM261" s="201" t="str">
        <f>VLOOKUP($A261,'[3]allergenen 6nr'!$A$1:$O$1310,12,FALSE)</f>
        <v>-</v>
      </c>
      <c r="BN261" s="201" t="str">
        <f>VLOOKUP($A261,'[3]allergenen 6nr'!$A$1:$O$1310,13,FALSE)</f>
        <v>X</v>
      </c>
      <c r="BO261" s="201" t="str">
        <f>VLOOKUP($A261,'[3]allergenen 6nr'!$A$1:$O$1310,14,FALSE)</f>
        <v>X</v>
      </c>
      <c r="BP261" s="202" t="str">
        <f>VLOOKUP($A261,'[3]allergenen 6nr'!$A$1:$O$1310,15,FALSE)</f>
        <v>-</v>
      </c>
    </row>
    <row r="262" spans="1:68" x14ac:dyDescent="0.2">
      <c r="A262" s="89">
        <v>63900900</v>
      </c>
      <c r="B262" s="53" t="str">
        <f>VLOOKUP($A262,[1]maaltijden!$A$1:$IV$65536,4,FALSE)</f>
        <v>VAT KIPSTOOFPOTJE APPELCOMPOTE AARD.KUBUS GEKRUID</v>
      </c>
      <c r="C262" s="46" t="str">
        <f>VLOOKUP($A262,[1]maaltijden!$A$1:$IV$65536,7,FALSE)</f>
        <v>C2227-3R</v>
      </c>
      <c r="D262" s="22" t="str">
        <f>VLOOKUP($A262,[1]maaltijden!$A$1:$IV$65536,10,FALSE)</f>
        <v>NVT</v>
      </c>
      <c r="E262" s="22" t="str">
        <f>VLOOKUP($A262,[1]maaltijden!$A$1:$IV$65536,13,FALSE)</f>
        <v xml:space="preserve">VAT X 6 </v>
      </c>
      <c r="F262" s="20">
        <f t="shared" si="4"/>
        <v>0</v>
      </c>
      <c r="G262" s="20" t="str">
        <f>VLOOKUP($A262,[1]maaltijden!$A$1:$IV$65536,27,FALSE)</f>
        <v>! ! !</v>
      </c>
      <c r="H262" s="22">
        <f>VLOOKUP($A262,[1]maaltijden!$A$1:$IV$65536,21,FALSE)</f>
        <v>2</v>
      </c>
      <c r="I262" s="22">
        <f>VLOOKUP($A262,[1]maaltijden!$A$1:$IV$65536,21,FALSE)</f>
        <v>2</v>
      </c>
      <c r="J262" s="22">
        <f>VLOOKUP($A262,[1]maaltijden!$A$1:$IV$65536,18,FALSE)</f>
        <v>3</v>
      </c>
      <c r="K262" s="22">
        <f>VLOOKUP($A262,[1]maaltijden!$A$1:$IV$65536,17,FALSE)</f>
        <v>2</v>
      </c>
      <c r="L262" s="22">
        <f>VLOOKUP($A262,[1]maaltijden!$A$1:$IV$65536,20,FALSE)</f>
        <v>2200</v>
      </c>
      <c r="M262" s="22">
        <f>VLOOKUP($A262,[1]maaltijden!$A$1:$IV$65536,22,FALSE)</f>
        <v>2200</v>
      </c>
      <c r="N262" s="135"/>
      <c r="O262" s="50"/>
      <c r="P262" s="19">
        <v>0</v>
      </c>
      <c r="Q262" s="20">
        <v>1</v>
      </c>
      <c r="R262" s="21">
        <v>0</v>
      </c>
      <c r="S262" s="19">
        <v>0</v>
      </c>
      <c r="T262" s="20">
        <v>1</v>
      </c>
      <c r="U262" s="19">
        <v>1</v>
      </c>
      <c r="V262" s="20">
        <v>1</v>
      </c>
      <c r="W262" s="20">
        <v>1</v>
      </c>
      <c r="X262" s="20">
        <v>1</v>
      </c>
      <c r="Y262" s="20">
        <v>1</v>
      </c>
      <c r="Z262" s="20">
        <v>0</v>
      </c>
      <c r="AA262" s="20">
        <v>0</v>
      </c>
      <c r="AB262" s="49">
        <v>0</v>
      </c>
      <c r="AC262" s="49">
        <v>0</v>
      </c>
      <c r="AD262" s="49">
        <v>0</v>
      </c>
      <c r="AE262" s="49">
        <v>0</v>
      </c>
      <c r="AF262" s="49">
        <v>0</v>
      </c>
      <c r="AG262" s="161">
        <v>0</v>
      </c>
      <c r="AH262" s="162">
        <v>2</v>
      </c>
      <c r="AI262" s="162">
        <v>0</v>
      </c>
      <c r="AJ262" s="162">
        <v>0</v>
      </c>
      <c r="AK262" s="162">
        <v>0</v>
      </c>
      <c r="AL262" s="163">
        <v>0</v>
      </c>
      <c r="AM262" s="19">
        <v>0</v>
      </c>
      <c r="AN262" s="20">
        <f>IFERROR(INDEX([2]lijnopstellingsfiche!$AP$1:$AP$65536,MATCH(A262,[2]lijnopstellingsfiche!$AQ$1:$AQ$65536,0)),"")</f>
        <v>1</v>
      </c>
      <c r="AO262" s="20">
        <v>0</v>
      </c>
      <c r="AP262" s="20">
        <v>0</v>
      </c>
      <c r="AQ262" s="20">
        <v>2</v>
      </c>
      <c r="AR262" s="20">
        <v>0</v>
      </c>
      <c r="AS262" s="20">
        <v>0</v>
      </c>
      <c r="AT262" s="20">
        <v>1</v>
      </c>
      <c r="AU262" s="20">
        <v>0</v>
      </c>
      <c r="AV262" s="23">
        <v>0</v>
      </c>
      <c r="AW262" s="108">
        <v>0</v>
      </c>
      <c r="AX262" s="108">
        <v>0</v>
      </c>
      <c r="AY262" s="108">
        <v>1</v>
      </c>
      <c r="AZ262" s="108">
        <v>0</v>
      </c>
      <c r="BA262" s="114">
        <v>1</v>
      </c>
      <c r="BB262" s="20">
        <v>0</v>
      </c>
      <c r="BC262" s="113">
        <v>0</v>
      </c>
      <c r="BD262" s="200" t="str">
        <f>VLOOKUP($A262,'[3]allergenen 6nr'!$A$1:$O$1310,3,FALSE)</f>
        <v>-</v>
      </c>
      <c r="BE262" s="201" t="str">
        <f>VLOOKUP($A262,'[3]allergenen 6nr'!$A$1:$O$1310,4,FALSE)</f>
        <v>X</v>
      </c>
      <c r="BF262" s="201" t="str">
        <f>VLOOKUP($A262,'[3]allergenen 6nr'!$A$1:$O$1310,5,FALSE)</f>
        <v>+</v>
      </c>
      <c r="BG262" s="201" t="str">
        <f>VLOOKUP($A262,'[3]allergenen 6nr'!$A$1:$O$1310,6,FALSE)</f>
        <v>X</v>
      </c>
      <c r="BH262" s="201" t="str">
        <f>VLOOKUP($A262,'[3]allergenen 6nr'!$A$1:$O$1310,7,FALSE)</f>
        <v>+</v>
      </c>
      <c r="BI262" s="201" t="str">
        <f>VLOOKUP($A262,'[3]allergenen 6nr'!$A$1:$O$1310,8,FALSE)</f>
        <v>X</v>
      </c>
      <c r="BJ262" s="201" t="str">
        <f>VLOOKUP($A262,'[3]allergenen 6nr'!$A$1:$O$1310,9,FALSE)</f>
        <v>-</v>
      </c>
      <c r="BK262" s="201" t="str">
        <f>VLOOKUP($A262,'[3]allergenen 6nr'!$A$1:$O$1310,10,FALSE)</f>
        <v>-</v>
      </c>
      <c r="BL262" s="201" t="str">
        <f>VLOOKUP($A262,'[3]allergenen 6nr'!$A$1:$O$1310,11,FALSE)</f>
        <v>+</v>
      </c>
      <c r="BM262" s="201" t="str">
        <f>VLOOKUP($A262,'[3]allergenen 6nr'!$A$1:$O$1310,12,FALSE)</f>
        <v>-</v>
      </c>
      <c r="BN262" s="201" t="str">
        <f>VLOOKUP($A262,'[3]allergenen 6nr'!$A$1:$O$1310,13,FALSE)</f>
        <v>X</v>
      </c>
      <c r="BO262" s="201" t="str">
        <f>VLOOKUP($A262,'[3]allergenen 6nr'!$A$1:$O$1310,14,FALSE)</f>
        <v>-</v>
      </c>
      <c r="BP262" s="202" t="str">
        <f>VLOOKUP($A262,'[3]allergenen 6nr'!$A$1:$O$1310,15,FALSE)</f>
        <v>-</v>
      </c>
    </row>
    <row r="263" spans="1:68" x14ac:dyDescent="0.2">
      <c r="A263" s="89">
        <v>63901200</v>
      </c>
      <c r="B263" s="53" t="str">
        <f>VLOOKUP($A263,[1]maaltijden!$A$1:$IV$65536,4,FALSE)</f>
        <v>VAT HAMBURGER UIENSAUS RODE KOOL AARDAPPELKUBUS</v>
      </c>
      <c r="C263" s="46" t="str">
        <f>VLOOKUP($A263,[1]maaltijden!$A$1:$IV$65536,7,FALSE)</f>
        <v>C2227-3R</v>
      </c>
      <c r="D263" s="22" t="str">
        <f>VLOOKUP($A263,[1]maaltijden!$A$1:$IV$65536,10,FALSE)</f>
        <v>NVT</v>
      </c>
      <c r="E263" s="22" t="str">
        <f>VLOOKUP($A263,[1]maaltijden!$A$1:$IV$65536,13,FALSE)</f>
        <v xml:space="preserve">VAT X 6 </v>
      </c>
      <c r="F263" s="20">
        <f t="shared" si="4"/>
        <v>0</v>
      </c>
      <c r="G263" s="20" t="str">
        <f>VLOOKUP($A263,[1]maaltijden!$A$1:$IV$65536,27,FALSE)</f>
        <v>! ! !</v>
      </c>
      <c r="H263" s="22">
        <f>VLOOKUP($A263,[1]maaltijden!$A$1:$IV$65536,21,FALSE)</f>
        <v>4</v>
      </c>
      <c r="I263" s="22">
        <f>VLOOKUP($A263,[1]maaltijden!$A$1:$IV$65536,21,FALSE)</f>
        <v>4</v>
      </c>
      <c r="J263" s="22">
        <f>VLOOKUP($A263,[1]maaltijden!$A$1:$IV$65536,18,FALSE)</f>
        <v>3</v>
      </c>
      <c r="K263" s="22">
        <f>VLOOKUP($A263,[1]maaltijden!$A$1:$IV$65536,17,FALSE)</f>
        <v>2</v>
      </c>
      <c r="L263" s="22">
        <f>VLOOKUP($A263,[1]maaltijden!$A$1:$IV$65536,20,FALSE)</f>
        <v>2200</v>
      </c>
      <c r="M263" s="22">
        <f>VLOOKUP($A263,[1]maaltijden!$A$1:$IV$65536,22,FALSE)</f>
        <v>2200</v>
      </c>
      <c r="N263" s="135"/>
      <c r="O263" s="50"/>
      <c r="P263" s="19">
        <v>0</v>
      </c>
      <c r="Q263" s="20">
        <v>1</v>
      </c>
      <c r="R263" s="21">
        <v>0</v>
      </c>
      <c r="S263" s="19">
        <v>0</v>
      </c>
      <c r="T263" s="20">
        <v>1</v>
      </c>
      <c r="U263" s="19">
        <v>1</v>
      </c>
      <c r="V263" s="20">
        <v>1</v>
      </c>
      <c r="W263" s="20">
        <v>1</v>
      </c>
      <c r="X263" s="20">
        <v>1</v>
      </c>
      <c r="Y263" s="20">
        <v>1</v>
      </c>
      <c r="Z263" s="20">
        <v>0</v>
      </c>
      <c r="AA263" s="20">
        <v>0</v>
      </c>
      <c r="AB263" s="49">
        <v>0</v>
      </c>
      <c r="AC263" s="49">
        <v>0</v>
      </c>
      <c r="AD263" s="49">
        <v>0</v>
      </c>
      <c r="AE263" s="49">
        <v>0</v>
      </c>
      <c r="AF263" s="49">
        <v>0</v>
      </c>
      <c r="AG263" s="161">
        <v>0</v>
      </c>
      <c r="AH263" s="162">
        <v>1</v>
      </c>
      <c r="AI263" s="162">
        <v>1</v>
      </c>
      <c r="AJ263" s="162">
        <v>0</v>
      </c>
      <c r="AK263" s="162">
        <v>0</v>
      </c>
      <c r="AL263" s="163">
        <v>0</v>
      </c>
      <c r="AM263" s="19">
        <v>0</v>
      </c>
      <c r="AN263" s="20">
        <f>IFERROR(INDEX([2]lijnopstellingsfiche!$AP$1:$AP$65536,MATCH(A263,[2]lijnopstellingsfiche!$AQ$1:$AQ$65536,0)),"")</f>
        <v>1</v>
      </c>
      <c r="AO263" s="20">
        <v>0</v>
      </c>
      <c r="AP263" s="20">
        <v>0</v>
      </c>
      <c r="AQ263" s="20">
        <v>2</v>
      </c>
      <c r="AR263" s="20">
        <v>0</v>
      </c>
      <c r="AS263" s="20">
        <v>0</v>
      </c>
      <c r="AT263" s="20">
        <v>1</v>
      </c>
      <c r="AU263" s="20">
        <v>0</v>
      </c>
      <c r="AV263" s="23">
        <v>0</v>
      </c>
      <c r="AW263" s="108">
        <v>0</v>
      </c>
      <c r="AX263" s="108">
        <v>0</v>
      </c>
      <c r="AY263" s="108">
        <v>1</v>
      </c>
      <c r="AZ263" s="108">
        <v>0</v>
      </c>
      <c r="BA263" s="114">
        <v>1</v>
      </c>
      <c r="BB263" s="20">
        <v>0</v>
      </c>
      <c r="BC263" s="113">
        <v>0</v>
      </c>
      <c r="BD263" s="200" t="str">
        <f>VLOOKUP($A263,'[3]allergenen 6nr'!$A$1:$O$1310,3,FALSE)</f>
        <v>-</v>
      </c>
      <c r="BE263" s="201" t="str">
        <f>VLOOKUP($A263,'[3]allergenen 6nr'!$A$1:$O$1310,4,FALSE)</f>
        <v>X</v>
      </c>
      <c r="BF263" s="201" t="str">
        <f>VLOOKUP($A263,'[3]allergenen 6nr'!$A$1:$O$1310,5,FALSE)</f>
        <v>+</v>
      </c>
      <c r="BG263" s="201" t="str">
        <f>VLOOKUP($A263,'[3]allergenen 6nr'!$A$1:$O$1310,6,FALSE)</f>
        <v>X</v>
      </c>
      <c r="BH263" s="201" t="str">
        <f>VLOOKUP($A263,'[3]allergenen 6nr'!$A$1:$O$1310,7,FALSE)</f>
        <v>X</v>
      </c>
      <c r="BI263" s="201" t="str">
        <f>VLOOKUP($A263,'[3]allergenen 6nr'!$A$1:$O$1310,8,FALSE)</f>
        <v>X</v>
      </c>
      <c r="BJ263" s="201" t="str">
        <f>VLOOKUP($A263,'[3]allergenen 6nr'!$A$1:$O$1310,9,FALSE)</f>
        <v>-</v>
      </c>
      <c r="BK263" s="201" t="str">
        <f>VLOOKUP($A263,'[3]allergenen 6nr'!$A$1:$O$1310,10,FALSE)</f>
        <v>X</v>
      </c>
      <c r="BL263" s="201" t="str">
        <f>VLOOKUP($A263,'[3]allergenen 6nr'!$A$1:$O$1310,11,FALSE)</f>
        <v>+</v>
      </c>
      <c r="BM263" s="201" t="str">
        <f>VLOOKUP($A263,'[3]allergenen 6nr'!$A$1:$O$1310,12,FALSE)</f>
        <v>-</v>
      </c>
      <c r="BN263" s="201" t="str">
        <f>VLOOKUP($A263,'[3]allergenen 6nr'!$A$1:$O$1310,13,FALSE)</f>
        <v>X</v>
      </c>
      <c r="BO263" s="201" t="str">
        <f>VLOOKUP($A263,'[3]allergenen 6nr'!$A$1:$O$1310,14,FALSE)</f>
        <v>X</v>
      </c>
      <c r="BP263" s="202" t="str">
        <f>VLOOKUP($A263,'[3]allergenen 6nr'!$A$1:$O$1310,15,FALSE)</f>
        <v>X</v>
      </c>
    </row>
    <row r="264" spans="1:68" x14ac:dyDescent="0.2">
      <c r="A264" s="54">
        <v>63901300</v>
      </c>
      <c r="B264" s="53" t="str">
        <f>VLOOKUP($A264,[1]maaltijden!$A$1:$IV$65536,4,FALSE)</f>
        <v xml:space="preserve">VAT ZUURKOOLSTAMPPOT SPEKJES  SCHIJFJES ROOKWORST </v>
      </c>
      <c r="C264" s="46" t="str">
        <f>VLOOKUP($A264,[1]maaltijden!$A$1:$IV$65536,7,FALSE)</f>
        <v>C2227-2K</v>
      </c>
      <c r="D264" s="22" t="str">
        <f>VLOOKUP($A264,[1]maaltijden!$A$1:$IV$65536,10,FALSE)</f>
        <v>NVT</v>
      </c>
      <c r="E264" s="22" t="str">
        <f>VLOOKUP($A264,[1]maaltijden!$A$1:$IV$65536,13,FALSE)</f>
        <v xml:space="preserve">VAT X 6 </v>
      </c>
      <c r="F264" s="20">
        <f t="shared" si="4"/>
        <v>0</v>
      </c>
      <c r="G264" s="20" t="str">
        <f>VLOOKUP($A264,[1]maaltijden!$A$1:$IV$65536,27,FALSE)</f>
        <v>! !</v>
      </c>
      <c r="H264" s="22">
        <f>VLOOKUP($A264,[1]maaltijden!$A$1:$IV$65536,21,FALSE)</f>
        <v>2</v>
      </c>
      <c r="I264" s="22">
        <f>VLOOKUP($A264,[1]maaltijden!$A$1:$IV$65536,21,FALSE)</f>
        <v>2</v>
      </c>
      <c r="J264" s="22">
        <f>VLOOKUP($A264,[1]maaltijden!$A$1:$IV$65536,18,FALSE)</f>
        <v>3</v>
      </c>
      <c r="K264" s="22">
        <f>VLOOKUP($A264,[1]maaltijden!$A$1:$IV$65536,17,FALSE)</f>
        <v>2</v>
      </c>
      <c r="L264" s="22">
        <f>VLOOKUP($A264,[1]maaltijden!$A$1:$IV$65536,20,FALSE)</f>
        <v>2200</v>
      </c>
      <c r="M264" s="22">
        <f>VLOOKUP($A264,[1]maaltijden!$A$1:$IV$65536,22,FALSE)</f>
        <v>2200</v>
      </c>
      <c r="N264" s="135"/>
      <c r="O264" s="50"/>
      <c r="P264" s="19">
        <v>0</v>
      </c>
      <c r="Q264" s="20">
        <v>1</v>
      </c>
      <c r="R264" s="21">
        <v>0</v>
      </c>
      <c r="S264" s="19">
        <v>0</v>
      </c>
      <c r="T264" s="20">
        <v>1</v>
      </c>
      <c r="U264" s="19"/>
      <c r="V264" s="20"/>
      <c r="W264" s="20"/>
      <c r="X264" s="20"/>
      <c r="Y264" s="20"/>
      <c r="Z264" s="20"/>
      <c r="AA264" s="20"/>
      <c r="AB264" s="49"/>
      <c r="AC264" s="49"/>
      <c r="AD264" s="49"/>
      <c r="AE264" s="49"/>
      <c r="AF264" s="49"/>
      <c r="AG264" s="161">
        <v>0</v>
      </c>
      <c r="AH264" s="168">
        <v>3</v>
      </c>
      <c r="AI264" s="20"/>
      <c r="AJ264" s="20"/>
      <c r="AK264" s="20"/>
      <c r="AL264" s="21"/>
      <c r="AM264" s="19">
        <v>0</v>
      </c>
      <c r="AN264" s="20">
        <f>IFERROR(INDEX([2]lijnopstellingsfiche!$AP$1:$AP$65536,MATCH(A264,[2]lijnopstellingsfiche!$AQ$1:$AQ$65536,0)),"")</f>
        <v>1</v>
      </c>
      <c r="AO264" s="20">
        <v>0</v>
      </c>
      <c r="AP264" s="20">
        <v>0</v>
      </c>
      <c r="AQ264" s="20">
        <v>1</v>
      </c>
      <c r="AR264" s="20">
        <v>1</v>
      </c>
      <c r="AS264" s="20">
        <v>0</v>
      </c>
      <c r="AT264" s="20">
        <v>1</v>
      </c>
      <c r="AU264" s="20">
        <v>0</v>
      </c>
      <c r="AV264" s="23">
        <v>0</v>
      </c>
      <c r="AW264" s="108">
        <v>0</v>
      </c>
      <c r="AX264" s="108">
        <v>0</v>
      </c>
      <c r="AY264" s="108">
        <v>1</v>
      </c>
      <c r="AZ264" s="108">
        <v>0</v>
      </c>
      <c r="BA264" s="114">
        <v>1</v>
      </c>
      <c r="BB264" s="20">
        <v>0</v>
      </c>
      <c r="BC264" s="113">
        <v>0</v>
      </c>
      <c r="BD264" s="200" t="str">
        <f>VLOOKUP($A264,'[3]allergenen 6nr'!$A$1:$O$1310,3,FALSE)</f>
        <v>-</v>
      </c>
      <c r="BE264" s="201" t="str">
        <f>VLOOKUP($A264,'[3]allergenen 6nr'!$A$1:$O$1310,4,FALSE)</f>
        <v>-</v>
      </c>
      <c r="BF264" s="201" t="str">
        <f>VLOOKUP($A264,'[3]allergenen 6nr'!$A$1:$O$1310,5,FALSE)</f>
        <v>+</v>
      </c>
      <c r="BG264" s="201" t="str">
        <f>VLOOKUP($A264,'[3]allergenen 6nr'!$A$1:$O$1310,6,FALSE)</f>
        <v>X</v>
      </c>
      <c r="BH264" s="201" t="str">
        <f>VLOOKUP($A264,'[3]allergenen 6nr'!$A$1:$O$1310,7,FALSE)</f>
        <v>+</v>
      </c>
      <c r="BI264" s="201" t="str">
        <f>VLOOKUP($A264,'[3]allergenen 6nr'!$A$1:$O$1310,8,FALSE)</f>
        <v>X</v>
      </c>
      <c r="BJ264" s="201" t="str">
        <f>VLOOKUP($A264,'[3]allergenen 6nr'!$A$1:$O$1310,9,FALSE)</f>
        <v>-</v>
      </c>
      <c r="BK264" s="201" t="str">
        <f>VLOOKUP($A264,'[3]allergenen 6nr'!$A$1:$O$1310,10,FALSE)</f>
        <v>-</v>
      </c>
      <c r="BL264" s="201" t="str">
        <f>VLOOKUP($A264,'[3]allergenen 6nr'!$A$1:$O$1310,11,FALSE)</f>
        <v>-</v>
      </c>
      <c r="BM264" s="201" t="str">
        <f>VLOOKUP($A264,'[3]allergenen 6nr'!$A$1:$O$1310,12,FALSE)</f>
        <v>-</v>
      </c>
      <c r="BN264" s="201" t="str">
        <f>VLOOKUP($A264,'[3]allergenen 6nr'!$A$1:$O$1310,13,FALSE)</f>
        <v>X</v>
      </c>
      <c r="BO264" s="201" t="str">
        <f>VLOOKUP($A264,'[3]allergenen 6nr'!$A$1:$O$1310,14,FALSE)</f>
        <v>-</v>
      </c>
      <c r="BP264" s="202" t="str">
        <f>VLOOKUP($A264,'[3]allergenen 6nr'!$A$1:$O$1310,15,FALSE)</f>
        <v>-</v>
      </c>
    </row>
    <row r="265" spans="1:68" x14ac:dyDescent="0.2">
      <c r="A265" s="54">
        <v>63901400</v>
      </c>
      <c r="B265" s="53" t="str">
        <f>VLOOKUP($A265,[1]maaltijden!$A$1:$IV$65536,4,FALSE)</f>
        <v>VAT BOERENKOOLSTAMPPOT SPEKJES SCHIJFJES ROOKWORST</v>
      </c>
      <c r="C265" s="46" t="str">
        <f>VLOOKUP($A265,[1]maaltijden!$A$1:$IV$65536,7,FALSE)</f>
        <v>C2227-2K</v>
      </c>
      <c r="D265" s="22" t="str">
        <f>VLOOKUP($A265,[1]maaltijden!$A$1:$IV$65536,10,FALSE)</f>
        <v>NVT</v>
      </c>
      <c r="E265" s="22" t="str">
        <f>VLOOKUP($A265,[1]maaltijden!$A$1:$IV$65536,13,FALSE)</f>
        <v xml:space="preserve">VAT X 6 </v>
      </c>
      <c r="F265" s="20">
        <f t="shared" si="4"/>
        <v>0</v>
      </c>
      <c r="G265" s="20" t="str">
        <f>VLOOKUP($A265,[1]maaltijden!$A$1:$IV$65536,27,FALSE)</f>
        <v>! ! !</v>
      </c>
      <c r="H265" s="22">
        <f>VLOOKUP($A265,[1]maaltijden!$A$1:$IV$65536,21,FALSE)</f>
        <v>2</v>
      </c>
      <c r="I265" s="22">
        <f>VLOOKUP($A265,[1]maaltijden!$A$1:$IV$65536,21,FALSE)</f>
        <v>2</v>
      </c>
      <c r="J265" s="22">
        <f>VLOOKUP($A265,[1]maaltijden!$A$1:$IV$65536,18,FALSE)</f>
        <v>3</v>
      </c>
      <c r="K265" s="22">
        <f>VLOOKUP($A265,[1]maaltijden!$A$1:$IV$65536,17,FALSE)</f>
        <v>2</v>
      </c>
      <c r="L265" s="22">
        <f>VLOOKUP($A265,[1]maaltijden!$A$1:$IV$65536,20,FALSE)</f>
        <v>2200</v>
      </c>
      <c r="M265" s="22">
        <f>VLOOKUP($A265,[1]maaltijden!$A$1:$IV$65536,22,FALSE)</f>
        <v>2200</v>
      </c>
      <c r="N265" s="135"/>
      <c r="O265" s="50"/>
      <c r="P265" s="19">
        <v>0</v>
      </c>
      <c r="Q265" s="20">
        <v>1</v>
      </c>
      <c r="R265" s="21">
        <v>0</v>
      </c>
      <c r="S265" s="19">
        <v>0</v>
      </c>
      <c r="T265" s="20">
        <v>1</v>
      </c>
      <c r="U265" s="19"/>
      <c r="V265" s="20"/>
      <c r="W265" s="20"/>
      <c r="X265" s="20"/>
      <c r="Y265" s="20"/>
      <c r="Z265" s="20"/>
      <c r="AA265" s="20"/>
      <c r="AB265" s="49"/>
      <c r="AC265" s="49"/>
      <c r="AD265" s="49"/>
      <c r="AE265" s="49"/>
      <c r="AF265" s="49"/>
      <c r="AG265" s="161">
        <v>0</v>
      </c>
      <c r="AH265" s="168">
        <v>3</v>
      </c>
      <c r="AI265" s="20"/>
      <c r="AJ265" s="20"/>
      <c r="AK265" s="20"/>
      <c r="AL265" s="21"/>
      <c r="AM265" s="19">
        <v>0</v>
      </c>
      <c r="AN265" s="20">
        <f>IFERROR(INDEX([2]lijnopstellingsfiche!$AP$1:$AP$65536,MATCH(A265,[2]lijnopstellingsfiche!$AQ$1:$AQ$65536,0)),"")</f>
        <v>1</v>
      </c>
      <c r="AO265" s="20">
        <v>0</v>
      </c>
      <c r="AP265" s="20">
        <v>0</v>
      </c>
      <c r="AQ265" s="20">
        <v>1</v>
      </c>
      <c r="AR265" s="20">
        <v>1</v>
      </c>
      <c r="AS265" s="20">
        <v>0</v>
      </c>
      <c r="AT265" s="20">
        <v>1</v>
      </c>
      <c r="AU265" s="20">
        <v>0</v>
      </c>
      <c r="AV265" s="23">
        <v>0</v>
      </c>
      <c r="AW265" s="108">
        <v>0</v>
      </c>
      <c r="AX265" s="108">
        <v>0</v>
      </c>
      <c r="AY265" s="108">
        <v>1</v>
      </c>
      <c r="AZ265" s="108">
        <v>0</v>
      </c>
      <c r="BA265" s="114">
        <v>1</v>
      </c>
      <c r="BB265" s="20">
        <v>0</v>
      </c>
      <c r="BC265" s="113">
        <v>0</v>
      </c>
      <c r="BD265" s="200" t="str">
        <f>VLOOKUP($A265,'[3]allergenen 6nr'!$A$1:$O$1310,3,FALSE)</f>
        <v>-</v>
      </c>
      <c r="BE265" s="201" t="str">
        <f>VLOOKUP($A265,'[3]allergenen 6nr'!$A$1:$O$1310,4,FALSE)</f>
        <v>-</v>
      </c>
      <c r="BF265" s="201" t="str">
        <f>VLOOKUP($A265,'[3]allergenen 6nr'!$A$1:$O$1310,5,FALSE)</f>
        <v>+</v>
      </c>
      <c r="BG265" s="201" t="str">
        <f>VLOOKUP($A265,'[3]allergenen 6nr'!$A$1:$O$1310,6,FALSE)</f>
        <v>X</v>
      </c>
      <c r="BH265" s="201" t="str">
        <f>VLOOKUP($A265,'[3]allergenen 6nr'!$A$1:$O$1310,7,FALSE)</f>
        <v>+</v>
      </c>
      <c r="BI265" s="201" t="str">
        <f>VLOOKUP($A265,'[3]allergenen 6nr'!$A$1:$O$1310,8,FALSE)</f>
        <v>X</v>
      </c>
      <c r="BJ265" s="201" t="str">
        <f>VLOOKUP($A265,'[3]allergenen 6nr'!$A$1:$O$1310,9,FALSE)</f>
        <v>-</v>
      </c>
      <c r="BK265" s="201" t="str">
        <f>VLOOKUP($A265,'[3]allergenen 6nr'!$A$1:$O$1310,10,FALSE)</f>
        <v>-</v>
      </c>
      <c r="BL265" s="201" t="str">
        <f>VLOOKUP($A265,'[3]allergenen 6nr'!$A$1:$O$1310,11,FALSE)</f>
        <v>+</v>
      </c>
      <c r="BM265" s="201" t="str">
        <f>VLOOKUP($A265,'[3]allergenen 6nr'!$A$1:$O$1310,12,FALSE)</f>
        <v>-</v>
      </c>
      <c r="BN265" s="201" t="str">
        <f>VLOOKUP($A265,'[3]allergenen 6nr'!$A$1:$O$1310,13,FALSE)</f>
        <v>X</v>
      </c>
      <c r="BO265" s="201" t="str">
        <f>VLOOKUP($A265,'[3]allergenen 6nr'!$A$1:$O$1310,14,FALSE)</f>
        <v>-</v>
      </c>
      <c r="BP265" s="202" t="str">
        <f>VLOOKUP($A265,'[3]allergenen 6nr'!$A$1:$O$1310,15,FALSE)</f>
        <v>-</v>
      </c>
    </row>
    <row r="266" spans="1:68" x14ac:dyDescent="0.2">
      <c r="A266" s="54">
        <v>63901500</v>
      </c>
      <c r="B266" s="53" t="str">
        <f>VLOOKUP($A266,[1]maaltijden!$A$1:$IV$65536,4,FALSE)</f>
        <v xml:space="preserve">VAT HUTSPOT MET STUKJES RUNDVLEES                </v>
      </c>
      <c r="C266" s="46" t="str">
        <f>VLOOKUP($A266,[1]maaltijden!$A$1:$IV$65536,7,FALSE)</f>
        <v>C2227-2K</v>
      </c>
      <c r="D266" s="22" t="str">
        <f>VLOOKUP($A266,[1]maaltijden!$A$1:$IV$65536,10,FALSE)</f>
        <v>NVT</v>
      </c>
      <c r="E266" s="22" t="str">
        <f>VLOOKUP($A266,[1]maaltijden!$A$1:$IV$65536,13,FALSE)</f>
        <v xml:space="preserve">VAT X 6 </v>
      </c>
      <c r="F266" s="20">
        <f t="shared" si="4"/>
        <v>0</v>
      </c>
      <c r="G266" s="20" t="str">
        <f>VLOOKUP($A266,[1]maaltijden!$A$1:$IV$65536,27,FALSE)</f>
        <v>! !</v>
      </c>
      <c r="H266" s="22">
        <f>VLOOKUP($A266,[1]maaltijden!$A$1:$IV$65536,21,FALSE)</f>
        <v>2</v>
      </c>
      <c r="I266" s="22">
        <f>VLOOKUP($A266,[1]maaltijden!$A$1:$IV$65536,21,FALSE)</f>
        <v>2</v>
      </c>
      <c r="J266" s="22">
        <f>VLOOKUP($A266,[1]maaltijden!$A$1:$IV$65536,18,FALSE)</f>
        <v>3</v>
      </c>
      <c r="K266" s="22">
        <f>VLOOKUP($A266,[1]maaltijden!$A$1:$IV$65536,17,FALSE)</f>
        <v>2.5</v>
      </c>
      <c r="L266" s="22">
        <f>VLOOKUP($A266,[1]maaltijden!$A$1:$IV$65536,20,FALSE)</f>
        <v>2200</v>
      </c>
      <c r="M266" s="22">
        <f>VLOOKUP($A266,[1]maaltijden!$A$1:$IV$65536,22,FALSE)</f>
        <v>2200</v>
      </c>
      <c r="N266" s="135"/>
      <c r="O266" s="50"/>
      <c r="P266" s="19">
        <v>0</v>
      </c>
      <c r="Q266" s="20">
        <v>1</v>
      </c>
      <c r="R266" s="21">
        <v>0</v>
      </c>
      <c r="S266" s="19">
        <v>0</v>
      </c>
      <c r="T266" s="20">
        <v>1</v>
      </c>
      <c r="U266" s="19"/>
      <c r="V266" s="20"/>
      <c r="W266" s="20"/>
      <c r="X266" s="20"/>
      <c r="Y266" s="20"/>
      <c r="Z266" s="20"/>
      <c r="AA266" s="20"/>
      <c r="AB266" s="49"/>
      <c r="AC266" s="49"/>
      <c r="AD266" s="49"/>
      <c r="AE266" s="49"/>
      <c r="AF266" s="49"/>
      <c r="AG266" s="161">
        <v>0</v>
      </c>
      <c r="AH266" s="168">
        <v>2</v>
      </c>
      <c r="AI266" s="168">
        <v>1</v>
      </c>
      <c r="AJ266" s="20"/>
      <c r="AK266" s="20"/>
      <c r="AL266" s="21"/>
      <c r="AM266" s="19">
        <v>0</v>
      </c>
      <c r="AN266" s="20">
        <f>IFERROR(INDEX([2]lijnopstellingsfiche!$AP$1:$AP$65536,MATCH(A266,[2]lijnopstellingsfiche!$AQ$1:$AQ$65536,0)),"")</f>
        <v>1</v>
      </c>
      <c r="AO266" s="20">
        <v>0</v>
      </c>
      <c r="AP266" s="20">
        <v>0</v>
      </c>
      <c r="AQ266" s="20">
        <v>1</v>
      </c>
      <c r="AR266" s="20">
        <v>1</v>
      </c>
      <c r="AS266" s="20">
        <v>0</v>
      </c>
      <c r="AT266" s="20">
        <v>1</v>
      </c>
      <c r="AU266" s="20">
        <v>0</v>
      </c>
      <c r="AV266" s="23">
        <v>0</v>
      </c>
      <c r="AW266" s="108">
        <v>0</v>
      </c>
      <c r="AX266" s="108">
        <v>0</v>
      </c>
      <c r="AY266" s="108">
        <v>1</v>
      </c>
      <c r="AZ266" s="108">
        <v>0</v>
      </c>
      <c r="BA266" s="114">
        <v>1</v>
      </c>
      <c r="BB266" s="20">
        <v>0</v>
      </c>
      <c r="BC266" s="113">
        <v>0</v>
      </c>
      <c r="BD266" s="200" t="str">
        <f>VLOOKUP($A266,'[3]allergenen 6nr'!$A$1:$O$1310,3,FALSE)</f>
        <v>-</v>
      </c>
      <c r="BE266" s="201" t="str">
        <f>VLOOKUP($A266,'[3]allergenen 6nr'!$A$1:$O$1310,4,FALSE)</f>
        <v>X</v>
      </c>
      <c r="BF266" s="201" t="str">
        <f>VLOOKUP($A266,'[3]allergenen 6nr'!$A$1:$O$1310,5,FALSE)</f>
        <v>X</v>
      </c>
      <c r="BG266" s="201" t="str">
        <f>VLOOKUP($A266,'[3]allergenen 6nr'!$A$1:$O$1310,6,FALSE)</f>
        <v>-</v>
      </c>
      <c r="BH266" s="201" t="str">
        <f>VLOOKUP($A266,'[3]allergenen 6nr'!$A$1:$O$1310,7,FALSE)</f>
        <v>+</v>
      </c>
      <c r="BI266" s="201" t="str">
        <f>VLOOKUP($A266,'[3]allergenen 6nr'!$A$1:$O$1310,8,FALSE)</f>
        <v>X</v>
      </c>
      <c r="BJ266" s="201" t="str">
        <f>VLOOKUP($A266,'[3]allergenen 6nr'!$A$1:$O$1310,9,FALSE)</f>
        <v>-</v>
      </c>
      <c r="BK266" s="201" t="str">
        <f>VLOOKUP($A266,'[3]allergenen 6nr'!$A$1:$O$1310,10,FALSE)</f>
        <v>-</v>
      </c>
      <c r="BL266" s="201" t="str">
        <f>VLOOKUP($A266,'[3]allergenen 6nr'!$A$1:$O$1310,11,FALSE)</f>
        <v>-</v>
      </c>
      <c r="BM266" s="201" t="str">
        <f>VLOOKUP($A266,'[3]allergenen 6nr'!$A$1:$O$1310,12,FALSE)</f>
        <v>-</v>
      </c>
      <c r="BN266" s="201" t="str">
        <f>VLOOKUP($A266,'[3]allergenen 6nr'!$A$1:$O$1310,13,FALSE)</f>
        <v>X</v>
      </c>
      <c r="BO266" s="201" t="str">
        <f>VLOOKUP($A266,'[3]allergenen 6nr'!$A$1:$O$1310,14,FALSE)</f>
        <v>-</v>
      </c>
      <c r="BP266" s="202" t="str">
        <f>VLOOKUP($A266,'[3]allergenen 6nr'!$A$1:$O$1310,15,FALSE)</f>
        <v>-</v>
      </c>
    </row>
    <row r="267" spans="1:68" x14ac:dyDescent="0.2">
      <c r="A267" s="54">
        <v>63901600</v>
      </c>
      <c r="B267" s="53" t="str">
        <f>VLOOKUP($A267,[1]maaltijden!$A$1:$IV$65536,4,FALSE)</f>
        <v xml:space="preserve">VAT SPAGHETTI BOLOGNESE         </v>
      </c>
      <c r="C267" s="46" t="str">
        <f>VLOOKUP($A267,[1]maaltijden!$A$1:$IV$65536,7,FALSE)</f>
        <v xml:space="preserve">C2227-1H </v>
      </c>
      <c r="D267" s="22" t="str">
        <f>VLOOKUP($A267,[1]maaltijden!$A$1:$IV$65536,10,FALSE)</f>
        <v>NVT</v>
      </c>
      <c r="E267" s="22" t="str">
        <f>VLOOKUP($A267,[1]maaltijden!$A$1:$IV$65536,13,FALSE)</f>
        <v xml:space="preserve">VAT X 6 </v>
      </c>
      <c r="F267" s="20">
        <f t="shared" si="4"/>
        <v>0</v>
      </c>
      <c r="G267" s="20" t="str">
        <f>VLOOKUP($A267,[1]maaltijden!$A$1:$IV$65536,27,FALSE)</f>
        <v>! ! !</v>
      </c>
      <c r="H267" s="22">
        <f>VLOOKUP($A267,[1]maaltijden!$A$1:$IV$65536,21,FALSE)</f>
        <v>4</v>
      </c>
      <c r="I267" s="22">
        <f>VLOOKUP($A267,[1]maaltijden!$A$1:$IV$65536,21,FALSE)</f>
        <v>4</v>
      </c>
      <c r="J267" s="22">
        <f>VLOOKUP($A267,[1]maaltijden!$A$1:$IV$65536,18,FALSE)</f>
        <v>3</v>
      </c>
      <c r="K267" s="22">
        <f>VLOOKUP($A267,[1]maaltijden!$A$1:$IV$65536,17,FALSE)</f>
        <v>3</v>
      </c>
      <c r="L267" s="22">
        <f>VLOOKUP($A267,[1]maaltijden!$A$1:$IV$65536,20,FALSE)</f>
        <v>2200</v>
      </c>
      <c r="M267" s="22">
        <f>VLOOKUP($A267,[1]maaltijden!$A$1:$IV$65536,22,FALSE)</f>
        <v>2200</v>
      </c>
      <c r="N267" s="135"/>
      <c r="O267" s="50"/>
      <c r="P267" s="19">
        <v>0</v>
      </c>
      <c r="Q267" s="20">
        <v>1</v>
      </c>
      <c r="R267" s="21">
        <v>0</v>
      </c>
      <c r="S267" s="19">
        <v>0</v>
      </c>
      <c r="T267" s="20">
        <v>1</v>
      </c>
      <c r="U267" s="19"/>
      <c r="V267" s="20"/>
      <c r="W267" s="20"/>
      <c r="X267" s="20"/>
      <c r="Y267" s="20"/>
      <c r="Z267" s="20"/>
      <c r="AA267" s="20"/>
      <c r="AB267" s="49"/>
      <c r="AC267" s="49"/>
      <c r="AD267" s="49"/>
      <c r="AE267" s="49"/>
      <c r="AF267" s="49"/>
      <c r="AG267" s="161">
        <v>1</v>
      </c>
      <c r="AH267" s="168">
        <v>1</v>
      </c>
      <c r="AI267" s="20"/>
      <c r="AJ267" s="20"/>
      <c r="AK267" s="20"/>
      <c r="AL267" s="21"/>
      <c r="AM267" s="19">
        <v>0</v>
      </c>
      <c r="AN267" s="20">
        <f>IFERROR(INDEX([2]lijnopstellingsfiche!$AP$1:$AP$65536,MATCH(A267,[2]lijnopstellingsfiche!$AQ$1:$AQ$65536,0)),"")</f>
        <v>1</v>
      </c>
      <c r="AO267" s="20">
        <v>1</v>
      </c>
      <c r="AP267" s="20">
        <v>1</v>
      </c>
      <c r="AQ267" s="20">
        <v>2</v>
      </c>
      <c r="AR267" s="20">
        <v>0</v>
      </c>
      <c r="AS267" s="20">
        <v>0</v>
      </c>
      <c r="AT267" s="20">
        <v>0</v>
      </c>
      <c r="AU267" s="20">
        <v>0</v>
      </c>
      <c r="AV267" s="23">
        <v>0</v>
      </c>
      <c r="AW267" s="108">
        <v>0</v>
      </c>
      <c r="AX267" s="108">
        <v>0</v>
      </c>
      <c r="AY267" s="108">
        <v>1</v>
      </c>
      <c r="AZ267" s="108">
        <v>0</v>
      </c>
      <c r="BA267" s="114">
        <v>1</v>
      </c>
      <c r="BB267" s="20">
        <v>0</v>
      </c>
      <c r="BC267" s="113">
        <v>0</v>
      </c>
      <c r="BD267" s="200" t="str">
        <f>VLOOKUP($A267,'[3]allergenen 6nr'!$A$1:$O$1310,3,FALSE)</f>
        <v>-</v>
      </c>
      <c r="BE267" s="201" t="str">
        <f>VLOOKUP($A267,'[3]allergenen 6nr'!$A$1:$O$1310,4,FALSE)</f>
        <v>X</v>
      </c>
      <c r="BF267" s="201" t="str">
        <f>VLOOKUP($A267,'[3]allergenen 6nr'!$A$1:$O$1310,5,FALSE)</f>
        <v>+</v>
      </c>
      <c r="BG267" s="201" t="str">
        <f>VLOOKUP($A267,'[3]allergenen 6nr'!$A$1:$O$1310,6,FALSE)</f>
        <v>X</v>
      </c>
      <c r="BH267" s="201" t="str">
        <f>VLOOKUP($A267,'[3]allergenen 6nr'!$A$1:$O$1310,7,FALSE)</f>
        <v>+</v>
      </c>
      <c r="BI267" s="201" t="str">
        <f>VLOOKUP($A267,'[3]allergenen 6nr'!$A$1:$O$1310,8,FALSE)</f>
        <v>X</v>
      </c>
      <c r="BJ267" s="201" t="str">
        <f>VLOOKUP($A267,'[3]allergenen 6nr'!$A$1:$O$1310,9,FALSE)</f>
        <v>-</v>
      </c>
      <c r="BK267" s="201" t="str">
        <f>VLOOKUP($A267,'[3]allergenen 6nr'!$A$1:$O$1310,10,FALSE)</f>
        <v>-</v>
      </c>
      <c r="BL267" s="201" t="str">
        <f>VLOOKUP($A267,'[3]allergenen 6nr'!$A$1:$O$1310,11,FALSE)</f>
        <v>+</v>
      </c>
      <c r="BM267" s="201" t="str">
        <f>VLOOKUP($A267,'[3]allergenen 6nr'!$A$1:$O$1310,12,FALSE)</f>
        <v>-</v>
      </c>
      <c r="BN267" s="201" t="str">
        <f>VLOOKUP($A267,'[3]allergenen 6nr'!$A$1:$O$1310,13,FALSE)</f>
        <v>X</v>
      </c>
      <c r="BO267" s="201" t="str">
        <f>VLOOKUP($A267,'[3]allergenen 6nr'!$A$1:$O$1310,14,FALSE)</f>
        <v>-</v>
      </c>
      <c r="BP267" s="202" t="str">
        <f>VLOOKUP($A267,'[3]allergenen 6nr'!$A$1:$O$1310,15,FALSE)</f>
        <v>-</v>
      </c>
    </row>
    <row r="268" spans="1:68" x14ac:dyDescent="0.2">
      <c r="A268" s="54">
        <v>63901700</v>
      </c>
      <c r="B268" s="53" t="str">
        <f>VLOOKUP($A268,[1]maaltijden!$A$1:$IV$65536,4,FALSE)</f>
        <v xml:space="preserve">VAT MACARONI IN TOMATENSAUS MET HAM EN KAAS       </v>
      </c>
      <c r="C268" s="46" t="str">
        <f>VLOOKUP($A268,[1]maaltijden!$A$1:$IV$65536,7,FALSE)</f>
        <v xml:space="preserve">C2227-1H </v>
      </c>
      <c r="D268" s="22" t="str">
        <f>VLOOKUP($A268,[1]maaltijden!$A$1:$IV$65536,10,FALSE)</f>
        <v>NVT</v>
      </c>
      <c r="E268" s="22" t="str">
        <f>VLOOKUP($A268,[1]maaltijden!$A$1:$IV$65536,13,FALSE)</f>
        <v xml:space="preserve">VAT X 6 </v>
      </c>
      <c r="F268" s="20">
        <f t="shared" si="4"/>
        <v>0</v>
      </c>
      <c r="G268" s="20" t="str">
        <f>VLOOKUP($A268,[1]maaltijden!$A$1:$IV$65536,27,FALSE)</f>
        <v>! !</v>
      </c>
      <c r="H268" s="22">
        <f>VLOOKUP($A268,[1]maaltijden!$A$1:$IV$65536,21,FALSE)</f>
        <v>4</v>
      </c>
      <c r="I268" s="22">
        <f>VLOOKUP($A268,[1]maaltijden!$A$1:$IV$65536,21,FALSE)</f>
        <v>4</v>
      </c>
      <c r="J268" s="22">
        <f>VLOOKUP($A268,[1]maaltijden!$A$1:$IV$65536,18,FALSE)</f>
        <v>3</v>
      </c>
      <c r="K268" s="22">
        <f>VLOOKUP($A268,[1]maaltijden!$A$1:$IV$65536,17,FALSE)</f>
        <v>2.5</v>
      </c>
      <c r="L268" s="22">
        <f>VLOOKUP($A268,[1]maaltijden!$A$1:$IV$65536,20,FALSE)</f>
        <v>2000</v>
      </c>
      <c r="M268" s="22">
        <f>VLOOKUP($A268,[1]maaltijden!$A$1:$IV$65536,22,FALSE)</f>
        <v>2000</v>
      </c>
      <c r="N268" s="135"/>
      <c r="O268" s="50"/>
      <c r="P268" s="19">
        <v>0</v>
      </c>
      <c r="Q268" s="20">
        <v>1</v>
      </c>
      <c r="R268" s="21">
        <v>0</v>
      </c>
      <c r="S268" s="19">
        <v>0</v>
      </c>
      <c r="T268" s="20">
        <v>1</v>
      </c>
      <c r="U268" s="19">
        <v>1</v>
      </c>
      <c r="V268" s="20">
        <v>1</v>
      </c>
      <c r="W268" s="20">
        <v>1</v>
      </c>
      <c r="X268" s="20">
        <v>1</v>
      </c>
      <c r="Y268" s="20">
        <v>1</v>
      </c>
      <c r="Z268" s="20">
        <v>0</v>
      </c>
      <c r="AA268" s="20">
        <v>0</v>
      </c>
      <c r="AB268" s="49">
        <v>0</v>
      </c>
      <c r="AC268" s="49">
        <v>1</v>
      </c>
      <c r="AD268" s="49">
        <v>0</v>
      </c>
      <c r="AE268" s="49">
        <v>1</v>
      </c>
      <c r="AF268" s="49">
        <v>0</v>
      </c>
      <c r="AG268" s="161">
        <v>1</v>
      </c>
      <c r="AH268" s="162">
        <v>1</v>
      </c>
      <c r="AI268" s="162">
        <v>0</v>
      </c>
      <c r="AJ268" s="162">
        <v>0</v>
      </c>
      <c r="AK268" s="162">
        <v>0</v>
      </c>
      <c r="AL268" s="163">
        <v>0</v>
      </c>
      <c r="AM268" s="19">
        <v>0</v>
      </c>
      <c r="AN268" s="20">
        <f>IFERROR(INDEX([2]lijnopstellingsfiche!$AP$1:$AP$65536,MATCH(A268,[2]lijnopstellingsfiche!$AQ$1:$AQ$65536,0)),"")</f>
        <v>1</v>
      </c>
      <c r="AO268" s="20">
        <v>1</v>
      </c>
      <c r="AP268" s="20">
        <v>1</v>
      </c>
      <c r="AQ268" s="20">
        <v>2</v>
      </c>
      <c r="AR268" s="20">
        <v>0</v>
      </c>
      <c r="AS268" s="20">
        <v>0</v>
      </c>
      <c r="AT268" s="20">
        <v>0</v>
      </c>
      <c r="AU268" s="20">
        <v>0</v>
      </c>
      <c r="AV268" s="23">
        <v>0</v>
      </c>
      <c r="AW268" s="108">
        <v>0</v>
      </c>
      <c r="AX268" s="108">
        <v>0</v>
      </c>
      <c r="AY268" s="108">
        <v>1</v>
      </c>
      <c r="AZ268" s="108">
        <v>0</v>
      </c>
      <c r="BA268" s="114">
        <v>1</v>
      </c>
      <c r="BB268" s="20">
        <v>0</v>
      </c>
      <c r="BC268" s="113">
        <v>0</v>
      </c>
      <c r="BD268" s="200" t="str">
        <f>VLOOKUP($A268,'[3]allergenen 6nr'!$A$1:$O$1310,3,FALSE)</f>
        <v>-</v>
      </c>
      <c r="BE268" s="201" t="str">
        <f>VLOOKUP($A268,'[3]allergenen 6nr'!$A$1:$O$1310,4,FALSE)</f>
        <v>X</v>
      </c>
      <c r="BF268" s="201" t="str">
        <f>VLOOKUP($A268,'[3]allergenen 6nr'!$A$1:$O$1310,5,FALSE)</f>
        <v>+</v>
      </c>
      <c r="BG268" s="201" t="str">
        <f>VLOOKUP($A268,'[3]allergenen 6nr'!$A$1:$O$1310,6,FALSE)</f>
        <v>X</v>
      </c>
      <c r="BH268" s="201" t="str">
        <f>VLOOKUP($A268,'[3]allergenen 6nr'!$A$1:$O$1310,7,FALSE)</f>
        <v>+</v>
      </c>
      <c r="BI268" s="201" t="str">
        <f>VLOOKUP($A268,'[3]allergenen 6nr'!$A$1:$O$1310,8,FALSE)</f>
        <v>X</v>
      </c>
      <c r="BJ268" s="201" t="str">
        <f>VLOOKUP($A268,'[3]allergenen 6nr'!$A$1:$O$1310,9,FALSE)</f>
        <v>-</v>
      </c>
      <c r="BK268" s="201" t="str">
        <f>VLOOKUP($A268,'[3]allergenen 6nr'!$A$1:$O$1310,10,FALSE)</f>
        <v>-</v>
      </c>
      <c r="BL268" s="201" t="str">
        <f>VLOOKUP($A268,'[3]allergenen 6nr'!$A$1:$O$1310,11,FALSE)</f>
        <v>-</v>
      </c>
      <c r="BM268" s="201" t="str">
        <f>VLOOKUP($A268,'[3]allergenen 6nr'!$A$1:$O$1310,12,FALSE)</f>
        <v>-</v>
      </c>
      <c r="BN268" s="201" t="str">
        <f>VLOOKUP($A268,'[3]allergenen 6nr'!$A$1:$O$1310,13,FALSE)</f>
        <v>X</v>
      </c>
      <c r="BO268" s="201" t="str">
        <f>VLOOKUP($A268,'[3]allergenen 6nr'!$A$1:$O$1310,14,FALSE)</f>
        <v>-</v>
      </c>
      <c r="BP268" s="202" t="str">
        <f>VLOOKUP($A268,'[3]allergenen 6nr'!$A$1:$O$1310,15,FALSE)</f>
        <v>-</v>
      </c>
    </row>
    <row r="269" spans="1:68" x14ac:dyDescent="0.2">
      <c r="A269" s="54">
        <v>63901800</v>
      </c>
      <c r="B269" s="53" t="str">
        <f>VLOOKUP($A269,[1]maaltijden!$A$1:$IV$65536,4,FALSE)</f>
        <v xml:space="preserve">VAT BABI PANGANG MET RIJSTFANTASIE                </v>
      </c>
      <c r="C269" s="46" t="str">
        <f>VLOOKUP($A269,[1]maaltijden!$A$1:$IV$65536,7,FALSE)</f>
        <v>C2227-2K</v>
      </c>
      <c r="D269" s="22" t="str">
        <f>VLOOKUP($A269,[1]maaltijden!$A$1:$IV$65536,10,FALSE)</f>
        <v>NVT</v>
      </c>
      <c r="E269" s="22" t="str">
        <f>VLOOKUP($A269,[1]maaltijden!$A$1:$IV$65536,13,FALSE)</f>
        <v xml:space="preserve">VAT X 6 </v>
      </c>
      <c r="F269" s="20">
        <f t="shared" si="4"/>
        <v>0</v>
      </c>
      <c r="G269" s="20" t="str">
        <f>VLOOKUP($A269,[1]maaltijden!$A$1:$IV$65536,27,FALSE)</f>
        <v>! ! ! ! !</v>
      </c>
      <c r="H269" s="22">
        <f>VLOOKUP($A269,[1]maaltijden!$A$1:$IV$65536,21,FALSE)</f>
        <v>4</v>
      </c>
      <c r="I269" s="22">
        <f>VLOOKUP($A269,[1]maaltijden!$A$1:$IV$65536,21,FALSE)</f>
        <v>4</v>
      </c>
      <c r="J269" s="22">
        <f>VLOOKUP($A269,[1]maaltijden!$A$1:$IV$65536,18,FALSE)</f>
        <v>3</v>
      </c>
      <c r="K269" s="22">
        <f>VLOOKUP($A269,[1]maaltijden!$A$1:$IV$65536,17,FALSE)</f>
        <v>3</v>
      </c>
      <c r="L269" s="22">
        <f>VLOOKUP($A269,[1]maaltijden!$A$1:$IV$65536,20,FALSE)</f>
        <v>2200</v>
      </c>
      <c r="M269" s="22">
        <f>VLOOKUP($A269,[1]maaltijden!$A$1:$IV$65536,22,FALSE)</f>
        <v>2200</v>
      </c>
      <c r="N269" s="135"/>
      <c r="O269" s="50"/>
      <c r="P269" s="19">
        <v>0</v>
      </c>
      <c r="Q269" s="20">
        <v>1</v>
      </c>
      <c r="R269" s="21">
        <v>0</v>
      </c>
      <c r="S269" s="19">
        <v>0</v>
      </c>
      <c r="T269" s="20">
        <v>1</v>
      </c>
      <c r="U269" s="19"/>
      <c r="V269" s="20"/>
      <c r="W269" s="20"/>
      <c r="X269" s="20"/>
      <c r="Y269" s="20"/>
      <c r="Z269" s="20"/>
      <c r="AA269" s="20"/>
      <c r="AB269" s="49"/>
      <c r="AC269" s="49"/>
      <c r="AD269" s="49"/>
      <c r="AE269" s="49"/>
      <c r="AF269" s="49"/>
      <c r="AG269" s="161">
        <v>1</v>
      </c>
      <c r="AH269" s="168">
        <v>1</v>
      </c>
      <c r="AI269" s="168">
        <v>1</v>
      </c>
      <c r="AJ269" s="168">
        <v>1</v>
      </c>
      <c r="AK269" s="20"/>
      <c r="AL269" s="21"/>
      <c r="AM269" s="19">
        <v>0</v>
      </c>
      <c r="AN269" s="20">
        <f>IFERROR(INDEX([2]lijnopstellingsfiche!$AP$1:$AP$65536,MATCH(A269,[2]lijnopstellingsfiche!$AQ$1:$AQ$65536,0)),"")</f>
        <v>1</v>
      </c>
      <c r="AO269" s="20">
        <v>1</v>
      </c>
      <c r="AP269" s="20">
        <v>0</v>
      </c>
      <c r="AQ269" s="20">
        <v>2</v>
      </c>
      <c r="AR269" s="20">
        <v>0</v>
      </c>
      <c r="AS269" s="20">
        <v>0</v>
      </c>
      <c r="AT269" s="20">
        <v>1</v>
      </c>
      <c r="AU269" s="20">
        <v>0</v>
      </c>
      <c r="AV269" s="23">
        <v>0</v>
      </c>
      <c r="AW269" s="108">
        <v>0</v>
      </c>
      <c r="AX269" s="108">
        <v>0</v>
      </c>
      <c r="AY269" s="108">
        <v>1</v>
      </c>
      <c r="AZ269" s="108">
        <v>0</v>
      </c>
      <c r="BA269" s="114">
        <v>1</v>
      </c>
      <c r="BB269" s="20">
        <v>0</v>
      </c>
      <c r="BC269" s="113">
        <v>0</v>
      </c>
      <c r="BD269" s="200" t="str">
        <f>VLOOKUP($A269,'[3]allergenen 6nr'!$A$1:$O$1310,3,FALSE)</f>
        <v>-</v>
      </c>
      <c r="BE269" s="201" t="str">
        <f>VLOOKUP($A269,'[3]allergenen 6nr'!$A$1:$O$1310,4,FALSE)</f>
        <v>X</v>
      </c>
      <c r="BF269" s="201" t="str">
        <f>VLOOKUP($A269,'[3]allergenen 6nr'!$A$1:$O$1310,5,FALSE)</f>
        <v>+</v>
      </c>
      <c r="BG269" s="201" t="str">
        <f>VLOOKUP($A269,'[3]allergenen 6nr'!$A$1:$O$1310,6,FALSE)</f>
        <v>-</v>
      </c>
      <c r="BH269" s="201" t="str">
        <f>VLOOKUP($A269,'[3]allergenen 6nr'!$A$1:$O$1310,7,FALSE)</f>
        <v>X</v>
      </c>
      <c r="BI269" s="201" t="str">
        <f>VLOOKUP($A269,'[3]allergenen 6nr'!$A$1:$O$1310,8,FALSE)</f>
        <v>X</v>
      </c>
      <c r="BJ269" s="201" t="str">
        <f>VLOOKUP($A269,'[3]allergenen 6nr'!$A$1:$O$1310,9,FALSE)</f>
        <v>-</v>
      </c>
      <c r="BK269" s="201" t="str">
        <f>VLOOKUP($A269,'[3]allergenen 6nr'!$A$1:$O$1310,10,FALSE)</f>
        <v>-</v>
      </c>
      <c r="BL269" s="201" t="str">
        <f>VLOOKUP($A269,'[3]allergenen 6nr'!$A$1:$O$1310,11,FALSE)</f>
        <v>+</v>
      </c>
      <c r="BM269" s="201" t="str">
        <f>VLOOKUP($A269,'[3]allergenen 6nr'!$A$1:$O$1310,12,FALSE)</f>
        <v>+</v>
      </c>
      <c r="BN269" s="201" t="str">
        <f>VLOOKUP($A269,'[3]allergenen 6nr'!$A$1:$O$1310,13,FALSE)</f>
        <v>+</v>
      </c>
      <c r="BO269" s="201" t="str">
        <f>VLOOKUP($A269,'[3]allergenen 6nr'!$A$1:$O$1310,14,FALSE)</f>
        <v>-</v>
      </c>
      <c r="BP269" s="202" t="str">
        <f>VLOOKUP($A269,'[3]allergenen 6nr'!$A$1:$O$1310,15,FALSE)</f>
        <v>-</v>
      </c>
    </row>
    <row r="270" spans="1:68" x14ac:dyDescent="0.2">
      <c r="A270" s="54">
        <v>63901900</v>
      </c>
      <c r="B270" s="53" t="str">
        <f>VLOOKUP($A270,[1]maaltijden!$A$1:$IV$65536,4,FALSE)</f>
        <v xml:space="preserve">VAT BAMI GORENG SPECIAAL MET KIP IN SATESAUS      </v>
      </c>
      <c r="C270" s="46" t="str">
        <f>VLOOKUP($A270,[1]maaltijden!$A$1:$IV$65536,7,FALSE)</f>
        <v>C2227-2K</v>
      </c>
      <c r="D270" s="22" t="str">
        <f>VLOOKUP($A270,[1]maaltijden!$A$1:$IV$65536,10,FALSE)</f>
        <v>NVT</v>
      </c>
      <c r="E270" s="22" t="str">
        <f>VLOOKUP($A270,[1]maaltijden!$A$1:$IV$65536,13,FALSE)</f>
        <v xml:space="preserve">VAT X 6 </v>
      </c>
      <c r="F270" s="20">
        <f t="shared" si="4"/>
        <v>0</v>
      </c>
      <c r="G270" s="20" t="str">
        <f>VLOOKUP($A270,[1]maaltijden!$A$1:$IV$65536,27,FALSE)</f>
        <v>X</v>
      </c>
      <c r="H270" s="22">
        <f>VLOOKUP($A270,[1]maaltijden!$A$1:$IV$65536,21,FALSE)</f>
        <v>4</v>
      </c>
      <c r="I270" s="22">
        <f>VLOOKUP($A270,[1]maaltijden!$A$1:$IV$65536,21,FALSE)</f>
        <v>4</v>
      </c>
      <c r="J270" s="22">
        <f>VLOOKUP($A270,[1]maaltijden!$A$1:$IV$65536,18,FALSE)</f>
        <v>3</v>
      </c>
      <c r="K270" s="22">
        <f>VLOOKUP($A270,[1]maaltijden!$A$1:$IV$65536,17,FALSE)</f>
        <v>3</v>
      </c>
      <c r="L270" s="22">
        <f>VLOOKUP($A270,[1]maaltijden!$A$1:$IV$65536,20,FALSE)</f>
        <v>2200</v>
      </c>
      <c r="M270" s="22">
        <f>VLOOKUP($A270,[1]maaltijden!$A$1:$IV$65536,22,FALSE)</f>
        <v>2200</v>
      </c>
      <c r="N270" s="135"/>
      <c r="O270" s="50">
        <v>63931900</v>
      </c>
      <c r="P270" s="19">
        <v>0</v>
      </c>
      <c r="Q270" s="20">
        <v>1</v>
      </c>
      <c r="R270" s="21">
        <v>0</v>
      </c>
      <c r="S270" s="19">
        <v>0</v>
      </c>
      <c r="T270" s="20">
        <v>1</v>
      </c>
      <c r="U270" s="19">
        <v>0</v>
      </c>
      <c r="V270" s="20">
        <v>1</v>
      </c>
      <c r="W270" s="20">
        <v>1</v>
      </c>
      <c r="X270" s="20">
        <v>1</v>
      </c>
      <c r="Y270" s="20">
        <v>1</v>
      </c>
      <c r="Z270" s="20">
        <v>1</v>
      </c>
      <c r="AA270" s="20">
        <v>0</v>
      </c>
      <c r="AB270" s="49">
        <v>0</v>
      </c>
      <c r="AC270" s="49">
        <v>1</v>
      </c>
      <c r="AD270" s="11">
        <v>1</v>
      </c>
      <c r="AE270" s="49">
        <v>0</v>
      </c>
      <c r="AF270" s="49">
        <v>0</v>
      </c>
      <c r="AG270" s="161">
        <v>1</v>
      </c>
      <c r="AH270" s="168">
        <v>1</v>
      </c>
      <c r="AI270" s="168">
        <v>1</v>
      </c>
      <c r="AJ270" s="168">
        <v>1</v>
      </c>
      <c r="AK270" s="20"/>
      <c r="AL270" s="21"/>
      <c r="AM270" s="19">
        <v>0</v>
      </c>
      <c r="AN270" s="20">
        <f>IFERROR(INDEX([2]lijnopstellingsfiche!$AP$1:$AP$65536,MATCH(A270,[2]lijnopstellingsfiche!$AQ$1:$AQ$65536,0)),"")</f>
        <v>1</v>
      </c>
      <c r="AO270" s="20">
        <v>1</v>
      </c>
      <c r="AP270" s="20">
        <v>0</v>
      </c>
      <c r="AQ270" s="20">
        <v>1</v>
      </c>
      <c r="AR270" s="20">
        <v>0</v>
      </c>
      <c r="AS270" s="20">
        <v>0</v>
      </c>
      <c r="AT270" s="20">
        <v>1</v>
      </c>
      <c r="AU270" s="20">
        <v>0</v>
      </c>
      <c r="AV270" s="23">
        <v>0</v>
      </c>
      <c r="AW270" s="108">
        <v>0</v>
      </c>
      <c r="AX270" s="108">
        <v>0</v>
      </c>
      <c r="AY270" s="108">
        <v>1</v>
      </c>
      <c r="AZ270" s="108">
        <v>0</v>
      </c>
      <c r="BA270" s="114">
        <v>1</v>
      </c>
      <c r="BB270" s="20">
        <v>0</v>
      </c>
      <c r="BC270" s="113">
        <v>0</v>
      </c>
      <c r="BD270" s="200" t="str">
        <f>VLOOKUP($A270,'[3]allergenen 6nr'!$A$1:$O$1310,3,FALSE)</f>
        <v>+</v>
      </c>
      <c r="BE270" s="201" t="str">
        <f>VLOOKUP($A270,'[3]allergenen 6nr'!$A$1:$O$1310,4,FALSE)</f>
        <v>+</v>
      </c>
      <c r="BF270" s="201" t="str">
        <f>VLOOKUP($A270,'[3]allergenen 6nr'!$A$1:$O$1310,5,FALSE)</f>
        <v>+</v>
      </c>
      <c r="BG270" s="201" t="str">
        <f>VLOOKUP($A270,'[3]allergenen 6nr'!$A$1:$O$1310,6,FALSE)</f>
        <v>X</v>
      </c>
      <c r="BH270" s="201" t="str">
        <f>VLOOKUP($A270,'[3]allergenen 6nr'!$A$1:$O$1310,7,FALSE)</f>
        <v>-</v>
      </c>
      <c r="BI270" s="201" t="str">
        <f>VLOOKUP($A270,'[3]allergenen 6nr'!$A$1:$O$1310,8,FALSE)</f>
        <v>X</v>
      </c>
      <c r="BJ270" s="201" t="str">
        <f>VLOOKUP($A270,'[3]allergenen 6nr'!$A$1:$O$1310,9,FALSE)</f>
        <v>-</v>
      </c>
      <c r="BK270" s="201" t="str">
        <f>VLOOKUP($A270,'[3]allergenen 6nr'!$A$1:$O$1310,10,FALSE)</f>
        <v>-</v>
      </c>
      <c r="BL270" s="201" t="str">
        <f>VLOOKUP($A270,'[3]allergenen 6nr'!$A$1:$O$1310,11,FALSE)</f>
        <v>+</v>
      </c>
      <c r="BM270" s="201" t="str">
        <f>VLOOKUP($A270,'[3]allergenen 6nr'!$A$1:$O$1310,12,FALSE)</f>
        <v>-</v>
      </c>
      <c r="BN270" s="201" t="str">
        <f>VLOOKUP($A270,'[3]allergenen 6nr'!$A$1:$O$1310,13,FALSE)</f>
        <v>+</v>
      </c>
      <c r="BO270" s="201" t="str">
        <f>VLOOKUP($A270,'[3]allergenen 6nr'!$A$1:$O$1310,14,FALSE)</f>
        <v>-</v>
      </c>
      <c r="BP270" s="202" t="str">
        <f>VLOOKUP($A270,'[3]allergenen 6nr'!$A$1:$O$1310,15,FALSE)</f>
        <v>-</v>
      </c>
    </row>
    <row r="271" spans="1:68" x14ac:dyDescent="0.2">
      <c r="A271" s="89">
        <v>63902000</v>
      </c>
      <c r="B271" s="53" t="str">
        <f>VLOOKUP($A271,[1]maaltijden!$A$1:$IV$65536,4,FALSE)</f>
        <v xml:space="preserve">VAT NASI GORENG SPECIAAL MET KIP IN SATESAUS      </v>
      </c>
      <c r="C271" s="46" t="str">
        <f>VLOOKUP($A271,[1]maaltijden!$A$1:$IV$65536,7,FALSE)</f>
        <v>C2227-2K</v>
      </c>
      <c r="D271" s="22" t="str">
        <f>VLOOKUP($A271,[1]maaltijden!$A$1:$IV$65536,10,FALSE)</f>
        <v>NVT</v>
      </c>
      <c r="E271" s="22" t="str">
        <f>VLOOKUP($A271,[1]maaltijden!$A$1:$IV$65536,13,FALSE)</f>
        <v xml:space="preserve">VAT X 6 </v>
      </c>
      <c r="F271" s="20">
        <f t="shared" si="4"/>
        <v>0</v>
      </c>
      <c r="G271" s="20" t="str">
        <f>VLOOKUP($A271,[1]maaltijden!$A$1:$IV$65536,27,FALSE)</f>
        <v>X</v>
      </c>
      <c r="H271" s="22">
        <f>VLOOKUP($A271,[1]maaltijden!$A$1:$IV$65536,21,FALSE)</f>
        <v>4</v>
      </c>
      <c r="I271" s="22">
        <f>VLOOKUP($A271,[1]maaltijden!$A$1:$IV$65536,21,FALSE)</f>
        <v>4</v>
      </c>
      <c r="J271" s="22">
        <f>VLOOKUP($A271,[1]maaltijden!$A$1:$IV$65536,18,FALSE)</f>
        <v>3</v>
      </c>
      <c r="K271" s="22">
        <f>VLOOKUP($A271,[1]maaltijden!$A$1:$IV$65536,17,FALSE)</f>
        <v>3</v>
      </c>
      <c r="L271" s="22">
        <f>VLOOKUP($A271,[1]maaltijden!$A$1:$IV$65536,20,FALSE)</f>
        <v>2200</v>
      </c>
      <c r="M271" s="22">
        <f>VLOOKUP($A271,[1]maaltijden!$A$1:$IV$65536,22,FALSE)</f>
        <v>2200</v>
      </c>
      <c r="N271" s="135"/>
      <c r="O271" s="50">
        <v>63960300</v>
      </c>
      <c r="P271" s="19">
        <v>0</v>
      </c>
      <c r="Q271" s="20">
        <v>1</v>
      </c>
      <c r="R271" s="21">
        <v>0</v>
      </c>
      <c r="S271" s="19">
        <v>0</v>
      </c>
      <c r="T271" s="20">
        <v>1</v>
      </c>
      <c r="U271" s="19">
        <v>0</v>
      </c>
      <c r="V271" s="20">
        <v>1</v>
      </c>
      <c r="W271" s="20">
        <v>1</v>
      </c>
      <c r="X271" s="20">
        <v>1</v>
      </c>
      <c r="Y271" s="20">
        <v>1</v>
      </c>
      <c r="Z271" s="20">
        <v>1</v>
      </c>
      <c r="AA271" s="20">
        <v>0</v>
      </c>
      <c r="AB271" s="49">
        <v>0</v>
      </c>
      <c r="AC271" s="49">
        <v>1</v>
      </c>
      <c r="AD271" s="49">
        <v>1</v>
      </c>
      <c r="AE271" s="49">
        <v>0</v>
      </c>
      <c r="AF271" s="49">
        <v>0</v>
      </c>
      <c r="AG271" s="161">
        <v>1</v>
      </c>
      <c r="AH271" s="162">
        <v>1</v>
      </c>
      <c r="AI271" s="162">
        <v>1</v>
      </c>
      <c r="AJ271" s="162">
        <v>1</v>
      </c>
      <c r="AK271" s="162">
        <v>0</v>
      </c>
      <c r="AL271" s="163">
        <v>0</v>
      </c>
      <c r="AM271" s="19">
        <v>0</v>
      </c>
      <c r="AN271" s="20">
        <f>IFERROR(INDEX([2]lijnopstellingsfiche!$AP$1:$AP$65536,MATCH(A271,[2]lijnopstellingsfiche!$AQ$1:$AQ$65536,0)),"")</f>
        <v>1</v>
      </c>
      <c r="AO271" s="20">
        <v>1</v>
      </c>
      <c r="AP271" s="20">
        <v>0</v>
      </c>
      <c r="AQ271" s="20">
        <v>1</v>
      </c>
      <c r="AR271" s="20">
        <v>0</v>
      </c>
      <c r="AS271" s="20">
        <v>0</v>
      </c>
      <c r="AT271" s="20">
        <v>1</v>
      </c>
      <c r="AU271" s="20">
        <v>0</v>
      </c>
      <c r="AV271" s="23">
        <v>0</v>
      </c>
      <c r="AW271" s="108">
        <v>0</v>
      </c>
      <c r="AX271" s="108">
        <v>0</v>
      </c>
      <c r="AY271" s="108">
        <v>1</v>
      </c>
      <c r="AZ271" s="108">
        <v>0</v>
      </c>
      <c r="BA271" s="114">
        <v>1</v>
      </c>
      <c r="BB271" s="20">
        <v>0</v>
      </c>
      <c r="BC271" s="113">
        <v>0</v>
      </c>
      <c r="BD271" s="200" t="str">
        <f>VLOOKUP($A271,'[3]allergenen 6nr'!$A$1:$O$1310,3,FALSE)</f>
        <v>+</v>
      </c>
      <c r="BE271" s="201" t="str">
        <f>VLOOKUP($A271,'[3]allergenen 6nr'!$A$1:$O$1310,4,FALSE)</f>
        <v>+</v>
      </c>
      <c r="BF271" s="201" t="str">
        <f>VLOOKUP($A271,'[3]allergenen 6nr'!$A$1:$O$1310,5,FALSE)</f>
        <v>+</v>
      </c>
      <c r="BG271" s="201" t="str">
        <f>VLOOKUP($A271,'[3]allergenen 6nr'!$A$1:$O$1310,6,FALSE)</f>
        <v>-</v>
      </c>
      <c r="BH271" s="201" t="str">
        <f>VLOOKUP($A271,'[3]allergenen 6nr'!$A$1:$O$1310,7,FALSE)</f>
        <v>-</v>
      </c>
      <c r="BI271" s="201" t="str">
        <f>VLOOKUP($A271,'[3]allergenen 6nr'!$A$1:$O$1310,8,FALSE)</f>
        <v>-</v>
      </c>
      <c r="BJ271" s="201" t="str">
        <f>VLOOKUP($A271,'[3]allergenen 6nr'!$A$1:$O$1310,9,FALSE)</f>
        <v>-</v>
      </c>
      <c r="BK271" s="201" t="str">
        <f>VLOOKUP($A271,'[3]allergenen 6nr'!$A$1:$O$1310,10,FALSE)</f>
        <v>-</v>
      </c>
      <c r="BL271" s="201" t="str">
        <f>VLOOKUP($A271,'[3]allergenen 6nr'!$A$1:$O$1310,11,FALSE)</f>
        <v>+</v>
      </c>
      <c r="BM271" s="201" t="str">
        <f>VLOOKUP($A271,'[3]allergenen 6nr'!$A$1:$O$1310,12,FALSE)</f>
        <v>-</v>
      </c>
      <c r="BN271" s="201" t="str">
        <f>VLOOKUP($A271,'[3]allergenen 6nr'!$A$1:$O$1310,13,FALSE)</f>
        <v>+</v>
      </c>
      <c r="BO271" s="201" t="str">
        <f>VLOOKUP($A271,'[3]allergenen 6nr'!$A$1:$O$1310,14,FALSE)</f>
        <v>-</v>
      </c>
      <c r="BP271" s="202" t="str">
        <f>VLOOKUP($A271,'[3]allergenen 6nr'!$A$1:$O$1310,15,FALSE)</f>
        <v>-</v>
      </c>
    </row>
    <row r="272" spans="1:68" x14ac:dyDescent="0.2">
      <c r="A272" s="89">
        <v>63902100</v>
      </c>
      <c r="B272" s="53" t="str">
        <f>VLOOKUP($A272,[1]maaltijden!$A$1:$IV$65536,4,FALSE)</f>
        <v xml:space="preserve">VAT KIP IN KERRIESAUS MET DOPERWTEN EN RIJST      </v>
      </c>
      <c r="C272" s="46" t="str">
        <f>VLOOKUP($A272,[1]maaltijden!$A$1:$IV$65536,7,FALSE)</f>
        <v>C2227-3R</v>
      </c>
      <c r="D272" s="22" t="str">
        <f>VLOOKUP($A272,[1]maaltijden!$A$1:$IV$65536,10,FALSE)</f>
        <v>NVT</v>
      </c>
      <c r="E272" s="22" t="str">
        <f>VLOOKUP($A272,[1]maaltijden!$A$1:$IV$65536,13,FALSE)</f>
        <v xml:space="preserve">VAT X 6 </v>
      </c>
      <c r="F272" s="20">
        <f t="shared" si="4"/>
        <v>0</v>
      </c>
      <c r="G272" s="20" t="str">
        <f>VLOOKUP($A272,[1]maaltijden!$A$1:$IV$65536,27,FALSE)</f>
        <v>! ! !</v>
      </c>
      <c r="H272" s="22">
        <f>VLOOKUP($A272,[1]maaltijden!$A$1:$IV$65536,21,FALSE)</f>
        <v>6</v>
      </c>
      <c r="I272" s="22">
        <f>VLOOKUP($A272,[1]maaltijden!$A$1:$IV$65536,21,FALSE)</f>
        <v>6</v>
      </c>
      <c r="J272" s="22">
        <f>VLOOKUP($A272,[1]maaltijden!$A$1:$IV$65536,18,FALSE)</f>
        <v>3</v>
      </c>
      <c r="K272" s="22">
        <f>VLOOKUP($A272,[1]maaltijden!$A$1:$IV$65536,17,FALSE)</f>
        <v>3</v>
      </c>
      <c r="L272" s="22">
        <f>VLOOKUP($A272,[1]maaltijden!$A$1:$IV$65536,20,FALSE)</f>
        <v>2200</v>
      </c>
      <c r="M272" s="22">
        <f>VLOOKUP($A272,[1]maaltijden!$A$1:$IV$65536,22,FALSE)</f>
        <v>2200</v>
      </c>
      <c r="N272" s="135"/>
      <c r="O272" s="50"/>
      <c r="P272" s="19">
        <v>0</v>
      </c>
      <c r="Q272" s="20">
        <v>1</v>
      </c>
      <c r="R272" s="21">
        <v>0</v>
      </c>
      <c r="S272" s="19">
        <v>0</v>
      </c>
      <c r="T272" s="20">
        <v>1</v>
      </c>
      <c r="U272" s="19">
        <v>1</v>
      </c>
      <c r="V272" s="20">
        <v>1</v>
      </c>
      <c r="W272" s="20">
        <v>1</v>
      </c>
      <c r="X272" s="20">
        <v>1</v>
      </c>
      <c r="Y272" s="20">
        <v>1</v>
      </c>
      <c r="Z272" s="20">
        <v>0</v>
      </c>
      <c r="AA272" s="20">
        <v>0</v>
      </c>
      <c r="AB272" s="49">
        <v>0</v>
      </c>
      <c r="AC272" s="49">
        <v>0</v>
      </c>
      <c r="AD272" s="49">
        <v>0</v>
      </c>
      <c r="AE272" s="49">
        <v>0</v>
      </c>
      <c r="AF272" s="49">
        <v>0</v>
      </c>
      <c r="AG272" s="161">
        <v>1</v>
      </c>
      <c r="AH272" s="162">
        <v>1</v>
      </c>
      <c r="AI272" s="162">
        <v>1</v>
      </c>
      <c r="AJ272" s="162">
        <v>0</v>
      </c>
      <c r="AK272" s="162">
        <v>0</v>
      </c>
      <c r="AL272" s="163">
        <v>0</v>
      </c>
      <c r="AM272" s="19">
        <v>0</v>
      </c>
      <c r="AN272" s="20" t="str">
        <f>IFERROR(INDEX([2]lijnopstellingsfiche!$AP$1:$AP$65536,MATCH(A272,[2]lijnopstellingsfiche!$AQ$1:$AQ$65536,0)),"")</f>
        <v>-</v>
      </c>
      <c r="AO272" s="20">
        <v>0</v>
      </c>
      <c r="AP272" s="20">
        <v>0</v>
      </c>
      <c r="AQ272" s="20">
        <v>1</v>
      </c>
      <c r="AR272" s="20">
        <v>0</v>
      </c>
      <c r="AS272" s="20">
        <v>0</v>
      </c>
      <c r="AT272" s="20">
        <v>1</v>
      </c>
      <c r="AU272" s="20">
        <v>0</v>
      </c>
      <c r="AV272" s="23">
        <v>0</v>
      </c>
      <c r="AW272" s="108">
        <v>0</v>
      </c>
      <c r="AX272" s="108">
        <v>0</v>
      </c>
      <c r="AY272" s="108">
        <v>1</v>
      </c>
      <c r="AZ272" s="108">
        <v>0</v>
      </c>
      <c r="BA272" s="114">
        <v>1</v>
      </c>
      <c r="BB272" s="20">
        <v>0</v>
      </c>
      <c r="BC272" s="113">
        <v>0</v>
      </c>
      <c r="BD272" s="200" t="str">
        <f>VLOOKUP($A272,'[3]allergenen 6nr'!$A$1:$O$1310,3,FALSE)</f>
        <v>-</v>
      </c>
      <c r="BE272" s="201" t="str">
        <f>VLOOKUP($A272,'[3]allergenen 6nr'!$A$1:$O$1310,4,FALSE)</f>
        <v>-</v>
      </c>
      <c r="BF272" s="201" t="str">
        <f>VLOOKUP($A272,'[3]allergenen 6nr'!$A$1:$O$1310,5,FALSE)</f>
        <v>+</v>
      </c>
      <c r="BG272" s="201" t="str">
        <f>VLOOKUP($A272,'[3]allergenen 6nr'!$A$1:$O$1310,6,FALSE)</f>
        <v>X</v>
      </c>
      <c r="BH272" s="201" t="str">
        <f>VLOOKUP($A272,'[3]allergenen 6nr'!$A$1:$O$1310,7,FALSE)</f>
        <v>+</v>
      </c>
      <c r="BI272" s="201" t="str">
        <f>VLOOKUP($A272,'[3]allergenen 6nr'!$A$1:$O$1310,8,FALSE)</f>
        <v>+</v>
      </c>
      <c r="BJ272" s="201" t="str">
        <f>VLOOKUP($A272,'[3]allergenen 6nr'!$A$1:$O$1310,9,FALSE)</f>
        <v>-</v>
      </c>
      <c r="BK272" s="201" t="str">
        <f>VLOOKUP($A272,'[3]allergenen 6nr'!$A$1:$O$1310,10,FALSE)</f>
        <v>-</v>
      </c>
      <c r="BL272" s="201" t="str">
        <f>VLOOKUP($A272,'[3]allergenen 6nr'!$A$1:$O$1310,11,FALSE)</f>
        <v>+</v>
      </c>
      <c r="BM272" s="201" t="str">
        <f>VLOOKUP($A272,'[3]allergenen 6nr'!$A$1:$O$1310,12,FALSE)</f>
        <v>-</v>
      </c>
      <c r="BN272" s="201" t="str">
        <f>VLOOKUP($A272,'[3]allergenen 6nr'!$A$1:$O$1310,13,FALSE)</f>
        <v>X</v>
      </c>
      <c r="BO272" s="201" t="str">
        <f>VLOOKUP($A272,'[3]allergenen 6nr'!$A$1:$O$1310,14,FALSE)</f>
        <v>-</v>
      </c>
      <c r="BP272" s="202" t="str">
        <f>VLOOKUP($A272,'[3]allergenen 6nr'!$A$1:$O$1310,15,FALSE)</f>
        <v>-</v>
      </c>
    </row>
    <row r="273" spans="1:68" x14ac:dyDescent="0.2">
      <c r="A273" s="54">
        <v>63902300</v>
      </c>
      <c r="B273" s="53" t="str">
        <f>VLOOKUP($A273,[1]maaltijden!$A$1:$IV$65536,4,FALSE)</f>
        <v xml:space="preserve">VAT GEHAKTBAL BLOEMKOOL BROCCOLI GEK. AARD     </v>
      </c>
      <c r="C273" s="46" t="str">
        <f>VLOOKUP($A273,[1]maaltijden!$A$1:$IV$65536,7,FALSE)</f>
        <v>C2227-3R</v>
      </c>
      <c r="D273" s="22" t="str">
        <f>VLOOKUP($A273,[1]maaltijden!$A$1:$IV$65536,10,FALSE)</f>
        <v>NVT</v>
      </c>
      <c r="E273" s="22" t="str">
        <f>VLOOKUP($A273,[1]maaltijden!$A$1:$IV$65536,13,FALSE)</f>
        <v xml:space="preserve">VAT X 6 </v>
      </c>
      <c r="F273" s="20">
        <f t="shared" si="4"/>
        <v>0</v>
      </c>
      <c r="G273" s="20" t="str">
        <f>VLOOKUP($A273,[1]maaltijden!$A$1:$IV$65536,27,FALSE)</f>
        <v>! !</v>
      </c>
      <c r="H273" s="22">
        <f>VLOOKUP($A273,[1]maaltijden!$A$1:$IV$65536,21,FALSE)</f>
        <v>6</v>
      </c>
      <c r="I273" s="22">
        <f>VLOOKUP($A273,[1]maaltijden!$A$1:$IV$65536,21,FALSE)</f>
        <v>6</v>
      </c>
      <c r="J273" s="22">
        <f>VLOOKUP($A273,[1]maaltijden!$A$1:$IV$65536,18,FALSE)</f>
        <v>3</v>
      </c>
      <c r="K273" s="22">
        <f>VLOOKUP($A273,[1]maaltijden!$A$1:$IV$65536,17,FALSE)</f>
        <v>2.5</v>
      </c>
      <c r="L273" s="22">
        <f>VLOOKUP($A273,[1]maaltijden!$A$1:$IV$65536,20,FALSE)</f>
        <v>2200</v>
      </c>
      <c r="M273" s="22">
        <f>VLOOKUP($A273,[1]maaltijden!$A$1:$IV$65536,22,FALSE)</f>
        <v>2200</v>
      </c>
      <c r="N273" s="135"/>
      <c r="O273" s="50"/>
      <c r="P273" s="19">
        <v>0</v>
      </c>
      <c r="Q273" s="20">
        <v>1</v>
      </c>
      <c r="R273" s="21">
        <v>0</v>
      </c>
      <c r="S273" s="19">
        <v>0</v>
      </c>
      <c r="T273" s="20">
        <v>1</v>
      </c>
      <c r="U273" s="19"/>
      <c r="V273" s="20"/>
      <c r="W273" s="20"/>
      <c r="X273" s="20"/>
      <c r="Y273" s="20"/>
      <c r="Z273" s="20"/>
      <c r="AA273" s="20"/>
      <c r="AB273" s="49"/>
      <c r="AC273" s="49"/>
      <c r="AD273" s="49"/>
      <c r="AE273" s="49"/>
      <c r="AF273" s="49"/>
      <c r="AG273" s="161">
        <v>0</v>
      </c>
      <c r="AH273" s="168">
        <v>1</v>
      </c>
      <c r="AI273" s="168">
        <v>1</v>
      </c>
      <c r="AJ273" s="170"/>
      <c r="AK273" s="20"/>
      <c r="AL273" s="21"/>
      <c r="AM273" s="19">
        <v>0</v>
      </c>
      <c r="AN273" s="20" t="str">
        <f>IFERROR(INDEX([2]lijnopstellingsfiche!$AP$1:$AP$65536,MATCH(A273,[2]lijnopstellingsfiche!$AQ$1:$AQ$65536,0)),"")</f>
        <v>-</v>
      </c>
      <c r="AO273" s="20">
        <v>0</v>
      </c>
      <c r="AP273" s="20">
        <v>0</v>
      </c>
      <c r="AQ273" s="20">
        <v>1</v>
      </c>
      <c r="AR273" s="20">
        <v>0</v>
      </c>
      <c r="AS273" s="20">
        <v>0</v>
      </c>
      <c r="AT273" s="20">
        <v>1</v>
      </c>
      <c r="AU273" s="20">
        <v>0</v>
      </c>
      <c r="AV273" s="23">
        <v>0</v>
      </c>
      <c r="AW273" s="108">
        <v>0</v>
      </c>
      <c r="AX273" s="108">
        <v>0</v>
      </c>
      <c r="AY273" s="108">
        <v>1</v>
      </c>
      <c r="AZ273" s="108">
        <v>0</v>
      </c>
      <c r="BA273" s="114">
        <v>1</v>
      </c>
      <c r="BB273" s="20">
        <v>0</v>
      </c>
      <c r="BC273" s="113">
        <v>0</v>
      </c>
      <c r="BD273" s="200" t="str">
        <f>VLOOKUP($A273,'[3]allergenen 6nr'!$A$1:$O$1310,3,FALSE)</f>
        <v>-</v>
      </c>
      <c r="BE273" s="201" t="str">
        <f>VLOOKUP($A273,'[3]allergenen 6nr'!$A$1:$O$1310,4,FALSE)</f>
        <v>X</v>
      </c>
      <c r="BF273" s="201" t="str">
        <f>VLOOKUP($A273,'[3]allergenen 6nr'!$A$1:$O$1310,5,FALSE)</f>
        <v>+</v>
      </c>
      <c r="BG273" s="201" t="str">
        <f>VLOOKUP($A273,'[3]allergenen 6nr'!$A$1:$O$1310,6,FALSE)</f>
        <v>X</v>
      </c>
      <c r="BH273" s="201" t="str">
        <f>VLOOKUP($A273,'[3]allergenen 6nr'!$A$1:$O$1310,7,FALSE)</f>
        <v>X</v>
      </c>
      <c r="BI273" s="201" t="str">
        <f>VLOOKUP($A273,'[3]allergenen 6nr'!$A$1:$O$1310,8,FALSE)</f>
        <v>X</v>
      </c>
      <c r="BJ273" s="201" t="str">
        <f>VLOOKUP($A273,'[3]allergenen 6nr'!$A$1:$O$1310,9,FALSE)</f>
        <v>-</v>
      </c>
      <c r="BK273" s="201" t="str">
        <f>VLOOKUP($A273,'[3]allergenen 6nr'!$A$1:$O$1310,10,FALSE)</f>
        <v>X</v>
      </c>
      <c r="BL273" s="201" t="str">
        <f>VLOOKUP($A273,'[3]allergenen 6nr'!$A$1:$O$1310,11,FALSE)</f>
        <v>X</v>
      </c>
      <c r="BM273" s="201" t="str">
        <f>VLOOKUP($A273,'[3]allergenen 6nr'!$A$1:$O$1310,12,FALSE)</f>
        <v>-</v>
      </c>
      <c r="BN273" s="201" t="str">
        <f>VLOOKUP($A273,'[3]allergenen 6nr'!$A$1:$O$1310,13,FALSE)</f>
        <v>X</v>
      </c>
      <c r="BO273" s="201" t="str">
        <f>VLOOKUP($A273,'[3]allergenen 6nr'!$A$1:$O$1310,14,FALSE)</f>
        <v>X</v>
      </c>
      <c r="BP273" s="202" t="str">
        <f>VLOOKUP($A273,'[3]allergenen 6nr'!$A$1:$O$1310,15,FALSE)</f>
        <v>X</v>
      </c>
    </row>
    <row r="274" spans="1:68" x14ac:dyDescent="0.2">
      <c r="A274" s="54">
        <v>63902500</v>
      </c>
      <c r="B274" s="53" t="str">
        <f>VLOOKUP($A274,[1]maaltijden!$A$1:$IV$65536,4,FALSE)</f>
        <v xml:space="preserve">VAT WITLOFSCHOTEL HAM KAASSAUS EN AARDAPPELPUREE  </v>
      </c>
      <c r="C274" s="46" t="str">
        <f>VLOOKUP($A274,[1]maaltijden!$A$1:$IV$65536,7,FALSE)</f>
        <v>C2227-2K</v>
      </c>
      <c r="D274" s="22" t="str">
        <f>VLOOKUP($A274,[1]maaltijden!$A$1:$IV$65536,10,FALSE)</f>
        <v>NVT</v>
      </c>
      <c r="E274" s="22" t="str">
        <f>VLOOKUP($A274,[1]maaltijden!$A$1:$IV$65536,13,FALSE)</f>
        <v xml:space="preserve">VAT X 6 </v>
      </c>
      <c r="F274" s="20">
        <f t="shared" si="4"/>
        <v>0</v>
      </c>
      <c r="G274" s="20" t="str">
        <f>VLOOKUP($A274,[1]maaltijden!$A$1:$IV$65536,27,FALSE)</f>
        <v>! ! !</v>
      </c>
      <c r="H274" s="22">
        <f>VLOOKUP($A274,[1]maaltijden!$A$1:$IV$65536,21,FALSE)</f>
        <v>4</v>
      </c>
      <c r="I274" s="22">
        <f>VLOOKUP($A274,[1]maaltijden!$A$1:$IV$65536,21,FALSE)</f>
        <v>4</v>
      </c>
      <c r="J274" s="22">
        <f>VLOOKUP($A274,[1]maaltijden!$A$1:$IV$65536,18,FALSE)</f>
        <v>3</v>
      </c>
      <c r="K274" s="22">
        <f>VLOOKUP($A274,[1]maaltijden!$A$1:$IV$65536,17,FALSE)</f>
        <v>2</v>
      </c>
      <c r="L274" s="22">
        <f>VLOOKUP($A274,[1]maaltijden!$A$1:$IV$65536,20,FALSE)</f>
        <v>2000</v>
      </c>
      <c r="M274" s="22">
        <f>VLOOKUP($A274,[1]maaltijden!$A$1:$IV$65536,22,FALSE)</f>
        <v>2000</v>
      </c>
      <c r="N274" s="135"/>
      <c r="O274" s="50"/>
      <c r="P274" s="19">
        <v>0</v>
      </c>
      <c r="Q274" s="20">
        <v>1</v>
      </c>
      <c r="R274" s="21">
        <v>0</v>
      </c>
      <c r="S274" s="19">
        <v>0</v>
      </c>
      <c r="T274" s="20">
        <v>1</v>
      </c>
      <c r="U274" s="19">
        <v>0</v>
      </c>
      <c r="V274" s="20">
        <v>1</v>
      </c>
      <c r="W274" s="20">
        <v>1</v>
      </c>
      <c r="X274" s="20">
        <v>1</v>
      </c>
      <c r="Y274" s="20">
        <v>1</v>
      </c>
      <c r="Z274" s="20">
        <v>1</v>
      </c>
      <c r="AA274" s="20">
        <v>0</v>
      </c>
      <c r="AB274" s="49">
        <v>0</v>
      </c>
      <c r="AC274" s="49">
        <v>1</v>
      </c>
      <c r="AD274" s="49">
        <v>0</v>
      </c>
      <c r="AE274" s="49">
        <v>1</v>
      </c>
      <c r="AF274" s="49">
        <v>0</v>
      </c>
      <c r="AG274" s="161">
        <v>0</v>
      </c>
      <c r="AH274" s="162">
        <v>2</v>
      </c>
      <c r="AI274" s="170">
        <v>0</v>
      </c>
      <c r="AJ274" s="162">
        <v>0</v>
      </c>
      <c r="AK274" s="162">
        <v>0</v>
      </c>
      <c r="AL274" s="163">
        <v>0</v>
      </c>
      <c r="AM274" s="19">
        <v>0</v>
      </c>
      <c r="AN274" s="20" t="str">
        <f>IFERROR(INDEX([2]lijnopstellingsfiche!$AP$1:$AP$65536,MATCH(A274,[2]lijnopstellingsfiche!$AQ$1:$AQ$65536,0)),"")</f>
        <v>-</v>
      </c>
      <c r="AO274" s="20">
        <v>0</v>
      </c>
      <c r="AP274" s="20">
        <v>1</v>
      </c>
      <c r="AQ274" s="20">
        <v>1</v>
      </c>
      <c r="AR274" s="20">
        <v>1</v>
      </c>
      <c r="AS274" s="20">
        <v>0</v>
      </c>
      <c r="AT274" s="20">
        <v>0</v>
      </c>
      <c r="AU274" s="20">
        <v>0</v>
      </c>
      <c r="AV274" s="23">
        <v>0</v>
      </c>
      <c r="AW274" s="108">
        <v>0</v>
      </c>
      <c r="AX274" s="108">
        <v>0</v>
      </c>
      <c r="AY274" s="108">
        <v>1</v>
      </c>
      <c r="AZ274" s="108">
        <v>0</v>
      </c>
      <c r="BA274" s="114">
        <v>1</v>
      </c>
      <c r="BB274" s="20">
        <v>0</v>
      </c>
      <c r="BC274" s="113">
        <v>0</v>
      </c>
      <c r="BD274" s="200" t="str">
        <f>VLOOKUP($A274,'[3]allergenen 6nr'!$A$1:$O$1310,3,FALSE)</f>
        <v>-</v>
      </c>
      <c r="BE274" s="201" t="str">
        <f>VLOOKUP($A274,'[3]allergenen 6nr'!$A$1:$O$1310,4,FALSE)</f>
        <v>+</v>
      </c>
      <c r="BF274" s="201" t="str">
        <f>VLOOKUP($A274,'[3]allergenen 6nr'!$A$1:$O$1310,5,FALSE)</f>
        <v>+</v>
      </c>
      <c r="BG274" s="201" t="str">
        <f>VLOOKUP($A274,'[3]allergenen 6nr'!$A$1:$O$1310,6,FALSE)</f>
        <v>X</v>
      </c>
      <c r="BH274" s="201" t="str">
        <f>VLOOKUP($A274,'[3]allergenen 6nr'!$A$1:$O$1310,7,FALSE)</f>
        <v>+</v>
      </c>
      <c r="BI274" s="201" t="str">
        <f>VLOOKUP($A274,'[3]allergenen 6nr'!$A$1:$O$1310,8,FALSE)</f>
        <v>X</v>
      </c>
      <c r="BJ274" s="201" t="str">
        <f>VLOOKUP($A274,'[3]allergenen 6nr'!$A$1:$O$1310,9,FALSE)</f>
        <v>-</v>
      </c>
      <c r="BK274" s="201" t="str">
        <f>VLOOKUP($A274,'[3]allergenen 6nr'!$A$1:$O$1310,10,FALSE)</f>
        <v>-</v>
      </c>
      <c r="BL274" s="201" t="str">
        <f>VLOOKUP($A274,'[3]allergenen 6nr'!$A$1:$O$1310,11,FALSE)</f>
        <v>+</v>
      </c>
      <c r="BM274" s="201" t="str">
        <f>VLOOKUP($A274,'[3]allergenen 6nr'!$A$1:$O$1310,12,FALSE)</f>
        <v>-</v>
      </c>
      <c r="BN274" s="201" t="str">
        <f>VLOOKUP($A274,'[3]allergenen 6nr'!$A$1:$O$1310,13,FALSE)</f>
        <v>X</v>
      </c>
      <c r="BO274" s="201" t="str">
        <f>VLOOKUP($A274,'[3]allergenen 6nr'!$A$1:$O$1310,14,FALSE)</f>
        <v>-</v>
      </c>
      <c r="BP274" s="202" t="str">
        <f>VLOOKUP($A274,'[3]allergenen 6nr'!$A$1:$O$1310,15,FALSE)</f>
        <v>-</v>
      </c>
    </row>
    <row r="275" spans="1:68" x14ac:dyDescent="0.2">
      <c r="A275" s="54">
        <v>63902700</v>
      </c>
      <c r="B275" s="53" t="str">
        <f>VLOOKUP($A275,[1]maaltijden!$A$1:$IV$65536,4,FALSE)</f>
        <v xml:space="preserve">VAT GEHAKTBAL WITLOF GEK AARDAPPELEN BIESLOOK  </v>
      </c>
      <c r="C275" s="46" t="str">
        <f>VLOOKUP($A275,[1]maaltijden!$A$1:$IV$65536,7,FALSE)</f>
        <v>C2227-3R</v>
      </c>
      <c r="D275" s="22" t="str">
        <f>VLOOKUP($A275,[1]maaltijden!$A$1:$IV$65536,10,FALSE)</f>
        <v>NVT</v>
      </c>
      <c r="E275" s="22" t="str">
        <f>VLOOKUP($A275,[1]maaltijden!$A$1:$IV$65536,13,FALSE)</f>
        <v xml:space="preserve">VAT X 6 </v>
      </c>
      <c r="F275" s="20">
        <f t="shared" si="4"/>
        <v>0</v>
      </c>
      <c r="G275" s="20" t="str">
        <f>VLOOKUP($A275,[1]maaltijden!$A$1:$IV$65536,27,FALSE)</f>
        <v>! !</v>
      </c>
      <c r="H275" s="22">
        <f>VLOOKUP($A275,[1]maaltijden!$A$1:$IV$65536,21,FALSE)</f>
        <v>4</v>
      </c>
      <c r="I275" s="22">
        <f>VLOOKUP($A275,[1]maaltijden!$A$1:$IV$65536,21,FALSE)</f>
        <v>4</v>
      </c>
      <c r="J275" s="22">
        <f>VLOOKUP($A275,[1]maaltijden!$A$1:$IV$65536,18,FALSE)</f>
        <v>3</v>
      </c>
      <c r="K275" s="22">
        <f>VLOOKUP($A275,[1]maaltijden!$A$1:$IV$65536,17,FALSE)</f>
        <v>2</v>
      </c>
      <c r="L275" s="22">
        <f>VLOOKUP($A275,[1]maaltijden!$A$1:$IV$65536,20,FALSE)</f>
        <v>2200</v>
      </c>
      <c r="M275" s="22">
        <f>VLOOKUP($A275,[1]maaltijden!$A$1:$IV$65536,22,FALSE)</f>
        <v>2200</v>
      </c>
      <c r="N275" s="135"/>
      <c r="O275" s="50"/>
      <c r="P275" s="19">
        <v>0</v>
      </c>
      <c r="Q275" s="20">
        <v>1</v>
      </c>
      <c r="R275" s="21">
        <v>0</v>
      </c>
      <c r="S275" s="19">
        <v>0</v>
      </c>
      <c r="T275" s="20">
        <v>1</v>
      </c>
      <c r="U275" s="19"/>
      <c r="V275" s="20"/>
      <c r="W275" s="20"/>
      <c r="X275" s="20"/>
      <c r="Y275" s="20"/>
      <c r="Z275" s="20"/>
      <c r="AA275" s="20"/>
      <c r="AB275" s="49"/>
      <c r="AC275" s="49"/>
      <c r="AD275" s="49"/>
      <c r="AE275" s="49"/>
      <c r="AF275" s="49"/>
      <c r="AG275" s="161">
        <v>0</v>
      </c>
      <c r="AH275" s="168">
        <v>2</v>
      </c>
      <c r="AI275" s="20"/>
      <c r="AJ275" s="20"/>
      <c r="AK275" s="20"/>
      <c r="AL275" s="21"/>
      <c r="AM275" s="19">
        <v>0</v>
      </c>
      <c r="AN275" s="20" t="str">
        <f>IFERROR(INDEX([2]lijnopstellingsfiche!$AP$1:$AP$65536,MATCH(A275,[2]lijnopstellingsfiche!$AQ$1:$AQ$65536,0)),"")</f>
        <v>-</v>
      </c>
      <c r="AO275" s="20">
        <v>0</v>
      </c>
      <c r="AP275" s="20">
        <v>0</v>
      </c>
      <c r="AQ275" s="20">
        <v>2</v>
      </c>
      <c r="AR275" s="20">
        <v>0</v>
      </c>
      <c r="AS275" s="20">
        <v>0</v>
      </c>
      <c r="AT275" s="20">
        <v>0</v>
      </c>
      <c r="AU275" s="20">
        <v>0</v>
      </c>
      <c r="AV275" s="23">
        <v>0</v>
      </c>
      <c r="AW275" s="108">
        <v>0</v>
      </c>
      <c r="AX275" s="108">
        <v>0</v>
      </c>
      <c r="AY275" s="108">
        <v>1</v>
      </c>
      <c r="AZ275" s="108">
        <v>0</v>
      </c>
      <c r="BA275" s="114">
        <v>1</v>
      </c>
      <c r="BB275" s="20">
        <v>0</v>
      </c>
      <c r="BC275" s="113">
        <v>0</v>
      </c>
      <c r="BD275" s="200" t="str">
        <f>VLOOKUP($A275,'[3]allergenen 6nr'!$A$1:$O$1310,3,FALSE)</f>
        <v>-</v>
      </c>
      <c r="BE275" s="201" t="str">
        <f>VLOOKUP($A275,'[3]allergenen 6nr'!$A$1:$O$1310,4,FALSE)</f>
        <v>X</v>
      </c>
      <c r="BF275" s="201" t="str">
        <f>VLOOKUP($A275,'[3]allergenen 6nr'!$A$1:$O$1310,5,FALSE)</f>
        <v>+</v>
      </c>
      <c r="BG275" s="201" t="str">
        <f>VLOOKUP($A275,'[3]allergenen 6nr'!$A$1:$O$1310,6,FALSE)</f>
        <v>X</v>
      </c>
      <c r="BH275" s="201" t="str">
        <f>VLOOKUP($A275,'[3]allergenen 6nr'!$A$1:$O$1310,7,FALSE)</f>
        <v>+</v>
      </c>
      <c r="BI275" s="201" t="str">
        <f>VLOOKUP($A275,'[3]allergenen 6nr'!$A$1:$O$1310,8,FALSE)</f>
        <v>X</v>
      </c>
      <c r="BJ275" s="201" t="str">
        <f>VLOOKUP($A275,'[3]allergenen 6nr'!$A$1:$O$1310,9,FALSE)</f>
        <v>-</v>
      </c>
      <c r="BK275" s="201" t="str">
        <f>VLOOKUP($A275,'[3]allergenen 6nr'!$A$1:$O$1310,10,FALSE)</f>
        <v>X</v>
      </c>
      <c r="BL275" s="201" t="str">
        <f>VLOOKUP($A275,'[3]allergenen 6nr'!$A$1:$O$1310,11,FALSE)</f>
        <v>X</v>
      </c>
      <c r="BM275" s="201" t="str">
        <f>VLOOKUP($A275,'[3]allergenen 6nr'!$A$1:$O$1310,12,FALSE)</f>
        <v>-</v>
      </c>
      <c r="BN275" s="201" t="str">
        <f>VLOOKUP($A275,'[3]allergenen 6nr'!$A$1:$O$1310,13,FALSE)</f>
        <v>X</v>
      </c>
      <c r="BO275" s="201" t="str">
        <f>VLOOKUP($A275,'[3]allergenen 6nr'!$A$1:$O$1310,14,FALSE)</f>
        <v>X</v>
      </c>
      <c r="BP275" s="202" t="str">
        <f>VLOOKUP($A275,'[3]allergenen 6nr'!$A$1:$O$1310,15,FALSE)</f>
        <v>X</v>
      </c>
    </row>
    <row r="276" spans="1:68" x14ac:dyDescent="0.2">
      <c r="A276" s="54">
        <v>63902800</v>
      </c>
      <c r="B276" s="53" t="str">
        <f>VLOOKUP($A276,[1]maaltijden!$A$1:$IV$65536,4,FALSE)</f>
        <v xml:space="preserve">VAT GEHAKTBAL ANDIJVIE A LA CREME AARDAPPELPUREE  </v>
      </c>
      <c r="C276" s="46" t="str">
        <f>VLOOKUP($A276,[1]maaltijden!$A$1:$IV$65536,7,FALSE)</f>
        <v>C2227-3R</v>
      </c>
      <c r="D276" s="22" t="str">
        <f>VLOOKUP($A276,[1]maaltijden!$A$1:$IV$65536,10,FALSE)</f>
        <v>NVT</v>
      </c>
      <c r="E276" s="22" t="str">
        <f>VLOOKUP($A276,[1]maaltijden!$A$1:$IV$65536,13,FALSE)</f>
        <v xml:space="preserve">VAT X 6 </v>
      </c>
      <c r="F276" s="20">
        <f t="shared" si="4"/>
        <v>0</v>
      </c>
      <c r="G276" s="20" t="str">
        <f>VLOOKUP($A276,[1]maaltijden!$A$1:$IV$65536,27,FALSE)</f>
        <v>! !</v>
      </c>
      <c r="H276" s="22">
        <f>VLOOKUP($A276,[1]maaltijden!$A$1:$IV$65536,21,FALSE)</f>
        <v>2</v>
      </c>
      <c r="I276" s="22">
        <f>VLOOKUP($A276,[1]maaltijden!$A$1:$IV$65536,21,FALSE)</f>
        <v>2</v>
      </c>
      <c r="J276" s="22">
        <f>VLOOKUP($A276,[1]maaltijden!$A$1:$IV$65536,18,FALSE)</f>
        <v>3</v>
      </c>
      <c r="K276" s="22">
        <f>VLOOKUP($A276,[1]maaltijden!$A$1:$IV$65536,17,FALSE)</f>
        <v>2.5</v>
      </c>
      <c r="L276" s="22">
        <f>VLOOKUP($A276,[1]maaltijden!$A$1:$IV$65536,20,FALSE)</f>
        <v>2200</v>
      </c>
      <c r="M276" s="22">
        <f>VLOOKUP($A276,[1]maaltijden!$A$1:$IV$65536,22,FALSE)</f>
        <v>2200</v>
      </c>
      <c r="N276" s="135"/>
      <c r="O276" s="50"/>
      <c r="P276" s="19">
        <v>0</v>
      </c>
      <c r="Q276" s="20">
        <v>1</v>
      </c>
      <c r="R276" s="21">
        <v>0</v>
      </c>
      <c r="S276" s="19">
        <v>0</v>
      </c>
      <c r="T276" s="20">
        <v>1</v>
      </c>
      <c r="U276" s="19"/>
      <c r="V276" s="20"/>
      <c r="W276" s="20"/>
      <c r="X276" s="20"/>
      <c r="Y276" s="20"/>
      <c r="Z276" s="20"/>
      <c r="AA276" s="20"/>
      <c r="AB276" s="49"/>
      <c r="AC276" s="49"/>
      <c r="AD276" s="49"/>
      <c r="AE276" s="49"/>
      <c r="AF276" s="49"/>
      <c r="AG276" s="161">
        <v>0</v>
      </c>
      <c r="AH276" s="168">
        <v>2</v>
      </c>
      <c r="AI276" s="168">
        <v>1</v>
      </c>
      <c r="AJ276" s="20"/>
      <c r="AK276" s="20"/>
      <c r="AL276" s="21"/>
      <c r="AM276" s="19">
        <v>0</v>
      </c>
      <c r="AN276" s="20" t="str">
        <f>IFERROR(INDEX([2]lijnopstellingsfiche!$AP$1:$AP$65536,MATCH(A276,[2]lijnopstellingsfiche!$AQ$1:$AQ$65536,0)),"")</f>
        <v>-</v>
      </c>
      <c r="AO276" s="20">
        <v>0</v>
      </c>
      <c r="AP276" s="20">
        <v>0</v>
      </c>
      <c r="AQ276" s="20">
        <v>2</v>
      </c>
      <c r="AR276" s="20">
        <v>1</v>
      </c>
      <c r="AS276" s="20">
        <v>0</v>
      </c>
      <c r="AT276" s="20">
        <v>0</v>
      </c>
      <c r="AU276" s="20">
        <v>0</v>
      </c>
      <c r="AV276" s="23">
        <v>0</v>
      </c>
      <c r="AW276" s="108">
        <v>0</v>
      </c>
      <c r="AX276" s="108">
        <v>0</v>
      </c>
      <c r="AY276" s="108">
        <v>1</v>
      </c>
      <c r="AZ276" s="108">
        <v>0</v>
      </c>
      <c r="BA276" s="114">
        <v>1</v>
      </c>
      <c r="BB276" s="20">
        <v>0</v>
      </c>
      <c r="BC276" s="113">
        <v>0</v>
      </c>
      <c r="BD276" s="200" t="str">
        <f>VLOOKUP($A276,'[3]allergenen 6nr'!$A$1:$O$1310,3,FALSE)</f>
        <v>-</v>
      </c>
      <c r="BE276" s="201" t="str">
        <f>VLOOKUP($A276,'[3]allergenen 6nr'!$A$1:$O$1310,4,FALSE)</f>
        <v>+</v>
      </c>
      <c r="BF276" s="201" t="str">
        <f>VLOOKUP($A276,'[3]allergenen 6nr'!$A$1:$O$1310,5,FALSE)</f>
        <v>+</v>
      </c>
      <c r="BG276" s="201" t="str">
        <f>VLOOKUP($A276,'[3]allergenen 6nr'!$A$1:$O$1310,6,FALSE)</f>
        <v>X</v>
      </c>
      <c r="BH276" s="201" t="str">
        <f>VLOOKUP($A276,'[3]allergenen 6nr'!$A$1:$O$1310,7,FALSE)</f>
        <v>+</v>
      </c>
      <c r="BI276" s="201" t="str">
        <f>VLOOKUP($A276,'[3]allergenen 6nr'!$A$1:$O$1310,8,FALSE)</f>
        <v>X</v>
      </c>
      <c r="BJ276" s="201" t="str">
        <f>VLOOKUP($A276,'[3]allergenen 6nr'!$A$1:$O$1310,9,FALSE)</f>
        <v>-</v>
      </c>
      <c r="BK276" s="201" t="str">
        <f>VLOOKUP($A276,'[3]allergenen 6nr'!$A$1:$O$1310,10,FALSE)</f>
        <v>X</v>
      </c>
      <c r="BL276" s="201" t="str">
        <f>VLOOKUP($A276,'[3]allergenen 6nr'!$A$1:$O$1310,11,FALSE)</f>
        <v>X</v>
      </c>
      <c r="BM276" s="201" t="str">
        <f>VLOOKUP($A276,'[3]allergenen 6nr'!$A$1:$O$1310,12,FALSE)</f>
        <v>-</v>
      </c>
      <c r="BN276" s="201" t="str">
        <f>VLOOKUP($A276,'[3]allergenen 6nr'!$A$1:$O$1310,13,FALSE)</f>
        <v>X</v>
      </c>
      <c r="BO276" s="201" t="str">
        <f>VLOOKUP($A276,'[3]allergenen 6nr'!$A$1:$O$1310,14,FALSE)</f>
        <v>X</v>
      </c>
      <c r="BP276" s="202" t="str">
        <f>VLOOKUP($A276,'[3]allergenen 6nr'!$A$1:$O$1310,15,FALSE)</f>
        <v>X</v>
      </c>
    </row>
    <row r="277" spans="1:68" x14ac:dyDescent="0.2">
      <c r="A277" s="54">
        <v>63902900</v>
      </c>
      <c r="B277" s="53" t="str">
        <f>VLOOKUP($A277,[1]maaltijden!$A$1:$IV$65536,4,FALSE)</f>
        <v>VAT JACHTSCHOTEL APPEL RODE KOOL EN AARDAPPELPUREE</v>
      </c>
      <c r="C277" s="46" t="str">
        <f>VLOOKUP($A277,[1]maaltijden!$A$1:$IV$65536,7,FALSE)</f>
        <v>C2227-3R</v>
      </c>
      <c r="D277" s="22" t="str">
        <f>VLOOKUP($A277,[1]maaltijden!$A$1:$IV$65536,10,FALSE)</f>
        <v>NVT</v>
      </c>
      <c r="E277" s="22" t="str">
        <f>VLOOKUP($A277,[1]maaltijden!$A$1:$IV$65536,13,FALSE)</f>
        <v xml:space="preserve">VAT X 6 </v>
      </c>
      <c r="F277" s="20">
        <f t="shared" si="4"/>
        <v>0</v>
      </c>
      <c r="G277" s="20" t="str">
        <f>VLOOKUP($A277,[1]maaltijden!$A$1:$IV$65536,27,FALSE)</f>
        <v>! ! !</v>
      </c>
      <c r="H277" s="22">
        <f>VLOOKUP($A277,[1]maaltijden!$A$1:$IV$65536,21,FALSE)</f>
        <v>3</v>
      </c>
      <c r="I277" s="22">
        <f>VLOOKUP($A277,[1]maaltijden!$A$1:$IV$65536,21,FALSE)</f>
        <v>3</v>
      </c>
      <c r="J277" s="22">
        <f>VLOOKUP($A277,[1]maaltijden!$A$1:$IV$65536,18,FALSE)</f>
        <v>3</v>
      </c>
      <c r="K277" s="22">
        <f>VLOOKUP($A277,[1]maaltijden!$A$1:$IV$65536,17,FALSE)</f>
        <v>3</v>
      </c>
      <c r="L277" s="22">
        <f>VLOOKUP($A277,[1]maaltijden!$A$1:$IV$65536,20,FALSE)</f>
        <v>2200</v>
      </c>
      <c r="M277" s="22">
        <f>VLOOKUP($A277,[1]maaltijden!$A$1:$IV$65536,22,FALSE)</f>
        <v>2200</v>
      </c>
      <c r="N277" s="135"/>
      <c r="O277" s="50"/>
      <c r="P277" s="19">
        <v>0</v>
      </c>
      <c r="Q277" s="20">
        <v>1</v>
      </c>
      <c r="R277" s="21">
        <v>0</v>
      </c>
      <c r="S277" s="19">
        <v>0</v>
      </c>
      <c r="T277" s="20">
        <v>1</v>
      </c>
      <c r="U277" s="19"/>
      <c r="V277" s="20"/>
      <c r="W277" s="20"/>
      <c r="X277" s="20"/>
      <c r="Y277" s="20"/>
      <c r="Z277" s="20"/>
      <c r="AA277" s="20"/>
      <c r="AB277" s="49"/>
      <c r="AC277" s="49"/>
      <c r="AD277" s="49"/>
      <c r="AE277" s="49"/>
      <c r="AF277" s="49"/>
      <c r="AG277" s="161">
        <v>0</v>
      </c>
      <c r="AH277" s="168">
        <v>2</v>
      </c>
      <c r="AI277" s="168">
        <v>1</v>
      </c>
      <c r="AJ277" s="20"/>
      <c r="AK277" s="20"/>
      <c r="AL277" s="21"/>
      <c r="AM277" s="19">
        <v>0</v>
      </c>
      <c r="AN277" s="20">
        <f>IFERROR(INDEX([2]lijnopstellingsfiche!$AP$1:$AP$65536,MATCH(A277,[2]lijnopstellingsfiche!$AQ$1:$AQ$65536,0)),"")</f>
        <v>1</v>
      </c>
      <c r="AO277" s="20">
        <v>0</v>
      </c>
      <c r="AP277" s="20">
        <v>0</v>
      </c>
      <c r="AQ277" s="20">
        <v>2</v>
      </c>
      <c r="AR277" s="20">
        <v>1</v>
      </c>
      <c r="AS277" s="20">
        <v>0</v>
      </c>
      <c r="AT277" s="20">
        <v>1</v>
      </c>
      <c r="AU277" s="20">
        <v>0</v>
      </c>
      <c r="AV277" s="23">
        <v>0</v>
      </c>
      <c r="AW277" s="108">
        <v>0</v>
      </c>
      <c r="AX277" s="108">
        <v>0</v>
      </c>
      <c r="AY277" s="108">
        <v>1</v>
      </c>
      <c r="AZ277" s="108">
        <v>0</v>
      </c>
      <c r="BA277" s="114">
        <v>1</v>
      </c>
      <c r="BB277" s="20">
        <v>0</v>
      </c>
      <c r="BC277" s="113">
        <v>0</v>
      </c>
      <c r="BD277" s="200" t="str">
        <f>VLOOKUP($A277,'[3]allergenen 6nr'!$A$1:$O$1310,3,FALSE)</f>
        <v>-</v>
      </c>
      <c r="BE277" s="201" t="str">
        <f>VLOOKUP($A277,'[3]allergenen 6nr'!$A$1:$O$1310,4,FALSE)</f>
        <v>+</v>
      </c>
      <c r="BF277" s="201" t="str">
        <f>VLOOKUP($A277,'[3]allergenen 6nr'!$A$1:$O$1310,5,FALSE)</f>
        <v>+</v>
      </c>
      <c r="BG277" s="201" t="str">
        <f>VLOOKUP($A277,'[3]allergenen 6nr'!$A$1:$O$1310,6,FALSE)</f>
        <v>-</v>
      </c>
      <c r="BH277" s="201" t="str">
        <f>VLOOKUP($A277,'[3]allergenen 6nr'!$A$1:$O$1310,7,FALSE)</f>
        <v>+</v>
      </c>
      <c r="BI277" s="201" t="str">
        <f>VLOOKUP($A277,'[3]allergenen 6nr'!$A$1:$O$1310,8,FALSE)</f>
        <v>+</v>
      </c>
      <c r="BJ277" s="201" t="str">
        <f>VLOOKUP($A277,'[3]allergenen 6nr'!$A$1:$O$1310,9,FALSE)</f>
        <v>-</v>
      </c>
      <c r="BK277" s="201" t="str">
        <f>VLOOKUP($A277,'[3]allergenen 6nr'!$A$1:$O$1310,10,FALSE)</f>
        <v>-</v>
      </c>
      <c r="BL277" s="201" t="str">
        <f>VLOOKUP($A277,'[3]allergenen 6nr'!$A$1:$O$1310,11,FALSE)</f>
        <v>+</v>
      </c>
      <c r="BM277" s="201" t="str">
        <f>VLOOKUP($A277,'[3]allergenen 6nr'!$A$1:$O$1310,12,FALSE)</f>
        <v>-</v>
      </c>
      <c r="BN277" s="201" t="str">
        <f>VLOOKUP($A277,'[3]allergenen 6nr'!$A$1:$O$1310,13,FALSE)</f>
        <v>X</v>
      </c>
      <c r="BO277" s="201" t="str">
        <f>VLOOKUP($A277,'[3]allergenen 6nr'!$A$1:$O$1310,14,FALSE)</f>
        <v>-</v>
      </c>
      <c r="BP277" s="202" t="str">
        <f>VLOOKUP($A277,'[3]allergenen 6nr'!$A$1:$O$1310,15,FALSE)</f>
        <v>-</v>
      </c>
    </row>
    <row r="278" spans="1:68" x14ac:dyDescent="0.2">
      <c r="A278" s="54">
        <v>63903000</v>
      </c>
      <c r="B278" s="53" t="str">
        <f>VLOOKUP($A278,[1]maaltijden!$A$1:$IV$65536,4,FALSE)</f>
        <v xml:space="preserve">VAT HONGAARSE GOULASH MET DOPERWTJES EN RIJST     </v>
      </c>
      <c r="C278" s="46" t="str">
        <f>VLOOKUP($A278,[1]maaltijden!$A$1:$IV$65536,7,FALSE)</f>
        <v>C2227-3R</v>
      </c>
      <c r="D278" s="22" t="str">
        <f>VLOOKUP($A278,[1]maaltijden!$A$1:$IV$65536,10,FALSE)</f>
        <v>NVT</v>
      </c>
      <c r="E278" s="22" t="str">
        <f>VLOOKUP($A278,[1]maaltijden!$A$1:$IV$65536,13,FALSE)</f>
        <v xml:space="preserve">VAT X 6 </v>
      </c>
      <c r="F278" s="20">
        <f t="shared" si="4"/>
        <v>0</v>
      </c>
      <c r="G278" s="20" t="str">
        <f>VLOOKUP($A278,[1]maaltijden!$A$1:$IV$65536,27,FALSE)</f>
        <v>-</v>
      </c>
      <c r="H278" s="22">
        <f>VLOOKUP($A278,[1]maaltijden!$A$1:$IV$65536,21,FALSE)</f>
        <v>6</v>
      </c>
      <c r="I278" s="22">
        <f>VLOOKUP($A278,[1]maaltijden!$A$1:$IV$65536,21,FALSE)</f>
        <v>6</v>
      </c>
      <c r="J278" s="22">
        <f>VLOOKUP($A278,[1]maaltijden!$A$1:$IV$65536,18,FALSE)</f>
        <v>3</v>
      </c>
      <c r="K278" s="22">
        <f>VLOOKUP($A278,[1]maaltijden!$A$1:$IV$65536,17,FALSE)</f>
        <v>3</v>
      </c>
      <c r="L278" s="22">
        <f>VLOOKUP($A278,[1]maaltijden!$A$1:$IV$65536,20,FALSE)</f>
        <v>2000</v>
      </c>
      <c r="M278" s="22">
        <f>VLOOKUP($A278,[1]maaltijden!$A$1:$IV$65536,22,FALSE)</f>
        <v>2000</v>
      </c>
      <c r="N278" s="135"/>
      <c r="O278" s="50"/>
      <c r="P278" s="19">
        <v>0</v>
      </c>
      <c r="Q278" s="20">
        <v>1</v>
      </c>
      <c r="R278" s="21">
        <v>0</v>
      </c>
      <c r="S278" s="19">
        <v>0</v>
      </c>
      <c r="T278" s="20">
        <v>1</v>
      </c>
      <c r="U278" s="19"/>
      <c r="V278" s="20"/>
      <c r="W278" s="20"/>
      <c r="X278" s="20"/>
      <c r="Y278" s="20"/>
      <c r="Z278" s="20"/>
      <c r="AA278" s="20"/>
      <c r="AB278" s="49"/>
      <c r="AC278" s="49"/>
      <c r="AD278" s="49"/>
      <c r="AE278" s="49"/>
      <c r="AF278" s="49"/>
      <c r="AG278" s="167">
        <v>0</v>
      </c>
      <c r="AH278" s="168">
        <v>1</v>
      </c>
      <c r="AI278" s="168">
        <v>1</v>
      </c>
      <c r="AJ278" s="20"/>
      <c r="AK278" s="20"/>
      <c r="AL278" s="21"/>
      <c r="AM278" s="19">
        <v>0</v>
      </c>
      <c r="AN278" s="20" t="str">
        <f>IFERROR(INDEX([2]lijnopstellingsfiche!$AP$1:$AP$65536,MATCH(A278,[2]lijnopstellingsfiche!$AQ$1:$AQ$65536,0)),"")</f>
        <v>-</v>
      </c>
      <c r="AO278" s="20">
        <v>0</v>
      </c>
      <c r="AP278" s="20">
        <v>0</v>
      </c>
      <c r="AQ278" s="20">
        <v>1</v>
      </c>
      <c r="AR278" s="20">
        <v>0</v>
      </c>
      <c r="AS278" s="20">
        <v>0</v>
      </c>
      <c r="AT278" s="20">
        <v>1</v>
      </c>
      <c r="AU278" s="20">
        <v>0</v>
      </c>
      <c r="AV278" s="23">
        <v>0</v>
      </c>
      <c r="AW278" s="108">
        <v>0</v>
      </c>
      <c r="AX278" s="108">
        <v>0</v>
      </c>
      <c r="AY278" s="108">
        <v>1</v>
      </c>
      <c r="AZ278" s="108">
        <v>0</v>
      </c>
      <c r="BA278" s="114">
        <v>1</v>
      </c>
      <c r="BB278" s="20">
        <v>0</v>
      </c>
      <c r="BC278" s="113">
        <v>0</v>
      </c>
      <c r="BD278" s="200" t="str">
        <f>VLOOKUP($A278,'[3]allergenen 6nr'!$A$1:$O$1310,3,FALSE)</f>
        <v>-</v>
      </c>
      <c r="BE278" s="201" t="str">
        <f>VLOOKUP($A278,'[3]allergenen 6nr'!$A$1:$O$1310,4,FALSE)</f>
        <v>X</v>
      </c>
      <c r="BF278" s="201" t="str">
        <f>VLOOKUP($A278,'[3]allergenen 6nr'!$A$1:$O$1310,5,FALSE)</f>
        <v>X</v>
      </c>
      <c r="BG278" s="201" t="str">
        <f>VLOOKUP($A278,'[3]allergenen 6nr'!$A$1:$O$1310,6,FALSE)</f>
        <v>-</v>
      </c>
      <c r="BH278" s="201" t="str">
        <f>VLOOKUP($A278,'[3]allergenen 6nr'!$A$1:$O$1310,7,FALSE)</f>
        <v>X</v>
      </c>
      <c r="BI278" s="201" t="str">
        <f>VLOOKUP($A278,'[3]allergenen 6nr'!$A$1:$O$1310,8,FALSE)</f>
        <v>X</v>
      </c>
      <c r="BJ278" s="201" t="str">
        <f>VLOOKUP($A278,'[3]allergenen 6nr'!$A$1:$O$1310,9,FALSE)</f>
        <v>-</v>
      </c>
      <c r="BK278" s="201" t="str">
        <f>VLOOKUP($A278,'[3]allergenen 6nr'!$A$1:$O$1310,10,FALSE)</f>
        <v>-</v>
      </c>
      <c r="BL278" s="201" t="str">
        <f>VLOOKUP($A278,'[3]allergenen 6nr'!$A$1:$O$1310,11,FALSE)</f>
        <v>-</v>
      </c>
      <c r="BM278" s="201" t="str">
        <f>VLOOKUP($A278,'[3]allergenen 6nr'!$A$1:$O$1310,12,FALSE)</f>
        <v>-</v>
      </c>
      <c r="BN278" s="201" t="str">
        <f>VLOOKUP($A278,'[3]allergenen 6nr'!$A$1:$O$1310,13,FALSE)</f>
        <v>X</v>
      </c>
      <c r="BO278" s="201" t="str">
        <f>VLOOKUP($A278,'[3]allergenen 6nr'!$A$1:$O$1310,14,FALSE)</f>
        <v>-</v>
      </c>
      <c r="BP278" s="202" t="str">
        <f>VLOOKUP($A278,'[3]allergenen 6nr'!$A$1:$O$1310,15,FALSE)</f>
        <v>-</v>
      </c>
    </row>
    <row r="279" spans="1:68" x14ac:dyDescent="0.2">
      <c r="A279" s="54">
        <v>63903100</v>
      </c>
      <c r="B279" s="53" t="str">
        <f>VLOOKUP($A279,[1]maaltijden!$A$1:$IV$65536,4,FALSE)</f>
        <v xml:space="preserve">VAT KIP CORDON BLEU BLOEMKOOL BROC. GEK AARD      </v>
      </c>
      <c r="C279" s="46" t="str">
        <f>VLOOKUP($A279,[1]maaltijden!$A$1:$IV$65536,7,FALSE)</f>
        <v>C2227-2K</v>
      </c>
      <c r="D279" s="22" t="str">
        <f>VLOOKUP($A279,[1]maaltijden!$A$1:$IV$65536,10,FALSE)</f>
        <v>NVT</v>
      </c>
      <c r="E279" s="22" t="str">
        <f>VLOOKUP($A279,[1]maaltijden!$A$1:$IV$65536,13,FALSE)</f>
        <v xml:space="preserve">VAT X 6 </v>
      </c>
      <c r="F279" s="20">
        <f t="shared" si="4"/>
        <v>0</v>
      </c>
      <c r="G279" s="20" t="str">
        <f>VLOOKUP($A279,[1]maaltijden!$A$1:$IV$65536,27,FALSE)</f>
        <v>! ! !</v>
      </c>
      <c r="H279" s="22">
        <f>VLOOKUP($A279,[1]maaltijden!$A$1:$IV$65536,21,FALSE)</f>
        <v>6</v>
      </c>
      <c r="I279" s="22">
        <f>VLOOKUP($A279,[1]maaltijden!$A$1:$IV$65536,21,FALSE)</f>
        <v>6</v>
      </c>
      <c r="J279" s="22">
        <f>VLOOKUP($A279,[1]maaltijden!$A$1:$IV$65536,18,FALSE)</f>
        <v>3</v>
      </c>
      <c r="K279" s="22">
        <f>VLOOKUP($A279,[1]maaltijden!$A$1:$IV$65536,17,FALSE)</f>
        <v>1.5</v>
      </c>
      <c r="L279" s="22">
        <f>VLOOKUP($A279,[1]maaltijden!$A$1:$IV$65536,20,FALSE)</f>
        <v>2200</v>
      </c>
      <c r="M279" s="22">
        <f>VLOOKUP($A279,[1]maaltijden!$A$1:$IV$65536,22,FALSE)</f>
        <v>2200</v>
      </c>
      <c r="N279" s="135"/>
      <c r="O279" s="50"/>
      <c r="P279" s="19">
        <v>0</v>
      </c>
      <c r="Q279" s="20">
        <v>1</v>
      </c>
      <c r="R279" s="21">
        <v>0</v>
      </c>
      <c r="S279" s="19">
        <v>0</v>
      </c>
      <c r="T279" s="20">
        <v>1</v>
      </c>
      <c r="U279" s="19"/>
      <c r="V279" s="20"/>
      <c r="W279" s="20"/>
      <c r="X279" s="20"/>
      <c r="Y279" s="20"/>
      <c r="Z279" s="20"/>
      <c r="AA279" s="20"/>
      <c r="AB279" s="49"/>
      <c r="AC279" s="49"/>
      <c r="AD279" s="49"/>
      <c r="AE279" s="49"/>
      <c r="AF279" s="49"/>
      <c r="AG279" s="161">
        <v>0</v>
      </c>
      <c r="AH279" s="168">
        <v>1</v>
      </c>
      <c r="AI279" s="168">
        <v>1</v>
      </c>
      <c r="AJ279" s="20"/>
      <c r="AK279" s="20"/>
      <c r="AL279" s="21"/>
      <c r="AM279" s="19">
        <v>0</v>
      </c>
      <c r="AN279" s="20" t="str">
        <f>IFERROR(INDEX([2]lijnopstellingsfiche!$AP$1:$AP$65536,MATCH(A279,[2]lijnopstellingsfiche!$AQ$1:$AQ$65536,0)),"")</f>
        <v>-</v>
      </c>
      <c r="AO279" s="20">
        <v>0</v>
      </c>
      <c r="AP279" s="20">
        <v>0</v>
      </c>
      <c r="AQ279" s="20">
        <v>1</v>
      </c>
      <c r="AR279" s="20">
        <v>0</v>
      </c>
      <c r="AS279" s="20">
        <v>0</v>
      </c>
      <c r="AT279" s="20">
        <v>0</v>
      </c>
      <c r="AU279" s="20">
        <v>0</v>
      </c>
      <c r="AV279" s="23">
        <v>0</v>
      </c>
      <c r="AW279" s="108">
        <v>0</v>
      </c>
      <c r="AX279" s="108">
        <v>0</v>
      </c>
      <c r="AY279" s="108">
        <v>1</v>
      </c>
      <c r="AZ279" s="108">
        <v>0</v>
      </c>
      <c r="BA279" s="114">
        <v>1</v>
      </c>
      <c r="BB279" s="20">
        <v>0</v>
      </c>
      <c r="BC279" s="113">
        <v>0</v>
      </c>
      <c r="BD279" s="200" t="str">
        <f>VLOOKUP($A279,'[3]allergenen 6nr'!$A$1:$O$1310,3,FALSE)</f>
        <v>-</v>
      </c>
      <c r="BE279" s="201" t="str">
        <f>VLOOKUP($A279,'[3]allergenen 6nr'!$A$1:$O$1310,4,FALSE)</f>
        <v>X</v>
      </c>
      <c r="BF279" s="201" t="str">
        <f>VLOOKUP($A279,'[3]allergenen 6nr'!$A$1:$O$1310,5,FALSE)</f>
        <v>+</v>
      </c>
      <c r="BG279" s="201" t="str">
        <f>VLOOKUP($A279,'[3]allergenen 6nr'!$A$1:$O$1310,6,FALSE)</f>
        <v>X</v>
      </c>
      <c r="BH279" s="201" t="str">
        <f>VLOOKUP($A279,'[3]allergenen 6nr'!$A$1:$O$1310,7,FALSE)</f>
        <v>+</v>
      </c>
      <c r="BI279" s="201" t="str">
        <f>VLOOKUP($A279,'[3]allergenen 6nr'!$A$1:$O$1310,8,FALSE)</f>
        <v>X</v>
      </c>
      <c r="BJ279" s="201" t="str">
        <f>VLOOKUP($A279,'[3]allergenen 6nr'!$A$1:$O$1310,9,FALSE)</f>
        <v>-</v>
      </c>
      <c r="BK279" s="201" t="str">
        <f>VLOOKUP($A279,'[3]allergenen 6nr'!$A$1:$O$1310,10,FALSE)</f>
        <v>-</v>
      </c>
      <c r="BL279" s="201" t="str">
        <f>VLOOKUP($A279,'[3]allergenen 6nr'!$A$1:$O$1310,11,FALSE)</f>
        <v>+</v>
      </c>
      <c r="BM279" s="201" t="str">
        <f>VLOOKUP($A279,'[3]allergenen 6nr'!$A$1:$O$1310,12,FALSE)</f>
        <v>-</v>
      </c>
      <c r="BN279" s="201" t="str">
        <f>VLOOKUP($A279,'[3]allergenen 6nr'!$A$1:$O$1310,13,FALSE)</f>
        <v>X</v>
      </c>
      <c r="BO279" s="201" t="str">
        <f>VLOOKUP($A279,'[3]allergenen 6nr'!$A$1:$O$1310,14,FALSE)</f>
        <v>-</v>
      </c>
      <c r="BP279" s="202" t="str">
        <f>VLOOKUP($A279,'[3]allergenen 6nr'!$A$1:$O$1310,15,FALSE)</f>
        <v>-</v>
      </c>
    </row>
    <row r="280" spans="1:68" x14ac:dyDescent="0.2">
      <c r="A280" s="54">
        <v>63903200</v>
      </c>
      <c r="B280" s="53" t="str">
        <f>VLOOKUP($A280,[1]maaltijden!$A$1:$IV$65536,4,FALSE)</f>
        <v xml:space="preserve">VAT VARKENSHAASJE SPINAZIE A LA CREME GEK KRIEL   </v>
      </c>
      <c r="C280" s="46" t="str">
        <f>VLOOKUP($A280,[1]maaltijden!$A$1:$IV$65536,7,FALSE)</f>
        <v>C2227-3R</v>
      </c>
      <c r="D280" s="22" t="str">
        <f>VLOOKUP($A280,[1]maaltijden!$A$1:$IV$65536,10,FALSE)</f>
        <v>NVT</v>
      </c>
      <c r="E280" s="22" t="str">
        <f>VLOOKUP($A280,[1]maaltijden!$A$1:$IV$65536,13,FALSE)</f>
        <v xml:space="preserve">VAT X 6 </v>
      </c>
      <c r="F280" s="20">
        <f t="shared" si="4"/>
        <v>0</v>
      </c>
      <c r="G280" s="20" t="str">
        <f>VLOOKUP($A280,[1]maaltijden!$A$1:$IV$65536,27,FALSE)</f>
        <v>! !</v>
      </c>
      <c r="H280" s="22">
        <f>VLOOKUP($A280,[1]maaltijden!$A$1:$IV$65536,21,FALSE)</f>
        <v>5</v>
      </c>
      <c r="I280" s="22">
        <f>VLOOKUP($A280,[1]maaltijden!$A$1:$IV$65536,21,FALSE)</f>
        <v>5</v>
      </c>
      <c r="J280" s="22">
        <f>VLOOKUP($A280,[1]maaltijden!$A$1:$IV$65536,18,FALSE)</f>
        <v>3</v>
      </c>
      <c r="K280" s="22">
        <f>VLOOKUP($A280,[1]maaltijden!$A$1:$IV$65536,17,FALSE)</f>
        <v>2</v>
      </c>
      <c r="L280" s="22">
        <f>VLOOKUP($A280,[1]maaltijden!$A$1:$IV$65536,20,FALSE)</f>
        <v>2200</v>
      </c>
      <c r="M280" s="22">
        <f>VLOOKUP($A280,[1]maaltijden!$A$1:$IV$65536,22,FALSE)</f>
        <v>2200</v>
      </c>
      <c r="N280" s="135"/>
      <c r="O280" s="50"/>
      <c r="P280" s="19">
        <v>0</v>
      </c>
      <c r="Q280" s="20">
        <v>1</v>
      </c>
      <c r="R280" s="21">
        <v>0</v>
      </c>
      <c r="S280" s="19">
        <v>0</v>
      </c>
      <c r="T280" s="20">
        <v>1</v>
      </c>
      <c r="U280" s="19"/>
      <c r="V280" s="20"/>
      <c r="W280" s="20"/>
      <c r="X280" s="20"/>
      <c r="Y280" s="20"/>
      <c r="Z280" s="20"/>
      <c r="AA280" s="20"/>
      <c r="AB280" s="49"/>
      <c r="AC280" s="49"/>
      <c r="AD280" s="49"/>
      <c r="AE280" s="49"/>
      <c r="AF280" s="49"/>
      <c r="AG280" s="161">
        <v>0</v>
      </c>
      <c r="AH280" s="168">
        <v>1</v>
      </c>
      <c r="AI280" s="168">
        <v>1</v>
      </c>
      <c r="AJ280" s="20"/>
      <c r="AK280" s="20"/>
      <c r="AL280" s="21"/>
      <c r="AM280" s="19">
        <v>0</v>
      </c>
      <c r="AN280" s="20" t="str">
        <f>IFERROR(INDEX([2]lijnopstellingsfiche!$AP$1:$AP$65536,MATCH(A280,[2]lijnopstellingsfiche!$AQ$1:$AQ$65536,0)),"")</f>
        <v>-</v>
      </c>
      <c r="AO280" s="20">
        <v>0</v>
      </c>
      <c r="AP280" s="20">
        <v>0</v>
      </c>
      <c r="AQ280" s="20">
        <v>2</v>
      </c>
      <c r="AR280" s="20">
        <v>0</v>
      </c>
      <c r="AS280" s="20">
        <v>0</v>
      </c>
      <c r="AT280" s="20">
        <v>0</v>
      </c>
      <c r="AU280" s="20">
        <v>0</v>
      </c>
      <c r="AV280" s="23">
        <v>0</v>
      </c>
      <c r="AW280" s="108">
        <v>0</v>
      </c>
      <c r="AX280" s="108">
        <v>0</v>
      </c>
      <c r="AY280" s="108">
        <v>1</v>
      </c>
      <c r="AZ280" s="108">
        <v>0</v>
      </c>
      <c r="BA280" s="114">
        <v>1</v>
      </c>
      <c r="BB280" s="20">
        <v>0</v>
      </c>
      <c r="BC280" s="113">
        <v>0</v>
      </c>
      <c r="BD280" s="200" t="str">
        <f>VLOOKUP($A280,'[3]allergenen 6nr'!$A$1:$O$1310,3,FALSE)</f>
        <v>-</v>
      </c>
      <c r="BE280" s="201" t="str">
        <f>VLOOKUP($A280,'[3]allergenen 6nr'!$A$1:$O$1310,4,FALSE)</f>
        <v>X</v>
      </c>
      <c r="BF280" s="201" t="str">
        <f>VLOOKUP($A280,'[3]allergenen 6nr'!$A$1:$O$1310,5,FALSE)</f>
        <v>+</v>
      </c>
      <c r="BG280" s="201" t="str">
        <f>VLOOKUP($A280,'[3]allergenen 6nr'!$A$1:$O$1310,6,FALSE)</f>
        <v>X</v>
      </c>
      <c r="BH280" s="201" t="str">
        <f>VLOOKUP($A280,'[3]allergenen 6nr'!$A$1:$O$1310,7,FALSE)</f>
        <v>+</v>
      </c>
      <c r="BI280" s="201" t="str">
        <f>VLOOKUP($A280,'[3]allergenen 6nr'!$A$1:$O$1310,8,FALSE)</f>
        <v>X</v>
      </c>
      <c r="BJ280" s="201" t="str">
        <f>VLOOKUP($A280,'[3]allergenen 6nr'!$A$1:$O$1310,9,FALSE)</f>
        <v>-</v>
      </c>
      <c r="BK280" s="201" t="str">
        <f>VLOOKUP($A280,'[3]allergenen 6nr'!$A$1:$O$1310,10,FALSE)</f>
        <v>-</v>
      </c>
      <c r="BL280" s="201" t="str">
        <f>VLOOKUP($A280,'[3]allergenen 6nr'!$A$1:$O$1310,11,FALSE)</f>
        <v>-</v>
      </c>
      <c r="BM280" s="201" t="str">
        <f>VLOOKUP($A280,'[3]allergenen 6nr'!$A$1:$O$1310,12,FALSE)</f>
        <v>-</v>
      </c>
      <c r="BN280" s="201" t="str">
        <f>VLOOKUP($A280,'[3]allergenen 6nr'!$A$1:$O$1310,13,FALSE)</f>
        <v>X</v>
      </c>
      <c r="BO280" s="201" t="str">
        <f>VLOOKUP($A280,'[3]allergenen 6nr'!$A$1:$O$1310,14,FALSE)</f>
        <v>-</v>
      </c>
      <c r="BP280" s="202" t="str">
        <f>VLOOKUP($A280,'[3]allergenen 6nr'!$A$1:$O$1310,15,FALSE)</f>
        <v>-</v>
      </c>
    </row>
    <row r="281" spans="1:68" x14ac:dyDescent="0.2">
      <c r="A281" s="54">
        <v>63903400</v>
      </c>
      <c r="B281" s="53" t="str">
        <f>VLOOKUP($A281,[1]maaltijden!$A$1:$IV$65536,4,FALSE)</f>
        <v xml:space="preserve">VAT VISSTICKS BOTERSAUS TUTTI FRUTTI GEB AARDAP.   </v>
      </c>
      <c r="C281" s="46" t="str">
        <f>VLOOKUP($A281,[1]maaltijden!$A$1:$IV$65536,7,FALSE)</f>
        <v>C2227-3R</v>
      </c>
      <c r="D281" s="22" t="str">
        <f>VLOOKUP($A281,[1]maaltijden!$A$1:$IV$65536,10,FALSE)</f>
        <v>NVT</v>
      </c>
      <c r="E281" s="22" t="str">
        <f>VLOOKUP($A281,[1]maaltijden!$A$1:$IV$65536,13,FALSE)</f>
        <v xml:space="preserve">VAT X 6 </v>
      </c>
      <c r="F281" s="20">
        <f t="shared" si="4"/>
        <v>0</v>
      </c>
      <c r="G281" s="20" t="str">
        <f>VLOOKUP($A281,[1]maaltijden!$A$1:$IV$65536,27,FALSE)</f>
        <v>! ! ! !</v>
      </c>
      <c r="H281" s="22">
        <f>VLOOKUP($A281,[1]maaltijden!$A$1:$IV$65536,21,FALSE)</f>
        <v>7</v>
      </c>
      <c r="I281" s="22">
        <f>VLOOKUP($A281,[1]maaltijden!$A$1:$IV$65536,21,FALSE)</f>
        <v>7</v>
      </c>
      <c r="J281" s="22">
        <f>VLOOKUP($A281,[1]maaltijden!$A$1:$IV$65536,18,FALSE)</f>
        <v>3</v>
      </c>
      <c r="K281" s="22">
        <f>VLOOKUP($A281,[1]maaltijden!$A$1:$IV$65536,17,FALSE)</f>
        <v>1</v>
      </c>
      <c r="L281" s="22">
        <f>VLOOKUP($A281,[1]maaltijden!$A$1:$IV$65536,20,FALSE)</f>
        <v>2200</v>
      </c>
      <c r="M281" s="22">
        <f>VLOOKUP($A281,[1]maaltijden!$A$1:$IV$65536,22,FALSE)</f>
        <v>2200</v>
      </c>
      <c r="N281" s="135"/>
      <c r="O281" s="50"/>
      <c r="P281" s="19">
        <v>0</v>
      </c>
      <c r="Q281" s="20">
        <v>1</v>
      </c>
      <c r="R281" s="21">
        <v>0</v>
      </c>
      <c r="S281" s="19">
        <v>0</v>
      </c>
      <c r="T281" s="20">
        <v>1</v>
      </c>
      <c r="U281" s="19"/>
      <c r="V281" s="20"/>
      <c r="W281" s="20"/>
      <c r="X281" s="20"/>
      <c r="Y281" s="20"/>
      <c r="Z281" s="20"/>
      <c r="AA281" s="20"/>
      <c r="AB281" s="49"/>
      <c r="AC281" s="49"/>
      <c r="AD281" s="49"/>
      <c r="AE281" s="49"/>
      <c r="AF281" s="49"/>
      <c r="AG281" s="161">
        <v>0</v>
      </c>
      <c r="AH281" s="168">
        <v>1</v>
      </c>
      <c r="AI281" s="168">
        <v>1</v>
      </c>
      <c r="AJ281" s="20"/>
      <c r="AK281" s="20"/>
      <c r="AL281" s="21"/>
      <c r="AM281" s="19">
        <v>0</v>
      </c>
      <c r="AN281" s="20">
        <f>IFERROR(INDEX([2]lijnopstellingsfiche!$AP$1:$AP$65536,MATCH(A281,[2]lijnopstellingsfiche!$AQ$1:$AQ$65536,0)),"")</f>
        <v>1</v>
      </c>
      <c r="AO281" s="20">
        <v>0</v>
      </c>
      <c r="AP281" s="20">
        <v>0</v>
      </c>
      <c r="AQ281" s="20">
        <v>1</v>
      </c>
      <c r="AR281" s="20">
        <v>0</v>
      </c>
      <c r="AS281" s="20">
        <v>0</v>
      </c>
      <c r="AT281" s="20">
        <v>1</v>
      </c>
      <c r="AU281" s="20">
        <v>0</v>
      </c>
      <c r="AV281" s="23">
        <v>0</v>
      </c>
      <c r="AW281" s="108">
        <v>0</v>
      </c>
      <c r="AX281" s="108">
        <v>0</v>
      </c>
      <c r="AY281" s="108">
        <v>1</v>
      </c>
      <c r="AZ281" s="108">
        <v>0</v>
      </c>
      <c r="BA281" s="114">
        <v>1</v>
      </c>
      <c r="BB281" s="20">
        <v>0</v>
      </c>
      <c r="BC281" s="113">
        <v>0</v>
      </c>
      <c r="BD281" s="200" t="str">
        <f>VLOOKUP($A281,'[3]allergenen 6nr'!$A$1:$O$1310,3,FALSE)</f>
        <v>-</v>
      </c>
      <c r="BE281" s="201" t="str">
        <f>VLOOKUP($A281,'[3]allergenen 6nr'!$A$1:$O$1310,4,FALSE)</f>
        <v>-</v>
      </c>
      <c r="BF281" s="201" t="str">
        <f>VLOOKUP($A281,'[3]allergenen 6nr'!$A$1:$O$1310,5,FALSE)</f>
        <v>+</v>
      </c>
      <c r="BG281" s="201" t="str">
        <f>VLOOKUP($A281,'[3]allergenen 6nr'!$A$1:$O$1310,6,FALSE)</f>
        <v>X</v>
      </c>
      <c r="BH281" s="201" t="str">
        <f>VLOOKUP($A281,'[3]allergenen 6nr'!$A$1:$O$1310,7,FALSE)</f>
        <v>+</v>
      </c>
      <c r="BI281" s="201" t="str">
        <f>VLOOKUP($A281,'[3]allergenen 6nr'!$A$1:$O$1310,8,FALSE)</f>
        <v>X</v>
      </c>
      <c r="BJ281" s="201" t="str">
        <f>VLOOKUP($A281,'[3]allergenen 6nr'!$A$1:$O$1310,9,FALSE)</f>
        <v>-</v>
      </c>
      <c r="BK281" s="201" t="str">
        <f>VLOOKUP($A281,'[3]allergenen 6nr'!$A$1:$O$1310,10,FALSE)</f>
        <v>X</v>
      </c>
      <c r="BL281" s="201" t="str">
        <f>VLOOKUP($A281,'[3]allergenen 6nr'!$A$1:$O$1310,11,FALSE)</f>
        <v>-</v>
      </c>
      <c r="BM281" s="201" t="str">
        <f>VLOOKUP($A281,'[3]allergenen 6nr'!$A$1:$O$1310,12,FALSE)</f>
        <v>-</v>
      </c>
      <c r="BN281" s="201" t="str">
        <f>VLOOKUP($A281,'[3]allergenen 6nr'!$A$1:$O$1310,13,FALSE)</f>
        <v>X</v>
      </c>
      <c r="BO281" s="201" t="str">
        <f>VLOOKUP($A281,'[3]allergenen 6nr'!$A$1:$O$1310,14,FALSE)</f>
        <v>+</v>
      </c>
      <c r="BP281" s="202" t="str">
        <f>VLOOKUP($A281,'[3]allergenen 6nr'!$A$1:$O$1310,15,FALSE)</f>
        <v>X</v>
      </c>
    </row>
    <row r="282" spans="1:68" x14ac:dyDescent="0.2">
      <c r="A282" s="54">
        <v>63903600</v>
      </c>
      <c r="B282" s="53" t="str">
        <f>VLOOKUP($A282,[1]maaltijden!$A$1:$IV$65536,4,FALSE)</f>
        <v>VAT KIPFILET SPERZIEBONEN EN GEKRUIDE AARDAPPELENKUBUS</v>
      </c>
      <c r="C282" s="46" t="str">
        <f>VLOOKUP($A282,[1]maaltijden!$A$1:$IV$65536,7,FALSE)</f>
        <v>C2227-3R</v>
      </c>
      <c r="D282" s="22" t="str">
        <f>VLOOKUP($A282,[1]maaltijden!$A$1:$IV$65536,10,FALSE)</f>
        <v>NVT</v>
      </c>
      <c r="E282" s="22" t="str">
        <f>VLOOKUP($A282,[1]maaltijden!$A$1:$IV$65536,13,FALSE)</f>
        <v xml:space="preserve">VAT X 6 </v>
      </c>
      <c r="F282" s="20">
        <f t="shared" si="4"/>
        <v>0</v>
      </c>
      <c r="G282" s="20" t="str">
        <f>VLOOKUP($A282,[1]maaltijden!$A$1:$IV$65536,27,FALSE)</f>
        <v>! ! !</v>
      </c>
      <c r="H282" s="22">
        <f>VLOOKUP($A282,[1]maaltijden!$A$1:$IV$65536,21,FALSE)</f>
        <v>5</v>
      </c>
      <c r="I282" s="22">
        <f>VLOOKUP($A282,[1]maaltijden!$A$1:$IV$65536,21,FALSE)</f>
        <v>5</v>
      </c>
      <c r="J282" s="22">
        <f>VLOOKUP($A282,[1]maaltijden!$A$1:$IV$65536,18,FALSE)</f>
        <v>3</v>
      </c>
      <c r="K282" s="22">
        <f>VLOOKUP($A282,[1]maaltijden!$A$1:$IV$65536,17,FALSE)</f>
        <v>2</v>
      </c>
      <c r="L282" s="22">
        <f>VLOOKUP($A282,[1]maaltijden!$A$1:$IV$65536,20,FALSE)</f>
        <v>2000</v>
      </c>
      <c r="M282" s="22">
        <f>VLOOKUP($A282,[1]maaltijden!$A$1:$IV$65536,22,FALSE)</f>
        <v>2000</v>
      </c>
      <c r="N282" s="135"/>
      <c r="O282" s="50">
        <v>63933600</v>
      </c>
      <c r="P282" s="19">
        <v>0</v>
      </c>
      <c r="Q282" s="20">
        <v>1</v>
      </c>
      <c r="R282" s="21">
        <v>0</v>
      </c>
      <c r="S282" s="19">
        <v>0</v>
      </c>
      <c r="T282" s="20">
        <v>1</v>
      </c>
      <c r="U282" s="19">
        <v>1</v>
      </c>
      <c r="V282" s="20">
        <v>1</v>
      </c>
      <c r="W282" s="20">
        <v>1</v>
      </c>
      <c r="X282" s="20">
        <v>1</v>
      </c>
      <c r="Y282" s="20">
        <v>1</v>
      </c>
      <c r="Z282" s="20">
        <v>0</v>
      </c>
      <c r="AA282" s="20">
        <v>0</v>
      </c>
      <c r="AB282" s="49">
        <v>0</v>
      </c>
      <c r="AC282" s="49">
        <v>0</v>
      </c>
      <c r="AD282" s="49">
        <v>0</v>
      </c>
      <c r="AE282" s="49">
        <v>0</v>
      </c>
      <c r="AF282" s="49">
        <v>0</v>
      </c>
      <c r="AG282" s="161">
        <v>0</v>
      </c>
      <c r="AH282" s="168">
        <v>1</v>
      </c>
      <c r="AI282" s="168">
        <v>1</v>
      </c>
      <c r="AJ282" s="20"/>
      <c r="AK282" s="20"/>
      <c r="AL282" s="21"/>
      <c r="AM282" s="19">
        <v>0</v>
      </c>
      <c r="AN282" s="20" t="str">
        <f>IFERROR(INDEX([2]lijnopstellingsfiche!$AP$1:$AP$65536,MATCH(A282,[2]lijnopstellingsfiche!$AQ$1:$AQ$65536,0)),"")</f>
        <v>-</v>
      </c>
      <c r="AO282" s="20">
        <v>0</v>
      </c>
      <c r="AP282" s="20">
        <v>0</v>
      </c>
      <c r="AQ282" s="20">
        <v>1</v>
      </c>
      <c r="AR282" s="20">
        <v>0</v>
      </c>
      <c r="AS282" s="20">
        <v>0</v>
      </c>
      <c r="AT282" s="20">
        <v>1</v>
      </c>
      <c r="AU282" s="20">
        <v>0</v>
      </c>
      <c r="AV282" s="23">
        <v>0</v>
      </c>
      <c r="AW282" s="108">
        <v>0</v>
      </c>
      <c r="AX282" s="108">
        <v>0</v>
      </c>
      <c r="AY282" s="108">
        <v>1</v>
      </c>
      <c r="AZ282" s="108">
        <v>0</v>
      </c>
      <c r="BA282" s="114">
        <v>1</v>
      </c>
      <c r="BB282" s="20">
        <v>0</v>
      </c>
      <c r="BC282" s="113">
        <v>0</v>
      </c>
      <c r="BD282" s="200" t="str">
        <f>VLOOKUP($A282,'[3]allergenen 6nr'!$A$1:$O$1310,3,FALSE)</f>
        <v>-</v>
      </c>
      <c r="BE282" s="201" t="str">
        <f>VLOOKUP($A282,'[3]allergenen 6nr'!$A$1:$O$1310,4,FALSE)</f>
        <v>X</v>
      </c>
      <c r="BF282" s="201" t="str">
        <f>VLOOKUP($A282,'[3]allergenen 6nr'!$A$1:$O$1310,5,FALSE)</f>
        <v>+</v>
      </c>
      <c r="BG282" s="201" t="str">
        <f>VLOOKUP($A282,'[3]allergenen 6nr'!$A$1:$O$1310,6,FALSE)</f>
        <v>X</v>
      </c>
      <c r="BH282" s="201" t="str">
        <f>VLOOKUP($A282,'[3]allergenen 6nr'!$A$1:$O$1310,7,FALSE)</f>
        <v>+</v>
      </c>
      <c r="BI282" s="201" t="str">
        <f>VLOOKUP($A282,'[3]allergenen 6nr'!$A$1:$O$1310,8,FALSE)</f>
        <v>X</v>
      </c>
      <c r="BJ282" s="201" t="str">
        <f>VLOOKUP($A282,'[3]allergenen 6nr'!$A$1:$O$1310,9,FALSE)</f>
        <v>-</v>
      </c>
      <c r="BK282" s="201" t="str">
        <f>VLOOKUP($A282,'[3]allergenen 6nr'!$A$1:$O$1310,10,FALSE)</f>
        <v>-</v>
      </c>
      <c r="BL282" s="201" t="str">
        <f>VLOOKUP($A282,'[3]allergenen 6nr'!$A$1:$O$1310,11,FALSE)</f>
        <v>+</v>
      </c>
      <c r="BM282" s="201" t="str">
        <f>VLOOKUP($A282,'[3]allergenen 6nr'!$A$1:$O$1310,12,FALSE)</f>
        <v>-</v>
      </c>
      <c r="BN282" s="201" t="str">
        <f>VLOOKUP($A282,'[3]allergenen 6nr'!$A$1:$O$1310,13,FALSE)</f>
        <v>X</v>
      </c>
      <c r="BO282" s="201" t="str">
        <f>VLOOKUP($A282,'[3]allergenen 6nr'!$A$1:$O$1310,14,FALSE)</f>
        <v>-</v>
      </c>
      <c r="BP282" s="202" t="str">
        <f>VLOOKUP($A282,'[3]allergenen 6nr'!$A$1:$O$1310,15,FALSE)</f>
        <v>-</v>
      </c>
    </row>
    <row r="283" spans="1:68" x14ac:dyDescent="0.2">
      <c r="A283" s="89">
        <v>63903700</v>
      </c>
      <c r="B283" s="53" t="str">
        <f>VLOOKUP($A283,[1]maaltijden!$A$1:$IV$65536,4,FALSE)</f>
        <v xml:space="preserve">VAT KIP OMA'S RECEPT GEBAKKEN AARDAPPELEN         </v>
      </c>
      <c r="C283" s="46" t="str">
        <f>VLOOKUP($A283,[1]maaltijden!$A$1:$IV$65536,7,FALSE)</f>
        <v>C2227-2K</v>
      </c>
      <c r="D283" s="22" t="str">
        <f>VLOOKUP($A283,[1]maaltijden!$A$1:$IV$65536,10,FALSE)</f>
        <v>NVT</v>
      </c>
      <c r="E283" s="22" t="str">
        <f>VLOOKUP($A283,[1]maaltijden!$A$1:$IV$65536,13,FALSE)</f>
        <v xml:space="preserve">VAT X 6 </v>
      </c>
      <c r="F283" s="20">
        <f t="shared" si="4"/>
        <v>0</v>
      </c>
      <c r="G283" s="20" t="str">
        <f>VLOOKUP($A283,[1]maaltijden!$A$1:$IV$65536,27,FALSE)</f>
        <v>! ! !</v>
      </c>
      <c r="H283" s="22">
        <f>VLOOKUP($A283,[1]maaltijden!$A$1:$IV$65536,21,FALSE)</f>
        <v>6</v>
      </c>
      <c r="I283" s="22">
        <f>VLOOKUP($A283,[1]maaltijden!$A$1:$IV$65536,21,FALSE)</f>
        <v>6</v>
      </c>
      <c r="J283" s="22">
        <f>VLOOKUP($A283,[1]maaltijden!$A$1:$IV$65536,18,FALSE)</f>
        <v>3</v>
      </c>
      <c r="K283" s="22">
        <f>VLOOKUP($A283,[1]maaltijden!$A$1:$IV$65536,17,FALSE)</f>
        <v>2</v>
      </c>
      <c r="L283" s="22">
        <f>VLOOKUP($A283,[1]maaltijden!$A$1:$IV$65536,20,FALSE)</f>
        <v>2200</v>
      </c>
      <c r="M283" s="22">
        <f>VLOOKUP($A283,[1]maaltijden!$A$1:$IV$65536,22,FALSE)</f>
        <v>2200</v>
      </c>
      <c r="N283" s="135"/>
      <c r="O283" s="50">
        <v>63933700</v>
      </c>
      <c r="P283" s="19">
        <v>0</v>
      </c>
      <c r="Q283" s="20">
        <v>1</v>
      </c>
      <c r="R283" s="21">
        <v>0</v>
      </c>
      <c r="S283" s="19">
        <v>0</v>
      </c>
      <c r="T283" s="20">
        <v>1</v>
      </c>
      <c r="U283" s="19">
        <v>1</v>
      </c>
      <c r="V283" s="20">
        <v>1</v>
      </c>
      <c r="W283" s="20">
        <v>1</v>
      </c>
      <c r="X283" s="20">
        <v>1</v>
      </c>
      <c r="Y283" s="20">
        <v>1</v>
      </c>
      <c r="Z283" s="20">
        <v>0</v>
      </c>
      <c r="AA283" s="20">
        <v>0</v>
      </c>
      <c r="AB283" s="49">
        <v>0</v>
      </c>
      <c r="AC283" s="49">
        <v>0</v>
      </c>
      <c r="AD283" s="49">
        <v>0</v>
      </c>
      <c r="AE283" s="49">
        <v>0</v>
      </c>
      <c r="AF283" s="49">
        <v>0</v>
      </c>
      <c r="AG283" s="161">
        <v>0</v>
      </c>
      <c r="AH283" s="162">
        <v>1</v>
      </c>
      <c r="AI283" s="162">
        <v>1</v>
      </c>
      <c r="AJ283" s="162">
        <v>0</v>
      </c>
      <c r="AK283" s="162">
        <v>0</v>
      </c>
      <c r="AL283" s="163">
        <v>0</v>
      </c>
      <c r="AM283" s="19">
        <v>0</v>
      </c>
      <c r="AN283" s="20" t="str">
        <f>IFERROR(INDEX([2]lijnopstellingsfiche!$AP$1:$AP$65536,MATCH(A283,[2]lijnopstellingsfiche!$AQ$1:$AQ$65536,0)),"")</f>
        <v>-</v>
      </c>
      <c r="AO283" s="20">
        <v>0</v>
      </c>
      <c r="AP283" s="20">
        <v>0</v>
      </c>
      <c r="AQ283" s="20">
        <v>1</v>
      </c>
      <c r="AR283" s="20">
        <v>0</v>
      </c>
      <c r="AS283" s="20">
        <v>0</v>
      </c>
      <c r="AT283" s="20">
        <v>1</v>
      </c>
      <c r="AU283" s="20">
        <v>0</v>
      </c>
      <c r="AV283" s="23">
        <v>0</v>
      </c>
      <c r="AW283" s="108">
        <v>0</v>
      </c>
      <c r="AX283" s="108">
        <v>0</v>
      </c>
      <c r="AY283" s="108">
        <v>1</v>
      </c>
      <c r="AZ283" s="108">
        <v>0</v>
      </c>
      <c r="BA283" s="114">
        <v>1</v>
      </c>
      <c r="BB283" s="20">
        <v>0</v>
      </c>
      <c r="BC283" s="113">
        <v>0</v>
      </c>
      <c r="BD283" s="200" t="str">
        <f>VLOOKUP($A283,'[3]allergenen 6nr'!$A$1:$O$1310,3,FALSE)</f>
        <v>-</v>
      </c>
      <c r="BE283" s="201" t="str">
        <f>VLOOKUP($A283,'[3]allergenen 6nr'!$A$1:$O$1310,4,FALSE)</f>
        <v>-</v>
      </c>
      <c r="BF283" s="201" t="str">
        <f>VLOOKUP($A283,'[3]allergenen 6nr'!$A$1:$O$1310,5,FALSE)</f>
        <v>+</v>
      </c>
      <c r="BG283" s="201" t="str">
        <f>VLOOKUP($A283,'[3]allergenen 6nr'!$A$1:$O$1310,6,FALSE)</f>
        <v>-</v>
      </c>
      <c r="BH283" s="201" t="str">
        <f>VLOOKUP($A283,'[3]allergenen 6nr'!$A$1:$O$1310,7,FALSE)</f>
        <v>-</v>
      </c>
      <c r="BI283" s="201" t="str">
        <f>VLOOKUP($A283,'[3]allergenen 6nr'!$A$1:$O$1310,8,FALSE)</f>
        <v>-</v>
      </c>
      <c r="BJ283" s="201" t="str">
        <f>VLOOKUP($A283,'[3]allergenen 6nr'!$A$1:$O$1310,9,FALSE)</f>
        <v>-</v>
      </c>
      <c r="BK283" s="201" t="str">
        <f>VLOOKUP($A283,'[3]allergenen 6nr'!$A$1:$O$1310,10,FALSE)</f>
        <v>-</v>
      </c>
      <c r="BL283" s="201" t="str">
        <f>VLOOKUP($A283,'[3]allergenen 6nr'!$A$1:$O$1310,11,FALSE)</f>
        <v>+</v>
      </c>
      <c r="BM283" s="201" t="str">
        <f>VLOOKUP($A283,'[3]allergenen 6nr'!$A$1:$O$1310,12,FALSE)</f>
        <v>-</v>
      </c>
      <c r="BN283" s="201" t="str">
        <f>VLOOKUP($A283,'[3]allergenen 6nr'!$A$1:$O$1310,13,FALSE)</f>
        <v>-</v>
      </c>
      <c r="BO283" s="201" t="str">
        <f>VLOOKUP($A283,'[3]allergenen 6nr'!$A$1:$O$1310,14,FALSE)</f>
        <v>-</v>
      </c>
      <c r="BP283" s="202" t="str">
        <f>VLOOKUP($A283,'[3]allergenen 6nr'!$A$1:$O$1310,15,FALSE)</f>
        <v>-</v>
      </c>
    </row>
    <row r="284" spans="1:68" x14ac:dyDescent="0.2">
      <c r="A284" s="54">
        <v>63904000</v>
      </c>
      <c r="B284" s="53" t="str">
        <f>VLOOKUP($A284,[1]maaltijden!$A$1:$IV$65536,4,FALSE)</f>
        <v xml:space="preserve">VAT BLINDE VINK RODE BIET AARDAP.BLOKJES KAASSAUS       </v>
      </c>
      <c r="C284" s="46" t="str">
        <f>VLOOKUP($A284,[1]maaltijden!$A$1:$IV$65536,7,FALSE)</f>
        <v>C2227-3R</v>
      </c>
      <c r="D284" s="22" t="str">
        <f>VLOOKUP($A284,[1]maaltijden!$A$1:$IV$65536,10,FALSE)</f>
        <v>NVT</v>
      </c>
      <c r="E284" s="22" t="str">
        <f>VLOOKUP($A284,[1]maaltijden!$A$1:$IV$65536,13,FALSE)</f>
        <v xml:space="preserve">VAT X 6 </v>
      </c>
      <c r="F284" s="20">
        <f t="shared" si="4"/>
        <v>0</v>
      </c>
      <c r="G284" s="20" t="str">
        <f>VLOOKUP($A284,[1]maaltijden!$A$1:$IV$65536,27,FALSE)</f>
        <v>! !</v>
      </c>
      <c r="H284" s="22">
        <f>VLOOKUP($A284,[1]maaltijden!$A$1:$IV$65536,21,FALSE)</f>
        <v>3</v>
      </c>
      <c r="I284" s="22">
        <f>VLOOKUP($A284,[1]maaltijden!$A$1:$IV$65536,21,FALSE)</f>
        <v>3</v>
      </c>
      <c r="J284" s="22">
        <f>VLOOKUP($A284,[1]maaltijden!$A$1:$IV$65536,18,FALSE)</f>
        <v>3</v>
      </c>
      <c r="K284" s="22">
        <f>VLOOKUP($A284,[1]maaltijden!$A$1:$IV$65536,17,FALSE)</f>
        <v>3</v>
      </c>
      <c r="L284" s="22">
        <f>VLOOKUP($A284,[1]maaltijden!$A$1:$IV$65536,20,FALSE)</f>
        <v>2200</v>
      </c>
      <c r="M284" s="22">
        <f>VLOOKUP($A284,[1]maaltijden!$A$1:$IV$65536,22,FALSE)</f>
        <v>2200</v>
      </c>
      <c r="N284" s="135"/>
      <c r="O284" s="50"/>
      <c r="P284" s="19">
        <v>0</v>
      </c>
      <c r="Q284" s="20">
        <v>1</v>
      </c>
      <c r="R284" s="21">
        <v>0</v>
      </c>
      <c r="S284" s="19">
        <v>0</v>
      </c>
      <c r="T284" s="20">
        <v>1</v>
      </c>
      <c r="U284" s="19"/>
      <c r="V284" s="20"/>
      <c r="W284" s="20"/>
      <c r="X284" s="20"/>
      <c r="Y284" s="20"/>
      <c r="Z284" s="20"/>
      <c r="AA284" s="20"/>
      <c r="AB284" s="49"/>
      <c r="AC284" s="49"/>
      <c r="AD284" s="49"/>
      <c r="AE284" s="49"/>
      <c r="AF284" s="49"/>
      <c r="AG284" s="161">
        <v>0</v>
      </c>
      <c r="AH284" s="168">
        <v>2</v>
      </c>
      <c r="AI284" s="20"/>
      <c r="AJ284" s="20"/>
      <c r="AK284" s="20"/>
      <c r="AL284" s="21"/>
      <c r="AM284" s="19">
        <v>0</v>
      </c>
      <c r="AN284" s="20">
        <f>IFERROR(INDEX([2]lijnopstellingsfiche!$AP$1:$AP$65536,MATCH(A284,[2]lijnopstellingsfiche!$AQ$1:$AQ$65536,0)),"")</f>
        <v>1</v>
      </c>
      <c r="AO284" s="20">
        <v>0</v>
      </c>
      <c r="AP284" s="20">
        <v>0</v>
      </c>
      <c r="AQ284" s="20">
        <v>3</v>
      </c>
      <c r="AR284" s="20">
        <v>0</v>
      </c>
      <c r="AS284" s="20">
        <v>0</v>
      </c>
      <c r="AT284" s="20">
        <v>1</v>
      </c>
      <c r="AU284" s="20">
        <v>0</v>
      </c>
      <c r="AV284" s="23">
        <v>0</v>
      </c>
      <c r="AW284" s="108">
        <v>0</v>
      </c>
      <c r="AX284" s="108">
        <v>0</v>
      </c>
      <c r="AY284" s="108">
        <v>1</v>
      </c>
      <c r="AZ284" s="108">
        <v>0</v>
      </c>
      <c r="BA284" s="114">
        <v>1</v>
      </c>
      <c r="BB284" s="20">
        <v>0</v>
      </c>
      <c r="BC284" s="113">
        <v>0</v>
      </c>
      <c r="BD284" s="200" t="str">
        <f>VLOOKUP($A284,'[3]allergenen 6nr'!$A$1:$O$1310,3,FALSE)</f>
        <v>-</v>
      </c>
      <c r="BE284" s="201" t="str">
        <f>VLOOKUP($A284,'[3]allergenen 6nr'!$A$1:$O$1310,4,FALSE)</f>
        <v>X</v>
      </c>
      <c r="BF284" s="201" t="str">
        <f>VLOOKUP($A284,'[3]allergenen 6nr'!$A$1:$O$1310,5,FALSE)</f>
        <v>+</v>
      </c>
      <c r="BG284" s="201" t="str">
        <f>VLOOKUP($A284,'[3]allergenen 6nr'!$A$1:$O$1310,6,FALSE)</f>
        <v>X</v>
      </c>
      <c r="BH284" s="201" t="str">
        <f>VLOOKUP($A284,'[3]allergenen 6nr'!$A$1:$O$1310,7,FALSE)</f>
        <v>+</v>
      </c>
      <c r="BI284" s="201" t="str">
        <f>VLOOKUP($A284,'[3]allergenen 6nr'!$A$1:$O$1310,8,FALSE)</f>
        <v>X</v>
      </c>
      <c r="BJ284" s="201" t="str">
        <f>VLOOKUP($A284,'[3]allergenen 6nr'!$A$1:$O$1310,9,FALSE)</f>
        <v>-</v>
      </c>
      <c r="BK284" s="201" t="str">
        <f>VLOOKUP($A284,'[3]allergenen 6nr'!$A$1:$O$1310,10,FALSE)</f>
        <v>-</v>
      </c>
      <c r="BL284" s="201" t="str">
        <f>VLOOKUP($A284,'[3]allergenen 6nr'!$A$1:$O$1310,11,FALSE)</f>
        <v>X</v>
      </c>
      <c r="BM284" s="201" t="str">
        <f>VLOOKUP($A284,'[3]allergenen 6nr'!$A$1:$O$1310,12,FALSE)</f>
        <v>-</v>
      </c>
      <c r="BN284" s="201" t="str">
        <f>VLOOKUP($A284,'[3]allergenen 6nr'!$A$1:$O$1310,13,FALSE)</f>
        <v>X</v>
      </c>
      <c r="BO284" s="201" t="str">
        <f>VLOOKUP($A284,'[3]allergenen 6nr'!$A$1:$O$1310,14,FALSE)</f>
        <v>-</v>
      </c>
      <c r="BP284" s="202" t="str">
        <f>VLOOKUP($A284,'[3]allergenen 6nr'!$A$1:$O$1310,15,FALSE)</f>
        <v>-</v>
      </c>
    </row>
    <row r="285" spans="1:68" x14ac:dyDescent="0.2">
      <c r="A285" s="54">
        <v>63904100</v>
      </c>
      <c r="B285" s="53" t="str">
        <f>VLOOKUP($A285,[1]maaltijden!$A$1:$IV$65536,4,FALSE)</f>
        <v xml:space="preserve">VAT VLEESKROKET APPELCOM ROZIJN POM MIGNON     </v>
      </c>
      <c r="C285" s="46" t="str">
        <f>VLOOKUP($A285,[1]maaltijden!$A$1:$IV$65536,7,FALSE)</f>
        <v>C2227-3R</v>
      </c>
      <c r="D285" s="22" t="str">
        <f>VLOOKUP($A285,[1]maaltijden!$A$1:$IV$65536,10,FALSE)</f>
        <v>NVT</v>
      </c>
      <c r="E285" s="22" t="str">
        <f>VLOOKUP($A285,[1]maaltijden!$A$1:$IV$65536,13,FALSE)</f>
        <v xml:space="preserve">VAT X 6 </v>
      </c>
      <c r="F285" s="20">
        <f t="shared" si="4"/>
        <v>0</v>
      </c>
      <c r="G285" s="20" t="str">
        <f>VLOOKUP($A285,[1]maaltijden!$A$1:$IV$65536,27,FALSE)</f>
        <v>! ! !</v>
      </c>
      <c r="H285" s="22">
        <f>VLOOKUP($A285,[1]maaltijden!$A$1:$IV$65536,21,FALSE)</f>
        <v>7</v>
      </c>
      <c r="I285" s="22">
        <f>VLOOKUP($A285,[1]maaltijden!$A$1:$IV$65536,21,FALSE)</f>
        <v>7</v>
      </c>
      <c r="J285" s="22">
        <f>VLOOKUP($A285,[1]maaltijden!$A$1:$IV$65536,18,FALSE)</f>
        <v>3</v>
      </c>
      <c r="K285" s="22">
        <f>VLOOKUP($A285,[1]maaltijden!$A$1:$IV$65536,17,FALSE)</f>
        <v>1</v>
      </c>
      <c r="L285" s="22">
        <f>VLOOKUP($A285,[1]maaltijden!$A$1:$IV$65536,20,FALSE)</f>
        <v>2200</v>
      </c>
      <c r="M285" s="22">
        <f>VLOOKUP($A285,[1]maaltijden!$A$1:$IV$65536,22,FALSE)</f>
        <v>2000</v>
      </c>
      <c r="N285" s="135"/>
      <c r="O285" s="50"/>
      <c r="P285" s="19">
        <v>0</v>
      </c>
      <c r="Q285" s="20">
        <v>1</v>
      </c>
      <c r="R285" s="21">
        <v>0</v>
      </c>
      <c r="S285" s="19">
        <v>0</v>
      </c>
      <c r="T285" s="20">
        <v>1</v>
      </c>
      <c r="U285" s="19"/>
      <c r="V285" s="20"/>
      <c r="W285" s="20"/>
      <c r="X285" s="20"/>
      <c r="Y285" s="20"/>
      <c r="Z285" s="20"/>
      <c r="AA285" s="20"/>
      <c r="AB285" s="49"/>
      <c r="AC285" s="49"/>
      <c r="AD285" s="49"/>
      <c r="AE285" s="49"/>
      <c r="AF285" s="49"/>
      <c r="AG285" s="161">
        <v>0</v>
      </c>
      <c r="AH285" s="20"/>
      <c r="AI285" s="168">
        <v>1</v>
      </c>
      <c r="AJ285" s="20"/>
      <c r="AK285" s="20"/>
      <c r="AL285" s="21"/>
      <c r="AM285" s="19">
        <v>0</v>
      </c>
      <c r="AN285" s="20">
        <f>IFERROR(INDEX([2]lijnopstellingsfiche!$AP$1:$AP$65536,MATCH(A285,[2]lijnopstellingsfiche!$AQ$1:$AQ$65536,0)),"")</f>
        <v>1</v>
      </c>
      <c r="AO285" s="20">
        <v>0</v>
      </c>
      <c r="AP285" s="20">
        <v>0</v>
      </c>
      <c r="AQ285" s="20">
        <v>1</v>
      </c>
      <c r="AR285" s="20">
        <v>0</v>
      </c>
      <c r="AS285" s="20">
        <v>0</v>
      </c>
      <c r="AT285" s="20">
        <v>1</v>
      </c>
      <c r="AU285" s="20">
        <v>0</v>
      </c>
      <c r="AV285" s="23">
        <v>0</v>
      </c>
      <c r="AW285" s="108">
        <v>0</v>
      </c>
      <c r="AX285" s="108">
        <v>0</v>
      </c>
      <c r="AY285" s="108">
        <v>1</v>
      </c>
      <c r="AZ285" s="108">
        <v>0</v>
      </c>
      <c r="BA285" s="114">
        <v>1</v>
      </c>
      <c r="BB285" s="20">
        <v>0</v>
      </c>
      <c r="BC285" s="113">
        <v>0</v>
      </c>
      <c r="BD285" s="200" t="str">
        <f>VLOOKUP($A285,'[3]allergenen 6nr'!$A$1:$O$1310,3,FALSE)</f>
        <v>X</v>
      </c>
      <c r="BE285" s="201" t="str">
        <f>VLOOKUP($A285,'[3]allergenen 6nr'!$A$1:$O$1310,4,FALSE)</f>
        <v>-</v>
      </c>
      <c r="BF285" s="201" t="str">
        <f>VLOOKUP($A285,'[3]allergenen 6nr'!$A$1:$O$1310,5,FALSE)</f>
        <v>+</v>
      </c>
      <c r="BG285" s="201" t="str">
        <f>VLOOKUP($A285,'[3]allergenen 6nr'!$A$1:$O$1310,6,FALSE)</f>
        <v>-</v>
      </c>
      <c r="BH285" s="201" t="str">
        <f>VLOOKUP($A285,'[3]allergenen 6nr'!$A$1:$O$1310,7,FALSE)</f>
        <v>+</v>
      </c>
      <c r="BI285" s="201" t="str">
        <f>VLOOKUP($A285,'[3]allergenen 6nr'!$A$1:$O$1310,8,FALSE)</f>
        <v>-</v>
      </c>
      <c r="BJ285" s="201" t="str">
        <f>VLOOKUP($A285,'[3]allergenen 6nr'!$A$1:$O$1310,9,FALSE)</f>
        <v>-</v>
      </c>
      <c r="BK285" s="201" t="str">
        <f>VLOOKUP($A285,'[3]allergenen 6nr'!$A$1:$O$1310,10,FALSE)</f>
        <v>-</v>
      </c>
      <c r="BL285" s="201" t="str">
        <f>VLOOKUP($A285,'[3]allergenen 6nr'!$A$1:$O$1310,11,FALSE)</f>
        <v>-</v>
      </c>
      <c r="BM285" s="201" t="str">
        <f>VLOOKUP($A285,'[3]allergenen 6nr'!$A$1:$O$1310,12,FALSE)</f>
        <v>-</v>
      </c>
      <c r="BN285" s="201" t="str">
        <f>VLOOKUP($A285,'[3]allergenen 6nr'!$A$1:$O$1310,13,FALSE)</f>
        <v>-</v>
      </c>
      <c r="BO285" s="201" t="str">
        <f>VLOOKUP($A285,'[3]allergenen 6nr'!$A$1:$O$1310,14,FALSE)</f>
        <v>-</v>
      </c>
      <c r="BP285" s="202" t="str">
        <f>VLOOKUP($A285,'[3]allergenen 6nr'!$A$1:$O$1310,15,FALSE)</f>
        <v>-</v>
      </c>
    </row>
    <row r="286" spans="1:68" x14ac:dyDescent="0.2">
      <c r="A286" s="54">
        <v>63904400</v>
      </c>
      <c r="B286" s="53" t="str">
        <f>VLOOKUP($A286,[1]maaltijden!$A$1:$IV$65536,4,FALSE)</f>
        <v xml:space="preserve">VAT GEHAKTBAL HOH SATESAUS SPERZIEB. GEB. AARDAP.     </v>
      </c>
      <c r="C286" s="46" t="str">
        <f>VLOOKUP($A286,[1]maaltijden!$A$1:$IV$65536,7,FALSE)</f>
        <v>C2227-3R</v>
      </c>
      <c r="D286" s="22" t="str">
        <f>VLOOKUP($A286,[1]maaltijden!$A$1:$IV$65536,10,FALSE)</f>
        <v>NVT</v>
      </c>
      <c r="E286" s="22" t="str">
        <f>VLOOKUP($A286,[1]maaltijden!$A$1:$IV$65536,13,FALSE)</f>
        <v xml:space="preserve">VAT X 6 </v>
      </c>
      <c r="F286" s="20">
        <f t="shared" si="4"/>
        <v>0</v>
      </c>
      <c r="G286" s="20" t="str">
        <f>VLOOKUP($A286,[1]maaltijden!$A$1:$IV$65536,27,FALSE)</f>
        <v>X</v>
      </c>
      <c r="H286" s="22">
        <f>VLOOKUP($A286,[1]maaltijden!$A$1:$IV$65536,21,FALSE)</f>
        <v>5</v>
      </c>
      <c r="I286" s="22">
        <f>VLOOKUP($A286,[1]maaltijden!$A$1:$IV$65536,21,FALSE)</f>
        <v>5</v>
      </c>
      <c r="J286" s="22">
        <f>VLOOKUP($A286,[1]maaltijden!$A$1:$IV$65536,18,FALSE)</f>
        <v>3</v>
      </c>
      <c r="K286" s="22">
        <f>VLOOKUP($A286,[1]maaltijden!$A$1:$IV$65536,17,FALSE)</f>
        <v>2</v>
      </c>
      <c r="L286" s="22">
        <f>VLOOKUP($A286,[1]maaltijden!$A$1:$IV$65536,20,FALSE)</f>
        <v>2200</v>
      </c>
      <c r="M286" s="22">
        <f>VLOOKUP($A286,[1]maaltijden!$A$1:$IV$65536,22,FALSE)</f>
        <v>2200</v>
      </c>
      <c r="N286" s="135"/>
      <c r="O286" s="50"/>
      <c r="P286" s="19">
        <v>0</v>
      </c>
      <c r="Q286" s="20">
        <v>1</v>
      </c>
      <c r="R286" s="21">
        <v>0</v>
      </c>
      <c r="S286" s="19">
        <v>0</v>
      </c>
      <c r="T286" s="20">
        <v>1</v>
      </c>
      <c r="U286" s="19"/>
      <c r="V286" s="20"/>
      <c r="W286" s="20"/>
      <c r="X286" s="20"/>
      <c r="Y286" s="20"/>
      <c r="Z286" s="20"/>
      <c r="AA286" s="20"/>
      <c r="AB286" s="49"/>
      <c r="AC286" s="49"/>
      <c r="AD286" s="49"/>
      <c r="AE286" s="49"/>
      <c r="AF286" s="49"/>
      <c r="AG286" s="161">
        <v>0</v>
      </c>
      <c r="AH286" s="168">
        <v>1</v>
      </c>
      <c r="AI286" s="168">
        <v>1</v>
      </c>
      <c r="AJ286" s="20"/>
      <c r="AK286" s="20"/>
      <c r="AL286" s="21"/>
      <c r="AM286" s="19">
        <v>0</v>
      </c>
      <c r="AN286" s="20">
        <f>IFERROR(INDEX([2]lijnopstellingsfiche!$AP$1:$AP$65536,MATCH(A286,[2]lijnopstellingsfiche!$AQ$1:$AQ$65536,0)),"")</f>
        <v>1</v>
      </c>
      <c r="AO286" s="20">
        <v>0</v>
      </c>
      <c r="AP286" s="20">
        <v>0</v>
      </c>
      <c r="AQ286" s="20">
        <v>1</v>
      </c>
      <c r="AR286" s="20">
        <v>0</v>
      </c>
      <c r="AS286" s="20">
        <v>0</v>
      </c>
      <c r="AT286" s="20">
        <v>1</v>
      </c>
      <c r="AU286" s="20">
        <v>0</v>
      </c>
      <c r="AV286" s="23">
        <v>0</v>
      </c>
      <c r="AW286" s="108">
        <v>0</v>
      </c>
      <c r="AX286" s="108">
        <v>0</v>
      </c>
      <c r="AY286" s="108">
        <v>1</v>
      </c>
      <c r="AZ286" s="108">
        <v>0</v>
      </c>
      <c r="BA286" s="114">
        <v>1</v>
      </c>
      <c r="BB286" s="20">
        <v>0</v>
      </c>
      <c r="BC286" s="113">
        <v>0</v>
      </c>
      <c r="BD286" s="200" t="str">
        <f>VLOOKUP($A286,'[3]allergenen 6nr'!$A$1:$O$1310,3,FALSE)</f>
        <v>+</v>
      </c>
      <c r="BE286" s="201" t="str">
        <f>VLOOKUP($A286,'[3]allergenen 6nr'!$A$1:$O$1310,4,FALSE)</f>
        <v>X</v>
      </c>
      <c r="BF286" s="201" t="str">
        <f>VLOOKUP($A286,'[3]allergenen 6nr'!$A$1:$O$1310,5,FALSE)</f>
        <v>+</v>
      </c>
      <c r="BG286" s="201" t="str">
        <f>VLOOKUP($A286,'[3]allergenen 6nr'!$A$1:$O$1310,6,FALSE)</f>
        <v>-</v>
      </c>
      <c r="BH286" s="201" t="str">
        <f>VLOOKUP($A286,'[3]allergenen 6nr'!$A$1:$O$1310,7,FALSE)</f>
        <v>X</v>
      </c>
      <c r="BI286" s="201" t="str">
        <f>VLOOKUP($A286,'[3]allergenen 6nr'!$A$1:$O$1310,8,FALSE)</f>
        <v>X</v>
      </c>
      <c r="BJ286" s="201" t="str">
        <f>VLOOKUP($A286,'[3]allergenen 6nr'!$A$1:$O$1310,9,FALSE)</f>
        <v>-</v>
      </c>
      <c r="BK286" s="201" t="str">
        <f>VLOOKUP($A286,'[3]allergenen 6nr'!$A$1:$O$1310,10,FALSE)</f>
        <v>X</v>
      </c>
      <c r="BL286" s="201" t="str">
        <f>VLOOKUP($A286,'[3]allergenen 6nr'!$A$1:$O$1310,11,FALSE)</f>
        <v>X</v>
      </c>
      <c r="BM286" s="201" t="str">
        <f>VLOOKUP($A286,'[3]allergenen 6nr'!$A$1:$O$1310,12,FALSE)</f>
        <v>-</v>
      </c>
      <c r="BN286" s="201" t="str">
        <f>VLOOKUP($A286,'[3]allergenen 6nr'!$A$1:$O$1310,13,FALSE)</f>
        <v>+</v>
      </c>
      <c r="BO286" s="201" t="str">
        <f>VLOOKUP($A286,'[3]allergenen 6nr'!$A$1:$O$1310,14,FALSE)</f>
        <v>X</v>
      </c>
      <c r="BP286" s="202" t="str">
        <f>VLOOKUP($A286,'[3]allergenen 6nr'!$A$1:$O$1310,15,FALSE)</f>
        <v>X</v>
      </c>
    </row>
    <row r="287" spans="1:68" x14ac:dyDescent="0.2">
      <c r="A287" s="54">
        <v>63904600</v>
      </c>
      <c r="B287" s="53" t="str">
        <f>VLOOKUP($A287,[1]maaltijden!$A$1:$IV$65536,4,FALSE)</f>
        <v xml:space="preserve">VAT BOEUF BOURGUIGNON PARIJSE WORTEL AARDAP     </v>
      </c>
      <c r="C287" s="46" t="str">
        <f>VLOOKUP($A287,[1]maaltijden!$A$1:$IV$65536,7,FALSE)</f>
        <v>C2227-3R</v>
      </c>
      <c r="D287" s="22" t="str">
        <f>VLOOKUP($A287,[1]maaltijden!$A$1:$IV$65536,10,FALSE)</f>
        <v>NVT</v>
      </c>
      <c r="E287" s="22" t="str">
        <f>VLOOKUP($A287,[1]maaltijden!$A$1:$IV$65536,13,FALSE)</f>
        <v xml:space="preserve">VAT X 6 </v>
      </c>
      <c r="F287" s="20">
        <f t="shared" si="4"/>
        <v>0</v>
      </c>
      <c r="G287" s="20" t="str">
        <f>VLOOKUP($A287,[1]maaltijden!$A$1:$IV$65536,27,FALSE)</f>
        <v>-</v>
      </c>
      <c r="H287" s="22">
        <f>VLOOKUP($A287,[1]maaltijden!$A$1:$IV$65536,21,FALSE)</f>
        <v>5</v>
      </c>
      <c r="I287" s="22">
        <f>VLOOKUP($A287,[1]maaltijden!$A$1:$IV$65536,21,FALSE)</f>
        <v>5</v>
      </c>
      <c r="J287" s="22">
        <f>VLOOKUP($A287,[1]maaltijden!$A$1:$IV$65536,18,FALSE)</f>
        <v>3</v>
      </c>
      <c r="K287" s="22">
        <f>VLOOKUP($A287,[1]maaltijden!$A$1:$IV$65536,17,FALSE)</f>
        <v>2</v>
      </c>
      <c r="L287" s="22">
        <f>VLOOKUP($A287,[1]maaltijden!$A$1:$IV$65536,20,FALSE)</f>
        <v>2000</v>
      </c>
      <c r="M287" s="22">
        <f>VLOOKUP($A287,[1]maaltijden!$A$1:$IV$65536,22,FALSE)</f>
        <v>2000</v>
      </c>
      <c r="N287" s="135"/>
      <c r="O287" s="50"/>
      <c r="P287" s="19">
        <v>0</v>
      </c>
      <c r="Q287" s="20">
        <v>1</v>
      </c>
      <c r="R287" s="21">
        <v>0</v>
      </c>
      <c r="S287" s="19">
        <v>0</v>
      </c>
      <c r="T287" s="20">
        <v>1</v>
      </c>
      <c r="U287" s="19"/>
      <c r="V287" s="20"/>
      <c r="W287" s="20"/>
      <c r="X287" s="20"/>
      <c r="Y287" s="20"/>
      <c r="Z287" s="20"/>
      <c r="AA287" s="20"/>
      <c r="AB287" s="49"/>
      <c r="AC287" s="49"/>
      <c r="AD287" s="49"/>
      <c r="AE287" s="49"/>
      <c r="AF287" s="49"/>
      <c r="AG287" s="161">
        <v>0</v>
      </c>
      <c r="AH287" s="168">
        <v>1</v>
      </c>
      <c r="AI287" s="168">
        <v>1</v>
      </c>
      <c r="AJ287" s="20"/>
      <c r="AK287" s="20"/>
      <c r="AL287" s="21"/>
      <c r="AM287" s="19">
        <v>0</v>
      </c>
      <c r="AN287" s="20" t="str">
        <f>IFERROR(INDEX([2]lijnopstellingsfiche!$AP$1:$AP$65536,MATCH(A287,[2]lijnopstellingsfiche!$AQ$1:$AQ$65536,0)),"")</f>
        <v>-</v>
      </c>
      <c r="AO287" s="20">
        <v>0</v>
      </c>
      <c r="AP287" s="20">
        <v>0</v>
      </c>
      <c r="AQ287" s="20">
        <v>1</v>
      </c>
      <c r="AR287" s="20">
        <v>0</v>
      </c>
      <c r="AS287" s="20">
        <v>0</v>
      </c>
      <c r="AT287" s="20">
        <v>0</v>
      </c>
      <c r="AU287" s="20">
        <v>0</v>
      </c>
      <c r="AV287" s="23">
        <v>0</v>
      </c>
      <c r="AW287" s="108">
        <v>0</v>
      </c>
      <c r="AX287" s="108">
        <v>0</v>
      </c>
      <c r="AY287" s="108">
        <v>1</v>
      </c>
      <c r="AZ287" s="108">
        <v>0</v>
      </c>
      <c r="BA287" s="114">
        <v>1</v>
      </c>
      <c r="BB287" s="20">
        <v>0</v>
      </c>
      <c r="BC287" s="113">
        <v>0</v>
      </c>
      <c r="BD287" s="200" t="str">
        <f>VLOOKUP($A287,'[3]allergenen 6nr'!$A$1:$O$1310,3,FALSE)</f>
        <v>-</v>
      </c>
      <c r="BE287" s="201" t="str">
        <f>VLOOKUP($A287,'[3]allergenen 6nr'!$A$1:$O$1310,4,FALSE)</f>
        <v>X</v>
      </c>
      <c r="BF287" s="201" t="str">
        <f>VLOOKUP($A287,'[3]allergenen 6nr'!$A$1:$O$1310,5,FALSE)</f>
        <v>X</v>
      </c>
      <c r="BG287" s="201" t="str">
        <f>VLOOKUP($A287,'[3]allergenen 6nr'!$A$1:$O$1310,6,FALSE)</f>
        <v>-</v>
      </c>
      <c r="BH287" s="201" t="str">
        <f>VLOOKUP($A287,'[3]allergenen 6nr'!$A$1:$O$1310,7,FALSE)</f>
        <v>X</v>
      </c>
      <c r="BI287" s="201" t="str">
        <f>VLOOKUP($A287,'[3]allergenen 6nr'!$A$1:$O$1310,8,FALSE)</f>
        <v>X</v>
      </c>
      <c r="BJ287" s="201" t="str">
        <f>VLOOKUP($A287,'[3]allergenen 6nr'!$A$1:$O$1310,9,FALSE)</f>
        <v>-</v>
      </c>
      <c r="BK287" s="201" t="str">
        <f>VLOOKUP($A287,'[3]allergenen 6nr'!$A$1:$O$1310,10,FALSE)</f>
        <v>-</v>
      </c>
      <c r="BL287" s="201" t="str">
        <f>VLOOKUP($A287,'[3]allergenen 6nr'!$A$1:$O$1310,11,FALSE)</f>
        <v>-</v>
      </c>
      <c r="BM287" s="201" t="str">
        <f>VLOOKUP($A287,'[3]allergenen 6nr'!$A$1:$O$1310,12,FALSE)</f>
        <v>-</v>
      </c>
      <c r="BN287" s="201" t="str">
        <f>VLOOKUP($A287,'[3]allergenen 6nr'!$A$1:$O$1310,13,FALSE)</f>
        <v>X</v>
      </c>
      <c r="BO287" s="201" t="str">
        <f>VLOOKUP($A287,'[3]allergenen 6nr'!$A$1:$O$1310,14,FALSE)</f>
        <v>-</v>
      </c>
      <c r="BP287" s="202" t="str">
        <f>VLOOKUP($A287,'[3]allergenen 6nr'!$A$1:$O$1310,15,FALSE)</f>
        <v>-</v>
      </c>
    </row>
    <row r="288" spans="1:68" x14ac:dyDescent="0.2">
      <c r="A288" s="54">
        <v>63904800</v>
      </c>
      <c r="B288" s="53" t="str">
        <f>VLOOKUP($A288,[1]maaltijden!$A$1:$IV$65536,4,FALSE)</f>
        <v xml:space="preserve">VAT MEXIC. KIPSCHOTEL PAPRIKA ANANAS RIJST        </v>
      </c>
      <c r="C288" s="46" t="str">
        <f>VLOOKUP($A288,[1]maaltijden!$A$1:$IV$65536,7,FALSE)</f>
        <v>C2227-2K</v>
      </c>
      <c r="D288" s="22" t="str">
        <f>VLOOKUP($A288,[1]maaltijden!$A$1:$IV$65536,10,FALSE)</f>
        <v>NVT</v>
      </c>
      <c r="E288" s="22" t="str">
        <f>VLOOKUP($A288,[1]maaltijden!$A$1:$IV$65536,13,FALSE)</f>
        <v xml:space="preserve">VAT X 6 </v>
      </c>
      <c r="F288" s="20">
        <f t="shared" si="4"/>
        <v>0</v>
      </c>
      <c r="G288" s="20" t="str">
        <f>VLOOKUP($A288,[1]maaltijden!$A$1:$IV$65536,27,FALSE)</f>
        <v>! ! !</v>
      </c>
      <c r="H288" s="22">
        <f>VLOOKUP($A288,[1]maaltijden!$A$1:$IV$65536,21,FALSE)</f>
        <v>4</v>
      </c>
      <c r="I288" s="22">
        <f>VLOOKUP($A288,[1]maaltijden!$A$1:$IV$65536,21,FALSE)</f>
        <v>4</v>
      </c>
      <c r="J288" s="22">
        <f>VLOOKUP($A288,[1]maaltijden!$A$1:$IV$65536,18,FALSE)</f>
        <v>3</v>
      </c>
      <c r="K288" s="22">
        <f>VLOOKUP($A288,[1]maaltijden!$A$1:$IV$65536,17,FALSE)</f>
        <v>3</v>
      </c>
      <c r="L288" s="22">
        <f>VLOOKUP($A288,[1]maaltijden!$A$1:$IV$65536,20,FALSE)</f>
        <v>2200</v>
      </c>
      <c r="M288" s="22">
        <f>VLOOKUP($A288,[1]maaltijden!$A$1:$IV$65536,22,FALSE)</f>
        <v>2200</v>
      </c>
      <c r="N288" s="135"/>
      <c r="O288" s="50"/>
      <c r="P288" s="19">
        <v>0</v>
      </c>
      <c r="Q288" s="20">
        <v>1</v>
      </c>
      <c r="R288" s="21">
        <v>0</v>
      </c>
      <c r="S288" s="19">
        <v>0</v>
      </c>
      <c r="T288" s="20">
        <v>1</v>
      </c>
      <c r="U288" s="19"/>
      <c r="V288" s="20"/>
      <c r="W288" s="20"/>
      <c r="X288" s="20"/>
      <c r="Y288" s="20"/>
      <c r="Z288" s="20"/>
      <c r="AA288" s="20"/>
      <c r="AB288" s="49"/>
      <c r="AC288" s="49"/>
      <c r="AD288" s="49"/>
      <c r="AE288" s="49"/>
      <c r="AF288" s="49"/>
      <c r="AG288" s="161">
        <v>1</v>
      </c>
      <c r="AH288" s="168">
        <v>1</v>
      </c>
      <c r="AI288" s="20"/>
      <c r="AJ288" s="20"/>
      <c r="AK288" s="20"/>
      <c r="AL288" s="21"/>
      <c r="AM288" s="19">
        <v>0</v>
      </c>
      <c r="AN288" s="20">
        <f>IFERROR(INDEX([2]lijnopstellingsfiche!$AP$1:$AP$65536,MATCH(A288,[2]lijnopstellingsfiche!$AQ$1:$AQ$65536,0)),"")</f>
        <v>1</v>
      </c>
      <c r="AO288" s="20">
        <v>1</v>
      </c>
      <c r="AP288" s="20">
        <v>0</v>
      </c>
      <c r="AQ288" s="20">
        <v>1</v>
      </c>
      <c r="AR288" s="20">
        <v>0</v>
      </c>
      <c r="AS288" s="20">
        <v>0</v>
      </c>
      <c r="AT288" s="20">
        <v>1</v>
      </c>
      <c r="AU288" s="20">
        <v>0</v>
      </c>
      <c r="AV288" s="23">
        <v>0</v>
      </c>
      <c r="AW288" s="108">
        <v>0</v>
      </c>
      <c r="AX288" s="108">
        <v>0</v>
      </c>
      <c r="AY288" s="108">
        <v>1</v>
      </c>
      <c r="AZ288" s="108">
        <v>0</v>
      </c>
      <c r="BA288" s="114">
        <v>1</v>
      </c>
      <c r="BB288" s="20">
        <v>0</v>
      </c>
      <c r="BC288" s="113">
        <v>0</v>
      </c>
      <c r="BD288" s="200" t="str">
        <f>VLOOKUP($A288,'[3]allergenen 6nr'!$A$1:$O$1310,3,FALSE)</f>
        <v>-</v>
      </c>
      <c r="BE288" s="201" t="str">
        <f>VLOOKUP($A288,'[3]allergenen 6nr'!$A$1:$O$1310,4,FALSE)</f>
        <v>-</v>
      </c>
      <c r="BF288" s="201" t="str">
        <f>VLOOKUP($A288,'[3]allergenen 6nr'!$A$1:$O$1310,5,FALSE)</f>
        <v>-</v>
      </c>
      <c r="BG288" s="201" t="str">
        <f>VLOOKUP($A288,'[3]allergenen 6nr'!$A$1:$O$1310,6,FALSE)</f>
        <v>-</v>
      </c>
      <c r="BH288" s="201" t="str">
        <f>VLOOKUP($A288,'[3]allergenen 6nr'!$A$1:$O$1310,7,FALSE)</f>
        <v>-</v>
      </c>
      <c r="BI288" s="201" t="str">
        <f>VLOOKUP($A288,'[3]allergenen 6nr'!$A$1:$O$1310,8,FALSE)</f>
        <v>-</v>
      </c>
      <c r="BJ288" s="201" t="str">
        <f>VLOOKUP($A288,'[3]allergenen 6nr'!$A$1:$O$1310,9,FALSE)</f>
        <v>-</v>
      </c>
      <c r="BK288" s="201" t="str">
        <f>VLOOKUP($A288,'[3]allergenen 6nr'!$A$1:$O$1310,10,FALSE)</f>
        <v>-</v>
      </c>
      <c r="BL288" s="201" t="str">
        <f>VLOOKUP($A288,'[3]allergenen 6nr'!$A$1:$O$1310,11,FALSE)</f>
        <v>+</v>
      </c>
      <c r="BM288" s="201" t="str">
        <f>VLOOKUP($A288,'[3]allergenen 6nr'!$A$1:$O$1310,12,FALSE)</f>
        <v>-</v>
      </c>
      <c r="BN288" s="201" t="str">
        <f>VLOOKUP($A288,'[3]allergenen 6nr'!$A$1:$O$1310,13,FALSE)</f>
        <v>-</v>
      </c>
      <c r="BO288" s="201" t="str">
        <f>VLOOKUP($A288,'[3]allergenen 6nr'!$A$1:$O$1310,14,FALSE)</f>
        <v>-</v>
      </c>
      <c r="BP288" s="202" t="str">
        <f>VLOOKUP($A288,'[3]allergenen 6nr'!$A$1:$O$1310,15,FALSE)</f>
        <v>-</v>
      </c>
    </row>
    <row r="289" spans="1:68" x14ac:dyDescent="0.2">
      <c r="A289" s="54">
        <v>63904900</v>
      </c>
      <c r="B289" s="53" t="str">
        <f>VLOOKUP($A289,[1]maaltijden!$A$1:$IV$65536,4,FALSE)</f>
        <v xml:space="preserve">VAT VIERGROENTENSTAMPPOT MET EEN GEHAKTBAL HOH        </v>
      </c>
      <c r="C289" s="46" t="str">
        <f>VLOOKUP($A289,[1]maaltijden!$A$1:$IV$65536,7,FALSE)</f>
        <v>C2227-2K</v>
      </c>
      <c r="D289" s="22" t="str">
        <f>VLOOKUP($A289,[1]maaltijden!$A$1:$IV$65536,10,FALSE)</f>
        <v>NVT</v>
      </c>
      <c r="E289" s="22" t="str">
        <f>VLOOKUP($A289,[1]maaltijden!$A$1:$IV$65536,13,FALSE)</f>
        <v xml:space="preserve">VAT X 6 </v>
      </c>
      <c r="F289" s="20">
        <f t="shared" si="4"/>
        <v>0</v>
      </c>
      <c r="G289" s="20" t="str">
        <f>VLOOKUP($A289,[1]maaltijden!$A$1:$IV$65536,27,FALSE)</f>
        <v>! !</v>
      </c>
      <c r="H289" s="22">
        <f>VLOOKUP($A289,[1]maaltijden!$A$1:$IV$65536,21,FALSE)</f>
        <v>2</v>
      </c>
      <c r="I289" s="22">
        <f>VLOOKUP($A289,[1]maaltijden!$A$1:$IV$65536,21,FALSE)</f>
        <v>2</v>
      </c>
      <c r="J289" s="22">
        <f>VLOOKUP($A289,[1]maaltijden!$A$1:$IV$65536,18,FALSE)</f>
        <v>3</v>
      </c>
      <c r="K289" s="22">
        <f>VLOOKUP($A289,[1]maaltijden!$A$1:$IV$65536,17,FALSE)</f>
        <v>2.5</v>
      </c>
      <c r="L289" s="22">
        <f>VLOOKUP($A289,[1]maaltijden!$A$1:$IV$65536,20,FALSE)</f>
        <v>2200</v>
      </c>
      <c r="M289" s="22">
        <f>VLOOKUP($A289,[1]maaltijden!$A$1:$IV$65536,22,FALSE)</f>
        <v>2200</v>
      </c>
      <c r="N289" s="135"/>
      <c r="O289" s="50"/>
      <c r="P289" s="19">
        <v>0</v>
      </c>
      <c r="Q289" s="20">
        <v>1</v>
      </c>
      <c r="R289" s="21">
        <v>0</v>
      </c>
      <c r="S289" s="19">
        <v>0</v>
      </c>
      <c r="T289" s="20">
        <v>1</v>
      </c>
      <c r="U289" s="19"/>
      <c r="V289" s="20"/>
      <c r="W289" s="20"/>
      <c r="X289" s="20"/>
      <c r="Y289" s="20"/>
      <c r="Z289" s="20"/>
      <c r="AA289" s="20"/>
      <c r="AB289" s="49"/>
      <c r="AC289" s="49"/>
      <c r="AD289" s="49"/>
      <c r="AE289" s="49"/>
      <c r="AF289" s="49"/>
      <c r="AG289" s="161">
        <v>0</v>
      </c>
      <c r="AH289" s="170"/>
      <c r="AI289" s="20"/>
      <c r="AJ289" s="20"/>
      <c r="AK289" s="20"/>
      <c r="AL289" s="21"/>
      <c r="AM289" s="19">
        <v>0</v>
      </c>
      <c r="AN289" s="20" t="str">
        <f>IFERROR(INDEX([2]lijnopstellingsfiche!$AP$1:$AP$65536,MATCH(A289,[2]lijnopstellingsfiche!$AQ$1:$AQ$65536,0)),"")</f>
        <v>-</v>
      </c>
      <c r="AO289" s="20">
        <v>0</v>
      </c>
      <c r="AP289" s="20">
        <v>0</v>
      </c>
      <c r="AQ289" s="20">
        <v>1</v>
      </c>
      <c r="AR289" s="20">
        <v>1</v>
      </c>
      <c r="AS289" s="20">
        <v>0</v>
      </c>
      <c r="AT289" s="20">
        <v>0</v>
      </c>
      <c r="AU289" s="20">
        <v>0</v>
      </c>
      <c r="AV289" s="23">
        <v>0</v>
      </c>
      <c r="AW289" s="108">
        <v>0</v>
      </c>
      <c r="AX289" s="108">
        <v>0</v>
      </c>
      <c r="AY289" s="108">
        <v>1</v>
      </c>
      <c r="AZ289" s="108">
        <v>0</v>
      </c>
      <c r="BA289" s="114">
        <v>1</v>
      </c>
      <c r="BB289" s="20">
        <v>0</v>
      </c>
      <c r="BC289" s="113">
        <v>0</v>
      </c>
      <c r="BD289" s="200" t="str">
        <f>VLOOKUP($A289,'[3]allergenen 6nr'!$A$1:$O$1310,3,FALSE)</f>
        <v>-</v>
      </c>
      <c r="BE289" s="201" t="str">
        <f>VLOOKUP($A289,'[3]allergenen 6nr'!$A$1:$O$1310,4,FALSE)</f>
        <v>X</v>
      </c>
      <c r="BF289" s="201" t="str">
        <f>VLOOKUP($A289,'[3]allergenen 6nr'!$A$1:$O$1310,5,FALSE)</f>
        <v>+</v>
      </c>
      <c r="BG289" s="201" t="str">
        <f>VLOOKUP($A289,'[3]allergenen 6nr'!$A$1:$O$1310,6,FALSE)</f>
        <v>X</v>
      </c>
      <c r="BH289" s="201" t="str">
        <f>VLOOKUP($A289,'[3]allergenen 6nr'!$A$1:$O$1310,7,FALSE)</f>
        <v>+</v>
      </c>
      <c r="BI289" s="201" t="str">
        <f>VLOOKUP($A289,'[3]allergenen 6nr'!$A$1:$O$1310,8,FALSE)</f>
        <v>X</v>
      </c>
      <c r="BJ289" s="201" t="str">
        <f>VLOOKUP($A289,'[3]allergenen 6nr'!$A$1:$O$1310,9,FALSE)</f>
        <v>-</v>
      </c>
      <c r="BK289" s="201" t="str">
        <f>VLOOKUP($A289,'[3]allergenen 6nr'!$A$1:$O$1310,10,FALSE)</f>
        <v>X</v>
      </c>
      <c r="BL289" s="201" t="str">
        <f>VLOOKUP($A289,'[3]allergenen 6nr'!$A$1:$O$1310,11,FALSE)</f>
        <v>X</v>
      </c>
      <c r="BM289" s="201" t="str">
        <f>VLOOKUP($A289,'[3]allergenen 6nr'!$A$1:$O$1310,12,FALSE)</f>
        <v>-</v>
      </c>
      <c r="BN289" s="201" t="str">
        <f>VLOOKUP($A289,'[3]allergenen 6nr'!$A$1:$O$1310,13,FALSE)</f>
        <v>X</v>
      </c>
      <c r="BO289" s="201" t="str">
        <f>VLOOKUP($A289,'[3]allergenen 6nr'!$A$1:$O$1310,14,FALSE)</f>
        <v>X</v>
      </c>
      <c r="BP289" s="202" t="str">
        <f>VLOOKUP($A289,'[3]allergenen 6nr'!$A$1:$O$1310,15,FALSE)</f>
        <v>X</v>
      </c>
    </row>
    <row r="290" spans="1:68" x14ac:dyDescent="0.2">
      <c r="A290" s="54">
        <v>63905000</v>
      </c>
      <c r="B290" s="53" t="str">
        <f>VLOOKUP($A290,[1]maaltijden!$A$1:$IV$65536,4,FALSE)</f>
        <v xml:space="preserve">VAT HAMLAPJE TUINBOONTJES PUREE BIESL.     </v>
      </c>
      <c r="C290" s="46" t="str">
        <f>VLOOKUP($A290,[1]maaltijden!$A$1:$IV$65536,7,FALSE)</f>
        <v>C2227-3R</v>
      </c>
      <c r="D290" s="22" t="str">
        <f>VLOOKUP($A290,[1]maaltijden!$A$1:$IV$65536,10,FALSE)</f>
        <v>NVT</v>
      </c>
      <c r="E290" s="22" t="str">
        <f>VLOOKUP($A290,[1]maaltijden!$A$1:$IV$65536,13,FALSE)</f>
        <v xml:space="preserve">VAT X 6 </v>
      </c>
      <c r="F290" s="20">
        <f t="shared" si="4"/>
        <v>0</v>
      </c>
      <c r="G290" s="20" t="str">
        <f>VLOOKUP($A290,[1]maaltijden!$A$1:$IV$65536,27,FALSE)</f>
        <v>! !</v>
      </c>
      <c r="H290" s="22">
        <f>VLOOKUP($A290,[1]maaltijden!$A$1:$IV$65536,21,FALSE)</f>
        <v>5</v>
      </c>
      <c r="I290" s="22">
        <f>VLOOKUP($A290,[1]maaltijden!$A$1:$IV$65536,21,FALSE)</f>
        <v>5</v>
      </c>
      <c r="J290" s="22">
        <f>VLOOKUP($A290,[1]maaltijden!$A$1:$IV$65536,18,FALSE)</f>
        <v>3</v>
      </c>
      <c r="K290" s="22">
        <f>VLOOKUP($A290,[1]maaltijden!$A$1:$IV$65536,17,FALSE)</f>
        <v>2.5</v>
      </c>
      <c r="L290" s="22">
        <f>VLOOKUP($A290,[1]maaltijden!$A$1:$IV$65536,20,FALSE)</f>
        <v>2200</v>
      </c>
      <c r="M290" s="22">
        <f>VLOOKUP($A290,[1]maaltijden!$A$1:$IV$65536,22,FALSE)</f>
        <v>2200</v>
      </c>
      <c r="N290" s="135"/>
      <c r="O290" s="50"/>
      <c r="P290" s="19">
        <v>0</v>
      </c>
      <c r="Q290" s="20">
        <v>1</v>
      </c>
      <c r="R290" s="21">
        <v>0</v>
      </c>
      <c r="S290" s="19">
        <v>0</v>
      </c>
      <c r="T290" s="20">
        <v>1</v>
      </c>
      <c r="U290" s="19"/>
      <c r="V290" s="20"/>
      <c r="W290" s="20"/>
      <c r="X290" s="20"/>
      <c r="Y290" s="20"/>
      <c r="Z290" s="20"/>
      <c r="AA290" s="20"/>
      <c r="AB290" s="49"/>
      <c r="AC290" s="49"/>
      <c r="AD290" s="49"/>
      <c r="AE290" s="49"/>
      <c r="AF290" s="49"/>
      <c r="AG290" s="161">
        <v>0</v>
      </c>
      <c r="AH290" s="20"/>
      <c r="AI290" s="168">
        <v>1</v>
      </c>
      <c r="AJ290" s="20"/>
      <c r="AK290" s="20"/>
      <c r="AL290" s="21"/>
      <c r="AM290" s="19">
        <v>0</v>
      </c>
      <c r="AN290" s="20" t="str">
        <f>IFERROR(INDEX([2]lijnopstellingsfiche!$AP$1:$AP$65536,MATCH(A290,[2]lijnopstellingsfiche!$AQ$1:$AQ$65536,0)),"")</f>
        <v>-</v>
      </c>
      <c r="AO290" s="20">
        <v>0</v>
      </c>
      <c r="AP290" s="20">
        <v>0</v>
      </c>
      <c r="AQ290" s="20">
        <v>1</v>
      </c>
      <c r="AR290" s="20">
        <v>1</v>
      </c>
      <c r="AS290" s="20">
        <v>0</v>
      </c>
      <c r="AT290" s="20">
        <v>0</v>
      </c>
      <c r="AU290" s="20">
        <v>0</v>
      </c>
      <c r="AV290" s="23">
        <v>0</v>
      </c>
      <c r="AW290" s="108">
        <v>0</v>
      </c>
      <c r="AX290" s="108">
        <v>0</v>
      </c>
      <c r="AY290" s="108">
        <v>1</v>
      </c>
      <c r="AZ290" s="108">
        <v>0</v>
      </c>
      <c r="BA290" s="114">
        <v>1</v>
      </c>
      <c r="BB290" s="20">
        <v>0</v>
      </c>
      <c r="BC290" s="113">
        <v>0</v>
      </c>
      <c r="BD290" s="200" t="str">
        <f>VLOOKUP($A290,'[3]allergenen 6nr'!$A$1:$O$1310,3,FALSE)</f>
        <v>-</v>
      </c>
      <c r="BE290" s="201" t="str">
        <f>VLOOKUP($A290,'[3]allergenen 6nr'!$A$1:$O$1310,4,FALSE)</f>
        <v>+</v>
      </c>
      <c r="BF290" s="201" t="str">
        <f>VLOOKUP($A290,'[3]allergenen 6nr'!$A$1:$O$1310,5,FALSE)</f>
        <v>+</v>
      </c>
      <c r="BG290" s="201" t="str">
        <f>VLOOKUP($A290,'[3]allergenen 6nr'!$A$1:$O$1310,6,FALSE)</f>
        <v>X</v>
      </c>
      <c r="BH290" s="201" t="str">
        <f>VLOOKUP($A290,'[3]allergenen 6nr'!$A$1:$O$1310,7,FALSE)</f>
        <v>+</v>
      </c>
      <c r="BI290" s="201" t="str">
        <f>VLOOKUP($A290,'[3]allergenen 6nr'!$A$1:$O$1310,8,FALSE)</f>
        <v>X</v>
      </c>
      <c r="BJ290" s="201" t="str">
        <f>VLOOKUP($A290,'[3]allergenen 6nr'!$A$1:$O$1310,9,FALSE)</f>
        <v>-</v>
      </c>
      <c r="BK290" s="201" t="str">
        <f>VLOOKUP($A290,'[3]allergenen 6nr'!$A$1:$O$1310,10,FALSE)</f>
        <v>-</v>
      </c>
      <c r="BL290" s="201" t="str">
        <f>VLOOKUP($A290,'[3]allergenen 6nr'!$A$1:$O$1310,11,FALSE)</f>
        <v>X</v>
      </c>
      <c r="BM290" s="201" t="str">
        <f>VLOOKUP($A290,'[3]allergenen 6nr'!$A$1:$O$1310,12,FALSE)</f>
        <v>-</v>
      </c>
      <c r="BN290" s="201" t="str">
        <f>VLOOKUP($A290,'[3]allergenen 6nr'!$A$1:$O$1310,13,FALSE)</f>
        <v>X</v>
      </c>
      <c r="BO290" s="201" t="str">
        <f>VLOOKUP($A290,'[3]allergenen 6nr'!$A$1:$O$1310,14,FALSE)</f>
        <v>-</v>
      </c>
      <c r="BP290" s="202" t="str">
        <f>VLOOKUP($A290,'[3]allergenen 6nr'!$A$1:$O$1310,15,FALSE)</f>
        <v>-</v>
      </c>
    </row>
    <row r="291" spans="1:68" x14ac:dyDescent="0.2">
      <c r="A291" s="54">
        <v>63905100</v>
      </c>
      <c r="B291" s="53" t="str">
        <f>VLOOKUP($A291,[1]maaltijden!$A$1:$IV$65536,4,FALSE)</f>
        <v xml:space="preserve">VAT LEKKERBEKJE DOPERWT WORTEL AARD KUBUS GEKRUID     </v>
      </c>
      <c r="C291" s="46" t="str">
        <f>VLOOKUP($A291,[1]maaltijden!$A$1:$IV$65536,7,FALSE)</f>
        <v xml:space="preserve">C2227-1H </v>
      </c>
      <c r="D291" s="22" t="str">
        <f>VLOOKUP($A291,[1]maaltijden!$A$1:$IV$65536,10,FALSE)</f>
        <v>NVT</v>
      </c>
      <c r="E291" s="22" t="str">
        <f>VLOOKUP($A291,[1]maaltijden!$A$1:$IV$65536,13,FALSE)</f>
        <v xml:space="preserve">VAT X 6 </v>
      </c>
      <c r="F291" s="20">
        <f t="shared" si="4"/>
        <v>0</v>
      </c>
      <c r="G291" s="20" t="str">
        <f>VLOOKUP($A291,[1]maaltijden!$A$1:$IV$65536,27,FALSE)</f>
        <v>! ! ! !</v>
      </c>
      <c r="H291" s="22">
        <f>VLOOKUP($A291,[1]maaltijden!$A$1:$IV$65536,21,FALSE)</f>
        <v>5</v>
      </c>
      <c r="I291" s="22">
        <f>VLOOKUP($A291,[1]maaltijden!$A$1:$IV$65536,21,FALSE)</f>
        <v>5</v>
      </c>
      <c r="J291" s="22">
        <f>VLOOKUP($A291,[1]maaltijden!$A$1:$IV$65536,18,FALSE)</f>
        <v>3</v>
      </c>
      <c r="K291" s="22">
        <f>VLOOKUP($A291,[1]maaltijden!$A$1:$IV$65536,17,FALSE)</f>
        <v>1</v>
      </c>
      <c r="L291" s="22">
        <f>VLOOKUP($A291,[1]maaltijden!$A$1:$IV$65536,20,FALSE)</f>
        <v>2200</v>
      </c>
      <c r="M291" s="22">
        <f>VLOOKUP($A291,[1]maaltijden!$A$1:$IV$65536,22,FALSE)</f>
        <v>2200</v>
      </c>
      <c r="N291" s="135"/>
      <c r="O291" s="50"/>
      <c r="P291" s="19">
        <v>0</v>
      </c>
      <c r="Q291" s="20">
        <v>1</v>
      </c>
      <c r="R291" s="21">
        <v>0</v>
      </c>
      <c r="S291" s="19">
        <v>0</v>
      </c>
      <c r="T291" s="20">
        <v>1</v>
      </c>
      <c r="U291" s="19"/>
      <c r="V291" s="20"/>
      <c r="W291" s="20"/>
      <c r="X291" s="20"/>
      <c r="Y291" s="20"/>
      <c r="Z291" s="20"/>
      <c r="AA291" s="20"/>
      <c r="AB291" s="49"/>
      <c r="AC291" s="49"/>
      <c r="AD291" s="49"/>
      <c r="AE291" s="49"/>
      <c r="AF291" s="49"/>
      <c r="AG291" s="19">
        <v>0</v>
      </c>
      <c r="AH291" s="168">
        <v>1</v>
      </c>
      <c r="AI291" s="20"/>
      <c r="AJ291" s="20"/>
      <c r="AK291" s="20"/>
      <c r="AL291" s="21"/>
      <c r="AM291" s="19">
        <v>0</v>
      </c>
      <c r="AN291" s="20">
        <f>IFERROR(INDEX([2]lijnopstellingsfiche!$AP$1:$AP$65536,MATCH(A291,[2]lijnopstellingsfiche!$AQ$1:$AQ$65536,0)),"")</f>
        <v>1</v>
      </c>
      <c r="AO291" s="20">
        <v>1</v>
      </c>
      <c r="AP291" s="20">
        <v>0</v>
      </c>
      <c r="AQ291" s="20">
        <v>0</v>
      </c>
      <c r="AR291" s="20">
        <v>0</v>
      </c>
      <c r="AS291" s="20">
        <v>0</v>
      </c>
      <c r="AT291" s="20">
        <v>1</v>
      </c>
      <c r="AU291" s="20">
        <v>0</v>
      </c>
      <c r="AV291" s="23">
        <v>0</v>
      </c>
      <c r="AW291" s="108">
        <v>0</v>
      </c>
      <c r="AX291" s="108">
        <v>0</v>
      </c>
      <c r="AY291" s="108">
        <v>1</v>
      </c>
      <c r="AZ291" s="108">
        <v>0</v>
      </c>
      <c r="BA291" s="114">
        <v>1</v>
      </c>
      <c r="BB291" s="20">
        <v>0</v>
      </c>
      <c r="BC291" s="113">
        <v>0</v>
      </c>
      <c r="BD291" s="200" t="str">
        <f>VLOOKUP($A291,'[3]allergenen 6nr'!$A$1:$O$1310,3,FALSE)</f>
        <v>-</v>
      </c>
      <c r="BE291" s="201" t="str">
        <f>VLOOKUP($A291,'[3]allergenen 6nr'!$A$1:$O$1310,4,FALSE)</f>
        <v>-</v>
      </c>
      <c r="BF291" s="201" t="str">
        <f>VLOOKUP($A291,'[3]allergenen 6nr'!$A$1:$O$1310,5,FALSE)</f>
        <v>+</v>
      </c>
      <c r="BG291" s="201" t="str">
        <f>VLOOKUP($A291,'[3]allergenen 6nr'!$A$1:$O$1310,6,FALSE)</f>
        <v>-</v>
      </c>
      <c r="BH291" s="201" t="str">
        <f>VLOOKUP($A291,'[3]allergenen 6nr'!$A$1:$O$1310,7,FALSE)</f>
        <v>-</v>
      </c>
      <c r="BI291" s="201" t="str">
        <f>VLOOKUP($A291,'[3]allergenen 6nr'!$A$1:$O$1310,8,FALSE)</f>
        <v>-</v>
      </c>
      <c r="BJ291" s="201" t="str">
        <f>VLOOKUP($A291,'[3]allergenen 6nr'!$A$1:$O$1310,9,FALSE)</f>
        <v>-</v>
      </c>
      <c r="BK291" s="201" t="str">
        <f>VLOOKUP($A291,'[3]allergenen 6nr'!$A$1:$O$1310,10,FALSE)</f>
        <v>-</v>
      </c>
      <c r="BL291" s="201" t="str">
        <f>VLOOKUP($A291,'[3]allergenen 6nr'!$A$1:$O$1310,11,FALSE)</f>
        <v>-</v>
      </c>
      <c r="BM291" s="201" t="str">
        <f>VLOOKUP($A291,'[3]allergenen 6nr'!$A$1:$O$1310,12,FALSE)</f>
        <v>-</v>
      </c>
      <c r="BN291" s="201" t="str">
        <f>VLOOKUP($A291,'[3]allergenen 6nr'!$A$1:$O$1310,13,FALSE)</f>
        <v>-</v>
      </c>
      <c r="BO291" s="201" t="str">
        <f>VLOOKUP($A291,'[3]allergenen 6nr'!$A$1:$O$1310,14,FALSE)</f>
        <v>+</v>
      </c>
      <c r="BP291" s="202" t="str">
        <f>VLOOKUP($A291,'[3]allergenen 6nr'!$A$1:$O$1310,15,FALSE)</f>
        <v>-</v>
      </c>
    </row>
    <row r="292" spans="1:68" x14ac:dyDescent="0.2">
      <c r="A292" s="54">
        <v>63905200</v>
      </c>
      <c r="B292" s="53" t="str">
        <f>VLOOKUP($A292,[1]maaltijden!$A$1:$IV$65536,4,FALSE)</f>
        <v xml:space="preserve">VAT CHILI CON CARNE MET GEHAKT EN RIJST           </v>
      </c>
      <c r="C292" s="46" t="str">
        <f>VLOOKUP($A292,[1]maaltijden!$A$1:$IV$65536,7,FALSE)</f>
        <v>C2227-2K</v>
      </c>
      <c r="D292" s="22" t="str">
        <f>VLOOKUP($A292,[1]maaltijden!$A$1:$IV$65536,10,FALSE)</f>
        <v>NVT</v>
      </c>
      <c r="E292" s="22" t="str">
        <f>VLOOKUP($A292,[1]maaltijden!$A$1:$IV$65536,13,FALSE)</f>
        <v xml:space="preserve">VAT X 6 </v>
      </c>
      <c r="F292" s="20">
        <f t="shared" si="4"/>
        <v>0</v>
      </c>
      <c r="G292" s="20" t="str">
        <f>VLOOKUP($A292,[1]maaltijden!$A$1:$IV$65536,27,FALSE)</f>
        <v>! ! !</v>
      </c>
      <c r="H292" s="22">
        <f>VLOOKUP($A292,[1]maaltijden!$A$1:$IV$65536,21,FALSE)</f>
        <v>3</v>
      </c>
      <c r="I292" s="22">
        <f>VLOOKUP($A292,[1]maaltijden!$A$1:$IV$65536,21,FALSE)</f>
        <v>3</v>
      </c>
      <c r="J292" s="22">
        <f>VLOOKUP($A292,[1]maaltijden!$A$1:$IV$65536,18,FALSE)</f>
        <v>3</v>
      </c>
      <c r="K292" s="22">
        <f>VLOOKUP($A292,[1]maaltijden!$A$1:$IV$65536,17,FALSE)</f>
        <v>3</v>
      </c>
      <c r="L292" s="22">
        <f>VLOOKUP($A292,[1]maaltijden!$A$1:$IV$65536,20,FALSE)</f>
        <v>2200</v>
      </c>
      <c r="M292" s="22">
        <f>VLOOKUP($A292,[1]maaltijden!$A$1:$IV$65536,22,FALSE)</f>
        <v>2200</v>
      </c>
      <c r="N292" s="135"/>
      <c r="O292" s="50"/>
      <c r="P292" s="19">
        <v>0</v>
      </c>
      <c r="Q292" s="20">
        <v>1</v>
      </c>
      <c r="R292" s="21">
        <v>0</v>
      </c>
      <c r="S292" s="19">
        <v>0</v>
      </c>
      <c r="T292" s="20">
        <v>1</v>
      </c>
      <c r="U292" s="19"/>
      <c r="V292" s="20"/>
      <c r="W292" s="20"/>
      <c r="X292" s="20"/>
      <c r="Y292" s="20"/>
      <c r="Z292" s="20"/>
      <c r="AA292" s="20"/>
      <c r="AB292" s="49"/>
      <c r="AC292" s="49"/>
      <c r="AD292" s="49"/>
      <c r="AE292" s="49"/>
      <c r="AF292" s="49"/>
      <c r="AG292" s="19">
        <v>1</v>
      </c>
      <c r="AH292" s="168">
        <v>3</v>
      </c>
      <c r="AI292" s="168">
        <v>1</v>
      </c>
      <c r="AJ292" s="20"/>
      <c r="AK292" s="20"/>
      <c r="AL292" s="21"/>
      <c r="AM292" s="19">
        <v>0</v>
      </c>
      <c r="AN292" s="20">
        <f>IFERROR(INDEX([2]lijnopstellingsfiche!$AP$1:$AP$65536,MATCH(A292,[2]lijnopstellingsfiche!$AQ$1:$AQ$65536,0)),"")</f>
        <v>1</v>
      </c>
      <c r="AO292" s="20">
        <v>1</v>
      </c>
      <c r="AP292" s="20">
        <v>0</v>
      </c>
      <c r="AQ292" s="20">
        <v>1</v>
      </c>
      <c r="AR292" s="20">
        <v>0</v>
      </c>
      <c r="AS292" s="20">
        <v>0</v>
      </c>
      <c r="AT292" s="20">
        <v>0</v>
      </c>
      <c r="AU292" s="20">
        <v>0</v>
      </c>
      <c r="AV292" s="23">
        <v>0</v>
      </c>
      <c r="AW292" s="108">
        <v>0</v>
      </c>
      <c r="AX292" s="108">
        <v>0</v>
      </c>
      <c r="AY292" s="108">
        <v>1</v>
      </c>
      <c r="AZ292" s="108">
        <v>0</v>
      </c>
      <c r="BA292" s="114">
        <v>1</v>
      </c>
      <c r="BB292" s="20">
        <v>0</v>
      </c>
      <c r="BC292" s="113">
        <v>0</v>
      </c>
      <c r="BD292" s="200" t="str">
        <f>VLOOKUP($A292,'[3]allergenen 6nr'!$A$1:$O$1310,3,FALSE)</f>
        <v>-</v>
      </c>
      <c r="BE292" s="201" t="str">
        <f>VLOOKUP($A292,'[3]allergenen 6nr'!$A$1:$O$1310,4,FALSE)</f>
        <v>-</v>
      </c>
      <c r="BF292" s="201" t="str">
        <f>VLOOKUP($A292,'[3]allergenen 6nr'!$A$1:$O$1310,5,FALSE)</f>
        <v>-</v>
      </c>
      <c r="BG292" s="201" t="str">
        <f>VLOOKUP($A292,'[3]allergenen 6nr'!$A$1:$O$1310,6,FALSE)</f>
        <v>-</v>
      </c>
      <c r="BH292" s="201" t="str">
        <f>VLOOKUP($A292,'[3]allergenen 6nr'!$A$1:$O$1310,7,FALSE)</f>
        <v>-</v>
      </c>
      <c r="BI292" s="201" t="str">
        <f>VLOOKUP($A292,'[3]allergenen 6nr'!$A$1:$O$1310,8,FALSE)</f>
        <v>-</v>
      </c>
      <c r="BJ292" s="201" t="str">
        <f>VLOOKUP($A292,'[3]allergenen 6nr'!$A$1:$O$1310,9,FALSE)</f>
        <v>-</v>
      </c>
      <c r="BK292" s="201" t="str">
        <f>VLOOKUP($A292,'[3]allergenen 6nr'!$A$1:$O$1310,10,FALSE)</f>
        <v>-</v>
      </c>
      <c r="BL292" s="201" t="str">
        <f>VLOOKUP($A292,'[3]allergenen 6nr'!$A$1:$O$1310,11,FALSE)</f>
        <v>+</v>
      </c>
      <c r="BM292" s="201" t="str">
        <f>VLOOKUP($A292,'[3]allergenen 6nr'!$A$1:$O$1310,12,FALSE)</f>
        <v>-</v>
      </c>
      <c r="BN292" s="201" t="str">
        <f>VLOOKUP($A292,'[3]allergenen 6nr'!$A$1:$O$1310,13,FALSE)</f>
        <v>-</v>
      </c>
      <c r="BO292" s="201" t="str">
        <f>VLOOKUP($A292,'[3]allergenen 6nr'!$A$1:$O$1310,14,FALSE)</f>
        <v>-</v>
      </c>
      <c r="BP292" s="202" t="str">
        <f>VLOOKUP($A292,'[3]allergenen 6nr'!$A$1:$O$1310,15,FALSE)</f>
        <v>-</v>
      </c>
    </row>
    <row r="293" spans="1:68" x14ac:dyDescent="0.2">
      <c r="A293" s="54">
        <v>63905300</v>
      </c>
      <c r="B293" s="53" t="str">
        <f>VLOOKUP($A293,[1]maaltijden!$A$1:$IV$65536,4,FALSE)</f>
        <v xml:space="preserve">VAT GEHAKTSCHOTEL PREI A LA CREME PUREE KAASGRATIN  </v>
      </c>
      <c r="C293" s="46" t="str">
        <f>VLOOKUP($A293,[1]maaltijden!$A$1:$IV$65536,7,FALSE)</f>
        <v>C2227-2K</v>
      </c>
      <c r="D293" s="22" t="str">
        <f>VLOOKUP($A293,[1]maaltijden!$A$1:$IV$65536,10,FALSE)</f>
        <v>NVT</v>
      </c>
      <c r="E293" s="22" t="str">
        <f>VLOOKUP($A293,[1]maaltijden!$A$1:$IV$65536,13,FALSE)</f>
        <v xml:space="preserve">VAT X 6 </v>
      </c>
      <c r="F293" s="20">
        <f t="shared" si="4"/>
        <v>0</v>
      </c>
      <c r="G293" s="20" t="str">
        <f>VLOOKUP($A293,[1]maaltijden!$A$1:$IV$65536,27,FALSE)</f>
        <v>! ! !</v>
      </c>
      <c r="H293" s="22">
        <f>VLOOKUP($A293,[1]maaltijden!$A$1:$IV$65536,21,FALSE)</f>
        <v>2</v>
      </c>
      <c r="I293" s="22">
        <f>VLOOKUP($A293,[1]maaltijden!$A$1:$IV$65536,21,FALSE)</f>
        <v>2</v>
      </c>
      <c r="J293" s="22">
        <f>VLOOKUP($A293,[1]maaltijden!$A$1:$IV$65536,18,FALSE)</f>
        <v>3</v>
      </c>
      <c r="K293" s="22">
        <f>VLOOKUP($A293,[1]maaltijden!$A$1:$IV$65536,17,FALSE)</f>
        <v>3</v>
      </c>
      <c r="L293" s="22">
        <f>VLOOKUP($A293,[1]maaltijden!$A$1:$IV$65536,20,FALSE)</f>
        <v>2200</v>
      </c>
      <c r="M293" s="22">
        <f>VLOOKUP($A293,[1]maaltijden!$A$1:$IV$65536,22,FALSE)</f>
        <v>2200</v>
      </c>
      <c r="N293" s="135"/>
      <c r="O293" s="50"/>
      <c r="P293" s="19">
        <v>0</v>
      </c>
      <c r="Q293" s="20">
        <v>1</v>
      </c>
      <c r="R293" s="21">
        <v>0</v>
      </c>
      <c r="S293" s="19">
        <v>0</v>
      </c>
      <c r="T293" s="20">
        <v>1</v>
      </c>
      <c r="U293" s="19"/>
      <c r="V293" s="20"/>
      <c r="W293" s="20"/>
      <c r="X293" s="20"/>
      <c r="Y293" s="20"/>
      <c r="Z293" s="20"/>
      <c r="AA293" s="20"/>
      <c r="AB293" s="49"/>
      <c r="AC293" s="49"/>
      <c r="AD293" s="49"/>
      <c r="AE293" s="49"/>
      <c r="AF293" s="49"/>
      <c r="AG293" s="161">
        <v>0</v>
      </c>
      <c r="AH293" s="168">
        <v>2</v>
      </c>
      <c r="AI293" s="168">
        <v>1</v>
      </c>
      <c r="AJ293" s="20"/>
      <c r="AK293" s="20"/>
      <c r="AL293" s="21"/>
      <c r="AM293" s="19">
        <v>0</v>
      </c>
      <c r="AN293" s="20" t="str">
        <f>IFERROR(INDEX([2]lijnopstellingsfiche!$AP$1:$AP$65536,MATCH(A293,[2]lijnopstellingsfiche!$AQ$1:$AQ$65536,0)),"")</f>
        <v>-</v>
      </c>
      <c r="AO293" s="20">
        <v>0</v>
      </c>
      <c r="AP293" s="20">
        <v>0</v>
      </c>
      <c r="AQ293" s="20">
        <v>2</v>
      </c>
      <c r="AR293" s="20">
        <v>1</v>
      </c>
      <c r="AS293" s="20">
        <v>0</v>
      </c>
      <c r="AT293" s="20">
        <v>0</v>
      </c>
      <c r="AU293" s="20">
        <v>0</v>
      </c>
      <c r="AV293" s="23">
        <v>0</v>
      </c>
      <c r="AW293" s="108">
        <v>0</v>
      </c>
      <c r="AX293" s="108">
        <v>0</v>
      </c>
      <c r="AY293" s="108">
        <v>1</v>
      </c>
      <c r="AZ293" s="108">
        <v>0</v>
      </c>
      <c r="BA293" s="114">
        <v>1</v>
      </c>
      <c r="BB293" s="20">
        <v>0</v>
      </c>
      <c r="BC293" s="113">
        <v>0</v>
      </c>
      <c r="BD293" s="200" t="str">
        <f>VLOOKUP($A293,'[3]allergenen 6nr'!$A$1:$O$1310,3,FALSE)</f>
        <v>-</v>
      </c>
      <c r="BE293" s="201" t="str">
        <f>VLOOKUP($A293,'[3]allergenen 6nr'!$A$1:$O$1310,4,FALSE)</f>
        <v>+</v>
      </c>
      <c r="BF293" s="201" t="str">
        <f>VLOOKUP($A293,'[3]allergenen 6nr'!$A$1:$O$1310,5,FALSE)</f>
        <v>-</v>
      </c>
      <c r="BG293" s="201" t="str">
        <f>VLOOKUP($A293,'[3]allergenen 6nr'!$A$1:$O$1310,6,FALSE)</f>
        <v>-</v>
      </c>
      <c r="BH293" s="201" t="str">
        <f>VLOOKUP($A293,'[3]allergenen 6nr'!$A$1:$O$1310,7,FALSE)</f>
        <v>+</v>
      </c>
      <c r="BI293" s="201" t="str">
        <f>VLOOKUP($A293,'[3]allergenen 6nr'!$A$1:$O$1310,8,FALSE)</f>
        <v>-</v>
      </c>
      <c r="BJ293" s="201" t="str">
        <f>VLOOKUP($A293,'[3]allergenen 6nr'!$A$1:$O$1310,9,FALSE)</f>
        <v>-</v>
      </c>
      <c r="BK293" s="201" t="str">
        <f>VLOOKUP($A293,'[3]allergenen 6nr'!$A$1:$O$1310,10,FALSE)</f>
        <v>-</v>
      </c>
      <c r="BL293" s="201" t="str">
        <f>VLOOKUP($A293,'[3]allergenen 6nr'!$A$1:$O$1310,11,FALSE)</f>
        <v>+</v>
      </c>
      <c r="BM293" s="201" t="str">
        <f>VLOOKUP($A293,'[3]allergenen 6nr'!$A$1:$O$1310,12,FALSE)</f>
        <v>-</v>
      </c>
      <c r="BN293" s="201" t="str">
        <f>VLOOKUP($A293,'[3]allergenen 6nr'!$A$1:$O$1310,13,FALSE)</f>
        <v>-</v>
      </c>
      <c r="BO293" s="201" t="str">
        <f>VLOOKUP($A293,'[3]allergenen 6nr'!$A$1:$O$1310,14,FALSE)</f>
        <v>-</v>
      </c>
      <c r="BP293" s="202" t="str">
        <f>VLOOKUP($A293,'[3]allergenen 6nr'!$A$1:$O$1310,15,FALSE)</f>
        <v>-</v>
      </c>
    </row>
    <row r="294" spans="1:68" x14ac:dyDescent="0.2">
      <c r="A294" s="54">
        <v>63905500</v>
      </c>
      <c r="B294" s="53" t="str">
        <f>VLOOKUP($A294,[1]maaltijden!$A$1:$IV$65536,4,FALSE)</f>
        <v xml:space="preserve">VAT KIP ROZEMARIJN BROCCOLI EN AARDAPPELPUREE    </v>
      </c>
      <c r="C294" s="46" t="str">
        <f>VLOOKUP($A294,[1]maaltijden!$A$1:$IV$65536,7,FALSE)</f>
        <v>C2227-2K</v>
      </c>
      <c r="D294" s="22" t="str">
        <f>VLOOKUP($A294,[1]maaltijden!$A$1:$IV$65536,10,FALSE)</f>
        <v>NVT</v>
      </c>
      <c r="E294" s="22" t="str">
        <f>VLOOKUP($A294,[1]maaltijden!$A$1:$IV$65536,13,FALSE)</f>
        <v xml:space="preserve">VAT X 6 </v>
      </c>
      <c r="F294" s="20">
        <f t="shared" si="4"/>
        <v>0</v>
      </c>
      <c r="G294" s="20" t="str">
        <f>VLOOKUP($A294,[1]maaltijden!$A$1:$IV$65536,27,FALSE)</f>
        <v>! ! !</v>
      </c>
      <c r="H294" s="22">
        <f>VLOOKUP($A294,[1]maaltijden!$A$1:$IV$65536,21,FALSE)</f>
        <v>4</v>
      </c>
      <c r="I294" s="22">
        <f>VLOOKUP($A294,[1]maaltijden!$A$1:$IV$65536,21,FALSE)</f>
        <v>4</v>
      </c>
      <c r="J294" s="22">
        <f>VLOOKUP($A294,[1]maaltijden!$A$1:$IV$65536,18,FALSE)</f>
        <v>3</v>
      </c>
      <c r="K294" s="22">
        <f>VLOOKUP($A294,[1]maaltijden!$A$1:$IV$65536,17,FALSE)</f>
        <v>3</v>
      </c>
      <c r="L294" s="22">
        <f>VLOOKUP($A294,[1]maaltijden!$A$1:$IV$65536,20,FALSE)</f>
        <v>2200</v>
      </c>
      <c r="M294" s="22">
        <f>VLOOKUP($A294,[1]maaltijden!$A$1:$IV$65536,22,FALSE)</f>
        <v>2200</v>
      </c>
      <c r="N294" s="135"/>
      <c r="O294" s="50"/>
      <c r="P294" s="19">
        <v>0</v>
      </c>
      <c r="Q294" s="20">
        <v>1</v>
      </c>
      <c r="R294" s="21">
        <v>0</v>
      </c>
      <c r="S294" s="19">
        <v>0</v>
      </c>
      <c r="T294" s="20">
        <v>1</v>
      </c>
      <c r="U294" s="19"/>
      <c r="V294" s="20"/>
      <c r="W294" s="20"/>
      <c r="X294" s="20"/>
      <c r="Y294" s="20"/>
      <c r="Z294" s="20"/>
      <c r="AA294" s="20"/>
      <c r="AB294" s="49"/>
      <c r="AC294" s="49"/>
      <c r="AD294" s="49"/>
      <c r="AE294" s="49"/>
      <c r="AF294" s="49"/>
      <c r="AG294" s="19">
        <v>0</v>
      </c>
      <c r="AH294" s="168">
        <v>1</v>
      </c>
      <c r="AI294" s="168">
        <v>1</v>
      </c>
      <c r="AJ294" s="20"/>
      <c r="AK294" s="20"/>
      <c r="AL294" s="21"/>
      <c r="AM294" s="19">
        <v>0</v>
      </c>
      <c r="AN294" s="20">
        <f>IFERROR(INDEX([2]lijnopstellingsfiche!$AP$1:$AP$65536,MATCH(A294,[2]lijnopstellingsfiche!$AQ$1:$AQ$65536,0)),"")</f>
        <v>1</v>
      </c>
      <c r="AO294" s="20">
        <v>0</v>
      </c>
      <c r="AP294" s="20">
        <v>0</v>
      </c>
      <c r="AQ294" s="20">
        <v>1</v>
      </c>
      <c r="AR294" s="20">
        <v>1</v>
      </c>
      <c r="AS294" s="20">
        <v>0</v>
      </c>
      <c r="AT294" s="20">
        <v>1</v>
      </c>
      <c r="AU294" s="20">
        <v>0</v>
      </c>
      <c r="AV294" s="23">
        <v>0</v>
      </c>
      <c r="AW294" s="108">
        <v>0</v>
      </c>
      <c r="AX294" s="108">
        <v>0</v>
      </c>
      <c r="AY294" s="108">
        <v>1</v>
      </c>
      <c r="AZ294" s="108">
        <v>0</v>
      </c>
      <c r="BA294" s="114">
        <v>1</v>
      </c>
      <c r="BB294" s="20">
        <v>0</v>
      </c>
      <c r="BC294" s="113">
        <v>0</v>
      </c>
      <c r="BD294" s="200" t="str">
        <f>VLOOKUP($A294,'[3]allergenen 6nr'!$A$1:$O$1310,3,FALSE)</f>
        <v>-</v>
      </c>
      <c r="BE294" s="201" t="str">
        <f>VLOOKUP($A294,'[3]allergenen 6nr'!$A$1:$O$1310,4,FALSE)</f>
        <v>+</v>
      </c>
      <c r="BF294" s="201" t="str">
        <f>VLOOKUP($A294,'[3]allergenen 6nr'!$A$1:$O$1310,5,FALSE)</f>
        <v>+</v>
      </c>
      <c r="BG294" s="201" t="str">
        <f>VLOOKUP($A294,'[3]allergenen 6nr'!$A$1:$O$1310,6,FALSE)</f>
        <v>X</v>
      </c>
      <c r="BH294" s="201" t="str">
        <f>VLOOKUP($A294,'[3]allergenen 6nr'!$A$1:$O$1310,7,FALSE)</f>
        <v>+</v>
      </c>
      <c r="BI294" s="201" t="str">
        <f>VLOOKUP($A294,'[3]allergenen 6nr'!$A$1:$O$1310,8,FALSE)</f>
        <v>X</v>
      </c>
      <c r="BJ294" s="201" t="str">
        <f>VLOOKUP($A294,'[3]allergenen 6nr'!$A$1:$O$1310,9,FALSE)</f>
        <v>-</v>
      </c>
      <c r="BK294" s="201" t="str">
        <f>VLOOKUP($A294,'[3]allergenen 6nr'!$A$1:$O$1310,10,FALSE)</f>
        <v>-</v>
      </c>
      <c r="BL294" s="201" t="str">
        <f>VLOOKUP($A294,'[3]allergenen 6nr'!$A$1:$O$1310,11,FALSE)</f>
        <v>+</v>
      </c>
      <c r="BM294" s="201" t="str">
        <f>VLOOKUP($A294,'[3]allergenen 6nr'!$A$1:$O$1310,12,FALSE)</f>
        <v>-</v>
      </c>
      <c r="BN294" s="201" t="str">
        <f>VLOOKUP($A294,'[3]allergenen 6nr'!$A$1:$O$1310,13,FALSE)</f>
        <v>X</v>
      </c>
      <c r="BO294" s="201" t="str">
        <f>VLOOKUP($A294,'[3]allergenen 6nr'!$A$1:$O$1310,14,FALSE)</f>
        <v>-</v>
      </c>
      <c r="BP294" s="202" t="str">
        <f>VLOOKUP($A294,'[3]allergenen 6nr'!$A$1:$O$1310,15,FALSE)</f>
        <v>-</v>
      </c>
    </row>
    <row r="295" spans="1:68" x14ac:dyDescent="0.2">
      <c r="A295" s="54">
        <v>63906100</v>
      </c>
      <c r="B295" s="53" t="str">
        <f>VLOOKUP($A295,[1]maaltijden!$A$1:$IV$65536,4,FALSE)</f>
        <v xml:space="preserve">VAT TAGLIATELLE ZALM GROENE GROENTEN    </v>
      </c>
      <c r="C295" s="46" t="str">
        <f>VLOOKUP($A295,[1]maaltijden!$A$1:$IV$65536,7,FALSE)</f>
        <v xml:space="preserve">C2227-1H </v>
      </c>
      <c r="D295" s="22" t="str">
        <f>VLOOKUP($A295,[1]maaltijden!$A$1:$IV$65536,10,FALSE)</f>
        <v>NVT</v>
      </c>
      <c r="E295" s="22" t="str">
        <f>VLOOKUP($A295,[1]maaltijden!$A$1:$IV$65536,13,FALSE)</f>
        <v xml:space="preserve">VAT X 6 </v>
      </c>
      <c r="F295" s="20">
        <f t="shared" si="4"/>
        <v>0</v>
      </c>
      <c r="G295" s="20" t="str">
        <f>VLOOKUP($A295,[1]maaltijden!$A$1:$IV$65536,27,FALSE)</f>
        <v>! ! ! !</v>
      </c>
      <c r="H295" s="22">
        <f>VLOOKUP($A295,[1]maaltijden!$A$1:$IV$65536,21,FALSE)</f>
        <v>5</v>
      </c>
      <c r="I295" s="22">
        <f>VLOOKUP($A295,[1]maaltijden!$A$1:$IV$65536,21,FALSE)</f>
        <v>5</v>
      </c>
      <c r="J295" s="22">
        <f>VLOOKUP($A295,[1]maaltijden!$A$1:$IV$65536,18,FALSE)</f>
        <v>3</v>
      </c>
      <c r="K295" s="22">
        <f>VLOOKUP($A295,[1]maaltijden!$A$1:$IV$65536,17,FALSE)</f>
        <v>2.5</v>
      </c>
      <c r="L295" s="22">
        <f>VLOOKUP($A295,[1]maaltijden!$A$1:$IV$65536,20,FALSE)</f>
        <v>2000</v>
      </c>
      <c r="M295" s="22">
        <f>VLOOKUP($A295,[1]maaltijden!$A$1:$IV$65536,22,FALSE)</f>
        <v>2000</v>
      </c>
      <c r="N295" s="135"/>
      <c r="O295" s="50"/>
      <c r="P295" s="19">
        <v>0</v>
      </c>
      <c r="Q295" s="20">
        <v>1</v>
      </c>
      <c r="R295" s="21">
        <v>0</v>
      </c>
      <c r="S295" s="19">
        <v>0</v>
      </c>
      <c r="T295" s="20">
        <v>1</v>
      </c>
      <c r="U295" s="19"/>
      <c r="V295" s="20"/>
      <c r="W295" s="20"/>
      <c r="X295" s="20"/>
      <c r="Y295" s="20"/>
      <c r="Z295" s="20"/>
      <c r="AA295" s="20"/>
      <c r="AB295" s="49"/>
      <c r="AC295" s="49"/>
      <c r="AD295" s="49"/>
      <c r="AE295" s="49"/>
      <c r="AF295" s="49"/>
      <c r="AG295" s="161">
        <v>1</v>
      </c>
      <c r="AH295" s="168">
        <v>1</v>
      </c>
      <c r="AI295" s="168">
        <v>1</v>
      </c>
      <c r="AJ295" s="20"/>
      <c r="AK295" s="20"/>
      <c r="AL295" s="21"/>
      <c r="AM295" s="19">
        <v>0</v>
      </c>
      <c r="AN295" s="20">
        <f>IFERROR(INDEX([2]lijnopstellingsfiche!$AP$1:$AP$65536,MATCH(A295,[2]lijnopstellingsfiche!$AQ$1:$AQ$65536,0)),"")</f>
        <v>1</v>
      </c>
      <c r="AO295" s="20">
        <v>1</v>
      </c>
      <c r="AP295" s="20">
        <v>0</v>
      </c>
      <c r="AQ295" s="20">
        <v>2</v>
      </c>
      <c r="AR295" s="20">
        <v>0</v>
      </c>
      <c r="AS295" s="20">
        <v>0</v>
      </c>
      <c r="AT295" s="20">
        <v>1</v>
      </c>
      <c r="AU295" s="20">
        <v>0</v>
      </c>
      <c r="AV295" s="23">
        <v>0</v>
      </c>
      <c r="AW295" s="108">
        <v>0</v>
      </c>
      <c r="AX295" s="108">
        <v>0</v>
      </c>
      <c r="AY295" s="108">
        <v>1</v>
      </c>
      <c r="AZ295" s="108">
        <v>0</v>
      </c>
      <c r="BA295" s="114">
        <v>1</v>
      </c>
      <c r="BB295" s="20">
        <v>0</v>
      </c>
      <c r="BC295" s="113">
        <v>0</v>
      </c>
      <c r="BD295" s="200" t="str">
        <f>VLOOKUP($A295,'[3]allergenen 6nr'!$A$1:$O$1310,3,FALSE)</f>
        <v>-</v>
      </c>
      <c r="BE295" s="201" t="str">
        <f>VLOOKUP($A295,'[3]allergenen 6nr'!$A$1:$O$1310,4,FALSE)</f>
        <v>+</v>
      </c>
      <c r="BF295" s="201" t="str">
        <f>VLOOKUP($A295,'[3]allergenen 6nr'!$A$1:$O$1310,5,FALSE)</f>
        <v>+</v>
      </c>
      <c r="BG295" s="201" t="str">
        <f>VLOOKUP($A295,'[3]allergenen 6nr'!$A$1:$O$1310,6,FALSE)</f>
        <v>X</v>
      </c>
      <c r="BH295" s="201" t="str">
        <f>VLOOKUP($A295,'[3]allergenen 6nr'!$A$1:$O$1310,7,FALSE)</f>
        <v>+</v>
      </c>
      <c r="BI295" s="201" t="str">
        <f>VLOOKUP($A295,'[3]allergenen 6nr'!$A$1:$O$1310,8,FALSE)</f>
        <v>+</v>
      </c>
      <c r="BJ295" s="201" t="str">
        <f>VLOOKUP($A295,'[3]allergenen 6nr'!$A$1:$O$1310,9,FALSE)</f>
        <v>-</v>
      </c>
      <c r="BK295" s="201" t="str">
        <f>VLOOKUP($A295,'[3]allergenen 6nr'!$A$1:$O$1310,10,FALSE)</f>
        <v>X</v>
      </c>
      <c r="BL295" s="201" t="str">
        <f>VLOOKUP($A295,'[3]allergenen 6nr'!$A$1:$O$1310,11,FALSE)</f>
        <v>+</v>
      </c>
      <c r="BM295" s="201" t="str">
        <f>VLOOKUP($A295,'[3]allergenen 6nr'!$A$1:$O$1310,12,FALSE)</f>
        <v>-</v>
      </c>
      <c r="BN295" s="201" t="str">
        <f>VLOOKUP($A295,'[3]allergenen 6nr'!$A$1:$O$1310,13,FALSE)</f>
        <v>X</v>
      </c>
      <c r="BO295" s="201" t="str">
        <f>VLOOKUP($A295,'[3]allergenen 6nr'!$A$1:$O$1310,14,FALSE)</f>
        <v>+</v>
      </c>
      <c r="BP295" s="202" t="str">
        <f>VLOOKUP($A295,'[3]allergenen 6nr'!$A$1:$O$1310,15,FALSE)</f>
        <v>X</v>
      </c>
    </row>
    <row r="296" spans="1:68" x14ac:dyDescent="0.2">
      <c r="A296" s="89">
        <v>63906400</v>
      </c>
      <c r="B296" s="53" t="str">
        <f>VLOOKUP($A296,[1]maaltijden!$A$1:$IV$65536,4,FALSE)</f>
        <v xml:space="preserve">VAT INDON.RIJSTTAFEL BABI KETJAP,SAMBAL BONEN     </v>
      </c>
      <c r="C296" s="46" t="str">
        <f>VLOOKUP($A296,[1]maaltijden!$A$1:$IV$65536,7,FALSE)</f>
        <v>C2227-3R</v>
      </c>
      <c r="D296" s="22" t="str">
        <f>VLOOKUP($A296,[1]maaltijden!$A$1:$IV$65536,10,FALSE)</f>
        <v>NVT</v>
      </c>
      <c r="E296" s="22" t="str">
        <f>VLOOKUP($A296,[1]maaltijden!$A$1:$IV$65536,13,FALSE)</f>
        <v xml:space="preserve">VAT X 6 </v>
      </c>
      <c r="F296" s="20">
        <f t="shared" si="4"/>
        <v>0</v>
      </c>
      <c r="G296" s="20" t="str">
        <f>VLOOKUP($A296,[1]maaltijden!$A$1:$IV$65536,27,FALSE)</f>
        <v>! ! ! ! !</v>
      </c>
      <c r="H296" s="22">
        <f>VLOOKUP($A296,[1]maaltijden!$A$1:$IV$65536,21,FALSE)</f>
        <v>8</v>
      </c>
      <c r="I296" s="22">
        <f>VLOOKUP($A296,[1]maaltijden!$A$1:$IV$65536,21,FALSE)</f>
        <v>8</v>
      </c>
      <c r="J296" s="22">
        <f>VLOOKUP($A296,[1]maaltijden!$A$1:$IV$65536,18,FALSE)</f>
        <v>3</v>
      </c>
      <c r="K296" s="22">
        <f>VLOOKUP($A296,[1]maaltijden!$A$1:$IV$65536,17,FALSE)</f>
        <v>3</v>
      </c>
      <c r="L296" s="22">
        <f>VLOOKUP($A296,[1]maaltijden!$A$1:$IV$65536,20,FALSE)</f>
        <v>2000</v>
      </c>
      <c r="M296" s="22">
        <f>VLOOKUP($A296,[1]maaltijden!$A$1:$IV$65536,22,FALSE)</f>
        <v>2000</v>
      </c>
      <c r="N296" s="135"/>
      <c r="O296" s="50">
        <v>63936400</v>
      </c>
      <c r="P296" s="19">
        <v>0</v>
      </c>
      <c r="Q296" s="20">
        <v>1</v>
      </c>
      <c r="R296" s="21">
        <v>0</v>
      </c>
      <c r="S296" s="19">
        <v>0</v>
      </c>
      <c r="T296" s="20">
        <v>1</v>
      </c>
      <c r="U296" s="19">
        <v>0</v>
      </c>
      <c r="V296" s="20">
        <v>1</v>
      </c>
      <c r="W296" s="20">
        <v>1</v>
      </c>
      <c r="X296" s="20">
        <v>1</v>
      </c>
      <c r="Y296" s="20">
        <v>1</v>
      </c>
      <c r="Z296" s="20">
        <v>1</v>
      </c>
      <c r="AA296" s="20">
        <v>0</v>
      </c>
      <c r="AB296" s="49">
        <v>0</v>
      </c>
      <c r="AC296" s="49">
        <v>0</v>
      </c>
      <c r="AD296" s="49">
        <v>0</v>
      </c>
      <c r="AE296" s="49">
        <v>1</v>
      </c>
      <c r="AF296" s="49">
        <v>0</v>
      </c>
      <c r="AG296" s="161">
        <v>1</v>
      </c>
      <c r="AH296" s="162">
        <v>1</v>
      </c>
      <c r="AI296" s="162">
        <v>1</v>
      </c>
      <c r="AJ296" s="162">
        <v>1</v>
      </c>
      <c r="AK296" s="162">
        <v>0</v>
      </c>
      <c r="AL296" s="163">
        <v>0</v>
      </c>
      <c r="AM296" s="19">
        <v>0</v>
      </c>
      <c r="AN296" s="20">
        <f>IFERROR(INDEX([2]lijnopstellingsfiche!$AP$1:$AP$65536,MATCH(A296,[2]lijnopstellingsfiche!$AQ$1:$AQ$65536,0)),"")</f>
        <v>1</v>
      </c>
      <c r="AO296" s="20">
        <v>1</v>
      </c>
      <c r="AP296" s="20">
        <v>0</v>
      </c>
      <c r="AQ296" s="20">
        <v>1</v>
      </c>
      <c r="AR296" s="20">
        <v>0</v>
      </c>
      <c r="AS296" s="20">
        <v>0</v>
      </c>
      <c r="AT296" s="20">
        <v>1</v>
      </c>
      <c r="AU296" s="20">
        <v>0</v>
      </c>
      <c r="AV296" s="23">
        <v>0</v>
      </c>
      <c r="AW296" s="108">
        <v>0</v>
      </c>
      <c r="AX296" s="108">
        <v>0</v>
      </c>
      <c r="AY296" s="108">
        <v>1</v>
      </c>
      <c r="AZ296" s="108">
        <v>0</v>
      </c>
      <c r="BA296" s="114">
        <v>1</v>
      </c>
      <c r="BB296" s="20">
        <v>0</v>
      </c>
      <c r="BC296" s="113">
        <v>0</v>
      </c>
      <c r="BD296" s="200" t="str">
        <f>VLOOKUP($A296,'[3]allergenen 6nr'!$A$1:$O$1310,3,FALSE)</f>
        <v>-</v>
      </c>
      <c r="BE296" s="201" t="str">
        <f>VLOOKUP($A296,'[3]allergenen 6nr'!$A$1:$O$1310,4,FALSE)</f>
        <v>X</v>
      </c>
      <c r="BF296" s="201" t="str">
        <f>VLOOKUP($A296,'[3]allergenen 6nr'!$A$1:$O$1310,5,FALSE)</f>
        <v>+</v>
      </c>
      <c r="BG296" s="201" t="str">
        <f>VLOOKUP($A296,'[3]allergenen 6nr'!$A$1:$O$1310,6,FALSE)</f>
        <v>-</v>
      </c>
      <c r="BH296" s="201" t="str">
        <f>VLOOKUP($A296,'[3]allergenen 6nr'!$A$1:$O$1310,7,FALSE)</f>
        <v>X</v>
      </c>
      <c r="BI296" s="201" t="str">
        <f>VLOOKUP($A296,'[3]allergenen 6nr'!$A$1:$O$1310,8,FALSE)</f>
        <v>X</v>
      </c>
      <c r="BJ296" s="201" t="str">
        <f>VLOOKUP($A296,'[3]allergenen 6nr'!$A$1:$O$1310,9,FALSE)</f>
        <v>-</v>
      </c>
      <c r="BK296" s="201" t="str">
        <f>VLOOKUP($A296,'[3]allergenen 6nr'!$A$1:$O$1310,10,FALSE)</f>
        <v>-</v>
      </c>
      <c r="BL296" s="201" t="str">
        <f>VLOOKUP($A296,'[3]allergenen 6nr'!$A$1:$O$1310,11,FALSE)</f>
        <v>+</v>
      </c>
      <c r="BM296" s="201" t="str">
        <f>VLOOKUP($A296,'[3]allergenen 6nr'!$A$1:$O$1310,12,FALSE)</f>
        <v>+</v>
      </c>
      <c r="BN296" s="201" t="str">
        <f>VLOOKUP($A296,'[3]allergenen 6nr'!$A$1:$O$1310,13,FALSE)</f>
        <v>+</v>
      </c>
      <c r="BO296" s="201" t="str">
        <f>VLOOKUP($A296,'[3]allergenen 6nr'!$A$1:$O$1310,14,FALSE)</f>
        <v>-</v>
      </c>
      <c r="BP296" s="202" t="str">
        <f>VLOOKUP($A296,'[3]allergenen 6nr'!$A$1:$O$1310,15,FALSE)</f>
        <v>-</v>
      </c>
    </row>
    <row r="297" spans="1:68" x14ac:dyDescent="0.2">
      <c r="A297" s="89">
        <v>63906600</v>
      </c>
      <c r="B297" s="53" t="str">
        <f>VLOOKUP($A297,[1]maaltijden!$A$1:$IV$65536,4,FALSE)</f>
        <v>VAT GEHAKTSCHOTEL MET AUBERGINE EN AARDAPPELSCHIJF</v>
      </c>
      <c r="C297" s="46" t="str">
        <f>VLOOKUP($A297,[1]maaltijden!$A$1:$IV$65536,7,FALSE)</f>
        <v xml:space="preserve">C2227-1H </v>
      </c>
      <c r="D297" s="22" t="str">
        <f>VLOOKUP($A297,[1]maaltijden!$A$1:$IV$65536,10,FALSE)</f>
        <v>NVT</v>
      </c>
      <c r="E297" s="22" t="str">
        <f>VLOOKUP($A297,[1]maaltijden!$A$1:$IV$65536,13,FALSE)</f>
        <v xml:space="preserve">VAT X 6 </v>
      </c>
      <c r="F297" s="20">
        <f t="shared" si="4"/>
        <v>0</v>
      </c>
      <c r="G297" s="20" t="str">
        <f>VLOOKUP($A297,[1]maaltijden!$A$1:$IV$65536,27,FALSE)</f>
        <v>! ! !</v>
      </c>
      <c r="H297" s="22">
        <f>VLOOKUP($A297,[1]maaltijden!$A$1:$IV$65536,21,FALSE)</f>
        <v>4</v>
      </c>
      <c r="I297" s="22">
        <f>VLOOKUP($A297,[1]maaltijden!$A$1:$IV$65536,21,FALSE)</f>
        <v>4</v>
      </c>
      <c r="J297" s="22">
        <f>VLOOKUP($A297,[1]maaltijden!$A$1:$IV$65536,18,FALSE)</f>
        <v>3</v>
      </c>
      <c r="K297" s="22">
        <f>VLOOKUP($A297,[1]maaltijden!$A$1:$IV$65536,17,FALSE)</f>
        <v>3</v>
      </c>
      <c r="L297" s="22">
        <f>VLOOKUP($A297,[1]maaltijden!$A$1:$IV$65536,20,FALSE)</f>
        <v>2200</v>
      </c>
      <c r="M297" s="22">
        <f>VLOOKUP($A297,[1]maaltijden!$A$1:$IV$65536,22,FALSE)</f>
        <v>2200</v>
      </c>
      <c r="N297" s="135"/>
      <c r="O297" s="50"/>
      <c r="P297" s="19">
        <v>0</v>
      </c>
      <c r="Q297" s="20">
        <v>1</v>
      </c>
      <c r="R297" s="21">
        <v>0</v>
      </c>
      <c r="S297" s="19">
        <v>0</v>
      </c>
      <c r="T297" s="20">
        <v>1</v>
      </c>
      <c r="U297" s="19">
        <v>0</v>
      </c>
      <c r="V297" s="20">
        <v>1</v>
      </c>
      <c r="W297" s="20">
        <v>1</v>
      </c>
      <c r="X297" s="20">
        <v>1</v>
      </c>
      <c r="Y297" s="20">
        <v>1</v>
      </c>
      <c r="Z297" s="20">
        <v>1</v>
      </c>
      <c r="AA297" s="20">
        <v>0</v>
      </c>
      <c r="AB297" s="49">
        <v>0</v>
      </c>
      <c r="AC297" s="49">
        <v>0</v>
      </c>
      <c r="AD297" s="49">
        <v>0</v>
      </c>
      <c r="AE297" s="49">
        <v>1</v>
      </c>
      <c r="AF297" s="49">
        <v>0</v>
      </c>
      <c r="AG297" s="161">
        <v>0</v>
      </c>
      <c r="AH297" s="162">
        <v>1</v>
      </c>
      <c r="AI297" s="162">
        <v>0</v>
      </c>
      <c r="AJ297" s="162">
        <v>1</v>
      </c>
      <c r="AK297" s="162">
        <v>0</v>
      </c>
      <c r="AL297" s="163">
        <v>0</v>
      </c>
      <c r="AM297" s="19">
        <v>0</v>
      </c>
      <c r="AN297" s="20" t="str">
        <f>IFERROR(INDEX([2]lijnopstellingsfiche!$AP$1:$AP$65536,MATCH(A297,[2]lijnopstellingsfiche!$AQ$1:$AQ$65536,0)),"")</f>
        <v>-</v>
      </c>
      <c r="AO297" s="20">
        <v>0</v>
      </c>
      <c r="AP297" s="20">
        <v>1</v>
      </c>
      <c r="AQ297" s="20">
        <v>2</v>
      </c>
      <c r="AR297" s="20">
        <v>1</v>
      </c>
      <c r="AS297" s="20">
        <v>0</v>
      </c>
      <c r="AT297" s="20">
        <v>1</v>
      </c>
      <c r="AU297" s="20">
        <v>0</v>
      </c>
      <c r="AV297" s="23">
        <v>0</v>
      </c>
      <c r="AW297" s="108">
        <v>0</v>
      </c>
      <c r="AX297" s="108">
        <v>0</v>
      </c>
      <c r="AY297" s="108">
        <v>1</v>
      </c>
      <c r="AZ297" s="108">
        <v>0</v>
      </c>
      <c r="BA297" s="114">
        <v>1</v>
      </c>
      <c r="BB297" s="20">
        <v>0</v>
      </c>
      <c r="BC297" s="113">
        <v>0</v>
      </c>
      <c r="BD297" s="200" t="str">
        <f>VLOOKUP($A297,'[3]allergenen 6nr'!$A$1:$O$1310,3,FALSE)</f>
        <v>-</v>
      </c>
      <c r="BE297" s="201" t="str">
        <f>VLOOKUP($A297,'[3]allergenen 6nr'!$A$1:$O$1310,4,FALSE)</f>
        <v>-</v>
      </c>
      <c r="BF297" s="201" t="str">
        <f>VLOOKUP($A297,'[3]allergenen 6nr'!$A$1:$O$1310,5,FALSE)</f>
        <v>+</v>
      </c>
      <c r="BG297" s="201" t="str">
        <f>VLOOKUP($A297,'[3]allergenen 6nr'!$A$1:$O$1310,6,FALSE)</f>
        <v>-</v>
      </c>
      <c r="BH297" s="201" t="str">
        <f>VLOOKUP($A297,'[3]allergenen 6nr'!$A$1:$O$1310,7,FALSE)</f>
        <v>+</v>
      </c>
      <c r="BI297" s="201" t="str">
        <f>VLOOKUP($A297,'[3]allergenen 6nr'!$A$1:$O$1310,8,FALSE)</f>
        <v>-</v>
      </c>
      <c r="BJ297" s="201" t="str">
        <f>VLOOKUP($A297,'[3]allergenen 6nr'!$A$1:$O$1310,9,FALSE)</f>
        <v>-</v>
      </c>
      <c r="BK297" s="201" t="str">
        <f>VLOOKUP($A297,'[3]allergenen 6nr'!$A$1:$O$1310,10,FALSE)</f>
        <v>-</v>
      </c>
      <c r="BL297" s="201" t="str">
        <f>VLOOKUP($A297,'[3]allergenen 6nr'!$A$1:$O$1310,11,FALSE)</f>
        <v>+</v>
      </c>
      <c r="BM297" s="201" t="str">
        <f>VLOOKUP($A297,'[3]allergenen 6nr'!$A$1:$O$1310,12,FALSE)</f>
        <v>-</v>
      </c>
      <c r="BN297" s="201" t="str">
        <f>VLOOKUP($A297,'[3]allergenen 6nr'!$A$1:$O$1310,13,FALSE)</f>
        <v>-</v>
      </c>
      <c r="BO297" s="201" t="str">
        <f>VLOOKUP($A297,'[3]allergenen 6nr'!$A$1:$O$1310,14,FALSE)</f>
        <v>-</v>
      </c>
      <c r="BP297" s="202" t="str">
        <f>VLOOKUP($A297,'[3]allergenen 6nr'!$A$1:$O$1310,15,FALSE)</f>
        <v>-</v>
      </c>
    </row>
    <row r="298" spans="1:68" x14ac:dyDescent="0.2">
      <c r="A298" s="54">
        <v>63906700</v>
      </c>
      <c r="B298" s="53" t="str">
        <f>VLOOKUP($A298,[1]maaltijden!$A$1:$IV$65536,4,FALSE)</f>
        <v>VAT HAMBURGER UIENSAUS APPELMOES EN GEBAK AARD KUBUS</v>
      </c>
      <c r="C298" s="46" t="str">
        <f>VLOOKUP($A298,[1]maaltijden!$A$1:$IV$65536,7,FALSE)</f>
        <v>C2227-3R</v>
      </c>
      <c r="D298" s="22" t="str">
        <f>VLOOKUP($A298,[1]maaltijden!$A$1:$IV$65536,10,FALSE)</f>
        <v>NVT</v>
      </c>
      <c r="E298" s="22" t="str">
        <f>VLOOKUP($A298,[1]maaltijden!$A$1:$IV$65536,13,FALSE)</f>
        <v xml:space="preserve">VAT X 6 </v>
      </c>
      <c r="F298" s="20">
        <f t="shared" si="4"/>
        <v>0</v>
      </c>
      <c r="G298" s="20" t="str">
        <f>VLOOKUP($A298,[1]maaltijden!$A$1:$IV$65536,27,FALSE)</f>
        <v>! ! !</v>
      </c>
      <c r="H298" s="22">
        <f>VLOOKUP($A298,[1]maaltijden!$A$1:$IV$65536,21,FALSE)</f>
        <v>3</v>
      </c>
      <c r="I298" s="22">
        <f>VLOOKUP($A298,[1]maaltijden!$A$1:$IV$65536,21,FALSE)</f>
        <v>3</v>
      </c>
      <c r="J298" s="22">
        <f>VLOOKUP($A298,[1]maaltijden!$A$1:$IV$65536,18,FALSE)</f>
        <v>3</v>
      </c>
      <c r="K298" s="22">
        <f>VLOOKUP($A298,[1]maaltijden!$A$1:$IV$65536,17,FALSE)</f>
        <v>2</v>
      </c>
      <c r="L298" s="22">
        <f>VLOOKUP($A298,[1]maaltijden!$A$1:$IV$65536,20,FALSE)</f>
        <v>2200</v>
      </c>
      <c r="M298" s="22">
        <f>VLOOKUP($A298,[1]maaltijden!$A$1:$IV$65536,22,FALSE)</f>
        <v>2200</v>
      </c>
      <c r="N298" s="135"/>
      <c r="O298" s="50"/>
      <c r="P298" s="19">
        <v>0</v>
      </c>
      <c r="Q298" s="20">
        <v>1</v>
      </c>
      <c r="R298" s="21">
        <v>0</v>
      </c>
      <c r="S298" s="19">
        <v>0</v>
      </c>
      <c r="T298" s="20">
        <v>1</v>
      </c>
      <c r="U298" s="19"/>
      <c r="V298" s="20"/>
      <c r="W298" s="20"/>
      <c r="X298" s="20"/>
      <c r="Y298" s="20"/>
      <c r="Z298" s="20"/>
      <c r="AA298" s="20"/>
      <c r="AB298" s="49"/>
      <c r="AC298" s="49"/>
      <c r="AD298" s="49"/>
      <c r="AE298" s="49"/>
      <c r="AF298" s="49"/>
      <c r="AG298" s="161">
        <v>0</v>
      </c>
      <c r="AH298" s="168">
        <v>1</v>
      </c>
      <c r="AI298" s="168">
        <v>1</v>
      </c>
      <c r="AJ298" s="20"/>
      <c r="AK298" s="20"/>
      <c r="AL298" s="21"/>
      <c r="AM298" s="19">
        <v>0</v>
      </c>
      <c r="AN298" s="20" t="str">
        <f>IFERROR(INDEX([2]lijnopstellingsfiche!$AP$1:$AP$65536,MATCH(A298,[2]lijnopstellingsfiche!$AQ$1:$AQ$65536,0)),"")</f>
        <v>-</v>
      </c>
      <c r="AO298" s="20">
        <v>0</v>
      </c>
      <c r="AP298" s="20">
        <v>0</v>
      </c>
      <c r="AQ298" s="20">
        <v>2</v>
      </c>
      <c r="AR298" s="20">
        <v>0</v>
      </c>
      <c r="AS298" s="20">
        <v>0</v>
      </c>
      <c r="AT298" s="20">
        <v>1</v>
      </c>
      <c r="AU298" s="20">
        <v>0</v>
      </c>
      <c r="AV298" s="23">
        <v>0</v>
      </c>
      <c r="AW298" s="108">
        <v>0</v>
      </c>
      <c r="AX298" s="108">
        <v>0</v>
      </c>
      <c r="AY298" s="108">
        <v>1</v>
      </c>
      <c r="AZ298" s="108">
        <v>0</v>
      </c>
      <c r="BA298" s="114">
        <v>1</v>
      </c>
      <c r="BB298" s="20">
        <v>0</v>
      </c>
      <c r="BC298" s="113">
        <v>0</v>
      </c>
      <c r="BD298" s="200" t="str">
        <f>VLOOKUP($A298,'[3]allergenen 6nr'!$A$1:$O$1310,3,FALSE)</f>
        <v>-</v>
      </c>
      <c r="BE298" s="201" t="str">
        <f>VLOOKUP($A298,'[3]allergenen 6nr'!$A$1:$O$1310,4,FALSE)</f>
        <v>X</v>
      </c>
      <c r="BF298" s="201" t="str">
        <f>VLOOKUP($A298,'[3]allergenen 6nr'!$A$1:$O$1310,5,FALSE)</f>
        <v>+</v>
      </c>
      <c r="BG298" s="201" t="str">
        <f>VLOOKUP($A298,'[3]allergenen 6nr'!$A$1:$O$1310,6,FALSE)</f>
        <v>X</v>
      </c>
      <c r="BH298" s="201" t="str">
        <f>VLOOKUP($A298,'[3]allergenen 6nr'!$A$1:$O$1310,7,FALSE)</f>
        <v>X</v>
      </c>
      <c r="BI298" s="201" t="str">
        <f>VLOOKUP($A298,'[3]allergenen 6nr'!$A$1:$O$1310,8,FALSE)</f>
        <v>X</v>
      </c>
      <c r="BJ298" s="201" t="str">
        <f>VLOOKUP($A298,'[3]allergenen 6nr'!$A$1:$O$1310,9,FALSE)</f>
        <v>-</v>
      </c>
      <c r="BK298" s="201" t="str">
        <f>VLOOKUP($A298,'[3]allergenen 6nr'!$A$1:$O$1310,10,FALSE)</f>
        <v>X</v>
      </c>
      <c r="BL298" s="201" t="str">
        <f>VLOOKUP($A298,'[3]allergenen 6nr'!$A$1:$O$1310,11,FALSE)</f>
        <v>+</v>
      </c>
      <c r="BM298" s="201" t="str">
        <f>VLOOKUP($A298,'[3]allergenen 6nr'!$A$1:$O$1310,12,FALSE)</f>
        <v>-</v>
      </c>
      <c r="BN298" s="201" t="str">
        <f>VLOOKUP($A298,'[3]allergenen 6nr'!$A$1:$O$1310,13,FALSE)</f>
        <v>X</v>
      </c>
      <c r="BO298" s="201" t="str">
        <f>VLOOKUP($A298,'[3]allergenen 6nr'!$A$1:$O$1310,14,FALSE)</f>
        <v>X</v>
      </c>
      <c r="BP298" s="202" t="str">
        <f>VLOOKUP($A298,'[3]allergenen 6nr'!$A$1:$O$1310,15,FALSE)</f>
        <v>X</v>
      </c>
    </row>
    <row r="299" spans="1:68" x14ac:dyDescent="0.2">
      <c r="A299" s="54">
        <v>63907000</v>
      </c>
      <c r="B299" s="53" t="str">
        <f>VLOOKUP($A299,[1]maaltijden!$A$1:$IV$65536,4,FALSE)</f>
        <v xml:space="preserve">VAT SPINAZIESTAMPPOT MET BRAADWORST               </v>
      </c>
      <c r="C299" s="46" t="str">
        <f>VLOOKUP($A299,[1]maaltijden!$A$1:$IV$65536,7,FALSE)</f>
        <v>C2227-2K</v>
      </c>
      <c r="D299" s="22" t="str">
        <f>VLOOKUP($A299,[1]maaltijden!$A$1:$IV$65536,10,FALSE)</f>
        <v>NVT</v>
      </c>
      <c r="E299" s="22" t="str">
        <f>VLOOKUP($A299,[1]maaltijden!$A$1:$IV$65536,13,FALSE)</f>
        <v xml:space="preserve">VAT X 6 </v>
      </c>
      <c r="F299" s="20">
        <f t="shared" si="4"/>
        <v>0</v>
      </c>
      <c r="G299" s="20" t="str">
        <f>VLOOKUP($A299,[1]maaltijden!$A$1:$IV$65536,27,FALSE)</f>
        <v>! ! !</v>
      </c>
      <c r="H299" s="22">
        <f>VLOOKUP($A299,[1]maaltijden!$A$1:$IV$65536,21,FALSE)</f>
        <v>2</v>
      </c>
      <c r="I299" s="22">
        <f>VLOOKUP($A299,[1]maaltijden!$A$1:$IV$65536,21,FALSE)</f>
        <v>2</v>
      </c>
      <c r="J299" s="22">
        <f>VLOOKUP($A299,[1]maaltijden!$A$1:$IV$65536,18,FALSE)</f>
        <v>3</v>
      </c>
      <c r="K299" s="22">
        <f>VLOOKUP($A299,[1]maaltijden!$A$1:$IV$65536,17,FALSE)</f>
        <v>2</v>
      </c>
      <c r="L299" s="22">
        <f>VLOOKUP($A299,[1]maaltijden!$A$1:$IV$65536,20,FALSE)</f>
        <v>2200</v>
      </c>
      <c r="M299" s="22">
        <f>VLOOKUP($A299,[1]maaltijden!$A$1:$IV$65536,22,FALSE)</f>
        <v>2200</v>
      </c>
      <c r="N299" s="135"/>
      <c r="O299" s="50"/>
      <c r="P299" s="19">
        <v>0</v>
      </c>
      <c r="Q299" s="20">
        <v>1</v>
      </c>
      <c r="R299" s="21">
        <v>0</v>
      </c>
      <c r="S299" s="19">
        <v>0</v>
      </c>
      <c r="T299" s="20">
        <v>1</v>
      </c>
      <c r="U299" s="19"/>
      <c r="V299" s="20"/>
      <c r="W299" s="20"/>
      <c r="X299" s="20"/>
      <c r="Y299" s="20"/>
      <c r="Z299" s="20"/>
      <c r="AA299" s="20"/>
      <c r="AB299" s="49"/>
      <c r="AC299" s="49"/>
      <c r="AD299" s="49"/>
      <c r="AE299" s="49"/>
      <c r="AF299" s="49"/>
      <c r="AG299" s="161">
        <v>0</v>
      </c>
      <c r="AH299" s="168">
        <v>3</v>
      </c>
      <c r="AI299" s="20"/>
      <c r="AJ299" s="20"/>
      <c r="AK299" s="20"/>
      <c r="AL299" s="21"/>
      <c r="AM299" s="19">
        <v>0</v>
      </c>
      <c r="AN299" s="20" t="str">
        <f>IFERROR(INDEX([2]lijnopstellingsfiche!$AP$1:$AP$65536,MATCH(A299,[2]lijnopstellingsfiche!$AQ$1:$AQ$65536,0)),"")</f>
        <v>-</v>
      </c>
      <c r="AO299" s="20">
        <v>0</v>
      </c>
      <c r="AP299" s="20">
        <v>0</v>
      </c>
      <c r="AQ299" s="20">
        <v>1</v>
      </c>
      <c r="AR299" s="20">
        <v>1</v>
      </c>
      <c r="AS299" s="20">
        <v>0</v>
      </c>
      <c r="AT299" s="20">
        <v>0</v>
      </c>
      <c r="AU299" s="20">
        <v>0</v>
      </c>
      <c r="AV299" s="23">
        <v>0</v>
      </c>
      <c r="AW299" s="108">
        <v>0</v>
      </c>
      <c r="AX299" s="108">
        <v>0</v>
      </c>
      <c r="AY299" s="108">
        <v>1</v>
      </c>
      <c r="AZ299" s="108">
        <v>0</v>
      </c>
      <c r="BA299" s="114">
        <v>1</v>
      </c>
      <c r="BB299" s="20">
        <v>0</v>
      </c>
      <c r="BC299" s="113">
        <v>0</v>
      </c>
      <c r="BD299" s="200" t="str">
        <f>VLOOKUP($A299,'[3]allergenen 6nr'!$A$1:$O$1310,3,FALSE)</f>
        <v>-</v>
      </c>
      <c r="BE299" s="201" t="str">
        <f>VLOOKUP($A299,'[3]allergenen 6nr'!$A$1:$O$1310,4,FALSE)</f>
        <v>+</v>
      </c>
      <c r="BF299" s="201" t="str">
        <f>VLOOKUP($A299,'[3]allergenen 6nr'!$A$1:$O$1310,5,FALSE)</f>
        <v>+</v>
      </c>
      <c r="BG299" s="201" t="str">
        <f>VLOOKUP($A299,'[3]allergenen 6nr'!$A$1:$O$1310,6,FALSE)</f>
        <v>X</v>
      </c>
      <c r="BH299" s="201" t="str">
        <f>VLOOKUP($A299,'[3]allergenen 6nr'!$A$1:$O$1310,7,FALSE)</f>
        <v>+</v>
      </c>
      <c r="BI299" s="201" t="str">
        <f>VLOOKUP($A299,'[3]allergenen 6nr'!$A$1:$O$1310,8,FALSE)</f>
        <v>+</v>
      </c>
      <c r="BJ299" s="201" t="str">
        <f>VLOOKUP($A299,'[3]allergenen 6nr'!$A$1:$O$1310,9,FALSE)</f>
        <v>-</v>
      </c>
      <c r="BK299" s="201" t="str">
        <f>VLOOKUP($A299,'[3]allergenen 6nr'!$A$1:$O$1310,10,FALSE)</f>
        <v>-</v>
      </c>
      <c r="BL299" s="201" t="str">
        <f>VLOOKUP($A299,'[3]allergenen 6nr'!$A$1:$O$1310,11,FALSE)</f>
        <v>+</v>
      </c>
      <c r="BM299" s="201" t="str">
        <f>VLOOKUP($A299,'[3]allergenen 6nr'!$A$1:$O$1310,12,FALSE)</f>
        <v>-</v>
      </c>
      <c r="BN299" s="201" t="str">
        <f>VLOOKUP($A299,'[3]allergenen 6nr'!$A$1:$O$1310,13,FALSE)</f>
        <v>X</v>
      </c>
      <c r="BO299" s="201" t="str">
        <f>VLOOKUP($A299,'[3]allergenen 6nr'!$A$1:$O$1310,14,FALSE)</f>
        <v>-</v>
      </c>
      <c r="BP299" s="202" t="str">
        <f>VLOOKUP($A299,'[3]allergenen 6nr'!$A$1:$O$1310,15,FALSE)</f>
        <v>-</v>
      </c>
    </row>
    <row r="300" spans="1:68" x14ac:dyDescent="0.2">
      <c r="A300" s="89">
        <v>63907400</v>
      </c>
      <c r="B300" s="53" t="str">
        <f>VLOOKUP($A300,[1]maaltijden!$A$1:$IV$65536,4,FALSE)</f>
        <v xml:space="preserve">VAT TAGLIATELLE MET KIP EN BOSPADDESTOELEN        </v>
      </c>
      <c r="C300" s="46" t="str">
        <f>VLOOKUP($A300,[1]maaltijden!$A$1:$IV$65536,7,FALSE)</f>
        <v xml:space="preserve">C2227-1H </v>
      </c>
      <c r="D300" s="22" t="str">
        <f>VLOOKUP($A300,[1]maaltijden!$A$1:$IV$65536,10,FALSE)</f>
        <v>NVT</v>
      </c>
      <c r="E300" s="22" t="str">
        <f>VLOOKUP($A300,[1]maaltijden!$A$1:$IV$65536,13,FALSE)</f>
        <v xml:space="preserve">VAT X 6 </v>
      </c>
      <c r="F300" s="20">
        <f t="shared" si="4"/>
        <v>0</v>
      </c>
      <c r="G300" s="20" t="str">
        <f>VLOOKUP($A300,[1]maaltijden!$A$1:$IV$65536,27,FALSE)</f>
        <v>! ! !</v>
      </c>
      <c r="H300" s="22">
        <f>VLOOKUP($A300,[1]maaltijden!$A$1:$IV$65536,21,FALSE)</f>
        <v>3</v>
      </c>
      <c r="I300" s="22">
        <f>VLOOKUP($A300,[1]maaltijden!$A$1:$IV$65536,21,FALSE)</f>
        <v>3</v>
      </c>
      <c r="J300" s="22">
        <f>VLOOKUP($A300,[1]maaltijden!$A$1:$IV$65536,18,FALSE)</f>
        <v>3</v>
      </c>
      <c r="K300" s="22">
        <f>VLOOKUP($A300,[1]maaltijden!$A$1:$IV$65536,17,FALSE)</f>
        <v>2.5</v>
      </c>
      <c r="L300" s="22">
        <f>VLOOKUP($A300,[1]maaltijden!$A$1:$IV$65536,20,FALSE)</f>
        <v>2200</v>
      </c>
      <c r="M300" s="22">
        <f>VLOOKUP($A300,[1]maaltijden!$A$1:$IV$65536,22,FALSE)</f>
        <v>2200</v>
      </c>
      <c r="N300" s="135"/>
      <c r="O300" s="50">
        <v>63515300</v>
      </c>
      <c r="P300" s="19">
        <v>0</v>
      </c>
      <c r="Q300" s="20">
        <v>1</v>
      </c>
      <c r="R300" s="21">
        <v>0</v>
      </c>
      <c r="S300" s="19">
        <v>0</v>
      </c>
      <c r="T300" s="20">
        <v>1</v>
      </c>
      <c r="U300" s="19">
        <v>1</v>
      </c>
      <c r="V300" s="20">
        <v>1</v>
      </c>
      <c r="W300" s="20">
        <v>1</v>
      </c>
      <c r="X300" s="20">
        <v>1</v>
      </c>
      <c r="Y300" s="20">
        <v>1</v>
      </c>
      <c r="Z300" s="20">
        <v>0</v>
      </c>
      <c r="AA300" s="20">
        <v>0</v>
      </c>
      <c r="AB300" s="49">
        <v>0</v>
      </c>
      <c r="AC300" s="49">
        <v>0</v>
      </c>
      <c r="AD300" s="49">
        <v>0</v>
      </c>
      <c r="AE300" s="49">
        <v>0</v>
      </c>
      <c r="AF300" s="49">
        <v>0</v>
      </c>
      <c r="AG300" s="161">
        <v>1</v>
      </c>
      <c r="AH300" s="162">
        <v>1</v>
      </c>
      <c r="AI300" s="162">
        <v>0</v>
      </c>
      <c r="AJ300" s="162">
        <v>0</v>
      </c>
      <c r="AK300" s="162">
        <v>0</v>
      </c>
      <c r="AL300" s="163">
        <v>0</v>
      </c>
      <c r="AM300" s="19">
        <v>0</v>
      </c>
      <c r="AN300" s="20">
        <f>IFERROR(INDEX([2]lijnopstellingsfiche!$AP$1:$AP$65536,MATCH(A300,[2]lijnopstellingsfiche!$AQ$1:$AQ$65536,0)),"")</f>
        <v>1</v>
      </c>
      <c r="AO300" s="20">
        <v>1</v>
      </c>
      <c r="AP300" s="20">
        <v>0</v>
      </c>
      <c r="AQ300" s="20">
        <v>2</v>
      </c>
      <c r="AR300" s="20">
        <v>0</v>
      </c>
      <c r="AS300" s="20">
        <v>0</v>
      </c>
      <c r="AT300" s="20">
        <v>1</v>
      </c>
      <c r="AU300" s="20">
        <v>0</v>
      </c>
      <c r="AV300" s="23">
        <v>0</v>
      </c>
      <c r="AW300" s="108">
        <v>0</v>
      </c>
      <c r="AX300" s="108">
        <v>0</v>
      </c>
      <c r="AY300" s="108">
        <v>1</v>
      </c>
      <c r="AZ300" s="108">
        <v>0</v>
      </c>
      <c r="BA300" s="114">
        <v>1</v>
      </c>
      <c r="BB300" s="20">
        <v>0</v>
      </c>
      <c r="BC300" s="113">
        <v>0</v>
      </c>
      <c r="BD300" s="200" t="str">
        <f>VLOOKUP($A300,'[3]allergenen 6nr'!$A$1:$O$1310,3,FALSE)</f>
        <v>-</v>
      </c>
      <c r="BE300" s="201" t="str">
        <f>VLOOKUP($A300,'[3]allergenen 6nr'!$A$1:$O$1310,4,FALSE)</f>
        <v>+</v>
      </c>
      <c r="BF300" s="201" t="str">
        <f>VLOOKUP($A300,'[3]allergenen 6nr'!$A$1:$O$1310,5,FALSE)</f>
        <v>+</v>
      </c>
      <c r="BG300" s="201" t="str">
        <f>VLOOKUP($A300,'[3]allergenen 6nr'!$A$1:$O$1310,6,FALSE)</f>
        <v>X</v>
      </c>
      <c r="BH300" s="201" t="str">
        <f>VLOOKUP($A300,'[3]allergenen 6nr'!$A$1:$O$1310,7,FALSE)</f>
        <v>+</v>
      </c>
      <c r="BI300" s="201" t="str">
        <f>VLOOKUP($A300,'[3]allergenen 6nr'!$A$1:$O$1310,8,FALSE)</f>
        <v>X</v>
      </c>
      <c r="BJ300" s="201" t="str">
        <f>VLOOKUP($A300,'[3]allergenen 6nr'!$A$1:$O$1310,9,FALSE)</f>
        <v>-</v>
      </c>
      <c r="BK300" s="201" t="str">
        <f>VLOOKUP($A300,'[3]allergenen 6nr'!$A$1:$O$1310,10,FALSE)</f>
        <v>-</v>
      </c>
      <c r="BL300" s="201" t="str">
        <f>VLOOKUP($A300,'[3]allergenen 6nr'!$A$1:$O$1310,11,FALSE)</f>
        <v>+</v>
      </c>
      <c r="BM300" s="201" t="str">
        <f>VLOOKUP($A300,'[3]allergenen 6nr'!$A$1:$O$1310,12,FALSE)</f>
        <v>-</v>
      </c>
      <c r="BN300" s="201" t="str">
        <f>VLOOKUP($A300,'[3]allergenen 6nr'!$A$1:$O$1310,13,FALSE)</f>
        <v>X</v>
      </c>
      <c r="BO300" s="201" t="str">
        <f>VLOOKUP($A300,'[3]allergenen 6nr'!$A$1:$O$1310,14,FALSE)</f>
        <v>-</v>
      </c>
      <c r="BP300" s="202" t="str">
        <f>VLOOKUP($A300,'[3]allergenen 6nr'!$A$1:$O$1310,15,FALSE)</f>
        <v>-</v>
      </c>
    </row>
    <row r="301" spans="1:68" x14ac:dyDescent="0.2">
      <c r="A301" s="89">
        <v>63907500</v>
      </c>
      <c r="B301" s="53" t="str">
        <f>VLOOKUP($A301,[1]maaltijden!$A$1:$IV$65536,4,FALSE)</f>
        <v xml:space="preserve">VAT PENNE PESTO MET KIP EN GROENE GROENTEN        </v>
      </c>
      <c r="C301" s="46" t="str">
        <f>VLOOKUP($A301,[1]maaltijden!$A$1:$IV$65536,7,FALSE)</f>
        <v xml:space="preserve">C2227-1H </v>
      </c>
      <c r="D301" s="22" t="str">
        <f>VLOOKUP($A301,[1]maaltijden!$A$1:$IV$65536,10,FALSE)</f>
        <v>NVT</v>
      </c>
      <c r="E301" s="22" t="str">
        <f>VLOOKUP($A301,[1]maaltijden!$A$1:$IV$65536,13,FALSE)</f>
        <v xml:space="preserve">VAT X 6 </v>
      </c>
      <c r="F301" s="20">
        <f t="shared" si="4"/>
        <v>0</v>
      </c>
      <c r="G301" s="20" t="str">
        <f>VLOOKUP($A301,[1]maaltijden!$A$1:$IV$65536,27,FALSE)</f>
        <v>! !</v>
      </c>
      <c r="H301" s="22">
        <f>VLOOKUP($A301,[1]maaltijden!$A$1:$IV$65536,21,FALSE)</f>
        <v>6</v>
      </c>
      <c r="I301" s="22">
        <f>VLOOKUP($A301,[1]maaltijden!$A$1:$IV$65536,21,FALSE)</f>
        <v>6</v>
      </c>
      <c r="J301" s="22">
        <f>VLOOKUP($A301,[1]maaltijden!$A$1:$IV$65536,18,FALSE)</f>
        <v>3</v>
      </c>
      <c r="K301" s="22">
        <f>VLOOKUP($A301,[1]maaltijden!$A$1:$IV$65536,17,FALSE)</f>
        <v>2</v>
      </c>
      <c r="L301" s="22">
        <f>VLOOKUP($A301,[1]maaltijden!$A$1:$IV$65536,20,FALSE)</f>
        <v>2200</v>
      </c>
      <c r="M301" s="22">
        <f>VLOOKUP($A301,[1]maaltijden!$A$1:$IV$65536,22,FALSE)</f>
        <v>2200</v>
      </c>
      <c r="N301" s="135"/>
      <c r="O301" s="50"/>
      <c r="P301" s="19">
        <v>0</v>
      </c>
      <c r="Q301" s="20">
        <v>1</v>
      </c>
      <c r="R301" s="21">
        <v>0</v>
      </c>
      <c r="S301" s="19">
        <v>0</v>
      </c>
      <c r="T301" s="20">
        <v>1</v>
      </c>
      <c r="U301" s="19">
        <v>1</v>
      </c>
      <c r="V301" s="20">
        <v>1</v>
      </c>
      <c r="W301" s="20">
        <v>1</v>
      </c>
      <c r="X301" s="20">
        <v>1</v>
      </c>
      <c r="Y301" s="20">
        <v>1</v>
      </c>
      <c r="Z301" s="20">
        <v>0</v>
      </c>
      <c r="AA301" s="20">
        <v>0</v>
      </c>
      <c r="AB301" s="49">
        <v>0</v>
      </c>
      <c r="AC301" s="49">
        <v>1</v>
      </c>
      <c r="AD301" s="49">
        <v>0</v>
      </c>
      <c r="AE301" s="49">
        <v>1</v>
      </c>
      <c r="AF301" s="49">
        <v>0</v>
      </c>
      <c r="AG301" s="161">
        <v>1</v>
      </c>
      <c r="AH301" s="162">
        <v>1</v>
      </c>
      <c r="AI301" s="162">
        <v>1</v>
      </c>
      <c r="AJ301" s="162">
        <v>0</v>
      </c>
      <c r="AK301" s="162">
        <v>0</v>
      </c>
      <c r="AL301" s="163">
        <v>0</v>
      </c>
      <c r="AM301" s="19">
        <v>0</v>
      </c>
      <c r="AN301" s="20">
        <f>IFERROR(INDEX([2]lijnopstellingsfiche!$AP$1:$AP$65536,MATCH(A301,[2]lijnopstellingsfiche!$AQ$1:$AQ$65536,0)),"")</f>
        <v>1</v>
      </c>
      <c r="AO301" s="20">
        <v>1</v>
      </c>
      <c r="AP301" s="20">
        <v>0</v>
      </c>
      <c r="AQ301" s="20">
        <v>1</v>
      </c>
      <c r="AR301" s="20">
        <v>0</v>
      </c>
      <c r="AS301" s="20">
        <v>0</v>
      </c>
      <c r="AT301" s="20">
        <v>1</v>
      </c>
      <c r="AU301" s="20">
        <v>0</v>
      </c>
      <c r="AV301" s="23">
        <v>0</v>
      </c>
      <c r="AW301" s="108">
        <v>0</v>
      </c>
      <c r="AX301" s="108">
        <v>0</v>
      </c>
      <c r="AY301" s="108">
        <v>1</v>
      </c>
      <c r="AZ301" s="108">
        <v>0</v>
      </c>
      <c r="BA301" s="114">
        <v>1</v>
      </c>
      <c r="BB301" s="20">
        <v>0</v>
      </c>
      <c r="BC301" s="113">
        <v>0</v>
      </c>
      <c r="BD301" s="200" t="str">
        <f>VLOOKUP($A301,'[3]allergenen 6nr'!$A$1:$O$1310,3,FALSE)</f>
        <v>-</v>
      </c>
      <c r="BE301" s="201" t="str">
        <f>VLOOKUP($A301,'[3]allergenen 6nr'!$A$1:$O$1310,4,FALSE)</f>
        <v>X</v>
      </c>
      <c r="BF301" s="201" t="str">
        <f>VLOOKUP($A301,'[3]allergenen 6nr'!$A$1:$O$1310,5,FALSE)</f>
        <v>+</v>
      </c>
      <c r="BG301" s="201" t="str">
        <f>VLOOKUP($A301,'[3]allergenen 6nr'!$A$1:$O$1310,6,FALSE)</f>
        <v>X</v>
      </c>
      <c r="BH301" s="201" t="str">
        <f>VLOOKUP($A301,'[3]allergenen 6nr'!$A$1:$O$1310,7,FALSE)</f>
        <v>+</v>
      </c>
      <c r="BI301" s="201" t="str">
        <f>VLOOKUP($A301,'[3]allergenen 6nr'!$A$1:$O$1310,8,FALSE)</f>
        <v>X</v>
      </c>
      <c r="BJ301" s="201" t="str">
        <f>VLOOKUP($A301,'[3]allergenen 6nr'!$A$1:$O$1310,9,FALSE)</f>
        <v>-</v>
      </c>
      <c r="BK301" s="201" t="str">
        <f>VLOOKUP($A301,'[3]allergenen 6nr'!$A$1:$O$1310,10,FALSE)</f>
        <v>-</v>
      </c>
      <c r="BL301" s="201" t="str">
        <f>VLOOKUP($A301,'[3]allergenen 6nr'!$A$1:$O$1310,11,FALSE)</f>
        <v>-</v>
      </c>
      <c r="BM301" s="201" t="str">
        <f>VLOOKUP($A301,'[3]allergenen 6nr'!$A$1:$O$1310,12,FALSE)</f>
        <v>-</v>
      </c>
      <c r="BN301" s="201" t="str">
        <f>VLOOKUP($A301,'[3]allergenen 6nr'!$A$1:$O$1310,13,FALSE)</f>
        <v>X</v>
      </c>
      <c r="BO301" s="201" t="str">
        <f>VLOOKUP($A301,'[3]allergenen 6nr'!$A$1:$O$1310,14,FALSE)</f>
        <v>-</v>
      </c>
      <c r="BP301" s="202" t="str">
        <f>VLOOKUP($A301,'[3]allergenen 6nr'!$A$1:$O$1310,15,FALSE)</f>
        <v>-</v>
      </c>
    </row>
    <row r="302" spans="1:68" x14ac:dyDescent="0.2">
      <c r="A302" s="54">
        <v>63909300</v>
      </c>
      <c r="B302" s="53" t="str">
        <f>VLOOKUP($A302,[1]maaltijden!$A$1:$IV$65536,4,FALSE)</f>
        <v xml:space="preserve">VAT ANDIJVIESTAMPPOT MET SPEKLAPJE               </v>
      </c>
      <c r="C302" s="46" t="str">
        <f>VLOOKUP($A302,[1]maaltijden!$A$1:$IV$65536,7,FALSE)</f>
        <v>C2227-2K</v>
      </c>
      <c r="D302" s="22" t="str">
        <f>VLOOKUP($A302,[1]maaltijden!$A$1:$IV$65536,10,FALSE)</f>
        <v>NVT</v>
      </c>
      <c r="E302" s="22" t="str">
        <f>VLOOKUP($A302,[1]maaltijden!$A$1:$IV$65536,13,FALSE)</f>
        <v xml:space="preserve">VAT X 6 </v>
      </c>
      <c r="F302" s="20">
        <f t="shared" si="4"/>
        <v>0</v>
      </c>
      <c r="G302" s="20" t="str">
        <f>VLOOKUP($A302,[1]maaltijden!$A$1:$IV$65536,27,FALSE)</f>
        <v>! ! !</v>
      </c>
      <c r="H302" s="22">
        <f>VLOOKUP($A302,[1]maaltijden!$A$1:$IV$65536,21,FALSE)</f>
        <v>4</v>
      </c>
      <c r="I302" s="22">
        <f>VLOOKUP($A302,[1]maaltijden!$A$1:$IV$65536,21,FALSE)</f>
        <v>4</v>
      </c>
      <c r="J302" s="22">
        <f>VLOOKUP($A302,[1]maaltijden!$A$1:$IV$65536,18,FALSE)</f>
        <v>3</v>
      </c>
      <c r="K302" s="22">
        <f>VLOOKUP($A302,[1]maaltijden!$A$1:$IV$65536,17,FALSE)</f>
        <v>2</v>
      </c>
      <c r="L302" s="22">
        <f>VLOOKUP($A302,[1]maaltijden!$A$1:$IV$65536,20,FALSE)</f>
        <v>2000</v>
      </c>
      <c r="M302" s="22">
        <f>VLOOKUP($A302,[1]maaltijden!$A$1:$IV$65536,22,FALSE)</f>
        <v>2000</v>
      </c>
      <c r="N302" s="135"/>
      <c r="O302" s="50"/>
      <c r="P302" s="19">
        <v>0</v>
      </c>
      <c r="Q302" s="20">
        <v>1</v>
      </c>
      <c r="R302" s="21">
        <v>0</v>
      </c>
      <c r="S302" s="19">
        <v>0</v>
      </c>
      <c r="T302" s="20">
        <v>1</v>
      </c>
      <c r="U302" s="19"/>
      <c r="V302" s="20"/>
      <c r="W302" s="20"/>
      <c r="X302" s="20"/>
      <c r="Y302" s="20"/>
      <c r="Z302" s="20"/>
      <c r="AA302" s="20"/>
      <c r="AB302" s="49"/>
      <c r="AC302" s="49"/>
      <c r="AD302" s="49"/>
      <c r="AE302" s="49"/>
      <c r="AF302" s="49"/>
      <c r="AG302" s="161">
        <v>0</v>
      </c>
      <c r="AH302" s="168">
        <v>2</v>
      </c>
      <c r="AI302" s="20"/>
      <c r="AJ302" s="20"/>
      <c r="AK302" s="20"/>
      <c r="AL302" s="21"/>
      <c r="AM302" s="19">
        <v>0</v>
      </c>
      <c r="AN302" s="20" t="str">
        <f>IFERROR(INDEX([2]lijnopstellingsfiche!$AP$1:$AP$65536,MATCH(A302,[2]lijnopstellingsfiche!$AQ$1:$AQ$65536,0)),"")</f>
        <v>-</v>
      </c>
      <c r="AO302" s="20">
        <v>0</v>
      </c>
      <c r="AP302" s="20">
        <v>0</v>
      </c>
      <c r="AQ302" s="20">
        <v>1</v>
      </c>
      <c r="AR302" s="20">
        <v>1</v>
      </c>
      <c r="AS302" s="20">
        <v>0</v>
      </c>
      <c r="AT302" s="20">
        <v>0</v>
      </c>
      <c r="AU302" s="20">
        <v>0</v>
      </c>
      <c r="AV302" s="23">
        <v>0</v>
      </c>
      <c r="AW302" s="108">
        <v>0</v>
      </c>
      <c r="AX302" s="108">
        <v>0</v>
      </c>
      <c r="AY302" s="108">
        <v>1</v>
      </c>
      <c r="AZ302" s="108">
        <v>0</v>
      </c>
      <c r="BA302" s="114">
        <v>1</v>
      </c>
      <c r="BB302" s="20">
        <v>0</v>
      </c>
      <c r="BC302" s="113">
        <v>0</v>
      </c>
      <c r="BD302" s="200" t="str">
        <f>VLOOKUP($A302,'[3]allergenen 6nr'!$A$1:$O$1310,3,FALSE)</f>
        <v>-</v>
      </c>
      <c r="BE302" s="201" t="str">
        <f>VLOOKUP($A302,'[3]allergenen 6nr'!$A$1:$O$1310,4,FALSE)</f>
        <v>-</v>
      </c>
      <c r="BF302" s="201" t="str">
        <f>VLOOKUP($A302,'[3]allergenen 6nr'!$A$1:$O$1310,5,FALSE)</f>
        <v>+</v>
      </c>
      <c r="BG302" s="201" t="str">
        <f>VLOOKUP($A302,'[3]allergenen 6nr'!$A$1:$O$1310,6,FALSE)</f>
        <v>X</v>
      </c>
      <c r="BH302" s="201" t="str">
        <f>VLOOKUP($A302,'[3]allergenen 6nr'!$A$1:$O$1310,7,FALSE)</f>
        <v>+</v>
      </c>
      <c r="BI302" s="201" t="str">
        <f>VLOOKUP($A302,'[3]allergenen 6nr'!$A$1:$O$1310,8,FALSE)</f>
        <v>X</v>
      </c>
      <c r="BJ302" s="201" t="str">
        <f>VLOOKUP($A302,'[3]allergenen 6nr'!$A$1:$O$1310,9,FALSE)</f>
        <v>-</v>
      </c>
      <c r="BK302" s="201" t="str">
        <f>VLOOKUP($A302,'[3]allergenen 6nr'!$A$1:$O$1310,10,FALSE)</f>
        <v>-</v>
      </c>
      <c r="BL302" s="201" t="str">
        <f>VLOOKUP($A302,'[3]allergenen 6nr'!$A$1:$O$1310,11,FALSE)</f>
        <v>+</v>
      </c>
      <c r="BM302" s="201" t="str">
        <f>VLOOKUP($A302,'[3]allergenen 6nr'!$A$1:$O$1310,12,FALSE)</f>
        <v>-</v>
      </c>
      <c r="BN302" s="201" t="str">
        <f>VLOOKUP($A302,'[3]allergenen 6nr'!$A$1:$O$1310,13,FALSE)</f>
        <v>X</v>
      </c>
      <c r="BO302" s="201" t="str">
        <f>VLOOKUP($A302,'[3]allergenen 6nr'!$A$1:$O$1310,14,FALSE)</f>
        <v>-</v>
      </c>
      <c r="BP302" s="202" t="str">
        <f>VLOOKUP($A302,'[3]allergenen 6nr'!$A$1:$O$1310,15,FALSE)</f>
        <v>-</v>
      </c>
    </row>
    <row r="303" spans="1:68" x14ac:dyDescent="0.2">
      <c r="A303" s="54">
        <v>63909800</v>
      </c>
      <c r="B303" s="53" t="str">
        <f>VLOOKUP($A303,[1]maaltijden!$A$1:$IV$65536,4,FALSE)</f>
        <v>VAT ERWTENSOEP MET ROOKWORSTSCHIJFJES 650G</v>
      </c>
      <c r="C303" s="46" t="str">
        <f>VLOOKUP($A303,[1]maaltijden!$A$1:$IV$65536,7,FALSE)</f>
        <v xml:space="preserve">C2227-1H </v>
      </c>
      <c r="D303" s="22" t="str">
        <f>VLOOKUP($A303,[1]maaltijden!$A$1:$IV$65536,10,FALSE)</f>
        <v>NVT</v>
      </c>
      <c r="E303" s="22" t="str">
        <f>VLOOKUP($A303,[1]maaltijden!$A$1:$IV$65536,13,FALSE)</f>
        <v xml:space="preserve">VAT X 6 </v>
      </c>
      <c r="F303" s="20">
        <f t="shared" si="4"/>
        <v>0</v>
      </c>
      <c r="G303" s="20" t="str">
        <f>VLOOKUP($A303,[1]maaltijden!$A$1:$IV$65536,27,FALSE)</f>
        <v>! ! !</v>
      </c>
      <c r="H303" s="22">
        <f>VLOOKUP($A303,[1]maaltijden!$A$1:$IV$65536,21,FALSE)</f>
        <v>2</v>
      </c>
      <c r="I303" s="22">
        <f>VLOOKUP($A303,[1]maaltijden!$A$1:$IV$65536,21,FALSE)</f>
        <v>2</v>
      </c>
      <c r="J303" s="22">
        <f>VLOOKUP($A303,[1]maaltijden!$A$1:$IV$65536,18,FALSE)</f>
        <v>3</v>
      </c>
      <c r="K303" s="22">
        <f>VLOOKUP($A303,[1]maaltijden!$A$1:$IV$65536,17,FALSE)</f>
        <v>1</v>
      </c>
      <c r="L303" s="22">
        <f>VLOOKUP($A303,[1]maaltijden!$A$1:$IV$65536,20,FALSE)</f>
        <v>2000</v>
      </c>
      <c r="M303" s="22">
        <f>VLOOKUP($A303,[1]maaltijden!$A$1:$IV$65536,22,FALSE)</f>
        <v>2000</v>
      </c>
      <c r="N303" s="135"/>
      <c r="O303" s="50"/>
      <c r="P303" s="19">
        <v>0</v>
      </c>
      <c r="Q303" s="20">
        <v>1</v>
      </c>
      <c r="R303" s="21">
        <v>0</v>
      </c>
      <c r="S303" s="19">
        <v>0</v>
      </c>
      <c r="T303" s="20">
        <v>1</v>
      </c>
      <c r="U303" s="19"/>
      <c r="V303" s="20"/>
      <c r="W303" s="20"/>
      <c r="X303" s="20"/>
      <c r="Y303" s="20"/>
      <c r="Z303" s="20"/>
      <c r="AA303" s="20"/>
      <c r="AB303" s="49"/>
      <c r="AC303" s="49"/>
      <c r="AD303" s="49"/>
      <c r="AE303" s="49"/>
      <c r="AF303" s="49"/>
      <c r="AG303" s="161">
        <v>0</v>
      </c>
      <c r="AH303" s="20"/>
      <c r="AI303" s="168">
        <v>1</v>
      </c>
      <c r="AJ303" s="20"/>
      <c r="AK303" s="20"/>
      <c r="AL303" s="171">
        <v>1</v>
      </c>
      <c r="AM303" s="19">
        <v>0</v>
      </c>
      <c r="AN303" s="20" t="str">
        <f>IFERROR(INDEX([2]lijnopstellingsfiche!$AP$1:$AP$65536,MATCH(A303,[2]lijnopstellingsfiche!$AQ$1:$AQ$65536,0)),"")</f>
        <v>-</v>
      </c>
      <c r="AO303" s="20">
        <v>0</v>
      </c>
      <c r="AP303" s="20">
        <v>0</v>
      </c>
      <c r="AQ303" s="20">
        <v>2</v>
      </c>
      <c r="AR303" s="20">
        <v>0</v>
      </c>
      <c r="AS303" s="20">
        <v>0</v>
      </c>
      <c r="AT303" s="20">
        <v>1</v>
      </c>
      <c r="AU303" s="20">
        <v>0</v>
      </c>
      <c r="AV303" s="23">
        <v>0</v>
      </c>
      <c r="AW303" s="108">
        <v>0</v>
      </c>
      <c r="AX303" s="108">
        <v>0</v>
      </c>
      <c r="AY303" s="108">
        <v>1</v>
      </c>
      <c r="AZ303" s="108">
        <v>0</v>
      </c>
      <c r="BA303" s="114">
        <v>1</v>
      </c>
      <c r="BB303" s="20">
        <v>0</v>
      </c>
      <c r="BC303" s="113">
        <v>0</v>
      </c>
      <c r="BD303" s="200" t="str">
        <f>VLOOKUP($A303,'[3]allergenen 6nr'!$A$1:$O$1310,3,FALSE)</f>
        <v>-</v>
      </c>
      <c r="BE303" s="201" t="str">
        <f>VLOOKUP($A303,'[3]allergenen 6nr'!$A$1:$O$1310,4,FALSE)</f>
        <v>-</v>
      </c>
      <c r="BF303" s="201" t="str">
        <f>VLOOKUP($A303,'[3]allergenen 6nr'!$A$1:$O$1310,5,FALSE)</f>
        <v>X</v>
      </c>
      <c r="BG303" s="201" t="str">
        <f>VLOOKUP($A303,'[3]allergenen 6nr'!$A$1:$O$1310,6,FALSE)</f>
        <v>-</v>
      </c>
      <c r="BH303" s="201" t="str">
        <f>VLOOKUP($A303,'[3]allergenen 6nr'!$A$1:$O$1310,7,FALSE)</f>
        <v>-</v>
      </c>
      <c r="BI303" s="201" t="str">
        <f>VLOOKUP($A303,'[3]allergenen 6nr'!$A$1:$O$1310,8,FALSE)</f>
        <v>-</v>
      </c>
      <c r="BJ303" s="201" t="str">
        <f>VLOOKUP($A303,'[3]allergenen 6nr'!$A$1:$O$1310,9,FALSE)</f>
        <v>-</v>
      </c>
      <c r="BK303" s="201" t="str">
        <f>VLOOKUP($A303,'[3]allergenen 6nr'!$A$1:$O$1310,10,FALSE)</f>
        <v>-</v>
      </c>
      <c r="BL303" s="201" t="str">
        <f>VLOOKUP($A303,'[3]allergenen 6nr'!$A$1:$O$1310,11,FALSE)</f>
        <v>+</v>
      </c>
      <c r="BM303" s="201" t="str">
        <f>VLOOKUP($A303,'[3]allergenen 6nr'!$A$1:$O$1310,12,FALSE)</f>
        <v>-</v>
      </c>
      <c r="BN303" s="201" t="str">
        <f>VLOOKUP($A303,'[3]allergenen 6nr'!$A$1:$O$1310,13,FALSE)</f>
        <v>X</v>
      </c>
      <c r="BO303" s="201" t="str">
        <f>VLOOKUP($A303,'[3]allergenen 6nr'!$A$1:$O$1310,14,FALSE)</f>
        <v>-</v>
      </c>
      <c r="BP303" s="202" t="str">
        <f>VLOOKUP($A303,'[3]allergenen 6nr'!$A$1:$O$1310,15,FALSE)</f>
        <v>-</v>
      </c>
    </row>
    <row r="304" spans="1:68" x14ac:dyDescent="0.2">
      <c r="A304" s="54">
        <v>63910100</v>
      </c>
      <c r="B304" s="53" t="str">
        <f>VLOOKUP($A304,[1]maaltijden!$A$1:$IV$65536,4,FALSE)</f>
        <v>VAT RUNDERGEHAKTBAL BLADSPIN. A LA CREME AARD</v>
      </c>
      <c r="C304" s="46" t="str">
        <f>VLOOKUP($A304,[1]maaltijden!$A$1:$IV$65536,7,FALSE)</f>
        <v>C2227-3R</v>
      </c>
      <c r="D304" s="22" t="str">
        <f>VLOOKUP($A304,[1]maaltijden!$A$1:$IV$65536,10,FALSE)</f>
        <v>NVT</v>
      </c>
      <c r="E304" s="22" t="str">
        <f>VLOOKUP($A304,[1]maaltijden!$A$1:$IV$65536,13,FALSE)</f>
        <v xml:space="preserve">VAT X 6 </v>
      </c>
      <c r="F304" s="20">
        <f t="shared" si="4"/>
        <v>0</v>
      </c>
      <c r="G304" s="20" t="str">
        <f>VLOOKUP($A304,[1]maaltijden!$A$1:$IV$65536,27,FALSE)</f>
        <v>! !</v>
      </c>
      <c r="H304" s="22">
        <f>VLOOKUP($A304,[1]maaltijden!$A$1:$IV$65536,21,FALSE)</f>
        <v>4</v>
      </c>
      <c r="I304" s="22">
        <f>VLOOKUP($A304,[1]maaltijden!$A$1:$IV$65536,21,FALSE)</f>
        <v>4</v>
      </c>
      <c r="J304" s="22">
        <f>VLOOKUP($A304,[1]maaltijden!$A$1:$IV$65536,18,FALSE)</f>
        <v>3</v>
      </c>
      <c r="K304" s="22">
        <f>VLOOKUP($A304,[1]maaltijden!$A$1:$IV$65536,17,FALSE)</f>
        <v>2.5</v>
      </c>
      <c r="L304" s="22">
        <f>VLOOKUP($A304,[1]maaltijden!$A$1:$IV$65536,20,FALSE)</f>
        <v>2200</v>
      </c>
      <c r="M304" s="22">
        <f>VLOOKUP($A304,[1]maaltijden!$A$1:$IV$65536,22,FALSE)</f>
        <v>2200</v>
      </c>
      <c r="N304" s="135"/>
      <c r="O304" s="50"/>
      <c r="P304" s="19">
        <v>0</v>
      </c>
      <c r="Q304" s="20">
        <v>1</v>
      </c>
      <c r="R304" s="21">
        <v>0</v>
      </c>
      <c r="S304" s="19">
        <v>0</v>
      </c>
      <c r="T304" s="20">
        <v>1</v>
      </c>
      <c r="U304" s="19"/>
      <c r="V304" s="20"/>
      <c r="W304" s="20"/>
      <c r="X304" s="20"/>
      <c r="Y304" s="20"/>
      <c r="Z304" s="20"/>
      <c r="AA304" s="20"/>
      <c r="AB304" s="49"/>
      <c r="AC304" s="49"/>
      <c r="AD304" s="49"/>
      <c r="AE304" s="49"/>
      <c r="AF304" s="49"/>
      <c r="AG304" s="161">
        <v>0</v>
      </c>
      <c r="AH304" s="168">
        <v>1</v>
      </c>
      <c r="AI304" s="168">
        <v>1</v>
      </c>
      <c r="AJ304" s="20"/>
      <c r="AK304" s="20"/>
      <c r="AL304" s="21"/>
      <c r="AM304" s="19">
        <v>0</v>
      </c>
      <c r="AN304" s="20" t="str">
        <f>IFERROR(INDEX([2]lijnopstellingsfiche!$AP$1:$AP$65536,MATCH(A304,[2]lijnopstellingsfiche!$AQ$1:$AQ$65536,0)),"")</f>
        <v>-</v>
      </c>
      <c r="AO304" s="20">
        <v>0</v>
      </c>
      <c r="AP304" s="20">
        <v>0</v>
      </c>
      <c r="AQ304" s="20">
        <v>2</v>
      </c>
      <c r="AR304" s="20">
        <v>0</v>
      </c>
      <c r="AS304" s="20">
        <v>0</v>
      </c>
      <c r="AT304" s="20">
        <v>0</v>
      </c>
      <c r="AU304" s="20">
        <v>0</v>
      </c>
      <c r="AV304" s="23">
        <v>0</v>
      </c>
      <c r="AW304" s="108">
        <v>0</v>
      </c>
      <c r="AX304" s="108">
        <v>0</v>
      </c>
      <c r="AY304" s="108">
        <v>1</v>
      </c>
      <c r="AZ304" s="108">
        <v>0</v>
      </c>
      <c r="BA304" s="114">
        <v>1</v>
      </c>
      <c r="BB304" s="20">
        <v>0</v>
      </c>
      <c r="BC304" s="113">
        <v>0</v>
      </c>
      <c r="BD304" s="200" t="str">
        <f>VLOOKUP($A304,'[3]allergenen 6nr'!$A$1:$O$1310,3,FALSE)</f>
        <v>-</v>
      </c>
      <c r="BE304" s="201" t="str">
        <f>VLOOKUP($A304,'[3]allergenen 6nr'!$A$1:$O$1310,4,FALSE)</f>
        <v>X</v>
      </c>
      <c r="BF304" s="201" t="str">
        <f>VLOOKUP($A304,'[3]allergenen 6nr'!$A$1:$O$1310,5,FALSE)</f>
        <v>+</v>
      </c>
      <c r="BG304" s="201" t="str">
        <f>VLOOKUP($A304,'[3]allergenen 6nr'!$A$1:$O$1310,6,FALSE)</f>
        <v>X</v>
      </c>
      <c r="BH304" s="201" t="str">
        <f>VLOOKUP($A304,'[3]allergenen 6nr'!$A$1:$O$1310,7,FALSE)</f>
        <v>+</v>
      </c>
      <c r="BI304" s="201" t="str">
        <f>VLOOKUP($A304,'[3]allergenen 6nr'!$A$1:$O$1310,8,FALSE)</f>
        <v>X</v>
      </c>
      <c r="BJ304" s="201" t="str">
        <f>VLOOKUP($A304,'[3]allergenen 6nr'!$A$1:$O$1310,9,FALSE)</f>
        <v>-</v>
      </c>
      <c r="BK304" s="201" t="str">
        <f>VLOOKUP($A304,'[3]allergenen 6nr'!$A$1:$O$1310,10,FALSE)</f>
        <v>X</v>
      </c>
      <c r="BL304" s="201" t="str">
        <f>VLOOKUP($A304,'[3]allergenen 6nr'!$A$1:$O$1310,11,FALSE)</f>
        <v>X</v>
      </c>
      <c r="BM304" s="201" t="str">
        <f>VLOOKUP($A304,'[3]allergenen 6nr'!$A$1:$O$1310,12,FALSE)</f>
        <v>-</v>
      </c>
      <c r="BN304" s="201" t="str">
        <f>VLOOKUP($A304,'[3]allergenen 6nr'!$A$1:$O$1310,13,FALSE)</f>
        <v>X</v>
      </c>
      <c r="BO304" s="201" t="str">
        <f>VLOOKUP($A304,'[3]allergenen 6nr'!$A$1:$O$1310,14,FALSE)</f>
        <v>X</v>
      </c>
      <c r="BP304" s="202" t="str">
        <f>VLOOKUP($A304,'[3]allergenen 6nr'!$A$1:$O$1310,15,FALSE)</f>
        <v>X</v>
      </c>
    </row>
    <row r="305" spans="1:68" x14ac:dyDescent="0.2">
      <c r="A305" s="54">
        <v>63910200</v>
      </c>
      <c r="B305" s="53" t="str">
        <f>VLOOKUP($A305,[1]maaltijden!$A$1:$IV$65536,4,FALSE)</f>
        <v>VAT RUNDERLAPJE SCHORSENEREN EN GEK AARDAPPELEN</v>
      </c>
      <c r="C305" s="46" t="str">
        <f>VLOOKUP($A305,[1]maaltijden!$A$1:$IV$65536,7,FALSE)</f>
        <v>C2227-3R</v>
      </c>
      <c r="D305" s="22" t="str">
        <f>VLOOKUP($A305,[1]maaltijden!$A$1:$IV$65536,10,FALSE)</f>
        <v>NVT</v>
      </c>
      <c r="E305" s="22" t="str">
        <f>VLOOKUP($A305,[1]maaltijden!$A$1:$IV$65536,13,FALSE)</f>
        <v xml:space="preserve">VAT X 6 </v>
      </c>
      <c r="F305" s="20">
        <f t="shared" si="4"/>
        <v>0</v>
      </c>
      <c r="G305" s="20" t="str">
        <f>VLOOKUP($A305,[1]maaltijden!$A$1:$IV$65536,27,FALSE)</f>
        <v>! !</v>
      </c>
      <c r="H305" s="22">
        <f>VLOOKUP($A305,[1]maaltijden!$A$1:$IV$65536,21,FALSE)</f>
        <v>4</v>
      </c>
      <c r="I305" s="22">
        <f>VLOOKUP($A305,[1]maaltijden!$A$1:$IV$65536,21,FALSE)</f>
        <v>4</v>
      </c>
      <c r="J305" s="22">
        <f>VLOOKUP($A305,[1]maaltijden!$A$1:$IV$65536,18,FALSE)</f>
        <v>3</v>
      </c>
      <c r="K305" s="22">
        <f>VLOOKUP($A305,[1]maaltijden!$A$1:$IV$65536,17,FALSE)</f>
        <v>2</v>
      </c>
      <c r="L305" s="22">
        <f>VLOOKUP($A305,[1]maaltijden!$A$1:$IV$65536,20,FALSE)</f>
        <v>2200</v>
      </c>
      <c r="M305" s="22">
        <f>VLOOKUP($A305,[1]maaltijden!$A$1:$IV$65536,22,FALSE)</f>
        <v>2200</v>
      </c>
      <c r="N305" s="135"/>
      <c r="O305" s="50"/>
      <c r="P305" s="19">
        <v>0</v>
      </c>
      <c r="Q305" s="20">
        <v>1</v>
      </c>
      <c r="R305" s="21">
        <v>0</v>
      </c>
      <c r="S305" s="19">
        <v>0</v>
      </c>
      <c r="T305" s="20">
        <v>1</v>
      </c>
      <c r="U305" s="19"/>
      <c r="V305" s="20"/>
      <c r="W305" s="20"/>
      <c r="X305" s="20"/>
      <c r="Y305" s="20"/>
      <c r="Z305" s="20"/>
      <c r="AA305" s="20"/>
      <c r="AB305" s="49"/>
      <c r="AC305" s="49"/>
      <c r="AD305" s="49"/>
      <c r="AE305" s="49"/>
      <c r="AF305" s="49"/>
      <c r="AG305" s="161">
        <v>0</v>
      </c>
      <c r="AH305" s="168">
        <v>1</v>
      </c>
      <c r="AI305" s="168">
        <v>1</v>
      </c>
      <c r="AJ305" s="20"/>
      <c r="AK305" s="20"/>
      <c r="AL305" s="21"/>
      <c r="AM305" s="19">
        <v>0</v>
      </c>
      <c r="AN305" s="20" t="str">
        <f>IFERROR(INDEX([2]lijnopstellingsfiche!$AP$1:$AP$65536,MATCH(A305,[2]lijnopstellingsfiche!$AQ$1:$AQ$65536,0)),"")</f>
        <v>-</v>
      </c>
      <c r="AO305" s="20">
        <v>0</v>
      </c>
      <c r="AP305" s="20">
        <v>0</v>
      </c>
      <c r="AQ305" s="20">
        <v>2</v>
      </c>
      <c r="AR305" s="20">
        <v>0</v>
      </c>
      <c r="AS305" s="20">
        <v>0</v>
      </c>
      <c r="AT305" s="20">
        <v>0</v>
      </c>
      <c r="AU305" s="20">
        <v>0</v>
      </c>
      <c r="AV305" s="23">
        <v>0</v>
      </c>
      <c r="AW305" s="108">
        <v>0</v>
      </c>
      <c r="AX305" s="108">
        <v>0</v>
      </c>
      <c r="AY305" s="108">
        <v>1</v>
      </c>
      <c r="AZ305" s="108">
        <v>0</v>
      </c>
      <c r="BA305" s="114">
        <v>1</v>
      </c>
      <c r="BB305" s="20">
        <v>0</v>
      </c>
      <c r="BC305" s="113">
        <v>0</v>
      </c>
      <c r="BD305" s="200" t="str">
        <f>VLOOKUP($A305,'[3]allergenen 6nr'!$A$1:$O$1310,3,FALSE)</f>
        <v>-</v>
      </c>
      <c r="BE305" s="201" t="str">
        <f>VLOOKUP($A305,'[3]allergenen 6nr'!$A$1:$O$1310,4,FALSE)</f>
        <v>-</v>
      </c>
      <c r="BF305" s="201" t="str">
        <f>VLOOKUP($A305,'[3]allergenen 6nr'!$A$1:$O$1310,5,FALSE)</f>
        <v>+</v>
      </c>
      <c r="BG305" s="201" t="str">
        <f>VLOOKUP($A305,'[3]allergenen 6nr'!$A$1:$O$1310,6,FALSE)</f>
        <v>X</v>
      </c>
      <c r="BH305" s="201" t="str">
        <f>VLOOKUP($A305,'[3]allergenen 6nr'!$A$1:$O$1310,7,FALSE)</f>
        <v>+</v>
      </c>
      <c r="BI305" s="201" t="str">
        <f>VLOOKUP($A305,'[3]allergenen 6nr'!$A$1:$O$1310,8,FALSE)</f>
        <v>X</v>
      </c>
      <c r="BJ305" s="201" t="str">
        <f>VLOOKUP($A305,'[3]allergenen 6nr'!$A$1:$O$1310,9,FALSE)</f>
        <v>-</v>
      </c>
      <c r="BK305" s="201" t="str">
        <f>VLOOKUP($A305,'[3]allergenen 6nr'!$A$1:$O$1310,10,FALSE)</f>
        <v>-</v>
      </c>
      <c r="BL305" s="201" t="str">
        <f>VLOOKUP($A305,'[3]allergenen 6nr'!$A$1:$O$1310,11,FALSE)</f>
        <v>-</v>
      </c>
      <c r="BM305" s="201" t="str">
        <f>VLOOKUP($A305,'[3]allergenen 6nr'!$A$1:$O$1310,12,FALSE)</f>
        <v>-</v>
      </c>
      <c r="BN305" s="201" t="str">
        <f>VLOOKUP($A305,'[3]allergenen 6nr'!$A$1:$O$1310,13,FALSE)</f>
        <v>X</v>
      </c>
      <c r="BO305" s="201" t="str">
        <f>VLOOKUP($A305,'[3]allergenen 6nr'!$A$1:$O$1310,14,FALSE)</f>
        <v>-</v>
      </c>
      <c r="BP305" s="202" t="str">
        <f>VLOOKUP($A305,'[3]allergenen 6nr'!$A$1:$O$1310,15,FALSE)</f>
        <v>-</v>
      </c>
    </row>
    <row r="306" spans="1:68" x14ac:dyDescent="0.2">
      <c r="A306" s="54">
        <v>63910300</v>
      </c>
      <c r="B306" s="53" t="str">
        <f>VLOOKUP($A306,[1]maaltijden!$A$1:$IV$65536,4,FALSE)</f>
        <v>VAT KIPSCHNITZEL STROGANOFF ERWTEN BOONTJES AARD KUBUS</v>
      </c>
      <c r="C306" s="46" t="str">
        <f>VLOOKUP($A306,[1]maaltijden!$A$1:$IV$65536,7,FALSE)</f>
        <v xml:space="preserve">C2227-1H </v>
      </c>
      <c r="D306" s="22" t="str">
        <f>VLOOKUP($A306,[1]maaltijden!$A$1:$IV$65536,10,FALSE)</f>
        <v>NVT</v>
      </c>
      <c r="E306" s="22" t="str">
        <f>VLOOKUP($A306,[1]maaltijden!$A$1:$IV$65536,13,FALSE)</f>
        <v xml:space="preserve">VAT X 6 </v>
      </c>
      <c r="F306" s="20">
        <f t="shared" si="4"/>
        <v>0</v>
      </c>
      <c r="G306" s="20" t="str">
        <f>VLOOKUP($A306,[1]maaltijden!$A$1:$IV$65536,27,FALSE)</f>
        <v>! !</v>
      </c>
      <c r="H306" s="22">
        <f>VLOOKUP($A306,[1]maaltijden!$A$1:$IV$65536,21,FALSE)</f>
        <v>3</v>
      </c>
      <c r="I306" s="22">
        <f>VLOOKUP($A306,[1]maaltijden!$A$1:$IV$65536,21,FALSE)</f>
        <v>3</v>
      </c>
      <c r="J306" s="22">
        <f>VLOOKUP($A306,[1]maaltijden!$A$1:$IV$65536,18,FALSE)</f>
        <v>3</v>
      </c>
      <c r="K306" s="22">
        <f>VLOOKUP($A306,[1]maaltijden!$A$1:$IV$65536,17,FALSE)</f>
        <v>2.5</v>
      </c>
      <c r="L306" s="22">
        <f>VLOOKUP($A306,[1]maaltijden!$A$1:$IV$65536,20,FALSE)</f>
        <v>2200</v>
      </c>
      <c r="M306" s="22">
        <f>VLOOKUP($A306,[1]maaltijden!$A$1:$IV$65536,22,FALSE)</f>
        <v>2200</v>
      </c>
      <c r="N306" s="135"/>
      <c r="O306" s="50"/>
      <c r="P306" s="19">
        <v>0</v>
      </c>
      <c r="Q306" s="20">
        <v>1</v>
      </c>
      <c r="R306" s="21">
        <v>0</v>
      </c>
      <c r="S306" s="19">
        <v>0</v>
      </c>
      <c r="T306" s="20">
        <v>1</v>
      </c>
      <c r="U306" s="19"/>
      <c r="V306" s="20"/>
      <c r="W306" s="20"/>
      <c r="X306" s="20"/>
      <c r="Y306" s="20"/>
      <c r="Z306" s="20"/>
      <c r="AA306" s="20"/>
      <c r="AB306" s="49"/>
      <c r="AC306" s="49"/>
      <c r="AD306" s="49"/>
      <c r="AE306" s="49"/>
      <c r="AF306" s="49"/>
      <c r="AG306" s="161">
        <v>0</v>
      </c>
      <c r="AH306" s="168">
        <v>1</v>
      </c>
      <c r="AI306" s="168">
        <v>1</v>
      </c>
      <c r="AJ306" s="20"/>
      <c r="AK306" s="20"/>
      <c r="AL306" s="21"/>
      <c r="AM306" s="19">
        <v>0</v>
      </c>
      <c r="AN306" s="20" t="str">
        <f>IFERROR(INDEX([2]lijnopstellingsfiche!$AP$1:$AP$65536,MATCH(A306,[2]lijnopstellingsfiche!$AQ$1:$AQ$65536,0)),"")</f>
        <v>-</v>
      </c>
      <c r="AO306" s="20">
        <v>0</v>
      </c>
      <c r="AP306" s="20">
        <v>0</v>
      </c>
      <c r="AQ306" s="20">
        <v>1</v>
      </c>
      <c r="AR306" s="20">
        <v>0</v>
      </c>
      <c r="AS306" s="20">
        <v>0</v>
      </c>
      <c r="AT306" s="20">
        <v>1</v>
      </c>
      <c r="AU306" s="20">
        <v>0</v>
      </c>
      <c r="AV306" s="23">
        <v>0</v>
      </c>
      <c r="AW306" s="108">
        <v>0</v>
      </c>
      <c r="AX306" s="108">
        <v>0</v>
      </c>
      <c r="AY306" s="108">
        <v>1</v>
      </c>
      <c r="AZ306" s="108">
        <v>0</v>
      </c>
      <c r="BA306" s="114">
        <v>1</v>
      </c>
      <c r="BB306" s="20">
        <v>0</v>
      </c>
      <c r="BC306" s="113">
        <v>0</v>
      </c>
      <c r="BD306" s="200" t="str">
        <f>VLOOKUP($A306,'[3]allergenen 6nr'!$A$1:$O$1310,3,FALSE)</f>
        <v>-</v>
      </c>
      <c r="BE306" s="201" t="str">
        <f>VLOOKUP($A306,'[3]allergenen 6nr'!$A$1:$O$1310,4,FALSE)</f>
        <v>X</v>
      </c>
      <c r="BF306" s="201" t="str">
        <f>VLOOKUP($A306,'[3]allergenen 6nr'!$A$1:$O$1310,5,FALSE)</f>
        <v>+</v>
      </c>
      <c r="BG306" s="201" t="str">
        <f>VLOOKUP($A306,'[3]allergenen 6nr'!$A$1:$O$1310,6,FALSE)</f>
        <v>-</v>
      </c>
      <c r="BH306" s="201" t="str">
        <f>VLOOKUP($A306,'[3]allergenen 6nr'!$A$1:$O$1310,7,FALSE)</f>
        <v>+</v>
      </c>
      <c r="BI306" s="201" t="str">
        <f>VLOOKUP($A306,'[3]allergenen 6nr'!$A$1:$O$1310,8,FALSE)</f>
        <v>X</v>
      </c>
      <c r="BJ306" s="201" t="str">
        <f>VLOOKUP($A306,'[3]allergenen 6nr'!$A$1:$O$1310,9,FALSE)</f>
        <v>-</v>
      </c>
      <c r="BK306" s="201" t="str">
        <f>VLOOKUP($A306,'[3]allergenen 6nr'!$A$1:$O$1310,10,FALSE)</f>
        <v>-</v>
      </c>
      <c r="BL306" s="201" t="str">
        <f>VLOOKUP($A306,'[3]allergenen 6nr'!$A$1:$O$1310,11,FALSE)</f>
        <v>X</v>
      </c>
      <c r="BM306" s="201" t="str">
        <f>VLOOKUP($A306,'[3]allergenen 6nr'!$A$1:$O$1310,12,FALSE)</f>
        <v>-</v>
      </c>
      <c r="BN306" s="201" t="str">
        <f>VLOOKUP($A306,'[3]allergenen 6nr'!$A$1:$O$1310,13,FALSE)</f>
        <v>X</v>
      </c>
      <c r="BO306" s="201" t="str">
        <f>VLOOKUP($A306,'[3]allergenen 6nr'!$A$1:$O$1310,14,FALSE)</f>
        <v>-</v>
      </c>
      <c r="BP306" s="202" t="str">
        <f>VLOOKUP($A306,'[3]allergenen 6nr'!$A$1:$O$1310,15,FALSE)</f>
        <v>-</v>
      </c>
    </row>
    <row r="307" spans="1:68" x14ac:dyDescent="0.2">
      <c r="A307" s="54">
        <v>63910500</v>
      </c>
      <c r="B307" s="53" t="str">
        <f>VLOOKUP($A307,[1]maaltijden!$A$1:$IV$65536,4,FALSE)</f>
        <v>VAT SPEKLAPJE JUS RODE BIETJES AARDAP</v>
      </c>
      <c r="C307" s="46" t="str">
        <f>VLOOKUP($A307,[1]maaltijden!$A$1:$IV$65536,7,FALSE)</f>
        <v>C2227-3R</v>
      </c>
      <c r="D307" s="22" t="str">
        <f>VLOOKUP($A307,[1]maaltijden!$A$1:$IV$65536,10,FALSE)</f>
        <v>NVT</v>
      </c>
      <c r="E307" s="22" t="str">
        <f>VLOOKUP($A307,[1]maaltijden!$A$1:$IV$65536,13,FALSE)</f>
        <v xml:space="preserve">VAT X 6 </v>
      </c>
      <c r="F307" s="20">
        <f t="shared" si="4"/>
        <v>0</v>
      </c>
      <c r="G307" s="20" t="str">
        <f>VLOOKUP($A307,[1]maaltijden!$A$1:$IV$65536,27,FALSE)</f>
        <v>! ! !</v>
      </c>
      <c r="H307" s="22">
        <f>VLOOKUP($A307,[1]maaltijden!$A$1:$IV$65536,21,FALSE)</f>
        <v>6</v>
      </c>
      <c r="I307" s="22">
        <f>VLOOKUP($A307,[1]maaltijden!$A$1:$IV$65536,21,FALSE)</f>
        <v>6</v>
      </c>
      <c r="J307" s="22">
        <f>VLOOKUP($A307,[1]maaltijden!$A$1:$IV$65536,18,FALSE)</f>
        <v>3</v>
      </c>
      <c r="K307" s="22">
        <f>VLOOKUP($A307,[1]maaltijden!$A$1:$IV$65536,17,FALSE)</f>
        <v>2.5</v>
      </c>
      <c r="L307" s="22">
        <f>VLOOKUP($A307,[1]maaltijden!$A$1:$IV$65536,20,FALSE)</f>
        <v>2200</v>
      </c>
      <c r="M307" s="22">
        <f>VLOOKUP($A307,[1]maaltijden!$A$1:$IV$65536,22,FALSE)</f>
        <v>2200</v>
      </c>
      <c r="N307" s="135"/>
      <c r="O307" s="50"/>
      <c r="P307" s="19">
        <v>0</v>
      </c>
      <c r="Q307" s="20">
        <v>1</v>
      </c>
      <c r="R307" s="21">
        <v>0</v>
      </c>
      <c r="S307" s="19">
        <v>0</v>
      </c>
      <c r="T307" s="20">
        <v>1</v>
      </c>
      <c r="U307" s="19"/>
      <c r="V307" s="20"/>
      <c r="W307" s="20"/>
      <c r="X307" s="20"/>
      <c r="Y307" s="20"/>
      <c r="Z307" s="20"/>
      <c r="AA307" s="20"/>
      <c r="AB307" s="49"/>
      <c r="AC307" s="49"/>
      <c r="AD307" s="49"/>
      <c r="AE307" s="49"/>
      <c r="AF307" s="49"/>
      <c r="AG307" s="161">
        <v>0</v>
      </c>
      <c r="AH307" s="168">
        <v>2</v>
      </c>
      <c r="AI307" s="20"/>
      <c r="AJ307" s="20"/>
      <c r="AK307" s="20"/>
      <c r="AL307" s="21"/>
      <c r="AM307" s="19">
        <v>0</v>
      </c>
      <c r="AN307" s="20" t="str">
        <f>IFERROR(INDEX([2]lijnopstellingsfiche!$AP$1:$AP$65536,MATCH(A307,[2]lijnopstellingsfiche!$AQ$1:$AQ$65536,0)),"")</f>
        <v>-</v>
      </c>
      <c r="AO307" s="20">
        <v>0</v>
      </c>
      <c r="AP307" s="20">
        <v>0</v>
      </c>
      <c r="AQ307" s="20">
        <v>2</v>
      </c>
      <c r="AR307" s="20">
        <v>0</v>
      </c>
      <c r="AS307" s="20">
        <v>0</v>
      </c>
      <c r="AT307" s="20">
        <v>0</v>
      </c>
      <c r="AU307" s="20">
        <v>0</v>
      </c>
      <c r="AV307" s="23">
        <v>0</v>
      </c>
      <c r="AW307" s="108">
        <v>0</v>
      </c>
      <c r="AX307" s="108">
        <v>0</v>
      </c>
      <c r="AY307" s="108">
        <v>1</v>
      </c>
      <c r="AZ307" s="108">
        <v>0</v>
      </c>
      <c r="BA307" s="114">
        <v>1</v>
      </c>
      <c r="BB307" s="20">
        <v>0</v>
      </c>
      <c r="BC307" s="113">
        <v>0</v>
      </c>
      <c r="BD307" s="200" t="str">
        <f>VLOOKUP($A307,'[3]allergenen 6nr'!$A$1:$O$1310,3,FALSE)</f>
        <v>-</v>
      </c>
      <c r="BE307" s="201" t="str">
        <f>VLOOKUP($A307,'[3]allergenen 6nr'!$A$1:$O$1310,4,FALSE)</f>
        <v>-</v>
      </c>
      <c r="BF307" s="201" t="str">
        <f>VLOOKUP($A307,'[3]allergenen 6nr'!$A$1:$O$1310,5,FALSE)</f>
        <v>+</v>
      </c>
      <c r="BG307" s="201" t="str">
        <f>VLOOKUP($A307,'[3]allergenen 6nr'!$A$1:$O$1310,6,FALSE)</f>
        <v>X</v>
      </c>
      <c r="BH307" s="201" t="str">
        <f>VLOOKUP($A307,'[3]allergenen 6nr'!$A$1:$O$1310,7,FALSE)</f>
        <v>-</v>
      </c>
      <c r="BI307" s="201" t="str">
        <f>VLOOKUP($A307,'[3]allergenen 6nr'!$A$1:$O$1310,8,FALSE)</f>
        <v>X</v>
      </c>
      <c r="BJ307" s="201" t="str">
        <f>VLOOKUP($A307,'[3]allergenen 6nr'!$A$1:$O$1310,9,FALSE)</f>
        <v>-</v>
      </c>
      <c r="BK307" s="201" t="str">
        <f>VLOOKUP($A307,'[3]allergenen 6nr'!$A$1:$O$1310,10,FALSE)</f>
        <v>-</v>
      </c>
      <c r="BL307" s="201" t="str">
        <f>VLOOKUP($A307,'[3]allergenen 6nr'!$A$1:$O$1310,11,FALSE)</f>
        <v>+</v>
      </c>
      <c r="BM307" s="201" t="str">
        <f>VLOOKUP($A307,'[3]allergenen 6nr'!$A$1:$O$1310,12,FALSE)</f>
        <v>-</v>
      </c>
      <c r="BN307" s="201" t="str">
        <f>VLOOKUP($A307,'[3]allergenen 6nr'!$A$1:$O$1310,13,FALSE)</f>
        <v>X</v>
      </c>
      <c r="BO307" s="201" t="str">
        <f>VLOOKUP($A307,'[3]allergenen 6nr'!$A$1:$O$1310,14,FALSE)</f>
        <v>-</v>
      </c>
      <c r="BP307" s="202" t="str">
        <f>VLOOKUP($A307,'[3]allergenen 6nr'!$A$1:$O$1310,15,FALSE)</f>
        <v>-</v>
      </c>
    </row>
    <row r="308" spans="1:68" x14ac:dyDescent="0.2">
      <c r="A308" s="54">
        <v>63910700</v>
      </c>
      <c r="B308" s="53" t="str">
        <f>VLOOKUP($A308,[1]maaltijden!$A$1:$IV$65536,4,FALSE)</f>
        <v>VAT HEEK HOLLANDAISE BROCCOLI PUREE</v>
      </c>
      <c r="C308" s="46" t="str">
        <f>VLOOKUP($A308,[1]maaltijden!$A$1:$IV$65536,7,FALSE)</f>
        <v>C2227-2K</v>
      </c>
      <c r="D308" s="22" t="str">
        <f>VLOOKUP($A308,[1]maaltijden!$A$1:$IV$65536,10,FALSE)</f>
        <v>NVT</v>
      </c>
      <c r="E308" s="22" t="str">
        <f>VLOOKUP($A308,[1]maaltijden!$A$1:$IV$65536,13,FALSE)</f>
        <v xml:space="preserve">VAT X 6 </v>
      </c>
      <c r="F308" s="20">
        <f t="shared" si="4"/>
        <v>0</v>
      </c>
      <c r="G308" s="20" t="str">
        <f>VLOOKUP($A308,[1]maaltijden!$A$1:$IV$65536,27,FALSE)</f>
        <v>! ! ! !</v>
      </c>
      <c r="H308" s="22">
        <f>VLOOKUP($A308,[1]maaltijden!$A$1:$IV$65536,21,FALSE)</f>
        <v>4</v>
      </c>
      <c r="I308" s="22">
        <f>VLOOKUP($A308,[1]maaltijden!$A$1:$IV$65536,21,FALSE)</f>
        <v>4</v>
      </c>
      <c r="J308" s="22">
        <f>VLOOKUP($A308,[1]maaltijden!$A$1:$IV$65536,18,FALSE)</f>
        <v>3</v>
      </c>
      <c r="K308" s="22">
        <f>VLOOKUP($A308,[1]maaltijden!$A$1:$IV$65536,17,FALSE)</f>
        <v>2.5</v>
      </c>
      <c r="L308" s="22">
        <f>VLOOKUP($A308,[1]maaltijden!$A$1:$IV$65536,20,FALSE)</f>
        <v>1750</v>
      </c>
      <c r="M308" s="22">
        <f>VLOOKUP($A308,[1]maaltijden!$A$1:$IV$65536,22,FALSE)</f>
        <v>1750</v>
      </c>
      <c r="N308" s="135"/>
      <c r="O308" s="50"/>
      <c r="P308" s="19">
        <v>0</v>
      </c>
      <c r="Q308" s="20">
        <v>1</v>
      </c>
      <c r="R308" s="21">
        <v>0</v>
      </c>
      <c r="S308" s="19">
        <v>0</v>
      </c>
      <c r="T308" s="20">
        <v>1</v>
      </c>
      <c r="U308" s="19"/>
      <c r="V308" s="20"/>
      <c r="W308" s="20"/>
      <c r="X308" s="20"/>
      <c r="Y308" s="20"/>
      <c r="Z308" s="20"/>
      <c r="AA308" s="20"/>
      <c r="AB308" s="49"/>
      <c r="AC308" s="49"/>
      <c r="AD308" s="49"/>
      <c r="AE308" s="49"/>
      <c r="AF308" s="49"/>
      <c r="AG308" s="161">
        <v>0</v>
      </c>
      <c r="AH308" s="168">
        <v>2</v>
      </c>
      <c r="AI308" s="168">
        <v>1</v>
      </c>
      <c r="AJ308" s="20"/>
      <c r="AK308" s="20"/>
      <c r="AL308" s="21"/>
      <c r="AM308" s="19">
        <v>0</v>
      </c>
      <c r="AN308" s="20" t="str">
        <f>IFERROR(INDEX([2]lijnopstellingsfiche!$AP$1:$AP$65536,MATCH(A308,[2]lijnopstellingsfiche!$AQ$1:$AQ$65536,0)),"")</f>
        <v>-</v>
      </c>
      <c r="AO308" s="20">
        <v>0</v>
      </c>
      <c r="AP308" s="20">
        <v>0</v>
      </c>
      <c r="AQ308" s="20">
        <v>1</v>
      </c>
      <c r="AR308" s="20">
        <v>1</v>
      </c>
      <c r="AS308" s="20">
        <v>0</v>
      </c>
      <c r="AT308" s="20">
        <v>0</v>
      </c>
      <c r="AU308" s="20">
        <v>0</v>
      </c>
      <c r="AV308" s="23">
        <v>0</v>
      </c>
      <c r="AW308" s="108">
        <v>0</v>
      </c>
      <c r="AX308" s="108">
        <v>0</v>
      </c>
      <c r="AY308" s="108">
        <v>1</v>
      </c>
      <c r="AZ308" s="108">
        <v>0</v>
      </c>
      <c r="BA308" s="114">
        <v>1</v>
      </c>
      <c r="BB308" s="20">
        <v>0</v>
      </c>
      <c r="BC308" s="113">
        <v>0</v>
      </c>
      <c r="BD308" s="200" t="str">
        <f>VLOOKUP($A308,'[3]allergenen 6nr'!$A$1:$O$1310,3,FALSE)</f>
        <v>-</v>
      </c>
      <c r="BE308" s="201" t="str">
        <f>VLOOKUP($A308,'[3]allergenen 6nr'!$A$1:$O$1310,4,FALSE)</f>
        <v>+</v>
      </c>
      <c r="BF308" s="201" t="str">
        <f>VLOOKUP($A308,'[3]allergenen 6nr'!$A$1:$O$1310,5,FALSE)</f>
        <v>-</v>
      </c>
      <c r="BG308" s="201" t="str">
        <f>VLOOKUP($A308,'[3]allergenen 6nr'!$A$1:$O$1310,6,FALSE)</f>
        <v>-</v>
      </c>
      <c r="BH308" s="201" t="str">
        <f>VLOOKUP($A308,'[3]allergenen 6nr'!$A$1:$O$1310,7,FALSE)</f>
        <v>+</v>
      </c>
      <c r="BI308" s="201" t="str">
        <f>VLOOKUP($A308,'[3]allergenen 6nr'!$A$1:$O$1310,8,FALSE)</f>
        <v>-</v>
      </c>
      <c r="BJ308" s="201" t="str">
        <f>VLOOKUP($A308,'[3]allergenen 6nr'!$A$1:$O$1310,9,FALSE)</f>
        <v>-</v>
      </c>
      <c r="BK308" s="201" t="str">
        <f>VLOOKUP($A308,'[3]allergenen 6nr'!$A$1:$O$1310,10,FALSE)</f>
        <v>-</v>
      </c>
      <c r="BL308" s="201" t="str">
        <f>VLOOKUP($A308,'[3]allergenen 6nr'!$A$1:$O$1310,11,FALSE)</f>
        <v>+</v>
      </c>
      <c r="BM308" s="201" t="str">
        <f>VLOOKUP($A308,'[3]allergenen 6nr'!$A$1:$O$1310,12,FALSE)</f>
        <v>-</v>
      </c>
      <c r="BN308" s="201" t="str">
        <f>VLOOKUP($A308,'[3]allergenen 6nr'!$A$1:$O$1310,13,FALSE)</f>
        <v>-</v>
      </c>
      <c r="BO308" s="201" t="str">
        <f>VLOOKUP($A308,'[3]allergenen 6nr'!$A$1:$O$1310,14,FALSE)</f>
        <v>+</v>
      </c>
      <c r="BP308" s="202" t="str">
        <f>VLOOKUP($A308,'[3]allergenen 6nr'!$A$1:$O$1310,15,FALSE)</f>
        <v>-</v>
      </c>
    </row>
    <row r="309" spans="1:68" x14ac:dyDescent="0.2">
      <c r="A309" s="54">
        <v>63910800</v>
      </c>
      <c r="B309" s="53" t="str">
        <f>VLOOKUP($A309,[1]maaltijden!$A$1:$IV$65536,4,FALSE)</f>
        <v>VAT SPAGHETTI CARBONARA</v>
      </c>
      <c r="C309" s="46" t="str">
        <f>VLOOKUP($A309,[1]maaltijden!$A$1:$IV$65536,7,FALSE)</f>
        <v xml:space="preserve">C2227-1H </v>
      </c>
      <c r="D309" s="22" t="str">
        <f>VLOOKUP($A309,[1]maaltijden!$A$1:$IV$65536,10,FALSE)</f>
        <v>NVT</v>
      </c>
      <c r="E309" s="22" t="str">
        <f>VLOOKUP($A309,[1]maaltijden!$A$1:$IV$65536,13,FALSE)</f>
        <v xml:space="preserve">VAT X 6 </v>
      </c>
      <c r="F309" s="20">
        <f t="shared" si="4"/>
        <v>0</v>
      </c>
      <c r="G309" s="20" t="str">
        <f>VLOOKUP($A309,[1]maaltijden!$A$1:$IV$65536,27,FALSE)</f>
        <v>! !</v>
      </c>
      <c r="H309" s="22">
        <f>VLOOKUP($A309,[1]maaltijden!$A$1:$IV$65536,21,FALSE)</f>
        <v>3</v>
      </c>
      <c r="I309" s="22">
        <f>VLOOKUP($A309,[1]maaltijden!$A$1:$IV$65536,21,FALSE)</f>
        <v>3</v>
      </c>
      <c r="J309" s="22">
        <f>VLOOKUP($A309,[1]maaltijden!$A$1:$IV$65536,18,FALSE)</f>
        <v>3</v>
      </c>
      <c r="K309" s="22">
        <f>VLOOKUP($A309,[1]maaltijden!$A$1:$IV$65536,17,FALSE)</f>
        <v>2</v>
      </c>
      <c r="L309" s="22">
        <f>VLOOKUP($A309,[1]maaltijden!$A$1:$IV$65536,20,FALSE)</f>
        <v>2200</v>
      </c>
      <c r="M309" s="22">
        <f>VLOOKUP($A309,[1]maaltijden!$A$1:$IV$65536,22,FALSE)</f>
        <v>2200</v>
      </c>
      <c r="N309" s="135"/>
      <c r="O309" s="50"/>
      <c r="P309" s="19">
        <v>0</v>
      </c>
      <c r="Q309" s="20">
        <v>1</v>
      </c>
      <c r="R309" s="21">
        <v>0</v>
      </c>
      <c r="S309" s="19">
        <v>0</v>
      </c>
      <c r="T309" s="20">
        <v>1</v>
      </c>
      <c r="U309" s="19"/>
      <c r="V309" s="20"/>
      <c r="W309" s="20"/>
      <c r="X309" s="20"/>
      <c r="Y309" s="20"/>
      <c r="Z309" s="20"/>
      <c r="AA309" s="20"/>
      <c r="AB309" s="49"/>
      <c r="AC309" s="49"/>
      <c r="AD309" s="49"/>
      <c r="AE309" s="49"/>
      <c r="AF309" s="49"/>
      <c r="AG309" s="161">
        <v>1</v>
      </c>
      <c r="AH309" s="168">
        <v>1</v>
      </c>
      <c r="AI309" s="168">
        <v>1</v>
      </c>
      <c r="AJ309" s="20"/>
      <c r="AK309" s="20"/>
      <c r="AL309" s="21"/>
      <c r="AM309" s="19">
        <v>0</v>
      </c>
      <c r="AN309" s="20">
        <f>IFERROR(INDEX([2]lijnopstellingsfiche!$AP$1:$AP$65536,MATCH(A309,[2]lijnopstellingsfiche!$AQ$1:$AQ$65536,0)),"")</f>
        <v>1</v>
      </c>
      <c r="AO309" s="20">
        <v>1</v>
      </c>
      <c r="AP309" s="20">
        <v>0</v>
      </c>
      <c r="AQ309" s="20">
        <v>2</v>
      </c>
      <c r="AR309" s="20">
        <v>0</v>
      </c>
      <c r="AS309" s="20">
        <v>0</v>
      </c>
      <c r="AT309" s="20">
        <v>0</v>
      </c>
      <c r="AU309" s="20">
        <v>0</v>
      </c>
      <c r="AV309" s="23">
        <v>0</v>
      </c>
      <c r="AW309" s="108">
        <v>0</v>
      </c>
      <c r="AX309" s="108">
        <v>0</v>
      </c>
      <c r="AY309" s="108">
        <v>1</v>
      </c>
      <c r="AZ309" s="108">
        <v>0</v>
      </c>
      <c r="BA309" s="114">
        <v>1</v>
      </c>
      <c r="BB309" s="20">
        <v>0</v>
      </c>
      <c r="BC309" s="113">
        <v>0</v>
      </c>
      <c r="BD309" s="200" t="str">
        <f>VLOOKUP($A309,'[3]allergenen 6nr'!$A$1:$O$1310,3,FALSE)</f>
        <v>-</v>
      </c>
      <c r="BE309" s="201" t="str">
        <f>VLOOKUP($A309,'[3]allergenen 6nr'!$A$1:$O$1310,4,FALSE)</f>
        <v>X</v>
      </c>
      <c r="BF309" s="201" t="str">
        <f>VLOOKUP($A309,'[3]allergenen 6nr'!$A$1:$O$1310,5,FALSE)</f>
        <v>+</v>
      </c>
      <c r="BG309" s="201" t="str">
        <f>VLOOKUP($A309,'[3]allergenen 6nr'!$A$1:$O$1310,6,FALSE)</f>
        <v>X</v>
      </c>
      <c r="BH309" s="201" t="str">
        <f>VLOOKUP($A309,'[3]allergenen 6nr'!$A$1:$O$1310,7,FALSE)</f>
        <v>+</v>
      </c>
      <c r="BI309" s="201" t="str">
        <f>VLOOKUP($A309,'[3]allergenen 6nr'!$A$1:$O$1310,8,FALSE)</f>
        <v>X</v>
      </c>
      <c r="BJ309" s="201" t="str">
        <f>VLOOKUP($A309,'[3]allergenen 6nr'!$A$1:$O$1310,9,FALSE)</f>
        <v>-</v>
      </c>
      <c r="BK309" s="201" t="str">
        <f>VLOOKUP($A309,'[3]allergenen 6nr'!$A$1:$O$1310,10,FALSE)</f>
        <v>-</v>
      </c>
      <c r="BL309" s="201" t="str">
        <f>VLOOKUP($A309,'[3]allergenen 6nr'!$A$1:$O$1310,11,FALSE)</f>
        <v>-</v>
      </c>
      <c r="BM309" s="201" t="str">
        <f>VLOOKUP($A309,'[3]allergenen 6nr'!$A$1:$O$1310,12,FALSE)</f>
        <v>-</v>
      </c>
      <c r="BN309" s="201" t="str">
        <f>VLOOKUP($A309,'[3]allergenen 6nr'!$A$1:$O$1310,13,FALSE)</f>
        <v>X</v>
      </c>
      <c r="BO309" s="201" t="str">
        <f>VLOOKUP($A309,'[3]allergenen 6nr'!$A$1:$O$1310,14,FALSE)</f>
        <v>-</v>
      </c>
      <c r="BP309" s="202" t="str">
        <f>VLOOKUP($A309,'[3]allergenen 6nr'!$A$1:$O$1310,15,FALSE)</f>
        <v>-</v>
      </c>
    </row>
    <row r="310" spans="1:68" x14ac:dyDescent="0.2">
      <c r="A310" s="54">
        <v>63910900</v>
      </c>
      <c r="B310" s="53" t="str">
        <f>VLOOKUP($A310,[1]maaltijden!$A$1:$IV$65536,4,FALSE)</f>
        <v xml:space="preserve">VAT KIP ZOETZUUR NASI GORENG </v>
      </c>
      <c r="C310" s="46" t="str">
        <f>VLOOKUP($A310,[1]maaltijden!$A$1:$IV$65536,7,FALSE)</f>
        <v>C2227-2K</v>
      </c>
      <c r="D310" s="22" t="str">
        <f>VLOOKUP($A310,[1]maaltijden!$A$1:$IV$65536,10,FALSE)</f>
        <v>NVT</v>
      </c>
      <c r="E310" s="22" t="str">
        <f>VLOOKUP($A310,[1]maaltijden!$A$1:$IV$65536,13,FALSE)</f>
        <v xml:space="preserve">VAT X 6 </v>
      </c>
      <c r="F310" s="20">
        <f t="shared" si="4"/>
        <v>0</v>
      </c>
      <c r="G310" s="20" t="str">
        <f>VLOOKUP($A310,[1]maaltijden!$A$1:$IV$65536,27,FALSE)</f>
        <v>! ! ! ! !</v>
      </c>
      <c r="H310" s="22">
        <f>VLOOKUP($A310,[1]maaltijden!$A$1:$IV$65536,21,FALSE)</f>
        <v>4</v>
      </c>
      <c r="I310" s="22">
        <f>VLOOKUP($A310,[1]maaltijden!$A$1:$IV$65536,21,FALSE)</f>
        <v>4</v>
      </c>
      <c r="J310" s="22">
        <f>VLOOKUP($A310,[1]maaltijden!$A$1:$IV$65536,18,FALSE)</f>
        <v>3</v>
      </c>
      <c r="K310" s="22">
        <f>VLOOKUP($A310,[1]maaltijden!$A$1:$IV$65536,17,FALSE)</f>
        <v>3</v>
      </c>
      <c r="L310" s="22">
        <f>VLOOKUP($A310,[1]maaltijden!$A$1:$IV$65536,20,FALSE)</f>
        <v>2200</v>
      </c>
      <c r="M310" s="22">
        <f>VLOOKUP($A310,[1]maaltijden!$A$1:$IV$65536,22,FALSE)</f>
        <v>2200</v>
      </c>
      <c r="N310" s="135"/>
      <c r="O310" s="50"/>
      <c r="P310" s="19">
        <v>0</v>
      </c>
      <c r="Q310" s="20">
        <v>1</v>
      </c>
      <c r="R310" s="21">
        <v>0</v>
      </c>
      <c r="S310" s="19">
        <v>0</v>
      </c>
      <c r="T310" s="20">
        <v>1</v>
      </c>
      <c r="U310" s="19"/>
      <c r="V310" s="20"/>
      <c r="W310" s="20"/>
      <c r="X310" s="20"/>
      <c r="Y310" s="20"/>
      <c r="Z310" s="20"/>
      <c r="AA310" s="20"/>
      <c r="AB310" s="49"/>
      <c r="AC310" s="49"/>
      <c r="AD310" s="49"/>
      <c r="AE310" s="49"/>
      <c r="AF310" s="49"/>
      <c r="AG310" s="161">
        <v>1</v>
      </c>
      <c r="AH310" s="168">
        <v>1</v>
      </c>
      <c r="AI310" s="20"/>
      <c r="AJ310" s="168">
        <v>1</v>
      </c>
      <c r="AK310" s="20"/>
      <c r="AL310" s="21"/>
      <c r="AM310" s="19">
        <v>0</v>
      </c>
      <c r="AN310" s="20">
        <f>IFERROR(INDEX([2]lijnopstellingsfiche!$AP$1:$AP$65536,MATCH(A310,[2]lijnopstellingsfiche!$AQ$1:$AQ$65536,0)),"")</f>
        <v>1</v>
      </c>
      <c r="AO310" s="20">
        <v>1</v>
      </c>
      <c r="AP310" s="20">
        <v>0</v>
      </c>
      <c r="AQ310" s="20">
        <v>1</v>
      </c>
      <c r="AR310" s="20">
        <v>0</v>
      </c>
      <c r="AS310" s="20">
        <v>0</v>
      </c>
      <c r="AT310" s="20">
        <v>1</v>
      </c>
      <c r="AU310" s="20">
        <v>0</v>
      </c>
      <c r="AV310" s="23">
        <v>0</v>
      </c>
      <c r="AW310" s="108">
        <v>0</v>
      </c>
      <c r="AX310" s="108">
        <v>0</v>
      </c>
      <c r="AY310" s="108">
        <v>1</v>
      </c>
      <c r="AZ310" s="108">
        <v>0</v>
      </c>
      <c r="BA310" s="114">
        <v>1</v>
      </c>
      <c r="BB310" s="20">
        <v>0</v>
      </c>
      <c r="BC310" s="113">
        <v>0</v>
      </c>
      <c r="BD310" s="200" t="str">
        <f>VLOOKUP($A310,'[3]allergenen 6nr'!$A$1:$O$1310,3,FALSE)</f>
        <v>-</v>
      </c>
      <c r="BE310" s="201" t="str">
        <f>VLOOKUP($A310,'[3]allergenen 6nr'!$A$1:$O$1310,4,FALSE)</f>
        <v>+</v>
      </c>
      <c r="BF310" s="201" t="str">
        <f>VLOOKUP($A310,'[3]allergenen 6nr'!$A$1:$O$1310,5,FALSE)</f>
        <v>+</v>
      </c>
      <c r="BG310" s="201" t="str">
        <f>VLOOKUP($A310,'[3]allergenen 6nr'!$A$1:$O$1310,6,FALSE)</f>
        <v>-</v>
      </c>
      <c r="BH310" s="201" t="str">
        <f>VLOOKUP($A310,'[3]allergenen 6nr'!$A$1:$O$1310,7,FALSE)</f>
        <v>-</v>
      </c>
      <c r="BI310" s="201" t="str">
        <f>VLOOKUP($A310,'[3]allergenen 6nr'!$A$1:$O$1310,8,FALSE)</f>
        <v>-</v>
      </c>
      <c r="BJ310" s="201" t="str">
        <f>VLOOKUP($A310,'[3]allergenen 6nr'!$A$1:$O$1310,9,FALSE)</f>
        <v>-</v>
      </c>
      <c r="BK310" s="201" t="str">
        <f>VLOOKUP($A310,'[3]allergenen 6nr'!$A$1:$O$1310,10,FALSE)</f>
        <v>-</v>
      </c>
      <c r="BL310" s="201" t="str">
        <f>VLOOKUP($A310,'[3]allergenen 6nr'!$A$1:$O$1310,11,FALSE)</f>
        <v>+</v>
      </c>
      <c r="BM310" s="201" t="str">
        <f>VLOOKUP($A310,'[3]allergenen 6nr'!$A$1:$O$1310,12,FALSE)</f>
        <v>+</v>
      </c>
      <c r="BN310" s="201" t="str">
        <f>VLOOKUP($A310,'[3]allergenen 6nr'!$A$1:$O$1310,13,FALSE)</f>
        <v>+</v>
      </c>
      <c r="BO310" s="201" t="str">
        <f>VLOOKUP($A310,'[3]allergenen 6nr'!$A$1:$O$1310,14,FALSE)</f>
        <v>+</v>
      </c>
      <c r="BP310" s="202" t="str">
        <f>VLOOKUP($A310,'[3]allergenen 6nr'!$A$1:$O$1310,15,FALSE)</f>
        <v>-</v>
      </c>
    </row>
    <row r="311" spans="1:68" x14ac:dyDescent="0.2">
      <c r="A311" s="54">
        <v>63911100</v>
      </c>
      <c r="B311" s="53" t="str">
        <f>VLOOKUP($A311,[1]maaltijden!$A$1:$IV$65536,4,FALSE)</f>
        <v>VAT HETE BLIKSEM BRAADWORST</v>
      </c>
      <c r="C311" s="46" t="str">
        <f>VLOOKUP($A311,[1]maaltijden!$A$1:$IV$65536,7,FALSE)</f>
        <v>C2227-2K</v>
      </c>
      <c r="D311" s="22" t="str">
        <f>VLOOKUP($A311,[1]maaltijden!$A$1:$IV$65536,10,FALSE)</f>
        <v>NVT</v>
      </c>
      <c r="E311" s="22" t="str">
        <f>VLOOKUP($A311,[1]maaltijden!$A$1:$IV$65536,13,FALSE)</f>
        <v xml:space="preserve">VAT X 6 </v>
      </c>
      <c r="F311" s="20">
        <f t="shared" si="4"/>
        <v>0</v>
      </c>
      <c r="G311" s="20" t="str">
        <f>VLOOKUP($A311,[1]maaltijden!$A$1:$IV$65536,27,FALSE)</f>
        <v>! ! !</v>
      </c>
      <c r="H311" s="22">
        <f>VLOOKUP($A311,[1]maaltijden!$A$1:$IV$65536,21,FALSE)</f>
        <v>2</v>
      </c>
      <c r="I311" s="22">
        <f>VLOOKUP($A311,[1]maaltijden!$A$1:$IV$65536,21,FALSE)</f>
        <v>2</v>
      </c>
      <c r="J311" s="22">
        <f>VLOOKUP($A311,[1]maaltijden!$A$1:$IV$65536,18,FALSE)</f>
        <v>3</v>
      </c>
      <c r="K311" s="22">
        <f>VLOOKUP($A311,[1]maaltijden!$A$1:$IV$65536,17,FALSE)</f>
        <v>2</v>
      </c>
      <c r="L311" s="22">
        <f>VLOOKUP($A311,[1]maaltijden!$A$1:$IV$65536,20,FALSE)</f>
        <v>2000</v>
      </c>
      <c r="M311" s="22">
        <f>VLOOKUP($A311,[1]maaltijden!$A$1:$IV$65536,22,FALSE)</f>
        <v>2000</v>
      </c>
      <c r="N311" s="135"/>
      <c r="O311" s="50"/>
      <c r="P311" s="19">
        <v>0</v>
      </c>
      <c r="Q311" s="20">
        <v>1</v>
      </c>
      <c r="R311" s="21">
        <v>0</v>
      </c>
      <c r="S311" s="19">
        <v>0</v>
      </c>
      <c r="T311" s="20">
        <v>1</v>
      </c>
      <c r="U311" s="19"/>
      <c r="V311" s="20"/>
      <c r="W311" s="20"/>
      <c r="X311" s="20"/>
      <c r="Y311" s="20"/>
      <c r="Z311" s="20"/>
      <c r="AA311" s="20"/>
      <c r="AB311" s="49"/>
      <c r="AC311" s="49"/>
      <c r="AD311" s="49"/>
      <c r="AE311" s="49"/>
      <c r="AF311" s="49"/>
      <c r="AG311" s="161">
        <v>0</v>
      </c>
      <c r="AH311" s="168">
        <v>2</v>
      </c>
      <c r="AI311" s="20"/>
      <c r="AJ311" s="20"/>
      <c r="AK311" s="20"/>
      <c r="AL311" s="21"/>
      <c r="AM311" s="19">
        <v>0</v>
      </c>
      <c r="AN311" s="20" t="str">
        <f>IFERROR(INDEX([2]lijnopstellingsfiche!$AP$1:$AP$65536,MATCH(A311,[2]lijnopstellingsfiche!$AQ$1:$AQ$65536,0)),"")</f>
        <v>-</v>
      </c>
      <c r="AO311" s="20">
        <v>0</v>
      </c>
      <c r="AP311" s="20">
        <v>0</v>
      </c>
      <c r="AQ311" s="20">
        <v>1</v>
      </c>
      <c r="AR311" s="20">
        <v>1</v>
      </c>
      <c r="AS311" s="20">
        <v>0</v>
      </c>
      <c r="AT311" s="20">
        <v>0</v>
      </c>
      <c r="AU311" s="20">
        <v>0</v>
      </c>
      <c r="AV311" s="23">
        <v>0</v>
      </c>
      <c r="AW311" s="108">
        <v>0</v>
      </c>
      <c r="AX311" s="108">
        <v>0</v>
      </c>
      <c r="AY311" s="108">
        <v>1</v>
      </c>
      <c r="AZ311" s="108">
        <v>0</v>
      </c>
      <c r="BA311" s="114">
        <v>1</v>
      </c>
      <c r="BB311" s="20">
        <v>0</v>
      </c>
      <c r="BC311" s="113">
        <v>0</v>
      </c>
      <c r="BD311" s="200" t="str">
        <f>VLOOKUP($A311,'[3]allergenen 6nr'!$A$1:$O$1310,3,FALSE)</f>
        <v>-</v>
      </c>
      <c r="BE311" s="201" t="str">
        <f>VLOOKUP($A311,'[3]allergenen 6nr'!$A$1:$O$1310,4,FALSE)</f>
        <v>+</v>
      </c>
      <c r="BF311" s="201" t="str">
        <f>VLOOKUP($A311,'[3]allergenen 6nr'!$A$1:$O$1310,5,FALSE)</f>
        <v>+</v>
      </c>
      <c r="BG311" s="201" t="str">
        <f>VLOOKUP($A311,'[3]allergenen 6nr'!$A$1:$O$1310,6,FALSE)</f>
        <v>-</v>
      </c>
      <c r="BH311" s="201" t="str">
        <f>VLOOKUP($A311,'[3]allergenen 6nr'!$A$1:$O$1310,7,FALSE)</f>
        <v>+</v>
      </c>
      <c r="BI311" s="201" t="str">
        <f>VLOOKUP($A311,'[3]allergenen 6nr'!$A$1:$O$1310,8,FALSE)</f>
        <v>+</v>
      </c>
      <c r="BJ311" s="201" t="str">
        <f>VLOOKUP($A311,'[3]allergenen 6nr'!$A$1:$O$1310,9,FALSE)</f>
        <v>-</v>
      </c>
      <c r="BK311" s="201" t="str">
        <f>VLOOKUP($A311,'[3]allergenen 6nr'!$A$1:$O$1310,10,FALSE)</f>
        <v>-</v>
      </c>
      <c r="BL311" s="201" t="str">
        <f>VLOOKUP($A311,'[3]allergenen 6nr'!$A$1:$O$1310,11,FALSE)</f>
        <v>+</v>
      </c>
      <c r="BM311" s="201" t="str">
        <f>VLOOKUP($A311,'[3]allergenen 6nr'!$A$1:$O$1310,12,FALSE)</f>
        <v>-</v>
      </c>
      <c r="BN311" s="201" t="str">
        <f>VLOOKUP($A311,'[3]allergenen 6nr'!$A$1:$O$1310,13,FALSE)</f>
        <v>-</v>
      </c>
      <c r="BO311" s="201" t="str">
        <f>VLOOKUP($A311,'[3]allergenen 6nr'!$A$1:$O$1310,14,FALSE)</f>
        <v>-</v>
      </c>
      <c r="BP311" s="202" t="str">
        <f>VLOOKUP($A311,'[3]allergenen 6nr'!$A$1:$O$1310,15,FALSE)</f>
        <v>-</v>
      </c>
    </row>
    <row r="312" spans="1:68" x14ac:dyDescent="0.2">
      <c r="A312" s="89">
        <v>63911400</v>
      </c>
      <c r="B312" s="53" t="str">
        <f>VLOOKUP($A312,[1]maaltijden!$A$1:$IV$65536,4,FALSE)</f>
        <v>VAT KIPPENBOUT TUTTI FRUTTI GEBAKKEN AARD</v>
      </c>
      <c r="C312" s="46" t="str">
        <f>VLOOKUP($A312,[1]maaltijden!$A$1:$IV$65536,7,FALSE)</f>
        <v>C2227-2K</v>
      </c>
      <c r="D312" s="22" t="str">
        <f>VLOOKUP($A312,[1]maaltijden!$A$1:$IV$65536,10,FALSE)</f>
        <v>NVT</v>
      </c>
      <c r="E312" s="22" t="str">
        <f>VLOOKUP($A312,[1]maaltijden!$A$1:$IV$65536,13,FALSE)</f>
        <v xml:space="preserve">VAT X 6 </v>
      </c>
      <c r="F312" s="20">
        <f t="shared" si="4"/>
        <v>0</v>
      </c>
      <c r="G312" s="20" t="str">
        <f>VLOOKUP($A312,[1]maaltijden!$A$1:$IV$65536,27,FALSE)</f>
        <v>! ! !</v>
      </c>
      <c r="H312" s="22">
        <f>VLOOKUP($A312,[1]maaltijden!$A$1:$IV$65536,21,FALSE)</f>
        <v>4</v>
      </c>
      <c r="I312" s="22">
        <f>VLOOKUP($A312,[1]maaltijden!$A$1:$IV$65536,21,FALSE)</f>
        <v>4</v>
      </c>
      <c r="J312" s="22">
        <f>VLOOKUP($A312,[1]maaltijden!$A$1:$IV$65536,18,FALSE)</f>
        <v>3</v>
      </c>
      <c r="K312" s="22">
        <f>VLOOKUP($A312,[1]maaltijden!$A$1:$IV$65536,17,FALSE)</f>
        <v>2</v>
      </c>
      <c r="L312" s="22">
        <f>VLOOKUP($A312,[1]maaltijden!$A$1:$IV$65536,20,FALSE)</f>
        <v>2000</v>
      </c>
      <c r="M312" s="22">
        <f>VLOOKUP($A312,[1]maaltijden!$A$1:$IV$65536,22,FALSE)</f>
        <v>2000</v>
      </c>
      <c r="N312" s="135"/>
      <c r="O312" s="50"/>
      <c r="P312" s="19">
        <v>0</v>
      </c>
      <c r="Q312" s="20">
        <v>1</v>
      </c>
      <c r="R312" s="21">
        <v>0</v>
      </c>
      <c r="S312" s="19">
        <v>0</v>
      </c>
      <c r="T312" s="20">
        <v>1</v>
      </c>
      <c r="U312" s="19">
        <v>0</v>
      </c>
      <c r="V312" s="20">
        <v>1</v>
      </c>
      <c r="W312" s="20">
        <v>1</v>
      </c>
      <c r="X312" s="20">
        <v>1</v>
      </c>
      <c r="Y312" s="20">
        <v>1</v>
      </c>
      <c r="Z312" s="20">
        <v>1</v>
      </c>
      <c r="AA312" s="20">
        <v>0</v>
      </c>
      <c r="AB312" s="11">
        <v>0</v>
      </c>
      <c r="AC312" s="49">
        <v>0</v>
      </c>
      <c r="AD312" s="49">
        <v>0</v>
      </c>
      <c r="AE312" s="49">
        <v>1</v>
      </c>
      <c r="AF312" s="49">
        <v>0</v>
      </c>
      <c r="AG312" s="173">
        <v>0</v>
      </c>
      <c r="AH312" s="174">
        <v>0</v>
      </c>
      <c r="AI312" s="174">
        <v>1</v>
      </c>
      <c r="AJ312" s="174">
        <v>0</v>
      </c>
      <c r="AK312" s="174">
        <v>0</v>
      </c>
      <c r="AL312" s="175">
        <v>0</v>
      </c>
      <c r="AM312" s="19">
        <v>0</v>
      </c>
      <c r="AN312" s="20">
        <f>IFERROR(INDEX([2]lijnopstellingsfiche!$AP$1:$AP$65536,MATCH(A312,[2]lijnopstellingsfiche!$AQ$1:$AQ$65536,0)),"")</f>
        <v>1</v>
      </c>
      <c r="AO312" s="20">
        <v>0</v>
      </c>
      <c r="AP312" s="20">
        <v>0</v>
      </c>
      <c r="AQ312" s="20">
        <v>2</v>
      </c>
      <c r="AR312" s="20">
        <v>0</v>
      </c>
      <c r="AS312" s="20">
        <v>0</v>
      </c>
      <c r="AT312" s="20">
        <v>1</v>
      </c>
      <c r="AU312" s="20">
        <v>0</v>
      </c>
      <c r="AV312" s="23">
        <v>0</v>
      </c>
      <c r="AW312" s="108">
        <v>0</v>
      </c>
      <c r="AX312" s="108">
        <v>0</v>
      </c>
      <c r="AY312" s="108">
        <v>1</v>
      </c>
      <c r="AZ312" s="108">
        <v>0</v>
      </c>
      <c r="BA312" s="114">
        <v>1</v>
      </c>
      <c r="BB312" s="20">
        <v>0</v>
      </c>
      <c r="BC312" s="113">
        <v>0</v>
      </c>
      <c r="BD312" s="200" t="str">
        <f>VLOOKUP($A312,'[3]allergenen 6nr'!$A$1:$O$1310,3,FALSE)</f>
        <v>-</v>
      </c>
      <c r="BE312" s="201" t="str">
        <f>VLOOKUP($A312,'[3]allergenen 6nr'!$A$1:$O$1310,4,FALSE)</f>
        <v>-</v>
      </c>
      <c r="BF312" s="201" t="str">
        <f>VLOOKUP($A312,'[3]allergenen 6nr'!$A$1:$O$1310,5,FALSE)</f>
        <v>+</v>
      </c>
      <c r="BG312" s="201" t="str">
        <f>VLOOKUP($A312,'[3]allergenen 6nr'!$A$1:$O$1310,6,FALSE)</f>
        <v>-</v>
      </c>
      <c r="BH312" s="201" t="str">
        <f>VLOOKUP($A312,'[3]allergenen 6nr'!$A$1:$O$1310,7,FALSE)</f>
        <v>+</v>
      </c>
      <c r="BI312" s="201" t="str">
        <f>VLOOKUP($A312,'[3]allergenen 6nr'!$A$1:$O$1310,8,FALSE)</f>
        <v>X</v>
      </c>
      <c r="BJ312" s="201" t="str">
        <f>VLOOKUP($A312,'[3]allergenen 6nr'!$A$1:$O$1310,9,FALSE)</f>
        <v>-</v>
      </c>
      <c r="BK312" s="201" t="str">
        <f>VLOOKUP($A312,'[3]allergenen 6nr'!$A$1:$O$1310,10,FALSE)</f>
        <v>-</v>
      </c>
      <c r="BL312" s="201" t="str">
        <f>VLOOKUP($A312,'[3]allergenen 6nr'!$A$1:$O$1310,11,FALSE)</f>
        <v>+</v>
      </c>
      <c r="BM312" s="201" t="str">
        <f>VLOOKUP($A312,'[3]allergenen 6nr'!$A$1:$O$1310,12,FALSE)</f>
        <v>-</v>
      </c>
      <c r="BN312" s="201" t="str">
        <f>VLOOKUP($A312,'[3]allergenen 6nr'!$A$1:$O$1310,13,FALSE)</f>
        <v>-</v>
      </c>
      <c r="BO312" s="201" t="str">
        <f>VLOOKUP($A312,'[3]allergenen 6nr'!$A$1:$O$1310,14,FALSE)</f>
        <v>-</v>
      </c>
      <c r="BP312" s="202" t="str">
        <f>VLOOKUP($A312,'[3]allergenen 6nr'!$A$1:$O$1310,15,FALSE)</f>
        <v>-</v>
      </c>
    </row>
    <row r="313" spans="1:68" x14ac:dyDescent="0.2">
      <c r="A313" s="54">
        <v>63911500</v>
      </c>
      <c r="B313" s="53" t="str">
        <f>VLOOKUP($A313,[1]maaltijden!$A$1:$IV$65536,4,FALSE)</f>
        <v>VAT VA GEBRAAD SAVOOIKOOL KOOKAARDAPPEL</v>
      </c>
      <c r="C313" s="46" t="str">
        <f>VLOOKUP($A313,[1]maaltijden!$A$1:$IV$65536,7,FALSE)</f>
        <v>C2227-2K</v>
      </c>
      <c r="D313" s="22" t="str">
        <f>VLOOKUP($A313,[1]maaltijden!$A$1:$IV$65536,10,FALSE)</f>
        <v>NVT</v>
      </c>
      <c r="E313" s="22" t="str">
        <f>VLOOKUP($A313,[1]maaltijden!$A$1:$IV$65536,13,FALSE)</f>
        <v xml:space="preserve">VAT X 6 </v>
      </c>
      <c r="F313" s="20">
        <f t="shared" si="4"/>
        <v>0</v>
      </c>
      <c r="G313" s="20" t="str">
        <f>VLOOKUP($A313,[1]maaltijden!$A$1:$IV$65536,27,FALSE)</f>
        <v>! ! !</v>
      </c>
      <c r="H313" s="22">
        <f>VLOOKUP($A313,[1]maaltijden!$A$1:$IV$65536,21,FALSE)</f>
        <v>4</v>
      </c>
      <c r="I313" s="22">
        <f>VLOOKUP($A313,[1]maaltijden!$A$1:$IV$65536,21,FALSE)</f>
        <v>4</v>
      </c>
      <c r="J313" s="22">
        <f>VLOOKUP($A313,[1]maaltijden!$A$1:$IV$65536,18,FALSE)</f>
        <v>3</v>
      </c>
      <c r="K313" s="22">
        <f>VLOOKUP($A313,[1]maaltijden!$A$1:$IV$65536,17,FALSE)</f>
        <v>3</v>
      </c>
      <c r="L313" s="22">
        <f>VLOOKUP($A313,[1]maaltijden!$A$1:$IV$65536,20,FALSE)</f>
        <v>2200</v>
      </c>
      <c r="M313" s="22">
        <f>VLOOKUP($A313,[1]maaltijden!$A$1:$IV$65536,22,FALSE)</f>
        <v>2200</v>
      </c>
      <c r="N313" s="135"/>
      <c r="O313" s="50"/>
      <c r="P313" s="19">
        <v>0</v>
      </c>
      <c r="Q313" s="20">
        <v>1</v>
      </c>
      <c r="R313" s="21">
        <v>0</v>
      </c>
      <c r="S313" s="19">
        <v>0</v>
      </c>
      <c r="T313" s="20">
        <v>1</v>
      </c>
      <c r="U313" s="19"/>
      <c r="V313" s="20"/>
      <c r="W313" s="20"/>
      <c r="X313" s="20"/>
      <c r="Y313" s="20"/>
      <c r="Z313" s="20"/>
      <c r="AA313" s="20"/>
      <c r="AB313" s="49"/>
      <c r="AC313" s="49"/>
      <c r="AD313" s="49"/>
      <c r="AE313" s="49"/>
      <c r="AF313" s="49"/>
      <c r="AG313" s="161">
        <v>0</v>
      </c>
      <c r="AH313" s="168">
        <v>1</v>
      </c>
      <c r="AI313" s="168">
        <v>1</v>
      </c>
      <c r="AJ313" s="20"/>
      <c r="AK313" s="20"/>
      <c r="AL313" s="21"/>
      <c r="AM313" s="19">
        <v>0</v>
      </c>
      <c r="AN313" s="20" t="str">
        <f>IFERROR(INDEX([2]lijnopstellingsfiche!$AP$1:$AP$65536,MATCH(A313,[2]lijnopstellingsfiche!$AQ$1:$AQ$65536,0)),"")</f>
        <v>-</v>
      </c>
      <c r="AO313" s="20">
        <v>0</v>
      </c>
      <c r="AP313" s="20">
        <v>0</v>
      </c>
      <c r="AQ313" s="20">
        <v>2</v>
      </c>
      <c r="AR313" s="20">
        <v>0</v>
      </c>
      <c r="AS313" s="20">
        <v>0</v>
      </c>
      <c r="AT313" s="20">
        <v>0</v>
      </c>
      <c r="AU313" s="20">
        <v>0</v>
      </c>
      <c r="AV313" s="23">
        <v>0</v>
      </c>
      <c r="AW313" s="108">
        <v>0</v>
      </c>
      <c r="AX313" s="108">
        <v>0</v>
      </c>
      <c r="AY313" s="108">
        <v>1</v>
      </c>
      <c r="AZ313" s="108">
        <v>0</v>
      </c>
      <c r="BA313" s="114">
        <v>1</v>
      </c>
      <c r="BB313" s="20">
        <v>0</v>
      </c>
      <c r="BC313" s="113">
        <v>0</v>
      </c>
      <c r="BD313" s="200" t="str">
        <f>VLOOKUP($A313,'[3]allergenen 6nr'!$A$1:$O$1310,3,FALSE)</f>
        <v>X</v>
      </c>
      <c r="BE313" s="201" t="str">
        <f>VLOOKUP($A313,'[3]allergenen 6nr'!$A$1:$O$1310,4,FALSE)</f>
        <v>X</v>
      </c>
      <c r="BF313" s="201" t="str">
        <f>VLOOKUP($A313,'[3]allergenen 6nr'!$A$1:$O$1310,5,FALSE)</f>
        <v>+</v>
      </c>
      <c r="BG313" s="201" t="str">
        <f>VLOOKUP($A313,'[3]allergenen 6nr'!$A$1:$O$1310,6,FALSE)</f>
        <v>X</v>
      </c>
      <c r="BH313" s="201" t="str">
        <f>VLOOKUP($A313,'[3]allergenen 6nr'!$A$1:$O$1310,7,FALSE)</f>
        <v>+</v>
      </c>
      <c r="BI313" s="201" t="str">
        <f>VLOOKUP($A313,'[3]allergenen 6nr'!$A$1:$O$1310,8,FALSE)</f>
        <v>X</v>
      </c>
      <c r="BJ313" s="201" t="str">
        <f>VLOOKUP($A313,'[3]allergenen 6nr'!$A$1:$O$1310,9,FALSE)</f>
        <v>X</v>
      </c>
      <c r="BK313" s="201" t="str">
        <f>VLOOKUP($A313,'[3]allergenen 6nr'!$A$1:$O$1310,10,FALSE)</f>
        <v>X</v>
      </c>
      <c r="BL313" s="201" t="str">
        <f>VLOOKUP($A313,'[3]allergenen 6nr'!$A$1:$O$1310,11,FALSE)</f>
        <v>+</v>
      </c>
      <c r="BM313" s="201" t="str">
        <f>VLOOKUP($A313,'[3]allergenen 6nr'!$A$1:$O$1310,12,FALSE)</f>
        <v>X</v>
      </c>
      <c r="BN313" s="201" t="str">
        <f>VLOOKUP($A313,'[3]allergenen 6nr'!$A$1:$O$1310,13,FALSE)</f>
        <v>X</v>
      </c>
      <c r="BO313" s="201" t="str">
        <f>VLOOKUP($A313,'[3]allergenen 6nr'!$A$1:$O$1310,14,FALSE)</f>
        <v>X</v>
      </c>
      <c r="BP313" s="202" t="str">
        <f>VLOOKUP($A313,'[3]allergenen 6nr'!$A$1:$O$1310,15,FALSE)</f>
        <v>-</v>
      </c>
    </row>
    <row r="314" spans="1:68" x14ac:dyDescent="0.2">
      <c r="A314" s="54">
        <v>63911600</v>
      </c>
      <c r="B314" s="53" t="str">
        <f>VLOOKUP($A314,[1]maaltijden!$A$1:$IV$65536,4,FALSE)</f>
        <v>VAT CORDON BLEU SPINAZIE PUREE</v>
      </c>
      <c r="C314" s="46" t="str">
        <f>VLOOKUP($A314,[1]maaltijden!$A$1:$IV$65536,7,FALSE)</f>
        <v>C2227-3R</v>
      </c>
      <c r="D314" s="22" t="str">
        <f>VLOOKUP($A314,[1]maaltijden!$A$1:$IV$65536,10,FALSE)</f>
        <v>NVT</v>
      </c>
      <c r="E314" s="22" t="str">
        <f>VLOOKUP($A314,[1]maaltijden!$A$1:$IV$65536,13,FALSE)</f>
        <v xml:space="preserve">VAT X 6 </v>
      </c>
      <c r="F314" s="20">
        <f t="shared" si="4"/>
        <v>0</v>
      </c>
      <c r="G314" s="20" t="str">
        <f>VLOOKUP($A314,[1]maaltijden!$A$1:$IV$65536,27,FALSE)</f>
        <v>! ! !</v>
      </c>
      <c r="H314" s="22">
        <f>VLOOKUP($A314,[1]maaltijden!$A$1:$IV$65536,21,FALSE)</f>
        <v>2</v>
      </c>
      <c r="I314" s="22">
        <f>VLOOKUP($A314,[1]maaltijden!$A$1:$IV$65536,21,FALSE)</f>
        <v>2</v>
      </c>
      <c r="J314" s="22">
        <f>VLOOKUP($A314,[1]maaltijden!$A$1:$IV$65536,18,FALSE)</f>
        <v>3</v>
      </c>
      <c r="K314" s="22">
        <f>VLOOKUP($A314,[1]maaltijden!$A$1:$IV$65536,17,FALSE)</f>
        <v>3</v>
      </c>
      <c r="L314" s="22">
        <f>VLOOKUP($A314,[1]maaltijden!$A$1:$IV$65536,20,FALSE)</f>
        <v>2200</v>
      </c>
      <c r="M314" s="22">
        <f>VLOOKUP($A314,[1]maaltijden!$A$1:$IV$65536,22,FALSE)</f>
        <v>2200</v>
      </c>
      <c r="N314" s="135"/>
      <c r="O314" s="50"/>
      <c r="P314" s="19">
        <v>0</v>
      </c>
      <c r="Q314" s="20">
        <v>1</v>
      </c>
      <c r="R314" s="21">
        <v>0</v>
      </c>
      <c r="S314" s="19">
        <v>0</v>
      </c>
      <c r="T314" s="20">
        <v>1</v>
      </c>
      <c r="U314" s="19"/>
      <c r="V314" s="20"/>
      <c r="W314" s="20"/>
      <c r="X314" s="20"/>
      <c r="Y314" s="20"/>
      <c r="Z314" s="20"/>
      <c r="AA314" s="20"/>
      <c r="AB314" s="49"/>
      <c r="AC314" s="49"/>
      <c r="AD314" s="49"/>
      <c r="AE314" s="49"/>
      <c r="AF314" s="49"/>
      <c r="AG314" s="161">
        <v>0</v>
      </c>
      <c r="AH314" s="168">
        <v>1</v>
      </c>
      <c r="AI314" s="168">
        <v>1</v>
      </c>
      <c r="AJ314" s="20"/>
      <c r="AK314" s="20"/>
      <c r="AL314" s="21"/>
      <c r="AM314" s="19">
        <v>0</v>
      </c>
      <c r="AN314" s="20" t="str">
        <f>IFERROR(INDEX([2]lijnopstellingsfiche!$AP$1:$AP$65536,MATCH(A314,[2]lijnopstellingsfiche!$AQ$1:$AQ$65536,0)),"")</f>
        <v>-</v>
      </c>
      <c r="AO314" s="20">
        <v>0</v>
      </c>
      <c r="AP314" s="20">
        <v>0</v>
      </c>
      <c r="AQ314" s="20">
        <v>1</v>
      </c>
      <c r="AR314" s="20">
        <v>1</v>
      </c>
      <c r="AS314" s="20">
        <v>0</v>
      </c>
      <c r="AT314" s="20">
        <v>0</v>
      </c>
      <c r="AU314" s="20">
        <v>0</v>
      </c>
      <c r="AV314" s="23">
        <v>0</v>
      </c>
      <c r="AW314" s="108">
        <v>0</v>
      </c>
      <c r="AX314" s="108">
        <v>0</v>
      </c>
      <c r="AY314" s="108">
        <v>1</v>
      </c>
      <c r="AZ314" s="108">
        <v>0</v>
      </c>
      <c r="BA314" s="114">
        <v>1</v>
      </c>
      <c r="BB314" s="20">
        <v>0</v>
      </c>
      <c r="BC314" s="113">
        <v>0</v>
      </c>
      <c r="BD314" s="200" t="str">
        <f>VLOOKUP($A314,'[3]allergenen 6nr'!$A$1:$O$1310,3,FALSE)</f>
        <v>-</v>
      </c>
      <c r="BE314" s="201" t="str">
        <f>VLOOKUP($A314,'[3]allergenen 6nr'!$A$1:$O$1310,4,FALSE)</f>
        <v>+</v>
      </c>
      <c r="BF314" s="201" t="str">
        <f>VLOOKUP($A314,'[3]allergenen 6nr'!$A$1:$O$1310,5,FALSE)</f>
        <v>+</v>
      </c>
      <c r="BG314" s="201" t="str">
        <f>VLOOKUP($A314,'[3]allergenen 6nr'!$A$1:$O$1310,6,FALSE)</f>
        <v>X</v>
      </c>
      <c r="BH314" s="201" t="str">
        <f>VLOOKUP($A314,'[3]allergenen 6nr'!$A$1:$O$1310,7,FALSE)</f>
        <v>+</v>
      </c>
      <c r="BI314" s="201" t="str">
        <f>VLOOKUP($A314,'[3]allergenen 6nr'!$A$1:$O$1310,8,FALSE)</f>
        <v>X</v>
      </c>
      <c r="BJ314" s="201" t="str">
        <f>VLOOKUP($A314,'[3]allergenen 6nr'!$A$1:$O$1310,9,FALSE)</f>
        <v>-</v>
      </c>
      <c r="BK314" s="201" t="str">
        <f>VLOOKUP($A314,'[3]allergenen 6nr'!$A$1:$O$1310,10,FALSE)</f>
        <v>-</v>
      </c>
      <c r="BL314" s="201" t="str">
        <f>VLOOKUP($A314,'[3]allergenen 6nr'!$A$1:$O$1310,11,FALSE)</f>
        <v>+</v>
      </c>
      <c r="BM314" s="201" t="str">
        <f>VLOOKUP($A314,'[3]allergenen 6nr'!$A$1:$O$1310,12,FALSE)</f>
        <v>-</v>
      </c>
      <c r="BN314" s="201" t="str">
        <f>VLOOKUP($A314,'[3]allergenen 6nr'!$A$1:$O$1310,13,FALSE)</f>
        <v>X</v>
      </c>
      <c r="BO314" s="201" t="str">
        <f>VLOOKUP($A314,'[3]allergenen 6nr'!$A$1:$O$1310,14,FALSE)</f>
        <v>-</v>
      </c>
      <c r="BP314" s="202" t="str">
        <f>VLOOKUP($A314,'[3]allergenen 6nr'!$A$1:$O$1310,15,FALSE)</f>
        <v>-</v>
      </c>
    </row>
    <row r="315" spans="1:68" x14ac:dyDescent="0.2">
      <c r="A315" s="54">
        <v>63911900</v>
      </c>
      <c r="B315" s="53" t="str">
        <f>VLOOKUP($A315,[1]maaltijden!$A$1:$IV$65536,4,FALSE)</f>
        <v>VAT WILDSTOOFPOTJE APPEL/VEENBESSENCOMPOTE AARDAPPELPUREE</v>
      </c>
      <c r="C315" s="46" t="str">
        <f>VLOOKUP($A315,[1]maaltijden!$A$1:$IV$65536,7,FALSE)</f>
        <v>C2227-3R</v>
      </c>
      <c r="D315" s="22" t="str">
        <f>VLOOKUP($A315,[1]maaltijden!$A$1:$IV$65536,10,FALSE)</f>
        <v>NVT</v>
      </c>
      <c r="E315" s="22" t="str">
        <f>VLOOKUP($A315,[1]maaltijden!$A$1:$IV$65536,13,FALSE)</f>
        <v xml:space="preserve">VAT X 6 </v>
      </c>
      <c r="F315" s="20">
        <f t="shared" si="4"/>
        <v>0</v>
      </c>
      <c r="G315" s="20" t="str">
        <f>VLOOKUP($A315,[1]maaltijden!$A$1:$IV$65536,27,FALSE)</f>
        <v>! !</v>
      </c>
      <c r="H315" s="22">
        <f>VLOOKUP($A315,[1]maaltijden!$A$1:$IV$65536,21,FALSE)</f>
        <v>6</v>
      </c>
      <c r="I315" s="22">
        <f>VLOOKUP($A315,[1]maaltijden!$A$1:$IV$65536,21,FALSE)</f>
        <v>6</v>
      </c>
      <c r="J315" s="22">
        <f>VLOOKUP($A315,[1]maaltijden!$A$1:$IV$65536,18,FALSE)</f>
        <v>3</v>
      </c>
      <c r="K315" s="22">
        <f>VLOOKUP($A315,[1]maaltijden!$A$1:$IV$65536,17,FALSE)</f>
        <v>3</v>
      </c>
      <c r="L315" s="22">
        <f>VLOOKUP($A315,[1]maaltijden!$A$1:$IV$65536,20,FALSE)</f>
        <v>2000</v>
      </c>
      <c r="M315" s="22">
        <f>VLOOKUP($A315,[1]maaltijden!$A$1:$IV$65536,22,FALSE)</f>
        <v>2000</v>
      </c>
      <c r="N315" s="135"/>
      <c r="O315" s="50"/>
      <c r="P315" s="19">
        <v>0</v>
      </c>
      <c r="Q315" s="20">
        <v>1</v>
      </c>
      <c r="R315" s="21">
        <v>0</v>
      </c>
      <c r="S315" s="19">
        <v>0</v>
      </c>
      <c r="T315" s="20">
        <v>1</v>
      </c>
      <c r="U315" s="19"/>
      <c r="V315" s="20"/>
      <c r="W315" s="20"/>
      <c r="X315" s="20"/>
      <c r="Y315" s="20"/>
      <c r="Z315" s="20"/>
      <c r="AA315" s="20"/>
      <c r="AB315" s="49"/>
      <c r="AC315" s="49"/>
      <c r="AD315" s="49"/>
      <c r="AE315" s="49"/>
      <c r="AF315" s="49"/>
      <c r="AG315" s="161">
        <v>0</v>
      </c>
      <c r="AH315" s="168">
        <v>2</v>
      </c>
      <c r="AI315" s="168">
        <v>1</v>
      </c>
      <c r="AJ315" s="20"/>
      <c r="AK315" s="20"/>
      <c r="AL315" s="21"/>
      <c r="AM315" s="19">
        <v>0</v>
      </c>
      <c r="AN315" s="20">
        <f>IFERROR(INDEX([2]lijnopstellingsfiche!$AP$1:$AP$65536,MATCH(A315,[2]lijnopstellingsfiche!$AQ$1:$AQ$65536,0)),"")</f>
        <v>5</v>
      </c>
      <c r="AO315" s="20">
        <v>0</v>
      </c>
      <c r="AP315" s="20">
        <v>0</v>
      </c>
      <c r="AQ315" s="20">
        <v>3</v>
      </c>
      <c r="AR315" s="20">
        <v>1</v>
      </c>
      <c r="AS315" s="20">
        <v>0</v>
      </c>
      <c r="AT315" s="20">
        <v>0</v>
      </c>
      <c r="AU315" s="20">
        <v>0</v>
      </c>
      <c r="AV315" s="23">
        <v>0</v>
      </c>
      <c r="AW315" s="108">
        <v>0</v>
      </c>
      <c r="AX315" s="108">
        <v>0</v>
      </c>
      <c r="AY315" s="108">
        <v>1</v>
      </c>
      <c r="AZ315" s="108">
        <v>0</v>
      </c>
      <c r="BA315" s="114">
        <v>1</v>
      </c>
      <c r="BB315" s="20">
        <v>0</v>
      </c>
      <c r="BC315" s="113">
        <v>0</v>
      </c>
      <c r="BD315" s="200" t="str">
        <f>VLOOKUP($A315,'[3]allergenen 6nr'!$A$1:$O$1310,3,FALSE)</f>
        <v>-</v>
      </c>
      <c r="BE315" s="201" t="str">
        <f>VLOOKUP($A315,'[3]allergenen 6nr'!$A$1:$O$1310,4,FALSE)</f>
        <v>+</v>
      </c>
      <c r="BF315" s="201" t="str">
        <f>VLOOKUP($A315,'[3]allergenen 6nr'!$A$1:$O$1310,5,FALSE)</f>
        <v>+</v>
      </c>
      <c r="BG315" s="201" t="str">
        <f>VLOOKUP($A315,'[3]allergenen 6nr'!$A$1:$O$1310,6,FALSE)</f>
        <v>X</v>
      </c>
      <c r="BH315" s="201" t="str">
        <f>VLOOKUP($A315,'[3]allergenen 6nr'!$A$1:$O$1310,7,FALSE)</f>
        <v>+</v>
      </c>
      <c r="BI315" s="201" t="str">
        <f>VLOOKUP($A315,'[3]allergenen 6nr'!$A$1:$O$1310,8,FALSE)</f>
        <v>X</v>
      </c>
      <c r="BJ315" s="201" t="str">
        <f>VLOOKUP($A315,'[3]allergenen 6nr'!$A$1:$O$1310,9,FALSE)</f>
        <v>-</v>
      </c>
      <c r="BK315" s="201" t="str">
        <f>VLOOKUP($A315,'[3]allergenen 6nr'!$A$1:$O$1310,10,FALSE)</f>
        <v>-</v>
      </c>
      <c r="BL315" s="201" t="str">
        <f>VLOOKUP($A315,'[3]allergenen 6nr'!$A$1:$O$1310,11,FALSE)</f>
        <v>-</v>
      </c>
      <c r="BM315" s="201" t="str">
        <f>VLOOKUP($A315,'[3]allergenen 6nr'!$A$1:$O$1310,12,FALSE)</f>
        <v>-</v>
      </c>
      <c r="BN315" s="201" t="str">
        <f>VLOOKUP($A315,'[3]allergenen 6nr'!$A$1:$O$1310,13,FALSE)</f>
        <v>X</v>
      </c>
      <c r="BO315" s="201" t="str">
        <f>VLOOKUP($A315,'[3]allergenen 6nr'!$A$1:$O$1310,14,FALSE)</f>
        <v>-</v>
      </c>
      <c r="BP315" s="202" t="str">
        <f>VLOOKUP($A315,'[3]allergenen 6nr'!$A$1:$O$1310,15,FALSE)</f>
        <v>-</v>
      </c>
    </row>
    <row r="316" spans="1:68" x14ac:dyDescent="0.2">
      <c r="A316" s="54">
        <v>63912000</v>
      </c>
      <c r="B316" s="53" t="str">
        <f>VLOOKUP($A316,[1]maaltijden!$A$1:$IV$65536,4,FALSE)</f>
        <v>VAT KIPPENRAGOUT WORTELTJES DOPERWTEN RIJST</v>
      </c>
      <c r="C316" s="46" t="str">
        <f>VLOOKUP($A316,[1]maaltijden!$A$1:$IV$65536,7,FALSE)</f>
        <v>C2227-2K</v>
      </c>
      <c r="D316" s="22" t="str">
        <f>VLOOKUP($A316,[1]maaltijden!$A$1:$IV$65536,10,FALSE)</f>
        <v>NVT</v>
      </c>
      <c r="E316" s="22" t="str">
        <f>VLOOKUP($A316,[1]maaltijden!$A$1:$IV$65536,13,FALSE)</f>
        <v xml:space="preserve">VAT X 6 </v>
      </c>
      <c r="F316" s="20">
        <f t="shared" si="4"/>
        <v>0</v>
      </c>
      <c r="G316" s="20" t="str">
        <f>VLOOKUP($A316,[1]maaltijden!$A$1:$IV$65536,27,FALSE)</f>
        <v>! ! !</v>
      </c>
      <c r="H316" s="22">
        <f>VLOOKUP($A316,[1]maaltijden!$A$1:$IV$65536,21,FALSE)</f>
        <v>5</v>
      </c>
      <c r="I316" s="22">
        <f>VLOOKUP($A316,[1]maaltijden!$A$1:$IV$65536,21,FALSE)</f>
        <v>5</v>
      </c>
      <c r="J316" s="22">
        <f>VLOOKUP($A316,[1]maaltijden!$A$1:$IV$65536,18,FALSE)</f>
        <v>3</v>
      </c>
      <c r="K316" s="22">
        <f>VLOOKUP($A316,[1]maaltijden!$A$1:$IV$65536,17,FALSE)</f>
        <v>2</v>
      </c>
      <c r="L316" s="22">
        <f>VLOOKUP($A316,[1]maaltijden!$A$1:$IV$65536,20,FALSE)</f>
        <v>2200</v>
      </c>
      <c r="M316" s="22">
        <f>VLOOKUP($A316,[1]maaltijden!$A$1:$IV$65536,22,FALSE)</f>
        <v>2200</v>
      </c>
      <c r="N316" s="135"/>
      <c r="O316" s="50"/>
      <c r="P316" s="19">
        <v>0</v>
      </c>
      <c r="Q316" s="20">
        <v>1</v>
      </c>
      <c r="R316" s="21">
        <v>0</v>
      </c>
      <c r="S316" s="19">
        <v>0</v>
      </c>
      <c r="T316" s="20">
        <v>1</v>
      </c>
      <c r="U316" s="19"/>
      <c r="V316" s="20"/>
      <c r="W316" s="20"/>
      <c r="X316" s="20"/>
      <c r="Y316" s="20"/>
      <c r="Z316" s="20"/>
      <c r="AA316" s="20"/>
      <c r="AB316" s="49"/>
      <c r="AC316" s="49"/>
      <c r="AD316" s="49"/>
      <c r="AE316" s="49"/>
      <c r="AF316" s="49"/>
      <c r="AG316" s="161">
        <v>1</v>
      </c>
      <c r="AH316" s="168">
        <v>1</v>
      </c>
      <c r="AI316" s="168">
        <v>1</v>
      </c>
      <c r="AJ316" s="20"/>
      <c r="AK316" s="20"/>
      <c r="AL316" s="21"/>
      <c r="AM316" s="19">
        <v>0</v>
      </c>
      <c r="AN316" s="20">
        <f>IFERROR(INDEX([2]lijnopstellingsfiche!$AP$1:$AP$65536,MATCH(A316,[2]lijnopstellingsfiche!$AQ$1:$AQ$65536,0)),"")</f>
        <v>1</v>
      </c>
      <c r="AO316" s="20">
        <v>1</v>
      </c>
      <c r="AP316" s="20">
        <v>0</v>
      </c>
      <c r="AQ316" s="20">
        <v>1</v>
      </c>
      <c r="AR316" s="20">
        <v>0</v>
      </c>
      <c r="AS316" s="20">
        <v>0</v>
      </c>
      <c r="AT316" s="20">
        <v>0</v>
      </c>
      <c r="AU316" s="20">
        <v>0</v>
      </c>
      <c r="AV316" s="23">
        <v>0</v>
      </c>
      <c r="AW316" s="108">
        <v>0</v>
      </c>
      <c r="AX316" s="108">
        <v>0</v>
      </c>
      <c r="AY316" s="108">
        <v>1</v>
      </c>
      <c r="AZ316" s="108">
        <v>0</v>
      </c>
      <c r="BA316" s="114">
        <v>1</v>
      </c>
      <c r="BB316" s="20">
        <v>0</v>
      </c>
      <c r="BC316" s="113">
        <v>0</v>
      </c>
      <c r="BD316" s="200" t="str">
        <f>VLOOKUP($A316,'[3]allergenen 6nr'!$A$1:$O$1310,3,FALSE)</f>
        <v>-</v>
      </c>
      <c r="BE316" s="201" t="str">
        <f>VLOOKUP($A316,'[3]allergenen 6nr'!$A$1:$O$1310,4,FALSE)</f>
        <v>X</v>
      </c>
      <c r="BF316" s="201" t="str">
        <f>VLOOKUP($A316,'[3]allergenen 6nr'!$A$1:$O$1310,5,FALSE)</f>
        <v>+</v>
      </c>
      <c r="BG316" s="201" t="str">
        <f>VLOOKUP($A316,'[3]allergenen 6nr'!$A$1:$O$1310,6,FALSE)</f>
        <v>X</v>
      </c>
      <c r="BH316" s="201" t="str">
        <f>VLOOKUP($A316,'[3]allergenen 6nr'!$A$1:$O$1310,7,FALSE)</f>
        <v>+</v>
      </c>
      <c r="BI316" s="201" t="str">
        <f>VLOOKUP($A316,'[3]allergenen 6nr'!$A$1:$O$1310,8,FALSE)</f>
        <v>X</v>
      </c>
      <c r="BJ316" s="201" t="str">
        <f>VLOOKUP($A316,'[3]allergenen 6nr'!$A$1:$O$1310,9,FALSE)</f>
        <v>-</v>
      </c>
      <c r="BK316" s="201" t="str">
        <f>VLOOKUP($A316,'[3]allergenen 6nr'!$A$1:$O$1310,10,FALSE)</f>
        <v>-</v>
      </c>
      <c r="BL316" s="201" t="str">
        <f>VLOOKUP($A316,'[3]allergenen 6nr'!$A$1:$O$1310,11,FALSE)</f>
        <v>+</v>
      </c>
      <c r="BM316" s="201" t="str">
        <f>VLOOKUP($A316,'[3]allergenen 6nr'!$A$1:$O$1310,12,FALSE)</f>
        <v>-</v>
      </c>
      <c r="BN316" s="201" t="str">
        <f>VLOOKUP($A316,'[3]allergenen 6nr'!$A$1:$O$1310,13,FALSE)</f>
        <v>X</v>
      </c>
      <c r="BO316" s="201" t="str">
        <f>VLOOKUP($A316,'[3]allergenen 6nr'!$A$1:$O$1310,14,FALSE)</f>
        <v>-</v>
      </c>
      <c r="BP316" s="202" t="str">
        <f>VLOOKUP($A316,'[3]allergenen 6nr'!$A$1:$O$1310,15,FALSE)</f>
        <v>-</v>
      </c>
    </row>
    <row r="317" spans="1:68" x14ac:dyDescent="0.2">
      <c r="A317" s="54">
        <v>63912100</v>
      </c>
      <c r="B317" s="53" t="str">
        <f>VLOOKUP($A317,[1]maaltijden!$A$1:$IV$65536,4,FALSE)</f>
        <v>VAT BRAADWORST SPRUITEN AARDAPPELPUREE</v>
      </c>
      <c r="C317" s="46" t="str">
        <f>VLOOKUP($A317,[1]maaltijden!$A$1:$IV$65536,7,FALSE)</f>
        <v>C2227-3R</v>
      </c>
      <c r="D317" s="22" t="str">
        <f>VLOOKUP($A317,[1]maaltijden!$A$1:$IV$65536,10,FALSE)</f>
        <v>NVT</v>
      </c>
      <c r="E317" s="22" t="str">
        <f>VLOOKUP($A317,[1]maaltijden!$A$1:$IV$65536,13,FALSE)</f>
        <v xml:space="preserve">VAT X 6 </v>
      </c>
      <c r="F317" s="20">
        <f t="shared" si="4"/>
        <v>0</v>
      </c>
      <c r="G317" s="20" t="str">
        <f>VLOOKUP($A317,[1]maaltijden!$A$1:$IV$65536,27,FALSE)</f>
        <v>! ! !</v>
      </c>
      <c r="H317" s="22">
        <f>VLOOKUP($A317,[1]maaltijden!$A$1:$IV$65536,21,FALSE)</f>
        <v>4</v>
      </c>
      <c r="I317" s="22">
        <f>VLOOKUP($A317,[1]maaltijden!$A$1:$IV$65536,21,FALSE)</f>
        <v>4</v>
      </c>
      <c r="J317" s="22">
        <f>VLOOKUP($A317,[1]maaltijden!$A$1:$IV$65536,18,FALSE)</f>
        <v>3</v>
      </c>
      <c r="K317" s="22">
        <f>VLOOKUP($A317,[1]maaltijden!$A$1:$IV$65536,17,FALSE)</f>
        <v>3</v>
      </c>
      <c r="L317" s="22">
        <f>VLOOKUP($A317,[1]maaltijden!$A$1:$IV$65536,20,FALSE)</f>
        <v>2200</v>
      </c>
      <c r="M317" s="22">
        <f>VLOOKUP($A317,[1]maaltijden!$A$1:$IV$65536,22,FALSE)</f>
        <v>2200</v>
      </c>
      <c r="N317" s="135"/>
      <c r="O317" s="50"/>
      <c r="P317" s="19">
        <v>0</v>
      </c>
      <c r="Q317" s="20">
        <v>1</v>
      </c>
      <c r="R317" s="21">
        <v>0</v>
      </c>
      <c r="S317" s="19">
        <v>0</v>
      </c>
      <c r="T317" s="20">
        <v>1</v>
      </c>
      <c r="U317" s="19"/>
      <c r="V317" s="20"/>
      <c r="W317" s="20"/>
      <c r="X317" s="20"/>
      <c r="Y317" s="20"/>
      <c r="Z317" s="20"/>
      <c r="AA317" s="20"/>
      <c r="AB317" s="49"/>
      <c r="AC317" s="49"/>
      <c r="AD317" s="49"/>
      <c r="AE317" s="49"/>
      <c r="AF317" s="49"/>
      <c r="AG317" s="161">
        <v>0</v>
      </c>
      <c r="AH317" s="168">
        <v>2</v>
      </c>
      <c r="AI317" s="168">
        <v>1</v>
      </c>
      <c r="AJ317" s="20"/>
      <c r="AK317" s="20"/>
      <c r="AL317" s="21"/>
      <c r="AM317" s="19">
        <v>0</v>
      </c>
      <c r="AN317" s="20" t="str">
        <f>IFERROR(INDEX([2]lijnopstellingsfiche!$AP$1:$AP$65536,MATCH(A317,[2]lijnopstellingsfiche!$AQ$1:$AQ$65536,0)),"")</f>
        <v>-</v>
      </c>
      <c r="AO317" s="20">
        <v>0</v>
      </c>
      <c r="AP317" s="20">
        <v>0</v>
      </c>
      <c r="AQ317" s="20">
        <v>1</v>
      </c>
      <c r="AR317" s="20">
        <v>1</v>
      </c>
      <c r="AS317" s="20">
        <v>0</v>
      </c>
      <c r="AT317" s="20">
        <v>0</v>
      </c>
      <c r="AU317" s="20">
        <v>0</v>
      </c>
      <c r="AV317" s="23">
        <v>0</v>
      </c>
      <c r="AW317" s="108">
        <v>0</v>
      </c>
      <c r="AX317" s="108">
        <v>0</v>
      </c>
      <c r="AY317" s="108">
        <v>1</v>
      </c>
      <c r="AZ317" s="108">
        <v>0</v>
      </c>
      <c r="BA317" s="114">
        <v>1</v>
      </c>
      <c r="BB317" s="20">
        <v>0</v>
      </c>
      <c r="BC317" s="113">
        <v>0</v>
      </c>
      <c r="BD317" s="200" t="str">
        <f>VLOOKUP($A317,'[3]allergenen 6nr'!$A$1:$O$1310,3,FALSE)</f>
        <v>-</v>
      </c>
      <c r="BE317" s="201" t="str">
        <f>VLOOKUP($A317,'[3]allergenen 6nr'!$A$1:$O$1310,4,FALSE)</f>
        <v>+</v>
      </c>
      <c r="BF317" s="201" t="str">
        <f>VLOOKUP($A317,'[3]allergenen 6nr'!$A$1:$O$1310,5,FALSE)</f>
        <v>+</v>
      </c>
      <c r="BG317" s="201" t="str">
        <f>VLOOKUP($A317,'[3]allergenen 6nr'!$A$1:$O$1310,6,FALSE)</f>
        <v>X</v>
      </c>
      <c r="BH317" s="201" t="str">
        <f>VLOOKUP($A317,'[3]allergenen 6nr'!$A$1:$O$1310,7,FALSE)</f>
        <v>+</v>
      </c>
      <c r="BI317" s="201" t="str">
        <f>VLOOKUP($A317,'[3]allergenen 6nr'!$A$1:$O$1310,8,FALSE)</f>
        <v>+</v>
      </c>
      <c r="BJ317" s="201" t="str">
        <f>VLOOKUP($A317,'[3]allergenen 6nr'!$A$1:$O$1310,9,FALSE)</f>
        <v>-</v>
      </c>
      <c r="BK317" s="201" t="str">
        <f>VLOOKUP($A317,'[3]allergenen 6nr'!$A$1:$O$1310,10,FALSE)</f>
        <v>-</v>
      </c>
      <c r="BL317" s="201" t="str">
        <f>VLOOKUP($A317,'[3]allergenen 6nr'!$A$1:$O$1310,11,FALSE)</f>
        <v>+</v>
      </c>
      <c r="BM317" s="201" t="str">
        <f>VLOOKUP($A317,'[3]allergenen 6nr'!$A$1:$O$1310,12,FALSE)</f>
        <v>-</v>
      </c>
      <c r="BN317" s="201" t="str">
        <f>VLOOKUP($A317,'[3]allergenen 6nr'!$A$1:$O$1310,13,FALSE)</f>
        <v>X</v>
      </c>
      <c r="BO317" s="201" t="str">
        <f>VLOOKUP($A317,'[3]allergenen 6nr'!$A$1:$O$1310,14,FALSE)</f>
        <v>-</v>
      </c>
      <c r="BP317" s="202" t="str">
        <f>VLOOKUP($A317,'[3]allergenen 6nr'!$A$1:$O$1310,15,FALSE)</f>
        <v>-</v>
      </c>
    </row>
    <row r="318" spans="1:68" x14ac:dyDescent="0.2">
      <c r="A318" s="89">
        <v>63912200</v>
      </c>
      <c r="B318" s="53" t="str">
        <f>VLOOKUP($A318,[1]maaltijden!$A$1:$IV$65536,4,FALSE)</f>
        <v>VAT KIPFILET RABARBERCOMPOTE GEBAK AARD BLOKJE</v>
      </c>
      <c r="C318" s="46" t="str">
        <f>VLOOKUP($A318,[1]maaltijden!$A$1:$IV$65536,7,FALSE)</f>
        <v>C2227-3R</v>
      </c>
      <c r="D318" s="22" t="str">
        <f>VLOOKUP($A318,[1]maaltijden!$A$1:$IV$65536,10,FALSE)</f>
        <v>NVT</v>
      </c>
      <c r="E318" s="22" t="str">
        <f>VLOOKUP($A318,[1]maaltijden!$A$1:$IV$65536,13,FALSE)</f>
        <v xml:space="preserve">VAT X 6 </v>
      </c>
      <c r="F318" s="20">
        <f t="shared" si="4"/>
        <v>0</v>
      </c>
      <c r="G318" s="20" t="str">
        <f>VLOOKUP($A318,[1]maaltijden!$A$1:$IV$65536,27,FALSE)</f>
        <v>! !</v>
      </c>
      <c r="H318" s="22">
        <f>VLOOKUP($A318,[1]maaltijden!$A$1:$IV$65536,21,FALSE)</f>
        <v>4</v>
      </c>
      <c r="I318" s="22">
        <f>VLOOKUP($A318,[1]maaltijden!$A$1:$IV$65536,21,FALSE)</f>
        <v>4</v>
      </c>
      <c r="J318" s="22">
        <f>VLOOKUP($A318,[1]maaltijden!$A$1:$IV$65536,18,FALSE)</f>
        <v>3</v>
      </c>
      <c r="K318" s="22">
        <f>VLOOKUP($A318,[1]maaltijden!$A$1:$IV$65536,17,FALSE)</f>
        <v>2</v>
      </c>
      <c r="L318" s="22">
        <f>VLOOKUP($A318,[1]maaltijden!$A$1:$IV$65536,20,FALSE)</f>
        <v>2200</v>
      </c>
      <c r="M318" s="22">
        <f>VLOOKUP($A318,[1]maaltijden!$A$1:$IV$65536,22,FALSE)</f>
        <v>2200</v>
      </c>
      <c r="N318" s="135"/>
      <c r="O318" s="50">
        <v>63932200</v>
      </c>
      <c r="P318" s="19">
        <v>0</v>
      </c>
      <c r="Q318" s="20">
        <v>1</v>
      </c>
      <c r="R318" s="21">
        <v>0</v>
      </c>
      <c r="S318" s="19">
        <v>0</v>
      </c>
      <c r="T318" s="20">
        <v>1</v>
      </c>
      <c r="U318" s="19">
        <v>1</v>
      </c>
      <c r="V318" s="20">
        <v>1</v>
      </c>
      <c r="W318" s="20">
        <v>1</v>
      </c>
      <c r="X318" s="20">
        <v>1</v>
      </c>
      <c r="Y318" s="20">
        <v>1</v>
      </c>
      <c r="Z318" s="20">
        <v>0</v>
      </c>
      <c r="AA318" s="20">
        <v>0</v>
      </c>
      <c r="AB318" s="49">
        <v>0</v>
      </c>
      <c r="AC318" s="49">
        <v>0</v>
      </c>
      <c r="AD318" s="49">
        <v>0</v>
      </c>
      <c r="AE318" s="49">
        <v>0</v>
      </c>
      <c r="AF318" s="49">
        <v>0</v>
      </c>
      <c r="AG318" s="161">
        <v>0</v>
      </c>
      <c r="AH318" s="162">
        <v>1</v>
      </c>
      <c r="AI318" s="162">
        <v>0</v>
      </c>
      <c r="AJ318" s="162">
        <v>0</v>
      </c>
      <c r="AK318" s="162">
        <v>0</v>
      </c>
      <c r="AL318" s="163">
        <v>0</v>
      </c>
      <c r="AM318" s="19">
        <v>0</v>
      </c>
      <c r="AN318" s="20">
        <f>IFERROR(INDEX([2]lijnopstellingsfiche!$AP$1:$AP$65536,MATCH(A318,[2]lijnopstellingsfiche!$AQ$1:$AQ$65536,0)),"")</f>
        <v>1</v>
      </c>
      <c r="AO318" s="20">
        <v>0</v>
      </c>
      <c r="AP318" s="20">
        <v>0</v>
      </c>
      <c r="AQ318" s="20">
        <v>2</v>
      </c>
      <c r="AR318" s="20">
        <v>0</v>
      </c>
      <c r="AS318" s="20">
        <v>0</v>
      </c>
      <c r="AT318" s="20">
        <v>1</v>
      </c>
      <c r="AU318" s="20">
        <v>0</v>
      </c>
      <c r="AV318" s="23">
        <v>0</v>
      </c>
      <c r="AW318" s="108">
        <v>0</v>
      </c>
      <c r="AX318" s="108">
        <v>0</v>
      </c>
      <c r="AY318" s="108">
        <v>1</v>
      </c>
      <c r="AZ318" s="108">
        <v>0</v>
      </c>
      <c r="BA318" s="114">
        <v>1</v>
      </c>
      <c r="BB318" s="20">
        <v>0</v>
      </c>
      <c r="BC318" s="113">
        <v>0</v>
      </c>
      <c r="BD318" s="200" t="str">
        <f>VLOOKUP($A318,'[3]allergenen 6nr'!$A$1:$O$1310,3,FALSE)</f>
        <v>-</v>
      </c>
      <c r="BE318" s="201" t="str">
        <f>VLOOKUP($A318,'[3]allergenen 6nr'!$A$1:$O$1310,4,FALSE)</f>
        <v>X</v>
      </c>
      <c r="BF318" s="201" t="str">
        <f>VLOOKUP($A318,'[3]allergenen 6nr'!$A$1:$O$1310,5,FALSE)</f>
        <v>+</v>
      </c>
      <c r="BG318" s="201" t="str">
        <f>VLOOKUP($A318,'[3]allergenen 6nr'!$A$1:$O$1310,6,FALSE)</f>
        <v>X</v>
      </c>
      <c r="BH318" s="201" t="str">
        <f>VLOOKUP($A318,'[3]allergenen 6nr'!$A$1:$O$1310,7,FALSE)</f>
        <v>+</v>
      </c>
      <c r="BI318" s="201" t="str">
        <f>VLOOKUP($A318,'[3]allergenen 6nr'!$A$1:$O$1310,8,FALSE)</f>
        <v>X</v>
      </c>
      <c r="BJ318" s="201" t="str">
        <f>VLOOKUP($A318,'[3]allergenen 6nr'!$A$1:$O$1310,9,FALSE)</f>
        <v>-</v>
      </c>
      <c r="BK318" s="201" t="str">
        <f>VLOOKUP($A318,'[3]allergenen 6nr'!$A$1:$O$1310,10,FALSE)</f>
        <v>-</v>
      </c>
      <c r="BL318" s="201" t="str">
        <f>VLOOKUP($A318,'[3]allergenen 6nr'!$A$1:$O$1310,11,FALSE)</f>
        <v>-</v>
      </c>
      <c r="BM318" s="201" t="str">
        <f>VLOOKUP($A318,'[3]allergenen 6nr'!$A$1:$O$1310,12,FALSE)</f>
        <v>-</v>
      </c>
      <c r="BN318" s="201" t="str">
        <f>VLOOKUP($A318,'[3]allergenen 6nr'!$A$1:$O$1310,13,FALSE)</f>
        <v>X</v>
      </c>
      <c r="BO318" s="201" t="str">
        <f>VLOOKUP($A318,'[3]allergenen 6nr'!$A$1:$O$1310,14,FALSE)</f>
        <v>-</v>
      </c>
      <c r="BP318" s="202" t="str">
        <f>VLOOKUP($A318,'[3]allergenen 6nr'!$A$1:$O$1310,15,FALSE)</f>
        <v>-</v>
      </c>
    </row>
    <row r="319" spans="1:68" x14ac:dyDescent="0.2">
      <c r="A319" s="54">
        <v>63912300</v>
      </c>
      <c r="B319" s="53" t="str">
        <f>VLOOKUP($A319,[1]maaltijden!$A$1:$IV$65536,4,FALSE)</f>
        <v>VAT VARKENSHAMLAPJE SPRUITEN AARDAPPEL</v>
      </c>
      <c r="C319" s="46" t="str">
        <f>VLOOKUP($A319,[1]maaltijden!$A$1:$IV$65536,7,FALSE)</f>
        <v>C2227-3R</v>
      </c>
      <c r="D319" s="22" t="str">
        <f>VLOOKUP($A319,[1]maaltijden!$A$1:$IV$65536,10,FALSE)</f>
        <v>NVT</v>
      </c>
      <c r="E319" s="22" t="str">
        <f>VLOOKUP($A319,[1]maaltijden!$A$1:$IV$65536,13,FALSE)</f>
        <v xml:space="preserve">VAT X 6 </v>
      </c>
      <c r="F319" s="20">
        <f t="shared" si="4"/>
        <v>0</v>
      </c>
      <c r="G319" s="20" t="str">
        <f>VLOOKUP($A319,[1]maaltijden!$A$1:$IV$65536,27,FALSE)</f>
        <v>! ! !</v>
      </c>
      <c r="H319" s="22">
        <f>VLOOKUP($A319,[1]maaltijden!$A$1:$IV$65536,21,FALSE)</f>
        <v>6</v>
      </c>
      <c r="I319" s="22">
        <f>VLOOKUP($A319,[1]maaltijden!$A$1:$IV$65536,21,FALSE)</f>
        <v>6</v>
      </c>
      <c r="J319" s="22">
        <f>VLOOKUP($A319,[1]maaltijden!$A$1:$IV$65536,18,FALSE)</f>
        <v>3</v>
      </c>
      <c r="K319" s="22">
        <f>VLOOKUP($A319,[1]maaltijden!$A$1:$IV$65536,17,FALSE)</f>
        <v>3</v>
      </c>
      <c r="L319" s="22">
        <f>VLOOKUP($A319,[1]maaltijden!$A$1:$IV$65536,20,FALSE)</f>
        <v>2000</v>
      </c>
      <c r="M319" s="22">
        <f>VLOOKUP($A319,[1]maaltijden!$A$1:$IV$65536,22,FALSE)</f>
        <v>2000</v>
      </c>
      <c r="N319" s="135"/>
      <c r="O319" s="50"/>
      <c r="P319" s="19">
        <v>0</v>
      </c>
      <c r="Q319" s="20">
        <v>1</v>
      </c>
      <c r="R319" s="21">
        <v>0</v>
      </c>
      <c r="S319" s="19">
        <v>0</v>
      </c>
      <c r="T319" s="20">
        <v>1</v>
      </c>
      <c r="U319" s="19"/>
      <c r="V319" s="20"/>
      <c r="W319" s="20"/>
      <c r="X319" s="20"/>
      <c r="Y319" s="20"/>
      <c r="Z319" s="20"/>
      <c r="AA319" s="20"/>
      <c r="AB319" s="49"/>
      <c r="AC319" s="49"/>
      <c r="AD319" s="49"/>
      <c r="AE319" s="49"/>
      <c r="AF319" s="49"/>
      <c r="AG319" s="161">
        <v>0</v>
      </c>
      <c r="AH319" s="168">
        <v>1</v>
      </c>
      <c r="AI319" s="168">
        <v>1</v>
      </c>
      <c r="AJ319" s="20"/>
      <c r="AK319" s="20"/>
      <c r="AL319" s="21"/>
      <c r="AM319" s="19">
        <v>0</v>
      </c>
      <c r="AN319" s="20" t="str">
        <f>IFERROR(INDEX([2]lijnopstellingsfiche!$AP$1:$AP$65536,MATCH(A319,[2]lijnopstellingsfiche!$AQ$1:$AQ$65536,0)),"")</f>
        <v>-</v>
      </c>
      <c r="AO319" s="20">
        <v>0</v>
      </c>
      <c r="AP319" s="20">
        <v>0</v>
      </c>
      <c r="AQ319" s="20">
        <v>1</v>
      </c>
      <c r="AR319" s="20">
        <v>0</v>
      </c>
      <c r="AS319" s="20">
        <v>0</v>
      </c>
      <c r="AT319" s="20">
        <v>0</v>
      </c>
      <c r="AU319" s="20">
        <v>0</v>
      </c>
      <c r="AV319" s="23">
        <v>0</v>
      </c>
      <c r="AW319" s="108">
        <v>0</v>
      </c>
      <c r="AX319" s="108">
        <v>0</v>
      </c>
      <c r="AY319" s="108">
        <v>1</v>
      </c>
      <c r="AZ319" s="108">
        <v>0</v>
      </c>
      <c r="BA319" s="114">
        <v>1</v>
      </c>
      <c r="BB319" s="20">
        <v>0</v>
      </c>
      <c r="BC319" s="113">
        <v>0</v>
      </c>
      <c r="BD319" s="200" t="str">
        <f>VLOOKUP($A319,'[3]allergenen 6nr'!$A$1:$O$1310,3,FALSE)</f>
        <v>-</v>
      </c>
      <c r="BE319" s="201" t="str">
        <f>VLOOKUP($A319,'[3]allergenen 6nr'!$A$1:$O$1310,4,FALSE)</f>
        <v>X</v>
      </c>
      <c r="BF319" s="201" t="str">
        <f>VLOOKUP($A319,'[3]allergenen 6nr'!$A$1:$O$1310,5,FALSE)</f>
        <v>X</v>
      </c>
      <c r="BG319" s="201" t="str">
        <f>VLOOKUP($A319,'[3]allergenen 6nr'!$A$1:$O$1310,6,FALSE)</f>
        <v>-</v>
      </c>
      <c r="BH319" s="201" t="str">
        <f>VLOOKUP($A319,'[3]allergenen 6nr'!$A$1:$O$1310,7,FALSE)</f>
        <v>+</v>
      </c>
      <c r="BI319" s="201" t="str">
        <f>VLOOKUP($A319,'[3]allergenen 6nr'!$A$1:$O$1310,8,FALSE)</f>
        <v>X</v>
      </c>
      <c r="BJ319" s="201" t="str">
        <f>VLOOKUP($A319,'[3]allergenen 6nr'!$A$1:$O$1310,9,FALSE)</f>
        <v>-</v>
      </c>
      <c r="BK319" s="201" t="str">
        <f>VLOOKUP($A319,'[3]allergenen 6nr'!$A$1:$O$1310,10,FALSE)</f>
        <v>-</v>
      </c>
      <c r="BL319" s="201" t="str">
        <f>VLOOKUP($A319,'[3]allergenen 6nr'!$A$1:$O$1310,11,FALSE)</f>
        <v>X</v>
      </c>
      <c r="BM319" s="201" t="str">
        <f>VLOOKUP($A319,'[3]allergenen 6nr'!$A$1:$O$1310,12,FALSE)</f>
        <v>-</v>
      </c>
      <c r="BN319" s="201" t="str">
        <f>VLOOKUP($A319,'[3]allergenen 6nr'!$A$1:$O$1310,13,FALSE)</f>
        <v>X</v>
      </c>
      <c r="BO319" s="201" t="str">
        <f>VLOOKUP($A319,'[3]allergenen 6nr'!$A$1:$O$1310,14,FALSE)</f>
        <v>-</v>
      </c>
      <c r="BP319" s="202" t="str">
        <f>VLOOKUP($A319,'[3]allergenen 6nr'!$A$1:$O$1310,15,FALSE)</f>
        <v>-</v>
      </c>
    </row>
    <row r="320" spans="1:68" x14ac:dyDescent="0.2">
      <c r="A320" s="54">
        <v>63912400</v>
      </c>
      <c r="B320" s="53" t="str">
        <f>VLOOKUP($A320,[1]maaltijden!$A$1:$IV$65536,4,FALSE)</f>
        <v>VAT RODE KOOL STAMPPOT MET GEHAKTBALLETJES</v>
      </c>
      <c r="C320" s="46" t="str">
        <f>VLOOKUP($A320,[1]maaltijden!$A$1:$IV$65536,7,FALSE)</f>
        <v>C2227-2K</v>
      </c>
      <c r="D320" s="22" t="str">
        <f>VLOOKUP($A320,[1]maaltijden!$A$1:$IV$65536,10,FALSE)</f>
        <v>NVT</v>
      </c>
      <c r="E320" s="22" t="str">
        <f>VLOOKUP($A320,[1]maaltijden!$A$1:$IV$65536,13,FALSE)</f>
        <v xml:space="preserve">VAT X 6 </v>
      </c>
      <c r="F320" s="20">
        <f t="shared" si="4"/>
        <v>0</v>
      </c>
      <c r="G320" s="20" t="str">
        <f>VLOOKUP($A320,[1]maaltijden!$A$1:$IV$65536,27,FALSE)</f>
        <v>! !</v>
      </c>
      <c r="H320" s="22">
        <f>VLOOKUP($A320,[1]maaltijden!$A$1:$IV$65536,21,FALSE)</f>
        <v>3</v>
      </c>
      <c r="I320" s="22">
        <f>VLOOKUP($A320,[1]maaltijden!$A$1:$IV$65536,21,FALSE)</f>
        <v>3</v>
      </c>
      <c r="J320" s="22">
        <f>VLOOKUP($A320,[1]maaltijden!$A$1:$IV$65536,18,FALSE)</f>
        <v>3</v>
      </c>
      <c r="K320" s="22">
        <f>VLOOKUP($A320,[1]maaltijden!$A$1:$IV$65536,17,FALSE)</f>
        <v>3</v>
      </c>
      <c r="L320" s="22">
        <f>VLOOKUP($A320,[1]maaltijden!$A$1:$IV$65536,20,FALSE)</f>
        <v>2200</v>
      </c>
      <c r="M320" s="22">
        <f>VLOOKUP($A320,[1]maaltijden!$A$1:$IV$65536,22,FALSE)</f>
        <v>2200</v>
      </c>
      <c r="N320" s="135"/>
      <c r="O320" s="50">
        <v>63932400</v>
      </c>
      <c r="P320" s="19">
        <v>0</v>
      </c>
      <c r="Q320" s="20">
        <v>1</v>
      </c>
      <c r="R320" s="21">
        <v>0</v>
      </c>
      <c r="S320" s="19">
        <v>0</v>
      </c>
      <c r="T320" s="20">
        <v>1</v>
      </c>
      <c r="U320" s="19"/>
      <c r="V320" s="20"/>
      <c r="W320" s="20"/>
      <c r="X320" s="20"/>
      <c r="Y320" s="20"/>
      <c r="Z320" s="20"/>
      <c r="AA320" s="20"/>
      <c r="AB320" s="49"/>
      <c r="AC320" s="49"/>
      <c r="AD320" s="49"/>
      <c r="AE320" s="49"/>
      <c r="AF320" s="49"/>
      <c r="AG320" s="161">
        <v>0</v>
      </c>
      <c r="AH320" s="168">
        <v>1</v>
      </c>
      <c r="AI320" s="168">
        <v>1</v>
      </c>
      <c r="AJ320" s="20"/>
      <c r="AK320" s="20"/>
      <c r="AL320" s="21"/>
      <c r="AM320" s="19">
        <v>0</v>
      </c>
      <c r="AN320" s="20" t="str">
        <f>IFERROR(INDEX([2]lijnopstellingsfiche!$AP$1:$AP$65536,MATCH(A320,[2]lijnopstellingsfiche!$AQ$1:$AQ$65536,0)),"")</f>
        <v>-</v>
      </c>
      <c r="AO320" s="20">
        <v>0</v>
      </c>
      <c r="AP320" s="20">
        <v>0</v>
      </c>
      <c r="AQ320" s="20">
        <v>1</v>
      </c>
      <c r="AR320" s="20">
        <v>1</v>
      </c>
      <c r="AS320" s="20">
        <v>0</v>
      </c>
      <c r="AT320" s="20">
        <v>0</v>
      </c>
      <c r="AU320" s="20">
        <v>0</v>
      </c>
      <c r="AV320" s="23">
        <v>0</v>
      </c>
      <c r="AW320" s="108">
        <v>0</v>
      </c>
      <c r="AX320" s="108">
        <v>0</v>
      </c>
      <c r="AY320" s="108">
        <v>1</v>
      </c>
      <c r="AZ320" s="108">
        <v>0</v>
      </c>
      <c r="BA320" s="114">
        <v>1</v>
      </c>
      <c r="BB320" s="20">
        <v>0</v>
      </c>
      <c r="BC320" s="113">
        <v>0</v>
      </c>
      <c r="BD320" s="200" t="str">
        <f>VLOOKUP($A320,'[3]allergenen 6nr'!$A$1:$O$1310,3,FALSE)</f>
        <v>-</v>
      </c>
      <c r="BE320" s="201" t="str">
        <f>VLOOKUP($A320,'[3]allergenen 6nr'!$A$1:$O$1310,4,FALSE)</f>
        <v>X</v>
      </c>
      <c r="BF320" s="201" t="str">
        <f>VLOOKUP($A320,'[3]allergenen 6nr'!$A$1:$O$1310,5,FALSE)</f>
        <v>X</v>
      </c>
      <c r="BG320" s="201" t="str">
        <f>VLOOKUP($A320,'[3]allergenen 6nr'!$A$1:$O$1310,6,FALSE)</f>
        <v>-</v>
      </c>
      <c r="BH320" s="201" t="str">
        <f>VLOOKUP($A320,'[3]allergenen 6nr'!$A$1:$O$1310,7,FALSE)</f>
        <v>+</v>
      </c>
      <c r="BI320" s="201" t="str">
        <f>VLOOKUP($A320,'[3]allergenen 6nr'!$A$1:$O$1310,8,FALSE)</f>
        <v>X</v>
      </c>
      <c r="BJ320" s="201" t="str">
        <f>VLOOKUP($A320,'[3]allergenen 6nr'!$A$1:$O$1310,9,FALSE)</f>
        <v>X</v>
      </c>
      <c r="BK320" s="201" t="str">
        <f>VLOOKUP($A320,'[3]allergenen 6nr'!$A$1:$O$1310,10,FALSE)</f>
        <v>X</v>
      </c>
      <c r="BL320" s="201" t="str">
        <f>VLOOKUP($A320,'[3]allergenen 6nr'!$A$1:$O$1310,11,FALSE)</f>
        <v>X</v>
      </c>
      <c r="BM320" s="201" t="str">
        <f>VLOOKUP($A320,'[3]allergenen 6nr'!$A$1:$O$1310,12,FALSE)</f>
        <v>-</v>
      </c>
      <c r="BN320" s="201" t="str">
        <f>VLOOKUP($A320,'[3]allergenen 6nr'!$A$1:$O$1310,13,FALSE)</f>
        <v>X</v>
      </c>
      <c r="BO320" s="201" t="str">
        <f>VLOOKUP($A320,'[3]allergenen 6nr'!$A$1:$O$1310,14,FALSE)</f>
        <v>X</v>
      </c>
      <c r="BP320" s="202" t="str">
        <f>VLOOKUP($A320,'[3]allergenen 6nr'!$A$1:$O$1310,15,FALSE)</f>
        <v>X</v>
      </c>
    </row>
    <row r="321" spans="1:68" x14ac:dyDescent="0.2">
      <c r="A321" s="54">
        <v>63912500</v>
      </c>
      <c r="B321" s="53" t="str">
        <f>VLOOKUP($A321,[1]maaltijden!$A$1:$IV$65536,4,FALSE)</f>
        <v>VAT PREISTAMPPOT KIPFILET</v>
      </c>
      <c r="C321" s="46" t="str">
        <f>VLOOKUP($A321,[1]maaltijden!$A$1:$IV$65536,7,FALSE)</f>
        <v>C2227-2K</v>
      </c>
      <c r="D321" s="22" t="str">
        <f>VLOOKUP($A321,[1]maaltijden!$A$1:$IV$65536,10,FALSE)</f>
        <v>NVT</v>
      </c>
      <c r="E321" s="22" t="str">
        <f>VLOOKUP($A321,[1]maaltijden!$A$1:$IV$65536,13,FALSE)</f>
        <v xml:space="preserve">VAT X 6 </v>
      </c>
      <c r="F321" s="20">
        <f t="shared" si="4"/>
        <v>0</v>
      </c>
      <c r="G321" s="20" t="str">
        <f>VLOOKUP($A321,[1]maaltijden!$A$1:$IV$65536,27,FALSE)</f>
        <v>! !</v>
      </c>
      <c r="H321" s="22">
        <f>VLOOKUP($A321,[1]maaltijden!$A$1:$IV$65536,21,FALSE)</f>
        <v>2</v>
      </c>
      <c r="I321" s="22">
        <f>VLOOKUP($A321,[1]maaltijden!$A$1:$IV$65536,21,FALSE)</f>
        <v>2</v>
      </c>
      <c r="J321" s="22">
        <f>VLOOKUP($A321,[1]maaltijden!$A$1:$IV$65536,18,FALSE)</f>
        <v>3</v>
      </c>
      <c r="K321" s="22">
        <f>VLOOKUP($A321,[1]maaltijden!$A$1:$IV$65536,17,FALSE)</f>
        <v>2.5</v>
      </c>
      <c r="L321" s="22">
        <f>VLOOKUP($A321,[1]maaltijden!$A$1:$IV$65536,20,FALSE)</f>
        <v>2200</v>
      </c>
      <c r="M321" s="22">
        <f>VLOOKUP($A321,[1]maaltijden!$A$1:$IV$65536,22,FALSE)</f>
        <v>2200</v>
      </c>
      <c r="N321" s="135"/>
      <c r="O321" s="50"/>
      <c r="P321" s="19">
        <v>0</v>
      </c>
      <c r="Q321" s="20">
        <v>1</v>
      </c>
      <c r="R321" s="21">
        <v>0</v>
      </c>
      <c r="S321" s="19">
        <v>0</v>
      </c>
      <c r="T321" s="20">
        <v>1</v>
      </c>
      <c r="U321" s="19"/>
      <c r="V321" s="20"/>
      <c r="W321" s="20"/>
      <c r="X321" s="20"/>
      <c r="Y321" s="20"/>
      <c r="Z321" s="20"/>
      <c r="AA321" s="20"/>
      <c r="AB321" s="49"/>
      <c r="AC321" s="49"/>
      <c r="AD321" s="49"/>
      <c r="AE321" s="49"/>
      <c r="AF321" s="49"/>
      <c r="AG321" s="161">
        <v>0</v>
      </c>
      <c r="AH321" s="168">
        <v>1</v>
      </c>
      <c r="AI321" s="168">
        <v>1</v>
      </c>
      <c r="AJ321" s="20"/>
      <c r="AK321" s="20"/>
      <c r="AL321" s="21"/>
      <c r="AM321" s="19">
        <v>0</v>
      </c>
      <c r="AN321" s="20" t="str">
        <f>IFERROR(INDEX([2]lijnopstellingsfiche!$AP$1:$AP$65536,MATCH(A321,[2]lijnopstellingsfiche!$AQ$1:$AQ$65536,0)),"")</f>
        <v>-</v>
      </c>
      <c r="AO321" s="20">
        <v>0</v>
      </c>
      <c r="AP321" s="20">
        <v>0</v>
      </c>
      <c r="AQ321" s="20">
        <v>1</v>
      </c>
      <c r="AR321" s="20">
        <v>1</v>
      </c>
      <c r="AS321" s="20">
        <v>0</v>
      </c>
      <c r="AT321" s="20">
        <v>0</v>
      </c>
      <c r="AU321" s="20">
        <v>0</v>
      </c>
      <c r="AV321" s="23">
        <v>0</v>
      </c>
      <c r="AW321" s="108">
        <v>0</v>
      </c>
      <c r="AX321" s="108">
        <v>0</v>
      </c>
      <c r="AY321" s="108">
        <v>1</v>
      </c>
      <c r="AZ321" s="108">
        <v>0</v>
      </c>
      <c r="BA321" s="114">
        <v>1</v>
      </c>
      <c r="BB321" s="20">
        <v>0</v>
      </c>
      <c r="BC321" s="113">
        <v>0</v>
      </c>
      <c r="BD321" s="200" t="str">
        <f>VLOOKUP($A321,'[3]allergenen 6nr'!$A$1:$O$1310,3,FALSE)</f>
        <v>-</v>
      </c>
      <c r="BE321" s="201" t="str">
        <f>VLOOKUP($A321,'[3]allergenen 6nr'!$A$1:$O$1310,4,FALSE)</f>
        <v>-</v>
      </c>
      <c r="BF321" s="201" t="str">
        <f>VLOOKUP($A321,'[3]allergenen 6nr'!$A$1:$O$1310,5,FALSE)</f>
        <v>+</v>
      </c>
      <c r="BG321" s="201" t="str">
        <f>VLOOKUP($A321,'[3]allergenen 6nr'!$A$1:$O$1310,6,FALSE)</f>
        <v>X</v>
      </c>
      <c r="BH321" s="201" t="str">
        <f>VLOOKUP($A321,'[3]allergenen 6nr'!$A$1:$O$1310,7,FALSE)</f>
        <v>+</v>
      </c>
      <c r="BI321" s="201" t="str">
        <f>VLOOKUP($A321,'[3]allergenen 6nr'!$A$1:$O$1310,8,FALSE)</f>
        <v>X</v>
      </c>
      <c r="BJ321" s="201" t="str">
        <f>VLOOKUP($A321,'[3]allergenen 6nr'!$A$1:$O$1310,9,FALSE)</f>
        <v>-</v>
      </c>
      <c r="BK321" s="201" t="str">
        <f>VLOOKUP($A321,'[3]allergenen 6nr'!$A$1:$O$1310,10,FALSE)</f>
        <v>-</v>
      </c>
      <c r="BL321" s="201" t="str">
        <f>VLOOKUP($A321,'[3]allergenen 6nr'!$A$1:$O$1310,11,FALSE)</f>
        <v>X</v>
      </c>
      <c r="BM321" s="201" t="str">
        <f>VLOOKUP($A321,'[3]allergenen 6nr'!$A$1:$O$1310,12,FALSE)</f>
        <v>-</v>
      </c>
      <c r="BN321" s="201" t="str">
        <f>VLOOKUP($A321,'[3]allergenen 6nr'!$A$1:$O$1310,13,FALSE)</f>
        <v>X</v>
      </c>
      <c r="BO321" s="201" t="str">
        <f>VLOOKUP($A321,'[3]allergenen 6nr'!$A$1:$O$1310,14,FALSE)</f>
        <v>-</v>
      </c>
      <c r="BP321" s="202" t="str">
        <f>VLOOKUP($A321,'[3]allergenen 6nr'!$A$1:$O$1310,15,FALSE)</f>
        <v>-</v>
      </c>
    </row>
    <row r="322" spans="1:68" x14ac:dyDescent="0.2">
      <c r="A322" s="54">
        <v>63912600</v>
      </c>
      <c r="B322" s="53" t="str">
        <f>VLOOKUP($A322,[1]maaltijden!$A$1:$IV$65536,4,FALSE)</f>
        <v>VAT SLAVINK SPRUITEN AARDAPPELPUREE</v>
      </c>
      <c r="C322" s="46" t="str">
        <f>VLOOKUP($A322,[1]maaltijden!$A$1:$IV$65536,7,FALSE)</f>
        <v>C2227-2K</v>
      </c>
      <c r="D322" s="22" t="str">
        <f>VLOOKUP($A322,[1]maaltijden!$A$1:$IV$65536,10,FALSE)</f>
        <v>NVT</v>
      </c>
      <c r="E322" s="22" t="str">
        <f>VLOOKUP($A322,[1]maaltijden!$A$1:$IV$65536,13,FALSE)</f>
        <v xml:space="preserve">VAT X 6 </v>
      </c>
      <c r="F322" s="20">
        <f t="shared" si="4"/>
        <v>0</v>
      </c>
      <c r="G322" s="20" t="str">
        <f>VLOOKUP($A322,[1]maaltijden!$A$1:$IV$65536,27,FALSE)</f>
        <v>! !</v>
      </c>
      <c r="H322" s="22">
        <f>VLOOKUP($A322,[1]maaltijden!$A$1:$IV$65536,21,FALSE)</f>
        <v>4</v>
      </c>
      <c r="I322" s="22">
        <f>VLOOKUP($A322,[1]maaltijden!$A$1:$IV$65536,21,FALSE)</f>
        <v>4</v>
      </c>
      <c r="J322" s="22">
        <f>VLOOKUP($A322,[1]maaltijden!$A$1:$IV$65536,18,FALSE)</f>
        <v>3</v>
      </c>
      <c r="K322" s="22">
        <f>VLOOKUP($A322,[1]maaltijden!$A$1:$IV$65536,17,FALSE)</f>
        <v>3</v>
      </c>
      <c r="L322" s="22">
        <f>VLOOKUP($A322,[1]maaltijden!$A$1:$IV$65536,20,FALSE)</f>
        <v>2200</v>
      </c>
      <c r="M322" s="22">
        <f>VLOOKUP($A322,[1]maaltijden!$A$1:$IV$65536,22,FALSE)</f>
        <v>2200</v>
      </c>
      <c r="N322" s="135"/>
      <c r="O322" s="50"/>
      <c r="P322" s="19">
        <v>0</v>
      </c>
      <c r="Q322" s="20">
        <v>1</v>
      </c>
      <c r="R322" s="21">
        <v>0</v>
      </c>
      <c r="S322" s="19">
        <v>0</v>
      </c>
      <c r="T322" s="20">
        <v>1</v>
      </c>
      <c r="U322" s="19"/>
      <c r="V322" s="20"/>
      <c r="W322" s="20"/>
      <c r="X322" s="20"/>
      <c r="Y322" s="20"/>
      <c r="Z322" s="20"/>
      <c r="AA322" s="20"/>
      <c r="AB322" s="49"/>
      <c r="AC322" s="49"/>
      <c r="AD322" s="49"/>
      <c r="AE322" s="49"/>
      <c r="AF322" s="49"/>
      <c r="AG322" s="161">
        <v>0</v>
      </c>
      <c r="AH322" s="168">
        <v>2</v>
      </c>
      <c r="AI322" s="168">
        <v>1</v>
      </c>
      <c r="AJ322" s="20"/>
      <c r="AK322" s="20"/>
      <c r="AL322" s="21"/>
      <c r="AM322" s="19">
        <v>0</v>
      </c>
      <c r="AN322" s="20" t="str">
        <f>IFERROR(INDEX([2]lijnopstellingsfiche!$AP$1:$AP$65536,MATCH(A322,[2]lijnopstellingsfiche!$AQ$1:$AQ$65536,0)),"")</f>
        <v>-</v>
      </c>
      <c r="AO322" s="20">
        <v>0</v>
      </c>
      <c r="AP322" s="20">
        <v>0</v>
      </c>
      <c r="AQ322" s="20">
        <v>1</v>
      </c>
      <c r="AR322" s="20">
        <v>1</v>
      </c>
      <c r="AS322" s="20">
        <v>0</v>
      </c>
      <c r="AT322" s="20">
        <v>0</v>
      </c>
      <c r="AU322" s="20">
        <v>0</v>
      </c>
      <c r="AV322" s="23">
        <v>0</v>
      </c>
      <c r="AW322" s="108">
        <v>0</v>
      </c>
      <c r="AX322" s="108">
        <v>0</v>
      </c>
      <c r="AY322" s="108">
        <v>1</v>
      </c>
      <c r="AZ322" s="108">
        <v>0</v>
      </c>
      <c r="BA322" s="114">
        <v>1</v>
      </c>
      <c r="BB322" s="20">
        <v>0</v>
      </c>
      <c r="BC322" s="113">
        <v>0</v>
      </c>
      <c r="BD322" s="200" t="str">
        <f>VLOOKUP($A322,'[3]allergenen 6nr'!$A$1:$O$1310,3,FALSE)</f>
        <v>-</v>
      </c>
      <c r="BE322" s="201" t="str">
        <f>VLOOKUP($A322,'[3]allergenen 6nr'!$A$1:$O$1310,4,FALSE)</f>
        <v>+</v>
      </c>
      <c r="BF322" s="201" t="str">
        <f>VLOOKUP($A322,'[3]allergenen 6nr'!$A$1:$O$1310,5,FALSE)</f>
        <v>+</v>
      </c>
      <c r="BG322" s="201" t="str">
        <f>VLOOKUP($A322,'[3]allergenen 6nr'!$A$1:$O$1310,6,FALSE)</f>
        <v>X</v>
      </c>
      <c r="BH322" s="201" t="str">
        <f>VLOOKUP($A322,'[3]allergenen 6nr'!$A$1:$O$1310,7,FALSE)</f>
        <v>+</v>
      </c>
      <c r="BI322" s="201" t="str">
        <f>VLOOKUP($A322,'[3]allergenen 6nr'!$A$1:$O$1310,8,FALSE)</f>
        <v>X</v>
      </c>
      <c r="BJ322" s="201" t="str">
        <f>VLOOKUP($A322,'[3]allergenen 6nr'!$A$1:$O$1310,9,FALSE)</f>
        <v>-</v>
      </c>
      <c r="BK322" s="201" t="str">
        <f>VLOOKUP($A322,'[3]allergenen 6nr'!$A$1:$O$1310,10,FALSE)</f>
        <v>-</v>
      </c>
      <c r="BL322" s="201" t="str">
        <f>VLOOKUP($A322,'[3]allergenen 6nr'!$A$1:$O$1310,11,FALSE)</f>
        <v>X</v>
      </c>
      <c r="BM322" s="201" t="str">
        <f>VLOOKUP($A322,'[3]allergenen 6nr'!$A$1:$O$1310,12,FALSE)</f>
        <v>-</v>
      </c>
      <c r="BN322" s="201" t="str">
        <f>VLOOKUP($A322,'[3]allergenen 6nr'!$A$1:$O$1310,13,FALSE)</f>
        <v>X</v>
      </c>
      <c r="BO322" s="201" t="str">
        <f>VLOOKUP($A322,'[3]allergenen 6nr'!$A$1:$O$1310,14,FALSE)</f>
        <v>-</v>
      </c>
      <c r="BP322" s="202" t="str">
        <f>VLOOKUP($A322,'[3]allergenen 6nr'!$A$1:$O$1310,15,FALSE)</f>
        <v>-</v>
      </c>
    </row>
    <row r="323" spans="1:68" x14ac:dyDescent="0.2">
      <c r="A323" s="54">
        <v>63912700</v>
      </c>
      <c r="B323" s="53" t="str">
        <f>VLOOKUP($A323,[1]maaltijden!$A$1:$IV$65536,4,FALSE)</f>
        <v>VAT BABI KETJAP MET BAMI</v>
      </c>
      <c r="C323" s="46" t="str">
        <f>VLOOKUP($A323,[1]maaltijden!$A$1:$IV$65536,7,FALSE)</f>
        <v>C2227-2K</v>
      </c>
      <c r="D323" s="22" t="str">
        <f>VLOOKUP($A323,[1]maaltijden!$A$1:$IV$65536,10,FALSE)</f>
        <v>NVT</v>
      </c>
      <c r="E323" s="22" t="str">
        <f>VLOOKUP($A323,[1]maaltijden!$A$1:$IV$65536,13,FALSE)</f>
        <v xml:space="preserve">VAT X 6 </v>
      </c>
      <c r="F323" s="20">
        <f t="shared" ref="F323:F386" si="5">IF($D323="Bedrukte folie 470x300",1,0)</f>
        <v>0</v>
      </c>
      <c r="G323" s="20" t="str">
        <f>VLOOKUP($A323,[1]maaltijden!$A$1:$IV$65536,27,FALSE)</f>
        <v>! ! !</v>
      </c>
      <c r="H323" s="22">
        <f>VLOOKUP($A323,[1]maaltijden!$A$1:$IV$65536,21,FALSE)</f>
        <v>4</v>
      </c>
      <c r="I323" s="22">
        <f>VLOOKUP($A323,[1]maaltijden!$A$1:$IV$65536,21,FALSE)</f>
        <v>4</v>
      </c>
      <c r="J323" s="22">
        <f>VLOOKUP($A323,[1]maaltijden!$A$1:$IV$65536,18,FALSE)</f>
        <v>3</v>
      </c>
      <c r="K323" s="22">
        <f>VLOOKUP($A323,[1]maaltijden!$A$1:$IV$65536,17,FALSE)</f>
        <v>3</v>
      </c>
      <c r="L323" s="22">
        <f>VLOOKUP($A323,[1]maaltijden!$A$1:$IV$65536,20,FALSE)</f>
        <v>2200</v>
      </c>
      <c r="M323" s="22">
        <f>VLOOKUP($A323,[1]maaltijden!$A$1:$IV$65536,22,FALSE)</f>
        <v>2200</v>
      </c>
      <c r="N323" s="135"/>
      <c r="O323" s="50"/>
      <c r="P323" s="19">
        <v>0</v>
      </c>
      <c r="Q323" s="20">
        <v>1</v>
      </c>
      <c r="R323" s="21">
        <v>0</v>
      </c>
      <c r="S323" s="19">
        <v>0</v>
      </c>
      <c r="T323" s="20">
        <v>1</v>
      </c>
      <c r="U323" s="19"/>
      <c r="V323" s="20"/>
      <c r="W323" s="20"/>
      <c r="X323" s="20"/>
      <c r="Y323" s="20"/>
      <c r="Z323" s="20"/>
      <c r="AA323" s="20"/>
      <c r="AB323" s="49"/>
      <c r="AC323" s="49"/>
      <c r="AD323" s="49"/>
      <c r="AE323" s="49"/>
      <c r="AF323" s="49"/>
      <c r="AG323" s="161">
        <v>1</v>
      </c>
      <c r="AH323" s="168">
        <v>1</v>
      </c>
      <c r="AI323" s="168">
        <v>1</v>
      </c>
      <c r="AJ323" s="20"/>
      <c r="AK323" s="20"/>
      <c r="AL323" s="21"/>
      <c r="AM323" s="19">
        <v>0</v>
      </c>
      <c r="AN323" s="20">
        <f>IFERROR(INDEX([2]lijnopstellingsfiche!$AP$1:$AP$65536,MATCH(A323,[2]lijnopstellingsfiche!$AQ$1:$AQ$65536,0)),"")</f>
        <v>1</v>
      </c>
      <c r="AO323" s="20">
        <v>1</v>
      </c>
      <c r="AP323" s="20">
        <v>0</v>
      </c>
      <c r="AQ323" s="20">
        <v>1</v>
      </c>
      <c r="AR323" s="20">
        <v>0</v>
      </c>
      <c r="AS323" s="20">
        <v>0</v>
      </c>
      <c r="AT323" s="20">
        <v>1</v>
      </c>
      <c r="AU323" s="20">
        <v>0</v>
      </c>
      <c r="AV323" s="23">
        <v>0</v>
      </c>
      <c r="AW323" s="108">
        <v>0</v>
      </c>
      <c r="AX323" s="108">
        <v>0</v>
      </c>
      <c r="AY323" s="108">
        <v>1</v>
      </c>
      <c r="AZ323" s="108">
        <v>0</v>
      </c>
      <c r="BA323" s="114">
        <v>1</v>
      </c>
      <c r="BB323" s="20">
        <v>0</v>
      </c>
      <c r="BC323" s="113">
        <v>0</v>
      </c>
      <c r="BD323" s="200" t="str">
        <f>VLOOKUP($A323,'[3]allergenen 6nr'!$A$1:$O$1310,3,FALSE)</f>
        <v>-</v>
      </c>
      <c r="BE323" s="201" t="str">
        <f>VLOOKUP($A323,'[3]allergenen 6nr'!$A$1:$O$1310,4,FALSE)</f>
        <v>+</v>
      </c>
      <c r="BF323" s="201" t="str">
        <f>VLOOKUP($A323,'[3]allergenen 6nr'!$A$1:$O$1310,5,FALSE)</f>
        <v>+</v>
      </c>
      <c r="BG323" s="201" t="str">
        <f>VLOOKUP($A323,'[3]allergenen 6nr'!$A$1:$O$1310,6,FALSE)</f>
        <v>X</v>
      </c>
      <c r="BH323" s="201" t="str">
        <f>VLOOKUP($A323,'[3]allergenen 6nr'!$A$1:$O$1310,7,FALSE)</f>
        <v>X</v>
      </c>
      <c r="BI323" s="201" t="str">
        <f>VLOOKUP($A323,'[3]allergenen 6nr'!$A$1:$O$1310,8,FALSE)</f>
        <v>X</v>
      </c>
      <c r="BJ323" s="201" t="str">
        <f>VLOOKUP($A323,'[3]allergenen 6nr'!$A$1:$O$1310,9,FALSE)</f>
        <v>-</v>
      </c>
      <c r="BK323" s="201" t="str">
        <f>VLOOKUP($A323,'[3]allergenen 6nr'!$A$1:$O$1310,10,FALSE)</f>
        <v>-</v>
      </c>
      <c r="BL323" s="201" t="str">
        <f>VLOOKUP($A323,'[3]allergenen 6nr'!$A$1:$O$1310,11,FALSE)</f>
        <v>+</v>
      </c>
      <c r="BM323" s="201" t="str">
        <f>VLOOKUP($A323,'[3]allergenen 6nr'!$A$1:$O$1310,12,FALSE)</f>
        <v>-</v>
      </c>
      <c r="BN323" s="201" t="str">
        <f>VLOOKUP($A323,'[3]allergenen 6nr'!$A$1:$O$1310,13,FALSE)</f>
        <v>+</v>
      </c>
      <c r="BO323" s="201" t="str">
        <f>VLOOKUP($A323,'[3]allergenen 6nr'!$A$1:$O$1310,14,FALSE)</f>
        <v>-</v>
      </c>
      <c r="BP323" s="202" t="str">
        <f>VLOOKUP($A323,'[3]allergenen 6nr'!$A$1:$O$1310,15,FALSE)</f>
        <v>-</v>
      </c>
    </row>
    <row r="324" spans="1:68" x14ac:dyDescent="0.2">
      <c r="A324" s="126">
        <v>63912800</v>
      </c>
      <c r="B324" s="53" t="str">
        <f>VLOOKUP($A324,[1]maaltijden!$A$1:$IV$65536,4,FALSE)</f>
        <v>VAT VARKENSROLLADE ANDIJVIE KOOKAARDAPPEL</v>
      </c>
      <c r="C324" s="46" t="str">
        <f>VLOOKUP($A324,[1]maaltijden!$A$1:$IV$65536,7,FALSE)</f>
        <v>C2227-3R</v>
      </c>
      <c r="D324" s="22" t="str">
        <f>VLOOKUP($A324,[1]maaltijden!$A$1:$IV$65536,10,FALSE)</f>
        <v>NVT</v>
      </c>
      <c r="E324" s="22" t="str">
        <f>VLOOKUP($A324,[1]maaltijden!$A$1:$IV$65536,13,FALSE)</f>
        <v xml:space="preserve">VAT X 6 </v>
      </c>
      <c r="F324" s="20">
        <f t="shared" si="5"/>
        <v>0</v>
      </c>
      <c r="G324" s="20" t="str">
        <f>VLOOKUP($A324,[1]maaltijden!$A$1:$IV$65536,27,FALSE)</f>
        <v>! !</v>
      </c>
      <c r="H324" s="22">
        <f>VLOOKUP($A324,[1]maaltijden!$A$1:$IV$65536,21,FALSE)</f>
        <v>5</v>
      </c>
      <c r="I324" s="22">
        <f>VLOOKUP($A324,[1]maaltijden!$A$1:$IV$65536,21,FALSE)</f>
        <v>5</v>
      </c>
      <c r="J324" s="22">
        <f>VLOOKUP($A324,[1]maaltijden!$A$1:$IV$65536,18,FALSE)</f>
        <v>3</v>
      </c>
      <c r="K324" s="22">
        <f>VLOOKUP($A324,[1]maaltijden!$A$1:$IV$65536,17,FALSE)</f>
        <v>3</v>
      </c>
      <c r="L324" s="22">
        <f>VLOOKUP($A324,[1]maaltijden!$A$1:$IV$65536,20,FALSE)</f>
        <v>2000</v>
      </c>
      <c r="M324" s="22">
        <f>VLOOKUP($A324,[1]maaltijden!$A$1:$IV$65536,22,FALSE)</f>
        <v>2000</v>
      </c>
      <c r="N324" s="135"/>
      <c r="O324" s="50">
        <v>63932600</v>
      </c>
      <c r="P324" s="19">
        <v>0</v>
      </c>
      <c r="Q324" s="20">
        <v>1</v>
      </c>
      <c r="R324" s="21">
        <v>0</v>
      </c>
      <c r="S324" s="19">
        <v>0</v>
      </c>
      <c r="T324" s="20">
        <v>1</v>
      </c>
      <c r="U324" s="19">
        <v>0</v>
      </c>
      <c r="V324" s="20">
        <v>1</v>
      </c>
      <c r="W324" s="20">
        <v>1</v>
      </c>
      <c r="X324" s="20">
        <v>1</v>
      </c>
      <c r="Y324" s="20">
        <v>1</v>
      </c>
      <c r="Z324" s="20">
        <v>0</v>
      </c>
      <c r="AA324" s="20">
        <v>0</v>
      </c>
      <c r="AB324" s="49">
        <v>0</v>
      </c>
      <c r="AC324" s="49">
        <v>0</v>
      </c>
      <c r="AD324" s="49">
        <v>0</v>
      </c>
      <c r="AE324" s="49">
        <v>1</v>
      </c>
      <c r="AF324" s="49">
        <v>0</v>
      </c>
      <c r="AG324" s="161">
        <v>0</v>
      </c>
      <c r="AH324" s="168">
        <v>1</v>
      </c>
      <c r="AI324" s="168">
        <v>1</v>
      </c>
      <c r="AJ324" s="20"/>
      <c r="AK324" s="20"/>
      <c r="AL324" s="21"/>
      <c r="AM324" s="19">
        <v>0</v>
      </c>
      <c r="AN324" s="20" t="str">
        <f>IFERROR(INDEX([2]lijnopstellingsfiche!$AP$1:$AP$65536,MATCH(A324,[2]lijnopstellingsfiche!$AQ$1:$AQ$65536,0)),"")</f>
        <v>-</v>
      </c>
      <c r="AO324" s="20">
        <v>0</v>
      </c>
      <c r="AP324" s="20">
        <v>0</v>
      </c>
      <c r="AQ324" s="20">
        <v>2</v>
      </c>
      <c r="AR324" s="20">
        <v>0</v>
      </c>
      <c r="AS324" s="20">
        <v>0</v>
      </c>
      <c r="AT324" s="20">
        <v>0</v>
      </c>
      <c r="AU324" s="20">
        <v>0</v>
      </c>
      <c r="AV324" s="23">
        <v>0</v>
      </c>
      <c r="AW324" s="108">
        <v>0</v>
      </c>
      <c r="AX324" s="108">
        <v>0</v>
      </c>
      <c r="AY324" s="108">
        <v>1</v>
      </c>
      <c r="AZ324" s="108">
        <v>0</v>
      </c>
      <c r="BA324" s="114">
        <v>1</v>
      </c>
      <c r="BB324" s="20">
        <v>0</v>
      </c>
      <c r="BC324" s="113">
        <v>0</v>
      </c>
      <c r="BD324" s="200" t="str">
        <f>VLOOKUP($A324,'[3]allergenen 6nr'!$A$1:$O$1310,3,FALSE)</f>
        <v>X</v>
      </c>
      <c r="BE324" s="201" t="str">
        <f>VLOOKUP($A324,'[3]allergenen 6nr'!$A$1:$O$1310,4,FALSE)</f>
        <v>-</v>
      </c>
      <c r="BF324" s="201" t="str">
        <f>VLOOKUP($A324,'[3]allergenen 6nr'!$A$1:$O$1310,5,FALSE)</f>
        <v>+</v>
      </c>
      <c r="BG324" s="201" t="str">
        <f>VLOOKUP($A324,'[3]allergenen 6nr'!$A$1:$O$1310,6,FALSE)</f>
        <v>X</v>
      </c>
      <c r="BH324" s="201" t="str">
        <f>VLOOKUP($A324,'[3]allergenen 6nr'!$A$1:$O$1310,7,FALSE)</f>
        <v>+</v>
      </c>
      <c r="BI324" s="201" t="str">
        <f>VLOOKUP($A324,'[3]allergenen 6nr'!$A$1:$O$1310,8,FALSE)</f>
        <v>X</v>
      </c>
      <c r="BJ324" s="201" t="str">
        <f>VLOOKUP($A324,'[3]allergenen 6nr'!$A$1:$O$1310,9,FALSE)</f>
        <v>X</v>
      </c>
      <c r="BK324" s="201" t="str">
        <f>VLOOKUP($A324,'[3]allergenen 6nr'!$A$1:$O$1310,10,FALSE)</f>
        <v>-</v>
      </c>
      <c r="BL324" s="201" t="str">
        <f>VLOOKUP($A324,'[3]allergenen 6nr'!$A$1:$O$1310,11,FALSE)</f>
        <v>X</v>
      </c>
      <c r="BM324" s="201" t="str">
        <f>VLOOKUP($A324,'[3]allergenen 6nr'!$A$1:$O$1310,12,FALSE)</f>
        <v>-</v>
      </c>
      <c r="BN324" s="201" t="str">
        <f>VLOOKUP($A324,'[3]allergenen 6nr'!$A$1:$O$1310,13,FALSE)</f>
        <v>X</v>
      </c>
      <c r="BO324" s="201" t="str">
        <f>VLOOKUP($A324,'[3]allergenen 6nr'!$A$1:$O$1310,14,FALSE)</f>
        <v>-</v>
      </c>
      <c r="BP324" s="202" t="str">
        <f>VLOOKUP($A324,'[3]allergenen 6nr'!$A$1:$O$1310,15,FALSE)</f>
        <v>-</v>
      </c>
    </row>
    <row r="325" spans="1:68" x14ac:dyDescent="0.2">
      <c r="A325" s="54">
        <v>63912900</v>
      </c>
      <c r="B325" s="53" t="str">
        <f>VLOOKUP($A325,[1]maaltijden!$A$1:$IV$65536,4,FALSE)</f>
        <v>VAT RUNDERLAPJE STOOFPEREN PUREE</v>
      </c>
      <c r="C325" s="46" t="str">
        <f>VLOOKUP($A325,[1]maaltijden!$A$1:$IV$65536,7,FALSE)</f>
        <v>C2227-3R</v>
      </c>
      <c r="D325" s="22" t="str">
        <f>VLOOKUP($A325,[1]maaltijden!$A$1:$IV$65536,10,FALSE)</f>
        <v>NVT</v>
      </c>
      <c r="E325" s="22" t="str">
        <f>VLOOKUP($A325,[1]maaltijden!$A$1:$IV$65536,13,FALSE)</f>
        <v xml:space="preserve">VAT X 6 </v>
      </c>
      <c r="F325" s="20">
        <f t="shared" si="5"/>
        <v>0</v>
      </c>
      <c r="G325" s="20" t="str">
        <f>VLOOKUP($A325,[1]maaltijden!$A$1:$IV$65536,27,FALSE)</f>
        <v>! !</v>
      </c>
      <c r="H325" s="22">
        <f>VLOOKUP($A325,[1]maaltijden!$A$1:$IV$65536,21,FALSE)</f>
        <v>4</v>
      </c>
      <c r="I325" s="22">
        <f>VLOOKUP($A325,[1]maaltijden!$A$1:$IV$65536,21,FALSE)</f>
        <v>4</v>
      </c>
      <c r="J325" s="22">
        <f>VLOOKUP($A325,[1]maaltijden!$A$1:$IV$65536,18,FALSE)</f>
        <v>3</v>
      </c>
      <c r="K325" s="22">
        <f>VLOOKUP($A325,[1]maaltijden!$A$1:$IV$65536,17,FALSE)</f>
        <v>3</v>
      </c>
      <c r="L325" s="22">
        <f>VLOOKUP($A325,[1]maaltijden!$A$1:$IV$65536,20,FALSE)</f>
        <v>2200</v>
      </c>
      <c r="M325" s="22">
        <f>VLOOKUP($A325,[1]maaltijden!$A$1:$IV$65536,22,FALSE)</f>
        <v>2200</v>
      </c>
      <c r="N325" s="135"/>
      <c r="O325" s="50"/>
      <c r="P325" s="19">
        <v>0</v>
      </c>
      <c r="Q325" s="20">
        <v>1</v>
      </c>
      <c r="R325" s="21">
        <v>0</v>
      </c>
      <c r="S325" s="19">
        <v>0</v>
      </c>
      <c r="T325" s="20">
        <v>1</v>
      </c>
      <c r="U325" s="19"/>
      <c r="V325" s="20"/>
      <c r="W325" s="20"/>
      <c r="X325" s="20"/>
      <c r="Y325" s="20"/>
      <c r="Z325" s="20"/>
      <c r="AA325" s="20"/>
      <c r="AB325" s="49"/>
      <c r="AC325" s="49"/>
      <c r="AD325" s="49"/>
      <c r="AE325" s="49"/>
      <c r="AF325" s="49"/>
      <c r="AG325" s="161">
        <v>0</v>
      </c>
      <c r="AH325" s="168">
        <v>3</v>
      </c>
      <c r="AI325" s="20"/>
      <c r="AJ325" s="20"/>
      <c r="AK325" s="20"/>
      <c r="AL325" s="21"/>
      <c r="AM325" s="19">
        <v>0</v>
      </c>
      <c r="AN325" s="20" t="str">
        <f>IFERROR(INDEX([2]lijnopstellingsfiche!$AP$1:$AP$65536,MATCH(A325,[2]lijnopstellingsfiche!$AQ$1:$AQ$65536,0)),"")</f>
        <v>-</v>
      </c>
      <c r="AO325" s="20">
        <v>0</v>
      </c>
      <c r="AP325" s="20">
        <v>0</v>
      </c>
      <c r="AQ325" s="20">
        <v>2</v>
      </c>
      <c r="AR325" s="20">
        <v>1</v>
      </c>
      <c r="AS325" s="20">
        <v>0</v>
      </c>
      <c r="AT325" s="20">
        <v>0</v>
      </c>
      <c r="AU325" s="20">
        <v>0</v>
      </c>
      <c r="AV325" s="23">
        <v>0</v>
      </c>
      <c r="AW325" s="108">
        <v>0</v>
      </c>
      <c r="AX325" s="108">
        <v>0</v>
      </c>
      <c r="AY325" s="108">
        <v>1</v>
      </c>
      <c r="AZ325" s="108">
        <v>0</v>
      </c>
      <c r="BA325" s="114">
        <v>1</v>
      </c>
      <c r="BB325" s="20">
        <v>0</v>
      </c>
      <c r="BC325" s="113">
        <v>0</v>
      </c>
      <c r="BD325" s="200" t="str">
        <f>VLOOKUP($A325,'[3]allergenen 6nr'!$A$1:$O$1310,3,FALSE)</f>
        <v>-</v>
      </c>
      <c r="BE325" s="201" t="str">
        <f>VLOOKUP($A325,'[3]allergenen 6nr'!$A$1:$O$1310,4,FALSE)</f>
        <v>+</v>
      </c>
      <c r="BF325" s="201" t="str">
        <f>VLOOKUP($A325,'[3]allergenen 6nr'!$A$1:$O$1310,5,FALSE)</f>
        <v>+</v>
      </c>
      <c r="BG325" s="201" t="str">
        <f>VLOOKUP($A325,'[3]allergenen 6nr'!$A$1:$O$1310,6,FALSE)</f>
        <v>X</v>
      </c>
      <c r="BH325" s="201" t="str">
        <f>VLOOKUP($A325,'[3]allergenen 6nr'!$A$1:$O$1310,7,FALSE)</f>
        <v>+</v>
      </c>
      <c r="BI325" s="201" t="str">
        <f>VLOOKUP($A325,'[3]allergenen 6nr'!$A$1:$O$1310,8,FALSE)</f>
        <v>X</v>
      </c>
      <c r="BJ325" s="201" t="str">
        <f>VLOOKUP($A325,'[3]allergenen 6nr'!$A$1:$O$1310,9,FALSE)</f>
        <v>-</v>
      </c>
      <c r="BK325" s="201" t="str">
        <f>VLOOKUP($A325,'[3]allergenen 6nr'!$A$1:$O$1310,10,FALSE)</f>
        <v>-</v>
      </c>
      <c r="BL325" s="201" t="str">
        <f>VLOOKUP($A325,'[3]allergenen 6nr'!$A$1:$O$1310,11,FALSE)</f>
        <v>-</v>
      </c>
      <c r="BM325" s="201" t="str">
        <f>VLOOKUP($A325,'[3]allergenen 6nr'!$A$1:$O$1310,12,FALSE)</f>
        <v>-</v>
      </c>
      <c r="BN325" s="201" t="str">
        <f>VLOOKUP($A325,'[3]allergenen 6nr'!$A$1:$O$1310,13,FALSE)</f>
        <v>X</v>
      </c>
      <c r="BO325" s="201" t="str">
        <f>VLOOKUP($A325,'[3]allergenen 6nr'!$A$1:$O$1310,14,FALSE)</f>
        <v>-</v>
      </c>
      <c r="BP325" s="202" t="str">
        <f>VLOOKUP($A325,'[3]allergenen 6nr'!$A$1:$O$1310,15,FALSE)</f>
        <v>-</v>
      </c>
    </row>
    <row r="326" spans="1:68" x14ac:dyDescent="0.2">
      <c r="A326" s="54">
        <v>63913000</v>
      </c>
      <c r="B326" s="53" t="str">
        <f>VLOOKUP($A326,[1]maaltijden!$A$1:$IV$65536,4,FALSE)</f>
        <v>VAT RUNDERLAPJE SNIJBONEN PUREE</v>
      </c>
      <c r="C326" s="46" t="str">
        <f>VLOOKUP($A326,[1]maaltijden!$A$1:$IV$65536,7,FALSE)</f>
        <v>C2227-2K</v>
      </c>
      <c r="D326" s="22" t="str">
        <f>VLOOKUP($A326,[1]maaltijden!$A$1:$IV$65536,10,FALSE)</f>
        <v>NVT</v>
      </c>
      <c r="E326" s="22" t="str">
        <f>VLOOKUP($A326,[1]maaltijden!$A$1:$IV$65536,13,FALSE)</f>
        <v xml:space="preserve">VAT X 6 </v>
      </c>
      <c r="F326" s="20">
        <f t="shared" si="5"/>
        <v>0</v>
      </c>
      <c r="G326" s="20" t="str">
        <f>VLOOKUP($A326,[1]maaltijden!$A$1:$IV$65536,27,FALSE)</f>
        <v>! !</v>
      </c>
      <c r="H326" s="22">
        <f>VLOOKUP($A326,[1]maaltijden!$A$1:$IV$65536,21,FALSE)</f>
        <v>4</v>
      </c>
      <c r="I326" s="22">
        <f>VLOOKUP($A326,[1]maaltijden!$A$1:$IV$65536,21,FALSE)</f>
        <v>4</v>
      </c>
      <c r="J326" s="22">
        <f>VLOOKUP($A326,[1]maaltijden!$A$1:$IV$65536,18,FALSE)</f>
        <v>3</v>
      </c>
      <c r="K326" s="22">
        <f>VLOOKUP($A326,[1]maaltijden!$A$1:$IV$65536,17,FALSE)</f>
        <v>3</v>
      </c>
      <c r="L326" s="22">
        <f>VLOOKUP($A326,[1]maaltijden!$A$1:$IV$65536,20,FALSE)</f>
        <v>2200</v>
      </c>
      <c r="M326" s="22">
        <f>VLOOKUP($A326,[1]maaltijden!$A$1:$IV$65536,22,FALSE)</f>
        <v>2200</v>
      </c>
      <c r="N326" s="135"/>
      <c r="O326" s="50"/>
      <c r="P326" s="19">
        <v>0</v>
      </c>
      <c r="Q326" s="20">
        <v>1</v>
      </c>
      <c r="R326" s="21">
        <v>0</v>
      </c>
      <c r="S326" s="19">
        <v>0</v>
      </c>
      <c r="T326" s="20">
        <v>1</v>
      </c>
      <c r="U326" s="19"/>
      <c r="V326" s="20"/>
      <c r="W326" s="20"/>
      <c r="X326" s="20"/>
      <c r="Y326" s="20"/>
      <c r="Z326" s="20"/>
      <c r="AA326" s="20"/>
      <c r="AB326" s="49"/>
      <c r="AC326" s="49"/>
      <c r="AD326" s="49"/>
      <c r="AE326" s="49"/>
      <c r="AF326" s="49"/>
      <c r="AG326" s="161">
        <v>0</v>
      </c>
      <c r="AH326" s="168">
        <v>2</v>
      </c>
      <c r="AI326" s="168">
        <v>1</v>
      </c>
      <c r="AJ326" s="20"/>
      <c r="AK326" s="20"/>
      <c r="AL326" s="21"/>
      <c r="AM326" s="19">
        <v>0</v>
      </c>
      <c r="AN326" s="20" t="str">
        <f>IFERROR(INDEX([2]lijnopstellingsfiche!$AP$1:$AP$65536,MATCH(A326,[2]lijnopstellingsfiche!$AQ$1:$AQ$65536,0)),"")</f>
        <v>-</v>
      </c>
      <c r="AO326" s="20">
        <v>0</v>
      </c>
      <c r="AP326" s="20">
        <v>0</v>
      </c>
      <c r="AQ326" s="20">
        <v>1</v>
      </c>
      <c r="AR326" s="20">
        <v>1</v>
      </c>
      <c r="AS326" s="20">
        <v>0</v>
      </c>
      <c r="AT326" s="20">
        <v>0</v>
      </c>
      <c r="AU326" s="20">
        <v>0</v>
      </c>
      <c r="AV326" s="23">
        <v>0</v>
      </c>
      <c r="AW326" s="108">
        <v>0</v>
      </c>
      <c r="AX326" s="108">
        <v>0</v>
      </c>
      <c r="AY326" s="108">
        <v>1</v>
      </c>
      <c r="AZ326" s="108">
        <v>0</v>
      </c>
      <c r="BA326" s="114">
        <v>1</v>
      </c>
      <c r="BB326" s="20">
        <v>0</v>
      </c>
      <c r="BC326" s="113">
        <v>0</v>
      </c>
      <c r="BD326" s="200" t="str">
        <f>VLOOKUP($A326,'[3]allergenen 6nr'!$A$1:$O$1310,3,FALSE)</f>
        <v>-</v>
      </c>
      <c r="BE326" s="201" t="str">
        <f>VLOOKUP($A326,'[3]allergenen 6nr'!$A$1:$O$1310,4,FALSE)</f>
        <v>+</v>
      </c>
      <c r="BF326" s="201" t="str">
        <f>VLOOKUP($A326,'[3]allergenen 6nr'!$A$1:$O$1310,5,FALSE)</f>
        <v>-</v>
      </c>
      <c r="BG326" s="201" t="str">
        <f>VLOOKUP($A326,'[3]allergenen 6nr'!$A$1:$O$1310,6,FALSE)</f>
        <v>-</v>
      </c>
      <c r="BH326" s="201" t="str">
        <f>VLOOKUP($A326,'[3]allergenen 6nr'!$A$1:$O$1310,7,FALSE)</f>
        <v>+</v>
      </c>
      <c r="BI326" s="201" t="str">
        <f>VLOOKUP($A326,'[3]allergenen 6nr'!$A$1:$O$1310,8,FALSE)</f>
        <v>-</v>
      </c>
      <c r="BJ326" s="201" t="str">
        <f>VLOOKUP($A326,'[3]allergenen 6nr'!$A$1:$O$1310,9,FALSE)</f>
        <v>-</v>
      </c>
      <c r="BK326" s="201" t="str">
        <f>VLOOKUP($A326,'[3]allergenen 6nr'!$A$1:$O$1310,10,FALSE)</f>
        <v>-</v>
      </c>
      <c r="BL326" s="201" t="str">
        <f>VLOOKUP($A326,'[3]allergenen 6nr'!$A$1:$O$1310,11,FALSE)</f>
        <v>-</v>
      </c>
      <c r="BM326" s="201" t="str">
        <f>VLOOKUP($A326,'[3]allergenen 6nr'!$A$1:$O$1310,12,FALSE)</f>
        <v>-</v>
      </c>
      <c r="BN326" s="201" t="str">
        <f>VLOOKUP($A326,'[3]allergenen 6nr'!$A$1:$O$1310,13,FALSE)</f>
        <v>-</v>
      </c>
      <c r="BO326" s="201" t="str">
        <f>VLOOKUP($A326,'[3]allergenen 6nr'!$A$1:$O$1310,14,FALSE)</f>
        <v>-</v>
      </c>
      <c r="BP326" s="202" t="str">
        <f>VLOOKUP($A326,'[3]allergenen 6nr'!$A$1:$O$1310,15,FALSE)</f>
        <v>-</v>
      </c>
    </row>
    <row r="327" spans="1:68" x14ac:dyDescent="0.2">
      <c r="A327" s="54">
        <v>63913100</v>
      </c>
      <c r="B327" s="53" t="str">
        <f>VLOOKUP($A327,[1]maaltijden!$A$1:$IV$65536,4,FALSE)</f>
        <v>VAT RUNDERLAPJE BLOEMKOOL BECHAMEL AARDAPPEL</v>
      </c>
      <c r="C327" s="46" t="str">
        <f>VLOOKUP($A327,[1]maaltijden!$A$1:$IV$65536,7,FALSE)</f>
        <v>C2227-3R</v>
      </c>
      <c r="D327" s="22" t="str">
        <f>VLOOKUP($A327,[1]maaltijden!$A$1:$IV$65536,10,FALSE)</f>
        <v>NVT</v>
      </c>
      <c r="E327" s="22" t="str">
        <f>VLOOKUP($A327,[1]maaltijden!$A$1:$IV$65536,13,FALSE)</f>
        <v xml:space="preserve">VAT X 6 </v>
      </c>
      <c r="F327" s="20">
        <f t="shared" si="5"/>
        <v>0</v>
      </c>
      <c r="G327" s="20" t="str">
        <f>VLOOKUP($A327,[1]maaltijden!$A$1:$IV$65536,27,FALSE)</f>
        <v>! !</v>
      </c>
      <c r="H327" s="22">
        <f>VLOOKUP($A327,[1]maaltijden!$A$1:$IV$65536,21,FALSE)</f>
        <v>6</v>
      </c>
      <c r="I327" s="22">
        <f>VLOOKUP($A327,[1]maaltijden!$A$1:$IV$65536,21,FALSE)</f>
        <v>6</v>
      </c>
      <c r="J327" s="22">
        <f>VLOOKUP($A327,[1]maaltijden!$A$1:$IV$65536,18,FALSE)</f>
        <v>3</v>
      </c>
      <c r="K327" s="22">
        <f>VLOOKUP($A327,[1]maaltijden!$A$1:$IV$65536,17,FALSE)</f>
        <v>3</v>
      </c>
      <c r="L327" s="22">
        <f>VLOOKUP($A327,[1]maaltijden!$A$1:$IV$65536,20,FALSE)</f>
        <v>2000</v>
      </c>
      <c r="M327" s="22">
        <f>VLOOKUP($A327,[1]maaltijden!$A$1:$IV$65536,22,FALSE)</f>
        <v>2000</v>
      </c>
      <c r="N327" s="135"/>
      <c r="O327" s="50"/>
      <c r="P327" s="19">
        <v>0</v>
      </c>
      <c r="Q327" s="20">
        <v>1</v>
      </c>
      <c r="R327" s="21">
        <v>0</v>
      </c>
      <c r="S327" s="19">
        <v>0</v>
      </c>
      <c r="T327" s="20">
        <v>1</v>
      </c>
      <c r="U327" s="19"/>
      <c r="V327" s="20"/>
      <c r="W327" s="20"/>
      <c r="X327" s="20"/>
      <c r="Y327" s="20"/>
      <c r="Z327" s="20"/>
      <c r="AA327" s="20"/>
      <c r="AB327" s="49"/>
      <c r="AC327" s="49"/>
      <c r="AD327" s="49"/>
      <c r="AE327" s="49"/>
      <c r="AF327" s="49"/>
      <c r="AG327" s="161">
        <v>0</v>
      </c>
      <c r="AH327" s="168">
        <v>2</v>
      </c>
      <c r="AI327" s="168">
        <v>1</v>
      </c>
      <c r="AJ327" s="20"/>
      <c r="AK327" s="20"/>
      <c r="AL327" s="21"/>
      <c r="AM327" s="19">
        <v>0</v>
      </c>
      <c r="AN327" s="20" t="str">
        <f>IFERROR(INDEX([2]lijnopstellingsfiche!$AP$1:$AP$65536,MATCH(A327,[2]lijnopstellingsfiche!$AQ$1:$AQ$65536,0)),"")</f>
        <v>-</v>
      </c>
      <c r="AO327" s="20">
        <v>0</v>
      </c>
      <c r="AP327" s="20">
        <v>0</v>
      </c>
      <c r="AQ327" s="20">
        <v>2</v>
      </c>
      <c r="AR327" s="20">
        <v>0</v>
      </c>
      <c r="AS327" s="20">
        <v>0</v>
      </c>
      <c r="AT327" s="20">
        <v>0</v>
      </c>
      <c r="AU327" s="20">
        <v>0</v>
      </c>
      <c r="AV327" s="23">
        <v>0</v>
      </c>
      <c r="AW327" s="108">
        <v>0</v>
      </c>
      <c r="AX327" s="108">
        <v>0</v>
      </c>
      <c r="AY327" s="108">
        <v>1</v>
      </c>
      <c r="AZ327" s="108">
        <v>0</v>
      </c>
      <c r="BA327" s="114">
        <v>1</v>
      </c>
      <c r="BB327" s="20">
        <v>0</v>
      </c>
      <c r="BC327" s="113">
        <v>0</v>
      </c>
      <c r="BD327" s="200" t="str">
        <f>VLOOKUP($A327,'[3]allergenen 6nr'!$A$1:$O$1310,3,FALSE)</f>
        <v>-</v>
      </c>
      <c r="BE327" s="201" t="str">
        <f>VLOOKUP($A327,'[3]allergenen 6nr'!$A$1:$O$1310,4,FALSE)</f>
        <v>-</v>
      </c>
      <c r="BF327" s="201" t="str">
        <f>VLOOKUP($A327,'[3]allergenen 6nr'!$A$1:$O$1310,5,FALSE)</f>
        <v>+</v>
      </c>
      <c r="BG327" s="201" t="str">
        <f>VLOOKUP($A327,'[3]allergenen 6nr'!$A$1:$O$1310,6,FALSE)</f>
        <v>X</v>
      </c>
      <c r="BH327" s="201" t="str">
        <f>VLOOKUP($A327,'[3]allergenen 6nr'!$A$1:$O$1310,7,FALSE)</f>
        <v>+</v>
      </c>
      <c r="BI327" s="201" t="str">
        <f>VLOOKUP($A327,'[3]allergenen 6nr'!$A$1:$O$1310,8,FALSE)</f>
        <v>X</v>
      </c>
      <c r="BJ327" s="201" t="str">
        <f>VLOOKUP($A327,'[3]allergenen 6nr'!$A$1:$O$1310,9,FALSE)</f>
        <v>-</v>
      </c>
      <c r="BK327" s="201" t="str">
        <f>VLOOKUP($A327,'[3]allergenen 6nr'!$A$1:$O$1310,10,FALSE)</f>
        <v>-</v>
      </c>
      <c r="BL327" s="201" t="str">
        <f>VLOOKUP($A327,'[3]allergenen 6nr'!$A$1:$O$1310,11,FALSE)</f>
        <v>-</v>
      </c>
      <c r="BM327" s="201" t="str">
        <f>VLOOKUP($A327,'[3]allergenen 6nr'!$A$1:$O$1310,12,FALSE)</f>
        <v>-</v>
      </c>
      <c r="BN327" s="201" t="str">
        <f>VLOOKUP($A327,'[3]allergenen 6nr'!$A$1:$O$1310,13,FALSE)</f>
        <v>X</v>
      </c>
      <c r="BO327" s="201" t="str">
        <f>VLOOKUP($A327,'[3]allergenen 6nr'!$A$1:$O$1310,14,FALSE)</f>
        <v>-</v>
      </c>
      <c r="BP327" s="202" t="str">
        <f>VLOOKUP($A327,'[3]allergenen 6nr'!$A$1:$O$1310,15,FALSE)</f>
        <v>-</v>
      </c>
    </row>
    <row r="328" spans="1:68" x14ac:dyDescent="0.2">
      <c r="A328" s="89">
        <v>63913200</v>
      </c>
      <c r="B328" s="53" t="str">
        <f>VLOOKUP($A328,[1]maaltijden!$A$1:$IV$65536,4,FALSE)</f>
        <v>VAT DRAADJESVLEES BIERSAUS RODE KOOL ROSTI'S</v>
      </c>
      <c r="C328" s="46" t="str">
        <f>VLOOKUP($A328,[1]maaltijden!$A$1:$IV$65536,7,FALSE)</f>
        <v>C2227-3R</v>
      </c>
      <c r="D328" s="22" t="str">
        <f>VLOOKUP($A328,[1]maaltijden!$A$1:$IV$65536,10,FALSE)</f>
        <v>NVT</v>
      </c>
      <c r="E328" s="22" t="str">
        <f>VLOOKUP($A328,[1]maaltijden!$A$1:$IV$65536,13,FALSE)</f>
        <v xml:space="preserve">VAT X 6 </v>
      </c>
      <c r="F328" s="20">
        <f t="shared" si="5"/>
        <v>0</v>
      </c>
      <c r="G328" s="20" t="str">
        <f>VLOOKUP($A328,[1]maaltijden!$A$1:$IV$65536,27,FALSE)</f>
        <v>! !</v>
      </c>
      <c r="H328" s="22">
        <f>VLOOKUP($A328,[1]maaltijden!$A$1:$IV$65536,21,FALSE)</f>
        <v>2</v>
      </c>
      <c r="I328" s="22">
        <f>VLOOKUP($A328,[1]maaltijden!$A$1:$IV$65536,21,FALSE)</f>
        <v>2</v>
      </c>
      <c r="J328" s="22">
        <f>VLOOKUP($A328,[1]maaltijden!$A$1:$IV$65536,18,FALSE)</f>
        <v>3</v>
      </c>
      <c r="K328" s="22">
        <f>VLOOKUP($A328,[1]maaltijden!$A$1:$IV$65536,17,FALSE)</f>
        <v>2</v>
      </c>
      <c r="L328" s="22">
        <f>VLOOKUP($A328,[1]maaltijden!$A$1:$IV$65536,20,FALSE)</f>
        <v>2200</v>
      </c>
      <c r="M328" s="22">
        <f>VLOOKUP($A328,[1]maaltijden!$A$1:$IV$65536,22,FALSE)</f>
        <v>2200</v>
      </c>
      <c r="N328" s="135"/>
      <c r="O328" s="50"/>
      <c r="P328" s="19">
        <v>0</v>
      </c>
      <c r="Q328" s="20">
        <v>1</v>
      </c>
      <c r="R328" s="21">
        <v>0</v>
      </c>
      <c r="S328" s="19">
        <v>0</v>
      </c>
      <c r="T328" s="20">
        <v>1</v>
      </c>
      <c r="U328" s="19">
        <v>1</v>
      </c>
      <c r="V328" s="20">
        <v>1</v>
      </c>
      <c r="W328" s="20">
        <v>1</v>
      </c>
      <c r="X328" s="20">
        <v>1</v>
      </c>
      <c r="Y328" s="20">
        <v>1</v>
      </c>
      <c r="Z328" s="20">
        <v>0</v>
      </c>
      <c r="AA328" s="20">
        <v>0</v>
      </c>
      <c r="AB328" s="49">
        <v>0</v>
      </c>
      <c r="AC328" s="49">
        <v>0</v>
      </c>
      <c r="AD328" s="49">
        <v>0</v>
      </c>
      <c r="AE328" s="49">
        <v>1</v>
      </c>
      <c r="AF328" s="49">
        <v>0</v>
      </c>
      <c r="AG328" s="161">
        <v>0</v>
      </c>
      <c r="AH328" s="162">
        <v>1</v>
      </c>
      <c r="AI328" s="162">
        <v>1</v>
      </c>
      <c r="AJ328" s="162">
        <v>0</v>
      </c>
      <c r="AK328" s="162">
        <v>0</v>
      </c>
      <c r="AL328" s="163">
        <v>0</v>
      </c>
      <c r="AM328" s="19">
        <v>0</v>
      </c>
      <c r="AN328" s="20">
        <f>IFERROR(INDEX([2]lijnopstellingsfiche!$AP$1:$AP$65536,MATCH(A328,[2]lijnopstellingsfiche!$AQ$1:$AQ$65536,0)),"")</f>
        <v>1</v>
      </c>
      <c r="AO328" s="20">
        <v>0</v>
      </c>
      <c r="AP328" s="20">
        <v>0</v>
      </c>
      <c r="AQ328" s="20">
        <v>2</v>
      </c>
      <c r="AR328" s="20">
        <v>0</v>
      </c>
      <c r="AS328" s="20">
        <v>0</v>
      </c>
      <c r="AT328" s="20">
        <v>1</v>
      </c>
      <c r="AU328" s="20">
        <v>0</v>
      </c>
      <c r="AV328" s="23">
        <v>0</v>
      </c>
      <c r="AW328" s="108">
        <v>0</v>
      </c>
      <c r="AX328" s="108">
        <v>0</v>
      </c>
      <c r="AY328" s="108">
        <v>1</v>
      </c>
      <c r="AZ328" s="108">
        <v>0</v>
      </c>
      <c r="BA328" s="114">
        <v>1</v>
      </c>
      <c r="BB328" s="20">
        <v>0</v>
      </c>
      <c r="BC328" s="113">
        <v>0</v>
      </c>
      <c r="BD328" s="200" t="str">
        <f>VLOOKUP($A328,'[3]allergenen 6nr'!$A$1:$O$1310,3,FALSE)</f>
        <v>-</v>
      </c>
      <c r="BE328" s="201" t="str">
        <f>VLOOKUP($A328,'[3]allergenen 6nr'!$A$1:$O$1310,4,FALSE)</f>
        <v>X</v>
      </c>
      <c r="BF328" s="201" t="str">
        <f>VLOOKUP($A328,'[3]allergenen 6nr'!$A$1:$O$1310,5,FALSE)</f>
        <v>+</v>
      </c>
      <c r="BG328" s="201" t="str">
        <f>VLOOKUP($A328,'[3]allergenen 6nr'!$A$1:$O$1310,6,FALSE)</f>
        <v>X</v>
      </c>
      <c r="BH328" s="201" t="str">
        <f>VLOOKUP($A328,'[3]allergenen 6nr'!$A$1:$O$1310,7,FALSE)</f>
        <v>X</v>
      </c>
      <c r="BI328" s="201" t="str">
        <f>VLOOKUP($A328,'[3]allergenen 6nr'!$A$1:$O$1310,8,FALSE)</f>
        <v>X</v>
      </c>
      <c r="BJ328" s="201" t="str">
        <f>VLOOKUP($A328,'[3]allergenen 6nr'!$A$1:$O$1310,9,FALSE)</f>
        <v>X</v>
      </c>
      <c r="BK328" s="201" t="str">
        <f>VLOOKUP($A328,'[3]allergenen 6nr'!$A$1:$O$1310,10,FALSE)</f>
        <v>-</v>
      </c>
      <c r="BL328" s="201" t="str">
        <f>VLOOKUP($A328,'[3]allergenen 6nr'!$A$1:$O$1310,11,FALSE)</f>
        <v>-</v>
      </c>
      <c r="BM328" s="201" t="str">
        <f>VLOOKUP($A328,'[3]allergenen 6nr'!$A$1:$O$1310,12,FALSE)</f>
        <v>-</v>
      </c>
      <c r="BN328" s="201" t="str">
        <f>VLOOKUP($A328,'[3]allergenen 6nr'!$A$1:$O$1310,13,FALSE)</f>
        <v>X</v>
      </c>
      <c r="BO328" s="201" t="str">
        <f>VLOOKUP($A328,'[3]allergenen 6nr'!$A$1:$O$1310,14,FALSE)</f>
        <v>-</v>
      </c>
      <c r="BP328" s="202" t="str">
        <f>VLOOKUP($A328,'[3]allergenen 6nr'!$A$1:$O$1310,15,FALSE)</f>
        <v>-</v>
      </c>
    </row>
    <row r="329" spans="1:68" x14ac:dyDescent="0.2">
      <c r="A329" s="54">
        <v>63913400</v>
      </c>
      <c r="B329" s="53" t="str">
        <f>VLOOKUP($A329,[1]maaltijden!$A$1:$IV$65536,4,FALSE)</f>
        <v>VAT KIP CORDON BLEU MET FRIET</v>
      </c>
      <c r="C329" s="46" t="str">
        <f>VLOOKUP($A329,[1]maaltijden!$A$1:$IV$65536,7,FALSE)</f>
        <v xml:space="preserve">C2227-1H </v>
      </c>
      <c r="D329" s="22" t="str">
        <f>VLOOKUP($A329,[1]maaltijden!$A$1:$IV$65536,10,FALSE)</f>
        <v>NVT</v>
      </c>
      <c r="E329" s="22" t="str">
        <f>VLOOKUP($A329,[1]maaltijden!$A$1:$IV$65536,13,FALSE)</f>
        <v xml:space="preserve">VAT X 6 </v>
      </c>
      <c r="F329" s="20">
        <f t="shared" si="5"/>
        <v>0</v>
      </c>
      <c r="G329" s="20" t="str">
        <f>VLOOKUP($A329,[1]maaltijden!$A$1:$IV$65536,27,FALSE)</f>
        <v>! ! !</v>
      </c>
      <c r="H329" s="22">
        <f>VLOOKUP($A329,[1]maaltijden!$A$1:$IV$65536,21,FALSE)</f>
        <v>6</v>
      </c>
      <c r="I329" s="22">
        <f>VLOOKUP($A329,[1]maaltijden!$A$1:$IV$65536,21,FALSE)</f>
        <v>6</v>
      </c>
      <c r="J329" s="22">
        <f>VLOOKUP($A329,[1]maaltijden!$A$1:$IV$65536,18,FALSE)</f>
        <v>3</v>
      </c>
      <c r="K329" s="22">
        <f>VLOOKUP($A329,[1]maaltijden!$A$1:$IV$65536,17,FALSE)</f>
        <v>0</v>
      </c>
      <c r="L329" s="22">
        <f>VLOOKUP($A329,[1]maaltijden!$A$1:$IV$65536,20,FALSE)</f>
        <v>2000</v>
      </c>
      <c r="M329" s="22">
        <f>VLOOKUP($A329,[1]maaltijden!$A$1:$IV$65536,22,FALSE)</f>
        <v>2000</v>
      </c>
      <c r="N329" s="135"/>
      <c r="O329" s="50"/>
      <c r="P329" s="19">
        <v>0</v>
      </c>
      <c r="Q329" s="20">
        <v>1</v>
      </c>
      <c r="R329" s="21">
        <v>0</v>
      </c>
      <c r="S329" s="19">
        <v>0</v>
      </c>
      <c r="T329" s="20">
        <v>1</v>
      </c>
      <c r="U329" s="19"/>
      <c r="V329" s="20"/>
      <c r="W329" s="20"/>
      <c r="X329" s="20"/>
      <c r="Y329" s="20"/>
      <c r="Z329" s="20"/>
      <c r="AA329" s="20"/>
      <c r="AB329" s="49"/>
      <c r="AC329" s="49"/>
      <c r="AD329" s="49"/>
      <c r="AE329" s="49"/>
      <c r="AF329" s="49"/>
      <c r="AG329" s="169">
        <v>0</v>
      </c>
      <c r="AH329" s="170"/>
      <c r="AI329" s="170"/>
      <c r="AJ329" s="170"/>
      <c r="AK329" s="170"/>
      <c r="AL329" s="172"/>
      <c r="AM329" s="19">
        <v>0</v>
      </c>
      <c r="AN329" s="20">
        <f>IFERROR(INDEX([2]lijnopstellingsfiche!$AP$1:$AP$65536,MATCH(A329,[2]lijnopstellingsfiche!$AQ$1:$AQ$65536,0)),"")</f>
        <v>1</v>
      </c>
      <c r="AO329" s="20">
        <v>0</v>
      </c>
      <c r="AP329" s="20">
        <v>0</v>
      </c>
      <c r="AQ329" s="20">
        <v>0</v>
      </c>
      <c r="AR329" s="20">
        <v>0</v>
      </c>
      <c r="AS329" s="20">
        <v>0</v>
      </c>
      <c r="AT329" s="20">
        <v>1</v>
      </c>
      <c r="AU329" s="20">
        <v>0</v>
      </c>
      <c r="AV329" s="23">
        <v>0</v>
      </c>
      <c r="AW329" s="108">
        <v>0</v>
      </c>
      <c r="AX329" s="108">
        <v>0</v>
      </c>
      <c r="AY329" s="108">
        <v>1</v>
      </c>
      <c r="AZ329" s="108">
        <v>0</v>
      </c>
      <c r="BA329" s="114">
        <v>1</v>
      </c>
      <c r="BB329" s="20">
        <v>0</v>
      </c>
      <c r="BC329" s="113">
        <v>0</v>
      </c>
      <c r="BD329" s="200" t="str">
        <f>VLOOKUP($A329,'[3]allergenen 6nr'!$A$1:$O$1310,3,FALSE)</f>
        <v>-</v>
      </c>
      <c r="BE329" s="201" t="str">
        <f>VLOOKUP($A329,'[3]allergenen 6nr'!$A$1:$O$1310,4,FALSE)</f>
        <v>-</v>
      </c>
      <c r="BF329" s="201" t="str">
        <f>VLOOKUP($A329,'[3]allergenen 6nr'!$A$1:$O$1310,5,FALSE)</f>
        <v>+</v>
      </c>
      <c r="BG329" s="201" t="str">
        <f>VLOOKUP($A329,'[3]allergenen 6nr'!$A$1:$O$1310,6,FALSE)</f>
        <v>-</v>
      </c>
      <c r="BH329" s="201" t="str">
        <f>VLOOKUP($A329,'[3]allergenen 6nr'!$A$1:$O$1310,7,FALSE)</f>
        <v>+</v>
      </c>
      <c r="BI329" s="201" t="str">
        <f>VLOOKUP($A329,'[3]allergenen 6nr'!$A$1:$O$1310,8,FALSE)</f>
        <v>-</v>
      </c>
      <c r="BJ329" s="201" t="str">
        <f>VLOOKUP($A329,'[3]allergenen 6nr'!$A$1:$O$1310,9,FALSE)</f>
        <v>-</v>
      </c>
      <c r="BK329" s="201" t="str">
        <f>VLOOKUP($A329,'[3]allergenen 6nr'!$A$1:$O$1310,10,FALSE)</f>
        <v>-</v>
      </c>
      <c r="BL329" s="201" t="str">
        <f>VLOOKUP($A329,'[3]allergenen 6nr'!$A$1:$O$1310,11,FALSE)</f>
        <v>+</v>
      </c>
      <c r="BM329" s="201" t="str">
        <f>VLOOKUP($A329,'[3]allergenen 6nr'!$A$1:$O$1310,12,FALSE)</f>
        <v>-</v>
      </c>
      <c r="BN329" s="201" t="str">
        <f>VLOOKUP($A329,'[3]allergenen 6nr'!$A$1:$O$1310,13,FALSE)</f>
        <v>-</v>
      </c>
      <c r="BO329" s="201" t="str">
        <f>VLOOKUP($A329,'[3]allergenen 6nr'!$A$1:$O$1310,14,FALSE)</f>
        <v>-</v>
      </c>
      <c r="BP329" s="202" t="str">
        <f>VLOOKUP($A329,'[3]allergenen 6nr'!$A$1:$O$1310,15,FALSE)</f>
        <v>-</v>
      </c>
    </row>
    <row r="330" spans="1:68" x14ac:dyDescent="0.2">
      <c r="A330" s="54">
        <v>63913600</v>
      </c>
      <c r="B330" s="53" t="str">
        <f>VLOOKUP($A330,[1]maaltijden!$A$1:$IV$65536,4,FALSE)</f>
        <v>VAT FRIKANDEL MET FRIET</v>
      </c>
      <c r="C330" s="46" t="str">
        <f>VLOOKUP($A330,[1]maaltijden!$A$1:$IV$65536,7,FALSE)</f>
        <v xml:space="preserve">C2227-1H </v>
      </c>
      <c r="D330" s="22" t="str">
        <f>VLOOKUP($A330,[1]maaltijden!$A$1:$IV$65536,10,FALSE)</f>
        <v>NVT</v>
      </c>
      <c r="E330" s="22" t="str">
        <f>VLOOKUP($A330,[1]maaltijden!$A$1:$IV$65536,13,FALSE)</f>
        <v xml:space="preserve">VAT X 6 </v>
      </c>
      <c r="F330" s="20">
        <f t="shared" si="5"/>
        <v>0</v>
      </c>
      <c r="G330" s="20" t="str">
        <f>VLOOKUP($A330,[1]maaltijden!$A$1:$IV$65536,27,FALSE)</f>
        <v>! !</v>
      </c>
      <c r="H330" s="22">
        <f>VLOOKUP($A330,[1]maaltijden!$A$1:$IV$65536,21,FALSE)</f>
        <v>5</v>
      </c>
      <c r="I330" s="22">
        <f>VLOOKUP($A330,[1]maaltijden!$A$1:$IV$65536,21,FALSE)</f>
        <v>5</v>
      </c>
      <c r="J330" s="22">
        <f>VLOOKUP($A330,[1]maaltijden!$A$1:$IV$65536,18,FALSE)</f>
        <v>3</v>
      </c>
      <c r="K330" s="22">
        <f>VLOOKUP($A330,[1]maaltijden!$A$1:$IV$65536,17,FALSE)</f>
        <v>0</v>
      </c>
      <c r="L330" s="22">
        <f>VLOOKUP($A330,[1]maaltijden!$A$1:$IV$65536,20,FALSE)</f>
        <v>2200</v>
      </c>
      <c r="M330" s="22">
        <f>VLOOKUP($A330,[1]maaltijden!$A$1:$IV$65536,22,FALSE)</f>
        <v>2200</v>
      </c>
      <c r="N330" s="135"/>
      <c r="O330" s="50"/>
      <c r="P330" s="19">
        <v>0</v>
      </c>
      <c r="Q330" s="20">
        <v>1</v>
      </c>
      <c r="R330" s="21">
        <v>0</v>
      </c>
      <c r="S330" s="19">
        <v>0</v>
      </c>
      <c r="T330" s="20">
        <v>1</v>
      </c>
      <c r="U330" s="19"/>
      <c r="V330" s="20"/>
      <c r="W330" s="20"/>
      <c r="X330" s="20"/>
      <c r="Y330" s="20"/>
      <c r="Z330" s="20"/>
      <c r="AA330" s="20"/>
      <c r="AB330" s="49"/>
      <c r="AC330" s="49"/>
      <c r="AD330" s="49"/>
      <c r="AE330" s="49"/>
      <c r="AF330" s="49"/>
      <c r="AG330" s="169">
        <v>0</v>
      </c>
      <c r="AH330" s="170"/>
      <c r="AI330" s="170"/>
      <c r="AJ330" s="170"/>
      <c r="AK330" s="170"/>
      <c r="AL330" s="172"/>
      <c r="AM330" s="19">
        <v>0</v>
      </c>
      <c r="AN330" s="20">
        <f>IFERROR(INDEX([2]lijnopstellingsfiche!$AP$1:$AP$65536,MATCH(A330,[2]lijnopstellingsfiche!$AQ$1:$AQ$65536,0)),"")</f>
        <v>1</v>
      </c>
      <c r="AO330" s="20">
        <v>0</v>
      </c>
      <c r="AP330" s="20">
        <v>0</v>
      </c>
      <c r="AQ330" s="20">
        <v>0</v>
      </c>
      <c r="AR330" s="20">
        <v>0</v>
      </c>
      <c r="AS330" s="20">
        <v>0</v>
      </c>
      <c r="AT330" s="20">
        <v>1</v>
      </c>
      <c r="AU330" s="20">
        <v>0</v>
      </c>
      <c r="AV330" s="23">
        <v>0</v>
      </c>
      <c r="AW330" s="108">
        <v>0</v>
      </c>
      <c r="AX330" s="108">
        <v>0</v>
      </c>
      <c r="AY330" s="108">
        <v>1</v>
      </c>
      <c r="AZ330" s="108">
        <v>0</v>
      </c>
      <c r="BA330" s="114">
        <v>1</v>
      </c>
      <c r="BB330" s="20">
        <v>0</v>
      </c>
      <c r="BC330" s="113">
        <v>0</v>
      </c>
      <c r="BD330" s="200" t="str">
        <f>VLOOKUP($A330,'[3]allergenen 6nr'!$A$1:$O$1310,3,FALSE)</f>
        <v>-</v>
      </c>
      <c r="BE330" s="201" t="str">
        <f>VLOOKUP($A330,'[3]allergenen 6nr'!$A$1:$O$1310,4,FALSE)</f>
        <v>-</v>
      </c>
      <c r="BF330" s="201" t="str">
        <f>VLOOKUP($A330,'[3]allergenen 6nr'!$A$1:$O$1310,5,FALSE)</f>
        <v>+</v>
      </c>
      <c r="BG330" s="201" t="str">
        <f>VLOOKUP($A330,'[3]allergenen 6nr'!$A$1:$O$1310,6,FALSE)</f>
        <v>-</v>
      </c>
      <c r="BH330" s="201" t="str">
        <f>VLOOKUP($A330,'[3]allergenen 6nr'!$A$1:$O$1310,7,FALSE)</f>
        <v>-</v>
      </c>
      <c r="BI330" s="201" t="str">
        <f>VLOOKUP($A330,'[3]allergenen 6nr'!$A$1:$O$1310,8,FALSE)</f>
        <v>-</v>
      </c>
      <c r="BJ330" s="201" t="str">
        <f>VLOOKUP($A330,'[3]allergenen 6nr'!$A$1:$O$1310,9,FALSE)</f>
        <v>-</v>
      </c>
      <c r="BK330" s="201" t="str">
        <f>VLOOKUP($A330,'[3]allergenen 6nr'!$A$1:$O$1310,10,FALSE)</f>
        <v>-</v>
      </c>
      <c r="BL330" s="201" t="str">
        <f>VLOOKUP($A330,'[3]allergenen 6nr'!$A$1:$O$1310,11,FALSE)</f>
        <v>-</v>
      </c>
      <c r="BM330" s="201" t="str">
        <f>VLOOKUP($A330,'[3]allergenen 6nr'!$A$1:$O$1310,12,FALSE)</f>
        <v>-</v>
      </c>
      <c r="BN330" s="201" t="str">
        <f>VLOOKUP($A330,'[3]allergenen 6nr'!$A$1:$O$1310,13,FALSE)</f>
        <v>-</v>
      </c>
      <c r="BO330" s="201" t="str">
        <f>VLOOKUP($A330,'[3]allergenen 6nr'!$A$1:$O$1310,14,FALSE)</f>
        <v>-</v>
      </c>
      <c r="BP330" s="202" t="str">
        <f>VLOOKUP($A330,'[3]allergenen 6nr'!$A$1:$O$1310,15,FALSE)</f>
        <v>-</v>
      </c>
    </row>
    <row r="331" spans="1:68" x14ac:dyDescent="0.2">
      <c r="A331" s="54">
        <v>63913700</v>
      </c>
      <c r="B331" s="53" t="str">
        <f>VLOOKUP($A331,[1]maaltijden!$A$1:$IV$65536,4,FALSE)</f>
        <v>VAT KIPPENSPIES EXOTISCHE GROENTEN GEBAKKEN AARDAPPEL</v>
      </c>
      <c r="C331" s="46" t="str">
        <f>VLOOKUP($A331,[1]maaltijden!$A$1:$IV$65536,7,FALSE)</f>
        <v>C2227-2K</v>
      </c>
      <c r="D331" s="22" t="str">
        <f>VLOOKUP($A331,[1]maaltijden!$A$1:$IV$65536,10,FALSE)</f>
        <v>NVT</v>
      </c>
      <c r="E331" s="22" t="str">
        <f>VLOOKUP($A331,[1]maaltijden!$A$1:$IV$65536,13,FALSE)</f>
        <v xml:space="preserve">VAT X 6 </v>
      </c>
      <c r="F331" s="20">
        <f t="shared" si="5"/>
        <v>0</v>
      </c>
      <c r="G331" s="20" t="str">
        <f>VLOOKUP($A331,[1]maaltijden!$A$1:$IV$65536,27,FALSE)</f>
        <v>! ! !</v>
      </c>
      <c r="H331" s="22">
        <f>VLOOKUP($A331,[1]maaltijden!$A$1:$IV$65536,21,FALSE)</f>
        <v>5</v>
      </c>
      <c r="I331" s="22">
        <f>VLOOKUP($A331,[1]maaltijden!$A$1:$IV$65536,21,FALSE)</f>
        <v>5</v>
      </c>
      <c r="J331" s="22">
        <f>VLOOKUP($A331,[1]maaltijden!$A$1:$IV$65536,18,FALSE)</f>
        <v>3</v>
      </c>
      <c r="K331" s="22">
        <f>VLOOKUP($A331,[1]maaltijden!$A$1:$IV$65536,17,FALSE)</f>
        <v>2</v>
      </c>
      <c r="L331" s="22">
        <f>VLOOKUP($A331,[1]maaltijden!$A$1:$IV$65536,20,FALSE)</f>
        <v>2000</v>
      </c>
      <c r="M331" s="22">
        <f>VLOOKUP($A331,[1]maaltijden!$A$1:$IV$65536,22,FALSE)</f>
        <v>2000</v>
      </c>
      <c r="N331" s="135"/>
      <c r="O331" s="50"/>
      <c r="P331" s="19">
        <v>0</v>
      </c>
      <c r="Q331" s="20">
        <v>1</v>
      </c>
      <c r="R331" s="21">
        <v>0</v>
      </c>
      <c r="S331" s="19">
        <v>0</v>
      </c>
      <c r="T331" s="20">
        <v>1</v>
      </c>
      <c r="U331" s="19"/>
      <c r="V331" s="20"/>
      <c r="W331" s="20"/>
      <c r="X331" s="20"/>
      <c r="Y331" s="20"/>
      <c r="Z331" s="20"/>
      <c r="AA331" s="20"/>
      <c r="AB331" s="49"/>
      <c r="AC331" s="49"/>
      <c r="AD331" s="49"/>
      <c r="AE331" s="49"/>
      <c r="AF331" s="49"/>
      <c r="AG331" s="161">
        <v>0</v>
      </c>
      <c r="AH331" s="168">
        <v>1</v>
      </c>
      <c r="AI331" s="168">
        <v>1</v>
      </c>
      <c r="AJ331" s="20"/>
      <c r="AK331" s="20"/>
      <c r="AL331" s="21"/>
      <c r="AM331" s="19">
        <v>0</v>
      </c>
      <c r="AN331" s="20" t="str">
        <f>IFERROR(INDEX([2]lijnopstellingsfiche!$AP$1:$AP$65536,MATCH(A331,[2]lijnopstellingsfiche!$AQ$1:$AQ$65536,0)),"")</f>
        <v>-</v>
      </c>
      <c r="AO331" s="20">
        <v>0</v>
      </c>
      <c r="AP331" s="20">
        <v>0</v>
      </c>
      <c r="AQ331" s="20">
        <v>1</v>
      </c>
      <c r="AR331" s="20">
        <v>0</v>
      </c>
      <c r="AS331" s="20">
        <v>0</v>
      </c>
      <c r="AT331" s="20">
        <v>0</v>
      </c>
      <c r="AU331" s="20">
        <v>0</v>
      </c>
      <c r="AV331" s="23">
        <v>0</v>
      </c>
      <c r="AW331" s="108">
        <v>0</v>
      </c>
      <c r="AX331" s="108">
        <v>0</v>
      </c>
      <c r="AY331" s="108">
        <v>1</v>
      </c>
      <c r="AZ331" s="108">
        <v>0</v>
      </c>
      <c r="BA331" s="114">
        <v>1</v>
      </c>
      <c r="BB331" s="20">
        <v>0</v>
      </c>
      <c r="BC331" s="113">
        <v>0</v>
      </c>
      <c r="BD331" s="200" t="str">
        <f>VLOOKUP($A331,'[3]allergenen 6nr'!$A$1:$O$1310,3,FALSE)</f>
        <v>-</v>
      </c>
      <c r="BE331" s="201" t="str">
        <f>VLOOKUP($A331,'[3]allergenen 6nr'!$A$1:$O$1310,4,FALSE)</f>
        <v>-</v>
      </c>
      <c r="BF331" s="201" t="str">
        <f>VLOOKUP($A331,'[3]allergenen 6nr'!$A$1:$O$1310,5,FALSE)</f>
        <v>-</v>
      </c>
      <c r="BG331" s="201" t="str">
        <f>VLOOKUP($A331,'[3]allergenen 6nr'!$A$1:$O$1310,6,FALSE)</f>
        <v>-</v>
      </c>
      <c r="BH331" s="201" t="str">
        <f>VLOOKUP($A331,'[3]allergenen 6nr'!$A$1:$O$1310,7,FALSE)</f>
        <v>-</v>
      </c>
      <c r="BI331" s="201" t="str">
        <f>VLOOKUP($A331,'[3]allergenen 6nr'!$A$1:$O$1310,8,FALSE)</f>
        <v>-</v>
      </c>
      <c r="BJ331" s="201" t="str">
        <f>VLOOKUP($A331,'[3]allergenen 6nr'!$A$1:$O$1310,9,FALSE)</f>
        <v>-</v>
      </c>
      <c r="BK331" s="201" t="str">
        <f>VLOOKUP($A331,'[3]allergenen 6nr'!$A$1:$O$1310,10,FALSE)</f>
        <v>-</v>
      </c>
      <c r="BL331" s="201" t="str">
        <f>VLOOKUP($A331,'[3]allergenen 6nr'!$A$1:$O$1310,11,FALSE)</f>
        <v>+</v>
      </c>
      <c r="BM331" s="201" t="str">
        <f>VLOOKUP($A331,'[3]allergenen 6nr'!$A$1:$O$1310,12,FALSE)</f>
        <v>-</v>
      </c>
      <c r="BN331" s="201" t="str">
        <f>VLOOKUP($A331,'[3]allergenen 6nr'!$A$1:$O$1310,13,FALSE)</f>
        <v>-</v>
      </c>
      <c r="BO331" s="201" t="str">
        <f>VLOOKUP($A331,'[3]allergenen 6nr'!$A$1:$O$1310,14,FALSE)</f>
        <v>-</v>
      </c>
      <c r="BP331" s="202" t="str">
        <f>VLOOKUP($A331,'[3]allergenen 6nr'!$A$1:$O$1310,15,FALSE)</f>
        <v>-</v>
      </c>
    </row>
    <row r="332" spans="1:68" x14ac:dyDescent="0.2">
      <c r="A332" s="54">
        <v>63913800</v>
      </c>
      <c r="B332" s="53" t="str">
        <f>VLOOKUP($A332,[1]maaltijden!$A$1:$IV$65536,4,FALSE)</f>
        <v>VAT KIPHAASJE WITLOF AARDAPPELPUREE</v>
      </c>
      <c r="C332" s="46" t="str">
        <f>VLOOKUP($A332,[1]maaltijden!$A$1:$IV$65536,7,FALSE)</f>
        <v>C2227-3R</v>
      </c>
      <c r="D332" s="22" t="str">
        <f>VLOOKUP($A332,[1]maaltijden!$A$1:$IV$65536,10,FALSE)</f>
        <v>NVT</v>
      </c>
      <c r="E332" s="22" t="str">
        <f>VLOOKUP($A332,[1]maaltijden!$A$1:$IV$65536,13,FALSE)</f>
        <v xml:space="preserve">VAT X 6 </v>
      </c>
      <c r="F332" s="20">
        <f t="shared" si="5"/>
        <v>0</v>
      </c>
      <c r="G332" s="20" t="str">
        <f>VLOOKUP($A332,[1]maaltijden!$A$1:$IV$65536,27,FALSE)</f>
        <v>! !</v>
      </c>
      <c r="H332" s="22">
        <f>VLOOKUP($A332,[1]maaltijden!$A$1:$IV$65536,21,FALSE)</f>
        <v>2</v>
      </c>
      <c r="I332" s="22">
        <f>VLOOKUP($A332,[1]maaltijden!$A$1:$IV$65536,21,FALSE)</f>
        <v>2</v>
      </c>
      <c r="J332" s="22">
        <f>VLOOKUP($A332,[1]maaltijden!$A$1:$IV$65536,18,FALSE)</f>
        <v>3</v>
      </c>
      <c r="K332" s="22">
        <f>VLOOKUP($A332,[1]maaltijden!$A$1:$IV$65536,17,FALSE)</f>
        <v>3</v>
      </c>
      <c r="L332" s="22">
        <f>VLOOKUP($A332,[1]maaltijden!$A$1:$IV$65536,20,FALSE)</f>
        <v>2200</v>
      </c>
      <c r="M332" s="22">
        <f>VLOOKUP($A332,[1]maaltijden!$A$1:$IV$65536,22,FALSE)</f>
        <v>2200</v>
      </c>
      <c r="N332" s="135"/>
      <c r="O332" s="50"/>
      <c r="P332" s="19">
        <v>0</v>
      </c>
      <c r="Q332" s="20">
        <v>1</v>
      </c>
      <c r="R332" s="21">
        <v>0</v>
      </c>
      <c r="S332" s="19">
        <v>0</v>
      </c>
      <c r="T332" s="20">
        <v>1</v>
      </c>
      <c r="U332" s="19"/>
      <c r="V332" s="20"/>
      <c r="W332" s="20"/>
      <c r="X332" s="20"/>
      <c r="Y332" s="20"/>
      <c r="Z332" s="20"/>
      <c r="AA332" s="20"/>
      <c r="AB332" s="49"/>
      <c r="AC332" s="49"/>
      <c r="AD332" s="49"/>
      <c r="AE332" s="49"/>
      <c r="AF332" s="49"/>
      <c r="AG332" s="161">
        <v>0</v>
      </c>
      <c r="AH332" s="168">
        <v>1</v>
      </c>
      <c r="AI332" s="168">
        <v>1</v>
      </c>
      <c r="AJ332" s="20"/>
      <c r="AK332" s="20"/>
      <c r="AL332" s="21"/>
      <c r="AM332" s="19">
        <v>0</v>
      </c>
      <c r="AN332" s="20">
        <f>IFERROR(INDEX([2]lijnopstellingsfiche!$AP$1:$AP$65536,MATCH(A332,[2]lijnopstellingsfiche!$AQ$1:$AQ$65536,0)),"")</f>
        <v>1</v>
      </c>
      <c r="AO332" s="20">
        <v>0</v>
      </c>
      <c r="AP332" s="20">
        <v>0</v>
      </c>
      <c r="AQ332" s="20">
        <v>2</v>
      </c>
      <c r="AR332" s="20">
        <v>1</v>
      </c>
      <c r="AS332" s="20">
        <v>0</v>
      </c>
      <c r="AT332" s="20">
        <v>1</v>
      </c>
      <c r="AU332" s="20">
        <v>0</v>
      </c>
      <c r="AV332" s="23">
        <v>0</v>
      </c>
      <c r="AW332" s="108">
        <v>0</v>
      </c>
      <c r="AX332" s="108">
        <v>0</v>
      </c>
      <c r="AY332" s="108">
        <v>1</v>
      </c>
      <c r="AZ332" s="108">
        <v>0</v>
      </c>
      <c r="BA332" s="114">
        <v>1</v>
      </c>
      <c r="BB332" s="20">
        <v>0</v>
      </c>
      <c r="BC332" s="113">
        <v>0</v>
      </c>
      <c r="BD332" s="200" t="str">
        <f>VLOOKUP($A332,'[3]allergenen 6nr'!$A$1:$O$1310,3,FALSE)</f>
        <v>-</v>
      </c>
      <c r="BE332" s="201" t="str">
        <f>VLOOKUP($A332,'[3]allergenen 6nr'!$A$1:$O$1310,4,FALSE)</f>
        <v>+</v>
      </c>
      <c r="BF332" s="201" t="str">
        <f>VLOOKUP($A332,'[3]allergenen 6nr'!$A$1:$O$1310,5,FALSE)</f>
        <v>+</v>
      </c>
      <c r="BG332" s="201" t="str">
        <f>VLOOKUP($A332,'[3]allergenen 6nr'!$A$1:$O$1310,6,FALSE)</f>
        <v>X</v>
      </c>
      <c r="BH332" s="201" t="str">
        <f>VLOOKUP($A332,'[3]allergenen 6nr'!$A$1:$O$1310,7,FALSE)</f>
        <v>+</v>
      </c>
      <c r="BI332" s="201" t="str">
        <f>VLOOKUP($A332,'[3]allergenen 6nr'!$A$1:$O$1310,8,FALSE)</f>
        <v>X</v>
      </c>
      <c r="BJ332" s="201" t="str">
        <f>VLOOKUP($A332,'[3]allergenen 6nr'!$A$1:$O$1310,9,FALSE)</f>
        <v>-</v>
      </c>
      <c r="BK332" s="201" t="str">
        <f>VLOOKUP($A332,'[3]allergenen 6nr'!$A$1:$O$1310,10,FALSE)</f>
        <v>-</v>
      </c>
      <c r="BL332" s="201" t="str">
        <f>VLOOKUP($A332,'[3]allergenen 6nr'!$A$1:$O$1310,11,FALSE)</f>
        <v>X</v>
      </c>
      <c r="BM332" s="201" t="str">
        <f>VLOOKUP($A332,'[3]allergenen 6nr'!$A$1:$O$1310,12,FALSE)</f>
        <v>-</v>
      </c>
      <c r="BN332" s="201" t="str">
        <f>VLOOKUP($A332,'[3]allergenen 6nr'!$A$1:$O$1310,13,FALSE)</f>
        <v>X</v>
      </c>
      <c r="BO332" s="201" t="str">
        <f>VLOOKUP($A332,'[3]allergenen 6nr'!$A$1:$O$1310,14,FALSE)</f>
        <v>-</v>
      </c>
      <c r="BP332" s="202" t="str">
        <f>VLOOKUP($A332,'[3]allergenen 6nr'!$A$1:$O$1310,15,FALSE)</f>
        <v>-</v>
      </c>
    </row>
    <row r="333" spans="1:68" x14ac:dyDescent="0.2">
      <c r="A333" s="54">
        <v>63913900</v>
      </c>
      <c r="B333" s="53" t="str">
        <f>VLOOKUP($A333,[1]maaltijden!$A$1:$IV$65536,4,FALSE)</f>
        <v xml:space="preserve">VAT VIS MSC HOLLANDAISESAUS RODE BIETEN AARDAPPELPUREE  </v>
      </c>
      <c r="C333" s="46" t="str">
        <f>VLOOKUP($A333,[1]maaltijden!$A$1:$IV$65536,7,FALSE)</f>
        <v>C2227-3R</v>
      </c>
      <c r="D333" s="22" t="str">
        <f>VLOOKUP($A333,[1]maaltijden!$A$1:$IV$65536,10,FALSE)</f>
        <v>NVT</v>
      </c>
      <c r="E333" s="22" t="str">
        <f>VLOOKUP($A333,[1]maaltijden!$A$1:$IV$65536,13,FALSE)</f>
        <v xml:space="preserve">VAT X 6 </v>
      </c>
      <c r="F333" s="20">
        <f t="shared" si="5"/>
        <v>0</v>
      </c>
      <c r="G333" s="20" t="str">
        <f>VLOOKUP($A333,[1]maaltijden!$A$1:$IV$65536,27,FALSE)</f>
        <v>! ! ! !</v>
      </c>
      <c r="H333" s="22">
        <f>VLOOKUP($A333,[1]maaltijden!$A$1:$IV$65536,21,FALSE)</f>
        <v>2</v>
      </c>
      <c r="I333" s="22">
        <f>VLOOKUP($A333,[1]maaltijden!$A$1:$IV$65536,21,FALSE)</f>
        <v>2</v>
      </c>
      <c r="J333" s="22">
        <f>VLOOKUP($A333,[1]maaltijden!$A$1:$IV$65536,18,FALSE)</f>
        <v>3</v>
      </c>
      <c r="K333" s="22">
        <f>VLOOKUP($A333,[1]maaltijden!$A$1:$IV$65536,17,FALSE)</f>
        <v>3</v>
      </c>
      <c r="L333" s="22">
        <f>VLOOKUP($A333,[1]maaltijden!$A$1:$IV$65536,20,FALSE)</f>
        <v>2200</v>
      </c>
      <c r="M333" s="22">
        <f>VLOOKUP($A333,[1]maaltijden!$A$1:$IV$65536,22,FALSE)</f>
        <v>2200</v>
      </c>
      <c r="N333" s="135"/>
      <c r="O333" s="50"/>
      <c r="P333" s="19">
        <v>0</v>
      </c>
      <c r="Q333" s="20">
        <v>1</v>
      </c>
      <c r="R333" s="21">
        <v>0</v>
      </c>
      <c r="S333" s="19">
        <v>0</v>
      </c>
      <c r="T333" s="20">
        <v>1</v>
      </c>
      <c r="U333" s="19"/>
      <c r="V333" s="20"/>
      <c r="W333" s="20"/>
      <c r="X333" s="20"/>
      <c r="Y333" s="20"/>
      <c r="Z333" s="20"/>
      <c r="AA333" s="20"/>
      <c r="AB333" s="49"/>
      <c r="AC333" s="49"/>
      <c r="AD333" s="49"/>
      <c r="AE333" s="49"/>
      <c r="AF333" s="49"/>
      <c r="AG333" s="161">
        <v>0</v>
      </c>
      <c r="AH333" s="168">
        <v>3</v>
      </c>
      <c r="AI333" s="20"/>
      <c r="AJ333" s="20"/>
      <c r="AK333" s="20"/>
      <c r="AL333" s="21"/>
      <c r="AM333" s="19">
        <v>0</v>
      </c>
      <c r="AN333" s="20" t="str">
        <f>IFERROR(INDEX([2]lijnopstellingsfiche!$AP$1:$AP$65536,MATCH(A333,[2]lijnopstellingsfiche!$AQ$1:$AQ$65536,0)),"")</f>
        <v>-</v>
      </c>
      <c r="AO333" s="20">
        <v>0</v>
      </c>
      <c r="AP333" s="20">
        <v>0</v>
      </c>
      <c r="AQ333" s="20">
        <v>2</v>
      </c>
      <c r="AR333" s="20">
        <v>1</v>
      </c>
      <c r="AS333" s="20">
        <v>0</v>
      </c>
      <c r="AT333" s="20">
        <v>0</v>
      </c>
      <c r="AU333" s="20">
        <v>0</v>
      </c>
      <c r="AV333" s="23">
        <v>0</v>
      </c>
      <c r="AW333" s="108">
        <v>0</v>
      </c>
      <c r="AX333" s="108">
        <v>0</v>
      </c>
      <c r="AY333" s="108">
        <v>1</v>
      </c>
      <c r="AZ333" s="108">
        <v>0</v>
      </c>
      <c r="BA333" s="114">
        <v>1</v>
      </c>
      <c r="BB333" s="20">
        <v>0</v>
      </c>
      <c r="BC333" s="113">
        <v>0</v>
      </c>
      <c r="BD333" s="200" t="str">
        <f>VLOOKUP($A333,'[3]allergenen 6nr'!$A$1:$O$1310,3,FALSE)</f>
        <v>-</v>
      </c>
      <c r="BE333" s="201" t="str">
        <f>VLOOKUP($A333,'[3]allergenen 6nr'!$A$1:$O$1310,4,FALSE)</f>
        <v>+</v>
      </c>
      <c r="BF333" s="201" t="str">
        <f>VLOOKUP($A333,'[3]allergenen 6nr'!$A$1:$O$1310,5,FALSE)</f>
        <v>+</v>
      </c>
      <c r="BG333" s="201" t="str">
        <f>VLOOKUP($A333,'[3]allergenen 6nr'!$A$1:$O$1310,6,FALSE)</f>
        <v>X</v>
      </c>
      <c r="BH333" s="201" t="str">
        <f>VLOOKUP($A333,'[3]allergenen 6nr'!$A$1:$O$1310,7,FALSE)</f>
        <v>+</v>
      </c>
      <c r="BI333" s="201" t="str">
        <f>VLOOKUP($A333,'[3]allergenen 6nr'!$A$1:$O$1310,8,FALSE)</f>
        <v>X</v>
      </c>
      <c r="BJ333" s="201" t="str">
        <f>VLOOKUP($A333,'[3]allergenen 6nr'!$A$1:$O$1310,9,FALSE)</f>
        <v>-</v>
      </c>
      <c r="BK333" s="201" t="str">
        <f>VLOOKUP($A333,'[3]allergenen 6nr'!$A$1:$O$1310,10,FALSE)</f>
        <v>-</v>
      </c>
      <c r="BL333" s="201" t="str">
        <f>VLOOKUP($A333,'[3]allergenen 6nr'!$A$1:$O$1310,11,FALSE)</f>
        <v>+</v>
      </c>
      <c r="BM333" s="201" t="str">
        <f>VLOOKUP($A333,'[3]allergenen 6nr'!$A$1:$O$1310,12,FALSE)</f>
        <v>-</v>
      </c>
      <c r="BN333" s="201" t="str">
        <f>VLOOKUP($A333,'[3]allergenen 6nr'!$A$1:$O$1310,13,FALSE)</f>
        <v>X</v>
      </c>
      <c r="BO333" s="201" t="str">
        <f>VLOOKUP($A333,'[3]allergenen 6nr'!$A$1:$O$1310,14,FALSE)</f>
        <v>+</v>
      </c>
      <c r="BP333" s="202" t="str">
        <f>VLOOKUP($A333,'[3]allergenen 6nr'!$A$1:$O$1310,15,FALSE)</f>
        <v>-</v>
      </c>
    </row>
    <row r="334" spans="1:68" x14ac:dyDescent="0.2">
      <c r="A334" s="54">
        <v>63914000</v>
      </c>
      <c r="B334" s="53" t="str">
        <f>VLOOKUP($A334,[1]maaltijden!$A$1:$IV$65536,4,FALSE)</f>
        <v>VAT KIBBELING MSC WORTEL DOPERWT.  AARDKUBUS GEKRUID</v>
      </c>
      <c r="C334" s="46" t="str">
        <f>VLOOKUP($A334,[1]maaltijden!$A$1:$IV$65536,7,FALSE)</f>
        <v>C2227-3R</v>
      </c>
      <c r="D334" s="22" t="str">
        <f>VLOOKUP($A334,[1]maaltijden!$A$1:$IV$65536,10,FALSE)</f>
        <v>NVT</v>
      </c>
      <c r="E334" s="22" t="str">
        <f>VLOOKUP($A334,[1]maaltijden!$A$1:$IV$65536,13,FALSE)</f>
        <v xml:space="preserve">VAT X 6 </v>
      </c>
      <c r="F334" s="20">
        <f t="shared" si="5"/>
        <v>0</v>
      </c>
      <c r="G334" s="20" t="str">
        <f>VLOOKUP($A334,[1]maaltijden!$A$1:$IV$65536,27,FALSE)</f>
        <v>! ! ! !</v>
      </c>
      <c r="H334" s="22">
        <f>VLOOKUP($A334,[1]maaltijden!$A$1:$IV$65536,21,FALSE)</f>
        <v>6</v>
      </c>
      <c r="I334" s="22">
        <f>VLOOKUP($A334,[1]maaltijden!$A$1:$IV$65536,21,FALSE)</f>
        <v>6</v>
      </c>
      <c r="J334" s="22">
        <f>VLOOKUP($A334,[1]maaltijden!$A$1:$IV$65536,18,FALSE)</f>
        <v>3</v>
      </c>
      <c r="K334" s="22">
        <f>VLOOKUP($A334,[1]maaltijden!$A$1:$IV$65536,17,FALSE)</f>
        <v>2</v>
      </c>
      <c r="L334" s="22">
        <f>VLOOKUP($A334,[1]maaltijden!$A$1:$IV$65536,20,FALSE)</f>
        <v>1750</v>
      </c>
      <c r="M334" s="22">
        <f>VLOOKUP($A334,[1]maaltijden!$A$1:$IV$65536,22,FALSE)</f>
        <v>1750</v>
      </c>
      <c r="N334" s="135"/>
      <c r="O334" s="50"/>
      <c r="P334" s="19">
        <v>0</v>
      </c>
      <c r="Q334" s="20">
        <v>1</v>
      </c>
      <c r="R334" s="21">
        <v>0</v>
      </c>
      <c r="S334" s="19">
        <v>0</v>
      </c>
      <c r="T334" s="20">
        <v>1</v>
      </c>
      <c r="U334" s="19"/>
      <c r="V334" s="20"/>
      <c r="W334" s="20"/>
      <c r="X334" s="20"/>
      <c r="Y334" s="20"/>
      <c r="Z334" s="20"/>
      <c r="AA334" s="20"/>
      <c r="AB334" s="49"/>
      <c r="AC334" s="49"/>
      <c r="AD334" s="49"/>
      <c r="AE334" s="49"/>
      <c r="AF334" s="49"/>
      <c r="AG334" s="161">
        <v>0</v>
      </c>
      <c r="AH334" s="168">
        <v>1</v>
      </c>
      <c r="AI334" s="168">
        <v>1</v>
      </c>
      <c r="AJ334" s="20"/>
      <c r="AK334" s="20"/>
      <c r="AL334" s="21"/>
      <c r="AM334" s="19">
        <v>0</v>
      </c>
      <c r="AN334" s="20">
        <f>IFERROR(INDEX([2]lijnopstellingsfiche!$AP$1:$AP$65536,MATCH(A334,[2]lijnopstellingsfiche!$AQ$1:$AQ$65536,0)),"")</f>
        <v>1</v>
      </c>
      <c r="AO334" s="20">
        <v>0</v>
      </c>
      <c r="AP334" s="20">
        <v>0</v>
      </c>
      <c r="AQ334" s="20">
        <v>1</v>
      </c>
      <c r="AR334" s="20">
        <v>0</v>
      </c>
      <c r="AS334" s="20">
        <v>0</v>
      </c>
      <c r="AT334" s="20">
        <v>1</v>
      </c>
      <c r="AU334" s="20">
        <v>0</v>
      </c>
      <c r="AV334" s="23">
        <v>0</v>
      </c>
      <c r="AW334" s="108">
        <v>0</v>
      </c>
      <c r="AX334" s="108">
        <v>0</v>
      </c>
      <c r="AY334" s="108">
        <v>1</v>
      </c>
      <c r="AZ334" s="108">
        <v>0</v>
      </c>
      <c r="BA334" s="114">
        <v>1</v>
      </c>
      <c r="BB334" s="20">
        <v>0</v>
      </c>
      <c r="BC334" s="113">
        <v>0</v>
      </c>
      <c r="BD334" s="200" t="str">
        <f>VLOOKUP($A334,'[3]allergenen 6nr'!$A$1:$O$1310,3,FALSE)</f>
        <v>-</v>
      </c>
      <c r="BE334" s="201" t="str">
        <f>VLOOKUP($A334,'[3]allergenen 6nr'!$A$1:$O$1310,4,FALSE)</f>
        <v>+</v>
      </c>
      <c r="BF334" s="201" t="str">
        <f>VLOOKUP($A334,'[3]allergenen 6nr'!$A$1:$O$1310,5,FALSE)</f>
        <v>+</v>
      </c>
      <c r="BG334" s="201" t="str">
        <f>VLOOKUP($A334,'[3]allergenen 6nr'!$A$1:$O$1310,6,FALSE)</f>
        <v>X</v>
      </c>
      <c r="BH334" s="201" t="str">
        <f>VLOOKUP($A334,'[3]allergenen 6nr'!$A$1:$O$1310,7,FALSE)</f>
        <v>+</v>
      </c>
      <c r="BI334" s="201" t="str">
        <f>VLOOKUP($A334,'[3]allergenen 6nr'!$A$1:$O$1310,8,FALSE)</f>
        <v>+</v>
      </c>
      <c r="BJ334" s="201" t="str">
        <f>VLOOKUP($A334,'[3]allergenen 6nr'!$A$1:$O$1310,9,FALSE)</f>
        <v>-</v>
      </c>
      <c r="BK334" s="201" t="str">
        <f>VLOOKUP($A334,'[3]allergenen 6nr'!$A$1:$O$1310,10,FALSE)</f>
        <v>X</v>
      </c>
      <c r="BL334" s="201" t="str">
        <f>VLOOKUP($A334,'[3]allergenen 6nr'!$A$1:$O$1310,11,FALSE)</f>
        <v>+</v>
      </c>
      <c r="BM334" s="201" t="str">
        <f>VLOOKUP($A334,'[3]allergenen 6nr'!$A$1:$O$1310,12,FALSE)</f>
        <v>-</v>
      </c>
      <c r="BN334" s="201" t="str">
        <f>VLOOKUP($A334,'[3]allergenen 6nr'!$A$1:$O$1310,13,FALSE)</f>
        <v>X</v>
      </c>
      <c r="BO334" s="201" t="str">
        <f>VLOOKUP($A334,'[3]allergenen 6nr'!$A$1:$O$1310,14,FALSE)</f>
        <v>+</v>
      </c>
      <c r="BP334" s="202" t="str">
        <f>VLOOKUP($A334,'[3]allergenen 6nr'!$A$1:$O$1310,15,FALSE)</f>
        <v>X</v>
      </c>
    </row>
    <row r="335" spans="1:68" x14ac:dyDescent="0.2">
      <c r="A335" s="126">
        <v>63914100</v>
      </c>
      <c r="B335" s="53" t="str">
        <f>VLOOKUP($A335,[1]maaltijden!$A$1:$IV$65536,4,FALSE)</f>
        <v xml:space="preserve">VAT ZALMFILET ASC DILLESAUS WORTEL PUREE        </v>
      </c>
      <c r="C335" s="46" t="str">
        <f>VLOOKUP($A335,[1]maaltijden!$A$1:$IV$65536,7,FALSE)</f>
        <v>C2227-3R</v>
      </c>
      <c r="D335" s="22" t="str">
        <f>VLOOKUP($A335,[1]maaltijden!$A$1:$IV$65536,10,FALSE)</f>
        <v>NVT</v>
      </c>
      <c r="E335" s="22" t="str">
        <f>VLOOKUP($A335,[1]maaltijden!$A$1:$IV$65536,13,FALSE)</f>
        <v xml:space="preserve">VAT X 6 </v>
      </c>
      <c r="F335" s="20">
        <f t="shared" si="5"/>
        <v>0</v>
      </c>
      <c r="G335" s="20" t="str">
        <f>VLOOKUP($A335,[1]maaltijden!$A$1:$IV$65536,27,FALSE)</f>
        <v>! ! ! !</v>
      </c>
      <c r="H335" s="22">
        <f>VLOOKUP($A335,[1]maaltijden!$A$1:$IV$65536,21,FALSE)</f>
        <v>5</v>
      </c>
      <c r="I335" s="22">
        <f>VLOOKUP($A335,[1]maaltijden!$A$1:$IV$65536,21,FALSE)</f>
        <v>5</v>
      </c>
      <c r="J335" s="22">
        <f>VLOOKUP($A335,[1]maaltijden!$A$1:$IV$65536,18,FALSE)</f>
        <v>3</v>
      </c>
      <c r="K335" s="22">
        <f>VLOOKUP($A335,[1]maaltijden!$A$1:$IV$65536,17,FALSE)</f>
        <v>3</v>
      </c>
      <c r="L335" s="22">
        <f>VLOOKUP($A335,[1]maaltijden!$A$1:$IV$65536,20,FALSE)</f>
        <v>2200</v>
      </c>
      <c r="M335" s="22">
        <f>VLOOKUP($A335,[1]maaltijden!$A$1:$IV$65536,22,FALSE)</f>
        <v>2200</v>
      </c>
      <c r="N335" s="135"/>
      <c r="O335" s="50"/>
      <c r="P335" s="19">
        <v>0</v>
      </c>
      <c r="Q335" s="20">
        <v>1</v>
      </c>
      <c r="R335" s="21">
        <v>0</v>
      </c>
      <c r="S335" s="19">
        <v>0</v>
      </c>
      <c r="T335" s="20">
        <v>1</v>
      </c>
      <c r="U335" s="19">
        <v>1</v>
      </c>
      <c r="V335" s="20">
        <v>1</v>
      </c>
      <c r="W335" s="20">
        <v>1</v>
      </c>
      <c r="X335" s="20">
        <v>1</v>
      </c>
      <c r="Y335" s="20">
        <v>1</v>
      </c>
      <c r="Z335" s="20">
        <v>0</v>
      </c>
      <c r="AA335" s="20">
        <v>0</v>
      </c>
      <c r="AB335" s="49">
        <v>0</v>
      </c>
      <c r="AC335" s="49">
        <v>0</v>
      </c>
      <c r="AD335" s="49">
        <v>0</v>
      </c>
      <c r="AE335" s="49">
        <v>0</v>
      </c>
      <c r="AF335" s="49">
        <v>0</v>
      </c>
      <c r="AG335" s="161">
        <v>0</v>
      </c>
      <c r="AH335" s="168">
        <v>2</v>
      </c>
      <c r="AI335" s="168">
        <v>1</v>
      </c>
      <c r="AJ335" s="20"/>
      <c r="AK335" s="20"/>
      <c r="AL335" s="21"/>
      <c r="AM335" s="19">
        <v>0</v>
      </c>
      <c r="AN335" s="20" t="str">
        <f>IFERROR(INDEX([2]lijnopstellingsfiche!$AP$1:$AP$65536,MATCH(A335,[2]lijnopstellingsfiche!$AQ$1:$AQ$65536,0)),"")</f>
        <v>-</v>
      </c>
      <c r="AO335" s="20">
        <v>0</v>
      </c>
      <c r="AP335" s="20">
        <v>0</v>
      </c>
      <c r="AQ335" s="20">
        <v>1</v>
      </c>
      <c r="AR335" s="20">
        <v>1</v>
      </c>
      <c r="AS335" s="20">
        <v>0</v>
      </c>
      <c r="AT335" s="20">
        <v>1</v>
      </c>
      <c r="AU335" s="20">
        <v>0</v>
      </c>
      <c r="AV335" s="23">
        <v>0</v>
      </c>
      <c r="AW335" s="108">
        <v>0</v>
      </c>
      <c r="AX335" s="108">
        <v>0</v>
      </c>
      <c r="AY335" s="108">
        <v>1</v>
      </c>
      <c r="AZ335" s="108">
        <v>0</v>
      </c>
      <c r="BA335" s="114">
        <v>1</v>
      </c>
      <c r="BB335" s="20">
        <v>0</v>
      </c>
      <c r="BC335" s="113">
        <v>0</v>
      </c>
      <c r="BD335" s="200" t="str">
        <f>VLOOKUP($A335,'[3]allergenen 6nr'!$A$1:$O$1310,3,FALSE)</f>
        <v>-</v>
      </c>
      <c r="BE335" s="201" t="str">
        <f>VLOOKUP($A335,'[3]allergenen 6nr'!$A$1:$O$1310,4,FALSE)</f>
        <v>+</v>
      </c>
      <c r="BF335" s="201" t="str">
        <f>VLOOKUP($A335,'[3]allergenen 6nr'!$A$1:$O$1310,5,FALSE)</f>
        <v>+</v>
      </c>
      <c r="BG335" s="201" t="str">
        <f>VLOOKUP($A335,'[3]allergenen 6nr'!$A$1:$O$1310,6,FALSE)</f>
        <v>-</v>
      </c>
      <c r="BH335" s="201" t="str">
        <f>VLOOKUP($A335,'[3]allergenen 6nr'!$A$1:$O$1310,7,FALSE)</f>
        <v>+</v>
      </c>
      <c r="BI335" s="201" t="str">
        <f>VLOOKUP($A335,'[3]allergenen 6nr'!$A$1:$O$1310,8,FALSE)</f>
        <v>+</v>
      </c>
      <c r="BJ335" s="201" t="str">
        <f>VLOOKUP($A335,'[3]allergenen 6nr'!$A$1:$O$1310,9,FALSE)</f>
        <v>-</v>
      </c>
      <c r="BK335" s="201" t="str">
        <f>VLOOKUP($A335,'[3]allergenen 6nr'!$A$1:$O$1310,10,FALSE)</f>
        <v>X</v>
      </c>
      <c r="BL335" s="201" t="str">
        <f>VLOOKUP($A335,'[3]allergenen 6nr'!$A$1:$O$1310,11,FALSE)</f>
        <v>+</v>
      </c>
      <c r="BM335" s="201" t="str">
        <f>VLOOKUP($A335,'[3]allergenen 6nr'!$A$1:$O$1310,12,FALSE)</f>
        <v>-</v>
      </c>
      <c r="BN335" s="201" t="str">
        <f>VLOOKUP($A335,'[3]allergenen 6nr'!$A$1:$O$1310,13,FALSE)</f>
        <v>X</v>
      </c>
      <c r="BO335" s="201" t="str">
        <f>VLOOKUP($A335,'[3]allergenen 6nr'!$A$1:$O$1310,14,FALSE)</f>
        <v>+</v>
      </c>
      <c r="BP335" s="202" t="str">
        <f>VLOOKUP($A335,'[3]allergenen 6nr'!$A$1:$O$1310,15,FALSE)</f>
        <v>X</v>
      </c>
    </row>
    <row r="336" spans="1:68" x14ac:dyDescent="0.2">
      <c r="A336" s="54">
        <v>63914300</v>
      </c>
      <c r="B336" s="53" t="str">
        <f>VLOOKUP($A336,[1]maaltijden!$A$1:$IV$65536,4,FALSE)</f>
        <v>VAT KABELJAUW MSC VISSAUS SPINAZIE PUREE</v>
      </c>
      <c r="C336" s="46" t="str">
        <f>VLOOKUP($A336,[1]maaltijden!$A$1:$IV$65536,7,FALSE)</f>
        <v>C2227-2K</v>
      </c>
      <c r="D336" s="22" t="str">
        <f>VLOOKUP($A336,[1]maaltijden!$A$1:$IV$65536,10,FALSE)</f>
        <v>NVT</v>
      </c>
      <c r="E336" s="22" t="str">
        <f>VLOOKUP($A336,[1]maaltijden!$A$1:$IV$65536,13,FALSE)</f>
        <v xml:space="preserve">VAT X 6 </v>
      </c>
      <c r="F336" s="20">
        <f t="shared" si="5"/>
        <v>0</v>
      </c>
      <c r="G336" s="20" t="str">
        <f>VLOOKUP($A336,[1]maaltijden!$A$1:$IV$65536,27,FALSE)</f>
        <v>! ! ! !</v>
      </c>
      <c r="H336" s="22">
        <f>VLOOKUP($A336,[1]maaltijden!$A$1:$IV$65536,21,FALSE)</f>
        <v>5</v>
      </c>
      <c r="I336" s="22">
        <f>VLOOKUP($A336,[1]maaltijden!$A$1:$IV$65536,21,FALSE)</f>
        <v>5</v>
      </c>
      <c r="J336" s="22">
        <f>VLOOKUP($A336,[1]maaltijden!$A$1:$IV$65536,18,FALSE)</f>
        <v>3</v>
      </c>
      <c r="K336" s="22">
        <f>VLOOKUP($A336,[1]maaltijden!$A$1:$IV$65536,17,FALSE)</f>
        <v>3</v>
      </c>
      <c r="L336" s="22">
        <f>VLOOKUP($A336,[1]maaltijden!$A$1:$IV$65536,20,FALSE)</f>
        <v>2200</v>
      </c>
      <c r="M336" s="22">
        <f>VLOOKUP($A336,[1]maaltijden!$A$1:$IV$65536,22,FALSE)</f>
        <v>2200</v>
      </c>
      <c r="N336" s="135"/>
      <c r="O336" s="50"/>
      <c r="P336" s="19">
        <v>0</v>
      </c>
      <c r="Q336" s="20">
        <v>1</v>
      </c>
      <c r="R336" s="21">
        <v>0</v>
      </c>
      <c r="S336" s="19">
        <v>0</v>
      </c>
      <c r="T336" s="20">
        <v>1</v>
      </c>
      <c r="U336" s="19"/>
      <c r="V336" s="20"/>
      <c r="W336" s="20"/>
      <c r="X336" s="20"/>
      <c r="Y336" s="20"/>
      <c r="Z336" s="20"/>
      <c r="AA336" s="20"/>
      <c r="AB336" s="49"/>
      <c r="AC336" s="49"/>
      <c r="AD336" s="49"/>
      <c r="AE336" s="49"/>
      <c r="AF336" s="49"/>
      <c r="AG336" s="161">
        <v>0</v>
      </c>
      <c r="AH336" s="168">
        <v>2</v>
      </c>
      <c r="AI336" s="168">
        <v>1</v>
      </c>
      <c r="AJ336" s="20"/>
      <c r="AK336" s="20"/>
      <c r="AL336" s="21"/>
      <c r="AM336" s="19">
        <v>0</v>
      </c>
      <c r="AN336" s="20" t="str">
        <f>IFERROR(INDEX([2]lijnopstellingsfiche!$AP$1:$AP$65536,MATCH(A336,[2]lijnopstellingsfiche!$AQ$1:$AQ$65536,0)),"")</f>
        <v>-</v>
      </c>
      <c r="AO336" s="20">
        <v>0</v>
      </c>
      <c r="AP336" s="20">
        <v>0</v>
      </c>
      <c r="AQ336" s="20">
        <v>1</v>
      </c>
      <c r="AR336" s="20">
        <v>1</v>
      </c>
      <c r="AS336" s="20">
        <v>0</v>
      </c>
      <c r="AT336" s="20">
        <v>0</v>
      </c>
      <c r="AU336" s="20">
        <v>0</v>
      </c>
      <c r="AV336" s="23">
        <v>0</v>
      </c>
      <c r="AW336" s="108">
        <v>0</v>
      </c>
      <c r="AX336" s="108">
        <v>0</v>
      </c>
      <c r="AY336" s="108">
        <v>1</v>
      </c>
      <c r="AZ336" s="108">
        <v>0</v>
      </c>
      <c r="BA336" s="114">
        <v>1</v>
      </c>
      <c r="BB336" s="20">
        <v>0</v>
      </c>
      <c r="BC336" s="113">
        <v>0</v>
      </c>
      <c r="BD336" s="200" t="str">
        <f>VLOOKUP($A336,'[3]allergenen 6nr'!$A$1:$O$1310,3,FALSE)</f>
        <v>-</v>
      </c>
      <c r="BE336" s="201" t="str">
        <f>VLOOKUP($A336,'[3]allergenen 6nr'!$A$1:$O$1310,4,FALSE)</f>
        <v>+</v>
      </c>
      <c r="BF336" s="201" t="str">
        <f>VLOOKUP($A336,'[3]allergenen 6nr'!$A$1:$O$1310,5,FALSE)</f>
        <v>+</v>
      </c>
      <c r="BG336" s="201" t="str">
        <f>VLOOKUP($A336,'[3]allergenen 6nr'!$A$1:$O$1310,6,FALSE)</f>
        <v>X</v>
      </c>
      <c r="BH336" s="201" t="str">
        <f>VLOOKUP($A336,'[3]allergenen 6nr'!$A$1:$O$1310,7,FALSE)</f>
        <v>+</v>
      </c>
      <c r="BI336" s="201" t="str">
        <f>VLOOKUP($A336,'[3]allergenen 6nr'!$A$1:$O$1310,8,FALSE)</f>
        <v>X</v>
      </c>
      <c r="BJ336" s="201" t="str">
        <f>VLOOKUP($A336,'[3]allergenen 6nr'!$A$1:$O$1310,9,FALSE)</f>
        <v>-</v>
      </c>
      <c r="BK336" s="201" t="str">
        <f>VLOOKUP($A336,'[3]allergenen 6nr'!$A$1:$O$1310,10,FALSE)</f>
        <v>X</v>
      </c>
      <c r="BL336" s="201" t="str">
        <f>VLOOKUP($A336,'[3]allergenen 6nr'!$A$1:$O$1310,11,FALSE)</f>
        <v>+</v>
      </c>
      <c r="BM336" s="201" t="str">
        <f>VLOOKUP($A336,'[3]allergenen 6nr'!$A$1:$O$1310,12,FALSE)</f>
        <v>-</v>
      </c>
      <c r="BN336" s="201" t="str">
        <f>VLOOKUP($A336,'[3]allergenen 6nr'!$A$1:$O$1310,13,FALSE)</f>
        <v>X</v>
      </c>
      <c r="BO336" s="201" t="str">
        <f>VLOOKUP($A336,'[3]allergenen 6nr'!$A$1:$O$1310,14,FALSE)</f>
        <v>+</v>
      </c>
      <c r="BP336" s="202" t="str">
        <f>VLOOKUP($A336,'[3]allergenen 6nr'!$A$1:$O$1310,15,FALSE)</f>
        <v>X</v>
      </c>
    </row>
    <row r="337" spans="1:68" x14ac:dyDescent="0.2">
      <c r="A337" s="54">
        <v>63914500</v>
      </c>
      <c r="B337" s="53" t="str">
        <f>VLOOKUP($A337,[1]maaltijden!$A$1:$IV$65536,4,FALSE)</f>
        <v>VAT LEKKERBEKJE RISOTTO RODE BIET/ERWT</v>
      </c>
      <c r="C337" s="46" t="str">
        <f>VLOOKUP($A337,[1]maaltijden!$A$1:$IV$65536,7,FALSE)</f>
        <v xml:space="preserve">C2227-1H </v>
      </c>
      <c r="D337" s="22" t="str">
        <f>VLOOKUP($A337,[1]maaltijden!$A$1:$IV$65536,10,FALSE)</f>
        <v>NVT</v>
      </c>
      <c r="E337" s="22" t="str">
        <f>VLOOKUP($A337,[1]maaltijden!$A$1:$IV$65536,13,FALSE)</f>
        <v xml:space="preserve">VAT X 6 </v>
      </c>
      <c r="F337" s="20">
        <f t="shared" si="5"/>
        <v>0</v>
      </c>
      <c r="G337" s="20" t="str">
        <f>VLOOKUP($A337,[1]maaltijden!$A$1:$IV$65536,27,FALSE)</f>
        <v>! ! ! !</v>
      </c>
      <c r="H337" s="22">
        <f>VLOOKUP($A337,[1]maaltijden!$A$1:$IV$65536,21,FALSE)</f>
        <v>3</v>
      </c>
      <c r="I337" s="22">
        <f>VLOOKUP($A337,[1]maaltijden!$A$1:$IV$65536,21,FALSE)</f>
        <v>3</v>
      </c>
      <c r="J337" s="22">
        <f>VLOOKUP($A337,[1]maaltijden!$A$1:$IV$65536,18,FALSE)</f>
        <v>3</v>
      </c>
      <c r="K337" s="22">
        <f>VLOOKUP($A337,[1]maaltijden!$A$1:$IV$65536,17,FALSE)</f>
        <v>3</v>
      </c>
      <c r="L337" s="22">
        <f>VLOOKUP($A337,[1]maaltijden!$A$1:$IV$65536,20,FALSE)</f>
        <v>2200</v>
      </c>
      <c r="M337" s="22">
        <f>VLOOKUP($A337,[1]maaltijden!$A$1:$IV$65536,22,FALSE)</f>
        <v>2200</v>
      </c>
      <c r="N337" s="135"/>
      <c r="O337" s="50"/>
      <c r="P337" s="19">
        <v>0</v>
      </c>
      <c r="Q337" s="20">
        <v>1</v>
      </c>
      <c r="R337" s="21">
        <v>0</v>
      </c>
      <c r="S337" s="19">
        <v>0</v>
      </c>
      <c r="T337" s="20">
        <v>1</v>
      </c>
      <c r="U337" s="19"/>
      <c r="V337" s="20"/>
      <c r="W337" s="20"/>
      <c r="X337" s="20"/>
      <c r="Y337" s="20"/>
      <c r="Z337" s="20"/>
      <c r="AA337" s="20"/>
      <c r="AB337" s="49"/>
      <c r="AC337" s="49"/>
      <c r="AD337" s="49"/>
      <c r="AE337" s="49"/>
      <c r="AF337" s="49"/>
      <c r="AG337" s="167">
        <v>0</v>
      </c>
      <c r="AH337" s="168">
        <v>1</v>
      </c>
      <c r="AI337" s="168">
        <v>1</v>
      </c>
      <c r="AJ337" s="20"/>
      <c r="AK337" s="20"/>
      <c r="AL337" s="21"/>
      <c r="AM337" s="19">
        <v>0</v>
      </c>
      <c r="AN337" s="20" t="str">
        <f>IFERROR(INDEX([2]lijnopstellingsfiche!$AP$1:$AP$65536,MATCH(A337,[2]lijnopstellingsfiche!$AQ$1:$AQ$65536,0)),"")</f>
        <v>-</v>
      </c>
      <c r="AO337" s="20">
        <v>1</v>
      </c>
      <c r="AP337" s="20">
        <v>0</v>
      </c>
      <c r="AQ337" s="20">
        <v>2</v>
      </c>
      <c r="AR337" s="20">
        <v>0</v>
      </c>
      <c r="AS337" s="20">
        <v>0</v>
      </c>
      <c r="AT337" s="20">
        <v>0</v>
      </c>
      <c r="AU337" s="20">
        <v>0</v>
      </c>
      <c r="AV337" s="23">
        <v>0</v>
      </c>
      <c r="AW337" s="108">
        <v>0</v>
      </c>
      <c r="AX337" s="108">
        <v>0</v>
      </c>
      <c r="AY337" s="108">
        <v>1</v>
      </c>
      <c r="AZ337" s="108">
        <v>0</v>
      </c>
      <c r="BA337" s="114">
        <v>1</v>
      </c>
      <c r="BB337" s="20">
        <v>0</v>
      </c>
      <c r="BC337" s="113">
        <v>0</v>
      </c>
      <c r="BD337" s="200" t="str">
        <f>VLOOKUP($A337,'[3]allergenen 6nr'!$A$1:$O$1310,3,FALSE)</f>
        <v>-</v>
      </c>
      <c r="BE337" s="201" t="str">
        <f>VLOOKUP($A337,'[3]allergenen 6nr'!$A$1:$O$1310,4,FALSE)</f>
        <v>-</v>
      </c>
      <c r="BF337" s="201" t="str">
        <f>VLOOKUP($A337,'[3]allergenen 6nr'!$A$1:$O$1310,5,FALSE)</f>
        <v>+</v>
      </c>
      <c r="BG337" s="201" t="str">
        <f>VLOOKUP($A337,'[3]allergenen 6nr'!$A$1:$O$1310,6,FALSE)</f>
        <v>X</v>
      </c>
      <c r="BH337" s="201" t="str">
        <f>VLOOKUP($A337,'[3]allergenen 6nr'!$A$1:$O$1310,7,FALSE)</f>
        <v>+</v>
      </c>
      <c r="BI337" s="201" t="str">
        <f>VLOOKUP($A337,'[3]allergenen 6nr'!$A$1:$O$1310,8,FALSE)</f>
        <v>X</v>
      </c>
      <c r="BJ337" s="201" t="str">
        <f>VLOOKUP($A337,'[3]allergenen 6nr'!$A$1:$O$1310,9,FALSE)</f>
        <v>-</v>
      </c>
      <c r="BK337" s="201" t="str">
        <f>VLOOKUP($A337,'[3]allergenen 6nr'!$A$1:$O$1310,10,FALSE)</f>
        <v>-</v>
      </c>
      <c r="BL337" s="201" t="str">
        <f>VLOOKUP($A337,'[3]allergenen 6nr'!$A$1:$O$1310,11,FALSE)</f>
        <v>+</v>
      </c>
      <c r="BM337" s="201" t="str">
        <f>VLOOKUP($A337,'[3]allergenen 6nr'!$A$1:$O$1310,12,FALSE)</f>
        <v>-</v>
      </c>
      <c r="BN337" s="201" t="str">
        <f>VLOOKUP($A337,'[3]allergenen 6nr'!$A$1:$O$1310,13,FALSE)</f>
        <v>X</v>
      </c>
      <c r="BO337" s="201" t="str">
        <f>VLOOKUP($A337,'[3]allergenen 6nr'!$A$1:$O$1310,14,FALSE)</f>
        <v>+</v>
      </c>
      <c r="BP337" s="202" t="str">
        <f>VLOOKUP($A337,'[3]allergenen 6nr'!$A$1:$O$1310,15,FALSE)</f>
        <v>-</v>
      </c>
    </row>
    <row r="338" spans="1:68" x14ac:dyDescent="0.2">
      <c r="A338" s="54">
        <v>63914600</v>
      </c>
      <c r="B338" s="53" t="str">
        <f>VLOOKUP($A338,[1]maaltijden!$A$1:$IV$65536,4,FALSE)</f>
        <v>VAT PULLED CHICKEN GROENTEMIX RIJST</v>
      </c>
      <c r="C338" s="46" t="str">
        <f>VLOOKUP($A338,[1]maaltijden!$A$1:$IV$65536,7,FALSE)</f>
        <v>C2227-2K</v>
      </c>
      <c r="D338" s="22" t="str">
        <f>VLOOKUP($A338,[1]maaltijden!$A$1:$IV$65536,10,FALSE)</f>
        <v>NVT</v>
      </c>
      <c r="E338" s="22" t="str">
        <f>VLOOKUP($A338,[1]maaltijden!$A$1:$IV$65536,13,FALSE)</f>
        <v xml:space="preserve">VAT X 6 </v>
      </c>
      <c r="F338" s="20">
        <f t="shared" si="5"/>
        <v>0</v>
      </c>
      <c r="G338" s="20" t="str">
        <f>VLOOKUP($A338,[1]maaltijden!$A$1:$IV$65536,27,FALSE)</f>
        <v>! ! ! !</v>
      </c>
      <c r="H338" s="22">
        <f>VLOOKUP($A338,[1]maaltijden!$A$1:$IV$65536,21,FALSE)</f>
        <v>5</v>
      </c>
      <c r="I338" s="22">
        <f>VLOOKUP($A338,[1]maaltijden!$A$1:$IV$65536,21,FALSE)</f>
        <v>5</v>
      </c>
      <c r="J338" s="22">
        <f>VLOOKUP($A338,[1]maaltijden!$A$1:$IV$65536,18,FALSE)</f>
        <v>3</v>
      </c>
      <c r="K338" s="22">
        <f>VLOOKUP($A338,[1]maaltijden!$A$1:$IV$65536,17,FALSE)</f>
        <v>3</v>
      </c>
      <c r="L338" s="22">
        <f>VLOOKUP($A338,[1]maaltijden!$A$1:$IV$65536,20,FALSE)</f>
        <v>2200</v>
      </c>
      <c r="M338" s="22">
        <f>VLOOKUP($A338,[1]maaltijden!$A$1:$IV$65536,22,FALSE)</f>
        <v>2200</v>
      </c>
      <c r="N338" s="135"/>
      <c r="O338" s="50"/>
      <c r="P338" s="19">
        <v>0</v>
      </c>
      <c r="Q338" s="20">
        <v>1</v>
      </c>
      <c r="R338" s="21">
        <v>0</v>
      </c>
      <c r="S338" s="19">
        <v>0</v>
      </c>
      <c r="T338" s="20">
        <v>1</v>
      </c>
      <c r="U338" s="19"/>
      <c r="V338" s="20"/>
      <c r="W338" s="20"/>
      <c r="X338" s="20"/>
      <c r="Y338" s="20"/>
      <c r="Z338" s="20"/>
      <c r="AA338" s="20"/>
      <c r="AB338" s="49"/>
      <c r="AC338" s="49"/>
      <c r="AD338" s="49"/>
      <c r="AE338" s="49"/>
      <c r="AF338" s="49"/>
      <c r="AG338" s="161">
        <v>1</v>
      </c>
      <c r="AH338" s="168">
        <v>1</v>
      </c>
      <c r="AI338" s="20"/>
      <c r="AJ338" s="168">
        <v>1</v>
      </c>
      <c r="AK338" s="20"/>
      <c r="AL338" s="21"/>
      <c r="AM338" s="19">
        <v>1</v>
      </c>
      <c r="AN338" s="20">
        <f>IFERROR(INDEX([2]lijnopstellingsfiche!$AP$1:$AP$65536,MATCH(A338,[2]lijnopstellingsfiche!$AQ$1:$AQ$65536,0)),"")</f>
        <v>2</v>
      </c>
      <c r="AO338" s="20">
        <v>0</v>
      </c>
      <c r="AP338" s="20">
        <v>0</v>
      </c>
      <c r="AQ338" s="20">
        <v>1</v>
      </c>
      <c r="AR338" s="20">
        <v>0</v>
      </c>
      <c r="AS338" s="20">
        <v>0</v>
      </c>
      <c r="AT338" s="20">
        <v>0</v>
      </c>
      <c r="AU338" s="20">
        <v>0</v>
      </c>
      <c r="AV338" s="23">
        <v>0</v>
      </c>
      <c r="AW338" s="108">
        <v>0</v>
      </c>
      <c r="AX338" s="108">
        <v>0</v>
      </c>
      <c r="AY338" s="108">
        <v>1</v>
      </c>
      <c r="AZ338" s="108">
        <v>0</v>
      </c>
      <c r="BA338" s="114">
        <v>1</v>
      </c>
      <c r="BB338" s="20">
        <v>0</v>
      </c>
      <c r="BC338" s="113">
        <v>0</v>
      </c>
      <c r="BD338" s="200" t="str">
        <f>VLOOKUP($A338,'[3]allergenen 6nr'!$A$1:$O$1310,3,FALSE)</f>
        <v>-</v>
      </c>
      <c r="BE338" s="201" t="str">
        <f>VLOOKUP($A338,'[3]allergenen 6nr'!$A$1:$O$1310,4,FALSE)</f>
        <v>-</v>
      </c>
      <c r="BF338" s="201" t="str">
        <f>VLOOKUP($A338,'[3]allergenen 6nr'!$A$1:$O$1310,5,FALSE)</f>
        <v>+</v>
      </c>
      <c r="BG338" s="201" t="str">
        <f>VLOOKUP($A338,'[3]allergenen 6nr'!$A$1:$O$1310,6,FALSE)</f>
        <v>-</v>
      </c>
      <c r="BH338" s="201" t="str">
        <f>VLOOKUP($A338,'[3]allergenen 6nr'!$A$1:$O$1310,7,FALSE)</f>
        <v>-</v>
      </c>
      <c r="BI338" s="201" t="str">
        <f>VLOOKUP($A338,'[3]allergenen 6nr'!$A$1:$O$1310,8,FALSE)</f>
        <v>-</v>
      </c>
      <c r="BJ338" s="201" t="str">
        <f>VLOOKUP($A338,'[3]allergenen 6nr'!$A$1:$O$1310,9,FALSE)</f>
        <v>-</v>
      </c>
      <c r="BK338" s="201" t="str">
        <f>VLOOKUP($A338,'[3]allergenen 6nr'!$A$1:$O$1310,10,FALSE)</f>
        <v>-</v>
      </c>
      <c r="BL338" s="201" t="str">
        <f>VLOOKUP($A338,'[3]allergenen 6nr'!$A$1:$O$1310,11,FALSE)</f>
        <v>-</v>
      </c>
      <c r="BM338" s="201" t="str">
        <f>VLOOKUP($A338,'[3]allergenen 6nr'!$A$1:$O$1310,12,FALSE)</f>
        <v>-</v>
      </c>
      <c r="BN338" s="201" t="str">
        <f>VLOOKUP($A338,'[3]allergenen 6nr'!$A$1:$O$1310,13,FALSE)</f>
        <v>-</v>
      </c>
      <c r="BO338" s="201" t="str">
        <f>VLOOKUP($A338,'[3]allergenen 6nr'!$A$1:$O$1310,14,FALSE)</f>
        <v>+</v>
      </c>
      <c r="BP338" s="202" t="str">
        <f>VLOOKUP($A338,'[3]allergenen 6nr'!$A$1:$O$1310,15,FALSE)</f>
        <v>-</v>
      </c>
    </row>
    <row r="339" spans="1:68" x14ac:dyDescent="0.2">
      <c r="A339" s="89">
        <v>63930100</v>
      </c>
      <c r="B339" s="53" t="str">
        <f>VLOOKUP($A339,[1]maaltijden!$A$1:$IV$65536,4,FALSE)</f>
        <v xml:space="preserve">VAT EW HOLLANDSE HACHEE RODE KOOL EN GEKOOKTE AARD   </v>
      </c>
      <c r="C339" s="46" t="str">
        <f>VLOOKUP($A339,[1]maaltijden!$A$1:$IV$65536,7,FALSE)</f>
        <v>C2227-3R</v>
      </c>
      <c r="D339" s="22" t="str">
        <f>VLOOKUP($A339,[1]maaltijden!$A$1:$IV$65536,10,FALSE)</f>
        <v>NVT</v>
      </c>
      <c r="E339" s="22" t="str">
        <f>VLOOKUP($A339,[1]maaltijden!$A$1:$IV$65536,13,FALSE)</f>
        <v xml:space="preserve">VAT X 6 </v>
      </c>
      <c r="F339" s="20">
        <f t="shared" si="5"/>
        <v>0</v>
      </c>
      <c r="G339" s="20" t="str">
        <f>VLOOKUP($A339,[1]maaltijden!$A$1:$IV$65536,27,FALSE)</f>
        <v>! !</v>
      </c>
      <c r="H339" s="22">
        <f>VLOOKUP($A339,[1]maaltijden!$A$1:$IV$65536,21,FALSE)</f>
        <v>3</v>
      </c>
      <c r="I339" s="22">
        <f>VLOOKUP($A339,[1]maaltijden!$A$1:$IV$65536,21,FALSE)</f>
        <v>3</v>
      </c>
      <c r="J339" s="22">
        <f>VLOOKUP($A339,[1]maaltijden!$A$1:$IV$65536,18,FALSE)</f>
        <v>3</v>
      </c>
      <c r="K339" s="22">
        <f>VLOOKUP($A339,[1]maaltijden!$A$1:$IV$65536,17,FALSE)</f>
        <v>3</v>
      </c>
      <c r="L339" s="22">
        <f>VLOOKUP($A339,[1]maaltijden!$A$1:$IV$65536,20,FALSE)</f>
        <v>2200</v>
      </c>
      <c r="M339" s="22">
        <f>VLOOKUP($A339,[1]maaltijden!$A$1:$IV$65536,22,FALSE)</f>
        <v>2200</v>
      </c>
      <c r="N339" s="135"/>
      <c r="O339" s="50">
        <v>63900300</v>
      </c>
      <c r="P339" s="19">
        <v>0</v>
      </c>
      <c r="Q339" s="20">
        <v>1</v>
      </c>
      <c r="R339" s="21">
        <v>0</v>
      </c>
      <c r="S339" s="19">
        <v>0</v>
      </c>
      <c r="T339" s="20">
        <v>1</v>
      </c>
      <c r="U339" s="19">
        <v>1</v>
      </c>
      <c r="V339" s="20">
        <v>1</v>
      </c>
      <c r="W339" s="20">
        <v>1</v>
      </c>
      <c r="X339" s="20">
        <v>1</v>
      </c>
      <c r="Y339" s="20">
        <v>1</v>
      </c>
      <c r="Z339" s="20">
        <v>0</v>
      </c>
      <c r="AA339" s="20">
        <v>0</v>
      </c>
      <c r="AB339" s="49">
        <v>0</v>
      </c>
      <c r="AC339" s="49">
        <v>0</v>
      </c>
      <c r="AD339" s="49">
        <v>0</v>
      </c>
      <c r="AE339" s="49">
        <v>1</v>
      </c>
      <c r="AF339" s="49">
        <v>0</v>
      </c>
      <c r="AG339" s="161">
        <v>0</v>
      </c>
      <c r="AH339" s="162">
        <v>2</v>
      </c>
      <c r="AI339" s="162">
        <v>0</v>
      </c>
      <c r="AJ339" s="162">
        <v>0</v>
      </c>
      <c r="AK339" s="162">
        <v>0</v>
      </c>
      <c r="AL339" s="163">
        <v>0</v>
      </c>
      <c r="AM339" s="19">
        <v>0</v>
      </c>
      <c r="AN339" s="20" t="str">
        <f>IFERROR(INDEX([2]lijnopstellingsfiche!$AP$1:$AP$65536,MATCH(A339,[2]lijnopstellingsfiche!$AQ$1:$AQ$65536,0)),"")</f>
        <v>-</v>
      </c>
      <c r="AO339" s="20">
        <v>0</v>
      </c>
      <c r="AP339" s="20">
        <v>0</v>
      </c>
      <c r="AQ339" s="20">
        <v>2</v>
      </c>
      <c r="AR339" s="20">
        <v>0</v>
      </c>
      <c r="AS339" s="20">
        <v>0</v>
      </c>
      <c r="AT339" s="20">
        <v>0</v>
      </c>
      <c r="AU339" s="20">
        <v>0</v>
      </c>
      <c r="AV339" s="23">
        <v>0</v>
      </c>
      <c r="AW339" s="108">
        <v>0</v>
      </c>
      <c r="AX339" s="108">
        <v>0</v>
      </c>
      <c r="AY339" s="108">
        <v>1</v>
      </c>
      <c r="AZ339" s="108">
        <v>0</v>
      </c>
      <c r="BA339" s="114">
        <v>1</v>
      </c>
      <c r="BB339" s="20">
        <v>0</v>
      </c>
      <c r="BC339" s="113">
        <v>0</v>
      </c>
      <c r="BD339" s="200" t="str">
        <f>VLOOKUP($A339,'[3]allergenen 6nr'!$A$1:$O$1310,3,FALSE)</f>
        <v>-</v>
      </c>
      <c r="BE339" s="201" t="str">
        <f>VLOOKUP($A339,'[3]allergenen 6nr'!$A$1:$O$1310,4,FALSE)</f>
        <v>X</v>
      </c>
      <c r="BF339" s="201" t="str">
        <f>VLOOKUP($A339,'[3]allergenen 6nr'!$A$1:$O$1310,5,FALSE)</f>
        <v>+</v>
      </c>
      <c r="BG339" s="201" t="str">
        <f>VLOOKUP($A339,'[3]allergenen 6nr'!$A$1:$O$1310,6,FALSE)</f>
        <v>-</v>
      </c>
      <c r="BH339" s="201" t="str">
        <f>VLOOKUP($A339,'[3]allergenen 6nr'!$A$1:$O$1310,7,FALSE)</f>
        <v>X</v>
      </c>
      <c r="BI339" s="201" t="str">
        <f>VLOOKUP($A339,'[3]allergenen 6nr'!$A$1:$O$1310,8,FALSE)</f>
        <v>X</v>
      </c>
      <c r="BJ339" s="201" t="str">
        <f>VLOOKUP($A339,'[3]allergenen 6nr'!$A$1:$O$1310,9,FALSE)</f>
        <v>-</v>
      </c>
      <c r="BK339" s="201" t="str">
        <f>VLOOKUP($A339,'[3]allergenen 6nr'!$A$1:$O$1310,10,FALSE)</f>
        <v>-</v>
      </c>
      <c r="BL339" s="201" t="str">
        <f>VLOOKUP($A339,'[3]allergenen 6nr'!$A$1:$O$1310,11,FALSE)</f>
        <v>-</v>
      </c>
      <c r="BM339" s="201" t="str">
        <f>VLOOKUP($A339,'[3]allergenen 6nr'!$A$1:$O$1310,12,FALSE)</f>
        <v>-</v>
      </c>
      <c r="BN339" s="201" t="str">
        <f>VLOOKUP($A339,'[3]allergenen 6nr'!$A$1:$O$1310,13,FALSE)</f>
        <v>X</v>
      </c>
      <c r="BO339" s="201" t="str">
        <f>VLOOKUP($A339,'[3]allergenen 6nr'!$A$1:$O$1310,14,FALSE)</f>
        <v>-</v>
      </c>
      <c r="BP339" s="202" t="str">
        <f>VLOOKUP($A339,'[3]allergenen 6nr'!$A$1:$O$1310,15,FALSE)</f>
        <v>-</v>
      </c>
    </row>
    <row r="340" spans="1:68" x14ac:dyDescent="0.2">
      <c r="A340" s="54">
        <v>63930200</v>
      </c>
      <c r="B340" s="53" t="str">
        <f>VLOOKUP($A340,[1]maaltijden!$A$1:$IV$65536,4,FALSE)</f>
        <v>VAT EW GEHAKTBAL BLADSPIN. A LA CREME AARD</v>
      </c>
      <c r="C340" s="46" t="str">
        <f>VLOOKUP($A340,[1]maaltijden!$A$1:$IV$65536,7,FALSE)</f>
        <v>C2227-3R</v>
      </c>
      <c r="D340" s="22" t="str">
        <f>VLOOKUP($A340,[1]maaltijden!$A$1:$IV$65536,10,FALSE)</f>
        <v>NVT</v>
      </c>
      <c r="E340" s="22" t="str">
        <f>VLOOKUP($A340,[1]maaltijden!$A$1:$IV$65536,13,FALSE)</f>
        <v xml:space="preserve">VAT X 6 </v>
      </c>
      <c r="F340" s="20">
        <f t="shared" si="5"/>
        <v>0</v>
      </c>
      <c r="G340" s="20" t="str">
        <f>VLOOKUP($A340,[1]maaltijden!$A$1:$IV$65536,27,FALSE)</f>
        <v>! !</v>
      </c>
      <c r="H340" s="22">
        <f>VLOOKUP($A340,[1]maaltijden!$A$1:$IV$65536,21,FALSE)</f>
        <v>4</v>
      </c>
      <c r="I340" s="22">
        <f>VLOOKUP($A340,[1]maaltijden!$A$1:$IV$65536,21,FALSE)</f>
        <v>4</v>
      </c>
      <c r="J340" s="22">
        <f>VLOOKUP($A340,[1]maaltijden!$A$1:$IV$65536,18,FALSE)</f>
        <v>3</v>
      </c>
      <c r="K340" s="22">
        <f>VLOOKUP($A340,[1]maaltijden!$A$1:$IV$65536,17,FALSE)</f>
        <v>2.5</v>
      </c>
      <c r="L340" s="22">
        <f>VLOOKUP($A340,[1]maaltijden!$A$1:$IV$65536,20,FALSE)</f>
        <v>2200</v>
      </c>
      <c r="M340" s="22">
        <f>VLOOKUP($A340,[1]maaltijden!$A$1:$IV$65536,22,FALSE)</f>
        <v>2200</v>
      </c>
      <c r="N340" s="135"/>
      <c r="O340" s="50"/>
      <c r="P340" s="19">
        <v>0</v>
      </c>
      <c r="Q340" s="20">
        <v>1</v>
      </c>
      <c r="R340" s="21">
        <v>0</v>
      </c>
      <c r="S340" s="19">
        <v>0</v>
      </c>
      <c r="T340" s="20">
        <v>1</v>
      </c>
      <c r="U340" s="19"/>
      <c r="V340" s="20"/>
      <c r="W340" s="20"/>
      <c r="X340" s="20"/>
      <c r="Y340" s="20"/>
      <c r="Z340" s="20"/>
      <c r="AA340" s="20"/>
      <c r="AB340" s="49"/>
      <c r="AC340" s="49"/>
      <c r="AD340" s="49"/>
      <c r="AE340" s="49"/>
      <c r="AF340" s="49"/>
      <c r="AG340" s="161">
        <v>0</v>
      </c>
      <c r="AH340" s="168">
        <v>1</v>
      </c>
      <c r="AI340" s="168">
        <v>1</v>
      </c>
      <c r="AJ340" s="20"/>
      <c r="AK340" s="20"/>
      <c r="AL340" s="21"/>
      <c r="AM340" s="19">
        <v>0</v>
      </c>
      <c r="AN340" s="20" t="str">
        <f>IFERROR(INDEX([2]lijnopstellingsfiche!$AP$1:$AP$65536,MATCH(A340,[2]lijnopstellingsfiche!$AQ$1:$AQ$65536,0)),"")</f>
        <v>-</v>
      </c>
      <c r="AO340" s="20">
        <v>0</v>
      </c>
      <c r="AP340" s="20">
        <v>0</v>
      </c>
      <c r="AQ340" s="20">
        <v>2</v>
      </c>
      <c r="AR340" s="20">
        <v>0</v>
      </c>
      <c r="AS340" s="20">
        <v>0</v>
      </c>
      <c r="AT340" s="20">
        <v>0</v>
      </c>
      <c r="AU340" s="20">
        <v>0</v>
      </c>
      <c r="AV340" s="23">
        <v>0</v>
      </c>
      <c r="AW340" s="108">
        <v>0</v>
      </c>
      <c r="AX340" s="108">
        <v>0</v>
      </c>
      <c r="AY340" s="108">
        <v>1</v>
      </c>
      <c r="AZ340" s="108">
        <v>0</v>
      </c>
      <c r="BA340" s="114">
        <v>1</v>
      </c>
      <c r="BB340" s="20">
        <v>0</v>
      </c>
      <c r="BC340" s="113">
        <v>0</v>
      </c>
      <c r="BD340" s="200" t="str">
        <f>VLOOKUP($A340,'[3]allergenen 6nr'!$A$1:$O$1310,3,FALSE)</f>
        <v>-</v>
      </c>
      <c r="BE340" s="201" t="str">
        <f>VLOOKUP($A340,'[3]allergenen 6nr'!$A$1:$O$1310,4,FALSE)</f>
        <v>X</v>
      </c>
      <c r="BF340" s="201" t="str">
        <f>VLOOKUP($A340,'[3]allergenen 6nr'!$A$1:$O$1310,5,FALSE)</f>
        <v>+</v>
      </c>
      <c r="BG340" s="201" t="str">
        <f>VLOOKUP($A340,'[3]allergenen 6nr'!$A$1:$O$1310,6,FALSE)</f>
        <v>X</v>
      </c>
      <c r="BH340" s="201" t="str">
        <f>VLOOKUP($A340,'[3]allergenen 6nr'!$A$1:$O$1310,7,FALSE)</f>
        <v>+</v>
      </c>
      <c r="BI340" s="201" t="str">
        <f>VLOOKUP($A340,'[3]allergenen 6nr'!$A$1:$O$1310,8,FALSE)</f>
        <v>X</v>
      </c>
      <c r="BJ340" s="201" t="str">
        <f>VLOOKUP($A340,'[3]allergenen 6nr'!$A$1:$O$1310,9,FALSE)</f>
        <v>-</v>
      </c>
      <c r="BK340" s="201" t="str">
        <f>VLOOKUP($A340,'[3]allergenen 6nr'!$A$1:$O$1310,10,FALSE)</f>
        <v>X</v>
      </c>
      <c r="BL340" s="201" t="str">
        <f>VLOOKUP($A340,'[3]allergenen 6nr'!$A$1:$O$1310,11,FALSE)</f>
        <v>X</v>
      </c>
      <c r="BM340" s="201" t="str">
        <f>VLOOKUP($A340,'[3]allergenen 6nr'!$A$1:$O$1310,12,FALSE)</f>
        <v>-</v>
      </c>
      <c r="BN340" s="201" t="str">
        <f>VLOOKUP($A340,'[3]allergenen 6nr'!$A$1:$O$1310,13,FALSE)</f>
        <v>X</v>
      </c>
      <c r="BO340" s="201" t="str">
        <f>VLOOKUP($A340,'[3]allergenen 6nr'!$A$1:$O$1310,14,FALSE)</f>
        <v>X</v>
      </c>
      <c r="BP340" s="202" t="str">
        <f>VLOOKUP($A340,'[3]allergenen 6nr'!$A$1:$O$1310,15,FALSE)</f>
        <v>X</v>
      </c>
    </row>
    <row r="341" spans="1:68" x14ac:dyDescent="0.2">
      <c r="A341" s="54">
        <v>63930500</v>
      </c>
      <c r="B341" s="53" t="str">
        <f>VLOOKUP($A341,[1]maaltijden!$A$1:$IV$65536,4,FALSE)</f>
        <v>VAT EW VARKENSHAASJE CHAMPIGNONROOMSAUS GROENTEMIX GEBAKKEN AARD</v>
      </c>
      <c r="C341" s="46" t="str">
        <f>VLOOKUP($A341,[1]maaltijden!$A$1:$IV$65536,7,FALSE)</f>
        <v>C2227-3R</v>
      </c>
      <c r="D341" s="22" t="str">
        <f>VLOOKUP($A341,[1]maaltijden!$A$1:$IV$65536,10,FALSE)</f>
        <v>NVT</v>
      </c>
      <c r="E341" s="22" t="str">
        <f>VLOOKUP($A341,[1]maaltijden!$A$1:$IV$65536,13,FALSE)</f>
        <v xml:space="preserve">VAT X 6 </v>
      </c>
      <c r="F341" s="20">
        <f t="shared" si="5"/>
        <v>0</v>
      </c>
      <c r="G341" s="20" t="str">
        <f>VLOOKUP($A341,[1]maaltijden!$A$1:$IV$65536,27,FALSE)</f>
        <v>! ! !</v>
      </c>
      <c r="H341" s="22">
        <f>VLOOKUP($A341,[1]maaltijden!$A$1:$IV$65536,21,FALSE)</f>
        <v>8</v>
      </c>
      <c r="I341" s="22">
        <f>VLOOKUP($A341,[1]maaltijden!$A$1:$IV$65536,21,FALSE)</f>
        <v>8</v>
      </c>
      <c r="J341" s="22">
        <f>VLOOKUP($A341,[1]maaltijden!$A$1:$IV$65536,18,FALSE)</f>
        <v>3</v>
      </c>
      <c r="K341" s="22">
        <f>VLOOKUP($A341,[1]maaltijden!$A$1:$IV$65536,17,FALSE)</f>
        <v>2</v>
      </c>
      <c r="L341" s="22">
        <f>VLOOKUP($A341,[1]maaltijden!$A$1:$IV$65536,20,FALSE)</f>
        <v>2200</v>
      </c>
      <c r="M341" s="22">
        <f>VLOOKUP($A341,[1]maaltijden!$A$1:$IV$65536,22,FALSE)</f>
        <v>2200</v>
      </c>
      <c r="N341" s="135"/>
      <c r="O341" s="50"/>
      <c r="P341" s="19">
        <v>0</v>
      </c>
      <c r="Q341" s="20">
        <v>1</v>
      </c>
      <c r="R341" s="21">
        <v>0</v>
      </c>
      <c r="S341" s="19">
        <v>0</v>
      </c>
      <c r="T341" s="20">
        <v>1</v>
      </c>
      <c r="U341" s="19"/>
      <c r="V341" s="20"/>
      <c r="W341" s="20"/>
      <c r="X341" s="20"/>
      <c r="Y341" s="20"/>
      <c r="Z341" s="20"/>
      <c r="AA341" s="20"/>
      <c r="AB341" s="49"/>
      <c r="AC341" s="49"/>
      <c r="AD341" s="49"/>
      <c r="AE341" s="49"/>
      <c r="AF341" s="49"/>
      <c r="AG341" s="161">
        <v>0</v>
      </c>
      <c r="AH341" s="168">
        <v>1</v>
      </c>
      <c r="AI341" s="20"/>
      <c r="AJ341" s="168">
        <v>1</v>
      </c>
      <c r="AK341" s="20"/>
      <c r="AL341" s="21"/>
      <c r="AM341" s="19">
        <v>0</v>
      </c>
      <c r="AN341" s="20">
        <f>IFERROR(INDEX([2]lijnopstellingsfiche!$AP$1:$AP$65536,MATCH(A341,[2]lijnopstellingsfiche!$AQ$1:$AQ$65536,0)),"")</f>
        <v>6</v>
      </c>
      <c r="AO341" s="20">
        <v>0</v>
      </c>
      <c r="AP341" s="20">
        <v>0</v>
      </c>
      <c r="AQ341" s="20">
        <v>1</v>
      </c>
      <c r="AR341" s="20">
        <v>0</v>
      </c>
      <c r="AS341" s="20">
        <v>0</v>
      </c>
      <c r="AT341" s="20">
        <v>0</v>
      </c>
      <c r="AU341" s="20">
        <v>0</v>
      </c>
      <c r="AV341" s="23">
        <v>0</v>
      </c>
      <c r="AW341" s="108">
        <v>0</v>
      </c>
      <c r="AX341" s="108">
        <v>0</v>
      </c>
      <c r="AY341" s="108">
        <v>1</v>
      </c>
      <c r="AZ341" s="108">
        <v>0</v>
      </c>
      <c r="BA341" s="114">
        <v>1</v>
      </c>
      <c r="BB341" s="20">
        <v>0</v>
      </c>
      <c r="BC341" s="113">
        <v>0</v>
      </c>
      <c r="BD341" s="200" t="str">
        <f>VLOOKUP($A341,'[3]allergenen 6nr'!$A$1:$O$1310,3,FALSE)</f>
        <v>-</v>
      </c>
      <c r="BE341" s="201" t="str">
        <f>VLOOKUP($A341,'[3]allergenen 6nr'!$A$1:$O$1310,4,FALSE)</f>
        <v>-</v>
      </c>
      <c r="BF341" s="201" t="str">
        <f>VLOOKUP($A341,'[3]allergenen 6nr'!$A$1:$O$1310,5,FALSE)</f>
        <v>+</v>
      </c>
      <c r="BG341" s="201" t="str">
        <f>VLOOKUP($A341,'[3]allergenen 6nr'!$A$1:$O$1310,6,FALSE)</f>
        <v>X</v>
      </c>
      <c r="BH341" s="201" t="str">
        <f>VLOOKUP($A341,'[3]allergenen 6nr'!$A$1:$O$1310,7,FALSE)</f>
        <v>+</v>
      </c>
      <c r="BI341" s="201" t="str">
        <f>VLOOKUP($A341,'[3]allergenen 6nr'!$A$1:$O$1310,8,FALSE)</f>
        <v>X</v>
      </c>
      <c r="BJ341" s="201" t="str">
        <f>VLOOKUP($A341,'[3]allergenen 6nr'!$A$1:$O$1310,9,FALSE)</f>
        <v>-</v>
      </c>
      <c r="BK341" s="201" t="str">
        <f>VLOOKUP($A341,'[3]allergenen 6nr'!$A$1:$O$1310,10,FALSE)</f>
        <v>-</v>
      </c>
      <c r="BL341" s="201" t="str">
        <f>VLOOKUP($A341,'[3]allergenen 6nr'!$A$1:$O$1310,11,FALSE)</f>
        <v>-</v>
      </c>
      <c r="BM341" s="201" t="str">
        <f>VLOOKUP($A341,'[3]allergenen 6nr'!$A$1:$O$1310,12,FALSE)</f>
        <v>-</v>
      </c>
      <c r="BN341" s="201" t="str">
        <f>VLOOKUP($A341,'[3]allergenen 6nr'!$A$1:$O$1310,13,FALSE)</f>
        <v>X</v>
      </c>
      <c r="BO341" s="201" t="str">
        <f>VLOOKUP($A341,'[3]allergenen 6nr'!$A$1:$O$1310,14,FALSE)</f>
        <v>-</v>
      </c>
      <c r="BP341" s="202" t="str">
        <f>VLOOKUP($A341,'[3]allergenen 6nr'!$A$1:$O$1310,15,FALSE)</f>
        <v>-</v>
      </c>
    </row>
    <row r="342" spans="1:68" x14ac:dyDescent="0.2">
      <c r="A342" s="54">
        <v>63930700</v>
      </c>
      <c r="B342" s="53" t="str">
        <f>VLOOKUP($A342,[1]maaltijden!$A$1:$IV$65536,4,FALSE)</f>
        <v>VAT EW HEEK HOLLANDAISE BROCCOLI PUREE</v>
      </c>
      <c r="C342" s="46" t="str">
        <f>VLOOKUP($A342,[1]maaltijden!$A$1:$IV$65536,7,FALSE)</f>
        <v>C2227-2K</v>
      </c>
      <c r="D342" s="22" t="str">
        <f>VLOOKUP($A342,[1]maaltijden!$A$1:$IV$65536,10,FALSE)</f>
        <v>NVT</v>
      </c>
      <c r="E342" s="22" t="str">
        <f>VLOOKUP($A342,[1]maaltijden!$A$1:$IV$65536,13,FALSE)</f>
        <v xml:space="preserve">VAT X 6 </v>
      </c>
      <c r="F342" s="20">
        <f t="shared" si="5"/>
        <v>0</v>
      </c>
      <c r="G342" s="20" t="str">
        <f>VLOOKUP($A342,[1]maaltijden!$A$1:$IV$65536,27,FALSE)</f>
        <v>! ! ! !</v>
      </c>
      <c r="H342" s="22">
        <f>VLOOKUP($A342,[1]maaltijden!$A$1:$IV$65536,21,FALSE)</f>
        <v>4</v>
      </c>
      <c r="I342" s="22">
        <f>VLOOKUP($A342,[1]maaltijden!$A$1:$IV$65536,21,FALSE)</f>
        <v>4</v>
      </c>
      <c r="J342" s="22">
        <f>VLOOKUP($A342,[1]maaltijden!$A$1:$IV$65536,18,FALSE)</f>
        <v>3</v>
      </c>
      <c r="K342" s="22">
        <f>VLOOKUP($A342,[1]maaltijden!$A$1:$IV$65536,17,FALSE)</f>
        <v>2.5</v>
      </c>
      <c r="L342" s="22">
        <f>VLOOKUP($A342,[1]maaltijden!$A$1:$IV$65536,20,FALSE)</f>
        <v>1750</v>
      </c>
      <c r="M342" s="22">
        <f>VLOOKUP($A342,[1]maaltijden!$A$1:$IV$65536,22,FALSE)</f>
        <v>1750</v>
      </c>
      <c r="N342" s="135"/>
      <c r="O342" s="50"/>
      <c r="P342" s="19">
        <v>0</v>
      </c>
      <c r="Q342" s="20">
        <v>1</v>
      </c>
      <c r="R342" s="21">
        <v>0</v>
      </c>
      <c r="S342" s="19">
        <v>0</v>
      </c>
      <c r="T342" s="20">
        <v>1</v>
      </c>
      <c r="U342" s="19"/>
      <c r="V342" s="20"/>
      <c r="W342" s="20"/>
      <c r="X342" s="20"/>
      <c r="Y342" s="20"/>
      <c r="Z342" s="20"/>
      <c r="AA342" s="20"/>
      <c r="AB342" s="49"/>
      <c r="AC342" s="49"/>
      <c r="AD342" s="49"/>
      <c r="AE342" s="49"/>
      <c r="AF342" s="49"/>
      <c r="AG342" s="161">
        <v>0</v>
      </c>
      <c r="AH342" s="168">
        <v>2</v>
      </c>
      <c r="AI342" s="168">
        <v>1</v>
      </c>
      <c r="AJ342" s="20"/>
      <c r="AK342" s="20"/>
      <c r="AL342" s="21"/>
      <c r="AM342" s="19">
        <v>0</v>
      </c>
      <c r="AN342" s="20" t="str">
        <f>IFERROR(INDEX([2]lijnopstellingsfiche!$AP$1:$AP$65536,MATCH(A342,[2]lijnopstellingsfiche!$AQ$1:$AQ$65536,0)),"")</f>
        <v>-</v>
      </c>
      <c r="AO342" s="20">
        <v>0</v>
      </c>
      <c r="AP342" s="20">
        <v>0</v>
      </c>
      <c r="AQ342" s="20">
        <v>1</v>
      </c>
      <c r="AR342" s="20">
        <v>1</v>
      </c>
      <c r="AS342" s="20">
        <v>0</v>
      </c>
      <c r="AT342" s="20">
        <v>0</v>
      </c>
      <c r="AU342" s="20">
        <v>0</v>
      </c>
      <c r="AV342" s="23">
        <v>0</v>
      </c>
      <c r="AW342" s="108">
        <v>0</v>
      </c>
      <c r="AX342" s="108">
        <v>0</v>
      </c>
      <c r="AY342" s="108">
        <v>1</v>
      </c>
      <c r="AZ342" s="108">
        <v>0</v>
      </c>
      <c r="BA342" s="114">
        <v>1</v>
      </c>
      <c r="BB342" s="20">
        <v>0</v>
      </c>
      <c r="BC342" s="113">
        <v>0</v>
      </c>
      <c r="BD342" s="200" t="str">
        <f>VLOOKUP($A342,'[3]allergenen 6nr'!$A$1:$O$1310,3,FALSE)</f>
        <v>-</v>
      </c>
      <c r="BE342" s="201" t="str">
        <f>VLOOKUP($A342,'[3]allergenen 6nr'!$A$1:$O$1310,4,FALSE)</f>
        <v>+</v>
      </c>
      <c r="BF342" s="201" t="str">
        <f>VLOOKUP($A342,'[3]allergenen 6nr'!$A$1:$O$1310,5,FALSE)</f>
        <v>-</v>
      </c>
      <c r="BG342" s="201" t="str">
        <f>VLOOKUP($A342,'[3]allergenen 6nr'!$A$1:$O$1310,6,FALSE)</f>
        <v>-</v>
      </c>
      <c r="BH342" s="201" t="str">
        <f>VLOOKUP($A342,'[3]allergenen 6nr'!$A$1:$O$1310,7,FALSE)</f>
        <v>+</v>
      </c>
      <c r="BI342" s="201" t="str">
        <f>VLOOKUP($A342,'[3]allergenen 6nr'!$A$1:$O$1310,8,FALSE)</f>
        <v>-</v>
      </c>
      <c r="BJ342" s="201" t="str">
        <f>VLOOKUP($A342,'[3]allergenen 6nr'!$A$1:$O$1310,9,FALSE)</f>
        <v>-</v>
      </c>
      <c r="BK342" s="201" t="str">
        <f>VLOOKUP($A342,'[3]allergenen 6nr'!$A$1:$O$1310,10,FALSE)</f>
        <v>-</v>
      </c>
      <c r="BL342" s="201" t="str">
        <f>VLOOKUP($A342,'[3]allergenen 6nr'!$A$1:$O$1310,11,FALSE)</f>
        <v>+</v>
      </c>
      <c r="BM342" s="201" t="str">
        <f>VLOOKUP($A342,'[3]allergenen 6nr'!$A$1:$O$1310,12,FALSE)</f>
        <v>-</v>
      </c>
      <c r="BN342" s="201" t="str">
        <f>VLOOKUP($A342,'[3]allergenen 6nr'!$A$1:$O$1310,13,FALSE)</f>
        <v>-</v>
      </c>
      <c r="BO342" s="201" t="str">
        <f>VLOOKUP($A342,'[3]allergenen 6nr'!$A$1:$O$1310,14,FALSE)</f>
        <v>+</v>
      </c>
      <c r="BP342" s="202" t="str">
        <f>VLOOKUP($A342,'[3]allergenen 6nr'!$A$1:$O$1310,15,FALSE)</f>
        <v>-</v>
      </c>
    </row>
    <row r="343" spans="1:68" x14ac:dyDescent="0.2">
      <c r="A343" s="54">
        <v>63930800</v>
      </c>
      <c r="B343" s="53" t="str">
        <f>VLOOKUP($A343,[1]maaltijden!$A$1:$IV$65536,4,FALSE)</f>
        <v>VAT EW LASAGNE BOLOGNESE 375G</v>
      </c>
      <c r="C343" s="46" t="str">
        <f>VLOOKUP($A343,[1]maaltijden!$A$1:$IV$65536,7,FALSE)</f>
        <v>UK-59</v>
      </c>
      <c r="D343" s="22" t="str">
        <f>VLOOKUP($A343,[1]maaltijden!$A$1:$IV$65536,10,FALSE)</f>
        <v>NVT</v>
      </c>
      <c r="E343" s="22" t="str">
        <f>VLOOKUP($A343,[1]maaltijden!$A$1:$IV$65536,13,FALSE)</f>
        <v>H11X10</v>
      </c>
      <c r="F343" s="20">
        <f t="shared" si="5"/>
        <v>0</v>
      </c>
      <c r="G343" s="20" t="str">
        <f>VLOOKUP($A343,[1]maaltijden!$A$1:$IV$65536,27,FALSE)</f>
        <v>! ! !</v>
      </c>
      <c r="H343" s="22">
        <f>VLOOKUP($A343,[1]maaltijden!$A$1:$IV$65536,21,FALSE)</f>
        <v>6</v>
      </c>
      <c r="I343" s="22">
        <f>VLOOKUP($A343,[1]maaltijden!$A$1:$IV$65536,21,FALSE)</f>
        <v>6</v>
      </c>
      <c r="J343" s="22">
        <f>VLOOKUP($A343,[1]maaltijden!$A$1:$IV$65536,18,FALSE)</f>
        <v>3</v>
      </c>
      <c r="K343" s="22">
        <f>VLOOKUP($A343,[1]maaltijden!$A$1:$IV$65536,17,FALSE)</f>
        <v>2</v>
      </c>
      <c r="L343" s="22">
        <f>VLOOKUP($A343,[1]maaltijden!$A$1:$IV$65536,20,FALSE)</f>
        <v>2500</v>
      </c>
      <c r="M343" s="22">
        <f>VLOOKUP($A343,[1]maaltijden!$A$1:$IV$65536,22,FALSE)</f>
        <v>2500</v>
      </c>
      <c r="N343" s="135"/>
      <c r="O343" s="50"/>
      <c r="P343" s="19">
        <v>0</v>
      </c>
      <c r="Q343" s="20">
        <v>1</v>
      </c>
      <c r="R343" s="21">
        <v>0</v>
      </c>
      <c r="S343" s="19">
        <v>0</v>
      </c>
      <c r="T343" s="20">
        <v>1</v>
      </c>
      <c r="U343" s="19"/>
      <c r="V343" s="20"/>
      <c r="W343" s="20"/>
      <c r="X343" s="20"/>
      <c r="Y343" s="20"/>
      <c r="Z343" s="20"/>
      <c r="AA343" s="20"/>
      <c r="AB343" s="49"/>
      <c r="AC343" s="49"/>
      <c r="AD343" s="49"/>
      <c r="AE343" s="49"/>
      <c r="AF343" s="49"/>
      <c r="AG343" s="161">
        <v>0</v>
      </c>
      <c r="AH343" s="168">
        <v>2</v>
      </c>
      <c r="AI343" s="20"/>
      <c r="AJ343" s="20"/>
      <c r="AK343" s="20"/>
      <c r="AL343" s="21"/>
      <c r="AM343" s="19">
        <v>0</v>
      </c>
      <c r="AN343" s="20" t="str">
        <f>IFERROR(INDEX([2]lijnopstellingsfiche!$AP$1:$AP$65536,MATCH(A343,[2]lijnopstellingsfiche!$AQ$1:$AQ$65536,0)),"")</f>
        <v>-</v>
      </c>
      <c r="AO343" s="20">
        <v>0</v>
      </c>
      <c r="AP343" s="20">
        <v>1</v>
      </c>
      <c r="AQ343" s="20">
        <v>3</v>
      </c>
      <c r="AR343" s="20">
        <v>1</v>
      </c>
      <c r="AS343" s="20">
        <v>0</v>
      </c>
      <c r="AT343" s="20">
        <v>0</v>
      </c>
      <c r="AU343" s="20">
        <v>0</v>
      </c>
      <c r="AV343" s="23">
        <v>0</v>
      </c>
      <c r="AW343" s="108">
        <v>0</v>
      </c>
      <c r="AX343" s="108">
        <v>0</v>
      </c>
      <c r="AY343" s="108">
        <v>1</v>
      </c>
      <c r="AZ343" s="108">
        <v>0</v>
      </c>
      <c r="BA343" s="114">
        <v>1</v>
      </c>
      <c r="BB343" s="20">
        <v>0</v>
      </c>
      <c r="BC343" s="113">
        <v>0</v>
      </c>
      <c r="BD343" s="200" t="str">
        <f>VLOOKUP($A343,'[3]allergenen 6nr'!$A$1:$O$1310,3,FALSE)</f>
        <v>-</v>
      </c>
      <c r="BE343" s="201" t="str">
        <f>VLOOKUP($A343,'[3]allergenen 6nr'!$A$1:$O$1310,4,FALSE)</f>
        <v>+</v>
      </c>
      <c r="BF343" s="201" t="str">
        <f>VLOOKUP($A343,'[3]allergenen 6nr'!$A$1:$O$1310,5,FALSE)</f>
        <v>+</v>
      </c>
      <c r="BG343" s="201" t="str">
        <f>VLOOKUP($A343,'[3]allergenen 6nr'!$A$1:$O$1310,6,FALSE)</f>
        <v>X</v>
      </c>
      <c r="BH343" s="201" t="str">
        <f>VLOOKUP($A343,'[3]allergenen 6nr'!$A$1:$O$1310,7,FALSE)</f>
        <v>+</v>
      </c>
      <c r="BI343" s="201" t="str">
        <f>VLOOKUP($A343,'[3]allergenen 6nr'!$A$1:$O$1310,8,FALSE)</f>
        <v>X</v>
      </c>
      <c r="BJ343" s="201" t="str">
        <f>VLOOKUP($A343,'[3]allergenen 6nr'!$A$1:$O$1310,9,FALSE)</f>
        <v>-</v>
      </c>
      <c r="BK343" s="201" t="str">
        <f>VLOOKUP($A343,'[3]allergenen 6nr'!$A$1:$O$1310,10,FALSE)</f>
        <v>-</v>
      </c>
      <c r="BL343" s="201" t="str">
        <f>VLOOKUP($A343,'[3]allergenen 6nr'!$A$1:$O$1310,11,FALSE)</f>
        <v>+</v>
      </c>
      <c r="BM343" s="201" t="str">
        <f>VLOOKUP($A343,'[3]allergenen 6nr'!$A$1:$O$1310,12,FALSE)</f>
        <v>-</v>
      </c>
      <c r="BN343" s="201" t="str">
        <f>VLOOKUP($A343,'[3]allergenen 6nr'!$A$1:$O$1310,13,FALSE)</f>
        <v>X</v>
      </c>
      <c r="BO343" s="201" t="str">
        <f>VLOOKUP($A343,'[3]allergenen 6nr'!$A$1:$O$1310,14,FALSE)</f>
        <v>-</v>
      </c>
      <c r="BP343" s="202" t="str">
        <f>VLOOKUP($A343,'[3]allergenen 6nr'!$A$1:$O$1310,15,FALSE)</f>
        <v>X</v>
      </c>
    </row>
    <row r="344" spans="1:68" x14ac:dyDescent="0.2">
      <c r="A344" s="54">
        <v>63930900</v>
      </c>
      <c r="B344" s="53" t="str">
        <f>VLOOKUP($A344,[1]maaltijden!$A$1:$IV$65536,4,FALSE)</f>
        <v xml:space="preserve">VAT EW KIP ZOETZUUR NASI GORENG </v>
      </c>
      <c r="C344" s="46" t="str">
        <f>VLOOKUP($A344,[1]maaltijden!$A$1:$IV$65536,7,FALSE)</f>
        <v>C2227-2K</v>
      </c>
      <c r="D344" s="22" t="str">
        <f>VLOOKUP($A344,[1]maaltijden!$A$1:$IV$65536,10,FALSE)</f>
        <v>NVT</v>
      </c>
      <c r="E344" s="22" t="str">
        <f>VLOOKUP($A344,[1]maaltijden!$A$1:$IV$65536,13,FALSE)</f>
        <v xml:space="preserve">VAT X 6 </v>
      </c>
      <c r="F344" s="20">
        <f t="shared" si="5"/>
        <v>0</v>
      </c>
      <c r="G344" s="20" t="str">
        <f>VLOOKUP($A344,[1]maaltijden!$A$1:$IV$65536,27,FALSE)</f>
        <v>! ! ! ! !</v>
      </c>
      <c r="H344" s="22">
        <f>VLOOKUP($A344,[1]maaltijden!$A$1:$IV$65536,21,FALSE)</f>
        <v>4</v>
      </c>
      <c r="I344" s="22">
        <f>VLOOKUP($A344,[1]maaltijden!$A$1:$IV$65536,21,FALSE)</f>
        <v>4</v>
      </c>
      <c r="J344" s="22">
        <f>VLOOKUP($A344,[1]maaltijden!$A$1:$IV$65536,18,FALSE)</f>
        <v>3</v>
      </c>
      <c r="K344" s="22">
        <f>VLOOKUP($A344,[1]maaltijden!$A$1:$IV$65536,17,FALSE)</f>
        <v>3</v>
      </c>
      <c r="L344" s="22">
        <f>VLOOKUP($A344,[1]maaltijden!$A$1:$IV$65536,20,FALSE)</f>
        <v>2200</v>
      </c>
      <c r="M344" s="22">
        <f>VLOOKUP($A344,[1]maaltijden!$A$1:$IV$65536,22,FALSE)</f>
        <v>2200</v>
      </c>
      <c r="N344" s="135"/>
      <c r="O344" s="50"/>
      <c r="P344" s="19">
        <v>0</v>
      </c>
      <c r="Q344" s="20">
        <v>1</v>
      </c>
      <c r="R344" s="21">
        <v>0</v>
      </c>
      <c r="S344" s="19">
        <v>0</v>
      </c>
      <c r="T344" s="20">
        <v>1</v>
      </c>
      <c r="U344" s="19"/>
      <c r="V344" s="20"/>
      <c r="W344" s="20"/>
      <c r="X344" s="20"/>
      <c r="Y344" s="20"/>
      <c r="Z344" s="20"/>
      <c r="AA344" s="20"/>
      <c r="AB344" s="49"/>
      <c r="AC344" s="49"/>
      <c r="AD344" s="49"/>
      <c r="AE344" s="49"/>
      <c r="AF344" s="49"/>
      <c r="AG344" s="161">
        <v>1</v>
      </c>
      <c r="AH344" s="168">
        <v>1</v>
      </c>
      <c r="AI344" s="20"/>
      <c r="AJ344" s="168">
        <v>1</v>
      </c>
      <c r="AK344" s="20"/>
      <c r="AL344" s="21"/>
      <c r="AM344" s="19">
        <v>0</v>
      </c>
      <c r="AN344" s="20">
        <f>IFERROR(INDEX([2]lijnopstellingsfiche!$AP$1:$AP$65536,MATCH(A344,[2]lijnopstellingsfiche!$AQ$1:$AQ$65536,0)),"")</f>
        <v>1</v>
      </c>
      <c r="AO344" s="20">
        <v>1</v>
      </c>
      <c r="AP344" s="20">
        <v>0</v>
      </c>
      <c r="AQ344" s="20">
        <v>1</v>
      </c>
      <c r="AR344" s="20">
        <v>0</v>
      </c>
      <c r="AS344" s="20">
        <v>0</v>
      </c>
      <c r="AT344" s="20">
        <v>1</v>
      </c>
      <c r="AU344" s="20">
        <v>0</v>
      </c>
      <c r="AV344" s="23">
        <v>0</v>
      </c>
      <c r="AW344" s="108">
        <v>0</v>
      </c>
      <c r="AX344" s="108">
        <v>0</v>
      </c>
      <c r="AY344" s="108">
        <v>1</v>
      </c>
      <c r="AZ344" s="108">
        <v>0</v>
      </c>
      <c r="BA344" s="114">
        <v>1</v>
      </c>
      <c r="BB344" s="20">
        <v>0</v>
      </c>
      <c r="BC344" s="113">
        <v>0</v>
      </c>
      <c r="BD344" s="200" t="str">
        <f>VLOOKUP($A344,'[3]allergenen 6nr'!$A$1:$O$1310,3,FALSE)</f>
        <v>-</v>
      </c>
      <c r="BE344" s="201" t="str">
        <f>VLOOKUP($A344,'[3]allergenen 6nr'!$A$1:$O$1310,4,FALSE)</f>
        <v>+</v>
      </c>
      <c r="BF344" s="201" t="str">
        <f>VLOOKUP($A344,'[3]allergenen 6nr'!$A$1:$O$1310,5,FALSE)</f>
        <v>+</v>
      </c>
      <c r="BG344" s="201" t="str">
        <f>VLOOKUP($A344,'[3]allergenen 6nr'!$A$1:$O$1310,6,FALSE)</f>
        <v>-</v>
      </c>
      <c r="BH344" s="201" t="str">
        <f>VLOOKUP($A344,'[3]allergenen 6nr'!$A$1:$O$1310,7,FALSE)</f>
        <v>-</v>
      </c>
      <c r="BI344" s="201" t="str">
        <f>VLOOKUP($A344,'[3]allergenen 6nr'!$A$1:$O$1310,8,FALSE)</f>
        <v>-</v>
      </c>
      <c r="BJ344" s="201" t="str">
        <f>VLOOKUP($A344,'[3]allergenen 6nr'!$A$1:$O$1310,9,FALSE)</f>
        <v>-</v>
      </c>
      <c r="BK344" s="201" t="str">
        <f>VLOOKUP($A344,'[3]allergenen 6nr'!$A$1:$O$1310,10,FALSE)</f>
        <v>-</v>
      </c>
      <c r="BL344" s="201" t="str">
        <f>VLOOKUP($A344,'[3]allergenen 6nr'!$A$1:$O$1310,11,FALSE)</f>
        <v>+</v>
      </c>
      <c r="BM344" s="201" t="str">
        <f>VLOOKUP($A344,'[3]allergenen 6nr'!$A$1:$O$1310,12,FALSE)</f>
        <v>+</v>
      </c>
      <c r="BN344" s="201" t="str">
        <f>VLOOKUP($A344,'[3]allergenen 6nr'!$A$1:$O$1310,13,FALSE)</f>
        <v>+</v>
      </c>
      <c r="BO344" s="201" t="str">
        <f>VLOOKUP($A344,'[3]allergenen 6nr'!$A$1:$O$1310,14,FALSE)</f>
        <v>+</v>
      </c>
      <c r="BP344" s="202" t="str">
        <f>VLOOKUP($A344,'[3]allergenen 6nr'!$A$1:$O$1310,15,FALSE)</f>
        <v>-</v>
      </c>
    </row>
    <row r="345" spans="1:68" x14ac:dyDescent="0.2">
      <c r="A345" s="54">
        <v>63931500</v>
      </c>
      <c r="B345" s="53" t="str">
        <f>VLOOKUP($A345,[1]maaltijden!$A$1:$IV$65536,4,FALSE)</f>
        <v xml:space="preserve">VAT EW HUTSPOT MET STUKJES RUNDVLEES                </v>
      </c>
      <c r="C345" s="46" t="str">
        <f>VLOOKUP($A345,[1]maaltijden!$A$1:$IV$65536,7,FALSE)</f>
        <v>C2227-2K</v>
      </c>
      <c r="D345" s="22" t="str">
        <f>VLOOKUP($A345,[1]maaltijden!$A$1:$IV$65536,10,FALSE)</f>
        <v>NVT</v>
      </c>
      <c r="E345" s="22" t="str">
        <f>VLOOKUP($A345,[1]maaltijden!$A$1:$IV$65536,13,FALSE)</f>
        <v xml:space="preserve">VAT X 6 </v>
      </c>
      <c r="F345" s="20">
        <f t="shared" si="5"/>
        <v>0</v>
      </c>
      <c r="G345" s="20" t="str">
        <f>VLOOKUP($A345,[1]maaltijden!$A$1:$IV$65536,27,FALSE)</f>
        <v>! !</v>
      </c>
      <c r="H345" s="22">
        <f>VLOOKUP($A345,[1]maaltijden!$A$1:$IV$65536,21,FALSE)</f>
        <v>3</v>
      </c>
      <c r="I345" s="22">
        <f>VLOOKUP($A345,[1]maaltijden!$A$1:$IV$65536,21,FALSE)</f>
        <v>3</v>
      </c>
      <c r="J345" s="22">
        <f>VLOOKUP($A345,[1]maaltijden!$A$1:$IV$65536,18,FALSE)</f>
        <v>3</v>
      </c>
      <c r="K345" s="22">
        <f>VLOOKUP($A345,[1]maaltijden!$A$1:$IV$65536,17,FALSE)</f>
        <v>2.5</v>
      </c>
      <c r="L345" s="22">
        <f>VLOOKUP($A345,[1]maaltijden!$A$1:$IV$65536,20,FALSE)</f>
        <v>2200</v>
      </c>
      <c r="M345" s="22">
        <f>VLOOKUP($A345,[1]maaltijden!$A$1:$IV$65536,22,FALSE)</f>
        <v>2200</v>
      </c>
      <c r="N345" s="135"/>
      <c r="O345" s="50"/>
      <c r="P345" s="19">
        <v>0</v>
      </c>
      <c r="Q345" s="20">
        <v>1</v>
      </c>
      <c r="R345" s="21">
        <v>0</v>
      </c>
      <c r="S345" s="19">
        <v>0</v>
      </c>
      <c r="T345" s="20">
        <v>1</v>
      </c>
      <c r="U345" s="19"/>
      <c r="V345" s="20"/>
      <c r="W345" s="20"/>
      <c r="X345" s="20"/>
      <c r="Y345" s="20"/>
      <c r="Z345" s="20"/>
      <c r="AA345" s="20"/>
      <c r="AB345" s="49"/>
      <c r="AC345" s="49"/>
      <c r="AD345" s="49"/>
      <c r="AE345" s="49"/>
      <c r="AF345" s="49"/>
      <c r="AG345" s="161">
        <v>0</v>
      </c>
      <c r="AH345" s="20"/>
      <c r="AI345" s="168">
        <v>1</v>
      </c>
      <c r="AJ345" s="20"/>
      <c r="AK345" s="20"/>
      <c r="AL345" s="21"/>
      <c r="AM345" s="19">
        <v>0</v>
      </c>
      <c r="AN345" s="20">
        <f>IFERROR(INDEX([2]lijnopstellingsfiche!$AP$1:$AP$65536,MATCH(A345,[2]lijnopstellingsfiche!$AQ$1:$AQ$65536,0)),"")</f>
        <v>1</v>
      </c>
      <c r="AO345" s="20">
        <v>0</v>
      </c>
      <c r="AP345" s="20">
        <v>0</v>
      </c>
      <c r="AQ345" s="20">
        <v>1</v>
      </c>
      <c r="AR345" s="20">
        <v>1</v>
      </c>
      <c r="AS345" s="20">
        <v>0</v>
      </c>
      <c r="AT345" s="20">
        <v>1</v>
      </c>
      <c r="AU345" s="20">
        <v>0</v>
      </c>
      <c r="AV345" s="23">
        <v>0</v>
      </c>
      <c r="AW345" s="108">
        <v>0</v>
      </c>
      <c r="AX345" s="108">
        <v>0</v>
      </c>
      <c r="AY345" s="108">
        <v>1</v>
      </c>
      <c r="AZ345" s="108">
        <v>0</v>
      </c>
      <c r="BA345" s="114">
        <v>1</v>
      </c>
      <c r="BB345" s="20">
        <v>0</v>
      </c>
      <c r="BC345" s="113">
        <v>0</v>
      </c>
      <c r="BD345" s="200" t="str">
        <f>VLOOKUP($A345,'[3]allergenen 6nr'!$A$1:$O$1310,3,FALSE)</f>
        <v>-</v>
      </c>
      <c r="BE345" s="201" t="str">
        <f>VLOOKUP($A345,'[3]allergenen 6nr'!$A$1:$O$1310,4,FALSE)</f>
        <v>X</v>
      </c>
      <c r="BF345" s="201" t="str">
        <f>VLOOKUP($A345,'[3]allergenen 6nr'!$A$1:$O$1310,5,FALSE)</f>
        <v>X</v>
      </c>
      <c r="BG345" s="201" t="str">
        <f>VLOOKUP($A345,'[3]allergenen 6nr'!$A$1:$O$1310,6,FALSE)</f>
        <v>-</v>
      </c>
      <c r="BH345" s="201" t="str">
        <f>VLOOKUP($A345,'[3]allergenen 6nr'!$A$1:$O$1310,7,FALSE)</f>
        <v>+</v>
      </c>
      <c r="BI345" s="201" t="str">
        <f>VLOOKUP($A345,'[3]allergenen 6nr'!$A$1:$O$1310,8,FALSE)</f>
        <v>X</v>
      </c>
      <c r="BJ345" s="201" t="str">
        <f>VLOOKUP($A345,'[3]allergenen 6nr'!$A$1:$O$1310,9,FALSE)</f>
        <v>-</v>
      </c>
      <c r="BK345" s="201" t="str">
        <f>VLOOKUP($A345,'[3]allergenen 6nr'!$A$1:$O$1310,10,FALSE)</f>
        <v>-</v>
      </c>
      <c r="BL345" s="201" t="str">
        <f>VLOOKUP($A345,'[3]allergenen 6nr'!$A$1:$O$1310,11,FALSE)</f>
        <v>-</v>
      </c>
      <c r="BM345" s="201" t="str">
        <f>VLOOKUP($A345,'[3]allergenen 6nr'!$A$1:$O$1310,12,FALSE)</f>
        <v>-</v>
      </c>
      <c r="BN345" s="201" t="str">
        <f>VLOOKUP($A345,'[3]allergenen 6nr'!$A$1:$O$1310,13,FALSE)</f>
        <v>X</v>
      </c>
      <c r="BO345" s="201" t="str">
        <f>VLOOKUP($A345,'[3]allergenen 6nr'!$A$1:$O$1310,14,FALSE)</f>
        <v>-</v>
      </c>
      <c r="BP345" s="202" t="str">
        <f>VLOOKUP($A345,'[3]allergenen 6nr'!$A$1:$O$1310,15,FALSE)</f>
        <v>-</v>
      </c>
    </row>
    <row r="346" spans="1:68" x14ac:dyDescent="0.2">
      <c r="A346" s="54">
        <v>63931900</v>
      </c>
      <c r="B346" s="53" t="str">
        <f>VLOOKUP($A346,[1]maaltijden!$A$1:$IV$65536,4,FALSE)</f>
        <v xml:space="preserve">VAT EW BAMI GORENG SPECIAAL MET KIP IN SATESAUS      </v>
      </c>
      <c r="C346" s="46" t="str">
        <f>VLOOKUP($A346,[1]maaltijden!$A$1:$IV$65536,7,FALSE)</f>
        <v>C2227-2K</v>
      </c>
      <c r="D346" s="22" t="str">
        <f>VLOOKUP($A346,[1]maaltijden!$A$1:$IV$65536,10,FALSE)</f>
        <v>NVT</v>
      </c>
      <c r="E346" s="22" t="str">
        <f>VLOOKUP($A346,[1]maaltijden!$A$1:$IV$65536,13,FALSE)</f>
        <v xml:space="preserve">VAT X 6 </v>
      </c>
      <c r="F346" s="20">
        <f t="shared" si="5"/>
        <v>0</v>
      </c>
      <c r="G346" s="20" t="str">
        <f>VLOOKUP($A346,[1]maaltijden!$A$1:$IV$65536,27,FALSE)</f>
        <v>X</v>
      </c>
      <c r="H346" s="22">
        <f>VLOOKUP($A346,[1]maaltijden!$A$1:$IV$65536,21,FALSE)</f>
        <v>5</v>
      </c>
      <c r="I346" s="22">
        <f>VLOOKUP($A346,[1]maaltijden!$A$1:$IV$65536,21,FALSE)</f>
        <v>5</v>
      </c>
      <c r="J346" s="22">
        <f>VLOOKUP($A346,[1]maaltijden!$A$1:$IV$65536,18,FALSE)</f>
        <v>3</v>
      </c>
      <c r="K346" s="22">
        <f>VLOOKUP($A346,[1]maaltijden!$A$1:$IV$65536,17,FALSE)</f>
        <v>3</v>
      </c>
      <c r="L346" s="22">
        <f>VLOOKUP($A346,[1]maaltijden!$A$1:$IV$65536,20,FALSE)</f>
        <v>2200</v>
      </c>
      <c r="M346" s="22">
        <f>VLOOKUP($A346,[1]maaltijden!$A$1:$IV$65536,22,FALSE)</f>
        <v>2200</v>
      </c>
      <c r="N346" s="135"/>
      <c r="O346" s="50">
        <v>63901900</v>
      </c>
      <c r="P346" s="19">
        <v>0</v>
      </c>
      <c r="Q346" s="20">
        <v>1</v>
      </c>
      <c r="R346" s="21">
        <v>0</v>
      </c>
      <c r="S346" s="19">
        <v>0</v>
      </c>
      <c r="T346" s="20">
        <v>1</v>
      </c>
      <c r="U346" s="19">
        <v>0</v>
      </c>
      <c r="V346" s="20">
        <v>1</v>
      </c>
      <c r="W346" s="20">
        <v>1</v>
      </c>
      <c r="X346" s="20">
        <v>1</v>
      </c>
      <c r="Y346" s="20">
        <v>1</v>
      </c>
      <c r="Z346" s="20">
        <v>1</v>
      </c>
      <c r="AA346" s="20">
        <v>0</v>
      </c>
      <c r="AB346" s="49">
        <v>0</v>
      </c>
      <c r="AC346" s="49">
        <v>1</v>
      </c>
      <c r="AD346" s="49">
        <v>1</v>
      </c>
      <c r="AE346" s="49">
        <v>0</v>
      </c>
      <c r="AF346" s="49">
        <v>0</v>
      </c>
      <c r="AG346" s="161">
        <v>1</v>
      </c>
      <c r="AH346" s="168">
        <v>1</v>
      </c>
      <c r="AI346" s="168">
        <v>1</v>
      </c>
      <c r="AJ346" s="168">
        <v>1</v>
      </c>
      <c r="AK346" s="20"/>
      <c r="AL346" s="21"/>
      <c r="AM346" s="19">
        <v>0</v>
      </c>
      <c r="AN346" s="20">
        <f>IFERROR(INDEX([2]lijnopstellingsfiche!$AP$1:$AP$65536,MATCH(A346,[2]lijnopstellingsfiche!$AQ$1:$AQ$65536,0)),"")</f>
        <v>1</v>
      </c>
      <c r="AO346" s="20">
        <v>1</v>
      </c>
      <c r="AP346" s="20">
        <v>0</v>
      </c>
      <c r="AQ346" s="20">
        <v>1</v>
      </c>
      <c r="AR346" s="20">
        <v>0</v>
      </c>
      <c r="AS346" s="20">
        <v>0</v>
      </c>
      <c r="AT346" s="20">
        <v>1</v>
      </c>
      <c r="AU346" s="20">
        <v>0</v>
      </c>
      <c r="AV346" s="23">
        <v>0</v>
      </c>
      <c r="AW346" s="108">
        <v>0</v>
      </c>
      <c r="AX346" s="108">
        <v>0</v>
      </c>
      <c r="AY346" s="108">
        <v>1</v>
      </c>
      <c r="AZ346" s="108">
        <v>0</v>
      </c>
      <c r="BA346" s="114">
        <v>1</v>
      </c>
      <c r="BB346" s="20">
        <v>0</v>
      </c>
      <c r="BC346" s="113">
        <v>0</v>
      </c>
      <c r="BD346" s="200" t="str">
        <f>VLOOKUP($A346,'[3]allergenen 6nr'!$A$1:$O$1310,3,FALSE)</f>
        <v>+</v>
      </c>
      <c r="BE346" s="201" t="str">
        <f>VLOOKUP($A346,'[3]allergenen 6nr'!$A$1:$O$1310,4,FALSE)</f>
        <v>+</v>
      </c>
      <c r="BF346" s="201" t="str">
        <f>VLOOKUP($A346,'[3]allergenen 6nr'!$A$1:$O$1310,5,FALSE)</f>
        <v>+</v>
      </c>
      <c r="BG346" s="201" t="str">
        <f>VLOOKUP($A346,'[3]allergenen 6nr'!$A$1:$O$1310,6,FALSE)</f>
        <v>X</v>
      </c>
      <c r="BH346" s="201" t="str">
        <f>VLOOKUP($A346,'[3]allergenen 6nr'!$A$1:$O$1310,7,FALSE)</f>
        <v>-</v>
      </c>
      <c r="BI346" s="201" t="str">
        <f>VLOOKUP($A346,'[3]allergenen 6nr'!$A$1:$O$1310,8,FALSE)</f>
        <v>X</v>
      </c>
      <c r="BJ346" s="201" t="str">
        <f>VLOOKUP($A346,'[3]allergenen 6nr'!$A$1:$O$1310,9,FALSE)</f>
        <v>-</v>
      </c>
      <c r="BK346" s="201" t="str">
        <f>VLOOKUP($A346,'[3]allergenen 6nr'!$A$1:$O$1310,10,FALSE)</f>
        <v>-</v>
      </c>
      <c r="BL346" s="201" t="str">
        <f>VLOOKUP($A346,'[3]allergenen 6nr'!$A$1:$O$1310,11,FALSE)</f>
        <v>+</v>
      </c>
      <c r="BM346" s="201" t="str">
        <f>VLOOKUP($A346,'[3]allergenen 6nr'!$A$1:$O$1310,12,FALSE)</f>
        <v>-</v>
      </c>
      <c r="BN346" s="201" t="str">
        <f>VLOOKUP($A346,'[3]allergenen 6nr'!$A$1:$O$1310,13,FALSE)</f>
        <v>+</v>
      </c>
      <c r="BO346" s="201" t="str">
        <f>VLOOKUP($A346,'[3]allergenen 6nr'!$A$1:$O$1310,14,FALSE)</f>
        <v>-</v>
      </c>
      <c r="BP346" s="202" t="str">
        <f>VLOOKUP($A346,'[3]allergenen 6nr'!$A$1:$O$1310,15,FALSE)</f>
        <v>-</v>
      </c>
    </row>
    <row r="347" spans="1:68" x14ac:dyDescent="0.2">
      <c r="A347" s="54">
        <v>63932000</v>
      </c>
      <c r="B347" s="53" t="str">
        <f>VLOOKUP($A347,[1]maaltijden!$A$1:$IV$65536,4,FALSE)</f>
        <v>VAT EW KIPPENRAGOUT WORTELTJES DOPERWTEN RIJST</v>
      </c>
      <c r="C347" s="46" t="str">
        <f>VLOOKUP($A347,[1]maaltijden!$A$1:$IV$65536,7,FALSE)</f>
        <v>C2227-3R</v>
      </c>
      <c r="D347" s="22" t="str">
        <f>VLOOKUP($A347,[1]maaltijden!$A$1:$IV$65536,10,FALSE)</f>
        <v>NVT</v>
      </c>
      <c r="E347" s="22" t="str">
        <f>VLOOKUP($A347,[1]maaltijden!$A$1:$IV$65536,13,FALSE)</f>
        <v xml:space="preserve">VAT X 6 </v>
      </c>
      <c r="F347" s="20">
        <f t="shared" si="5"/>
        <v>0</v>
      </c>
      <c r="G347" s="20" t="str">
        <f>VLOOKUP($A347,[1]maaltijden!$A$1:$IV$65536,27,FALSE)</f>
        <v>! ! !</v>
      </c>
      <c r="H347" s="22">
        <f>VLOOKUP($A347,[1]maaltijden!$A$1:$IV$65536,21,FALSE)</f>
        <v>5</v>
      </c>
      <c r="I347" s="22">
        <f>VLOOKUP($A347,[1]maaltijden!$A$1:$IV$65536,21,FALSE)</f>
        <v>5</v>
      </c>
      <c r="J347" s="22">
        <f>VLOOKUP($A347,[1]maaltijden!$A$1:$IV$65536,18,FALSE)</f>
        <v>3</v>
      </c>
      <c r="K347" s="22">
        <f>VLOOKUP($A347,[1]maaltijden!$A$1:$IV$65536,17,FALSE)</f>
        <v>2</v>
      </c>
      <c r="L347" s="22">
        <f>VLOOKUP($A347,[1]maaltijden!$A$1:$IV$65536,20,FALSE)</f>
        <v>2200</v>
      </c>
      <c r="M347" s="22">
        <f>VLOOKUP($A347,[1]maaltijden!$A$1:$IV$65536,22,FALSE)</f>
        <v>2200</v>
      </c>
      <c r="N347" s="135"/>
      <c r="O347" s="50"/>
      <c r="P347" s="19">
        <v>0</v>
      </c>
      <c r="Q347" s="20">
        <v>1</v>
      </c>
      <c r="R347" s="21">
        <v>0</v>
      </c>
      <c r="S347" s="19">
        <v>0</v>
      </c>
      <c r="T347" s="20">
        <v>1</v>
      </c>
      <c r="U347" s="19"/>
      <c r="V347" s="20"/>
      <c r="W347" s="20"/>
      <c r="X347" s="20"/>
      <c r="Y347" s="20"/>
      <c r="Z347" s="20"/>
      <c r="AA347" s="20"/>
      <c r="AB347" s="49"/>
      <c r="AC347" s="49"/>
      <c r="AD347" s="49"/>
      <c r="AE347" s="49"/>
      <c r="AF347" s="49"/>
      <c r="AG347" s="161">
        <v>1</v>
      </c>
      <c r="AH347" s="168">
        <v>1</v>
      </c>
      <c r="AI347" s="168">
        <v>1</v>
      </c>
      <c r="AJ347" s="20"/>
      <c r="AK347" s="20"/>
      <c r="AL347" s="21"/>
      <c r="AM347" s="19">
        <v>0</v>
      </c>
      <c r="AN347" s="20">
        <f>IFERROR(INDEX([2]lijnopstellingsfiche!$AP$1:$AP$65536,MATCH(A347,[2]lijnopstellingsfiche!$AQ$1:$AQ$65536,0)),"")</f>
        <v>1</v>
      </c>
      <c r="AO347" s="20">
        <v>1</v>
      </c>
      <c r="AP347" s="20">
        <v>0</v>
      </c>
      <c r="AQ347" s="20">
        <v>1</v>
      </c>
      <c r="AR347" s="20">
        <v>0</v>
      </c>
      <c r="AS347" s="20">
        <v>0</v>
      </c>
      <c r="AT347" s="20">
        <v>0</v>
      </c>
      <c r="AU347" s="20">
        <v>0</v>
      </c>
      <c r="AV347" s="23">
        <v>0</v>
      </c>
      <c r="AW347" s="108">
        <v>0</v>
      </c>
      <c r="AX347" s="108">
        <v>0</v>
      </c>
      <c r="AY347" s="108">
        <v>1</v>
      </c>
      <c r="AZ347" s="108">
        <v>0</v>
      </c>
      <c r="BA347" s="114">
        <v>1</v>
      </c>
      <c r="BB347" s="20">
        <v>0</v>
      </c>
      <c r="BC347" s="113">
        <v>0</v>
      </c>
      <c r="BD347" s="200" t="str">
        <f>VLOOKUP($A347,'[3]allergenen 6nr'!$A$1:$O$1310,3,FALSE)</f>
        <v>-</v>
      </c>
      <c r="BE347" s="201" t="str">
        <f>VLOOKUP($A347,'[3]allergenen 6nr'!$A$1:$O$1310,4,FALSE)</f>
        <v>X</v>
      </c>
      <c r="BF347" s="201" t="str">
        <f>VLOOKUP($A347,'[3]allergenen 6nr'!$A$1:$O$1310,5,FALSE)</f>
        <v>+</v>
      </c>
      <c r="BG347" s="201" t="str">
        <f>VLOOKUP($A347,'[3]allergenen 6nr'!$A$1:$O$1310,6,FALSE)</f>
        <v>X</v>
      </c>
      <c r="BH347" s="201" t="str">
        <f>VLOOKUP($A347,'[3]allergenen 6nr'!$A$1:$O$1310,7,FALSE)</f>
        <v>+</v>
      </c>
      <c r="BI347" s="201" t="str">
        <f>VLOOKUP($A347,'[3]allergenen 6nr'!$A$1:$O$1310,8,FALSE)</f>
        <v>X</v>
      </c>
      <c r="BJ347" s="201" t="str">
        <f>VLOOKUP($A347,'[3]allergenen 6nr'!$A$1:$O$1310,9,FALSE)</f>
        <v>-</v>
      </c>
      <c r="BK347" s="201" t="str">
        <f>VLOOKUP($A347,'[3]allergenen 6nr'!$A$1:$O$1310,10,FALSE)</f>
        <v>-</v>
      </c>
      <c r="BL347" s="201" t="str">
        <f>VLOOKUP($A347,'[3]allergenen 6nr'!$A$1:$O$1310,11,FALSE)</f>
        <v>+</v>
      </c>
      <c r="BM347" s="201" t="str">
        <f>VLOOKUP($A347,'[3]allergenen 6nr'!$A$1:$O$1310,12,FALSE)</f>
        <v>-</v>
      </c>
      <c r="BN347" s="201" t="str">
        <f>VLOOKUP($A347,'[3]allergenen 6nr'!$A$1:$O$1310,13,FALSE)</f>
        <v>X</v>
      </c>
      <c r="BO347" s="201" t="str">
        <f>VLOOKUP($A347,'[3]allergenen 6nr'!$A$1:$O$1310,14,FALSE)</f>
        <v>-</v>
      </c>
      <c r="BP347" s="202" t="str">
        <f>VLOOKUP($A347,'[3]allergenen 6nr'!$A$1:$O$1310,15,FALSE)</f>
        <v>-</v>
      </c>
    </row>
    <row r="348" spans="1:68" x14ac:dyDescent="0.2">
      <c r="A348" s="54">
        <v>63932100</v>
      </c>
      <c r="B348" s="53" t="str">
        <f>VLOOKUP($A348,[1]maaltijden!$A$1:$IV$65536,4,FALSE)</f>
        <v>VAT EW BRAADWORST SPRUITEN KRIEL</v>
      </c>
      <c r="C348" s="46" t="str">
        <f>VLOOKUP($A348,[1]maaltijden!$A$1:$IV$65536,7,FALSE)</f>
        <v>C2227-3R</v>
      </c>
      <c r="D348" s="22" t="str">
        <f>VLOOKUP($A348,[1]maaltijden!$A$1:$IV$65536,10,FALSE)</f>
        <v>NVT</v>
      </c>
      <c r="E348" s="22" t="str">
        <f>VLOOKUP($A348,[1]maaltijden!$A$1:$IV$65536,13,FALSE)</f>
        <v xml:space="preserve">VAT X 6 </v>
      </c>
      <c r="F348" s="20">
        <f t="shared" si="5"/>
        <v>0</v>
      </c>
      <c r="G348" s="20" t="str">
        <f>VLOOKUP($A348,[1]maaltijden!$A$1:$IV$65536,27,FALSE)</f>
        <v>! ! !</v>
      </c>
      <c r="H348" s="22">
        <f>VLOOKUP($A348,[1]maaltijden!$A$1:$IV$65536,21,FALSE)</f>
        <v>6</v>
      </c>
      <c r="I348" s="22">
        <f>VLOOKUP($A348,[1]maaltijden!$A$1:$IV$65536,21,FALSE)</f>
        <v>6</v>
      </c>
      <c r="J348" s="22">
        <f>VLOOKUP($A348,[1]maaltijden!$A$1:$IV$65536,18,FALSE)</f>
        <v>3</v>
      </c>
      <c r="K348" s="22">
        <f>VLOOKUP($A348,[1]maaltijden!$A$1:$IV$65536,17,FALSE)</f>
        <v>3</v>
      </c>
      <c r="L348" s="22">
        <f>VLOOKUP($A348,[1]maaltijden!$A$1:$IV$65536,20,FALSE)</f>
        <v>2200</v>
      </c>
      <c r="M348" s="22">
        <f>VLOOKUP($A348,[1]maaltijden!$A$1:$IV$65536,22,FALSE)</f>
        <v>2200</v>
      </c>
      <c r="N348" s="135"/>
      <c r="O348" s="50"/>
      <c r="P348" s="19">
        <v>0</v>
      </c>
      <c r="Q348" s="20">
        <v>1</v>
      </c>
      <c r="R348" s="21">
        <v>0</v>
      </c>
      <c r="S348" s="19">
        <v>0</v>
      </c>
      <c r="T348" s="20">
        <v>1</v>
      </c>
      <c r="U348" s="19"/>
      <c r="V348" s="20"/>
      <c r="W348" s="20"/>
      <c r="X348" s="20"/>
      <c r="Y348" s="20"/>
      <c r="Z348" s="20"/>
      <c r="AA348" s="20"/>
      <c r="AB348" s="49"/>
      <c r="AC348" s="49"/>
      <c r="AD348" s="49"/>
      <c r="AE348" s="49"/>
      <c r="AF348" s="49"/>
      <c r="AG348" s="161">
        <v>0</v>
      </c>
      <c r="AH348" s="168">
        <v>1</v>
      </c>
      <c r="AI348" s="168">
        <v>1</v>
      </c>
      <c r="AJ348" s="20"/>
      <c r="AK348" s="20"/>
      <c r="AL348" s="21"/>
      <c r="AM348" s="19">
        <v>0</v>
      </c>
      <c r="AN348" s="20" t="str">
        <f>IFERROR(INDEX([2]lijnopstellingsfiche!$AP$1:$AP$65536,MATCH(A348,[2]lijnopstellingsfiche!$AQ$1:$AQ$65536,0)),"")</f>
        <v>-</v>
      </c>
      <c r="AO348" s="20">
        <v>0</v>
      </c>
      <c r="AP348" s="20">
        <v>0</v>
      </c>
      <c r="AQ348" s="20">
        <v>1</v>
      </c>
      <c r="AR348" s="20">
        <v>1</v>
      </c>
      <c r="AS348" s="20">
        <v>0</v>
      </c>
      <c r="AT348" s="20">
        <v>0</v>
      </c>
      <c r="AU348" s="20">
        <v>0</v>
      </c>
      <c r="AV348" s="23">
        <v>0</v>
      </c>
      <c r="AW348" s="108">
        <v>0</v>
      </c>
      <c r="AX348" s="108">
        <v>0</v>
      </c>
      <c r="AY348" s="108">
        <v>1</v>
      </c>
      <c r="AZ348" s="108">
        <v>0</v>
      </c>
      <c r="BA348" s="114">
        <v>1</v>
      </c>
      <c r="BB348" s="20">
        <v>0</v>
      </c>
      <c r="BC348" s="113">
        <v>0</v>
      </c>
      <c r="BD348" s="200" t="str">
        <f>VLOOKUP($A348,'[3]allergenen 6nr'!$A$1:$O$1310,3,FALSE)</f>
        <v>-</v>
      </c>
      <c r="BE348" s="201" t="str">
        <f>VLOOKUP($A348,'[3]allergenen 6nr'!$A$1:$O$1310,4,FALSE)</f>
        <v>+</v>
      </c>
      <c r="BF348" s="201" t="str">
        <f>VLOOKUP($A348,'[3]allergenen 6nr'!$A$1:$O$1310,5,FALSE)</f>
        <v>+</v>
      </c>
      <c r="BG348" s="201" t="str">
        <f>VLOOKUP($A348,'[3]allergenen 6nr'!$A$1:$O$1310,6,FALSE)</f>
        <v>X</v>
      </c>
      <c r="BH348" s="201" t="str">
        <f>VLOOKUP($A348,'[3]allergenen 6nr'!$A$1:$O$1310,7,FALSE)</f>
        <v>+</v>
      </c>
      <c r="BI348" s="201" t="str">
        <f>VLOOKUP($A348,'[3]allergenen 6nr'!$A$1:$O$1310,8,FALSE)</f>
        <v>+</v>
      </c>
      <c r="BJ348" s="201" t="str">
        <f>VLOOKUP($A348,'[3]allergenen 6nr'!$A$1:$O$1310,9,FALSE)</f>
        <v>-</v>
      </c>
      <c r="BK348" s="201" t="str">
        <f>VLOOKUP($A348,'[3]allergenen 6nr'!$A$1:$O$1310,10,FALSE)</f>
        <v>-</v>
      </c>
      <c r="BL348" s="201" t="str">
        <f>VLOOKUP($A348,'[3]allergenen 6nr'!$A$1:$O$1310,11,FALSE)</f>
        <v>+</v>
      </c>
      <c r="BM348" s="201" t="str">
        <f>VLOOKUP($A348,'[3]allergenen 6nr'!$A$1:$O$1310,12,FALSE)</f>
        <v>-</v>
      </c>
      <c r="BN348" s="201" t="str">
        <f>VLOOKUP($A348,'[3]allergenen 6nr'!$A$1:$O$1310,13,FALSE)</f>
        <v>X</v>
      </c>
      <c r="BO348" s="201" t="str">
        <f>VLOOKUP($A348,'[3]allergenen 6nr'!$A$1:$O$1310,14,FALSE)</f>
        <v>-</v>
      </c>
      <c r="BP348" s="202" t="str">
        <f>VLOOKUP($A348,'[3]allergenen 6nr'!$A$1:$O$1310,15,FALSE)</f>
        <v>-</v>
      </c>
    </row>
    <row r="349" spans="1:68" x14ac:dyDescent="0.2">
      <c r="A349" s="89">
        <v>63932200</v>
      </c>
      <c r="B349" s="53" t="str">
        <f>VLOOKUP($A349,[1]maaltijden!$A$1:$IV$65536,4,FALSE)</f>
        <v>VAT EW KIP RABARBERCOMPOTE GEBAK AARD BLOKJE</v>
      </c>
      <c r="C349" s="46" t="str">
        <f>VLOOKUP($A349,[1]maaltijden!$A$1:$IV$65536,7,FALSE)</f>
        <v>C2227-3R</v>
      </c>
      <c r="D349" s="22" t="str">
        <f>VLOOKUP($A349,[1]maaltijden!$A$1:$IV$65536,10,FALSE)</f>
        <v>NVT</v>
      </c>
      <c r="E349" s="22" t="str">
        <f>VLOOKUP($A349,[1]maaltijden!$A$1:$IV$65536,13,FALSE)</f>
        <v xml:space="preserve">VAT X 6 </v>
      </c>
      <c r="F349" s="20">
        <f t="shared" si="5"/>
        <v>0</v>
      </c>
      <c r="G349" s="20" t="str">
        <f>VLOOKUP($A349,[1]maaltijden!$A$1:$IV$65536,27,FALSE)</f>
        <v>! !</v>
      </c>
      <c r="H349" s="22">
        <f>VLOOKUP($A349,[1]maaltijden!$A$1:$IV$65536,21,FALSE)</f>
        <v>7</v>
      </c>
      <c r="I349" s="22">
        <f>VLOOKUP($A349,[1]maaltijden!$A$1:$IV$65536,21,FALSE)</f>
        <v>7</v>
      </c>
      <c r="J349" s="22">
        <f>VLOOKUP($A349,[1]maaltijden!$A$1:$IV$65536,18,FALSE)</f>
        <v>3</v>
      </c>
      <c r="K349" s="22">
        <f>VLOOKUP($A349,[1]maaltijden!$A$1:$IV$65536,17,FALSE)</f>
        <v>2</v>
      </c>
      <c r="L349" s="22">
        <f>VLOOKUP($A349,[1]maaltijden!$A$1:$IV$65536,20,FALSE)</f>
        <v>2200</v>
      </c>
      <c r="M349" s="22">
        <f>VLOOKUP($A349,[1]maaltijden!$A$1:$IV$65536,22,FALSE)</f>
        <v>2200</v>
      </c>
      <c r="N349" s="135"/>
      <c r="O349" s="50">
        <v>63912200</v>
      </c>
      <c r="P349" s="19">
        <v>0</v>
      </c>
      <c r="Q349" s="20">
        <v>1</v>
      </c>
      <c r="R349" s="21">
        <v>0</v>
      </c>
      <c r="S349" s="19">
        <v>0</v>
      </c>
      <c r="T349" s="20">
        <v>1</v>
      </c>
      <c r="U349" s="19">
        <v>1</v>
      </c>
      <c r="V349" s="20">
        <v>1</v>
      </c>
      <c r="W349" s="20">
        <v>1</v>
      </c>
      <c r="X349" s="20">
        <v>1</v>
      </c>
      <c r="Y349" s="20">
        <v>1</v>
      </c>
      <c r="Z349" s="20">
        <v>0</v>
      </c>
      <c r="AA349" s="20">
        <v>0</v>
      </c>
      <c r="AB349" s="49">
        <v>0</v>
      </c>
      <c r="AC349" s="49">
        <v>0</v>
      </c>
      <c r="AD349" s="49">
        <v>0</v>
      </c>
      <c r="AE349" s="49">
        <v>0</v>
      </c>
      <c r="AF349" s="49">
        <v>0</v>
      </c>
      <c r="AG349" s="161">
        <v>0</v>
      </c>
      <c r="AH349" s="162">
        <v>1</v>
      </c>
      <c r="AI349" s="162">
        <v>0</v>
      </c>
      <c r="AJ349" s="162">
        <v>0</v>
      </c>
      <c r="AK349" s="162">
        <v>0</v>
      </c>
      <c r="AL349" s="163">
        <v>0</v>
      </c>
      <c r="AM349" s="19">
        <v>0</v>
      </c>
      <c r="AN349" s="20">
        <f>IFERROR(INDEX([2]lijnopstellingsfiche!$AP$1:$AP$65536,MATCH(A349,[2]lijnopstellingsfiche!$AQ$1:$AQ$65536,0)),"")</f>
        <v>4</v>
      </c>
      <c r="AO349" s="20">
        <v>0</v>
      </c>
      <c r="AP349" s="20">
        <v>0</v>
      </c>
      <c r="AQ349" s="20">
        <v>2</v>
      </c>
      <c r="AR349" s="20">
        <v>0</v>
      </c>
      <c r="AS349" s="20">
        <v>0</v>
      </c>
      <c r="AT349" s="20">
        <v>1</v>
      </c>
      <c r="AU349" s="20">
        <v>0</v>
      </c>
      <c r="AV349" s="23">
        <v>0</v>
      </c>
      <c r="AW349" s="108">
        <v>0</v>
      </c>
      <c r="AX349" s="108">
        <v>0</v>
      </c>
      <c r="AY349" s="108">
        <v>1</v>
      </c>
      <c r="AZ349" s="108">
        <v>0</v>
      </c>
      <c r="BA349" s="114">
        <v>1</v>
      </c>
      <c r="BB349" s="20">
        <v>0</v>
      </c>
      <c r="BC349" s="113">
        <v>0</v>
      </c>
      <c r="BD349" s="200" t="str">
        <f>VLOOKUP($A349,'[3]allergenen 6nr'!$A$1:$O$1310,3,FALSE)</f>
        <v>-</v>
      </c>
      <c r="BE349" s="201" t="str">
        <f>VLOOKUP($A349,'[3]allergenen 6nr'!$A$1:$O$1310,4,FALSE)</f>
        <v>X</v>
      </c>
      <c r="BF349" s="201" t="str">
        <f>VLOOKUP($A349,'[3]allergenen 6nr'!$A$1:$O$1310,5,FALSE)</f>
        <v>+</v>
      </c>
      <c r="BG349" s="201" t="str">
        <f>VLOOKUP($A349,'[3]allergenen 6nr'!$A$1:$O$1310,6,FALSE)</f>
        <v>X</v>
      </c>
      <c r="BH349" s="201" t="str">
        <f>VLOOKUP($A349,'[3]allergenen 6nr'!$A$1:$O$1310,7,FALSE)</f>
        <v>+</v>
      </c>
      <c r="BI349" s="201" t="str">
        <f>VLOOKUP($A349,'[3]allergenen 6nr'!$A$1:$O$1310,8,FALSE)</f>
        <v>X</v>
      </c>
      <c r="BJ349" s="201" t="str">
        <f>VLOOKUP($A349,'[3]allergenen 6nr'!$A$1:$O$1310,9,FALSE)</f>
        <v>-</v>
      </c>
      <c r="BK349" s="201" t="str">
        <f>VLOOKUP($A349,'[3]allergenen 6nr'!$A$1:$O$1310,10,FALSE)</f>
        <v>-</v>
      </c>
      <c r="BL349" s="201" t="str">
        <f>VLOOKUP($A349,'[3]allergenen 6nr'!$A$1:$O$1310,11,FALSE)</f>
        <v>-</v>
      </c>
      <c r="BM349" s="201" t="str">
        <f>VLOOKUP($A349,'[3]allergenen 6nr'!$A$1:$O$1310,12,FALSE)</f>
        <v>-</v>
      </c>
      <c r="BN349" s="201" t="str">
        <f>VLOOKUP($A349,'[3]allergenen 6nr'!$A$1:$O$1310,13,FALSE)</f>
        <v>X</v>
      </c>
      <c r="BO349" s="201" t="str">
        <f>VLOOKUP($A349,'[3]allergenen 6nr'!$A$1:$O$1310,14,FALSE)</f>
        <v>-</v>
      </c>
      <c r="BP349" s="202" t="str">
        <f>VLOOKUP($A349,'[3]allergenen 6nr'!$A$1:$O$1310,15,FALSE)</f>
        <v>-</v>
      </c>
    </row>
    <row r="350" spans="1:68" x14ac:dyDescent="0.2">
      <c r="A350" s="54">
        <v>63932300</v>
      </c>
      <c r="B350" s="53" t="str">
        <f>VLOOKUP($A350,[1]maaltijden!$A$1:$IV$65536,4,FALSE)</f>
        <v xml:space="preserve">VAT EW GEHAKTBAL BLOEMKOOL BROCCOLI GEK. AARD     </v>
      </c>
      <c r="C350" s="46" t="str">
        <f>VLOOKUP($A350,[1]maaltijden!$A$1:$IV$65536,7,FALSE)</f>
        <v>C2227-3R</v>
      </c>
      <c r="D350" s="22" t="str">
        <f>VLOOKUP($A350,[1]maaltijden!$A$1:$IV$65536,10,FALSE)</f>
        <v>NVT</v>
      </c>
      <c r="E350" s="22" t="str">
        <f>VLOOKUP($A350,[1]maaltijden!$A$1:$IV$65536,13,FALSE)</f>
        <v xml:space="preserve">VAT X 6 </v>
      </c>
      <c r="F350" s="20">
        <f t="shared" si="5"/>
        <v>0</v>
      </c>
      <c r="G350" s="20" t="str">
        <f>VLOOKUP($A350,[1]maaltijden!$A$1:$IV$65536,27,FALSE)</f>
        <v>! !</v>
      </c>
      <c r="H350" s="22">
        <f>VLOOKUP($A350,[1]maaltijden!$A$1:$IV$65536,21,FALSE)</f>
        <v>7</v>
      </c>
      <c r="I350" s="22">
        <f>VLOOKUP($A350,[1]maaltijden!$A$1:$IV$65536,21,FALSE)</f>
        <v>7</v>
      </c>
      <c r="J350" s="22">
        <f>VLOOKUP($A350,[1]maaltijden!$A$1:$IV$65536,18,FALSE)</f>
        <v>3</v>
      </c>
      <c r="K350" s="22">
        <f>VLOOKUP($A350,[1]maaltijden!$A$1:$IV$65536,17,FALSE)</f>
        <v>2.5</v>
      </c>
      <c r="L350" s="22">
        <f>VLOOKUP($A350,[1]maaltijden!$A$1:$IV$65536,20,FALSE)</f>
        <v>2200</v>
      </c>
      <c r="M350" s="22">
        <f>VLOOKUP($A350,[1]maaltijden!$A$1:$IV$65536,22,FALSE)</f>
        <v>2200</v>
      </c>
      <c r="N350" s="135"/>
      <c r="O350" s="50"/>
      <c r="P350" s="19">
        <v>0</v>
      </c>
      <c r="Q350" s="20">
        <v>1</v>
      </c>
      <c r="R350" s="21">
        <v>0</v>
      </c>
      <c r="S350" s="19">
        <v>0</v>
      </c>
      <c r="T350" s="20">
        <v>1</v>
      </c>
      <c r="U350" s="19"/>
      <c r="V350" s="20"/>
      <c r="W350" s="20"/>
      <c r="X350" s="20"/>
      <c r="Y350" s="20"/>
      <c r="Z350" s="20"/>
      <c r="AA350" s="20"/>
      <c r="AB350" s="49"/>
      <c r="AC350" s="49"/>
      <c r="AD350" s="49"/>
      <c r="AE350" s="49"/>
      <c r="AF350" s="49"/>
      <c r="AG350" s="161">
        <v>0</v>
      </c>
      <c r="AH350" s="168">
        <v>1</v>
      </c>
      <c r="AI350" s="168">
        <v>1</v>
      </c>
      <c r="AJ350" s="20"/>
      <c r="AK350" s="20"/>
      <c r="AL350" s="21"/>
      <c r="AM350" s="19">
        <v>0</v>
      </c>
      <c r="AN350" s="20" t="str">
        <f>IFERROR(INDEX([2]lijnopstellingsfiche!$AP$1:$AP$65536,MATCH(A350,[2]lijnopstellingsfiche!$AQ$1:$AQ$65536,0)),"")</f>
        <v>-</v>
      </c>
      <c r="AO350" s="20">
        <v>0</v>
      </c>
      <c r="AP350" s="20">
        <v>0</v>
      </c>
      <c r="AQ350" s="20">
        <v>1</v>
      </c>
      <c r="AR350" s="20">
        <v>0</v>
      </c>
      <c r="AS350" s="20">
        <v>0</v>
      </c>
      <c r="AT350" s="20">
        <v>1</v>
      </c>
      <c r="AU350" s="20">
        <v>0</v>
      </c>
      <c r="AV350" s="23">
        <v>0</v>
      </c>
      <c r="AW350" s="108">
        <v>0</v>
      </c>
      <c r="AX350" s="108">
        <v>0</v>
      </c>
      <c r="AY350" s="108">
        <v>1</v>
      </c>
      <c r="AZ350" s="108">
        <v>0</v>
      </c>
      <c r="BA350" s="114">
        <v>1</v>
      </c>
      <c r="BB350" s="20">
        <v>0</v>
      </c>
      <c r="BC350" s="113">
        <v>0</v>
      </c>
      <c r="BD350" s="200" t="str">
        <f>VLOOKUP($A350,'[3]allergenen 6nr'!$A$1:$O$1310,3,FALSE)</f>
        <v>-</v>
      </c>
      <c r="BE350" s="201" t="str">
        <f>VLOOKUP($A350,'[3]allergenen 6nr'!$A$1:$O$1310,4,FALSE)</f>
        <v>X</v>
      </c>
      <c r="BF350" s="201" t="str">
        <f>VLOOKUP($A350,'[3]allergenen 6nr'!$A$1:$O$1310,5,FALSE)</f>
        <v>+</v>
      </c>
      <c r="BG350" s="201" t="str">
        <f>VLOOKUP($A350,'[3]allergenen 6nr'!$A$1:$O$1310,6,FALSE)</f>
        <v>X</v>
      </c>
      <c r="BH350" s="201" t="str">
        <f>VLOOKUP($A350,'[3]allergenen 6nr'!$A$1:$O$1310,7,FALSE)</f>
        <v>X</v>
      </c>
      <c r="BI350" s="201" t="str">
        <f>VLOOKUP($A350,'[3]allergenen 6nr'!$A$1:$O$1310,8,FALSE)</f>
        <v>X</v>
      </c>
      <c r="BJ350" s="201" t="str">
        <f>VLOOKUP($A350,'[3]allergenen 6nr'!$A$1:$O$1310,9,FALSE)</f>
        <v>-</v>
      </c>
      <c r="BK350" s="201" t="str">
        <f>VLOOKUP($A350,'[3]allergenen 6nr'!$A$1:$O$1310,10,FALSE)</f>
        <v>X</v>
      </c>
      <c r="BL350" s="201" t="str">
        <f>VLOOKUP($A350,'[3]allergenen 6nr'!$A$1:$O$1310,11,FALSE)</f>
        <v>X</v>
      </c>
      <c r="BM350" s="201" t="str">
        <f>VLOOKUP($A350,'[3]allergenen 6nr'!$A$1:$O$1310,12,FALSE)</f>
        <v>-</v>
      </c>
      <c r="BN350" s="201" t="str">
        <f>VLOOKUP($A350,'[3]allergenen 6nr'!$A$1:$O$1310,13,FALSE)</f>
        <v>X</v>
      </c>
      <c r="BO350" s="201" t="str">
        <f>VLOOKUP($A350,'[3]allergenen 6nr'!$A$1:$O$1310,14,FALSE)</f>
        <v>X</v>
      </c>
      <c r="BP350" s="202" t="str">
        <f>VLOOKUP($A350,'[3]allergenen 6nr'!$A$1:$O$1310,15,FALSE)</f>
        <v>X</v>
      </c>
    </row>
    <row r="351" spans="1:68" x14ac:dyDescent="0.2">
      <c r="A351" s="54">
        <v>63932400</v>
      </c>
      <c r="B351" s="53" t="str">
        <f>VLOOKUP($A351,[1]maaltijden!$A$1:$IV$65536,4,FALSE)</f>
        <v>VAT EW RODE KOOL STAMPPOT MET GEHAKTBALLETJES</v>
      </c>
      <c r="C351" s="46" t="str">
        <f>VLOOKUP($A351,[1]maaltijden!$A$1:$IV$65536,7,FALSE)</f>
        <v>C2227-2K</v>
      </c>
      <c r="D351" s="22" t="str">
        <f>VLOOKUP($A351,[1]maaltijden!$A$1:$IV$65536,10,FALSE)</f>
        <v>NVT</v>
      </c>
      <c r="E351" s="22" t="str">
        <f>VLOOKUP($A351,[1]maaltijden!$A$1:$IV$65536,13,FALSE)</f>
        <v xml:space="preserve">VAT X 6 </v>
      </c>
      <c r="F351" s="20">
        <f t="shared" si="5"/>
        <v>0</v>
      </c>
      <c r="G351" s="20" t="str">
        <f>VLOOKUP($A351,[1]maaltijden!$A$1:$IV$65536,27,FALSE)</f>
        <v>! !</v>
      </c>
      <c r="H351" s="22">
        <f>VLOOKUP($A351,[1]maaltijden!$A$1:$IV$65536,21,FALSE)</f>
        <v>3</v>
      </c>
      <c r="I351" s="22">
        <f>VLOOKUP($A351,[1]maaltijden!$A$1:$IV$65536,21,FALSE)</f>
        <v>3</v>
      </c>
      <c r="J351" s="22">
        <f>VLOOKUP($A351,[1]maaltijden!$A$1:$IV$65536,18,FALSE)</f>
        <v>3</v>
      </c>
      <c r="K351" s="22">
        <f>VLOOKUP($A351,[1]maaltijden!$A$1:$IV$65536,17,FALSE)</f>
        <v>3</v>
      </c>
      <c r="L351" s="22">
        <f>VLOOKUP($A351,[1]maaltijden!$A$1:$IV$65536,20,FALSE)</f>
        <v>2200</v>
      </c>
      <c r="M351" s="22">
        <f>VLOOKUP($A351,[1]maaltijden!$A$1:$IV$65536,22,FALSE)</f>
        <v>2200</v>
      </c>
      <c r="N351" s="135"/>
      <c r="O351" s="50">
        <v>63912400</v>
      </c>
      <c r="P351" s="19">
        <v>0</v>
      </c>
      <c r="Q351" s="20">
        <v>1</v>
      </c>
      <c r="R351" s="21">
        <v>0</v>
      </c>
      <c r="S351" s="19">
        <v>0</v>
      </c>
      <c r="T351" s="20">
        <v>1</v>
      </c>
      <c r="U351" s="19"/>
      <c r="V351" s="20"/>
      <c r="W351" s="20"/>
      <c r="X351" s="20"/>
      <c r="Y351" s="20"/>
      <c r="Z351" s="20"/>
      <c r="AA351" s="20"/>
      <c r="AB351" s="49"/>
      <c r="AC351" s="49"/>
      <c r="AD351" s="49"/>
      <c r="AE351" s="49"/>
      <c r="AF351" s="49"/>
      <c r="AG351" s="161">
        <v>0</v>
      </c>
      <c r="AH351" s="168">
        <v>1</v>
      </c>
      <c r="AI351" s="168">
        <v>1</v>
      </c>
      <c r="AJ351" s="20"/>
      <c r="AK351" s="20"/>
      <c r="AL351" s="21"/>
      <c r="AM351" s="19">
        <v>0</v>
      </c>
      <c r="AN351" s="20" t="str">
        <f>IFERROR(INDEX([2]lijnopstellingsfiche!$AP$1:$AP$65536,MATCH(A351,[2]lijnopstellingsfiche!$AQ$1:$AQ$65536,0)),"")</f>
        <v>-</v>
      </c>
      <c r="AO351" s="20">
        <v>0</v>
      </c>
      <c r="AP351" s="20">
        <v>0</v>
      </c>
      <c r="AQ351" s="20">
        <v>1</v>
      </c>
      <c r="AR351" s="20">
        <v>1</v>
      </c>
      <c r="AS351" s="20">
        <v>0</v>
      </c>
      <c r="AT351" s="20">
        <v>0</v>
      </c>
      <c r="AU351" s="20">
        <v>0</v>
      </c>
      <c r="AV351" s="23">
        <v>0</v>
      </c>
      <c r="AW351" s="108">
        <v>0</v>
      </c>
      <c r="AX351" s="108">
        <v>0</v>
      </c>
      <c r="AY351" s="108">
        <v>1</v>
      </c>
      <c r="AZ351" s="108">
        <v>0</v>
      </c>
      <c r="BA351" s="114">
        <v>1</v>
      </c>
      <c r="BB351" s="20">
        <v>0</v>
      </c>
      <c r="BC351" s="113">
        <v>0</v>
      </c>
      <c r="BD351" s="200" t="str">
        <f>VLOOKUP($A351,'[3]allergenen 6nr'!$A$1:$O$1310,3,FALSE)</f>
        <v>-</v>
      </c>
      <c r="BE351" s="201" t="str">
        <f>VLOOKUP($A351,'[3]allergenen 6nr'!$A$1:$O$1310,4,FALSE)</f>
        <v>X</v>
      </c>
      <c r="BF351" s="201" t="str">
        <f>VLOOKUP($A351,'[3]allergenen 6nr'!$A$1:$O$1310,5,FALSE)</f>
        <v>X</v>
      </c>
      <c r="BG351" s="201" t="str">
        <f>VLOOKUP($A351,'[3]allergenen 6nr'!$A$1:$O$1310,6,FALSE)</f>
        <v>-</v>
      </c>
      <c r="BH351" s="201" t="str">
        <f>VLOOKUP($A351,'[3]allergenen 6nr'!$A$1:$O$1310,7,FALSE)</f>
        <v>+</v>
      </c>
      <c r="BI351" s="201" t="str">
        <f>VLOOKUP($A351,'[3]allergenen 6nr'!$A$1:$O$1310,8,FALSE)</f>
        <v>X</v>
      </c>
      <c r="BJ351" s="201" t="str">
        <f>VLOOKUP($A351,'[3]allergenen 6nr'!$A$1:$O$1310,9,FALSE)</f>
        <v>X</v>
      </c>
      <c r="BK351" s="201" t="str">
        <f>VLOOKUP($A351,'[3]allergenen 6nr'!$A$1:$O$1310,10,FALSE)</f>
        <v>X</v>
      </c>
      <c r="BL351" s="201" t="str">
        <f>VLOOKUP($A351,'[3]allergenen 6nr'!$A$1:$O$1310,11,FALSE)</f>
        <v>X</v>
      </c>
      <c r="BM351" s="201" t="str">
        <f>VLOOKUP($A351,'[3]allergenen 6nr'!$A$1:$O$1310,12,FALSE)</f>
        <v>-</v>
      </c>
      <c r="BN351" s="201" t="str">
        <f>VLOOKUP($A351,'[3]allergenen 6nr'!$A$1:$O$1310,13,FALSE)</f>
        <v>X</v>
      </c>
      <c r="BO351" s="201" t="str">
        <f>VLOOKUP($A351,'[3]allergenen 6nr'!$A$1:$O$1310,14,FALSE)</f>
        <v>X</v>
      </c>
      <c r="BP351" s="202" t="str">
        <f>VLOOKUP($A351,'[3]allergenen 6nr'!$A$1:$O$1310,15,FALSE)</f>
        <v>X</v>
      </c>
    </row>
    <row r="352" spans="1:68" x14ac:dyDescent="0.2">
      <c r="A352" s="54">
        <v>63932500</v>
      </c>
      <c r="B352" s="53" t="str">
        <f>VLOOKUP($A352,[1]maaltijden!$A$1:$IV$65536,4,FALSE)</f>
        <v>VAT EW PREISTAMPPOT KIP</v>
      </c>
      <c r="C352" s="46" t="str">
        <f>VLOOKUP($A352,[1]maaltijden!$A$1:$IV$65536,7,FALSE)</f>
        <v>C2227-2K</v>
      </c>
      <c r="D352" s="22" t="str">
        <f>VLOOKUP($A352,[1]maaltijden!$A$1:$IV$65536,10,FALSE)</f>
        <v>NVT</v>
      </c>
      <c r="E352" s="22" t="str">
        <f>VLOOKUP($A352,[1]maaltijden!$A$1:$IV$65536,13,FALSE)</f>
        <v xml:space="preserve">VAT X 6 </v>
      </c>
      <c r="F352" s="20">
        <f t="shared" si="5"/>
        <v>0</v>
      </c>
      <c r="G352" s="20" t="str">
        <f>VLOOKUP($A352,[1]maaltijden!$A$1:$IV$65536,27,FALSE)</f>
        <v>! !</v>
      </c>
      <c r="H352" s="22">
        <f>VLOOKUP($A352,[1]maaltijden!$A$1:$IV$65536,21,FALSE)</f>
        <v>3</v>
      </c>
      <c r="I352" s="22">
        <f>VLOOKUP($A352,[1]maaltijden!$A$1:$IV$65536,21,FALSE)</f>
        <v>3</v>
      </c>
      <c r="J352" s="22">
        <f>VLOOKUP($A352,[1]maaltijden!$A$1:$IV$65536,18,FALSE)</f>
        <v>3</v>
      </c>
      <c r="K352" s="22">
        <f>VLOOKUP($A352,[1]maaltijden!$A$1:$IV$65536,17,FALSE)</f>
        <v>2.5</v>
      </c>
      <c r="L352" s="22">
        <f>VLOOKUP($A352,[1]maaltijden!$A$1:$IV$65536,20,FALSE)</f>
        <v>2200</v>
      </c>
      <c r="M352" s="22">
        <f>VLOOKUP($A352,[1]maaltijden!$A$1:$IV$65536,22,FALSE)</f>
        <v>2200</v>
      </c>
      <c r="N352" s="135"/>
      <c r="O352" s="50"/>
      <c r="P352" s="19">
        <v>0</v>
      </c>
      <c r="Q352" s="20">
        <v>1</v>
      </c>
      <c r="R352" s="21">
        <v>0</v>
      </c>
      <c r="S352" s="19">
        <v>0</v>
      </c>
      <c r="T352" s="20">
        <v>1</v>
      </c>
      <c r="U352" s="19"/>
      <c r="V352" s="20"/>
      <c r="W352" s="20"/>
      <c r="X352" s="20"/>
      <c r="Y352" s="20"/>
      <c r="Z352" s="20"/>
      <c r="AA352" s="20"/>
      <c r="AB352" s="49"/>
      <c r="AC352" s="49"/>
      <c r="AD352" s="49"/>
      <c r="AE352" s="49"/>
      <c r="AF352" s="49"/>
      <c r="AG352" s="161">
        <v>0</v>
      </c>
      <c r="AH352" s="168">
        <v>1</v>
      </c>
      <c r="AI352" s="168">
        <v>1</v>
      </c>
      <c r="AJ352" s="20"/>
      <c r="AK352" s="20"/>
      <c r="AL352" s="21"/>
      <c r="AM352" s="19">
        <v>0</v>
      </c>
      <c r="AN352" s="20" t="str">
        <f>IFERROR(INDEX([2]lijnopstellingsfiche!$AP$1:$AP$65536,MATCH(A352,[2]lijnopstellingsfiche!$AQ$1:$AQ$65536,0)),"")</f>
        <v>-</v>
      </c>
      <c r="AO352" s="20">
        <v>0</v>
      </c>
      <c r="AP352" s="20">
        <v>0</v>
      </c>
      <c r="AQ352" s="20">
        <v>1</v>
      </c>
      <c r="AR352" s="20">
        <v>1</v>
      </c>
      <c r="AS352" s="20">
        <v>0</v>
      </c>
      <c r="AT352" s="20">
        <v>0</v>
      </c>
      <c r="AU352" s="20">
        <v>0</v>
      </c>
      <c r="AV352" s="23">
        <v>0</v>
      </c>
      <c r="AW352" s="108">
        <v>0</v>
      </c>
      <c r="AX352" s="108">
        <v>0</v>
      </c>
      <c r="AY352" s="108">
        <v>1</v>
      </c>
      <c r="AZ352" s="108">
        <v>0</v>
      </c>
      <c r="BA352" s="114">
        <v>1</v>
      </c>
      <c r="BB352" s="20">
        <v>0</v>
      </c>
      <c r="BC352" s="113">
        <v>0</v>
      </c>
      <c r="BD352" s="200" t="str">
        <f>VLOOKUP($A352,'[3]allergenen 6nr'!$A$1:$O$1310,3,FALSE)</f>
        <v>-</v>
      </c>
      <c r="BE352" s="201" t="str">
        <f>VLOOKUP($A352,'[3]allergenen 6nr'!$A$1:$O$1310,4,FALSE)</f>
        <v>-</v>
      </c>
      <c r="BF352" s="201" t="str">
        <f>VLOOKUP($A352,'[3]allergenen 6nr'!$A$1:$O$1310,5,FALSE)</f>
        <v>+</v>
      </c>
      <c r="BG352" s="201" t="str">
        <f>VLOOKUP($A352,'[3]allergenen 6nr'!$A$1:$O$1310,6,FALSE)</f>
        <v>X</v>
      </c>
      <c r="BH352" s="201" t="str">
        <f>VLOOKUP($A352,'[3]allergenen 6nr'!$A$1:$O$1310,7,FALSE)</f>
        <v>+</v>
      </c>
      <c r="BI352" s="201" t="str">
        <f>VLOOKUP($A352,'[3]allergenen 6nr'!$A$1:$O$1310,8,FALSE)</f>
        <v>X</v>
      </c>
      <c r="BJ352" s="201" t="str">
        <f>VLOOKUP($A352,'[3]allergenen 6nr'!$A$1:$O$1310,9,FALSE)</f>
        <v>-</v>
      </c>
      <c r="BK352" s="201" t="str">
        <f>VLOOKUP($A352,'[3]allergenen 6nr'!$A$1:$O$1310,10,FALSE)</f>
        <v>-</v>
      </c>
      <c r="BL352" s="201" t="str">
        <f>VLOOKUP($A352,'[3]allergenen 6nr'!$A$1:$O$1310,11,FALSE)</f>
        <v>X</v>
      </c>
      <c r="BM352" s="201" t="str">
        <f>VLOOKUP($A352,'[3]allergenen 6nr'!$A$1:$O$1310,12,FALSE)</f>
        <v>-</v>
      </c>
      <c r="BN352" s="201" t="str">
        <f>VLOOKUP($A352,'[3]allergenen 6nr'!$A$1:$O$1310,13,FALSE)</f>
        <v>X</v>
      </c>
      <c r="BO352" s="201" t="str">
        <f>VLOOKUP($A352,'[3]allergenen 6nr'!$A$1:$O$1310,14,FALSE)</f>
        <v>-</v>
      </c>
      <c r="BP352" s="202" t="str">
        <f>VLOOKUP($A352,'[3]allergenen 6nr'!$A$1:$O$1310,15,FALSE)</f>
        <v>-</v>
      </c>
    </row>
    <row r="353" spans="1:68" x14ac:dyDescent="0.2">
      <c r="A353" s="126">
        <v>63932600</v>
      </c>
      <c r="B353" s="53" t="str">
        <f>VLOOKUP($A353,[1]maaltijden!$A$1:$IV$65536,4,FALSE)</f>
        <v>VAT EW VARKENSROLLADE ANDIJVIE KOOKAARDAPPEL</v>
      </c>
      <c r="C353" s="46" t="str">
        <f>VLOOKUP($A353,[1]maaltijden!$A$1:$IV$65536,7,FALSE)</f>
        <v>C2227-3R</v>
      </c>
      <c r="D353" s="22" t="str">
        <f>VLOOKUP($A353,[1]maaltijden!$A$1:$IV$65536,10,FALSE)</f>
        <v>NVT</v>
      </c>
      <c r="E353" s="22" t="str">
        <f>VLOOKUP($A353,[1]maaltijden!$A$1:$IV$65536,13,FALSE)</f>
        <v xml:space="preserve">VAT X 6 </v>
      </c>
      <c r="F353" s="20">
        <f t="shared" si="5"/>
        <v>0</v>
      </c>
      <c r="G353" s="20" t="str">
        <f>VLOOKUP($A353,[1]maaltijden!$A$1:$IV$65536,27,FALSE)</f>
        <v>! !</v>
      </c>
      <c r="H353" s="22">
        <f>VLOOKUP($A353,[1]maaltijden!$A$1:$IV$65536,21,FALSE)</f>
        <v>5</v>
      </c>
      <c r="I353" s="22">
        <f>VLOOKUP($A353,[1]maaltijden!$A$1:$IV$65536,21,FALSE)</f>
        <v>5</v>
      </c>
      <c r="J353" s="22">
        <f>VLOOKUP($A353,[1]maaltijden!$A$1:$IV$65536,18,FALSE)</f>
        <v>3</v>
      </c>
      <c r="K353" s="22">
        <f>VLOOKUP($A353,[1]maaltijden!$A$1:$IV$65536,17,FALSE)</f>
        <v>3</v>
      </c>
      <c r="L353" s="22">
        <f>VLOOKUP($A353,[1]maaltijden!$A$1:$IV$65536,20,FALSE)</f>
        <v>2000</v>
      </c>
      <c r="M353" s="22">
        <f>VLOOKUP($A353,[1]maaltijden!$A$1:$IV$65536,22,FALSE)</f>
        <v>2000</v>
      </c>
      <c r="N353" s="135"/>
      <c r="O353" s="50">
        <v>63912800</v>
      </c>
      <c r="P353" s="19">
        <v>0</v>
      </c>
      <c r="Q353" s="20">
        <v>1</v>
      </c>
      <c r="R353" s="21">
        <v>0</v>
      </c>
      <c r="S353" s="19">
        <v>0</v>
      </c>
      <c r="T353" s="20">
        <v>1</v>
      </c>
      <c r="U353" s="19">
        <v>0</v>
      </c>
      <c r="V353" s="20">
        <v>1</v>
      </c>
      <c r="W353" s="20">
        <v>1</v>
      </c>
      <c r="X353" s="20">
        <v>1</v>
      </c>
      <c r="Y353" s="20">
        <v>1</v>
      </c>
      <c r="Z353" s="20">
        <v>0</v>
      </c>
      <c r="AA353" s="20">
        <v>0</v>
      </c>
      <c r="AB353" s="49">
        <v>0</v>
      </c>
      <c r="AC353" s="49">
        <v>0</v>
      </c>
      <c r="AD353" s="49">
        <v>0</v>
      </c>
      <c r="AE353" s="49">
        <v>1</v>
      </c>
      <c r="AF353" s="49">
        <v>0</v>
      </c>
      <c r="AG353" s="161">
        <v>0</v>
      </c>
      <c r="AH353" s="168">
        <v>1</v>
      </c>
      <c r="AI353" s="168">
        <v>1</v>
      </c>
      <c r="AJ353" s="20"/>
      <c r="AK353" s="20"/>
      <c r="AL353" s="21"/>
      <c r="AM353" s="19">
        <v>0</v>
      </c>
      <c r="AN353" s="20" t="str">
        <f>IFERROR(INDEX([2]lijnopstellingsfiche!$AP$1:$AP$65536,MATCH(A353,[2]lijnopstellingsfiche!$AQ$1:$AQ$65536,0)),"")</f>
        <v>-</v>
      </c>
      <c r="AO353" s="20">
        <v>0</v>
      </c>
      <c r="AP353" s="20">
        <v>0</v>
      </c>
      <c r="AQ353" s="20">
        <v>2</v>
      </c>
      <c r="AR353" s="20">
        <v>0</v>
      </c>
      <c r="AS353" s="20">
        <v>0</v>
      </c>
      <c r="AT353" s="20">
        <v>0</v>
      </c>
      <c r="AU353" s="20">
        <v>0</v>
      </c>
      <c r="AV353" s="23">
        <v>0</v>
      </c>
      <c r="AW353" s="108">
        <v>0</v>
      </c>
      <c r="AX353" s="108">
        <v>0</v>
      </c>
      <c r="AY353" s="108">
        <v>1</v>
      </c>
      <c r="AZ353" s="108">
        <v>0</v>
      </c>
      <c r="BA353" s="114">
        <v>1</v>
      </c>
      <c r="BB353" s="20">
        <v>0</v>
      </c>
      <c r="BC353" s="113">
        <v>0</v>
      </c>
      <c r="BD353" s="200" t="str">
        <f>VLOOKUP($A353,'[3]allergenen 6nr'!$A$1:$O$1310,3,FALSE)</f>
        <v>X</v>
      </c>
      <c r="BE353" s="201" t="str">
        <f>VLOOKUP($A353,'[3]allergenen 6nr'!$A$1:$O$1310,4,FALSE)</f>
        <v>-</v>
      </c>
      <c r="BF353" s="201" t="str">
        <f>VLOOKUP($A353,'[3]allergenen 6nr'!$A$1:$O$1310,5,FALSE)</f>
        <v>+</v>
      </c>
      <c r="BG353" s="201" t="str">
        <f>VLOOKUP($A353,'[3]allergenen 6nr'!$A$1:$O$1310,6,FALSE)</f>
        <v>X</v>
      </c>
      <c r="BH353" s="201" t="str">
        <f>VLOOKUP($A353,'[3]allergenen 6nr'!$A$1:$O$1310,7,FALSE)</f>
        <v>+</v>
      </c>
      <c r="BI353" s="201" t="str">
        <f>VLOOKUP($A353,'[3]allergenen 6nr'!$A$1:$O$1310,8,FALSE)</f>
        <v>X</v>
      </c>
      <c r="BJ353" s="201" t="str">
        <f>VLOOKUP($A353,'[3]allergenen 6nr'!$A$1:$O$1310,9,FALSE)</f>
        <v>X</v>
      </c>
      <c r="BK353" s="201" t="str">
        <f>VLOOKUP($A353,'[3]allergenen 6nr'!$A$1:$O$1310,10,FALSE)</f>
        <v>-</v>
      </c>
      <c r="BL353" s="201" t="str">
        <f>VLOOKUP($A353,'[3]allergenen 6nr'!$A$1:$O$1310,11,FALSE)</f>
        <v>X</v>
      </c>
      <c r="BM353" s="201" t="str">
        <f>VLOOKUP($A353,'[3]allergenen 6nr'!$A$1:$O$1310,12,FALSE)</f>
        <v>-</v>
      </c>
      <c r="BN353" s="201" t="str">
        <f>VLOOKUP($A353,'[3]allergenen 6nr'!$A$1:$O$1310,13,FALSE)</f>
        <v>X</v>
      </c>
      <c r="BO353" s="201" t="str">
        <f>VLOOKUP($A353,'[3]allergenen 6nr'!$A$1:$O$1310,14,FALSE)</f>
        <v>-</v>
      </c>
      <c r="BP353" s="202" t="str">
        <f>VLOOKUP($A353,'[3]allergenen 6nr'!$A$1:$O$1310,15,FALSE)</f>
        <v>-</v>
      </c>
    </row>
    <row r="354" spans="1:68" x14ac:dyDescent="0.2">
      <c r="A354" s="54">
        <v>63932900</v>
      </c>
      <c r="B354" s="53" t="str">
        <f>VLOOKUP($A354,[1]maaltijden!$A$1:$IV$65536,4,FALSE)</f>
        <v>VAT EW JACHTSCHOTEL APPEL RODE KOOL EN AARDAPPELPUREE</v>
      </c>
      <c r="C354" s="46" t="str">
        <f>VLOOKUP($A354,[1]maaltijden!$A$1:$IV$65536,7,FALSE)</f>
        <v>C2227-3R</v>
      </c>
      <c r="D354" s="22" t="str">
        <f>VLOOKUP($A354,[1]maaltijden!$A$1:$IV$65536,10,FALSE)</f>
        <v>NVT</v>
      </c>
      <c r="E354" s="22" t="str">
        <f>VLOOKUP($A354,[1]maaltijden!$A$1:$IV$65536,13,FALSE)</f>
        <v xml:space="preserve">VAT X 6 </v>
      </c>
      <c r="F354" s="20">
        <f t="shared" si="5"/>
        <v>0</v>
      </c>
      <c r="G354" s="20" t="str">
        <f>VLOOKUP($A354,[1]maaltijden!$A$1:$IV$65536,27,FALSE)</f>
        <v>! ! !</v>
      </c>
      <c r="H354" s="22">
        <f>VLOOKUP($A354,[1]maaltijden!$A$1:$IV$65536,21,FALSE)</f>
        <v>3</v>
      </c>
      <c r="I354" s="22">
        <f>VLOOKUP($A354,[1]maaltijden!$A$1:$IV$65536,21,FALSE)</f>
        <v>3</v>
      </c>
      <c r="J354" s="22">
        <f>VLOOKUP($A354,[1]maaltijden!$A$1:$IV$65536,18,FALSE)</f>
        <v>3</v>
      </c>
      <c r="K354" s="22">
        <f>VLOOKUP($A354,[1]maaltijden!$A$1:$IV$65536,17,FALSE)</f>
        <v>3</v>
      </c>
      <c r="L354" s="22">
        <f>VLOOKUP($A354,[1]maaltijden!$A$1:$IV$65536,20,FALSE)</f>
        <v>2200</v>
      </c>
      <c r="M354" s="22">
        <f>VLOOKUP($A354,[1]maaltijden!$A$1:$IV$65536,22,FALSE)</f>
        <v>2200</v>
      </c>
      <c r="N354" s="135"/>
      <c r="O354" s="50"/>
      <c r="P354" s="19">
        <v>0</v>
      </c>
      <c r="Q354" s="20">
        <v>1</v>
      </c>
      <c r="R354" s="21">
        <v>0</v>
      </c>
      <c r="S354" s="19">
        <v>0</v>
      </c>
      <c r="T354" s="20">
        <v>1</v>
      </c>
      <c r="U354" s="19"/>
      <c r="V354" s="20"/>
      <c r="W354" s="20"/>
      <c r="X354" s="20"/>
      <c r="Y354" s="20"/>
      <c r="Z354" s="20"/>
      <c r="AA354" s="20"/>
      <c r="AB354" s="49"/>
      <c r="AC354" s="49"/>
      <c r="AD354" s="49"/>
      <c r="AE354" s="49"/>
      <c r="AF354" s="49"/>
      <c r="AG354" s="161">
        <v>0</v>
      </c>
      <c r="AH354" s="168">
        <v>2</v>
      </c>
      <c r="AI354" s="168">
        <v>1</v>
      </c>
      <c r="AJ354" s="20"/>
      <c r="AK354" s="20"/>
      <c r="AL354" s="21"/>
      <c r="AM354" s="19">
        <v>0</v>
      </c>
      <c r="AN354" s="20">
        <f>IFERROR(INDEX([2]lijnopstellingsfiche!$AP$1:$AP$65536,MATCH(A354,[2]lijnopstellingsfiche!$AQ$1:$AQ$65536,0)),"")</f>
        <v>1</v>
      </c>
      <c r="AO354" s="20">
        <v>0</v>
      </c>
      <c r="AP354" s="20">
        <v>0</v>
      </c>
      <c r="AQ354" s="20">
        <v>2</v>
      </c>
      <c r="AR354" s="20">
        <v>1</v>
      </c>
      <c r="AS354" s="20">
        <v>0</v>
      </c>
      <c r="AT354" s="20">
        <v>1</v>
      </c>
      <c r="AU354" s="20">
        <v>0</v>
      </c>
      <c r="AV354" s="23">
        <v>0</v>
      </c>
      <c r="AW354" s="108">
        <v>0</v>
      </c>
      <c r="AX354" s="108">
        <v>0</v>
      </c>
      <c r="AY354" s="108">
        <v>1</v>
      </c>
      <c r="AZ354" s="108">
        <v>0</v>
      </c>
      <c r="BA354" s="114">
        <v>1</v>
      </c>
      <c r="BB354" s="20">
        <v>0</v>
      </c>
      <c r="BC354" s="113">
        <v>0</v>
      </c>
      <c r="BD354" s="200" t="str">
        <f>VLOOKUP($A354,'[3]allergenen 6nr'!$A$1:$O$1310,3,FALSE)</f>
        <v>-</v>
      </c>
      <c r="BE354" s="201" t="str">
        <f>VLOOKUP($A354,'[3]allergenen 6nr'!$A$1:$O$1310,4,FALSE)</f>
        <v>+</v>
      </c>
      <c r="BF354" s="201" t="str">
        <f>VLOOKUP($A354,'[3]allergenen 6nr'!$A$1:$O$1310,5,FALSE)</f>
        <v>+</v>
      </c>
      <c r="BG354" s="201" t="str">
        <f>VLOOKUP($A354,'[3]allergenen 6nr'!$A$1:$O$1310,6,FALSE)</f>
        <v>-</v>
      </c>
      <c r="BH354" s="201" t="str">
        <f>VLOOKUP($A354,'[3]allergenen 6nr'!$A$1:$O$1310,7,FALSE)</f>
        <v>+</v>
      </c>
      <c r="BI354" s="201" t="str">
        <f>VLOOKUP($A354,'[3]allergenen 6nr'!$A$1:$O$1310,8,FALSE)</f>
        <v>+</v>
      </c>
      <c r="BJ354" s="201" t="str">
        <f>VLOOKUP($A354,'[3]allergenen 6nr'!$A$1:$O$1310,9,FALSE)</f>
        <v>-</v>
      </c>
      <c r="BK354" s="201" t="str">
        <f>VLOOKUP($A354,'[3]allergenen 6nr'!$A$1:$O$1310,10,FALSE)</f>
        <v>-</v>
      </c>
      <c r="BL354" s="201" t="str">
        <f>VLOOKUP($A354,'[3]allergenen 6nr'!$A$1:$O$1310,11,FALSE)</f>
        <v>+</v>
      </c>
      <c r="BM354" s="201" t="str">
        <f>VLOOKUP($A354,'[3]allergenen 6nr'!$A$1:$O$1310,12,FALSE)</f>
        <v>-</v>
      </c>
      <c r="BN354" s="201" t="str">
        <f>VLOOKUP($A354,'[3]allergenen 6nr'!$A$1:$O$1310,13,FALSE)</f>
        <v>X</v>
      </c>
      <c r="BO354" s="201" t="str">
        <f>VLOOKUP($A354,'[3]allergenen 6nr'!$A$1:$O$1310,14,FALSE)</f>
        <v>-</v>
      </c>
      <c r="BP354" s="202" t="str">
        <f>VLOOKUP($A354,'[3]allergenen 6nr'!$A$1:$O$1310,15,FALSE)</f>
        <v>-</v>
      </c>
    </row>
    <row r="355" spans="1:68" x14ac:dyDescent="0.2">
      <c r="A355" s="54">
        <v>63933000</v>
      </c>
      <c r="B355" s="53" t="str">
        <f>VLOOKUP($A355,[1]maaltijden!$A$1:$IV$65536,4,FALSE)</f>
        <v xml:space="preserve">VAT EW RUNDERLAPJE SNIJBONEN PUREE </v>
      </c>
      <c r="C355" s="46" t="str">
        <f>VLOOKUP($A355,[1]maaltijden!$A$1:$IV$65536,7,FALSE)</f>
        <v>C2227-3R</v>
      </c>
      <c r="D355" s="22" t="str">
        <f>VLOOKUP($A355,[1]maaltijden!$A$1:$IV$65536,10,FALSE)</f>
        <v>NVT</v>
      </c>
      <c r="E355" s="22" t="str">
        <f>VLOOKUP($A355,[1]maaltijden!$A$1:$IV$65536,13,FALSE)</f>
        <v xml:space="preserve">VAT X 6 </v>
      </c>
      <c r="F355" s="20">
        <f t="shared" si="5"/>
        <v>0</v>
      </c>
      <c r="G355" s="20" t="str">
        <f>VLOOKUP($A355,[1]maaltijden!$A$1:$IV$65536,27,FALSE)</f>
        <v>! !</v>
      </c>
      <c r="H355" s="22">
        <f>VLOOKUP($A355,[1]maaltijden!$A$1:$IV$65536,21,FALSE)</f>
        <v>4</v>
      </c>
      <c r="I355" s="22">
        <f>VLOOKUP($A355,[1]maaltijden!$A$1:$IV$65536,21,FALSE)</f>
        <v>4</v>
      </c>
      <c r="J355" s="22">
        <f>VLOOKUP($A355,[1]maaltijden!$A$1:$IV$65536,18,FALSE)</f>
        <v>3</v>
      </c>
      <c r="K355" s="22">
        <f>VLOOKUP($A355,[1]maaltijden!$A$1:$IV$65536,17,FALSE)</f>
        <v>2.5</v>
      </c>
      <c r="L355" s="22">
        <f>VLOOKUP($A355,[1]maaltijden!$A$1:$IV$65536,20,FALSE)</f>
        <v>2000</v>
      </c>
      <c r="M355" s="22">
        <f>VLOOKUP($A355,[1]maaltijden!$A$1:$IV$65536,22,FALSE)</f>
        <v>2000</v>
      </c>
      <c r="N355" s="135"/>
      <c r="O355" s="50"/>
      <c r="P355" s="19">
        <v>0</v>
      </c>
      <c r="Q355" s="20">
        <v>1</v>
      </c>
      <c r="R355" s="21">
        <v>0</v>
      </c>
      <c r="S355" s="19">
        <v>0</v>
      </c>
      <c r="T355" s="20">
        <v>1</v>
      </c>
      <c r="U355" s="19"/>
      <c r="V355" s="20"/>
      <c r="W355" s="20"/>
      <c r="X355" s="20"/>
      <c r="Y355" s="20"/>
      <c r="Z355" s="20"/>
      <c r="AA355" s="20"/>
      <c r="AB355" s="49"/>
      <c r="AC355" s="49"/>
      <c r="AD355" s="49"/>
      <c r="AE355" s="49"/>
      <c r="AF355" s="49"/>
      <c r="AG355" s="161">
        <v>0</v>
      </c>
      <c r="AH355" s="168">
        <v>2</v>
      </c>
      <c r="AI355" s="168">
        <v>1</v>
      </c>
      <c r="AJ355" s="20"/>
      <c r="AK355" s="20"/>
      <c r="AL355" s="21"/>
      <c r="AM355" s="19">
        <v>0</v>
      </c>
      <c r="AN355" s="20" t="str">
        <f>IFERROR(INDEX([2]lijnopstellingsfiche!$AP$1:$AP$65536,MATCH(A355,[2]lijnopstellingsfiche!$AQ$1:$AQ$65536,0)),"")</f>
        <v>-</v>
      </c>
      <c r="AO355" s="20">
        <v>0</v>
      </c>
      <c r="AP355" s="20">
        <v>0</v>
      </c>
      <c r="AQ355" s="20">
        <v>1</v>
      </c>
      <c r="AR355" s="20">
        <v>1</v>
      </c>
      <c r="AS355" s="20">
        <v>0</v>
      </c>
      <c r="AT355" s="20">
        <v>0</v>
      </c>
      <c r="AU355" s="20">
        <v>0</v>
      </c>
      <c r="AV355" s="23">
        <v>0</v>
      </c>
      <c r="AW355" s="108">
        <v>0</v>
      </c>
      <c r="AX355" s="108">
        <v>0</v>
      </c>
      <c r="AY355" s="108">
        <v>1</v>
      </c>
      <c r="AZ355" s="108">
        <v>0</v>
      </c>
      <c r="BA355" s="114">
        <v>1</v>
      </c>
      <c r="BB355" s="20">
        <v>0</v>
      </c>
      <c r="BC355" s="113">
        <v>0</v>
      </c>
      <c r="BD355" s="200" t="str">
        <f>VLOOKUP($A355,'[3]allergenen 6nr'!$A$1:$O$1310,3,FALSE)</f>
        <v>-</v>
      </c>
      <c r="BE355" s="201" t="str">
        <f>VLOOKUP($A355,'[3]allergenen 6nr'!$A$1:$O$1310,4,FALSE)</f>
        <v>+</v>
      </c>
      <c r="BF355" s="201" t="str">
        <f>VLOOKUP($A355,'[3]allergenen 6nr'!$A$1:$O$1310,5,FALSE)</f>
        <v>-</v>
      </c>
      <c r="BG355" s="201" t="str">
        <f>VLOOKUP($A355,'[3]allergenen 6nr'!$A$1:$O$1310,6,FALSE)</f>
        <v>-</v>
      </c>
      <c r="BH355" s="201" t="str">
        <f>VLOOKUP($A355,'[3]allergenen 6nr'!$A$1:$O$1310,7,FALSE)</f>
        <v>+</v>
      </c>
      <c r="BI355" s="201" t="str">
        <f>VLOOKUP($A355,'[3]allergenen 6nr'!$A$1:$O$1310,8,FALSE)</f>
        <v>-</v>
      </c>
      <c r="BJ355" s="201" t="str">
        <f>VLOOKUP($A355,'[3]allergenen 6nr'!$A$1:$O$1310,9,FALSE)</f>
        <v>-</v>
      </c>
      <c r="BK355" s="201" t="str">
        <f>VLOOKUP($A355,'[3]allergenen 6nr'!$A$1:$O$1310,10,FALSE)</f>
        <v>-</v>
      </c>
      <c r="BL355" s="201" t="str">
        <f>VLOOKUP($A355,'[3]allergenen 6nr'!$A$1:$O$1310,11,FALSE)</f>
        <v>-</v>
      </c>
      <c r="BM355" s="201" t="str">
        <f>VLOOKUP($A355,'[3]allergenen 6nr'!$A$1:$O$1310,12,FALSE)</f>
        <v>-</v>
      </c>
      <c r="BN355" s="201" t="str">
        <f>VLOOKUP($A355,'[3]allergenen 6nr'!$A$1:$O$1310,13,FALSE)</f>
        <v>-</v>
      </c>
      <c r="BO355" s="201" t="str">
        <f>VLOOKUP($A355,'[3]allergenen 6nr'!$A$1:$O$1310,14,FALSE)</f>
        <v>-</v>
      </c>
      <c r="BP355" s="202" t="str">
        <f>VLOOKUP($A355,'[3]allergenen 6nr'!$A$1:$O$1310,15,FALSE)</f>
        <v>-</v>
      </c>
    </row>
    <row r="356" spans="1:68" x14ac:dyDescent="0.2">
      <c r="A356" s="54">
        <v>63933600</v>
      </c>
      <c r="B356" s="53" t="str">
        <f>VLOOKUP($A356,[1]maaltijden!$A$1:$IV$65536,4,FALSE)</f>
        <v>VAT EW KIPFILET SPERZIEBONEN EN GEKRUIDE AARDAPPELENKUBUS</v>
      </c>
      <c r="C356" s="46" t="str">
        <f>VLOOKUP($A356,[1]maaltijden!$A$1:$IV$65536,7,FALSE)</f>
        <v>C2227-3R</v>
      </c>
      <c r="D356" s="22" t="str">
        <f>VLOOKUP($A356,[1]maaltijden!$A$1:$IV$65536,10,FALSE)</f>
        <v>NVT</v>
      </c>
      <c r="E356" s="22" t="str">
        <f>VLOOKUP($A356,[1]maaltijden!$A$1:$IV$65536,13,FALSE)</f>
        <v xml:space="preserve">VAT X 6 </v>
      </c>
      <c r="F356" s="20">
        <f t="shared" si="5"/>
        <v>0</v>
      </c>
      <c r="G356" s="20" t="str">
        <f>VLOOKUP($A356,[1]maaltijden!$A$1:$IV$65536,27,FALSE)</f>
        <v>! ! !</v>
      </c>
      <c r="H356" s="22">
        <f>VLOOKUP($A356,[1]maaltijden!$A$1:$IV$65536,21,FALSE)</f>
        <v>5</v>
      </c>
      <c r="I356" s="22">
        <f>VLOOKUP($A356,[1]maaltijden!$A$1:$IV$65536,21,FALSE)</f>
        <v>5</v>
      </c>
      <c r="J356" s="22">
        <f>VLOOKUP($A356,[1]maaltijden!$A$1:$IV$65536,18,FALSE)</f>
        <v>3</v>
      </c>
      <c r="K356" s="22">
        <f>VLOOKUP($A356,[1]maaltijden!$A$1:$IV$65536,17,FALSE)</f>
        <v>2</v>
      </c>
      <c r="L356" s="22">
        <f>VLOOKUP($A356,[1]maaltijden!$A$1:$IV$65536,20,FALSE)</f>
        <v>2000</v>
      </c>
      <c r="M356" s="22">
        <f>VLOOKUP($A356,[1]maaltijden!$A$1:$IV$65536,22,FALSE)</f>
        <v>2000</v>
      </c>
      <c r="N356" s="44"/>
      <c r="O356" s="11">
        <v>63903600</v>
      </c>
      <c r="P356" s="19">
        <v>0</v>
      </c>
      <c r="Q356" s="20">
        <v>1</v>
      </c>
      <c r="R356" s="21">
        <v>0</v>
      </c>
      <c r="S356" s="19">
        <v>0</v>
      </c>
      <c r="T356" s="20">
        <v>1</v>
      </c>
      <c r="U356" s="19">
        <v>1</v>
      </c>
      <c r="V356" s="20">
        <v>1</v>
      </c>
      <c r="W356" s="20">
        <v>1</v>
      </c>
      <c r="X356" s="20">
        <v>1</v>
      </c>
      <c r="Y356" s="20">
        <v>1</v>
      </c>
      <c r="Z356" s="20">
        <v>0</v>
      </c>
      <c r="AA356" s="20">
        <v>0</v>
      </c>
      <c r="AB356" s="49">
        <v>0</v>
      </c>
      <c r="AC356" s="49">
        <v>0</v>
      </c>
      <c r="AD356" s="49">
        <v>0</v>
      </c>
      <c r="AE356" s="49">
        <v>0</v>
      </c>
      <c r="AF356" s="49">
        <v>0</v>
      </c>
      <c r="AG356" s="161">
        <v>0</v>
      </c>
      <c r="AH356" s="168">
        <v>1</v>
      </c>
      <c r="AI356" s="168">
        <v>1</v>
      </c>
      <c r="AJ356" s="20"/>
      <c r="AK356" s="20"/>
      <c r="AL356" s="21"/>
      <c r="AM356" s="19">
        <v>0</v>
      </c>
      <c r="AN356" s="20">
        <f>IFERROR(INDEX([2]lijnopstellingsfiche!$AP$1:$AP$65536,MATCH(A356,[2]lijnopstellingsfiche!$AQ$1:$AQ$65536,0)),"")</f>
        <v>1</v>
      </c>
      <c r="AO356" s="20">
        <v>0</v>
      </c>
      <c r="AP356" s="20">
        <v>0</v>
      </c>
      <c r="AQ356" s="20">
        <v>1</v>
      </c>
      <c r="AR356" s="20">
        <v>0</v>
      </c>
      <c r="AS356" s="20">
        <v>0</v>
      </c>
      <c r="AT356" s="20">
        <v>1</v>
      </c>
      <c r="AU356" s="20">
        <v>0</v>
      </c>
      <c r="AV356" s="23">
        <v>0</v>
      </c>
      <c r="AW356" s="108">
        <v>0</v>
      </c>
      <c r="AX356" s="108">
        <v>0</v>
      </c>
      <c r="AY356" s="108">
        <v>1</v>
      </c>
      <c r="AZ356" s="108">
        <v>0</v>
      </c>
      <c r="BA356" s="114">
        <v>1</v>
      </c>
      <c r="BB356" s="20">
        <v>0</v>
      </c>
      <c r="BC356" s="113">
        <v>0</v>
      </c>
      <c r="BD356" s="200" t="str">
        <f>VLOOKUP($A356,'[3]allergenen 6nr'!$A$1:$O$1310,3,FALSE)</f>
        <v>-</v>
      </c>
      <c r="BE356" s="201" t="str">
        <f>VLOOKUP($A356,'[3]allergenen 6nr'!$A$1:$O$1310,4,FALSE)</f>
        <v>X</v>
      </c>
      <c r="BF356" s="201" t="str">
        <f>VLOOKUP($A356,'[3]allergenen 6nr'!$A$1:$O$1310,5,FALSE)</f>
        <v>+</v>
      </c>
      <c r="BG356" s="201" t="str">
        <f>VLOOKUP($A356,'[3]allergenen 6nr'!$A$1:$O$1310,6,FALSE)</f>
        <v>X</v>
      </c>
      <c r="BH356" s="201" t="str">
        <f>VLOOKUP($A356,'[3]allergenen 6nr'!$A$1:$O$1310,7,FALSE)</f>
        <v>+</v>
      </c>
      <c r="BI356" s="201" t="str">
        <f>VLOOKUP($A356,'[3]allergenen 6nr'!$A$1:$O$1310,8,FALSE)</f>
        <v>X</v>
      </c>
      <c r="BJ356" s="201" t="str">
        <f>VLOOKUP($A356,'[3]allergenen 6nr'!$A$1:$O$1310,9,FALSE)</f>
        <v>-</v>
      </c>
      <c r="BK356" s="201" t="str">
        <f>VLOOKUP($A356,'[3]allergenen 6nr'!$A$1:$O$1310,10,FALSE)</f>
        <v>-</v>
      </c>
      <c r="BL356" s="201" t="str">
        <f>VLOOKUP($A356,'[3]allergenen 6nr'!$A$1:$O$1310,11,FALSE)</f>
        <v>+</v>
      </c>
      <c r="BM356" s="201" t="str">
        <f>VLOOKUP($A356,'[3]allergenen 6nr'!$A$1:$O$1310,12,FALSE)</f>
        <v>-</v>
      </c>
      <c r="BN356" s="201" t="str">
        <f>VLOOKUP($A356,'[3]allergenen 6nr'!$A$1:$O$1310,13,FALSE)</f>
        <v>X</v>
      </c>
      <c r="BO356" s="201" t="str">
        <f>VLOOKUP($A356,'[3]allergenen 6nr'!$A$1:$O$1310,14,FALSE)</f>
        <v>-</v>
      </c>
      <c r="BP356" s="202" t="str">
        <f>VLOOKUP($A356,'[3]allergenen 6nr'!$A$1:$O$1310,15,FALSE)</f>
        <v>-</v>
      </c>
    </row>
    <row r="357" spans="1:68" x14ac:dyDescent="0.2">
      <c r="A357" s="89">
        <v>63933700</v>
      </c>
      <c r="B357" s="53" t="str">
        <f>VLOOKUP($A357,[1]maaltijden!$A$1:$IV$65536,4,FALSE)</f>
        <v xml:space="preserve">VAT EW KIP OMA'S RECEPT GEBAKKEN AARDAPPELEN         </v>
      </c>
      <c r="C357" s="46" t="str">
        <f>VLOOKUP($A357,[1]maaltijden!$A$1:$IV$65536,7,FALSE)</f>
        <v>C2227-2K</v>
      </c>
      <c r="D357" s="22" t="str">
        <f>VLOOKUP($A357,[1]maaltijden!$A$1:$IV$65536,10,FALSE)</f>
        <v>NVT</v>
      </c>
      <c r="E357" s="22" t="str">
        <f>VLOOKUP($A357,[1]maaltijden!$A$1:$IV$65536,13,FALSE)</f>
        <v xml:space="preserve">VAT X 6 </v>
      </c>
      <c r="F357" s="20">
        <f t="shared" si="5"/>
        <v>0</v>
      </c>
      <c r="G357" s="20" t="str">
        <f>VLOOKUP($A357,[1]maaltijden!$A$1:$IV$65536,27,FALSE)</f>
        <v>! ! !</v>
      </c>
      <c r="H357" s="22">
        <f>VLOOKUP($A357,[1]maaltijden!$A$1:$IV$65536,21,FALSE)</f>
        <v>6</v>
      </c>
      <c r="I357" s="22">
        <f>VLOOKUP($A357,[1]maaltijden!$A$1:$IV$65536,21,FALSE)</f>
        <v>6</v>
      </c>
      <c r="J357" s="22">
        <f>VLOOKUP($A357,[1]maaltijden!$A$1:$IV$65536,18,FALSE)</f>
        <v>3</v>
      </c>
      <c r="K357" s="22">
        <f>VLOOKUP($A357,[1]maaltijden!$A$1:$IV$65536,17,FALSE)</f>
        <v>2</v>
      </c>
      <c r="L357" s="22">
        <f>VLOOKUP($A357,[1]maaltijden!$A$1:$IV$65536,20,FALSE)</f>
        <v>2200</v>
      </c>
      <c r="M357" s="22">
        <f>VLOOKUP($A357,[1]maaltijden!$A$1:$IV$65536,22,FALSE)</f>
        <v>2200</v>
      </c>
      <c r="N357" s="135"/>
      <c r="O357" s="50">
        <v>63903700</v>
      </c>
      <c r="P357" s="19">
        <v>0</v>
      </c>
      <c r="Q357" s="20">
        <v>1</v>
      </c>
      <c r="R357" s="21">
        <v>0</v>
      </c>
      <c r="S357" s="19">
        <v>0</v>
      </c>
      <c r="T357" s="20">
        <v>1</v>
      </c>
      <c r="U357" s="19">
        <v>1</v>
      </c>
      <c r="V357" s="20">
        <v>1</v>
      </c>
      <c r="W357" s="20">
        <v>1</v>
      </c>
      <c r="X357" s="20">
        <v>1</v>
      </c>
      <c r="Y357" s="20">
        <v>1</v>
      </c>
      <c r="Z357" s="20">
        <v>0</v>
      </c>
      <c r="AA357" s="20">
        <v>0</v>
      </c>
      <c r="AB357" s="49">
        <v>0</v>
      </c>
      <c r="AC357" s="49">
        <v>0</v>
      </c>
      <c r="AD357" s="49">
        <v>0</v>
      </c>
      <c r="AE357" s="49">
        <v>0</v>
      </c>
      <c r="AF357" s="49">
        <v>0</v>
      </c>
      <c r="AG357" s="161">
        <v>0</v>
      </c>
      <c r="AH357" s="162">
        <v>1</v>
      </c>
      <c r="AI357" s="162">
        <v>0</v>
      </c>
      <c r="AJ357" s="162">
        <v>0</v>
      </c>
      <c r="AK357" s="162">
        <v>0</v>
      </c>
      <c r="AL357" s="163">
        <v>0</v>
      </c>
      <c r="AM357" s="19">
        <v>0</v>
      </c>
      <c r="AN357" s="20" t="str">
        <f>IFERROR(INDEX([2]lijnopstellingsfiche!$AP$1:$AP$65536,MATCH(A357,[2]lijnopstellingsfiche!$AQ$1:$AQ$65536,0)),"")</f>
        <v>-</v>
      </c>
      <c r="AO357" s="20">
        <v>0</v>
      </c>
      <c r="AP357" s="20">
        <v>0</v>
      </c>
      <c r="AQ357" s="20">
        <v>1</v>
      </c>
      <c r="AR357" s="20">
        <v>0</v>
      </c>
      <c r="AS357" s="20">
        <v>0</v>
      </c>
      <c r="AT357" s="20">
        <v>1</v>
      </c>
      <c r="AU357" s="20">
        <v>0</v>
      </c>
      <c r="AV357" s="23">
        <v>0</v>
      </c>
      <c r="AW357" s="108">
        <v>0</v>
      </c>
      <c r="AX357" s="108">
        <v>0</v>
      </c>
      <c r="AY357" s="108">
        <v>1</v>
      </c>
      <c r="AZ357" s="108">
        <v>0</v>
      </c>
      <c r="BA357" s="114">
        <v>1</v>
      </c>
      <c r="BB357" s="20">
        <v>0</v>
      </c>
      <c r="BC357" s="113">
        <v>0</v>
      </c>
      <c r="BD357" s="200" t="str">
        <f>VLOOKUP($A357,'[3]allergenen 6nr'!$A$1:$O$1310,3,FALSE)</f>
        <v>-</v>
      </c>
      <c r="BE357" s="201" t="str">
        <f>VLOOKUP($A357,'[3]allergenen 6nr'!$A$1:$O$1310,4,FALSE)</f>
        <v>-</v>
      </c>
      <c r="BF357" s="201" t="str">
        <f>VLOOKUP($A357,'[3]allergenen 6nr'!$A$1:$O$1310,5,FALSE)</f>
        <v>+</v>
      </c>
      <c r="BG357" s="201" t="str">
        <f>VLOOKUP($A357,'[3]allergenen 6nr'!$A$1:$O$1310,6,FALSE)</f>
        <v>-</v>
      </c>
      <c r="BH357" s="201" t="str">
        <f>VLOOKUP($A357,'[3]allergenen 6nr'!$A$1:$O$1310,7,FALSE)</f>
        <v>-</v>
      </c>
      <c r="BI357" s="201" t="str">
        <f>VLOOKUP($A357,'[3]allergenen 6nr'!$A$1:$O$1310,8,FALSE)</f>
        <v>-</v>
      </c>
      <c r="BJ357" s="201" t="str">
        <f>VLOOKUP($A357,'[3]allergenen 6nr'!$A$1:$O$1310,9,FALSE)</f>
        <v>-</v>
      </c>
      <c r="BK357" s="201" t="str">
        <f>VLOOKUP($A357,'[3]allergenen 6nr'!$A$1:$O$1310,10,FALSE)</f>
        <v>-</v>
      </c>
      <c r="BL357" s="201" t="str">
        <f>VLOOKUP($A357,'[3]allergenen 6nr'!$A$1:$O$1310,11,FALSE)</f>
        <v>+</v>
      </c>
      <c r="BM357" s="201" t="str">
        <f>VLOOKUP($A357,'[3]allergenen 6nr'!$A$1:$O$1310,12,FALSE)</f>
        <v>-</v>
      </c>
      <c r="BN357" s="201" t="str">
        <f>VLOOKUP($A357,'[3]allergenen 6nr'!$A$1:$O$1310,13,FALSE)</f>
        <v>-</v>
      </c>
      <c r="BO357" s="201" t="str">
        <f>VLOOKUP($A357,'[3]allergenen 6nr'!$A$1:$O$1310,14,FALSE)</f>
        <v>-</v>
      </c>
      <c r="BP357" s="202" t="str">
        <f>VLOOKUP($A357,'[3]allergenen 6nr'!$A$1:$O$1310,15,FALSE)</f>
        <v>-</v>
      </c>
    </row>
    <row r="358" spans="1:68" x14ac:dyDescent="0.2">
      <c r="A358" s="54">
        <v>63934800</v>
      </c>
      <c r="B358" s="53" t="str">
        <f>VLOOKUP($A358,[1]maaltijden!$A$1:$IV$65536,4,FALSE)</f>
        <v xml:space="preserve">VAT EW MEXIC. KIPSCHOTEL PAPRIKA ANANAS RIJST        </v>
      </c>
      <c r="C358" s="46" t="str">
        <f>VLOOKUP($A358,[1]maaltijden!$A$1:$IV$65536,7,FALSE)</f>
        <v>C2227-2K</v>
      </c>
      <c r="D358" s="22" t="str">
        <f>VLOOKUP($A358,[1]maaltijden!$A$1:$IV$65536,10,FALSE)</f>
        <v>NVT</v>
      </c>
      <c r="E358" s="22" t="str">
        <f>VLOOKUP($A358,[1]maaltijden!$A$1:$IV$65536,13,FALSE)</f>
        <v xml:space="preserve">VAT X 6 </v>
      </c>
      <c r="F358" s="20">
        <f t="shared" si="5"/>
        <v>0</v>
      </c>
      <c r="G358" s="20" t="str">
        <f>VLOOKUP($A358,[1]maaltijden!$A$1:$IV$65536,27,FALSE)</f>
        <v>! ! !</v>
      </c>
      <c r="H358" s="22">
        <f>VLOOKUP($A358,[1]maaltijden!$A$1:$IV$65536,21,FALSE)</f>
        <v>5</v>
      </c>
      <c r="I358" s="22">
        <f>VLOOKUP($A358,[1]maaltijden!$A$1:$IV$65536,21,FALSE)</f>
        <v>5</v>
      </c>
      <c r="J358" s="22">
        <f>VLOOKUP($A358,[1]maaltijden!$A$1:$IV$65536,18,FALSE)</f>
        <v>3</v>
      </c>
      <c r="K358" s="22">
        <f>VLOOKUP($A358,[1]maaltijden!$A$1:$IV$65536,17,FALSE)</f>
        <v>3</v>
      </c>
      <c r="L358" s="22">
        <f>VLOOKUP($A358,[1]maaltijden!$A$1:$IV$65536,20,FALSE)</f>
        <v>2200</v>
      </c>
      <c r="M358" s="22">
        <f>VLOOKUP($A358,[1]maaltijden!$A$1:$IV$65536,22,FALSE)</f>
        <v>2200</v>
      </c>
      <c r="N358" s="135"/>
      <c r="O358" s="50"/>
      <c r="P358" s="19">
        <v>0</v>
      </c>
      <c r="Q358" s="20">
        <v>1</v>
      </c>
      <c r="R358" s="21">
        <v>0</v>
      </c>
      <c r="S358" s="19">
        <v>0</v>
      </c>
      <c r="T358" s="20">
        <v>1</v>
      </c>
      <c r="U358" s="19"/>
      <c r="V358" s="20"/>
      <c r="W358" s="20"/>
      <c r="X358" s="20"/>
      <c r="Y358" s="20"/>
      <c r="Z358" s="20"/>
      <c r="AA358" s="20"/>
      <c r="AB358" s="49"/>
      <c r="AC358" s="49"/>
      <c r="AD358" s="49"/>
      <c r="AE358" s="49"/>
      <c r="AF358" s="49"/>
      <c r="AG358" s="161">
        <v>1</v>
      </c>
      <c r="AH358" s="168">
        <v>1</v>
      </c>
      <c r="AI358" s="20"/>
      <c r="AJ358" s="168">
        <v>1</v>
      </c>
      <c r="AK358" s="20"/>
      <c r="AL358" s="21"/>
      <c r="AM358" s="19">
        <v>0</v>
      </c>
      <c r="AN358" s="20">
        <f>IFERROR(INDEX([2]lijnopstellingsfiche!$AP$1:$AP$65536,MATCH(A358,[2]lijnopstellingsfiche!$AQ$1:$AQ$65536,0)),"")</f>
        <v>1</v>
      </c>
      <c r="AO358" s="20">
        <v>1</v>
      </c>
      <c r="AP358" s="20">
        <v>0</v>
      </c>
      <c r="AQ358" s="20">
        <v>1</v>
      </c>
      <c r="AR358" s="20">
        <v>0</v>
      </c>
      <c r="AS358" s="20">
        <v>0</v>
      </c>
      <c r="AT358" s="20">
        <v>1</v>
      </c>
      <c r="AU358" s="20">
        <v>0</v>
      </c>
      <c r="AV358" s="23">
        <v>0</v>
      </c>
      <c r="AW358" s="108">
        <v>0</v>
      </c>
      <c r="AX358" s="108">
        <v>0</v>
      </c>
      <c r="AY358" s="108">
        <v>1</v>
      </c>
      <c r="AZ358" s="108">
        <v>0</v>
      </c>
      <c r="BA358" s="114">
        <v>1</v>
      </c>
      <c r="BB358" s="20">
        <v>0</v>
      </c>
      <c r="BC358" s="113">
        <v>0</v>
      </c>
      <c r="BD358" s="200" t="str">
        <f>VLOOKUP($A358,'[3]allergenen 6nr'!$A$1:$O$1310,3,FALSE)</f>
        <v>-</v>
      </c>
      <c r="BE358" s="201" t="str">
        <f>VLOOKUP($A358,'[3]allergenen 6nr'!$A$1:$O$1310,4,FALSE)</f>
        <v>-</v>
      </c>
      <c r="BF358" s="201" t="str">
        <f>VLOOKUP($A358,'[3]allergenen 6nr'!$A$1:$O$1310,5,FALSE)</f>
        <v>-</v>
      </c>
      <c r="BG358" s="201" t="str">
        <f>VLOOKUP($A358,'[3]allergenen 6nr'!$A$1:$O$1310,6,FALSE)</f>
        <v>-</v>
      </c>
      <c r="BH358" s="201" t="str">
        <f>VLOOKUP($A358,'[3]allergenen 6nr'!$A$1:$O$1310,7,FALSE)</f>
        <v>-</v>
      </c>
      <c r="BI358" s="201" t="str">
        <f>VLOOKUP($A358,'[3]allergenen 6nr'!$A$1:$O$1310,8,FALSE)</f>
        <v>-</v>
      </c>
      <c r="BJ358" s="201" t="str">
        <f>VLOOKUP($A358,'[3]allergenen 6nr'!$A$1:$O$1310,9,FALSE)</f>
        <v>-</v>
      </c>
      <c r="BK358" s="201" t="str">
        <f>VLOOKUP($A358,'[3]allergenen 6nr'!$A$1:$O$1310,10,FALSE)</f>
        <v>-</v>
      </c>
      <c r="BL358" s="201" t="str">
        <f>VLOOKUP($A358,'[3]allergenen 6nr'!$A$1:$O$1310,11,FALSE)</f>
        <v>+</v>
      </c>
      <c r="BM358" s="201" t="str">
        <f>VLOOKUP($A358,'[3]allergenen 6nr'!$A$1:$O$1310,12,FALSE)</f>
        <v>-</v>
      </c>
      <c r="BN358" s="201" t="str">
        <f>VLOOKUP($A358,'[3]allergenen 6nr'!$A$1:$O$1310,13,FALSE)</f>
        <v>-</v>
      </c>
      <c r="BO358" s="201" t="str">
        <f>VLOOKUP($A358,'[3]allergenen 6nr'!$A$1:$O$1310,14,FALSE)</f>
        <v>-</v>
      </c>
      <c r="BP358" s="202" t="str">
        <f>VLOOKUP($A358,'[3]allergenen 6nr'!$A$1:$O$1310,15,FALSE)</f>
        <v>-</v>
      </c>
    </row>
    <row r="359" spans="1:68" x14ac:dyDescent="0.2">
      <c r="A359" s="54">
        <v>63935000</v>
      </c>
      <c r="B359" s="53" t="str">
        <f>VLOOKUP($A359,[1]maaltijden!$A$1:$IV$65536,4,FALSE)</f>
        <v xml:space="preserve">VAT EW HAMLAPJE TUINBOONTJES PUREE BIESL.     </v>
      </c>
      <c r="C359" s="46" t="str">
        <f>VLOOKUP($A359,[1]maaltijden!$A$1:$IV$65536,7,FALSE)</f>
        <v>C2227-3R</v>
      </c>
      <c r="D359" s="22" t="str">
        <f>VLOOKUP($A359,[1]maaltijden!$A$1:$IV$65536,10,FALSE)</f>
        <v>NVT</v>
      </c>
      <c r="E359" s="22" t="str">
        <f>VLOOKUP($A359,[1]maaltijden!$A$1:$IV$65536,13,FALSE)</f>
        <v xml:space="preserve">VAT X 6 </v>
      </c>
      <c r="F359" s="20">
        <f t="shared" si="5"/>
        <v>0</v>
      </c>
      <c r="G359" s="20" t="str">
        <f>VLOOKUP($A359,[1]maaltijden!$A$1:$IV$65536,27,FALSE)</f>
        <v>! !</v>
      </c>
      <c r="H359" s="22">
        <f>VLOOKUP($A359,[1]maaltijden!$A$1:$IV$65536,21,FALSE)</f>
        <v>5</v>
      </c>
      <c r="I359" s="22">
        <f>VLOOKUP($A359,[1]maaltijden!$A$1:$IV$65536,21,FALSE)</f>
        <v>5</v>
      </c>
      <c r="J359" s="22">
        <f>VLOOKUP($A359,[1]maaltijden!$A$1:$IV$65536,18,FALSE)</f>
        <v>3</v>
      </c>
      <c r="K359" s="22">
        <f>VLOOKUP($A359,[1]maaltijden!$A$1:$IV$65536,17,FALSE)</f>
        <v>2.5</v>
      </c>
      <c r="L359" s="22">
        <f>VLOOKUP($A359,[1]maaltijden!$A$1:$IV$65536,20,FALSE)</f>
        <v>2200</v>
      </c>
      <c r="M359" s="22">
        <f>VLOOKUP($A359,[1]maaltijden!$A$1:$IV$65536,22,FALSE)</f>
        <v>2200</v>
      </c>
      <c r="N359" s="135"/>
      <c r="O359" s="50"/>
      <c r="P359" s="19">
        <v>0</v>
      </c>
      <c r="Q359" s="20">
        <v>1</v>
      </c>
      <c r="R359" s="21">
        <v>0</v>
      </c>
      <c r="S359" s="19">
        <v>0</v>
      </c>
      <c r="T359" s="20">
        <v>1</v>
      </c>
      <c r="U359" s="19"/>
      <c r="V359" s="20"/>
      <c r="W359" s="20"/>
      <c r="X359" s="20"/>
      <c r="Y359" s="20"/>
      <c r="Z359" s="20"/>
      <c r="AA359" s="20"/>
      <c r="AB359" s="49"/>
      <c r="AC359" s="49"/>
      <c r="AD359" s="49"/>
      <c r="AE359" s="49"/>
      <c r="AF359" s="49"/>
      <c r="AG359" s="161">
        <v>0</v>
      </c>
      <c r="AH359" s="168">
        <v>2</v>
      </c>
      <c r="AI359" s="168">
        <v>1</v>
      </c>
      <c r="AJ359" s="20"/>
      <c r="AK359" s="20"/>
      <c r="AL359" s="21"/>
      <c r="AM359" s="19">
        <v>0</v>
      </c>
      <c r="AN359" s="20" t="str">
        <f>IFERROR(INDEX([2]lijnopstellingsfiche!$AP$1:$AP$65536,MATCH(A359,[2]lijnopstellingsfiche!$AQ$1:$AQ$65536,0)),"")</f>
        <v>-</v>
      </c>
      <c r="AO359" s="20">
        <v>0</v>
      </c>
      <c r="AP359" s="20">
        <v>0</v>
      </c>
      <c r="AQ359" s="20">
        <v>1</v>
      </c>
      <c r="AR359" s="20">
        <v>1</v>
      </c>
      <c r="AS359" s="20">
        <v>0</v>
      </c>
      <c r="AT359" s="20">
        <v>0</v>
      </c>
      <c r="AU359" s="20">
        <v>0</v>
      </c>
      <c r="AV359" s="23">
        <v>0</v>
      </c>
      <c r="AW359" s="108">
        <v>0</v>
      </c>
      <c r="AX359" s="108">
        <v>0</v>
      </c>
      <c r="AY359" s="108">
        <v>1</v>
      </c>
      <c r="AZ359" s="108">
        <v>0</v>
      </c>
      <c r="BA359" s="114">
        <v>1</v>
      </c>
      <c r="BB359" s="20">
        <v>0</v>
      </c>
      <c r="BC359" s="113">
        <v>0</v>
      </c>
      <c r="BD359" s="200" t="str">
        <f>VLOOKUP($A359,'[3]allergenen 6nr'!$A$1:$O$1310,3,FALSE)</f>
        <v>-</v>
      </c>
      <c r="BE359" s="201" t="str">
        <f>VLOOKUP($A359,'[3]allergenen 6nr'!$A$1:$O$1310,4,FALSE)</f>
        <v>+</v>
      </c>
      <c r="BF359" s="201" t="str">
        <f>VLOOKUP($A359,'[3]allergenen 6nr'!$A$1:$O$1310,5,FALSE)</f>
        <v>+</v>
      </c>
      <c r="BG359" s="201" t="str">
        <f>VLOOKUP($A359,'[3]allergenen 6nr'!$A$1:$O$1310,6,FALSE)</f>
        <v>X</v>
      </c>
      <c r="BH359" s="201" t="str">
        <f>VLOOKUP($A359,'[3]allergenen 6nr'!$A$1:$O$1310,7,FALSE)</f>
        <v>+</v>
      </c>
      <c r="BI359" s="201" t="str">
        <f>VLOOKUP($A359,'[3]allergenen 6nr'!$A$1:$O$1310,8,FALSE)</f>
        <v>X</v>
      </c>
      <c r="BJ359" s="201" t="str">
        <f>VLOOKUP($A359,'[3]allergenen 6nr'!$A$1:$O$1310,9,FALSE)</f>
        <v>-</v>
      </c>
      <c r="BK359" s="201" t="str">
        <f>VLOOKUP($A359,'[3]allergenen 6nr'!$A$1:$O$1310,10,FALSE)</f>
        <v>-</v>
      </c>
      <c r="BL359" s="201" t="str">
        <f>VLOOKUP($A359,'[3]allergenen 6nr'!$A$1:$O$1310,11,FALSE)</f>
        <v>X</v>
      </c>
      <c r="BM359" s="201" t="str">
        <f>VLOOKUP($A359,'[3]allergenen 6nr'!$A$1:$O$1310,12,FALSE)</f>
        <v>-</v>
      </c>
      <c r="BN359" s="201" t="str">
        <f>VLOOKUP($A359,'[3]allergenen 6nr'!$A$1:$O$1310,13,FALSE)</f>
        <v>X</v>
      </c>
      <c r="BO359" s="201" t="str">
        <f>VLOOKUP($A359,'[3]allergenen 6nr'!$A$1:$O$1310,14,FALSE)</f>
        <v>-</v>
      </c>
      <c r="BP359" s="202" t="str">
        <f>VLOOKUP($A359,'[3]allergenen 6nr'!$A$1:$O$1310,15,FALSE)</f>
        <v>-</v>
      </c>
    </row>
    <row r="360" spans="1:68" x14ac:dyDescent="0.2">
      <c r="A360" s="54">
        <v>63935500</v>
      </c>
      <c r="B360" s="53" t="str">
        <f>VLOOKUP($A360,[1]maaltijden!$A$1:$IV$65536,4,FALSE)</f>
        <v xml:space="preserve">VAT EW KIP ROZEMARIJN BROCCOLI EN AARDAPPELPUREE    </v>
      </c>
      <c r="C360" s="46" t="str">
        <f>VLOOKUP($A360,[1]maaltijden!$A$1:$IV$65536,7,FALSE)</f>
        <v>C2227-2K</v>
      </c>
      <c r="D360" s="22" t="str">
        <f>VLOOKUP($A360,[1]maaltijden!$A$1:$IV$65536,10,FALSE)</f>
        <v>NVT</v>
      </c>
      <c r="E360" s="22" t="str">
        <f>VLOOKUP($A360,[1]maaltijden!$A$1:$IV$65536,13,FALSE)</f>
        <v xml:space="preserve">VAT X 6 </v>
      </c>
      <c r="F360" s="20">
        <f t="shared" si="5"/>
        <v>0</v>
      </c>
      <c r="G360" s="20" t="str">
        <f>VLOOKUP($A360,[1]maaltijden!$A$1:$IV$65536,27,FALSE)</f>
        <v>! ! !</v>
      </c>
      <c r="H360" s="22">
        <f>VLOOKUP($A360,[1]maaltijden!$A$1:$IV$65536,21,FALSE)</f>
        <v>5</v>
      </c>
      <c r="I360" s="22">
        <f>VLOOKUP($A360,[1]maaltijden!$A$1:$IV$65536,21,FALSE)</f>
        <v>5</v>
      </c>
      <c r="J360" s="22">
        <f>VLOOKUP($A360,[1]maaltijden!$A$1:$IV$65536,18,FALSE)</f>
        <v>3</v>
      </c>
      <c r="K360" s="22">
        <f>VLOOKUP($A360,[1]maaltijden!$A$1:$IV$65536,17,FALSE)</f>
        <v>3</v>
      </c>
      <c r="L360" s="22">
        <f>VLOOKUP($A360,[1]maaltijden!$A$1:$IV$65536,20,FALSE)</f>
        <v>2200</v>
      </c>
      <c r="M360" s="22">
        <f>VLOOKUP($A360,[1]maaltijden!$A$1:$IV$65536,22,FALSE)</f>
        <v>2200</v>
      </c>
      <c r="N360" s="135"/>
      <c r="O360" s="50"/>
      <c r="P360" s="19">
        <v>0</v>
      </c>
      <c r="Q360" s="20">
        <v>1</v>
      </c>
      <c r="R360" s="21">
        <v>0</v>
      </c>
      <c r="S360" s="19">
        <v>0</v>
      </c>
      <c r="T360" s="20">
        <v>1</v>
      </c>
      <c r="U360" s="19"/>
      <c r="V360" s="20"/>
      <c r="W360" s="20"/>
      <c r="X360" s="20"/>
      <c r="Y360" s="20"/>
      <c r="Z360" s="20"/>
      <c r="AA360" s="20"/>
      <c r="AB360" s="49"/>
      <c r="AC360" s="49"/>
      <c r="AD360" s="49"/>
      <c r="AE360" s="49"/>
      <c r="AF360" s="49"/>
      <c r="AG360" s="161">
        <v>0</v>
      </c>
      <c r="AH360" s="168">
        <v>2</v>
      </c>
      <c r="AI360" s="168">
        <v>1</v>
      </c>
      <c r="AJ360" s="20"/>
      <c r="AK360" s="20"/>
      <c r="AL360" s="21"/>
      <c r="AM360" s="19">
        <v>0</v>
      </c>
      <c r="AN360" s="20">
        <f>IFERROR(INDEX([2]lijnopstellingsfiche!$AP$1:$AP$65536,MATCH(A360,[2]lijnopstellingsfiche!$AQ$1:$AQ$65536,0)),"")</f>
        <v>1</v>
      </c>
      <c r="AO360" s="20">
        <v>0</v>
      </c>
      <c r="AP360" s="20">
        <v>0</v>
      </c>
      <c r="AQ360" s="20">
        <v>1</v>
      </c>
      <c r="AR360" s="20">
        <v>1</v>
      </c>
      <c r="AS360" s="20">
        <v>0</v>
      </c>
      <c r="AT360" s="20">
        <v>1</v>
      </c>
      <c r="AU360" s="20">
        <v>0</v>
      </c>
      <c r="AV360" s="23">
        <v>0</v>
      </c>
      <c r="AW360" s="108">
        <v>0</v>
      </c>
      <c r="AX360" s="108">
        <v>0</v>
      </c>
      <c r="AY360" s="108">
        <v>1</v>
      </c>
      <c r="AZ360" s="108">
        <v>0</v>
      </c>
      <c r="BA360" s="114">
        <v>1</v>
      </c>
      <c r="BB360" s="20">
        <v>0</v>
      </c>
      <c r="BC360" s="113">
        <v>0</v>
      </c>
      <c r="BD360" s="200" t="str">
        <f>VLOOKUP($A360,'[3]allergenen 6nr'!$A$1:$O$1310,3,FALSE)</f>
        <v>-</v>
      </c>
      <c r="BE360" s="201" t="str">
        <f>VLOOKUP($A360,'[3]allergenen 6nr'!$A$1:$O$1310,4,FALSE)</f>
        <v>+</v>
      </c>
      <c r="BF360" s="201" t="str">
        <f>VLOOKUP($A360,'[3]allergenen 6nr'!$A$1:$O$1310,5,FALSE)</f>
        <v>+</v>
      </c>
      <c r="BG360" s="201" t="str">
        <f>VLOOKUP($A360,'[3]allergenen 6nr'!$A$1:$O$1310,6,FALSE)</f>
        <v>X</v>
      </c>
      <c r="BH360" s="201" t="str">
        <f>VLOOKUP($A360,'[3]allergenen 6nr'!$A$1:$O$1310,7,FALSE)</f>
        <v>+</v>
      </c>
      <c r="BI360" s="201" t="str">
        <f>VLOOKUP($A360,'[3]allergenen 6nr'!$A$1:$O$1310,8,FALSE)</f>
        <v>X</v>
      </c>
      <c r="BJ360" s="201" t="str">
        <f>VLOOKUP($A360,'[3]allergenen 6nr'!$A$1:$O$1310,9,FALSE)</f>
        <v>-</v>
      </c>
      <c r="BK360" s="201" t="str">
        <f>VLOOKUP($A360,'[3]allergenen 6nr'!$A$1:$O$1310,10,FALSE)</f>
        <v>-</v>
      </c>
      <c r="BL360" s="201" t="str">
        <f>VLOOKUP($A360,'[3]allergenen 6nr'!$A$1:$O$1310,11,FALSE)</f>
        <v>+</v>
      </c>
      <c r="BM360" s="201" t="str">
        <f>VLOOKUP($A360,'[3]allergenen 6nr'!$A$1:$O$1310,12,FALSE)</f>
        <v>-</v>
      </c>
      <c r="BN360" s="201" t="str">
        <f>VLOOKUP($A360,'[3]allergenen 6nr'!$A$1:$O$1310,13,FALSE)</f>
        <v>X</v>
      </c>
      <c r="BO360" s="201" t="str">
        <f>VLOOKUP($A360,'[3]allergenen 6nr'!$A$1:$O$1310,14,FALSE)</f>
        <v>-</v>
      </c>
      <c r="BP360" s="202" t="str">
        <f>VLOOKUP($A360,'[3]allergenen 6nr'!$A$1:$O$1310,15,FALSE)</f>
        <v>-</v>
      </c>
    </row>
    <row r="361" spans="1:68" x14ac:dyDescent="0.2">
      <c r="A361" s="89">
        <v>63936400</v>
      </c>
      <c r="B361" s="53" t="str">
        <f>VLOOKUP($A361,[1]maaltijden!$A$1:$IV$65536,4,FALSE)</f>
        <v xml:space="preserve">VAT EW INDON.RIJSTTAFEL BABI KETJAP,SAMBAL BONEN     </v>
      </c>
      <c r="C361" s="46" t="str">
        <f>VLOOKUP($A361,[1]maaltijden!$A$1:$IV$65536,7,FALSE)</f>
        <v>C2227-3R</v>
      </c>
      <c r="D361" s="22" t="str">
        <f>VLOOKUP($A361,[1]maaltijden!$A$1:$IV$65536,10,FALSE)</f>
        <v>NVT</v>
      </c>
      <c r="E361" s="22" t="str">
        <f>VLOOKUP($A361,[1]maaltijden!$A$1:$IV$65536,13,FALSE)</f>
        <v xml:space="preserve">VAT X 6 </v>
      </c>
      <c r="F361" s="20">
        <f t="shared" si="5"/>
        <v>0</v>
      </c>
      <c r="G361" s="20" t="str">
        <f>VLOOKUP($A361,[1]maaltijden!$A$1:$IV$65536,27,FALSE)</f>
        <v>! ! ! ! !</v>
      </c>
      <c r="H361" s="22">
        <f>VLOOKUP($A361,[1]maaltijden!$A$1:$IV$65536,21,FALSE)</f>
        <v>9</v>
      </c>
      <c r="I361" s="22">
        <f>VLOOKUP($A361,[1]maaltijden!$A$1:$IV$65536,21,FALSE)</f>
        <v>9</v>
      </c>
      <c r="J361" s="22">
        <f>VLOOKUP($A361,[1]maaltijden!$A$1:$IV$65536,18,FALSE)</f>
        <v>3</v>
      </c>
      <c r="K361" s="22">
        <f>VLOOKUP($A361,[1]maaltijden!$A$1:$IV$65536,17,FALSE)</f>
        <v>3</v>
      </c>
      <c r="L361" s="22">
        <f>VLOOKUP($A361,[1]maaltijden!$A$1:$IV$65536,20,FALSE)</f>
        <v>2000</v>
      </c>
      <c r="M361" s="22">
        <f>VLOOKUP($A361,[1]maaltijden!$A$1:$IV$65536,22,FALSE)</f>
        <v>2000</v>
      </c>
      <c r="N361" s="135"/>
      <c r="O361" s="50">
        <v>63906400</v>
      </c>
      <c r="P361" s="19">
        <v>0</v>
      </c>
      <c r="Q361" s="20">
        <v>1</v>
      </c>
      <c r="R361" s="21">
        <v>0</v>
      </c>
      <c r="S361" s="19">
        <v>0</v>
      </c>
      <c r="T361" s="20">
        <v>1</v>
      </c>
      <c r="U361" s="19">
        <v>0</v>
      </c>
      <c r="V361" s="20">
        <v>1</v>
      </c>
      <c r="W361" s="20">
        <v>1</v>
      </c>
      <c r="X361" s="20">
        <v>1</v>
      </c>
      <c r="Y361" s="20">
        <v>1</v>
      </c>
      <c r="Z361" s="20">
        <v>1</v>
      </c>
      <c r="AA361" s="20">
        <v>0</v>
      </c>
      <c r="AB361" s="49">
        <v>0</v>
      </c>
      <c r="AC361" s="49">
        <v>0</v>
      </c>
      <c r="AD361" s="49">
        <v>0</v>
      </c>
      <c r="AE361" s="49">
        <v>1</v>
      </c>
      <c r="AF361" s="49">
        <v>0</v>
      </c>
      <c r="AG361" s="161">
        <v>1</v>
      </c>
      <c r="AH361" s="162">
        <v>1</v>
      </c>
      <c r="AI361" s="162">
        <v>1</v>
      </c>
      <c r="AJ361" s="162">
        <v>1</v>
      </c>
      <c r="AK361" s="162">
        <v>0</v>
      </c>
      <c r="AL361" s="163">
        <v>0</v>
      </c>
      <c r="AM361" s="19">
        <v>0</v>
      </c>
      <c r="AN361" s="20">
        <f>IFERROR(INDEX([2]lijnopstellingsfiche!$AP$1:$AP$65536,MATCH(A361,[2]lijnopstellingsfiche!$AQ$1:$AQ$65536,0)),"")</f>
        <v>1</v>
      </c>
      <c r="AO361" s="20">
        <v>1</v>
      </c>
      <c r="AP361" s="20">
        <v>0</v>
      </c>
      <c r="AQ361" s="20">
        <v>1</v>
      </c>
      <c r="AR361" s="20">
        <v>0</v>
      </c>
      <c r="AS361" s="20">
        <v>0</v>
      </c>
      <c r="AT361" s="20">
        <v>1</v>
      </c>
      <c r="AU361" s="20">
        <v>0</v>
      </c>
      <c r="AV361" s="23">
        <v>0</v>
      </c>
      <c r="AW361" s="108">
        <v>0</v>
      </c>
      <c r="AX361" s="108">
        <v>0</v>
      </c>
      <c r="AY361" s="108">
        <v>1</v>
      </c>
      <c r="AZ361" s="108">
        <v>0</v>
      </c>
      <c r="BA361" s="114">
        <v>1</v>
      </c>
      <c r="BB361" s="20">
        <v>0</v>
      </c>
      <c r="BC361" s="113">
        <v>0</v>
      </c>
      <c r="BD361" s="200" t="str">
        <f>VLOOKUP($A361,'[3]allergenen 6nr'!$A$1:$O$1310,3,FALSE)</f>
        <v>-</v>
      </c>
      <c r="BE361" s="201" t="str">
        <f>VLOOKUP($A361,'[3]allergenen 6nr'!$A$1:$O$1310,4,FALSE)</f>
        <v>X</v>
      </c>
      <c r="BF361" s="201" t="str">
        <f>VLOOKUP($A361,'[3]allergenen 6nr'!$A$1:$O$1310,5,FALSE)</f>
        <v>+</v>
      </c>
      <c r="BG361" s="201" t="str">
        <f>VLOOKUP($A361,'[3]allergenen 6nr'!$A$1:$O$1310,6,FALSE)</f>
        <v>-</v>
      </c>
      <c r="BH361" s="201" t="str">
        <f>VLOOKUP($A361,'[3]allergenen 6nr'!$A$1:$O$1310,7,FALSE)</f>
        <v>X</v>
      </c>
      <c r="BI361" s="201" t="str">
        <f>VLOOKUP($A361,'[3]allergenen 6nr'!$A$1:$O$1310,8,FALSE)</f>
        <v>X</v>
      </c>
      <c r="BJ361" s="201" t="str">
        <f>VLOOKUP($A361,'[3]allergenen 6nr'!$A$1:$O$1310,9,FALSE)</f>
        <v>-</v>
      </c>
      <c r="BK361" s="201" t="str">
        <f>VLOOKUP($A361,'[3]allergenen 6nr'!$A$1:$O$1310,10,FALSE)</f>
        <v>-</v>
      </c>
      <c r="BL361" s="201" t="str">
        <f>VLOOKUP($A361,'[3]allergenen 6nr'!$A$1:$O$1310,11,FALSE)</f>
        <v>+</v>
      </c>
      <c r="BM361" s="201" t="str">
        <f>VLOOKUP($A361,'[3]allergenen 6nr'!$A$1:$O$1310,12,FALSE)</f>
        <v>+</v>
      </c>
      <c r="BN361" s="201" t="str">
        <f>VLOOKUP($A361,'[3]allergenen 6nr'!$A$1:$O$1310,13,FALSE)</f>
        <v>+</v>
      </c>
      <c r="BO361" s="201" t="str">
        <f>VLOOKUP($A361,'[3]allergenen 6nr'!$A$1:$O$1310,14,FALSE)</f>
        <v>-</v>
      </c>
      <c r="BP361" s="202" t="str">
        <f>VLOOKUP($A361,'[3]allergenen 6nr'!$A$1:$O$1310,15,FALSE)</f>
        <v>-</v>
      </c>
    </row>
    <row r="362" spans="1:68" x14ac:dyDescent="0.2">
      <c r="A362" s="54">
        <v>63936500</v>
      </c>
      <c r="B362" s="53" t="str">
        <f>VLOOKUP($A362,[1]maaltijden!$A$1:$IV$65536,4,FALSE)</f>
        <v>VAN SMAAK LASAGNE BOLOGNESE 375G</v>
      </c>
      <c r="C362" s="46" t="str">
        <f>VLOOKUP($A362,[1]maaltijden!$A$1:$IV$65536,7,FALSE)</f>
        <v>C2187-1F</v>
      </c>
      <c r="D362" s="22" t="str">
        <f>VLOOKUP($A362,[1]maaltijden!$A$1:$IV$65536,10,FALSE)</f>
        <v>NVT</v>
      </c>
      <c r="E362" s="22" t="str">
        <f>VLOOKUP($A362,[1]maaltijden!$A$1:$IV$65536,13,FALSE)</f>
        <v>H11X24</v>
      </c>
      <c r="F362" s="20">
        <f t="shared" si="5"/>
        <v>0</v>
      </c>
      <c r="G362" s="20" t="str">
        <f>VLOOKUP($A362,[1]maaltijden!$A$1:$IV$65536,27,FALSE)</f>
        <v>! ! !</v>
      </c>
      <c r="H362" s="22">
        <f>VLOOKUP($A362,[1]maaltijden!$A$1:$IV$65536,21,FALSE)</f>
        <v>5</v>
      </c>
      <c r="I362" s="22">
        <f>VLOOKUP($A362,[1]maaltijden!$A$1:$IV$65536,21,FALSE)</f>
        <v>5</v>
      </c>
      <c r="J362" s="22">
        <f>VLOOKUP($A362,[1]maaltijden!$A$1:$IV$65536,18,FALSE)</f>
        <v>3</v>
      </c>
      <c r="K362" s="22">
        <f>VLOOKUP($A362,[1]maaltijden!$A$1:$IV$65536,17,FALSE)</f>
        <v>2</v>
      </c>
      <c r="L362" s="22">
        <f>VLOOKUP($A362,[1]maaltijden!$A$1:$IV$65536,20,FALSE)</f>
        <v>2500</v>
      </c>
      <c r="M362" s="22">
        <f>VLOOKUP($A362,[1]maaltijden!$A$1:$IV$65536,22,FALSE)</f>
        <v>2500</v>
      </c>
      <c r="N362" s="135"/>
      <c r="O362" s="50"/>
      <c r="P362" s="19">
        <v>0</v>
      </c>
      <c r="Q362" s="20">
        <v>1</v>
      </c>
      <c r="R362" s="21">
        <v>0</v>
      </c>
      <c r="S362" s="19">
        <v>0</v>
      </c>
      <c r="T362" s="20">
        <v>1</v>
      </c>
      <c r="U362" s="19"/>
      <c r="V362" s="20"/>
      <c r="W362" s="20"/>
      <c r="X362" s="20"/>
      <c r="Y362" s="20"/>
      <c r="Z362" s="20"/>
      <c r="AA362" s="20"/>
      <c r="AB362" s="49"/>
      <c r="AC362" s="49"/>
      <c r="AD362" s="49"/>
      <c r="AE362" s="49"/>
      <c r="AF362" s="49"/>
      <c r="AG362" s="161">
        <v>0</v>
      </c>
      <c r="AH362" s="168">
        <v>2</v>
      </c>
      <c r="AI362" s="20"/>
      <c r="AJ362" s="20"/>
      <c r="AK362" s="20"/>
      <c r="AL362" s="21"/>
      <c r="AM362" s="19">
        <v>0</v>
      </c>
      <c r="AN362" s="20" t="str">
        <f>IFERROR(INDEX([2]lijnopstellingsfiche!$AP$1:$AP$65536,MATCH(A362,[2]lijnopstellingsfiche!$AQ$1:$AQ$65536,0)),"")</f>
        <v>-</v>
      </c>
      <c r="AO362" s="20">
        <v>0</v>
      </c>
      <c r="AP362" s="20">
        <v>1</v>
      </c>
      <c r="AQ362" s="20">
        <v>3</v>
      </c>
      <c r="AR362" s="20">
        <v>1</v>
      </c>
      <c r="AS362" s="20">
        <v>0</v>
      </c>
      <c r="AT362" s="20">
        <v>0</v>
      </c>
      <c r="AU362" s="20">
        <v>0</v>
      </c>
      <c r="AV362" s="23">
        <v>0</v>
      </c>
      <c r="AW362" s="108">
        <v>0</v>
      </c>
      <c r="AX362" s="108">
        <v>0</v>
      </c>
      <c r="AY362" s="108">
        <v>1</v>
      </c>
      <c r="AZ362" s="108">
        <v>0</v>
      </c>
      <c r="BA362" s="114">
        <v>1</v>
      </c>
      <c r="BB362" s="20">
        <v>0</v>
      </c>
      <c r="BC362" s="113">
        <v>0</v>
      </c>
      <c r="BD362" s="200" t="str">
        <f>VLOOKUP($A362,'[3]allergenen 6nr'!$A$1:$O$1310,3,FALSE)</f>
        <v>-</v>
      </c>
      <c r="BE362" s="201" t="str">
        <f>VLOOKUP($A362,'[3]allergenen 6nr'!$A$1:$O$1310,4,FALSE)</f>
        <v>+</v>
      </c>
      <c r="BF362" s="201" t="str">
        <f>VLOOKUP($A362,'[3]allergenen 6nr'!$A$1:$O$1310,5,FALSE)</f>
        <v>+</v>
      </c>
      <c r="BG362" s="201" t="str">
        <f>VLOOKUP($A362,'[3]allergenen 6nr'!$A$1:$O$1310,6,FALSE)</f>
        <v>X</v>
      </c>
      <c r="BH362" s="201" t="str">
        <f>VLOOKUP($A362,'[3]allergenen 6nr'!$A$1:$O$1310,7,FALSE)</f>
        <v>+</v>
      </c>
      <c r="BI362" s="201" t="str">
        <f>VLOOKUP($A362,'[3]allergenen 6nr'!$A$1:$O$1310,8,FALSE)</f>
        <v>X</v>
      </c>
      <c r="BJ362" s="201" t="str">
        <f>VLOOKUP($A362,'[3]allergenen 6nr'!$A$1:$O$1310,9,FALSE)</f>
        <v>-</v>
      </c>
      <c r="BK362" s="201" t="str">
        <f>VLOOKUP($A362,'[3]allergenen 6nr'!$A$1:$O$1310,10,FALSE)</f>
        <v>-</v>
      </c>
      <c r="BL362" s="201" t="str">
        <f>VLOOKUP($A362,'[3]allergenen 6nr'!$A$1:$O$1310,11,FALSE)</f>
        <v>+</v>
      </c>
      <c r="BM362" s="201" t="str">
        <f>VLOOKUP($A362,'[3]allergenen 6nr'!$A$1:$O$1310,12,FALSE)</f>
        <v>-</v>
      </c>
      <c r="BN362" s="201" t="str">
        <f>VLOOKUP($A362,'[3]allergenen 6nr'!$A$1:$O$1310,13,FALSE)</f>
        <v>X</v>
      </c>
      <c r="BO362" s="201" t="str">
        <f>VLOOKUP($A362,'[3]allergenen 6nr'!$A$1:$O$1310,14,FALSE)</f>
        <v>-</v>
      </c>
      <c r="BP362" s="202" t="str">
        <f>VLOOKUP($A362,'[3]allergenen 6nr'!$A$1:$O$1310,15,FALSE)</f>
        <v>X</v>
      </c>
    </row>
    <row r="363" spans="1:68" x14ac:dyDescent="0.2">
      <c r="A363" s="54">
        <v>63936600</v>
      </c>
      <c r="B363" s="53" t="str">
        <f>VLOOKUP($A363,[1]maaltijden!$A$1:$IV$65536,4,FALSE)</f>
        <v>VAN SMAAK LASAGNE SPINAZIE 375G</v>
      </c>
      <c r="C363" s="46" t="str">
        <f>VLOOKUP($A363,[1]maaltijden!$A$1:$IV$65536,7,FALSE)</f>
        <v>C2187-1F</v>
      </c>
      <c r="D363" s="22" t="str">
        <f>VLOOKUP($A363,[1]maaltijden!$A$1:$IV$65536,10,FALSE)</f>
        <v>NVT</v>
      </c>
      <c r="E363" s="22" t="str">
        <f>VLOOKUP($A363,[1]maaltijden!$A$1:$IV$65536,13,FALSE)</f>
        <v>H11X24</v>
      </c>
      <c r="F363" s="20">
        <f t="shared" si="5"/>
        <v>0</v>
      </c>
      <c r="G363" s="20" t="str">
        <f>VLOOKUP($A363,[1]maaltijden!$A$1:$IV$65536,27,FALSE)</f>
        <v>! !</v>
      </c>
      <c r="H363" s="22">
        <f>VLOOKUP($A363,[1]maaltijden!$A$1:$IV$65536,21,FALSE)</f>
        <v>5</v>
      </c>
      <c r="I363" s="22">
        <f>VLOOKUP($A363,[1]maaltijden!$A$1:$IV$65536,21,FALSE)</f>
        <v>5</v>
      </c>
      <c r="J363" s="22">
        <f>VLOOKUP($A363,[1]maaltijden!$A$1:$IV$65536,18,FALSE)</f>
        <v>3</v>
      </c>
      <c r="K363" s="22">
        <f>VLOOKUP($A363,[1]maaltijden!$A$1:$IV$65536,17,FALSE)</f>
        <v>3</v>
      </c>
      <c r="L363" s="22">
        <f>VLOOKUP($A363,[1]maaltijden!$A$1:$IV$65536,20,FALSE)</f>
        <v>2500</v>
      </c>
      <c r="M363" s="22">
        <f>VLOOKUP($A363,[1]maaltijden!$A$1:$IV$65536,22,FALSE)</f>
        <v>2500</v>
      </c>
      <c r="N363" s="135"/>
      <c r="O363" s="50"/>
      <c r="P363" s="19">
        <v>0</v>
      </c>
      <c r="Q363" s="20">
        <v>1</v>
      </c>
      <c r="R363" s="21">
        <v>0</v>
      </c>
      <c r="S363" s="19">
        <v>0</v>
      </c>
      <c r="T363" s="20">
        <v>1</v>
      </c>
      <c r="U363" s="19"/>
      <c r="V363" s="20"/>
      <c r="W363" s="20"/>
      <c r="X363" s="20"/>
      <c r="Y363" s="20"/>
      <c r="Z363" s="20"/>
      <c r="AA363" s="20"/>
      <c r="AB363" s="49"/>
      <c r="AC363" s="49"/>
      <c r="AD363" s="49"/>
      <c r="AE363" s="49"/>
      <c r="AF363" s="49"/>
      <c r="AG363" s="161">
        <v>0</v>
      </c>
      <c r="AH363" s="168">
        <v>2</v>
      </c>
      <c r="AI363" s="168">
        <v>1</v>
      </c>
      <c r="AJ363" s="20"/>
      <c r="AK363" s="20"/>
      <c r="AL363" s="21"/>
      <c r="AM363" s="19">
        <v>0</v>
      </c>
      <c r="AN363" s="20" t="str">
        <f>IFERROR(INDEX([2]lijnopstellingsfiche!$AP$1:$AP$65536,MATCH(A363,[2]lijnopstellingsfiche!$AQ$1:$AQ$65536,0)),"")</f>
        <v>-</v>
      </c>
      <c r="AO363" s="20">
        <v>0</v>
      </c>
      <c r="AP363" s="20">
        <v>1</v>
      </c>
      <c r="AQ363" s="20">
        <v>3</v>
      </c>
      <c r="AR363" s="20">
        <v>1</v>
      </c>
      <c r="AS363" s="20">
        <v>0</v>
      </c>
      <c r="AT363" s="20">
        <v>0</v>
      </c>
      <c r="AU363" s="20">
        <v>0</v>
      </c>
      <c r="AV363" s="23">
        <v>0</v>
      </c>
      <c r="AW363" s="108">
        <v>0</v>
      </c>
      <c r="AX363" s="108">
        <v>0</v>
      </c>
      <c r="AY363" s="108">
        <v>1</v>
      </c>
      <c r="AZ363" s="108">
        <v>0</v>
      </c>
      <c r="BA363" s="114">
        <v>1</v>
      </c>
      <c r="BB363" s="20">
        <v>0</v>
      </c>
      <c r="BC363" s="113">
        <v>0</v>
      </c>
      <c r="BD363" s="200" t="str">
        <f>VLOOKUP($A363,'[3]allergenen 6nr'!$A$1:$O$1310,3,FALSE)</f>
        <v>-</v>
      </c>
      <c r="BE363" s="201" t="str">
        <f>VLOOKUP($A363,'[3]allergenen 6nr'!$A$1:$O$1310,4,FALSE)</f>
        <v>+</v>
      </c>
      <c r="BF363" s="201" t="str">
        <f>VLOOKUP($A363,'[3]allergenen 6nr'!$A$1:$O$1310,5,FALSE)</f>
        <v>+</v>
      </c>
      <c r="BG363" s="201" t="str">
        <f>VLOOKUP($A363,'[3]allergenen 6nr'!$A$1:$O$1310,6,FALSE)</f>
        <v>-</v>
      </c>
      <c r="BH363" s="201" t="str">
        <f>VLOOKUP($A363,'[3]allergenen 6nr'!$A$1:$O$1310,7,FALSE)</f>
        <v>+</v>
      </c>
      <c r="BI363" s="201" t="str">
        <f>VLOOKUP($A363,'[3]allergenen 6nr'!$A$1:$O$1310,8,FALSE)</f>
        <v>-</v>
      </c>
      <c r="BJ363" s="201" t="str">
        <f>VLOOKUP($A363,'[3]allergenen 6nr'!$A$1:$O$1310,9,FALSE)</f>
        <v>-</v>
      </c>
      <c r="BK363" s="201" t="str">
        <f>VLOOKUP($A363,'[3]allergenen 6nr'!$A$1:$O$1310,10,FALSE)</f>
        <v>-</v>
      </c>
      <c r="BL363" s="201" t="str">
        <f>VLOOKUP($A363,'[3]allergenen 6nr'!$A$1:$O$1310,11,FALSE)</f>
        <v>-</v>
      </c>
      <c r="BM363" s="201" t="str">
        <f>VLOOKUP($A363,'[3]allergenen 6nr'!$A$1:$O$1310,12,FALSE)</f>
        <v>-</v>
      </c>
      <c r="BN363" s="201" t="str">
        <f>VLOOKUP($A363,'[3]allergenen 6nr'!$A$1:$O$1310,13,FALSE)</f>
        <v>-</v>
      </c>
      <c r="BO363" s="201" t="str">
        <f>VLOOKUP($A363,'[3]allergenen 6nr'!$A$1:$O$1310,14,FALSE)</f>
        <v>-</v>
      </c>
      <c r="BP363" s="202" t="str">
        <f>VLOOKUP($A363,'[3]allergenen 6nr'!$A$1:$O$1310,15,FALSE)</f>
        <v>X</v>
      </c>
    </row>
    <row r="364" spans="1:68" x14ac:dyDescent="0.2">
      <c r="A364" s="54">
        <v>63952800</v>
      </c>
      <c r="B364" s="53" t="str">
        <f>VLOOKUP($A364,[1]maaltijden!$A$1:$IV$65536,4,FALSE)</f>
        <v>VAT EDJ RISOTTO GEITENKAAS RODE BIET</v>
      </c>
      <c r="C364" s="46" t="str">
        <f>VLOOKUP($A364,[1]maaltijden!$A$1:$IV$65536,7,FALSE)</f>
        <v xml:space="preserve">C2227-1H </v>
      </c>
      <c r="D364" s="22" t="str">
        <f>VLOOKUP($A364,[1]maaltijden!$A$1:$IV$65536,10,FALSE)</f>
        <v>NVT</v>
      </c>
      <c r="E364" s="22" t="str">
        <f>VLOOKUP($A364,[1]maaltijden!$A$1:$IV$65536,13,FALSE)</f>
        <v xml:space="preserve">VAT X 6 </v>
      </c>
      <c r="F364" s="20">
        <f t="shared" si="5"/>
        <v>0</v>
      </c>
      <c r="G364" s="20" t="str">
        <f>VLOOKUP($A364,[1]maaltijden!$A$1:$IV$65536,27,FALSE)</f>
        <v>! ! !</v>
      </c>
      <c r="H364" s="22">
        <f>VLOOKUP($A364,[1]maaltijden!$A$1:$IV$65536,21,FALSE)</f>
        <v>6</v>
      </c>
      <c r="I364" s="22">
        <f>VLOOKUP($A364,[1]maaltijden!$A$1:$IV$65536,21,FALSE)</f>
        <v>6</v>
      </c>
      <c r="J364" s="22">
        <f>VLOOKUP($A364,[1]maaltijden!$A$1:$IV$65536,18,FALSE)</f>
        <v>3</v>
      </c>
      <c r="K364" s="22">
        <f>VLOOKUP($A364,[1]maaltijden!$A$1:$IV$65536,17,FALSE)</f>
        <v>3</v>
      </c>
      <c r="L364" s="22">
        <f>VLOOKUP($A364,[1]maaltijden!$A$1:$IV$65536,20,FALSE)</f>
        <v>1750</v>
      </c>
      <c r="M364" s="22">
        <f>VLOOKUP($A364,[1]maaltijden!$A$1:$IV$65536,22,FALSE)</f>
        <v>1750</v>
      </c>
      <c r="N364" s="135"/>
      <c r="O364" s="50"/>
      <c r="P364" s="19">
        <v>0</v>
      </c>
      <c r="Q364" s="20">
        <v>1</v>
      </c>
      <c r="R364" s="21">
        <v>0</v>
      </c>
      <c r="S364" s="19">
        <v>0</v>
      </c>
      <c r="T364" s="20">
        <v>1</v>
      </c>
      <c r="U364" s="19"/>
      <c r="V364" s="20"/>
      <c r="W364" s="20"/>
      <c r="X364" s="20"/>
      <c r="Y364" s="20"/>
      <c r="Z364" s="20"/>
      <c r="AA364" s="20"/>
      <c r="AB364" s="49"/>
      <c r="AC364" s="49"/>
      <c r="AD364" s="49"/>
      <c r="AE364" s="49"/>
      <c r="AF364" s="49"/>
      <c r="AG364" s="161">
        <v>1</v>
      </c>
      <c r="AH364" s="168">
        <v>2</v>
      </c>
      <c r="AI364" s="20"/>
      <c r="AJ364" s="20"/>
      <c r="AK364" s="20"/>
      <c r="AL364" s="21"/>
      <c r="AM364" s="19">
        <v>0</v>
      </c>
      <c r="AN364" s="20">
        <f>IFERROR(INDEX([2]lijnopstellingsfiche!$AP$1:$AP$65536,MATCH(A364,[2]lijnopstellingsfiche!$AQ$1:$AQ$65536,0)),"")</f>
        <v>1</v>
      </c>
      <c r="AO364" s="20">
        <v>1</v>
      </c>
      <c r="AP364" s="20">
        <v>1</v>
      </c>
      <c r="AQ364" s="20">
        <v>2</v>
      </c>
      <c r="AR364" s="20">
        <v>0</v>
      </c>
      <c r="AS364" s="20">
        <v>0</v>
      </c>
      <c r="AT364" s="20">
        <v>0</v>
      </c>
      <c r="AU364" s="20">
        <v>0</v>
      </c>
      <c r="AV364" s="23">
        <v>0</v>
      </c>
      <c r="AW364" s="108">
        <v>0</v>
      </c>
      <c r="AX364" s="108">
        <v>0</v>
      </c>
      <c r="AY364" s="108">
        <v>1</v>
      </c>
      <c r="AZ364" s="108">
        <v>0</v>
      </c>
      <c r="BA364" s="114">
        <v>1</v>
      </c>
      <c r="BB364" s="20">
        <v>0</v>
      </c>
      <c r="BC364" s="113">
        <v>0</v>
      </c>
      <c r="BD364" s="200" t="e">
        <f>VLOOKUP($A364,'[3]allergenen 6nr'!$A$1:$O$1310,3,FALSE)</f>
        <v>#N/A</v>
      </c>
      <c r="BE364" s="201" t="e">
        <f>VLOOKUP($A364,'[3]allergenen 6nr'!$A$1:$O$1310,4,FALSE)</f>
        <v>#N/A</v>
      </c>
      <c r="BF364" s="201" t="e">
        <f>VLOOKUP($A364,'[3]allergenen 6nr'!$A$1:$O$1310,5,FALSE)</f>
        <v>#N/A</v>
      </c>
      <c r="BG364" s="201" t="e">
        <f>VLOOKUP($A364,'[3]allergenen 6nr'!$A$1:$O$1310,6,FALSE)</f>
        <v>#N/A</v>
      </c>
      <c r="BH364" s="201" t="e">
        <f>VLOOKUP($A364,'[3]allergenen 6nr'!$A$1:$O$1310,7,FALSE)</f>
        <v>#N/A</v>
      </c>
      <c r="BI364" s="201" t="e">
        <f>VLOOKUP($A364,'[3]allergenen 6nr'!$A$1:$O$1310,8,FALSE)</f>
        <v>#N/A</v>
      </c>
      <c r="BJ364" s="201" t="e">
        <f>VLOOKUP($A364,'[3]allergenen 6nr'!$A$1:$O$1310,9,FALSE)</f>
        <v>#N/A</v>
      </c>
      <c r="BK364" s="201" t="e">
        <f>VLOOKUP($A364,'[3]allergenen 6nr'!$A$1:$O$1310,10,FALSE)</f>
        <v>#N/A</v>
      </c>
      <c r="BL364" s="201" t="e">
        <f>VLOOKUP($A364,'[3]allergenen 6nr'!$A$1:$O$1310,11,FALSE)</f>
        <v>#N/A</v>
      </c>
      <c r="BM364" s="201" t="e">
        <f>VLOOKUP($A364,'[3]allergenen 6nr'!$A$1:$O$1310,12,FALSE)</f>
        <v>#N/A</v>
      </c>
      <c r="BN364" s="201" t="e">
        <f>VLOOKUP($A364,'[3]allergenen 6nr'!$A$1:$O$1310,13,FALSE)</f>
        <v>#N/A</v>
      </c>
      <c r="BO364" s="201" t="e">
        <f>VLOOKUP($A364,'[3]allergenen 6nr'!$A$1:$O$1310,14,FALSE)</f>
        <v>#N/A</v>
      </c>
      <c r="BP364" s="202" t="e">
        <f>VLOOKUP($A364,'[3]allergenen 6nr'!$A$1:$O$1310,15,FALSE)</f>
        <v>#N/A</v>
      </c>
    </row>
    <row r="365" spans="1:68" x14ac:dyDescent="0.2">
      <c r="A365" s="54">
        <v>63953100</v>
      </c>
      <c r="B365" s="53" t="str">
        <f>VLOOKUP($A365,[1]maaltijden!$A$1:$IV$65536,4,FALSE)</f>
        <v>VAT EDJ VEG DUO RISOTTO GORGONZOLA ASPERGE</v>
      </c>
      <c r="C365" s="46" t="str">
        <f>VLOOKUP($A365,[1]maaltijden!$A$1:$IV$65536,7,FALSE)</f>
        <v xml:space="preserve">C2227-1H </v>
      </c>
      <c r="D365" s="22" t="str">
        <f>VLOOKUP($A365,[1]maaltijden!$A$1:$IV$65536,10,FALSE)</f>
        <v>NVT</v>
      </c>
      <c r="E365" s="22" t="str">
        <f>VLOOKUP($A365,[1]maaltijden!$A$1:$IV$65536,13,FALSE)</f>
        <v xml:space="preserve">VAT X 6 </v>
      </c>
      <c r="F365" s="20">
        <f t="shared" si="5"/>
        <v>0</v>
      </c>
      <c r="G365" s="20" t="str">
        <f>VLOOKUP($A365,[1]maaltijden!$A$1:$IV$65536,27,FALSE)</f>
        <v>! ! !</v>
      </c>
      <c r="H365" s="22">
        <f>VLOOKUP($A365,[1]maaltijden!$A$1:$IV$65536,21,FALSE)</f>
        <v>5</v>
      </c>
      <c r="I365" s="22">
        <f>VLOOKUP($A365,[1]maaltijden!$A$1:$IV$65536,21,FALSE)</f>
        <v>5</v>
      </c>
      <c r="J365" s="22">
        <f>VLOOKUP($A365,[1]maaltijden!$A$1:$IV$65536,18,FALSE)</f>
        <v>3</v>
      </c>
      <c r="K365" s="22">
        <f>VLOOKUP($A365,[1]maaltijden!$A$1:$IV$65536,17,FALSE)</f>
        <v>3</v>
      </c>
      <c r="L365" s="22">
        <f>VLOOKUP($A365,[1]maaltijden!$A$1:$IV$65536,20,FALSE)</f>
        <v>2000</v>
      </c>
      <c r="M365" s="22">
        <f>VLOOKUP($A365,[1]maaltijden!$A$1:$IV$65536,22,FALSE)</f>
        <v>2000</v>
      </c>
      <c r="N365" s="135"/>
      <c r="O365" s="50">
        <v>63563800</v>
      </c>
      <c r="P365" s="19">
        <v>0</v>
      </c>
      <c r="Q365" s="20">
        <v>1</v>
      </c>
      <c r="R365" s="21">
        <v>0</v>
      </c>
      <c r="S365" s="19">
        <v>0</v>
      </c>
      <c r="T365" s="20">
        <v>1</v>
      </c>
      <c r="U365" s="19"/>
      <c r="V365" s="20"/>
      <c r="W365" s="20"/>
      <c r="X365" s="20"/>
      <c r="Y365" s="20"/>
      <c r="Z365" s="20"/>
      <c r="AA365" s="20"/>
      <c r="AB365" s="49"/>
      <c r="AC365" s="49"/>
      <c r="AD365" s="49"/>
      <c r="AE365" s="49"/>
      <c r="AF365" s="49"/>
      <c r="AG365" s="19"/>
      <c r="AH365" s="20"/>
      <c r="AI365" s="20"/>
      <c r="AJ365" s="20"/>
      <c r="AK365" s="20"/>
      <c r="AL365" s="21"/>
      <c r="AM365" s="19">
        <v>0</v>
      </c>
      <c r="AN365" s="20"/>
      <c r="AO365" s="20">
        <v>1</v>
      </c>
      <c r="AP365" s="20">
        <v>1</v>
      </c>
      <c r="AQ365" s="20">
        <v>1</v>
      </c>
      <c r="AR365" s="20">
        <v>0</v>
      </c>
      <c r="AS365" s="20">
        <v>0</v>
      </c>
      <c r="AT365" s="20">
        <v>0</v>
      </c>
      <c r="AU365" s="20">
        <v>0</v>
      </c>
      <c r="AV365" s="23">
        <v>0</v>
      </c>
      <c r="AW365" s="108">
        <v>0</v>
      </c>
      <c r="AX365" s="108">
        <v>0</v>
      </c>
      <c r="AY365" s="108">
        <v>1</v>
      </c>
      <c r="AZ365" s="108">
        <v>0</v>
      </c>
      <c r="BA365" s="114">
        <v>1</v>
      </c>
      <c r="BB365" s="20">
        <v>0</v>
      </c>
      <c r="BC365" s="113">
        <v>0</v>
      </c>
      <c r="BD365" s="200"/>
      <c r="BE365" s="201"/>
      <c r="BF365" s="201"/>
      <c r="BG365" s="201"/>
      <c r="BH365" s="201"/>
      <c r="BI365" s="201"/>
      <c r="BJ365" s="201"/>
      <c r="BK365" s="201"/>
      <c r="BL365" s="201"/>
      <c r="BM365" s="201"/>
      <c r="BN365" s="201"/>
      <c r="BO365" s="201"/>
      <c r="BP365" s="202"/>
    </row>
    <row r="366" spans="1:68" x14ac:dyDescent="0.2">
      <c r="A366" s="54">
        <v>63953400</v>
      </c>
      <c r="B366" s="53" t="str">
        <f>VLOOKUP($A366,[1]maaltijden!$A$1:$IV$65536,4,FALSE)</f>
        <v>VAT EDJ ZALMFILET KREEFTENSAUS SPINAZIE PUREE</v>
      </c>
      <c r="C366" s="46" t="str">
        <f>VLOOKUP($A366,[1]maaltijden!$A$1:$IV$65536,7,FALSE)</f>
        <v>C2227-3R</v>
      </c>
      <c r="D366" s="22" t="str">
        <f>VLOOKUP($A366,[1]maaltijden!$A$1:$IV$65536,10,FALSE)</f>
        <v>NVT</v>
      </c>
      <c r="E366" s="22" t="str">
        <f>VLOOKUP($A366,[1]maaltijden!$A$1:$IV$65536,13,FALSE)</f>
        <v xml:space="preserve">VAT X 6 </v>
      </c>
      <c r="F366" s="20">
        <f t="shared" si="5"/>
        <v>0</v>
      </c>
      <c r="G366" s="20" t="str">
        <f>VLOOKUP($A366,[1]maaltijden!$A$1:$IV$65536,27,FALSE)</f>
        <v>! ! ! !</v>
      </c>
      <c r="H366" s="22">
        <f>VLOOKUP($A366,[1]maaltijden!$A$1:$IV$65536,21,FALSE)</f>
        <v>5</v>
      </c>
      <c r="I366" s="22">
        <f>VLOOKUP($A366,[1]maaltijden!$A$1:$IV$65536,21,FALSE)</f>
        <v>5</v>
      </c>
      <c r="J366" s="22">
        <f>VLOOKUP($A366,[1]maaltijden!$A$1:$IV$65536,18,FALSE)</f>
        <v>3</v>
      </c>
      <c r="K366" s="22">
        <f>VLOOKUP($A366,[1]maaltijden!$A$1:$IV$65536,17,FALSE)</f>
        <v>3</v>
      </c>
      <c r="L366" s="22">
        <f>VLOOKUP($A366,[1]maaltijden!$A$1:$IV$65536,20,FALSE)</f>
        <v>2000</v>
      </c>
      <c r="M366" s="22">
        <f>VLOOKUP($A366,[1]maaltijden!$A$1:$IV$65536,22,FALSE)</f>
        <v>2000</v>
      </c>
      <c r="N366" s="135"/>
      <c r="O366" s="50">
        <v>63551900</v>
      </c>
      <c r="P366" s="19">
        <v>0</v>
      </c>
      <c r="Q366" s="20">
        <v>1</v>
      </c>
      <c r="R366" s="21">
        <v>0</v>
      </c>
      <c r="S366" s="19">
        <v>0</v>
      </c>
      <c r="T366" s="20">
        <v>1</v>
      </c>
      <c r="U366" s="19"/>
      <c r="V366" s="20"/>
      <c r="W366" s="20"/>
      <c r="X366" s="20"/>
      <c r="Y366" s="20"/>
      <c r="Z366" s="20"/>
      <c r="AA366" s="20"/>
      <c r="AB366" s="49"/>
      <c r="AC366" s="49"/>
      <c r="AD366" s="49"/>
      <c r="AE366" s="49"/>
      <c r="AF366" s="49"/>
      <c r="AG366" s="19"/>
      <c r="AH366" s="20"/>
      <c r="AI366" s="20"/>
      <c r="AJ366" s="20"/>
      <c r="AK366" s="20"/>
      <c r="AL366" s="21"/>
      <c r="AM366" s="19">
        <v>0</v>
      </c>
      <c r="AN366" s="20"/>
      <c r="AO366" s="20">
        <v>0</v>
      </c>
      <c r="AP366" s="20">
        <v>0</v>
      </c>
      <c r="AQ366" s="20">
        <v>1</v>
      </c>
      <c r="AR366" s="20">
        <v>0</v>
      </c>
      <c r="AS366" s="20">
        <v>0</v>
      </c>
      <c r="AT366" s="20">
        <v>0</v>
      </c>
      <c r="AU366" s="20">
        <v>0</v>
      </c>
      <c r="AV366" s="23">
        <v>0</v>
      </c>
      <c r="AW366" s="108">
        <v>0</v>
      </c>
      <c r="AX366" s="108">
        <v>0</v>
      </c>
      <c r="AY366" s="108">
        <v>1</v>
      </c>
      <c r="AZ366" s="108">
        <v>0</v>
      </c>
      <c r="BA366" s="114">
        <v>1</v>
      </c>
      <c r="BB366" s="20">
        <v>0</v>
      </c>
      <c r="BC366" s="113">
        <v>0</v>
      </c>
      <c r="BD366" s="200"/>
      <c r="BE366" s="201"/>
      <c r="BF366" s="201"/>
      <c r="BG366" s="201"/>
      <c r="BH366" s="201"/>
      <c r="BI366" s="201"/>
      <c r="BJ366" s="201"/>
      <c r="BK366" s="201"/>
      <c r="BL366" s="201"/>
      <c r="BM366" s="201"/>
      <c r="BN366" s="201"/>
      <c r="BO366" s="201"/>
      <c r="BP366" s="202"/>
    </row>
    <row r="367" spans="1:68" x14ac:dyDescent="0.2">
      <c r="A367" s="54">
        <v>63953500</v>
      </c>
      <c r="B367" s="53" t="str">
        <f>VLOOKUP($A367,[1]maaltijden!$A$1:$IV$65536,4,FALSE)</f>
        <v>VAT EDJ HERT GRAND VENEUR BOONTJES SPEK KNOLSELDERPUREE</v>
      </c>
      <c r="C367" s="46" t="str">
        <f>VLOOKUP($A367,[1]maaltijden!$A$1:$IV$65536,7,FALSE)</f>
        <v>C2227-2K</v>
      </c>
      <c r="D367" s="22" t="str">
        <f>VLOOKUP($A367,[1]maaltijden!$A$1:$IV$65536,10,FALSE)</f>
        <v>NVT</v>
      </c>
      <c r="E367" s="22" t="str">
        <f>VLOOKUP($A367,[1]maaltijden!$A$1:$IV$65536,13,FALSE)</f>
        <v xml:space="preserve">VAT X 6 </v>
      </c>
      <c r="F367" s="20">
        <f t="shared" si="5"/>
        <v>0</v>
      </c>
      <c r="G367" s="20" t="str">
        <f>VLOOKUP($A367,[1]maaltijden!$A$1:$IV$65536,27,FALSE)</f>
        <v>! ! !</v>
      </c>
      <c r="H367" s="22">
        <f>VLOOKUP($A367,[1]maaltijden!$A$1:$IV$65536,21,FALSE)</f>
        <v>8</v>
      </c>
      <c r="I367" s="22">
        <f>VLOOKUP($A367,[1]maaltijden!$A$1:$IV$65536,21,FALSE)</f>
        <v>8</v>
      </c>
      <c r="J367" s="22">
        <f>VLOOKUP($A367,[1]maaltijden!$A$1:$IV$65536,18,FALSE)</f>
        <v>3</v>
      </c>
      <c r="K367" s="22">
        <f>VLOOKUP($A367,[1]maaltijden!$A$1:$IV$65536,17,FALSE)</f>
        <v>3</v>
      </c>
      <c r="L367" s="22">
        <f>VLOOKUP($A367,[1]maaltijden!$A$1:$IV$65536,20,FALSE)</f>
        <v>1750</v>
      </c>
      <c r="M367" s="22">
        <f>VLOOKUP($A367,[1]maaltijden!$A$1:$IV$65536,22,FALSE)</f>
        <v>1750</v>
      </c>
      <c r="N367" s="135"/>
      <c r="O367" s="50"/>
      <c r="P367" s="19">
        <v>0</v>
      </c>
      <c r="Q367" s="20">
        <v>1</v>
      </c>
      <c r="R367" s="21">
        <v>0</v>
      </c>
      <c r="S367" s="19">
        <v>0</v>
      </c>
      <c r="T367" s="20">
        <v>1</v>
      </c>
      <c r="U367" s="19"/>
      <c r="V367" s="20"/>
      <c r="W367" s="20"/>
      <c r="X367" s="20"/>
      <c r="Y367" s="20"/>
      <c r="Z367" s="20"/>
      <c r="AA367" s="20"/>
      <c r="AB367" s="49"/>
      <c r="AC367" s="49"/>
      <c r="AD367" s="49"/>
      <c r="AE367" s="49"/>
      <c r="AF367" s="49"/>
      <c r="AG367" s="161">
        <v>0</v>
      </c>
      <c r="AH367" s="168">
        <v>2</v>
      </c>
      <c r="AI367" s="168">
        <v>1</v>
      </c>
      <c r="AJ367" s="20"/>
      <c r="AK367" s="20"/>
      <c r="AL367" s="21"/>
      <c r="AM367" s="19">
        <v>0</v>
      </c>
      <c r="AN367" s="20">
        <f>IFERROR(INDEX([2]lijnopstellingsfiche!$AP$1:$AP$65536,MATCH(A367,[2]lijnopstellingsfiche!$AQ$1:$AQ$65536,0)),"")</f>
        <v>4</v>
      </c>
      <c r="AO367" s="20">
        <v>0</v>
      </c>
      <c r="AP367" s="20">
        <v>0</v>
      </c>
      <c r="AQ367" s="20">
        <v>2</v>
      </c>
      <c r="AR367" s="20">
        <v>1</v>
      </c>
      <c r="AS367" s="20">
        <v>0</v>
      </c>
      <c r="AT367" s="20">
        <v>0</v>
      </c>
      <c r="AU367" s="20">
        <v>0</v>
      </c>
      <c r="AV367" s="23">
        <v>0</v>
      </c>
      <c r="AW367" s="108">
        <v>0</v>
      </c>
      <c r="AX367" s="108">
        <v>0</v>
      </c>
      <c r="AY367" s="108">
        <v>1</v>
      </c>
      <c r="AZ367" s="108">
        <v>0</v>
      </c>
      <c r="BA367" s="114">
        <v>1</v>
      </c>
      <c r="BB367" s="20">
        <v>0</v>
      </c>
      <c r="BC367" s="113">
        <v>0</v>
      </c>
      <c r="BD367" s="200" t="str">
        <f>VLOOKUP($A367,'[3]allergenen 6nr'!$A$1:$O$1310,3,FALSE)</f>
        <v>-</v>
      </c>
      <c r="BE367" s="201" t="str">
        <f>VLOOKUP($A367,'[3]allergenen 6nr'!$A$1:$O$1310,4,FALSE)</f>
        <v>-</v>
      </c>
      <c r="BF367" s="201" t="str">
        <f>VLOOKUP($A367,'[3]allergenen 6nr'!$A$1:$O$1310,5,FALSE)</f>
        <v>+</v>
      </c>
      <c r="BG367" s="201" t="str">
        <f>VLOOKUP($A367,'[3]allergenen 6nr'!$A$1:$O$1310,6,FALSE)</f>
        <v>X</v>
      </c>
      <c r="BH367" s="201" t="str">
        <f>VLOOKUP($A367,'[3]allergenen 6nr'!$A$1:$O$1310,7,FALSE)</f>
        <v>+</v>
      </c>
      <c r="BI367" s="201" t="str">
        <f>VLOOKUP($A367,'[3]allergenen 6nr'!$A$1:$O$1310,8,FALSE)</f>
        <v>X</v>
      </c>
      <c r="BJ367" s="201" t="str">
        <f>VLOOKUP($A367,'[3]allergenen 6nr'!$A$1:$O$1310,9,FALSE)</f>
        <v>-</v>
      </c>
      <c r="BK367" s="201" t="str">
        <f>VLOOKUP($A367,'[3]allergenen 6nr'!$A$1:$O$1310,10,FALSE)</f>
        <v>-</v>
      </c>
      <c r="BL367" s="201" t="str">
        <f>VLOOKUP($A367,'[3]allergenen 6nr'!$A$1:$O$1310,11,FALSE)</f>
        <v>+</v>
      </c>
      <c r="BM367" s="201" t="str">
        <f>VLOOKUP($A367,'[3]allergenen 6nr'!$A$1:$O$1310,12,FALSE)</f>
        <v>-</v>
      </c>
      <c r="BN367" s="201" t="str">
        <f>VLOOKUP($A367,'[3]allergenen 6nr'!$A$1:$O$1310,13,FALSE)</f>
        <v>X</v>
      </c>
      <c r="BO367" s="201" t="str">
        <f>VLOOKUP($A367,'[3]allergenen 6nr'!$A$1:$O$1310,14,FALSE)</f>
        <v>-</v>
      </c>
      <c r="BP367" s="202" t="str">
        <f>VLOOKUP($A367,'[3]allergenen 6nr'!$A$1:$O$1310,15,FALSE)</f>
        <v>-</v>
      </c>
    </row>
    <row r="368" spans="1:68" x14ac:dyDescent="0.2">
      <c r="A368" s="54">
        <v>63953600</v>
      </c>
      <c r="B368" s="53" t="str">
        <f>VLOOKUP($A368,[1]maaltijden!$A$1:$IV$65536,4,FALSE)</f>
        <v>VAT EDJ KABELJAUW KREEFTENSAUS SPINAZIE PUREE</v>
      </c>
      <c r="C368" s="46" t="str">
        <f>VLOOKUP($A368,[1]maaltijden!$A$1:$IV$65536,7,FALSE)</f>
        <v>C2227-2K</v>
      </c>
      <c r="D368" s="22" t="str">
        <f>VLOOKUP($A368,[1]maaltijden!$A$1:$IV$65536,10,FALSE)</f>
        <v>NVT</v>
      </c>
      <c r="E368" s="22" t="str">
        <f>VLOOKUP($A368,[1]maaltijden!$A$1:$IV$65536,13,FALSE)</f>
        <v xml:space="preserve">VAT X 6 </v>
      </c>
      <c r="F368" s="20">
        <f t="shared" si="5"/>
        <v>0</v>
      </c>
      <c r="G368" s="20" t="str">
        <f>VLOOKUP($A368,[1]maaltijden!$A$1:$IV$65536,27,FALSE)</f>
        <v>! ! ! !</v>
      </c>
      <c r="H368" s="22">
        <f>VLOOKUP($A368,[1]maaltijden!$A$1:$IV$65536,21,FALSE)</f>
        <v>5</v>
      </c>
      <c r="I368" s="22">
        <f>VLOOKUP($A368,[1]maaltijden!$A$1:$IV$65536,21,FALSE)</f>
        <v>5</v>
      </c>
      <c r="J368" s="22">
        <f>VLOOKUP($A368,[1]maaltijden!$A$1:$IV$65536,18,FALSE)</f>
        <v>3</v>
      </c>
      <c r="K368" s="22">
        <f>VLOOKUP($A368,[1]maaltijden!$A$1:$IV$65536,17,FALSE)</f>
        <v>3</v>
      </c>
      <c r="L368" s="22">
        <f>VLOOKUP($A368,[1]maaltijden!$A$1:$IV$65536,20,FALSE)</f>
        <v>2000</v>
      </c>
      <c r="M368" s="22">
        <f>VLOOKUP($A368,[1]maaltijden!$A$1:$IV$65536,22,FALSE)</f>
        <v>2000</v>
      </c>
      <c r="N368" s="135"/>
      <c r="O368" s="50"/>
      <c r="P368" s="19">
        <v>0</v>
      </c>
      <c r="Q368" s="20">
        <v>1</v>
      </c>
      <c r="R368" s="21">
        <v>0</v>
      </c>
      <c r="S368" s="19">
        <v>0</v>
      </c>
      <c r="T368" s="20">
        <v>1</v>
      </c>
      <c r="U368" s="19"/>
      <c r="V368" s="20"/>
      <c r="W368" s="20"/>
      <c r="X368" s="20"/>
      <c r="Y368" s="20"/>
      <c r="Z368" s="20"/>
      <c r="AA368" s="20"/>
      <c r="AB368" s="49"/>
      <c r="AC368" s="49"/>
      <c r="AD368" s="49"/>
      <c r="AE368" s="49"/>
      <c r="AF368" s="49"/>
      <c r="AG368" s="161">
        <v>0</v>
      </c>
      <c r="AH368" s="168">
        <v>2</v>
      </c>
      <c r="AI368" s="168">
        <v>1</v>
      </c>
      <c r="AJ368" s="20"/>
      <c r="AK368" s="20"/>
      <c r="AL368" s="21"/>
      <c r="AM368" s="19">
        <v>0</v>
      </c>
      <c r="AN368" s="20" t="str">
        <f>IFERROR(INDEX([2]lijnopstellingsfiche!$AP$1:$AP$65536,MATCH(A368,[2]lijnopstellingsfiche!$AQ$1:$AQ$65536,0)),"")</f>
        <v>-</v>
      </c>
      <c r="AO368" s="20">
        <v>0</v>
      </c>
      <c r="AP368" s="20">
        <v>0</v>
      </c>
      <c r="AQ368" s="20">
        <v>1</v>
      </c>
      <c r="AR368" s="20">
        <v>1</v>
      </c>
      <c r="AS368" s="20">
        <v>0</v>
      </c>
      <c r="AT368" s="20">
        <v>0</v>
      </c>
      <c r="AU368" s="20">
        <v>0</v>
      </c>
      <c r="AV368" s="23">
        <v>0</v>
      </c>
      <c r="AW368" s="108">
        <v>0</v>
      </c>
      <c r="AX368" s="108">
        <v>0</v>
      </c>
      <c r="AY368" s="108">
        <v>1</v>
      </c>
      <c r="AZ368" s="108">
        <v>0</v>
      </c>
      <c r="BA368" s="114">
        <v>1</v>
      </c>
      <c r="BB368" s="20">
        <v>0</v>
      </c>
      <c r="BC368" s="113">
        <v>0</v>
      </c>
      <c r="BD368" s="200" t="str">
        <f>VLOOKUP($A368,'[3]allergenen 6nr'!$A$1:$O$1310,3,FALSE)</f>
        <v>-</v>
      </c>
      <c r="BE368" s="201" t="str">
        <f>VLOOKUP($A368,'[3]allergenen 6nr'!$A$1:$O$1310,4,FALSE)</f>
        <v>+</v>
      </c>
      <c r="BF368" s="201" t="str">
        <f>VLOOKUP($A368,'[3]allergenen 6nr'!$A$1:$O$1310,5,FALSE)</f>
        <v>+</v>
      </c>
      <c r="BG368" s="201" t="str">
        <f>VLOOKUP($A368,'[3]allergenen 6nr'!$A$1:$O$1310,6,FALSE)</f>
        <v>X</v>
      </c>
      <c r="BH368" s="201" t="str">
        <f>VLOOKUP($A368,'[3]allergenen 6nr'!$A$1:$O$1310,7,FALSE)</f>
        <v>+</v>
      </c>
      <c r="BI368" s="201" t="str">
        <f>VLOOKUP($A368,'[3]allergenen 6nr'!$A$1:$O$1310,8,FALSE)</f>
        <v>X</v>
      </c>
      <c r="BJ368" s="201" t="str">
        <f>VLOOKUP($A368,'[3]allergenen 6nr'!$A$1:$O$1310,9,FALSE)</f>
        <v>-</v>
      </c>
      <c r="BK368" s="201" t="str">
        <f>VLOOKUP($A368,'[3]allergenen 6nr'!$A$1:$O$1310,10,FALSE)</f>
        <v>+</v>
      </c>
      <c r="BL368" s="201" t="str">
        <f>VLOOKUP($A368,'[3]allergenen 6nr'!$A$1:$O$1310,11,FALSE)</f>
        <v>+</v>
      </c>
      <c r="BM368" s="201" t="str">
        <f>VLOOKUP($A368,'[3]allergenen 6nr'!$A$1:$O$1310,12,FALSE)</f>
        <v>-</v>
      </c>
      <c r="BN368" s="201" t="str">
        <f>VLOOKUP($A368,'[3]allergenen 6nr'!$A$1:$O$1310,13,FALSE)</f>
        <v>X</v>
      </c>
      <c r="BO368" s="201" t="str">
        <f>VLOOKUP($A368,'[3]allergenen 6nr'!$A$1:$O$1310,14,FALSE)</f>
        <v>+</v>
      </c>
      <c r="BP368" s="202" t="str">
        <f>VLOOKUP($A368,'[3]allergenen 6nr'!$A$1:$O$1310,15,FALSE)</f>
        <v>X</v>
      </c>
    </row>
    <row r="369" spans="1:68" x14ac:dyDescent="0.2">
      <c r="A369" s="54">
        <v>63953700</v>
      </c>
      <c r="B369" s="53" t="str">
        <f>VLOOKUP($A369,[1]maaltijden!$A$1:$IV$65536,4,FALSE)</f>
        <v>VAT EDJ VARKENSHAAS PEPERSAUS BOONTJES SPEK AARD KUBUS GEKRUID</v>
      </c>
      <c r="C369" s="46" t="str">
        <f>VLOOKUP($A369,[1]maaltijden!$A$1:$IV$65536,7,FALSE)</f>
        <v>C2227-2K</v>
      </c>
      <c r="D369" s="22" t="str">
        <f>VLOOKUP($A369,[1]maaltijden!$A$1:$IV$65536,10,FALSE)</f>
        <v>NVT</v>
      </c>
      <c r="E369" s="22" t="str">
        <f>VLOOKUP($A369,[1]maaltijden!$A$1:$IV$65536,13,FALSE)</f>
        <v xml:space="preserve">VAT X 6 </v>
      </c>
      <c r="F369" s="20">
        <f t="shared" si="5"/>
        <v>0</v>
      </c>
      <c r="G369" s="20" t="str">
        <f>VLOOKUP($A369,[1]maaltijden!$A$1:$IV$65536,27,FALSE)</f>
        <v>! ! !</v>
      </c>
      <c r="H369" s="22">
        <f>VLOOKUP($A369,[1]maaltijden!$A$1:$IV$65536,21,FALSE)</f>
        <v>0</v>
      </c>
      <c r="I369" s="22">
        <f>VLOOKUP($A369,[1]maaltijden!$A$1:$IV$65536,21,FALSE)</f>
        <v>0</v>
      </c>
      <c r="J369" s="22">
        <f>VLOOKUP($A369,[1]maaltijden!$A$1:$IV$65536,18,FALSE)</f>
        <v>0</v>
      </c>
      <c r="K369" s="22">
        <f>VLOOKUP($A369,[1]maaltijden!$A$1:$IV$65536,17,FALSE)</f>
        <v>0</v>
      </c>
      <c r="L369" s="22">
        <f>VLOOKUP($A369,[1]maaltijden!$A$1:$IV$65536,20,FALSE)</f>
        <v>0</v>
      </c>
      <c r="M369" s="22">
        <f>VLOOKUP($A369,[1]maaltijden!$A$1:$IV$65536,22,FALSE)</f>
        <v>0</v>
      </c>
      <c r="N369" s="135"/>
      <c r="O369" s="50">
        <v>63552200</v>
      </c>
      <c r="P369" s="19">
        <v>0</v>
      </c>
      <c r="Q369" s="20">
        <v>1</v>
      </c>
      <c r="R369" s="21">
        <v>0</v>
      </c>
      <c r="S369" s="19">
        <v>0</v>
      </c>
      <c r="T369" s="20">
        <v>1</v>
      </c>
      <c r="U369" s="19"/>
      <c r="V369" s="20"/>
      <c r="W369" s="20"/>
      <c r="X369" s="20"/>
      <c r="Y369" s="20"/>
      <c r="Z369" s="20"/>
      <c r="AA369" s="20"/>
      <c r="AB369" s="49"/>
      <c r="AC369" s="49"/>
      <c r="AD369" s="49"/>
      <c r="AE369" s="49"/>
      <c r="AF369" s="49"/>
      <c r="AG369" s="19"/>
      <c r="AH369" s="20"/>
      <c r="AI369" s="20"/>
      <c r="AJ369" s="20"/>
      <c r="AK369" s="20"/>
      <c r="AL369" s="21"/>
      <c r="AM369" s="19"/>
      <c r="AN369" s="20"/>
      <c r="AO369" s="20"/>
      <c r="AP369" s="20"/>
      <c r="AQ369" s="20"/>
      <c r="AR369" s="20"/>
      <c r="AS369" s="20"/>
      <c r="AT369" s="20"/>
      <c r="AU369" s="20"/>
      <c r="AV369" s="23">
        <v>0</v>
      </c>
      <c r="AW369" s="108">
        <v>0</v>
      </c>
      <c r="AX369" s="108">
        <v>0</v>
      </c>
      <c r="AY369" s="108">
        <v>1</v>
      </c>
      <c r="AZ369" s="108">
        <v>0</v>
      </c>
      <c r="BA369" s="114">
        <v>1</v>
      </c>
      <c r="BB369" s="20">
        <v>0</v>
      </c>
      <c r="BC369" s="113">
        <v>0</v>
      </c>
      <c r="BD369" s="200"/>
      <c r="BE369" s="201"/>
      <c r="BF369" s="201"/>
      <c r="BG369" s="201"/>
      <c r="BH369" s="201"/>
      <c r="BI369" s="201"/>
      <c r="BJ369" s="201"/>
      <c r="BK369" s="201"/>
      <c r="BL369" s="201"/>
      <c r="BM369" s="201"/>
      <c r="BN369" s="201"/>
      <c r="BO369" s="201"/>
      <c r="BP369" s="202"/>
    </row>
    <row r="370" spans="1:68" x14ac:dyDescent="0.2">
      <c r="A370" s="89">
        <v>63960300</v>
      </c>
      <c r="B370" s="53" t="str">
        <f>VLOOKUP($A370,[1]maaltijden!$A$1:$IV$65536,4,FALSE)</f>
        <v xml:space="preserve">VAT VEG NASI GORENG VEG KIPSTUKJES SATESAUS       </v>
      </c>
      <c r="C370" s="46" t="str">
        <f>VLOOKUP($A370,[1]maaltijden!$A$1:$IV$65536,7,FALSE)</f>
        <v>C2227-2K</v>
      </c>
      <c r="D370" s="22" t="str">
        <f>VLOOKUP($A370,[1]maaltijden!$A$1:$IV$65536,10,FALSE)</f>
        <v>NVT</v>
      </c>
      <c r="E370" s="22" t="str">
        <f>VLOOKUP($A370,[1]maaltijden!$A$1:$IV$65536,13,FALSE)</f>
        <v xml:space="preserve">VAT X 6 </v>
      </c>
      <c r="F370" s="20">
        <f t="shared" si="5"/>
        <v>0</v>
      </c>
      <c r="G370" s="20" t="str">
        <f>VLOOKUP($A370,[1]maaltijden!$A$1:$IV$65536,27,FALSE)</f>
        <v>X</v>
      </c>
      <c r="H370" s="22">
        <f>VLOOKUP($A370,[1]maaltijden!$A$1:$IV$65536,21,FALSE)</f>
        <v>4</v>
      </c>
      <c r="I370" s="22">
        <f>VLOOKUP($A370,[1]maaltijden!$A$1:$IV$65536,21,FALSE)</f>
        <v>4</v>
      </c>
      <c r="J370" s="22">
        <f>VLOOKUP($A370,[1]maaltijden!$A$1:$IV$65536,18,FALSE)</f>
        <v>3</v>
      </c>
      <c r="K370" s="22">
        <f>VLOOKUP($A370,[1]maaltijden!$A$1:$IV$65536,17,FALSE)</f>
        <v>3</v>
      </c>
      <c r="L370" s="22">
        <f>VLOOKUP($A370,[1]maaltijden!$A$1:$IV$65536,20,FALSE)</f>
        <v>2200</v>
      </c>
      <c r="M370" s="22">
        <f>VLOOKUP($A370,[1]maaltijden!$A$1:$IV$65536,22,FALSE)</f>
        <v>2200</v>
      </c>
      <c r="N370" s="135"/>
      <c r="O370" s="50">
        <v>63902000</v>
      </c>
      <c r="P370" s="19">
        <v>0</v>
      </c>
      <c r="Q370" s="20">
        <v>1</v>
      </c>
      <c r="R370" s="21">
        <v>0</v>
      </c>
      <c r="S370" s="19">
        <v>0</v>
      </c>
      <c r="T370" s="20">
        <v>1</v>
      </c>
      <c r="U370" s="19">
        <v>0</v>
      </c>
      <c r="V370" s="20">
        <v>1</v>
      </c>
      <c r="W370" s="20">
        <v>1</v>
      </c>
      <c r="X370" s="20">
        <v>1</v>
      </c>
      <c r="Y370" s="20">
        <v>1</v>
      </c>
      <c r="Z370" s="20">
        <v>0</v>
      </c>
      <c r="AA370" s="20">
        <v>0</v>
      </c>
      <c r="AB370" s="49">
        <v>0</v>
      </c>
      <c r="AC370" s="49">
        <v>0</v>
      </c>
      <c r="AD370" s="49">
        <v>1</v>
      </c>
      <c r="AE370" s="49">
        <v>0</v>
      </c>
      <c r="AF370" s="49">
        <v>0</v>
      </c>
      <c r="AG370" s="161">
        <v>1</v>
      </c>
      <c r="AH370" s="162">
        <v>1</v>
      </c>
      <c r="AI370" s="162">
        <v>1</v>
      </c>
      <c r="AJ370" s="162">
        <v>1</v>
      </c>
      <c r="AK370" s="162">
        <v>0</v>
      </c>
      <c r="AL370" s="163">
        <v>0</v>
      </c>
      <c r="AM370" s="19">
        <v>0</v>
      </c>
      <c r="AN370" s="20">
        <f>IFERROR(INDEX([2]lijnopstellingsfiche!$AP$1:$AP$65536,MATCH(A370,[2]lijnopstellingsfiche!$AQ$1:$AQ$65536,0)),"")</f>
        <v>1</v>
      </c>
      <c r="AO370" s="20">
        <v>1</v>
      </c>
      <c r="AP370" s="20">
        <v>0</v>
      </c>
      <c r="AQ370" s="20">
        <v>1</v>
      </c>
      <c r="AR370" s="20">
        <v>0</v>
      </c>
      <c r="AS370" s="20">
        <v>1</v>
      </c>
      <c r="AT370" s="20">
        <v>0</v>
      </c>
      <c r="AU370" s="20">
        <v>0</v>
      </c>
      <c r="AV370" s="23">
        <v>0</v>
      </c>
      <c r="AW370" s="108">
        <v>0</v>
      </c>
      <c r="AX370" s="108">
        <v>0</v>
      </c>
      <c r="AY370" s="108">
        <v>1</v>
      </c>
      <c r="AZ370" s="108">
        <v>0</v>
      </c>
      <c r="BA370" s="114">
        <v>1</v>
      </c>
      <c r="BB370" s="20">
        <v>0</v>
      </c>
      <c r="BC370" s="113">
        <v>0</v>
      </c>
      <c r="BD370" s="200" t="str">
        <f>VLOOKUP($A370,'[3]allergenen 6nr'!$A$1:$O$1310,3,FALSE)</f>
        <v>+</v>
      </c>
      <c r="BE370" s="201" t="str">
        <f>VLOOKUP($A370,'[3]allergenen 6nr'!$A$1:$O$1310,4,FALSE)</f>
        <v>+</v>
      </c>
      <c r="BF370" s="201" t="str">
        <f>VLOOKUP($A370,'[3]allergenen 6nr'!$A$1:$O$1310,5,FALSE)</f>
        <v>+</v>
      </c>
      <c r="BG370" s="201" t="str">
        <f>VLOOKUP($A370,'[3]allergenen 6nr'!$A$1:$O$1310,6,FALSE)</f>
        <v>-</v>
      </c>
      <c r="BH370" s="201" t="str">
        <f>VLOOKUP($A370,'[3]allergenen 6nr'!$A$1:$O$1310,7,FALSE)</f>
        <v>-</v>
      </c>
      <c r="BI370" s="201" t="str">
        <f>VLOOKUP($A370,'[3]allergenen 6nr'!$A$1:$O$1310,8,FALSE)</f>
        <v>-</v>
      </c>
      <c r="BJ370" s="201" t="str">
        <f>VLOOKUP($A370,'[3]allergenen 6nr'!$A$1:$O$1310,9,FALSE)</f>
        <v>-</v>
      </c>
      <c r="BK370" s="201" t="str">
        <f>VLOOKUP($A370,'[3]allergenen 6nr'!$A$1:$O$1310,10,FALSE)</f>
        <v>-</v>
      </c>
      <c r="BL370" s="201" t="str">
        <f>VLOOKUP($A370,'[3]allergenen 6nr'!$A$1:$O$1310,11,FALSE)</f>
        <v>+</v>
      </c>
      <c r="BM370" s="201" t="str">
        <f>VLOOKUP($A370,'[3]allergenen 6nr'!$A$1:$O$1310,12,FALSE)</f>
        <v>-</v>
      </c>
      <c r="BN370" s="201" t="str">
        <f>VLOOKUP($A370,'[3]allergenen 6nr'!$A$1:$O$1310,13,FALSE)</f>
        <v>+</v>
      </c>
      <c r="BO370" s="201" t="str">
        <f>VLOOKUP($A370,'[3]allergenen 6nr'!$A$1:$O$1310,14,FALSE)</f>
        <v>-</v>
      </c>
      <c r="BP370" s="202" t="str">
        <f>VLOOKUP($A370,'[3]allergenen 6nr'!$A$1:$O$1310,15,FALSE)</f>
        <v>-</v>
      </c>
    </row>
    <row r="371" spans="1:68" x14ac:dyDescent="0.2">
      <c r="A371" s="54">
        <v>63960800</v>
      </c>
      <c r="B371" s="53" t="str">
        <f>VLOOKUP($A371,[1]maaltijden!$A$1:$IV$65536,4,FALSE)</f>
        <v xml:space="preserve">VAT VEG GROENTEBURGER PREI GEKOOKTE AARDAP            </v>
      </c>
      <c r="C371" s="46" t="str">
        <f>VLOOKUP($A371,[1]maaltijden!$A$1:$IV$65536,7,FALSE)</f>
        <v>C2227-3R</v>
      </c>
      <c r="D371" s="22" t="str">
        <f>VLOOKUP($A371,[1]maaltijden!$A$1:$IV$65536,10,FALSE)</f>
        <v>NVT</v>
      </c>
      <c r="E371" s="22" t="str">
        <f>VLOOKUP($A371,[1]maaltijden!$A$1:$IV$65536,13,FALSE)</f>
        <v xml:space="preserve">VAT X 6 </v>
      </c>
      <c r="F371" s="20">
        <f t="shared" si="5"/>
        <v>0</v>
      </c>
      <c r="G371" s="20" t="str">
        <f>VLOOKUP($A371,[1]maaltijden!$A$1:$IV$65536,27,FALSE)</f>
        <v>! ! !</v>
      </c>
      <c r="H371" s="22">
        <f>VLOOKUP($A371,[1]maaltijden!$A$1:$IV$65536,21,FALSE)</f>
        <v>4</v>
      </c>
      <c r="I371" s="22">
        <f>VLOOKUP($A371,[1]maaltijden!$A$1:$IV$65536,21,FALSE)</f>
        <v>4</v>
      </c>
      <c r="J371" s="22">
        <f>VLOOKUP($A371,[1]maaltijden!$A$1:$IV$65536,18,FALSE)</f>
        <v>3</v>
      </c>
      <c r="K371" s="22">
        <f>VLOOKUP($A371,[1]maaltijden!$A$1:$IV$65536,17,FALSE)</f>
        <v>2</v>
      </c>
      <c r="L371" s="22">
        <f>VLOOKUP($A371,[1]maaltijden!$A$1:$IV$65536,20,FALSE)</f>
        <v>2000</v>
      </c>
      <c r="M371" s="22">
        <f>VLOOKUP($A371,[1]maaltijden!$A$1:$IV$65536,22,FALSE)</f>
        <v>2000</v>
      </c>
      <c r="N371" s="135"/>
      <c r="O371" s="50"/>
      <c r="P371" s="19">
        <v>0</v>
      </c>
      <c r="Q371" s="20">
        <v>1</v>
      </c>
      <c r="R371" s="21">
        <v>0</v>
      </c>
      <c r="S371" s="19">
        <v>0</v>
      </c>
      <c r="T371" s="20">
        <v>1</v>
      </c>
      <c r="U371" s="19"/>
      <c r="V371" s="20"/>
      <c r="W371" s="20"/>
      <c r="X371" s="20"/>
      <c r="Y371" s="20"/>
      <c r="Z371" s="20"/>
      <c r="AA371" s="20"/>
      <c r="AB371" s="49"/>
      <c r="AC371" s="49"/>
      <c r="AD371" s="49"/>
      <c r="AE371" s="49"/>
      <c r="AF371" s="49"/>
      <c r="AG371" s="161">
        <v>0</v>
      </c>
      <c r="AH371" s="168">
        <v>1</v>
      </c>
      <c r="AI371" s="168">
        <v>1</v>
      </c>
      <c r="AJ371" s="20"/>
      <c r="AK371" s="20"/>
      <c r="AL371" s="21"/>
      <c r="AM371" s="19">
        <v>0</v>
      </c>
      <c r="AN371" s="20" t="str">
        <f>IFERROR(INDEX([2]lijnopstellingsfiche!$AP$1:$AP$65536,MATCH(A371,[2]lijnopstellingsfiche!$AQ$1:$AQ$65536,0)),"")</f>
        <v>-</v>
      </c>
      <c r="AO371" s="20">
        <v>0</v>
      </c>
      <c r="AP371" s="20">
        <v>0</v>
      </c>
      <c r="AQ371" s="20">
        <v>2</v>
      </c>
      <c r="AR371" s="20">
        <v>0</v>
      </c>
      <c r="AS371" s="20">
        <v>0</v>
      </c>
      <c r="AT371" s="20">
        <v>0</v>
      </c>
      <c r="AU371" s="20">
        <v>0</v>
      </c>
      <c r="AV371" s="23">
        <v>0</v>
      </c>
      <c r="AW371" s="108">
        <v>0</v>
      </c>
      <c r="AX371" s="108">
        <v>0</v>
      </c>
      <c r="AY371" s="108">
        <v>1</v>
      </c>
      <c r="AZ371" s="108">
        <v>0</v>
      </c>
      <c r="BA371" s="114">
        <v>1</v>
      </c>
      <c r="BB371" s="20">
        <v>0</v>
      </c>
      <c r="BC371" s="113">
        <v>0</v>
      </c>
      <c r="BD371" s="200" t="str">
        <f>VLOOKUP($A371,'[3]allergenen 6nr'!$A$1:$O$1310,3,FALSE)</f>
        <v>-</v>
      </c>
      <c r="BE371" s="201" t="str">
        <f>VLOOKUP($A371,'[3]allergenen 6nr'!$A$1:$O$1310,4,FALSE)</f>
        <v>X</v>
      </c>
      <c r="BF371" s="201" t="str">
        <f>VLOOKUP($A371,'[3]allergenen 6nr'!$A$1:$O$1310,5,FALSE)</f>
        <v>+</v>
      </c>
      <c r="BG371" s="201" t="str">
        <f>VLOOKUP($A371,'[3]allergenen 6nr'!$A$1:$O$1310,6,FALSE)</f>
        <v>X</v>
      </c>
      <c r="BH371" s="201" t="str">
        <f>VLOOKUP($A371,'[3]allergenen 6nr'!$A$1:$O$1310,7,FALSE)</f>
        <v>+</v>
      </c>
      <c r="BI371" s="201" t="str">
        <f>VLOOKUP($A371,'[3]allergenen 6nr'!$A$1:$O$1310,8,FALSE)</f>
        <v>X</v>
      </c>
      <c r="BJ371" s="201" t="str">
        <f>VLOOKUP($A371,'[3]allergenen 6nr'!$A$1:$O$1310,9,FALSE)</f>
        <v>-</v>
      </c>
      <c r="BK371" s="201" t="str">
        <f>VLOOKUP($A371,'[3]allergenen 6nr'!$A$1:$O$1310,10,FALSE)</f>
        <v>X</v>
      </c>
      <c r="BL371" s="201" t="str">
        <f>VLOOKUP($A371,'[3]allergenen 6nr'!$A$1:$O$1310,11,FALSE)</f>
        <v>+</v>
      </c>
      <c r="BM371" s="201" t="str">
        <f>VLOOKUP($A371,'[3]allergenen 6nr'!$A$1:$O$1310,12,FALSE)</f>
        <v>X</v>
      </c>
      <c r="BN371" s="201" t="str">
        <f>VLOOKUP($A371,'[3]allergenen 6nr'!$A$1:$O$1310,13,FALSE)</f>
        <v>+</v>
      </c>
      <c r="BO371" s="201" t="str">
        <f>VLOOKUP($A371,'[3]allergenen 6nr'!$A$1:$O$1310,14,FALSE)</f>
        <v>X</v>
      </c>
      <c r="BP371" s="202" t="str">
        <f>VLOOKUP($A371,'[3]allergenen 6nr'!$A$1:$O$1310,15,FALSE)</f>
        <v>-</v>
      </c>
    </row>
    <row r="372" spans="1:68" x14ac:dyDescent="0.2">
      <c r="A372" s="54">
        <v>63960900</v>
      </c>
      <c r="B372" s="53" t="str">
        <f>VLOOKUP($A372,[1]maaltijden!$A$1:$IV$65536,4,FALSE)</f>
        <v xml:space="preserve">VAT VEG GROENTEBURGER BIETJES GEBAK. AARDAP.          </v>
      </c>
      <c r="C372" s="46" t="str">
        <f>VLOOKUP($A372,[1]maaltijden!$A$1:$IV$65536,7,FALSE)</f>
        <v>C2227-3R</v>
      </c>
      <c r="D372" s="22" t="str">
        <f>VLOOKUP($A372,[1]maaltijden!$A$1:$IV$65536,10,FALSE)</f>
        <v>NVT</v>
      </c>
      <c r="E372" s="22" t="str">
        <f>VLOOKUP($A372,[1]maaltijden!$A$1:$IV$65536,13,FALSE)</f>
        <v xml:space="preserve">VAT X 6 </v>
      </c>
      <c r="F372" s="20">
        <f t="shared" si="5"/>
        <v>0</v>
      </c>
      <c r="G372" s="20" t="str">
        <f>VLOOKUP($A372,[1]maaltijden!$A$1:$IV$65536,27,FALSE)</f>
        <v>! ! !</v>
      </c>
      <c r="H372" s="22">
        <f>VLOOKUP($A372,[1]maaltijden!$A$1:$IV$65536,21,FALSE)</f>
        <v>4</v>
      </c>
      <c r="I372" s="22">
        <f>VLOOKUP($A372,[1]maaltijden!$A$1:$IV$65536,21,FALSE)</f>
        <v>4</v>
      </c>
      <c r="J372" s="22">
        <f>VLOOKUP($A372,[1]maaltijden!$A$1:$IV$65536,18,FALSE)</f>
        <v>3</v>
      </c>
      <c r="K372" s="22">
        <f>VLOOKUP($A372,[1]maaltijden!$A$1:$IV$65536,17,FALSE)</f>
        <v>2</v>
      </c>
      <c r="L372" s="22">
        <f>VLOOKUP($A372,[1]maaltijden!$A$1:$IV$65536,20,FALSE)</f>
        <v>2000</v>
      </c>
      <c r="M372" s="22">
        <f>VLOOKUP($A372,[1]maaltijden!$A$1:$IV$65536,22,FALSE)</f>
        <v>2000</v>
      </c>
      <c r="N372" s="135"/>
      <c r="O372" s="50"/>
      <c r="P372" s="19">
        <v>0</v>
      </c>
      <c r="Q372" s="20">
        <v>1</v>
      </c>
      <c r="R372" s="21">
        <v>0</v>
      </c>
      <c r="S372" s="19">
        <v>0</v>
      </c>
      <c r="T372" s="20">
        <v>1</v>
      </c>
      <c r="U372" s="19"/>
      <c r="V372" s="20"/>
      <c r="W372" s="20"/>
      <c r="X372" s="20"/>
      <c r="Y372" s="20"/>
      <c r="Z372" s="20"/>
      <c r="AA372" s="20"/>
      <c r="AB372" s="49"/>
      <c r="AC372" s="49"/>
      <c r="AD372" s="49"/>
      <c r="AE372" s="49"/>
      <c r="AF372" s="49"/>
      <c r="AG372" s="161">
        <v>0</v>
      </c>
      <c r="AH372" s="168">
        <v>1</v>
      </c>
      <c r="AI372" s="168">
        <v>1</v>
      </c>
      <c r="AJ372" s="20"/>
      <c r="AK372" s="20"/>
      <c r="AL372" s="21"/>
      <c r="AM372" s="19">
        <v>0</v>
      </c>
      <c r="AN372" s="20" t="str">
        <f>IFERROR(INDEX([2]lijnopstellingsfiche!$AP$1:$AP$65536,MATCH(A372,[2]lijnopstellingsfiche!$AQ$1:$AQ$65536,0)),"")</f>
        <v>-</v>
      </c>
      <c r="AO372" s="20">
        <v>0</v>
      </c>
      <c r="AP372" s="20">
        <v>0</v>
      </c>
      <c r="AQ372" s="20">
        <v>2</v>
      </c>
      <c r="AR372" s="20">
        <v>0</v>
      </c>
      <c r="AS372" s="20">
        <v>0</v>
      </c>
      <c r="AT372" s="20">
        <v>0</v>
      </c>
      <c r="AU372" s="20">
        <v>0</v>
      </c>
      <c r="AV372" s="23">
        <v>0</v>
      </c>
      <c r="AW372" s="108">
        <v>0</v>
      </c>
      <c r="AX372" s="108">
        <v>0</v>
      </c>
      <c r="AY372" s="108">
        <v>1</v>
      </c>
      <c r="AZ372" s="108">
        <v>0</v>
      </c>
      <c r="BA372" s="114">
        <v>1</v>
      </c>
      <c r="BB372" s="20">
        <v>0</v>
      </c>
      <c r="BC372" s="113">
        <v>0</v>
      </c>
      <c r="BD372" s="200" t="str">
        <f>VLOOKUP($A372,'[3]allergenen 6nr'!$A$1:$O$1310,3,FALSE)</f>
        <v>-</v>
      </c>
      <c r="BE372" s="201" t="str">
        <f>VLOOKUP($A372,'[3]allergenen 6nr'!$A$1:$O$1310,4,FALSE)</f>
        <v>X</v>
      </c>
      <c r="BF372" s="201" t="str">
        <f>VLOOKUP($A372,'[3]allergenen 6nr'!$A$1:$O$1310,5,FALSE)</f>
        <v>+</v>
      </c>
      <c r="BG372" s="201" t="str">
        <f>VLOOKUP($A372,'[3]allergenen 6nr'!$A$1:$O$1310,6,FALSE)</f>
        <v>X</v>
      </c>
      <c r="BH372" s="201" t="str">
        <f>VLOOKUP($A372,'[3]allergenen 6nr'!$A$1:$O$1310,7,FALSE)</f>
        <v>X</v>
      </c>
      <c r="BI372" s="201" t="str">
        <f>VLOOKUP($A372,'[3]allergenen 6nr'!$A$1:$O$1310,8,FALSE)</f>
        <v>X</v>
      </c>
      <c r="BJ372" s="201" t="str">
        <f>VLOOKUP($A372,'[3]allergenen 6nr'!$A$1:$O$1310,9,FALSE)</f>
        <v>-</v>
      </c>
      <c r="BK372" s="201" t="str">
        <f>VLOOKUP($A372,'[3]allergenen 6nr'!$A$1:$O$1310,10,FALSE)</f>
        <v>X</v>
      </c>
      <c r="BL372" s="201" t="str">
        <f>VLOOKUP($A372,'[3]allergenen 6nr'!$A$1:$O$1310,11,FALSE)</f>
        <v>+</v>
      </c>
      <c r="BM372" s="201" t="str">
        <f>VLOOKUP($A372,'[3]allergenen 6nr'!$A$1:$O$1310,12,FALSE)</f>
        <v>X</v>
      </c>
      <c r="BN372" s="201" t="str">
        <f>VLOOKUP($A372,'[3]allergenen 6nr'!$A$1:$O$1310,13,FALSE)</f>
        <v>+</v>
      </c>
      <c r="BO372" s="201" t="str">
        <f>VLOOKUP($A372,'[3]allergenen 6nr'!$A$1:$O$1310,14,FALSE)</f>
        <v>X</v>
      </c>
      <c r="BP372" s="202" t="str">
        <f>VLOOKUP($A372,'[3]allergenen 6nr'!$A$1:$O$1310,15,FALSE)</f>
        <v>-</v>
      </c>
    </row>
    <row r="373" spans="1:68" x14ac:dyDescent="0.2">
      <c r="A373" s="54">
        <v>63961100</v>
      </c>
      <c r="B373" s="53" t="str">
        <f>VLOOKUP($A373,[1]maaltijden!$A$1:$IV$65536,4,FALSE)</f>
        <v xml:space="preserve">VAT VEG OMELET KAASSAUS WORTELTJES GEBAK. AARDAP.     </v>
      </c>
      <c r="C373" s="46" t="str">
        <f>VLOOKUP($A373,[1]maaltijden!$A$1:$IV$65536,7,FALSE)</f>
        <v>C2227-3R</v>
      </c>
      <c r="D373" s="22" t="str">
        <f>VLOOKUP($A373,[1]maaltijden!$A$1:$IV$65536,10,FALSE)</f>
        <v>NVT</v>
      </c>
      <c r="E373" s="22" t="str">
        <f>VLOOKUP($A373,[1]maaltijden!$A$1:$IV$65536,13,FALSE)</f>
        <v xml:space="preserve">VAT X 6 </v>
      </c>
      <c r="F373" s="20">
        <f t="shared" si="5"/>
        <v>0</v>
      </c>
      <c r="G373" s="20" t="str">
        <f>VLOOKUP($A373,[1]maaltijden!$A$1:$IV$65536,27,FALSE)</f>
        <v>! !</v>
      </c>
      <c r="H373" s="22">
        <f>VLOOKUP($A373,[1]maaltijden!$A$1:$IV$65536,21,FALSE)</f>
        <v>6</v>
      </c>
      <c r="I373" s="22">
        <f>VLOOKUP($A373,[1]maaltijden!$A$1:$IV$65536,21,FALSE)</f>
        <v>6</v>
      </c>
      <c r="J373" s="22">
        <f>VLOOKUP($A373,[1]maaltijden!$A$1:$IV$65536,18,FALSE)</f>
        <v>3</v>
      </c>
      <c r="K373" s="22">
        <f>VLOOKUP($A373,[1]maaltijden!$A$1:$IV$65536,17,FALSE)</f>
        <v>2</v>
      </c>
      <c r="L373" s="22">
        <f>VLOOKUP($A373,[1]maaltijden!$A$1:$IV$65536,20,FALSE)</f>
        <v>2000</v>
      </c>
      <c r="M373" s="22">
        <f>VLOOKUP($A373,[1]maaltijden!$A$1:$IV$65536,22,FALSE)</f>
        <v>2000</v>
      </c>
      <c r="N373" s="135"/>
      <c r="O373" s="50"/>
      <c r="P373" s="19">
        <v>0</v>
      </c>
      <c r="Q373" s="20">
        <v>1</v>
      </c>
      <c r="R373" s="21">
        <v>0</v>
      </c>
      <c r="S373" s="19">
        <v>0</v>
      </c>
      <c r="T373" s="20">
        <v>1</v>
      </c>
      <c r="U373" s="19"/>
      <c r="V373" s="20"/>
      <c r="W373" s="20"/>
      <c r="X373" s="20"/>
      <c r="Y373" s="20"/>
      <c r="Z373" s="20"/>
      <c r="AA373" s="20"/>
      <c r="AB373" s="49"/>
      <c r="AC373" s="49"/>
      <c r="AD373" s="49"/>
      <c r="AE373" s="49"/>
      <c r="AF373" s="49"/>
      <c r="AG373" s="161">
        <v>0</v>
      </c>
      <c r="AH373" s="168">
        <v>1</v>
      </c>
      <c r="AI373" s="168">
        <v>1</v>
      </c>
      <c r="AJ373" s="20"/>
      <c r="AK373" s="20"/>
      <c r="AL373" s="21"/>
      <c r="AM373" s="19">
        <v>0</v>
      </c>
      <c r="AN373" s="20" t="str">
        <f>IFERROR(INDEX([2]lijnopstellingsfiche!$AP$1:$AP$65536,MATCH(A373,[2]lijnopstellingsfiche!$AQ$1:$AQ$65536,0)),"")</f>
        <v>-</v>
      </c>
      <c r="AO373" s="20">
        <v>0</v>
      </c>
      <c r="AP373" s="20">
        <v>0</v>
      </c>
      <c r="AQ373" s="20">
        <v>1</v>
      </c>
      <c r="AR373" s="20">
        <v>0</v>
      </c>
      <c r="AS373" s="20">
        <v>0</v>
      </c>
      <c r="AT373" s="20">
        <v>0</v>
      </c>
      <c r="AU373" s="20">
        <v>0</v>
      </c>
      <c r="AV373" s="23">
        <v>0</v>
      </c>
      <c r="AW373" s="108">
        <v>0</v>
      </c>
      <c r="AX373" s="108">
        <v>0</v>
      </c>
      <c r="AY373" s="108">
        <v>1</v>
      </c>
      <c r="AZ373" s="108">
        <v>0</v>
      </c>
      <c r="BA373" s="114">
        <v>1</v>
      </c>
      <c r="BB373" s="20">
        <v>0</v>
      </c>
      <c r="BC373" s="113">
        <v>0</v>
      </c>
      <c r="BD373" s="200" t="str">
        <f>VLOOKUP($A373,'[3]allergenen 6nr'!$A$1:$O$1310,3,FALSE)</f>
        <v>-</v>
      </c>
      <c r="BE373" s="201" t="str">
        <f>VLOOKUP($A373,'[3]allergenen 6nr'!$A$1:$O$1310,4,FALSE)</f>
        <v>+</v>
      </c>
      <c r="BF373" s="201" t="str">
        <f>VLOOKUP($A373,'[3]allergenen 6nr'!$A$1:$O$1310,5,FALSE)</f>
        <v>-</v>
      </c>
      <c r="BG373" s="201" t="str">
        <f>VLOOKUP($A373,'[3]allergenen 6nr'!$A$1:$O$1310,6,FALSE)</f>
        <v>-</v>
      </c>
      <c r="BH373" s="201" t="str">
        <f>VLOOKUP($A373,'[3]allergenen 6nr'!$A$1:$O$1310,7,FALSE)</f>
        <v>+</v>
      </c>
      <c r="BI373" s="201" t="str">
        <f>VLOOKUP($A373,'[3]allergenen 6nr'!$A$1:$O$1310,8,FALSE)</f>
        <v>-</v>
      </c>
      <c r="BJ373" s="201" t="str">
        <f>VLOOKUP($A373,'[3]allergenen 6nr'!$A$1:$O$1310,9,FALSE)</f>
        <v>-</v>
      </c>
      <c r="BK373" s="201" t="str">
        <f>VLOOKUP($A373,'[3]allergenen 6nr'!$A$1:$O$1310,10,FALSE)</f>
        <v>-</v>
      </c>
      <c r="BL373" s="201" t="str">
        <f>VLOOKUP($A373,'[3]allergenen 6nr'!$A$1:$O$1310,11,FALSE)</f>
        <v>-</v>
      </c>
      <c r="BM373" s="201" t="str">
        <f>VLOOKUP($A373,'[3]allergenen 6nr'!$A$1:$O$1310,12,FALSE)</f>
        <v>-</v>
      </c>
      <c r="BN373" s="201" t="str">
        <f>VLOOKUP($A373,'[3]allergenen 6nr'!$A$1:$O$1310,13,FALSE)</f>
        <v>-</v>
      </c>
      <c r="BO373" s="201" t="str">
        <f>VLOOKUP($A373,'[3]allergenen 6nr'!$A$1:$O$1310,14,FALSE)</f>
        <v>-</v>
      </c>
      <c r="BP373" s="202" t="str">
        <f>VLOOKUP($A373,'[3]allergenen 6nr'!$A$1:$O$1310,15,FALSE)</f>
        <v>-</v>
      </c>
    </row>
    <row r="374" spans="1:68" x14ac:dyDescent="0.2">
      <c r="A374" s="54">
        <v>63961400</v>
      </c>
      <c r="B374" s="53" t="str">
        <f>VLOOKUP($A374,[1]maaltijden!$A$1:$IV$65536,4,FALSE)</f>
        <v xml:space="preserve">VAT VEG PENNE VOLK MET CHAMPIGNONRAGOUT EN BROCCOLI        </v>
      </c>
      <c r="C374" s="46" t="str">
        <f>VLOOKUP($A374,[1]maaltijden!$A$1:$IV$65536,7,FALSE)</f>
        <v xml:space="preserve">C2227-1H </v>
      </c>
      <c r="D374" s="22" t="str">
        <f>VLOOKUP($A374,[1]maaltijden!$A$1:$IV$65536,10,FALSE)</f>
        <v>NVT</v>
      </c>
      <c r="E374" s="22" t="str">
        <f>VLOOKUP($A374,[1]maaltijden!$A$1:$IV$65536,13,FALSE)</f>
        <v xml:space="preserve">VAT X 6 </v>
      </c>
      <c r="F374" s="20">
        <f t="shared" si="5"/>
        <v>0</v>
      </c>
      <c r="G374" s="20" t="str">
        <f>VLOOKUP($A374,[1]maaltijden!$A$1:$IV$65536,27,FALSE)</f>
        <v>! ! !</v>
      </c>
      <c r="H374" s="22">
        <f>VLOOKUP($A374,[1]maaltijden!$A$1:$IV$65536,21,FALSE)</f>
        <v>5</v>
      </c>
      <c r="I374" s="22">
        <f>VLOOKUP($A374,[1]maaltijden!$A$1:$IV$65536,21,FALSE)</f>
        <v>5</v>
      </c>
      <c r="J374" s="22">
        <f>VLOOKUP($A374,[1]maaltijden!$A$1:$IV$65536,18,FALSE)</f>
        <v>3</v>
      </c>
      <c r="K374" s="22">
        <f>VLOOKUP($A374,[1]maaltijden!$A$1:$IV$65536,17,FALSE)</f>
        <v>3</v>
      </c>
      <c r="L374" s="22">
        <f>VLOOKUP($A374,[1]maaltijden!$A$1:$IV$65536,20,FALSE)</f>
        <v>2200</v>
      </c>
      <c r="M374" s="22">
        <f>VLOOKUP($A374,[1]maaltijden!$A$1:$IV$65536,22,FALSE)</f>
        <v>2200</v>
      </c>
      <c r="N374" s="135"/>
      <c r="O374" s="50"/>
      <c r="P374" s="19">
        <v>0</v>
      </c>
      <c r="Q374" s="20">
        <v>1</v>
      </c>
      <c r="R374" s="21">
        <v>0</v>
      </c>
      <c r="S374" s="19">
        <v>0</v>
      </c>
      <c r="T374" s="20">
        <v>1</v>
      </c>
      <c r="U374" s="19">
        <v>1</v>
      </c>
      <c r="V374" s="20">
        <v>1</v>
      </c>
      <c r="W374" s="20">
        <v>1</v>
      </c>
      <c r="X374" s="20">
        <v>1</v>
      </c>
      <c r="Y374" s="20">
        <v>1</v>
      </c>
      <c r="Z374" s="20">
        <v>0</v>
      </c>
      <c r="AA374" s="20">
        <v>0</v>
      </c>
      <c r="AB374" s="49">
        <v>0</v>
      </c>
      <c r="AC374" s="49">
        <v>1</v>
      </c>
      <c r="AD374" s="49">
        <v>0</v>
      </c>
      <c r="AE374" s="49">
        <v>1</v>
      </c>
      <c r="AF374" s="49">
        <v>0</v>
      </c>
      <c r="AG374" s="161">
        <v>1</v>
      </c>
      <c r="AH374" s="168">
        <v>1</v>
      </c>
      <c r="AI374" s="168">
        <v>1</v>
      </c>
      <c r="AJ374" s="20"/>
      <c r="AK374" s="20"/>
      <c r="AL374" s="21"/>
      <c r="AM374" s="19">
        <v>0</v>
      </c>
      <c r="AN374" s="20">
        <f>IFERROR(INDEX([2]lijnopstellingsfiche!$AP$1:$AP$65536,MATCH(A374,[2]lijnopstellingsfiche!$AQ$1:$AQ$65536,0)),"")</f>
        <v>1</v>
      </c>
      <c r="AO374" s="20">
        <v>1</v>
      </c>
      <c r="AP374" s="20">
        <v>0</v>
      </c>
      <c r="AQ374" s="20">
        <v>1</v>
      </c>
      <c r="AR374" s="20">
        <v>0</v>
      </c>
      <c r="AS374" s="20">
        <v>0</v>
      </c>
      <c r="AT374" s="20">
        <v>0</v>
      </c>
      <c r="AU374" s="20">
        <v>0</v>
      </c>
      <c r="AV374" s="23">
        <v>0</v>
      </c>
      <c r="AW374" s="108">
        <v>0</v>
      </c>
      <c r="AX374" s="108">
        <v>0</v>
      </c>
      <c r="AY374" s="108">
        <v>1</v>
      </c>
      <c r="AZ374" s="108">
        <v>0</v>
      </c>
      <c r="BA374" s="114">
        <v>1</v>
      </c>
      <c r="BB374" s="20">
        <v>0</v>
      </c>
      <c r="BC374" s="113">
        <v>0</v>
      </c>
      <c r="BD374" s="200" t="str">
        <f>VLOOKUP($A374,'[3]allergenen 6nr'!$A$1:$O$1310,3,FALSE)</f>
        <v>-</v>
      </c>
      <c r="BE374" s="201" t="str">
        <f>VLOOKUP($A374,'[3]allergenen 6nr'!$A$1:$O$1310,4,FALSE)</f>
        <v>X</v>
      </c>
      <c r="BF374" s="201" t="str">
        <f>VLOOKUP($A374,'[3]allergenen 6nr'!$A$1:$O$1310,5,FALSE)</f>
        <v>+</v>
      </c>
      <c r="BG374" s="201" t="str">
        <f>VLOOKUP($A374,'[3]allergenen 6nr'!$A$1:$O$1310,6,FALSE)</f>
        <v>X</v>
      </c>
      <c r="BH374" s="201" t="str">
        <f>VLOOKUP($A374,'[3]allergenen 6nr'!$A$1:$O$1310,7,FALSE)</f>
        <v>+</v>
      </c>
      <c r="BI374" s="201" t="str">
        <f>VLOOKUP($A374,'[3]allergenen 6nr'!$A$1:$O$1310,8,FALSE)</f>
        <v>X</v>
      </c>
      <c r="BJ374" s="201" t="str">
        <f>VLOOKUP($A374,'[3]allergenen 6nr'!$A$1:$O$1310,9,FALSE)</f>
        <v>-</v>
      </c>
      <c r="BK374" s="201" t="str">
        <f>VLOOKUP($A374,'[3]allergenen 6nr'!$A$1:$O$1310,10,FALSE)</f>
        <v>-</v>
      </c>
      <c r="BL374" s="201" t="str">
        <f>VLOOKUP($A374,'[3]allergenen 6nr'!$A$1:$O$1310,11,FALSE)</f>
        <v>+</v>
      </c>
      <c r="BM374" s="201" t="str">
        <f>VLOOKUP($A374,'[3]allergenen 6nr'!$A$1:$O$1310,12,FALSE)</f>
        <v>-</v>
      </c>
      <c r="BN374" s="201" t="str">
        <f>VLOOKUP($A374,'[3]allergenen 6nr'!$A$1:$O$1310,13,FALSE)</f>
        <v>X</v>
      </c>
      <c r="BO374" s="201" t="str">
        <f>VLOOKUP($A374,'[3]allergenen 6nr'!$A$1:$O$1310,14,FALSE)</f>
        <v>-</v>
      </c>
      <c r="BP374" s="202" t="str">
        <f>VLOOKUP($A374,'[3]allergenen 6nr'!$A$1:$O$1310,15,FALSE)</f>
        <v>-</v>
      </c>
    </row>
    <row r="375" spans="1:68" x14ac:dyDescent="0.2">
      <c r="A375" s="89">
        <v>63961500</v>
      </c>
      <c r="B375" s="53" t="str">
        <f>VLOOKUP($A375,[1]maaltijden!$A$1:$IV$65536,4,FALSE)</f>
        <v xml:space="preserve">VAT VEGETARISCHE LASAGNA MET SPINAZIE             </v>
      </c>
      <c r="C375" s="46" t="str">
        <f>VLOOKUP($A375,[1]maaltijden!$A$1:$IV$65536,7,FALSE)</f>
        <v xml:space="preserve">C2227-1H </v>
      </c>
      <c r="D375" s="22" t="str">
        <f>VLOOKUP($A375,[1]maaltijden!$A$1:$IV$65536,10,FALSE)</f>
        <v>NVT</v>
      </c>
      <c r="E375" s="22" t="str">
        <f>VLOOKUP($A375,[1]maaltijden!$A$1:$IV$65536,13,FALSE)</f>
        <v xml:space="preserve">VAT X 6 </v>
      </c>
      <c r="F375" s="20">
        <f t="shared" si="5"/>
        <v>0</v>
      </c>
      <c r="G375" s="20" t="str">
        <f>VLOOKUP($A375,[1]maaltijden!$A$1:$IV$65536,27,FALSE)</f>
        <v>! !</v>
      </c>
      <c r="H375" s="22">
        <f>VLOOKUP($A375,[1]maaltijden!$A$1:$IV$65536,21,FALSE)</f>
        <v>4</v>
      </c>
      <c r="I375" s="22">
        <f>VLOOKUP($A375,[1]maaltijden!$A$1:$IV$65536,21,FALSE)</f>
        <v>4</v>
      </c>
      <c r="J375" s="22">
        <f>VLOOKUP($A375,[1]maaltijden!$A$1:$IV$65536,18,FALSE)</f>
        <v>3</v>
      </c>
      <c r="K375" s="22">
        <f>VLOOKUP($A375,[1]maaltijden!$A$1:$IV$65536,17,FALSE)</f>
        <v>2</v>
      </c>
      <c r="L375" s="22">
        <f>VLOOKUP($A375,[1]maaltijden!$A$1:$IV$65536,20,FALSE)</f>
        <v>2200</v>
      </c>
      <c r="M375" s="22">
        <f>VLOOKUP($A375,[1]maaltijden!$A$1:$IV$65536,22,FALSE)</f>
        <v>2200</v>
      </c>
      <c r="N375" s="135"/>
      <c r="O375" s="50"/>
      <c r="P375" s="19">
        <v>0</v>
      </c>
      <c r="Q375" s="20">
        <v>1</v>
      </c>
      <c r="R375" s="21">
        <v>0</v>
      </c>
      <c r="S375" s="19">
        <v>0</v>
      </c>
      <c r="T375" s="20">
        <v>1</v>
      </c>
      <c r="U375" s="19">
        <v>1</v>
      </c>
      <c r="V375" s="20">
        <v>1</v>
      </c>
      <c r="W375" s="20">
        <v>1</v>
      </c>
      <c r="X375" s="20">
        <v>1</v>
      </c>
      <c r="Y375" s="20">
        <v>1</v>
      </c>
      <c r="Z375" s="20">
        <v>0</v>
      </c>
      <c r="AA375" s="20">
        <v>0</v>
      </c>
      <c r="AB375" s="49">
        <v>0</v>
      </c>
      <c r="AC375" s="11">
        <v>0</v>
      </c>
      <c r="AD375" s="49">
        <v>0</v>
      </c>
      <c r="AE375" s="49">
        <v>0</v>
      </c>
      <c r="AF375" s="49">
        <v>0</v>
      </c>
      <c r="AG375" s="161">
        <v>0</v>
      </c>
      <c r="AH375" s="162">
        <v>2</v>
      </c>
      <c r="AI375" s="162">
        <v>1</v>
      </c>
      <c r="AJ375" s="162">
        <v>0</v>
      </c>
      <c r="AK375" s="162">
        <v>0</v>
      </c>
      <c r="AL375" s="163">
        <v>0</v>
      </c>
      <c r="AM375" s="19">
        <v>0</v>
      </c>
      <c r="AN375" s="20" t="str">
        <f>IFERROR(INDEX([2]lijnopstellingsfiche!$AP$1:$AP$65536,MATCH(A375,[2]lijnopstellingsfiche!$AQ$1:$AQ$65536,0)),"")</f>
        <v>-</v>
      </c>
      <c r="AO375" s="20">
        <v>0</v>
      </c>
      <c r="AP375" s="20">
        <v>0</v>
      </c>
      <c r="AQ375" s="20">
        <v>3</v>
      </c>
      <c r="AR375" s="20">
        <v>0</v>
      </c>
      <c r="AS375" s="20">
        <v>0</v>
      </c>
      <c r="AT375" s="20">
        <v>0</v>
      </c>
      <c r="AU375" s="20">
        <v>0</v>
      </c>
      <c r="AV375" s="23">
        <v>0</v>
      </c>
      <c r="AW375" s="108">
        <v>0</v>
      </c>
      <c r="AX375" s="108">
        <v>0</v>
      </c>
      <c r="AY375" s="108">
        <v>1</v>
      </c>
      <c r="AZ375" s="108">
        <v>0</v>
      </c>
      <c r="BA375" s="114">
        <v>1</v>
      </c>
      <c r="BB375" s="20">
        <v>0</v>
      </c>
      <c r="BC375" s="113">
        <v>0</v>
      </c>
      <c r="BD375" s="200" t="str">
        <f>VLOOKUP($A375,'[3]allergenen 6nr'!$A$1:$O$1310,3,FALSE)</f>
        <v>-</v>
      </c>
      <c r="BE375" s="201" t="str">
        <f>VLOOKUP($A375,'[3]allergenen 6nr'!$A$1:$O$1310,4,FALSE)</f>
        <v>+</v>
      </c>
      <c r="BF375" s="201" t="str">
        <f>VLOOKUP($A375,'[3]allergenen 6nr'!$A$1:$O$1310,5,FALSE)</f>
        <v>+</v>
      </c>
      <c r="BG375" s="201" t="str">
        <f>VLOOKUP($A375,'[3]allergenen 6nr'!$A$1:$O$1310,6,FALSE)</f>
        <v>-</v>
      </c>
      <c r="BH375" s="201" t="str">
        <f>VLOOKUP($A375,'[3]allergenen 6nr'!$A$1:$O$1310,7,FALSE)</f>
        <v>+</v>
      </c>
      <c r="BI375" s="201" t="str">
        <f>VLOOKUP($A375,'[3]allergenen 6nr'!$A$1:$O$1310,8,FALSE)</f>
        <v>-</v>
      </c>
      <c r="BJ375" s="201" t="str">
        <f>VLOOKUP($A375,'[3]allergenen 6nr'!$A$1:$O$1310,9,FALSE)</f>
        <v>-</v>
      </c>
      <c r="BK375" s="201" t="str">
        <f>VLOOKUP($A375,'[3]allergenen 6nr'!$A$1:$O$1310,10,FALSE)</f>
        <v>X</v>
      </c>
      <c r="BL375" s="201" t="str">
        <f>VLOOKUP($A375,'[3]allergenen 6nr'!$A$1:$O$1310,11,FALSE)</f>
        <v>X</v>
      </c>
      <c r="BM375" s="201" t="str">
        <f>VLOOKUP($A375,'[3]allergenen 6nr'!$A$1:$O$1310,12,FALSE)</f>
        <v>-</v>
      </c>
      <c r="BN375" s="201" t="str">
        <f>VLOOKUP($A375,'[3]allergenen 6nr'!$A$1:$O$1310,13,FALSE)</f>
        <v>X</v>
      </c>
      <c r="BO375" s="201" t="str">
        <f>VLOOKUP($A375,'[3]allergenen 6nr'!$A$1:$O$1310,14,FALSE)</f>
        <v>X</v>
      </c>
      <c r="BP375" s="202" t="str">
        <f>VLOOKUP($A375,'[3]allergenen 6nr'!$A$1:$O$1310,15,FALSE)</f>
        <v>-</v>
      </c>
    </row>
    <row r="376" spans="1:68" x14ac:dyDescent="0.2">
      <c r="A376" s="54">
        <v>63961700</v>
      </c>
      <c r="B376" s="53" t="str">
        <f>VLOOKUP($A376,[1]maaltijden!$A$1:$IV$65536,4,FALSE)</f>
        <v xml:space="preserve">VAT VEG SPINAZIESTAMPPOT MET OMELET                   </v>
      </c>
      <c r="C376" s="46" t="str">
        <f>VLOOKUP($A376,[1]maaltijden!$A$1:$IV$65536,7,FALSE)</f>
        <v xml:space="preserve">C2227-1H </v>
      </c>
      <c r="D376" s="22" t="str">
        <f>VLOOKUP($A376,[1]maaltijden!$A$1:$IV$65536,10,FALSE)</f>
        <v>NVT</v>
      </c>
      <c r="E376" s="22" t="str">
        <f>VLOOKUP($A376,[1]maaltijden!$A$1:$IV$65536,13,FALSE)</f>
        <v xml:space="preserve">VAT X 6 </v>
      </c>
      <c r="F376" s="20">
        <f t="shared" si="5"/>
        <v>0</v>
      </c>
      <c r="G376" s="20" t="str">
        <f>VLOOKUP($A376,[1]maaltijden!$A$1:$IV$65536,27,FALSE)</f>
        <v>! !</v>
      </c>
      <c r="H376" s="22">
        <f>VLOOKUP($A376,[1]maaltijden!$A$1:$IV$65536,21,FALSE)</f>
        <v>2</v>
      </c>
      <c r="I376" s="22">
        <f>VLOOKUP($A376,[1]maaltijden!$A$1:$IV$65536,21,FALSE)</f>
        <v>2</v>
      </c>
      <c r="J376" s="22">
        <f>VLOOKUP($A376,[1]maaltijden!$A$1:$IV$65536,18,FALSE)</f>
        <v>3</v>
      </c>
      <c r="K376" s="22">
        <f>VLOOKUP($A376,[1]maaltijden!$A$1:$IV$65536,17,FALSE)</f>
        <v>2</v>
      </c>
      <c r="L376" s="22">
        <f>VLOOKUP($A376,[1]maaltijden!$A$1:$IV$65536,20,FALSE)</f>
        <v>2200</v>
      </c>
      <c r="M376" s="22">
        <f>VLOOKUP($A376,[1]maaltijden!$A$1:$IV$65536,22,FALSE)</f>
        <v>2200</v>
      </c>
      <c r="N376" s="135"/>
      <c r="O376" s="50"/>
      <c r="P376" s="19">
        <v>0</v>
      </c>
      <c r="Q376" s="20">
        <v>1</v>
      </c>
      <c r="R376" s="21">
        <v>0</v>
      </c>
      <c r="S376" s="19">
        <v>0</v>
      </c>
      <c r="T376" s="20">
        <v>1</v>
      </c>
      <c r="U376" s="19"/>
      <c r="V376" s="20"/>
      <c r="W376" s="20"/>
      <c r="X376" s="20"/>
      <c r="Y376" s="20"/>
      <c r="Z376" s="20"/>
      <c r="AA376" s="20"/>
      <c r="AB376" s="49"/>
      <c r="AC376" s="49"/>
      <c r="AD376" s="49"/>
      <c r="AE376" s="49"/>
      <c r="AF376" s="49"/>
      <c r="AG376" s="161">
        <v>0</v>
      </c>
      <c r="AH376" s="168">
        <v>2</v>
      </c>
      <c r="AI376" s="20"/>
      <c r="AJ376" s="20"/>
      <c r="AK376" s="20"/>
      <c r="AL376" s="21"/>
      <c r="AM376" s="19">
        <v>0</v>
      </c>
      <c r="AN376" s="20" t="str">
        <f>IFERROR(INDEX([2]lijnopstellingsfiche!$AP$1:$AP$65536,MATCH(A376,[2]lijnopstellingsfiche!$AQ$1:$AQ$65536,0)),"")</f>
        <v>-</v>
      </c>
      <c r="AO376" s="20">
        <v>0</v>
      </c>
      <c r="AP376" s="20">
        <v>0</v>
      </c>
      <c r="AQ376" s="20">
        <v>0</v>
      </c>
      <c r="AR376" s="20">
        <v>1</v>
      </c>
      <c r="AS376" s="20">
        <v>0</v>
      </c>
      <c r="AT376" s="20">
        <v>0</v>
      </c>
      <c r="AU376" s="20">
        <v>0</v>
      </c>
      <c r="AV376" s="23">
        <v>0</v>
      </c>
      <c r="AW376" s="108">
        <v>0</v>
      </c>
      <c r="AX376" s="108">
        <v>0</v>
      </c>
      <c r="AY376" s="108">
        <v>1</v>
      </c>
      <c r="AZ376" s="108">
        <v>0</v>
      </c>
      <c r="BA376" s="114">
        <v>1</v>
      </c>
      <c r="BB376" s="20">
        <v>0</v>
      </c>
      <c r="BC376" s="113">
        <v>0</v>
      </c>
      <c r="BD376" s="200" t="str">
        <f>VLOOKUP($A376,'[3]allergenen 6nr'!$A$1:$O$1310,3,FALSE)</f>
        <v>-</v>
      </c>
      <c r="BE376" s="201" t="str">
        <f>VLOOKUP($A376,'[3]allergenen 6nr'!$A$1:$O$1310,4,FALSE)</f>
        <v>+</v>
      </c>
      <c r="BF376" s="201" t="str">
        <f>VLOOKUP($A376,'[3]allergenen 6nr'!$A$1:$O$1310,5,FALSE)</f>
        <v>-</v>
      </c>
      <c r="BG376" s="201" t="str">
        <f>VLOOKUP($A376,'[3]allergenen 6nr'!$A$1:$O$1310,6,FALSE)</f>
        <v>-</v>
      </c>
      <c r="BH376" s="201" t="str">
        <f>VLOOKUP($A376,'[3]allergenen 6nr'!$A$1:$O$1310,7,FALSE)</f>
        <v>+</v>
      </c>
      <c r="BI376" s="201" t="str">
        <f>VLOOKUP($A376,'[3]allergenen 6nr'!$A$1:$O$1310,8,FALSE)</f>
        <v>-</v>
      </c>
      <c r="BJ376" s="201" t="str">
        <f>VLOOKUP($A376,'[3]allergenen 6nr'!$A$1:$O$1310,9,FALSE)</f>
        <v>-</v>
      </c>
      <c r="BK376" s="201" t="str">
        <f>VLOOKUP($A376,'[3]allergenen 6nr'!$A$1:$O$1310,10,FALSE)</f>
        <v>-</v>
      </c>
      <c r="BL376" s="201" t="str">
        <f>VLOOKUP($A376,'[3]allergenen 6nr'!$A$1:$O$1310,11,FALSE)</f>
        <v>-</v>
      </c>
      <c r="BM376" s="201" t="str">
        <f>VLOOKUP($A376,'[3]allergenen 6nr'!$A$1:$O$1310,12,FALSE)</f>
        <v>-</v>
      </c>
      <c r="BN376" s="201" t="str">
        <f>VLOOKUP($A376,'[3]allergenen 6nr'!$A$1:$O$1310,13,FALSE)</f>
        <v>-</v>
      </c>
      <c r="BO376" s="201" t="str">
        <f>VLOOKUP($A376,'[3]allergenen 6nr'!$A$1:$O$1310,14,FALSE)</f>
        <v>-</v>
      </c>
      <c r="BP376" s="202" t="str">
        <f>VLOOKUP($A376,'[3]allergenen 6nr'!$A$1:$O$1310,15,FALSE)</f>
        <v>-</v>
      </c>
    </row>
    <row r="377" spans="1:68" x14ac:dyDescent="0.2">
      <c r="A377" s="54">
        <v>63961800</v>
      </c>
      <c r="B377" s="53" t="str">
        <f>VLOOKUP($A377,[1]maaltijden!$A$1:$IV$65536,4,FALSE)</f>
        <v xml:space="preserve">VAT VEG RISOTTO MET BOSPADDESTOELEN                   </v>
      </c>
      <c r="C377" s="46" t="str">
        <f>VLOOKUP($A377,[1]maaltijden!$A$1:$IV$65536,7,FALSE)</f>
        <v xml:space="preserve">C2227-1H </v>
      </c>
      <c r="D377" s="22" t="str">
        <f>VLOOKUP($A377,[1]maaltijden!$A$1:$IV$65536,10,FALSE)</f>
        <v>NVT</v>
      </c>
      <c r="E377" s="22" t="str">
        <f>VLOOKUP($A377,[1]maaltijden!$A$1:$IV$65536,13,FALSE)</f>
        <v xml:space="preserve">VAT X 6 </v>
      </c>
      <c r="F377" s="20">
        <f t="shared" si="5"/>
        <v>0</v>
      </c>
      <c r="G377" s="20" t="str">
        <f>VLOOKUP($A377,[1]maaltijden!$A$1:$IV$65536,27,FALSE)</f>
        <v>! ! !</v>
      </c>
      <c r="H377" s="22">
        <f>VLOOKUP($A377,[1]maaltijden!$A$1:$IV$65536,21,FALSE)</f>
        <v>3</v>
      </c>
      <c r="I377" s="22">
        <f>VLOOKUP($A377,[1]maaltijden!$A$1:$IV$65536,21,FALSE)</f>
        <v>3</v>
      </c>
      <c r="J377" s="22">
        <f>VLOOKUP($A377,[1]maaltijden!$A$1:$IV$65536,18,FALSE)</f>
        <v>3</v>
      </c>
      <c r="K377" s="22">
        <f>VLOOKUP($A377,[1]maaltijden!$A$1:$IV$65536,17,FALSE)</f>
        <v>2</v>
      </c>
      <c r="L377" s="22">
        <f>VLOOKUP($A377,[1]maaltijden!$A$1:$IV$65536,20,FALSE)</f>
        <v>2200</v>
      </c>
      <c r="M377" s="22">
        <f>VLOOKUP($A377,[1]maaltijden!$A$1:$IV$65536,22,FALSE)</f>
        <v>2200</v>
      </c>
      <c r="N377" s="135"/>
      <c r="O377" s="50"/>
      <c r="P377" s="19">
        <v>0</v>
      </c>
      <c r="Q377" s="20">
        <v>1</v>
      </c>
      <c r="R377" s="21">
        <v>0</v>
      </c>
      <c r="S377" s="19">
        <v>0</v>
      </c>
      <c r="T377" s="20">
        <v>1</v>
      </c>
      <c r="U377" s="19"/>
      <c r="V377" s="20"/>
      <c r="W377" s="20"/>
      <c r="X377" s="20"/>
      <c r="Y377" s="20"/>
      <c r="Z377" s="20"/>
      <c r="AA377" s="20"/>
      <c r="AB377" s="49"/>
      <c r="AC377" s="49"/>
      <c r="AD377" s="49"/>
      <c r="AE377" s="49"/>
      <c r="AF377" s="49"/>
      <c r="AG377" s="161">
        <v>1</v>
      </c>
      <c r="AH377" s="168">
        <v>1</v>
      </c>
      <c r="AI377" s="168">
        <v>1</v>
      </c>
      <c r="AJ377" s="20"/>
      <c r="AK377" s="20"/>
      <c r="AL377" s="21"/>
      <c r="AM377" s="19">
        <v>0</v>
      </c>
      <c r="AN377" s="20">
        <f>IFERROR(INDEX([2]lijnopstellingsfiche!$AP$1:$AP$65536,MATCH(A377,[2]lijnopstellingsfiche!$AQ$1:$AQ$65536,0)),"")</f>
        <v>1</v>
      </c>
      <c r="AO377" s="20">
        <v>1</v>
      </c>
      <c r="AP377" s="20">
        <v>0</v>
      </c>
      <c r="AQ377" s="20">
        <v>1</v>
      </c>
      <c r="AR377" s="20">
        <v>0</v>
      </c>
      <c r="AS377" s="20">
        <v>0</v>
      </c>
      <c r="AT377" s="20">
        <v>0</v>
      </c>
      <c r="AU377" s="20">
        <v>0</v>
      </c>
      <c r="AV377" s="23">
        <v>0</v>
      </c>
      <c r="AW377" s="108">
        <v>0</v>
      </c>
      <c r="AX377" s="108">
        <v>0</v>
      </c>
      <c r="AY377" s="108">
        <v>1</v>
      </c>
      <c r="AZ377" s="108">
        <v>0</v>
      </c>
      <c r="BA377" s="114">
        <v>1</v>
      </c>
      <c r="BB377" s="20">
        <v>0</v>
      </c>
      <c r="BC377" s="113">
        <v>0</v>
      </c>
      <c r="BD377" s="200" t="str">
        <f>VLOOKUP($A377,'[3]allergenen 6nr'!$A$1:$O$1310,3,FALSE)</f>
        <v>-</v>
      </c>
      <c r="BE377" s="201" t="str">
        <f>VLOOKUP($A377,'[3]allergenen 6nr'!$A$1:$O$1310,4,FALSE)</f>
        <v>-</v>
      </c>
      <c r="BF377" s="201" t="str">
        <f>VLOOKUP($A377,'[3]allergenen 6nr'!$A$1:$O$1310,5,FALSE)</f>
        <v>+</v>
      </c>
      <c r="BG377" s="201" t="str">
        <f>VLOOKUP($A377,'[3]allergenen 6nr'!$A$1:$O$1310,6,FALSE)</f>
        <v>-</v>
      </c>
      <c r="BH377" s="201" t="str">
        <f>VLOOKUP($A377,'[3]allergenen 6nr'!$A$1:$O$1310,7,FALSE)</f>
        <v>+</v>
      </c>
      <c r="BI377" s="201" t="str">
        <f>VLOOKUP($A377,'[3]allergenen 6nr'!$A$1:$O$1310,8,FALSE)</f>
        <v>-</v>
      </c>
      <c r="BJ377" s="201" t="str">
        <f>VLOOKUP($A377,'[3]allergenen 6nr'!$A$1:$O$1310,9,FALSE)</f>
        <v>-</v>
      </c>
      <c r="BK377" s="201" t="str">
        <f>VLOOKUP($A377,'[3]allergenen 6nr'!$A$1:$O$1310,10,FALSE)</f>
        <v>-</v>
      </c>
      <c r="BL377" s="201" t="str">
        <f>VLOOKUP($A377,'[3]allergenen 6nr'!$A$1:$O$1310,11,FALSE)</f>
        <v>+</v>
      </c>
      <c r="BM377" s="201" t="str">
        <f>VLOOKUP($A377,'[3]allergenen 6nr'!$A$1:$O$1310,12,FALSE)</f>
        <v>-</v>
      </c>
      <c r="BN377" s="201" t="str">
        <f>VLOOKUP($A377,'[3]allergenen 6nr'!$A$1:$O$1310,13,FALSE)</f>
        <v>-</v>
      </c>
      <c r="BO377" s="201" t="str">
        <f>VLOOKUP($A377,'[3]allergenen 6nr'!$A$1:$O$1310,14,FALSE)</f>
        <v>-</v>
      </c>
      <c r="BP377" s="202" t="str">
        <f>VLOOKUP($A377,'[3]allergenen 6nr'!$A$1:$O$1310,15,FALSE)</f>
        <v>-</v>
      </c>
    </row>
    <row r="378" spans="1:68" x14ac:dyDescent="0.2">
      <c r="A378" s="54">
        <v>63961900</v>
      </c>
      <c r="B378" s="53" t="str">
        <f>VLOOKUP($A378,[1]maaltijden!$A$1:$IV$65536,4,FALSE)</f>
        <v xml:space="preserve">VAT VEG ANDIJVIESTAMPPOT VEGETARISCHE BALLETJES      </v>
      </c>
      <c r="C378" s="46" t="str">
        <f>VLOOKUP($A378,[1]maaltijden!$A$1:$IV$65536,7,FALSE)</f>
        <v>C2227-2K</v>
      </c>
      <c r="D378" s="22" t="str">
        <f>VLOOKUP($A378,[1]maaltijden!$A$1:$IV$65536,10,FALSE)</f>
        <v>NVT</v>
      </c>
      <c r="E378" s="22" t="str">
        <f>VLOOKUP($A378,[1]maaltijden!$A$1:$IV$65536,13,FALSE)</f>
        <v xml:space="preserve">VAT X 6 </v>
      </c>
      <c r="F378" s="20">
        <f t="shared" si="5"/>
        <v>0</v>
      </c>
      <c r="G378" s="20" t="str">
        <f>VLOOKUP($A378,[1]maaltijden!$A$1:$IV$65536,27,FALSE)</f>
        <v>! ! !</v>
      </c>
      <c r="H378" s="22">
        <f>VLOOKUP($A378,[1]maaltijden!$A$1:$IV$65536,21,FALSE)</f>
        <v>3</v>
      </c>
      <c r="I378" s="22">
        <f>VLOOKUP($A378,[1]maaltijden!$A$1:$IV$65536,21,FALSE)</f>
        <v>3</v>
      </c>
      <c r="J378" s="22">
        <f>VLOOKUP($A378,[1]maaltijden!$A$1:$IV$65536,18,FALSE)</f>
        <v>3</v>
      </c>
      <c r="K378" s="22">
        <f>VLOOKUP($A378,[1]maaltijden!$A$1:$IV$65536,17,FALSE)</f>
        <v>2</v>
      </c>
      <c r="L378" s="22">
        <f>VLOOKUP($A378,[1]maaltijden!$A$1:$IV$65536,20,FALSE)</f>
        <v>1750</v>
      </c>
      <c r="M378" s="22">
        <f>VLOOKUP($A378,[1]maaltijden!$A$1:$IV$65536,22,FALSE)</f>
        <v>1750</v>
      </c>
      <c r="N378" s="135"/>
      <c r="O378" s="50"/>
      <c r="P378" s="19">
        <v>0</v>
      </c>
      <c r="Q378" s="20">
        <v>1</v>
      </c>
      <c r="R378" s="21">
        <v>0</v>
      </c>
      <c r="S378" s="19">
        <v>0</v>
      </c>
      <c r="T378" s="20">
        <v>1</v>
      </c>
      <c r="U378" s="19"/>
      <c r="V378" s="20"/>
      <c r="W378" s="20"/>
      <c r="X378" s="20"/>
      <c r="Y378" s="20"/>
      <c r="Z378" s="20"/>
      <c r="AA378" s="20"/>
      <c r="AB378" s="49"/>
      <c r="AC378" s="49"/>
      <c r="AD378" s="49"/>
      <c r="AE378" s="49"/>
      <c r="AF378" s="49"/>
      <c r="AG378" s="161">
        <v>0</v>
      </c>
      <c r="AH378" s="168">
        <v>2</v>
      </c>
      <c r="AI378" s="20"/>
      <c r="AJ378" s="20"/>
      <c r="AK378" s="20"/>
      <c r="AL378" s="21"/>
      <c r="AM378" s="19">
        <v>0</v>
      </c>
      <c r="AN378" s="20" t="str">
        <f>IFERROR(INDEX([2]lijnopstellingsfiche!$AP$1:$AP$65536,MATCH(A378,[2]lijnopstellingsfiche!$AQ$1:$AQ$65536,0)),"")</f>
        <v>-</v>
      </c>
      <c r="AO378" s="20">
        <v>0</v>
      </c>
      <c r="AP378" s="20">
        <v>0</v>
      </c>
      <c r="AQ378" s="20">
        <v>1</v>
      </c>
      <c r="AR378" s="20">
        <v>1</v>
      </c>
      <c r="AS378" s="20">
        <v>0</v>
      </c>
      <c r="AT378" s="20">
        <v>0</v>
      </c>
      <c r="AU378" s="20">
        <v>0</v>
      </c>
      <c r="AV378" s="23">
        <v>0</v>
      </c>
      <c r="AW378" s="108">
        <v>0</v>
      </c>
      <c r="AX378" s="108">
        <v>0</v>
      </c>
      <c r="AY378" s="108">
        <v>1</v>
      </c>
      <c r="AZ378" s="108">
        <v>0</v>
      </c>
      <c r="BA378" s="114">
        <v>1</v>
      </c>
      <c r="BB378" s="20">
        <v>0</v>
      </c>
      <c r="BC378" s="113">
        <v>0</v>
      </c>
      <c r="BD378" s="200" t="str">
        <f>VLOOKUP($A378,'[3]allergenen 6nr'!$A$1:$O$1310,3,FALSE)</f>
        <v>-</v>
      </c>
      <c r="BE378" s="201" t="str">
        <f>VLOOKUP($A378,'[3]allergenen 6nr'!$A$1:$O$1310,4,FALSE)</f>
        <v>-</v>
      </c>
      <c r="BF378" s="201" t="str">
        <f>VLOOKUP($A378,'[3]allergenen 6nr'!$A$1:$O$1310,5,FALSE)</f>
        <v>+</v>
      </c>
      <c r="BG378" s="201" t="str">
        <f>VLOOKUP($A378,'[3]allergenen 6nr'!$A$1:$O$1310,6,FALSE)</f>
        <v>X</v>
      </c>
      <c r="BH378" s="201" t="str">
        <f>VLOOKUP($A378,'[3]allergenen 6nr'!$A$1:$O$1310,7,FALSE)</f>
        <v>+</v>
      </c>
      <c r="BI378" s="201" t="str">
        <f>VLOOKUP($A378,'[3]allergenen 6nr'!$A$1:$O$1310,8,FALSE)</f>
        <v>X</v>
      </c>
      <c r="BJ378" s="201" t="str">
        <f>VLOOKUP($A378,'[3]allergenen 6nr'!$A$1:$O$1310,9,FALSE)</f>
        <v>-</v>
      </c>
      <c r="BK378" s="201" t="str">
        <f>VLOOKUP($A378,'[3]allergenen 6nr'!$A$1:$O$1310,10,FALSE)</f>
        <v>X</v>
      </c>
      <c r="BL378" s="201" t="str">
        <f>VLOOKUP($A378,'[3]allergenen 6nr'!$A$1:$O$1310,11,FALSE)</f>
        <v>+</v>
      </c>
      <c r="BM378" s="201" t="str">
        <f>VLOOKUP($A378,'[3]allergenen 6nr'!$A$1:$O$1310,12,FALSE)</f>
        <v>-</v>
      </c>
      <c r="BN378" s="201" t="str">
        <f>VLOOKUP($A378,'[3]allergenen 6nr'!$A$1:$O$1310,13,FALSE)</f>
        <v>+</v>
      </c>
      <c r="BO378" s="201" t="str">
        <f>VLOOKUP($A378,'[3]allergenen 6nr'!$A$1:$O$1310,14,FALSE)</f>
        <v>X</v>
      </c>
      <c r="BP378" s="202" t="str">
        <f>VLOOKUP($A378,'[3]allergenen 6nr'!$A$1:$O$1310,15,FALSE)</f>
        <v>-</v>
      </c>
    </row>
    <row r="379" spans="1:68" x14ac:dyDescent="0.2">
      <c r="A379" s="54">
        <v>63962000</v>
      </c>
      <c r="B379" s="53" t="str">
        <f>VLOOKUP($A379,[1]maaltijden!$A$1:$IV$65536,4,FALSE)</f>
        <v>VAT VEG MOUSSAKA VEGETARISCH</v>
      </c>
      <c r="C379" s="46" t="str">
        <f>VLOOKUP($A379,[1]maaltijden!$A$1:$IV$65536,7,FALSE)</f>
        <v xml:space="preserve">C2227-1H </v>
      </c>
      <c r="D379" s="22" t="str">
        <f>VLOOKUP($A379,[1]maaltijden!$A$1:$IV$65536,10,FALSE)</f>
        <v>NVT</v>
      </c>
      <c r="E379" s="22" t="str">
        <f>VLOOKUP($A379,[1]maaltijden!$A$1:$IV$65536,13,FALSE)</f>
        <v xml:space="preserve">VAT X 6 </v>
      </c>
      <c r="F379" s="20">
        <f t="shared" si="5"/>
        <v>0</v>
      </c>
      <c r="G379" s="20" t="str">
        <f>VLOOKUP($A379,[1]maaltijden!$A$1:$IV$65536,27,FALSE)</f>
        <v>! ! !</v>
      </c>
      <c r="H379" s="22">
        <f>VLOOKUP($A379,[1]maaltijden!$A$1:$IV$65536,21,FALSE)</f>
        <v>5</v>
      </c>
      <c r="I379" s="22">
        <f>VLOOKUP($A379,[1]maaltijden!$A$1:$IV$65536,21,FALSE)</f>
        <v>5</v>
      </c>
      <c r="J379" s="22">
        <f>VLOOKUP($A379,[1]maaltijden!$A$1:$IV$65536,18,FALSE)</f>
        <v>3</v>
      </c>
      <c r="K379" s="22">
        <f>VLOOKUP($A379,[1]maaltijden!$A$1:$IV$65536,17,FALSE)</f>
        <v>3</v>
      </c>
      <c r="L379" s="22">
        <f>VLOOKUP($A379,[1]maaltijden!$A$1:$IV$65536,20,FALSE)</f>
        <v>2200</v>
      </c>
      <c r="M379" s="22">
        <f>VLOOKUP($A379,[1]maaltijden!$A$1:$IV$65536,22,FALSE)</f>
        <v>2200</v>
      </c>
      <c r="N379" s="135"/>
      <c r="O379" s="50"/>
      <c r="P379" s="19">
        <v>0</v>
      </c>
      <c r="Q379" s="20">
        <v>1</v>
      </c>
      <c r="R379" s="21">
        <v>0</v>
      </c>
      <c r="S379" s="19">
        <v>0</v>
      </c>
      <c r="T379" s="20">
        <v>1</v>
      </c>
      <c r="U379" s="19"/>
      <c r="V379" s="20"/>
      <c r="W379" s="20"/>
      <c r="X379" s="20"/>
      <c r="Y379" s="20"/>
      <c r="Z379" s="20"/>
      <c r="AA379" s="20"/>
      <c r="AB379" s="49"/>
      <c r="AC379" s="49"/>
      <c r="AD379" s="49"/>
      <c r="AE379" s="49"/>
      <c r="AF379" s="49"/>
      <c r="AG379" s="161">
        <v>0</v>
      </c>
      <c r="AH379" s="168">
        <v>1</v>
      </c>
      <c r="AI379" s="168">
        <v>1</v>
      </c>
      <c r="AJ379" s="20"/>
      <c r="AK379" s="20"/>
      <c r="AL379" s="21"/>
      <c r="AM379" s="19">
        <v>0</v>
      </c>
      <c r="AN379" s="20" t="str">
        <f>IFERROR(INDEX([2]lijnopstellingsfiche!$AP$1:$AP$65536,MATCH(A379,[2]lijnopstellingsfiche!$AQ$1:$AQ$65536,0)),"")</f>
        <v>-</v>
      </c>
      <c r="AO379" s="20">
        <v>0</v>
      </c>
      <c r="AP379" s="20">
        <v>1</v>
      </c>
      <c r="AQ379" s="20">
        <v>2</v>
      </c>
      <c r="AR379" s="20">
        <v>0</v>
      </c>
      <c r="AS379" s="20">
        <v>0</v>
      </c>
      <c r="AT379" s="20">
        <v>0</v>
      </c>
      <c r="AU379" s="20">
        <v>0</v>
      </c>
      <c r="AV379" s="23">
        <v>0</v>
      </c>
      <c r="AW379" s="108">
        <v>0</v>
      </c>
      <c r="AX379" s="108">
        <v>0</v>
      </c>
      <c r="AY379" s="108">
        <v>1</v>
      </c>
      <c r="AZ379" s="108">
        <v>0</v>
      </c>
      <c r="BA379" s="114">
        <v>1</v>
      </c>
      <c r="BB379" s="20">
        <v>0</v>
      </c>
      <c r="BC379" s="113">
        <v>0</v>
      </c>
      <c r="BD379" s="200" t="str">
        <f>VLOOKUP($A379,'[3]allergenen 6nr'!$A$1:$O$1310,3,FALSE)</f>
        <v>-</v>
      </c>
      <c r="BE379" s="201" t="str">
        <f>VLOOKUP($A379,'[3]allergenen 6nr'!$A$1:$O$1310,4,FALSE)</f>
        <v>-</v>
      </c>
      <c r="BF379" s="201" t="str">
        <f>VLOOKUP($A379,'[3]allergenen 6nr'!$A$1:$O$1310,5,FALSE)</f>
        <v>+</v>
      </c>
      <c r="BG379" s="201" t="str">
        <f>VLOOKUP($A379,'[3]allergenen 6nr'!$A$1:$O$1310,6,FALSE)</f>
        <v>-</v>
      </c>
      <c r="BH379" s="201" t="str">
        <f>VLOOKUP($A379,'[3]allergenen 6nr'!$A$1:$O$1310,7,FALSE)</f>
        <v>+</v>
      </c>
      <c r="BI379" s="201" t="str">
        <f>VLOOKUP($A379,'[3]allergenen 6nr'!$A$1:$O$1310,8,FALSE)</f>
        <v>-</v>
      </c>
      <c r="BJ379" s="201" t="str">
        <f>VLOOKUP($A379,'[3]allergenen 6nr'!$A$1:$O$1310,9,FALSE)</f>
        <v>-</v>
      </c>
      <c r="BK379" s="201" t="str">
        <f>VLOOKUP($A379,'[3]allergenen 6nr'!$A$1:$O$1310,10,FALSE)</f>
        <v>-</v>
      </c>
      <c r="BL379" s="201" t="str">
        <f>VLOOKUP($A379,'[3]allergenen 6nr'!$A$1:$O$1310,11,FALSE)</f>
        <v>+</v>
      </c>
      <c r="BM379" s="201" t="str">
        <f>VLOOKUP($A379,'[3]allergenen 6nr'!$A$1:$O$1310,12,FALSE)</f>
        <v>-</v>
      </c>
      <c r="BN379" s="201" t="str">
        <f>VLOOKUP($A379,'[3]allergenen 6nr'!$A$1:$O$1310,13,FALSE)</f>
        <v>-</v>
      </c>
      <c r="BO379" s="201" t="str">
        <f>VLOOKUP($A379,'[3]allergenen 6nr'!$A$1:$O$1310,14,FALSE)</f>
        <v>-</v>
      </c>
      <c r="BP379" s="202" t="str">
        <f>VLOOKUP($A379,'[3]allergenen 6nr'!$A$1:$O$1310,15,FALSE)</f>
        <v>-</v>
      </c>
    </row>
    <row r="380" spans="1:68" x14ac:dyDescent="0.2">
      <c r="A380" s="54">
        <v>63962300</v>
      </c>
      <c r="B380" s="53" t="str">
        <f>VLOOKUP($A380,[1]maaltijden!$A$1:$IV$65536,4,FALSE)</f>
        <v>VAT HUTSPOT VEGETARISCHE BALLETJES</v>
      </c>
      <c r="C380" s="46" t="str">
        <f>VLOOKUP($A380,[1]maaltijden!$A$1:$IV$65536,7,FALSE)</f>
        <v>C2227-2K</v>
      </c>
      <c r="D380" s="22" t="str">
        <f>VLOOKUP($A380,[1]maaltijden!$A$1:$IV$65536,10,FALSE)</f>
        <v>NVT</v>
      </c>
      <c r="E380" s="22" t="str">
        <f>VLOOKUP($A380,[1]maaltijden!$A$1:$IV$65536,13,FALSE)</f>
        <v xml:space="preserve">VAT X 6 </v>
      </c>
      <c r="F380" s="20">
        <f t="shared" si="5"/>
        <v>0</v>
      </c>
      <c r="G380" s="20" t="str">
        <f>VLOOKUP($A380,[1]maaltijden!$A$1:$IV$65536,27,FALSE)</f>
        <v>! ! !</v>
      </c>
      <c r="H380" s="22">
        <f>VLOOKUP($A380,[1]maaltijden!$A$1:$IV$65536,21,FALSE)</f>
        <v>3</v>
      </c>
      <c r="I380" s="22">
        <f>VLOOKUP($A380,[1]maaltijden!$A$1:$IV$65536,21,FALSE)</f>
        <v>3</v>
      </c>
      <c r="J380" s="22">
        <f>VLOOKUP($A380,[1]maaltijden!$A$1:$IV$65536,18,FALSE)</f>
        <v>3</v>
      </c>
      <c r="K380" s="22">
        <f>VLOOKUP($A380,[1]maaltijden!$A$1:$IV$65536,17,FALSE)</f>
        <v>2</v>
      </c>
      <c r="L380" s="22">
        <f>VLOOKUP($A380,[1]maaltijden!$A$1:$IV$65536,20,FALSE)</f>
        <v>2200</v>
      </c>
      <c r="M380" s="22">
        <f>VLOOKUP($A380,[1]maaltijden!$A$1:$IV$65536,22,FALSE)</f>
        <v>2200</v>
      </c>
      <c r="N380" s="135"/>
      <c r="O380" s="50" t="s">
        <v>533</v>
      </c>
      <c r="P380" s="19">
        <v>0</v>
      </c>
      <c r="Q380" s="20">
        <v>1</v>
      </c>
      <c r="R380" s="21">
        <v>0</v>
      </c>
      <c r="S380" s="19">
        <v>0</v>
      </c>
      <c r="T380" s="20">
        <v>1</v>
      </c>
      <c r="U380" s="19"/>
      <c r="V380" s="20"/>
      <c r="W380" s="20"/>
      <c r="X380" s="20"/>
      <c r="Y380" s="20"/>
      <c r="Z380" s="20"/>
      <c r="AA380" s="20"/>
      <c r="AB380" s="49"/>
      <c r="AC380" s="49"/>
      <c r="AD380" s="49"/>
      <c r="AE380" s="49"/>
      <c r="AF380" s="49"/>
      <c r="AG380" s="161">
        <v>0</v>
      </c>
      <c r="AH380" s="168">
        <v>1</v>
      </c>
      <c r="AI380" s="168">
        <v>1</v>
      </c>
      <c r="AJ380" s="20"/>
      <c r="AK380" s="20"/>
      <c r="AL380" s="21"/>
      <c r="AM380" s="19">
        <v>0</v>
      </c>
      <c r="AN380" s="20" t="str">
        <f>IFERROR(INDEX([2]lijnopstellingsfiche!$AP$1:$AP$65536,MATCH(A380,[2]lijnopstellingsfiche!$AQ$1:$AQ$65536,0)),"")</f>
        <v>-</v>
      </c>
      <c r="AO380" s="20">
        <v>0</v>
      </c>
      <c r="AP380" s="20">
        <v>0</v>
      </c>
      <c r="AQ380" s="20">
        <v>1</v>
      </c>
      <c r="AR380" s="20">
        <v>1</v>
      </c>
      <c r="AS380" s="20">
        <v>0</v>
      </c>
      <c r="AT380" s="20">
        <v>0</v>
      </c>
      <c r="AU380" s="20">
        <v>0</v>
      </c>
      <c r="AV380" s="23">
        <v>0</v>
      </c>
      <c r="AW380" s="108">
        <v>0</v>
      </c>
      <c r="AX380" s="108">
        <v>0</v>
      </c>
      <c r="AY380" s="108">
        <v>1</v>
      </c>
      <c r="AZ380" s="108">
        <v>0</v>
      </c>
      <c r="BA380" s="114">
        <v>1</v>
      </c>
      <c r="BB380" s="20">
        <v>0</v>
      </c>
      <c r="BC380" s="113">
        <v>0</v>
      </c>
      <c r="BD380" s="200" t="str">
        <f>VLOOKUP($A380,'[3]allergenen 6nr'!$A$1:$O$1310,3,FALSE)</f>
        <v>-</v>
      </c>
      <c r="BE380" s="201" t="str">
        <f>VLOOKUP($A380,'[3]allergenen 6nr'!$A$1:$O$1310,4,FALSE)</f>
        <v>-</v>
      </c>
      <c r="BF380" s="201" t="str">
        <f>VLOOKUP($A380,'[3]allergenen 6nr'!$A$1:$O$1310,5,FALSE)</f>
        <v>+</v>
      </c>
      <c r="BG380" s="201" t="str">
        <f>VLOOKUP($A380,'[3]allergenen 6nr'!$A$1:$O$1310,6,FALSE)</f>
        <v>X</v>
      </c>
      <c r="BH380" s="201" t="str">
        <f>VLOOKUP($A380,'[3]allergenen 6nr'!$A$1:$O$1310,7,FALSE)</f>
        <v>+</v>
      </c>
      <c r="BI380" s="201" t="str">
        <f>VLOOKUP($A380,'[3]allergenen 6nr'!$A$1:$O$1310,8,FALSE)</f>
        <v>X</v>
      </c>
      <c r="BJ380" s="201" t="str">
        <f>VLOOKUP($A380,'[3]allergenen 6nr'!$A$1:$O$1310,9,FALSE)</f>
        <v>-</v>
      </c>
      <c r="BK380" s="201" t="str">
        <f>VLOOKUP($A380,'[3]allergenen 6nr'!$A$1:$O$1310,10,FALSE)</f>
        <v>X</v>
      </c>
      <c r="BL380" s="201" t="str">
        <f>VLOOKUP($A380,'[3]allergenen 6nr'!$A$1:$O$1310,11,FALSE)</f>
        <v>+</v>
      </c>
      <c r="BM380" s="201" t="str">
        <f>VLOOKUP($A380,'[3]allergenen 6nr'!$A$1:$O$1310,12,FALSE)</f>
        <v>-</v>
      </c>
      <c r="BN380" s="201" t="str">
        <f>VLOOKUP($A380,'[3]allergenen 6nr'!$A$1:$O$1310,13,FALSE)</f>
        <v>+</v>
      </c>
      <c r="BO380" s="201" t="str">
        <f>VLOOKUP($A380,'[3]allergenen 6nr'!$A$1:$O$1310,14,FALSE)</f>
        <v>X</v>
      </c>
      <c r="BP380" s="202" t="str">
        <f>VLOOKUP($A380,'[3]allergenen 6nr'!$A$1:$O$1310,15,FALSE)</f>
        <v>-</v>
      </c>
    </row>
    <row r="381" spans="1:68" x14ac:dyDescent="0.2">
      <c r="A381" s="54">
        <v>63963200</v>
      </c>
      <c r="B381" s="53" t="str">
        <f>VLOOKUP($A381,[1]maaltijden!$A$1:$IV$65536,4,FALSE)</f>
        <v>VAT GROENTESCHOTEL VEG KIPSTUKJES POMPOENSAUS WILDE RIJSTMIX</v>
      </c>
      <c r="C381" s="46" t="str">
        <f>VLOOKUP($A381,[1]maaltijden!$A$1:$IV$65536,7,FALSE)</f>
        <v xml:space="preserve">C2227-1H </v>
      </c>
      <c r="D381" s="22" t="str">
        <f>VLOOKUP($A381,[1]maaltijden!$A$1:$IV$65536,10,FALSE)</f>
        <v>NVT</v>
      </c>
      <c r="E381" s="22" t="str">
        <f>VLOOKUP($A381,[1]maaltijden!$A$1:$IV$65536,13,FALSE)</f>
        <v xml:space="preserve">VAT X 6 </v>
      </c>
      <c r="F381" s="20">
        <f t="shared" si="5"/>
        <v>0</v>
      </c>
      <c r="G381" s="20" t="str">
        <f>VLOOKUP($A381,[1]maaltijden!$A$1:$IV$65536,27,FALSE)</f>
        <v>! ! !</v>
      </c>
      <c r="H381" s="22">
        <f>VLOOKUP($A381,[1]maaltijden!$A$1:$IV$65536,21,FALSE)</f>
        <v>6</v>
      </c>
      <c r="I381" s="22">
        <f>VLOOKUP($A381,[1]maaltijden!$A$1:$IV$65536,21,FALSE)</f>
        <v>6</v>
      </c>
      <c r="J381" s="22">
        <f>VLOOKUP($A381,[1]maaltijden!$A$1:$IV$65536,18,FALSE)</f>
        <v>3</v>
      </c>
      <c r="K381" s="22">
        <f>VLOOKUP($A381,[1]maaltijden!$A$1:$IV$65536,17,FALSE)</f>
        <v>3</v>
      </c>
      <c r="L381" s="22">
        <f>VLOOKUP($A381,[1]maaltijden!$A$1:$IV$65536,20,FALSE)</f>
        <v>2200</v>
      </c>
      <c r="M381" s="22">
        <f>VLOOKUP($A381,[1]maaltijden!$A$1:$IV$65536,22,FALSE)</f>
        <v>2200</v>
      </c>
      <c r="N381" s="135"/>
      <c r="O381" s="50"/>
      <c r="P381" s="19">
        <v>0</v>
      </c>
      <c r="Q381" s="20">
        <v>1</v>
      </c>
      <c r="R381" s="21">
        <v>0</v>
      </c>
      <c r="S381" s="19">
        <v>0</v>
      </c>
      <c r="T381" s="20">
        <v>1</v>
      </c>
      <c r="U381" s="19"/>
      <c r="V381" s="20"/>
      <c r="W381" s="20"/>
      <c r="X381" s="20"/>
      <c r="Y381" s="20"/>
      <c r="Z381" s="20"/>
      <c r="AA381" s="20"/>
      <c r="AB381" s="49"/>
      <c r="AC381" s="49"/>
      <c r="AD381" s="49"/>
      <c r="AE381" s="49"/>
      <c r="AF381" s="49"/>
      <c r="AG381" s="161">
        <v>1</v>
      </c>
      <c r="AH381" s="168">
        <v>1</v>
      </c>
      <c r="AI381" s="20"/>
      <c r="AJ381" s="168">
        <v>1</v>
      </c>
      <c r="AK381" s="20"/>
      <c r="AL381" s="21"/>
      <c r="AM381" s="19">
        <v>0</v>
      </c>
      <c r="AN381" s="20">
        <f>IFERROR(INDEX([2]lijnopstellingsfiche!$AP$1:$AP$65536,MATCH(A381,[2]lijnopstellingsfiche!$AQ$1:$AQ$65536,0)),"")</f>
        <v>2</v>
      </c>
      <c r="AO381" s="20">
        <v>1</v>
      </c>
      <c r="AP381" s="20">
        <v>0</v>
      </c>
      <c r="AQ381" s="20">
        <v>2</v>
      </c>
      <c r="AR381" s="20">
        <v>0</v>
      </c>
      <c r="AS381" s="20">
        <v>1</v>
      </c>
      <c r="AT381" s="20">
        <v>0</v>
      </c>
      <c r="AU381" s="20">
        <v>0</v>
      </c>
      <c r="AV381" s="23">
        <v>0</v>
      </c>
      <c r="AW381" s="108">
        <v>0</v>
      </c>
      <c r="AX381" s="108">
        <v>0</v>
      </c>
      <c r="AY381" s="108">
        <v>1</v>
      </c>
      <c r="AZ381" s="108">
        <v>0</v>
      </c>
      <c r="BA381" s="114">
        <v>1</v>
      </c>
      <c r="BB381" s="20">
        <v>0</v>
      </c>
      <c r="BC381" s="113">
        <v>0</v>
      </c>
      <c r="BD381" s="200" t="str">
        <f>VLOOKUP($A381,'[3]allergenen 6nr'!$A$1:$O$1310,3,FALSE)</f>
        <v>-</v>
      </c>
      <c r="BE381" s="201" t="str">
        <f>VLOOKUP($A381,'[3]allergenen 6nr'!$A$1:$O$1310,4,FALSE)</f>
        <v>-</v>
      </c>
      <c r="BF381" s="201" t="str">
        <f>VLOOKUP($A381,'[3]allergenen 6nr'!$A$1:$O$1310,5,FALSE)</f>
        <v>-</v>
      </c>
      <c r="BG381" s="201" t="str">
        <f>VLOOKUP($A381,'[3]allergenen 6nr'!$A$1:$O$1310,6,FALSE)</f>
        <v>-</v>
      </c>
      <c r="BH381" s="201" t="str">
        <f>VLOOKUP($A381,'[3]allergenen 6nr'!$A$1:$O$1310,7,FALSE)</f>
        <v>+</v>
      </c>
      <c r="BI381" s="201" t="str">
        <f>VLOOKUP($A381,'[3]allergenen 6nr'!$A$1:$O$1310,8,FALSE)</f>
        <v>-</v>
      </c>
      <c r="BJ381" s="201" t="str">
        <f>VLOOKUP($A381,'[3]allergenen 6nr'!$A$1:$O$1310,9,FALSE)</f>
        <v>-</v>
      </c>
      <c r="BK381" s="201" t="str">
        <f>VLOOKUP($A381,'[3]allergenen 6nr'!$A$1:$O$1310,10,FALSE)</f>
        <v>-</v>
      </c>
      <c r="BL381" s="201" t="str">
        <f>VLOOKUP($A381,'[3]allergenen 6nr'!$A$1:$O$1310,11,FALSE)</f>
        <v>-</v>
      </c>
      <c r="BM381" s="201" t="str">
        <f>VLOOKUP($A381,'[3]allergenen 6nr'!$A$1:$O$1310,12,FALSE)</f>
        <v>-</v>
      </c>
      <c r="BN381" s="201" t="str">
        <f>VLOOKUP($A381,'[3]allergenen 6nr'!$A$1:$O$1310,13,FALSE)</f>
        <v>+</v>
      </c>
      <c r="BO381" s="201" t="str">
        <f>VLOOKUP($A381,'[3]allergenen 6nr'!$A$1:$O$1310,14,FALSE)</f>
        <v>-</v>
      </c>
      <c r="BP381" s="202" t="str">
        <f>VLOOKUP($A381,'[3]allergenen 6nr'!$A$1:$O$1310,15,FALSE)</f>
        <v>-</v>
      </c>
    </row>
    <row r="382" spans="1:68" x14ac:dyDescent="0.2">
      <c r="A382" s="54">
        <v>63963400</v>
      </c>
      <c r="B382" s="53" t="str">
        <f>VLOOKUP($A382,[1]maaltijden!$A$1:$IV$65536,4,FALSE)</f>
        <v>VAT VEG THAI GROENE CURRY ZOETE AARDAPPELPUREE</v>
      </c>
      <c r="C382" s="46" t="str">
        <f>VLOOKUP($A382,[1]maaltijden!$A$1:$IV$65536,7,FALSE)</f>
        <v>C2227-2K</v>
      </c>
      <c r="D382" s="22" t="str">
        <f>VLOOKUP($A382,[1]maaltijden!$A$1:$IV$65536,10,FALSE)</f>
        <v>NVT</v>
      </c>
      <c r="E382" s="22" t="str">
        <f>VLOOKUP($A382,[1]maaltijden!$A$1:$IV$65536,13,FALSE)</f>
        <v xml:space="preserve">VAT X 6 </v>
      </c>
      <c r="F382" s="20">
        <f t="shared" si="5"/>
        <v>0</v>
      </c>
      <c r="G382" s="20" t="str">
        <f>VLOOKUP($A382,[1]maaltijden!$A$1:$IV$65536,27,FALSE)</f>
        <v>! ! !</v>
      </c>
      <c r="H382" s="22">
        <f>VLOOKUP($A382,[1]maaltijden!$A$1:$IV$65536,21,FALSE)</f>
        <v>2</v>
      </c>
      <c r="I382" s="22">
        <f>VLOOKUP($A382,[1]maaltijden!$A$1:$IV$65536,21,FALSE)</f>
        <v>2</v>
      </c>
      <c r="J382" s="22">
        <f>VLOOKUP($A382,[1]maaltijden!$A$1:$IV$65536,18,FALSE)</f>
        <v>3</v>
      </c>
      <c r="K382" s="22">
        <f>VLOOKUP($A382,[1]maaltijden!$A$1:$IV$65536,17,FALSE)</f>
        <v>3</v>
      </c>
      <c r="L382" s="22">
        <f>VLOOKUP($A382,[1]maaltijden!$A$1:$IV$65536,20,FALSE)</f>
        <v>2200</v>
      </c>
      <c r="M382" s="22">
        <f>VLOOKUP($A382,[1]maaltijden!$A$1:$IV$65536,22,FALSE)</f>
        <v>2200</v>
      </c>
      <c r="N382" s="135"/>
      <c r="O382" s="50"/>
      <c r="P382" s="19">
        <v>0</v>
      </c>
      <c r="Q382" s="20">
        <v>1</v>
      </c>
      <c r="R382" s="21">
        <v>0</v>
      </c>
      <c r="S382" s="19">
        <v>0</v>
      </c>
      <c r="T382" s="20">
        <v>1</v>
      </c>
      <c r="U382" s="19"/>
      <c r="V382" s="20"/>
      <c r="W382" s="20"/>
      <c r="X382" s="20"/>
      <c r="Y382" s="20"/>
      <c r="Z382" s="20"/>
      <c r="AA382" s="20"/>
      <c r="AB382" s="49"/>
      <c r="AC382" s="49"/>
      <c r="AD382" s="49"/>
      <c r="AE382" s="49"/>
      <c r="AF382" s="49"/>
      <c r="AG382" s="161">
        <v>0</v>
      </c>
      <c r="AH382" s="168">
        <v>2</v>
      </c>
      <c r="AI382" s="20"/>
      <c r="AJ382" s="20"/>
      <c r="AK382" s="20"/>
      <c r="AL382" s="21"/>
      <c r="AM382" s="19">
        <v>0</v>
      </c>
      <c r="AN382" s="20" t="str">
        <f>IFERROR(INDEX([2]lijnopstellingsfiche!$AP$1:$AP$65536,MATCH(A382,[2]lijnopstellingsfiche!$AQ$1:$AQ$65536,0)),"")</f>
        <v>-</v>
      </c>
      <c r="AO382" s="20">
        <v>0</v>
      </c>
      <c r="AP382" s="20">
        <v>0</v>
      </c>
      <c r="AQ382" s="20">
        <v>1</v>
      </c>
      <c r="AR382" s="20">
        <v>1</v>
      </c>
      <c r="AS382" s="20">
        <v>1</v>
      </c>
      <c r="AT382" s="20">
        <v>0</v>
      </c>
      <c r="AU382" s="20">
        <v>0</v>
      </c>
      <c r="AV382" s="23">
        <v>0</v>
      </c>
      <c r="AW382" s="108">
        <v>0</v>
      </c>
      <c r="AX382" s="108">
        <v>0</v>
      </c>
      <c r="AY382" s="108">
        <v>1</v>
      </c>
      <c r="AZ382" s="108">
        <v>0</v>
      </c>
      <c r="BA382" s="114">
        <v>1</v>
      </c>
      <c r="BB382" s="20">
        <v>0</v>
      </c>
      <c r="BC382" s="113">
        <v>0</v>
      </c>
      <c r="BD382" s="200" t="str">
        <f>VLOOKUP($A382,'[3]allergenen 6nr'!$A$1:$O$1310,3,FALSE)</f>
        <v>-</v>
      </c>
      <c r="BE382" s="201" t="str">
        <f>VLOOKUP($A382,'[3]allergenen 6nr'!$A$1:$O$1310,4,FALSE)</f>
        <v>-</v>
      </c>
      <c r="BF382" s="201" t="str">
        <f>VLOOKUP($A382,'[3]allergenen 6nr'!$A$1:$O$1310,5,FALSE)</f>
        <v>-</v>
      </c>
      <c r="BG382" s="201" t="str">
        <f>VLOOKUP($A382,'[3]allergenen 6nr'!$A$1:$O$1310,6,FALSE)</f>
        <v>-</v>
      </c>
      <c r="BH382" s="201" t="str">
        <f>VLOOKUP($A382,'[3]allergenen 6nr'!$A$1:$O$1310,7,FALSE)</f>
        <v>-</v>
      </c>
      <c r="BI382" s="201" t="str">
        <f>VLOOKUP($A382,'[3]allergenen 6nr'!$A$1:$O$1310,8,FALSE)</f>
        <v>-</v>
      </c>
      <c r="BJ382" s="201" t="str">
        <f>VLOOKUP($A382,'[3]allergenen 6nr'!$A$1:$O$1310,9,FALSE)</f>
        <v>-</v>
      </c>
      <c r="BK382" s="201" t="str">
        <f>VLOOKUP($A382,'[3]allergenen 6nr'!$A$1:$O$1310,10,FALSE)</f>
        <v>-</v>
      </c>
      <c r="BL382" s="201" t="str">
        <f>VLOOKUP($A382,'[3]allergenen 6nr'!$A$1:$O$1310,11,FALSE)</f>
        <v>+</v>
      </c>
      <c r="BM382" s="201" t="str">
        <f>VLOOKUP($A382,'[3]allergenen 6nr'!$A$1:$O$1310,12,FALSE)</f>
        <v>-</v>
      </c>
      <c r="BN382" s="201" t="str">
        <f>VLOOKUP($A382,'[3]allergenen 6nr'!$A$1:$O$1310,13,FALSE)</f>
        <v>+</v>
      </c>
      <c r="BO382" s="201" t="str">
        <f>VLOOKUP($A382,'[3]allergenen 6nr'!$A$1:$O$1310,14,FALSE)</f>
        <v>-</v>
      </c>
      <c r="BP382" s="202" t="str">
        <f>VLOOKUP($A382,'[3]allergenen 6nr'!$A$1:$O$1310,15,FALSE)</f>
        <v>-</v>
      </c>
    </row>
    <row r="383" spans="1:68" x14ac:dyDescent="0.2">
      <c r="A383" s="89">
        <v>63963500</v>
      </c>
      <c r="B383" s="53" t="str">
        <f>VLOOKUP($A383,[1]maaltijden!$A$1:$IV$65536,4,FALSE)</f>
        <v>VAT VEG SPAGHETTI BOLOGNESE</v>
      </c>
      <c r="C383" s="46" t="str">
        <f>VLOOKUP($A383,[1]maaltijden!$A$1:$IV$65536,7,FALSE)</f>
        <v xml:space="preserve">C2227-1H </v>
      </c>
      <c r="D383" s="22" t="str">
        <f>VLOOKUP($A383,[1]maaltijden!$A$1:$IV$65536,10,FALSE)</f>
        <v>NVT</v>
      </c>
      <c r="E383" s="22" t="str">
        <f>VLOOKUP($A383,[1]maaltijden!$A$1:$IV$65536,13,FALSE)</f>
        <v xml:space="preserve">VAT X 6 </v>
      </c>
      <c r="F383" s="20">
        <f t="shared" si="5"/>
        <v>0</v>
      </c>
      <c r="G383" s="20" t="str">
        <f>VLOOKUP($A383,[1]maaltijden!$A$1:$IV$65536,27,FALSE)</f>
        <v>! ! !</v>
      </c>
      <c r="H383" s="22">
        <f>VLOOKUP($A383,[1]maaltijden!$A$1:$IV$65536,21,FALSE)</f>
        <v>3</v>
      </c>
      <c r="I383" s="22">
        <f>VLOOKUP($A383,[1]maaltijden!$A$1:$IV$65536,21,FALSE)</f>
        <v>3</v>
      </c>
      <c r="J383" s="22">
        <f>VLOOKUP($A383,[1]maaltijden!$A$1:$IV$65536,18,FALSE)</f>
        <v>3</v>
      </c>
      <c r="K383" s="22">
        <f>VLOOKUP($A383,[1]maaltijden!$A$1:$IV$65536,17,FALSE)</f>
        <v>2</v>
      </c>
      <c r="L383" s="22">
        <f>VLOOKUP($A383,[1]maaltijden!$A$1:$IV$65536,20,FALSE)</f>
        <v>2200</v>
      </c>
      <c r="M383" s="22">
        <f>VLOOKUP($A383,[1]maaltijden!$A$1:$IV$65536,22,FALSE)</f>
        <v>2200</v>
      </c>
      <c r="N383" s="135" t="s">
        <v>380</v>
      </c>
      <c r="O383" s="50" t="s">
        <v>381</v>
      </c>
      <c r="P383" s="19">
        <v>0</v>
      </c>
      <c r="Q383" s="20">
        <v>1</v>
      </c>
      <c r="R383" s="21">
        <v>0</v>
      </c>
      <c r="S383" s="19">
        <v>0</v>
      </c>
      <c r="T383" s="20">
        <v>1</v>
      </c>
      <c r="U383" s="19">
        <v>1</v>
      </c>
      <c r="V383" s="20">
        <v>1</v>
      </c>
      <c r="W383" s="20">
        <v>1</v>
      </c>
      <c r="X383" s="20">
        <v>1</v>
      </c>
      <c r="Y383" s="20">
        <v>1</v>
      </c>
      <c r="Z383" s="20">
        <v>0</v>
      </c>
      <c r="AA383" s="20">
        <v>0</v>
      </c>
      <c r="AB383" s="49">
        <v>0</v>
      </c>
      <c r="AC383" s="49">
        <v>0</v>
      </c>
      <c r="AD383" s="49">
        <v>0</v>
      </c>
      <c r="AE383" s="49">
        <v>0</v>
      </c>
      <c r="AF383" s="49">
        <v>0</v>
      </c>
      <c r="AG383" s="161">
        <v>1</v>
      </c>
      <c r="AH383" s="174">
        <v>1</v>
      </c>
      <c r="AI383" s="162">
        <v>0</v>
      </c>
      <c r="AJ383" s="162">
        <v>0</v>
      </c>
      <c r="AK383" s="162">
        <v>0</v>
      </c>
      <c r="AL383" s="163">
        <v>0</v>
      </c>
      <c r="AM383" s="19">
        <v>0</v>
      </c>
      <c r="AN383" s="20">
        <f>IFERROR(INDEX([2]lijnopstellingsfiche!$AP$1:$AP$65536,MATCH(A383,[2]lijnopstellingsfiche!$AQ$1:$AQ$65536,0)),"")</f>
        <v>1</v>
      </c>
      <c r="AO383" s="20">
        <v>1</v>
      </c>
      <c r="AP383" s="20">
        <v>0</v>
      </c>
      <c r="AQ383" s="20">
        <v>2</v>
      </c>
      <c r="AR383" s="20">
        <v>0</v>
      </c>
      <c r="AS383" s="20">
        <v>0</v>
      </c>
      <c r="AT383" s="20">
        <v>0</v>
      </c>
      <c r="AU383" s="20">
        <v>0</v>
      </c>
      <c r="AV383" s="23">
        <v>0</v>
      </c>
      <c r="AW383" s="108">
        <v>0</v>
      </c>
      <c r="AX383" s="108">
        <v>0</v>
      </c>
      <c r="AY383" s="108">
        <v>1</v>
      </c>
      <c r="AZ383" s="108">
        <v>0</v>
      </c>
      <c r="BA383" s="114">
        <v>1</v>
      </c>
      <c r="BB383" s="20">
        <v>0</v>
      </c>
      <c r="BC383" s="113">
        <v>0</v>
      </c>
      <c r="BD383" s="200" t="str">
        <f>VLOOKUP($A383,'[3]allergenen 6nr'!$A$1:$O$1310,3,FALSE)</f>
        <v>-</v>
      </c>
      <c r="BE383" s="201" t="str">
        <f>VLOOKUP($A383,'[3]allergenen 6nr'!$A$1:$O$1310,4,FALSE)</f>
        <v>X</v>
      </c>
      <c r="BF383" s="201" t="str">
        <f>VLOOKUP($A383,'[3]allergenen 6nr'!$A$1:$O$1310,5,FALSE)</f>
        <v>+</v>
      </c>
      <c r="BG383" s="201" t="str">
        <f>VLOOKUP($A383,'[3]allergenen 6nr'!$A$1:$O$1310,6,FALSE)</f>
        <v>X</v>
      </c>
      <c r="BH383" s="201" t="str">
        <f>VLOOKUP($A383,'[3]allergenen 6nr'!$A$1:$O$1310,7,FALSE)</f>
        <v>X</v>
      </c>
      <c r="BI383" s="201" t="str">
        <f>VLOOKUP($A383,'[3]allergenen 6nr'!$A$1:$O$1310,8,FALSE)</f>
        <v>X</v>
      </c>
      <c r="BJ383" s="201" t="str">
        <f>VLOOKUP($A383,'[3]allergenen 6nr'!$A$1:$O$1310,9,FALSE)</f>
        <v>-</v>
      </c>
      <c r="BK383" s="201" t="str">
        <f>VLOOKUP($A383,'[3]allergenen 6nr'!$A$1:$O$1310,10,FALSE)</f>
        <v>X</v>
      </c>
      <c r="BL383" s="201" t="str">
        <f>VLOOKUP($A383,'[3]allergenen 6nr'!$A$1:$O$1310,11,FALSE)</f>
        <v>+</v>
      </c>
      <c r="BM383" s="201" t="str">
        <f>VLOOKUP($A383,'[3]allergenen 6nr'!$A$1:$O$1310,12,FALSE)</f>
        <v>-</v>
      </c>
      <c r="BN383" s="201" t="str">
        <f>VLOOKUP($A383,'[3]allergenen 6nr'!$A$1:$O$1310,13,FALSE)</f>
        <v>+</v>
      </c>
      <c r="BO383" s="201" t="str">
        <f>VLOOKUP($A383,'[3]allergenen 6nr'!$A$1:$O$1310,14,FALSE)</f>
        <v>X</v>
      </c>
      <c r="BP383" s="202" t="str">
        <f>VLOOKUP($A383,'[3]allergenen 6nr'!$A$1:$O$1310,15,FALSE)</f>
        <v>-</v>
      </c>
    </row>
    <row r="384" spans="1:68" x14ac:dyDescent="0.2">
      <c r="A384" s="54">
        <v>63963600</v>
      </c>
      <c r="B384" s="53" t="str">
        <f>VLOOKUP($A384,[1]maaltijden!$A$1:$IV$65536,4,FALSE)</f>
        <v>VAT VERGETEN GROENTESCHOTEL VEG KIPSTUKJES PASTINAAKPUREE</v>
      </c>
      <c r="C384" s="46" t="str">
        <f>VLOOKUP($A384,[1]maaltijden!$A$1:$IV$65536,7,FALSE)</f>
        <v xml:space="preserve">C2227-1H </v>
      </c>
      <c r="D384" s="22" t="str">
        <f>VLOOKUP($A384,[1]maaltijden!$A$1:$IV$65536,10,FALSE)</f>
        <v>NVT</v>
      </c>
      <c r="E384" s="22" t="str">
        <f>VLOOKUP($A384,[1]maaltijden!$A$1:$IV$65536,13,FALSE)</f>
        <v xml:space="preserve">VAT X 6 </v>
      </c>
      <c r="F384" s="20">
        <f t="shared" si="5"/>
        <v>0</v>
      </c>
      <c r="G384" s="20" t="str">
        <f>VLOOKUP($A384,[1]maaltijden!$A$1:$IV$65536,27,FALSE)</f>
        <v>! ! !</v>
      </c>
      <c r="H384" s="22">
        <f>VLOOKUP($A384,[1]maaltijden!$A$1:$IV$65536,21,FALSE)</f>
        <v>5</v>
      </c>
      <c r="I384" s="22">
        <f>VLOOKUP($A384,[1]maaltijden!$A$1:$IV$65536,21,FALSE)</f>
        <v>5</v>
      </c>
      <c r="J384" s="22">
        <f>VLOOKUP($A384,[1]maaltijden!$A$1:$IV$65536,18,FALSE)</f>
        <v>3</v>
      </c>
      <c r="K384" s="22">
        <f>VLOOKUP($A384,[1]maaltijden!$A$1:$IV$65536,17,FALSE)</f>
        <v>3</v>
      </c>
      <c r="L384" s="22">
        <f>VLOOKUP($A384,[1]maaltijden!$A$1:$IV$65536,20,FALSE)</f>
        <v>2000</v>
      </c>
      <c r="M384" s="22">
        <f>VLOOKUP($A384,[1]maaltijden!$A$1:$IV$65536,22,FALSE)</f>
        <v>2000</v>
      </c>
      <c r="N384" s="135"/>
      <c r="O384" s="50"/>
      <c r="P384" s="19">
        <v>0</v>
      </c>
      <c r="Q384" s="20">
        <v>1</v>
      </c>
      <c r="R384" s="21">
        <v>0</v>
      </c>
      <c r="S384" s="19">
        <v>0</v>
      </c>
      <c r="T384" s="20">
        <v>1</v>
      </c>
      <c r="U384" s="19"/>
      <c r="V384" s="20"/>
      <c r="W384" s="20"/>
      <c r="X384" s="20"/>
      <c r="Y384" s="20"/>
      <c r="Z384" s="20"/>
      <c r="AA384" s="20"/>
      <c r="AB384" s="49"/>
      <c r="AC384" s="49"/>
      <c r="AD384" s="49"/>
      <c r="AE384" s="49"/>
      <c r="AF384" s="49"/>
      <c r="AG384" s="161">
        <v>0</v>
      </c>
      <c r="AH384" s="168">
        <v>2</v>
      </c>
      <c r="AI384" s="168">
        <v>1</v>
      </c>
      <c r="AJ384" s="20"/>
      <c r="AK384" s="20"/>
      <c r="AL384" s="21"/>
      <c r="AM384" s="19">
        <v>0</v>
      </c>
      <c r="AN384" s="20" t="str">
        <f>IFERROR(INDEX([2]lijnopstellingsfiche!$AP$1:$AP$65536,MATCH(A384,[2]lijnopstellingsfiche!$AQ$1:$AQ$65536,0)),"")</f>
        <v>-</v>
      </c>
      <c r="AO384" s="20">
        <v>0</v>
      </c>
      <c r="AP384" s="20">
        <v>1</v>
      </c>
      <c r="AQ384" s="20">
        <v>2</v>
      </c>
      <c r="AR384" s="20">
        <v>1</v>
      </c>
      <c r="AS384" s="20">
        <v>1</v>
      </c>
      <c r="AT384" s="20">
        <v>0</v>
      </c>
      <c r="AU384" s="20">
        <v>0</v>
      </c>
      <c r="AV384" s="23">
        <v>0</v>
      </c>
      <c r="AW384" s="108">
        <v>0</v>
      </c>
      <c r="AX384" s="108">
        <v>0</v>
      </c>
      <c r="AY384" s="108">
        <v>1</v>
      </c>
      <c r="AZ384" s="108">
        <v>0</v>
      </c>
      <c r="BA384" s="114">
        <v>1</v>
      </c>
      <c r="BB384" s="20">
        <v>0</v>
      </c>
      <c r="BC384" s="113">
        <v>0</v>
      </c>
      <c r="BD384" s="200" t="str">
        <f>VLOOKUP($A384,'[3]allergenen 6nr'!$A$1:$O$1310,3,FALSE)</f>
        <v>-</v>
      </c>
      <c r="BE384" s="201" t="str">
        <f>VLOOKUP($A384,'[3]allergenen 6nr'!$A$1:$O$1310,4,FALSE)</f>
        <v>-</v>
      </c>
      <c r="BF384" s="201" t="str">
        <f>VLOOKUP($A384,'[3]allergenen 6nr'!$A$1:$O$1310,5,FALSE)</f>
        <v>+</v>
      </c>
      <c r="BG384" s="201" t="str">
        <f>VLOOKUP($A384,'[3]allergenen 6nr'!$A$1:$O$1310,6,FALSE)</f>
        <v>X</v>
      </c>
      <c r="BH384" s="201" t="str">
        <f>VLOOKUP($A384,'[3]allergenen 6nr'!$A$1:$O$1310,7,FALSE)</f>
        <v>+</v>
      </c>
      <c r="BI384" s="201" t="str">
        <f>VLOOKUP($A384,'[3]allergenen 6nr'!$A$1:$O$1310,8,FALSE)</f>
        <v>X</v>
      </c>
      <c r="BJ384" s="201" t="str">
        <f>VLOOKUP($A384,'[3]allergenen 6nr'!$A$1:$O$1310,9,FALSE)</f>
        <v>-</v>
      </c>
      <c r="BK384" s="201" t="str">
        <f>VLOOKUP($A384,'[3]allergenen 6nr'!$A$1:$O$1310,10,FALSE)</f>
        <v>-</v>
      </c>
      <c r="BL384" s="201" t="str">
        <f>VLOOKUP($A384,'[3]allergenen 6nr'!$A$1:$O$1310,11,FALSE)</f>
        <v>-</v>
      </c>
      <c r="BM384" s="201" t="str">
        <f>VLOOKUP($A384,'[3]allergenen 6nr'!$A$1:$O$1310,12,FALSE)</f>
        <v>-</v>
      </c>
      <c r="BN384" s="201" t="str">
        <f>VLOOKUP($A384,'[3]allergenen 6nr'!$A$1:$O$1310,13,FALSE)</f>
        <v>+</v>
      </c>
      <c r="BO384" s="201" t="str">
        <f>VLOOKUP($A384,'[3]allergenen 6nr'!$A$1:$O$1310,14,FALSE)</f>
        <v>-</v>
      </c>
      <c r="BP384" s="202" t="str">
        <f>VLOOKUP($A384,'[3]allergenen 6nr'!$A$1:$O$1310,15,FALSE)</f>
        <v>-</v>
      </c>
    </row>
    <row r="385" spans="1:68" x14ac:dyDescent="0.2">
      <c r="A385" s="54">
        <v>63990300</v>
      </c>
      <c r="B385" s="53" t="str">
        <f>VLOOKUP($A385,[1]maaltijden!$A$1:$IV$65536,4,FALSE)</f>
        <v>VAT BLOEMKOOLSOEP 300G</v>
      </c>
      <c r="C385" s="46" t="str">
        <f>VLOOKUP($A385,[1]maaltijden!$A$1:$IV$65536,7,FALSE)</f>
        <v>C2187-1F</v>
      </c>
      <c r="D385" s="22" t="str">
        <f>VLOOKUP($A385,[1]maaltijden!$A$1:$IV$65536,10,FALSE)</f>
        <v>NVT</v>
      </c>
      <c r="E385" s="22" t="str">
        <f>VLOOKUP($A385,[1]maaltijden!$A$1:$IV$65536,13,FALSE)</f>
        <v>H11X10</v>
      </c>
      <c r="F385" s="20">
        <f t="shared" si="5"/>
        <v>0</v>
      </c>
      <c r="G385" s="20" t="str">
        <f>VLOOKUP($A385,[1]maaltijden!$A$1:$IV$65536,27,FALSE)</f>
        <v>! ! !</v>
      </c>
      <c r="H385" s="22">
        <f>VLOOKUP($A385,[1]maaltijden!$A$1:$IV$65536,21,FALSE)</f>
        <v>2</v>
      </c>
      <c r="I385" s="22">
        <f>VLOOKUP($A385,[1]maaltijden!$A$1:$IV$65536,21,FALSE)</f>
        <v>2</v>
      </c>
      <c r="J385" s="22">
        <f>VLOOKUP($A385,[1]maaltijden!$A$1:$IV$65536,18,FALSE)</f>
        <v>3</v>
      </c>
      <c r="K385" s="22">
        <f>VLOOKUP($A385,[1]maaltijden!$A$1:$IV$65536,17,FALSE)</f>
        <v>1.5</v>
      </c>
      <c r="L385" s="22">
        <f>VLOOKUP($A385,[1]maaltijden!$A$1:$IV$65536,20,FALSE)</f>
        <v>1750</v>
      </c>
      <c r="M385" s="22">
        <f>VLOOKUP($A385,[1]maaltijden!$A$1:$IV$65536,22,FALSE)</f>
        <v>1750</v>
      </c>
      <c r="N385" s="135"/>
      <c r="O385" s="50"/>
      <c r="P385" s="19">
        <v>0</v>
      </c>
      <c r="Q385" s="20">
        <v>1</v>
      </c>
      <c r="R385" s="21">
        <v>0</v>
      </c>
      <c r="S385" s="19">
        <v>0</v>
      </c>
      <c r="T385" s="20">
        <v>1</v>
      </c>
      <c r="U385" s="19"/>
      <c r="V385" s="20"/>
      <c r="W385" s="20"/>
      <c r="X385" s="20"/>
      <c r="Y385" s="20"/>
      <c r="Z385" s="20"/>
      <c r="AA385" s="20"/>
      <c r="AB385" s="49"/>
      <c r="AC385" s="49"/>
      <c r="AD385" s="49"/>
      <c r="AE385" s="49"/>
      <c r="AF385" s="49"/>
      <c r="AG385" s="173">
        <v>0</v>
      </c>
      <c r="AH385" s="182">
        <v>1</v>
      </c>
      <c r="AI385" s="174">
        <v>0</v>
      </c>
      <c r="AJ385" s="174">
        <v>0</v>
      </c>
      <c r="AK385" s="174">
        <v>0</v>
      </c>
      <c r="AL385" s="183">
        <v>1</v>
      </c>
      <c r="AM385" s="19">
        <v>0</v>
      </c>
      <c r="AN385" s="20">
        <f>IFERROR(INDEX([2]lijnopstellingsfiche!$AP$1:$AP$65536,MATCH(A385,[2]lijnopstellingsfiche!$AQ$1:$AQ$65536,0)),"")</f>
        <v>1</v>
      </c>
      <c r="AO385" s="20">
        <v>0</v>
      </c>
      <c r="AP385" s="20">
        <v>0</v>
      </c>
      <c r="AQ385" s="20">
        <v>2</v>
      </c>
      <c r="AR385" s="20">
        <v>0</v>
      </c>
      <c r="AS385" s="20">
        <v>1</v>
      </c>
      <c r="AT385" s="20">
        <v>0</v>
      </c>
      <c r="AU385" s="20">
        <v>0</v>
      </c>
      <c r="AV385" s="23">
        <v>0</v>
      </c>
      <c r="AW385" s="108">
        <v>0</v>
      </c>
      <c r="AX385" s="108">
        <v>0</v>
      </c>
      <c r="AY385" s="108">
        <v>1</v>
      </c>
      <c r="AZ385" s="108">
        <v>0</v>
      </c>
      <c r="BA385" s="114">
        <v>1</v>
      </c>
      <c r="BB385" s="20">
        <v>0</v>
      </c>
      <c r="BC385" s="113">
        <v>0</v>
      </c>
      <c r="BD385" s="200" t="str">
        <f>VLOOKUP($A385,'[3]allergenen 6nr'!$A$1:$O$1310,3,FALSE)</f>
        <v>-</v>
      </c>
      <c r="BE385" s="201" t="str">
        <f>VLOOKUP($A385,'[3]allergenen 6nr'!$A$1:$O$1310,4,FALSE)</f>
        <v>X</v>
      </c>
      <c r="BF385" s="201" t="str">
        <f>VLOOKUP($A385,'[3]allergenen 6nr'!$A$1:$O$1310,5,FALSE)</f>
        <v>-</v>
      </c>
      <c r="BG385" s="201" t="str">
        <f>VLOOKUP($A385,'[3]allergenen 6nr'!$A$1:$O$1310,6,FALSE)</f>
        <v>-</v>
      </c>
      <c r="BH385" s="201" t="str">
        <f>VLOOKUP($A385,'[3]allergenen 6nr'!$A$1:$O$1310,7,FALSE)</f>
        <v>+</v>
      </c>
      <c r="BI385" s="201" t="str">
        <f>VLOOKUP($A385,'[3]allergenen 6nr'!$A$1:$O$1310,8,FALSE)</f>
        <v>-</v>
      </c>
      <c r="BJ385" s="201" t="str">
        <f>VLOOKUP($A385,'[3]allergenen 6nr'!$A$1:$O$1310,9,FALSE)</f>
        <v>-</v>
      </c>
      <c r="BK385" s="201" t="str">
        <f>VLOOKUP($A385,'[3]allergenen 6nr'!$A$1:$O$1310,10,FALSE)</f>
        <v>-</v>
      </c>
      <c r="BL385" s="201" t="str">
        <f>VLOOKUP($A385,'[3]allergenen 6nr'!$A$1:$O$1310,11,FALSE)</f>
        <v>+</v>
      </c>
      <c r="BM385" s="201" t="str">
        <f>VLOOKUP($A385,'[3]allergenen 6nr'!$A$1:$O$1310,12,FALSE)</f>
        <v>-</v>
      </c>
      <c r="BN385" s="201" t="str">
        <f>VLOOKUP($A385,'[3]allergenen 6nr'!$A$1:$O$1310,13,FALSE)</f>
        <v>-</v>
      </c>
      <c r="BO385" s="201" t="str">
        <f>VLOOKUP($A385,'[3]allergenen 6nr'!$A$1:$O$1310,14,FALSE)</f>
        <v>-</v>
      </c>
      <c r="BP385" s="202" t="str">
        <f>VLOOKUP($A385,'[3]allergenen 6nr'!$A$1:$O$1310,15,FALSE)</f>
        <v>-</v>
      </c>
    </row>
    <row r="386" spans="1:68" x14ac:dyDescent="0.2">
      <c r="A386" s="89">
        <v>63990500</v>
      </c>
      <c r="B386" s="53" t="str">
        <f>VLOOKUP($A386,[1]maaltijden!$A$1:$IV$65536,4,FALSE)</f>
        <v>VAT TOMATENSOEP MET BALLETJES 300G</v>
      </c>
      <c r="C386" s="46" t="str">
        <f>VLOOKUP($A386,[1]maaltijden!$A$1:$IV$65536,7,FALSE)</f>
        <v>C2187-1F</v>
      </c>
      <c r="D386" s="22" t="str">
        <f>VLOOKUP($A386,[1]maaltijden!$A$1:$IV$65536,10,FALSE)</f>
        <v>NVT</v>
      </c>
      <c r="E386" s="22" t="str">
        <f>VLOOKUP($A386,[1]maaltijden!$A$1:$IV$65536,13,FALSE)</f>
        <v>H11X10</v>
      </c>
      <c r="F386" s="20">
        <f t="shared" si="5"/>
        <v>0</v>
      </c>
      <c r="G386" s="20" t="str">
        <f>VLOOKUP($A386,[1]maaltijden!$A$1:$IV$65536,27,FALSE)</f>
        <v>! ! !</v>
      </c>
      <c r="H386" s="22">
        <f>VLOOKUP($A386,[1]maaltijden!$A$1:$IV$65536,21,FALSE)</f>
        <v>3</v>
      </c>
      <c r="I386" s="22">
        <f>VLOOKUP($A386,[1]maaltijden!$A$1:$IV$65536,21,FALSE)</f>
        <v>3</v>
      </c>
      <c r="J386" s="22">
        <f>VLOOKUP($A386,[1]maaltijden!$A$1:$IV$65536,18,FALSE)</f>
        <v>3</v>
      </c>
      <c r="K386" s="22">
        <f>VLOOKUP($A386,[1]maaltijden!$A$1:$IV$65536,17,FALSE)</f>
        <v>1.5</v>
      </c>
      <c r="L386" s="22">
        <f>VLOOKUP($A386,[1]maaltijden!$A$1:$IV$65536,20,FALSE)</f>
        <v>2000</v>
      </c>
      <c r="M386" s="22">
        <f>VLOOKUP($A386,[1]maaltijden!$A$1:$IV$65536,22,FALSE)</f>
        <v>2000</v>
      </c>
      <c r="N386" s="135"/>
      <c r="O386" s="50">
        <v>63596500</v>
      </c>
      <c r="P386" s="19">
        <v>0</v>
      </c>
      <c r="Q386" s="20">
        <v>1</v>
      </c>
      <c r="R386" s="21">
        <v>0</v>
      </c>
      <c r="S386" s="19">
        <v>0</v>
      </c>
      <c r="T386" s="20">
        <v>1</v>
      </c>
      <c r="U386" s="19">
        <v>0</v>
      </c>
      <c r="V386" s="20">
        <v>1</v>
      </c>
      <c r="W386" s="20">
        <v>1</v>
      </c>
      <c r="X386" s="20">
        <v>1</v>
      </c>
      <c r="Y386" s="20">
        <v>1</v>
      </c>
      <c r="Z386" s="20">
        <v>0</v>
      </c>
      <c r="AA386" s="20">
        <v>0</v>
      </c>
      <c r="AB386" s="49">
        <v>0</v>
      </c>
      <c r="AC386" s="49">
        <v>0</v>
      </c>
      <c r="AD386" s="49">
        <v>0</v>
      </c>
      <c r="AE386" s="49">
        <v>1</v>
      </c>
      <c r="AF386" s="49">
        <v>0</v>
      </c>
      <c r="AG386" s="173">
        <v>0</v>
      </c>
      <c r="AH386" s="174">
        <v>1</v>
      </c>
      <c r="AI386" s="174">
        <v>0</v>
      </c>
      <c r="AJ386" s="174">
        <v>0</v>
      </c>
      <c r="AK386" s="174">
        <v>0</v>
      </c>
      <c r="AL386" s="175">
        <v>1</v>
      </c>
      <c r="AM386" s="19">
        <v>0</v>
      </c>
      <c r="AN386" s="20">
        <f>IFERROR(INDEX([2]lijnopstellingsfiche!$AP$1:$AP$65536,MATCH(A386,[2]lijnopstellingsfiche!$AQ$1:$AQ$65536,0)),"")</f>
        <v>1</v>
      </c>
      <c r="AO386" s="20">
        <v>0</v>
      </c>
      <c r="AP386" s="20">
        <v>0</v>
      </c>
      <c r="AQ386" s="20">
        <v>2</v>
      </c>
      <c r="AR386" s="20">
        <v>0</v>
      </c>
      <c r="AS386" s="20">
        <v>1</v>
      </c>
      <c r="AT386" s="20">
        <v>0</v>
      </c>
      <c r="AU386" s="20">
        <v>0</v>
      </c>
      <c r="AV386" s="23">
        <v>0</v>
      </c>
      <c r="AW386" s="108">
        <v>0</v>
      </c>
      <c r="AX386" s="108">
        <v>0</v>
      </c>
      <c r="AY386" s="108">
        <v>1</v>
      </c>
      <c r="AZ386" s="108">
        <v>0</v>
      </c>
      <c r="BA386" s="114">
        <v>1</v>
      </c>
      <c r="BB386" s="20">
        <v>0</v>
      </c>
      <c r="BC386" s="113">
        <v>0</v>
      </c>
      <c r="BD386" s="200" t="str">
        <f>VLOOKUP($A386,'[3]allergenen 6nr'!$A$1:$O$1310,3,FALSE)</f>
        <v>-</v>
      </c>
      <c r="BE386" s="201" t="str">
        <f>VLOOKUP($A386,'[3]allergenen 6nr'!$A$1:$O$1310,4,FALSE)</f>
        <v>X</v>
      </c>
      <c r="BF386" s="201" t="str">
        <f>VLOOKUP($A386,'[3]allergenen 6nr'!$A$1:$O$1310,5,FALSE)</f>
        <v>+</v>
      </c>
      <c r="BG386" s="201" t="str">
        <f>VLOOKUP($A386,'[3]allergenen 6nr'!$A$1:$O$1310,6,FALSE)</f>
        <v>X</v>
      </c>
      <c r="BH386" s="201" t="str">
        <f>VLOOKUP($A386,'[3]allergenen 6nr'!$A$1:$O$1310,7,FALSE)</f>
        <v>+</v>
      </c>
      <c r="BI386" s="201" t="str">
        <f>VLOOKUP($A386,'[3]allergenen 6nr'!$A$1:$O$1310,8,FALSE)</f>
        <v>X</v>
      </c>
      <c r="BJ386" s="201" t="str">
        <f>VLOOKUP($A386,'[3]allergenen 6nr'!$A$1:$O$1310,9,FALSE)</f>
        <v>-</v>
      </c>
      <c r="BK386" s="201" t="str">
        <f>VLOOKUP($A386,'[3]allergenen 6nr'!$A$1:$O$1310,10,FALSE)</f>
        <v>X</v>
      </c>
      <c r="BL386" s="201" t="str">
        <f>VLOOKUP($A386,'[3]allergenen 6nr'!$A$1:$O$1310,11,FALSE)</f>
        <v>+</v>
      </c>
      <c r="BM386" s="201" t="str">
        <f>VLOOKUP($A386,'[3]allergenen 6nr'!$A$1:$O$1310,12,FALSE)</f>
        <v>-</v>
      </c>
      <c r="BN386" s="201" t="str">
        <f>VLOOKUP($A386,'[3]allergenen 6nr'!$A$1:$O$1310,13,FALSE)</f>
        <v>X</v>
      </c>
      <c r="BO386" s="201" t="str">
        <f>VLOOKUP($A386,'[3]allergenen 6nr'!$A$1:$O$1310,14,FALSE)</f>
        <v>X</v>
      </c>
      <c r="BP386" s="202" t="str">
        <f>VLOOKUP($A386,'[3]allergenen 6nr'!$A$1:$O$1310,15,FALSE)</f>
        <v>X</v>
      </c>
    </row>
    <row r="387" spans="1:68" x14ac:dyDescent="0.2">
      <c r="A387" s="54">
        <v>63990600</v>
      </c>
      <c r="B387" s="53" t="str">
        <f>VLOOKUP($A387,[1]maaltijden!$A$1:$IV$65536,4,FALSE)</f>
        <v>VAT CHAMPIGNONROOMSOEP 300G</v>
      </c>
      <c r="C387" s="46" t="str">
        <f>VLOOKUP($A387,[1]maaltijden!$A$1:$IV$65536,7,FALSE)</f>
        <v>C2187-1F</v>
      </c>
      <c r="D387" s="22" t="str">
        <f>VLOOKUP($A387,[1]maaltijden!$A$1:$IV$65536,10,FALSE)</f>
        <v>NVT</v>
      </c>
      <c r="E387" s="22" t="str">
        <f>VLOOKUP($A387,[1]maaltijden!$A$1:$IV$65536,13,FALSE)</f>
        <v>H11X10</v>
      </c>
      <c r="F387" s="20">
        <f t="shared" ref="F387:F452" si="6">IF($D387="Bedrukte folie 470x300",1,0)</f>
        <v>0</v>
      </c>
      <c r="G387" s="20" t="str">
        <f>VLOOKUP($A387,[1]maaltijden!$A$1:$IV$65536,27,FALSE)</f>
        <v>! ! !</v>
      </c>
      <c r="H387" s="22">
        <f>VLOOKUP($A387,[1]maaltijden!$A$1:$IV$65536,21,FALSE)</f>
        <v>1</v>
      </c>
      <c r="I387" s="22">
        <f>VLOOKUP($A387,[1]maaltijden!$A$1:$IV$65536,21,FALSE)</f>
        <v>1</v>
      </c>
      <c r="J387" s="22">
        <f>VLOOKUP($A387,[1]maaltijden!$A$1:$IV$65536,18,FALSE)</f>
        <v>3</v>
      </c>
      <c r="K387" s="22">
        <f>VLOOKUP($A387,[1]maaltijden!$A$1:$IV$65536,17,FALSE)</f>
        <v>1.5</v>
      </c>
      <c r="L387" s="22">
        <f>VLOOKUP($A387,[1]maaltijden!$A$1:$IV$65536,20,FALSE)</f>
        <v>1750</v>
      </c>
      <c r="M387" s="22">
        <f>VLOOKUP($A387,[1]maaltijden!$A$1:$IV$65536,22,FALSE)</f>
        <v>1750</v>
      </c>
      <c r="N387" s="135"/>
      <c r="O387" s="50"/>
      <c r="P387" s="19">
        <v>0</v>
      </c>
      <c r="Q387" s="20">
        <v>1</v>
      </c>
      <c r="R387" s="21">
        <v>0</v>
      </c>
      <c r="S387" s="19">
        <v>0</v>
      </c>
      <c r="T387" s="20">
        <v>1</v>
      </c>
      <c r="U387" s="19"/>
      <c r="V387" s="20"/>
      <c r="W387" s="20"/>
      <c r="X387" s="20"/>
      <c r="Y387" s="20"/>
      <c r="Z387" s="20"/>
      <c r="AA387" s="20"/>
      <c r="AB387" s="49"/>
      <c r="AC387" s="49"/>
      <c r="AD387" s="49"/>
      <c r="AE387" s="49"/>
      <c r="AF387" s="49"/>
      <c r="AG387" s="161">
        <v>0</v>
      </c>
      <c r="AH387" s="168">
        <v>1</v>
      </c>
      <c r="AI387" s="20"/>
      <c r="AJ387" s="20"/>
      <c r="AK387" s="20"/>
      <c r="AL387" s="171">
        <v>1</v>
      </c>
      <c r="AM387" s="19">
        <v>0</v>
      </c>
      <c r="AN387" s="20" t="str">
        <f>IFERROR(INDEX([2]lijnopstellingsfiche!$AP$1:$AP$65536,MATCH(A387,[2]lijnopstellingsfiche!$AQ$1:$AQ$65536,0)),"")</f>
        <v>-</v>
      </c>
      <c r="AO387" s="20">
        <v>0</v>
      </c>
      <c r="AP387" s="20">
        <v>0</v>
      </c>
      <c r="AQ387" s="20">
        <v>2</v>
      </c>
      <c r="AR387" s="20">
        <v>0</v>
      </c>
      <c r="AS387" s="20">
        <v>0</v>
      </c>
      <c r="AT387" s="20">
        <v>0</v>
      </c>
      <c r="AU387" s="20">
        <v>0</v>
      </c>
      <c r="AV387" s="23">
        <v>0</v>
      </c>
      <c r="AW387" s="108">
        <v>0</v>
      </c>
      <c r="AX387" s="108">
        <v>0</v>
      </c>
      <c r="AY387" s="108">
        <v>1</v>
      </c>
      <c r="AZ387" s="108">
        <v>0</v>
      </c>
      <c r="BA387" s="114">
        <v>1</v>
      </c>
      <c r="BB387" s="20">
        <v>0</v>
      </c>
      <c r="BC387" s="113">
        <v>0</v>
      </c>
      <c r="BD387" s="200" t="str">
        <f>VLOOKUP($A387,'[3]allergenen 6nr'!$A$1:$O$1310,3,FALSE)</f>
        <v>-</v>
      </c>
      <c r="BE387" s="201" t="str">
        <f>VLOOKUP($A387,'[3]allergenen 6nr'!$A$1:$O$1310,4,FALSE)</f>
        <v>X</v>
      </c>
      <c r="BF387" s="201" t="str">
        <f>VLOOKUP($A387,'[3]allergenen 6nr'!$A$1:$O$1310,5,FALSE)</f>
        <v>+</v>
      </c>
      <c r="BG387" s="201" t="str">
        <f>VLOOKUP($A387,'[3]allergenen 6nr'!$A$1:$O$1310,6,FALSE)</f>
        <v>X</v>
      </c>
      <c r="BH387" s="201" t="str">
        <f>VLOOKUP($A387,'[3]allergenen 6nr'!$A$1:$O$1310,7,FALSE)</f>
        <v>+</v>
      </c>
      <c r="BI387" s="201" t="str">
        <f>VLOOKUP($A387,'[3]allergenen 6nr'!$A$1:$O$1310,8,FALSE)</f>
        <v>X</v>
      </c>
      <c r="BJ387" s="201" t="str">
        <f>VLOOKUP($A387,'[3]allergenen 6nr'!$A$1:$O$1310,9,FALSE)</f>
        <v>-</v>
      </c>
      <c r="BK387" s="201" t="str">
        <f>VLOOKUP($A387,'[3]allergenen 6nr'!$A$1:$O$1310,10,FALSE)</f>
        <v>-</v>
      </c>
      <c r="BL387" s="201" t="str">
        <f>VLOOKUP($A387,'[3]allergenen 6nr'!$A$1:$O$1310,11,FALSE)</f>
        <v>+</v>
      </c>
      <c r="BM387" s="201" t="str">
        <f>VLOOKUP($A387,'[3]allergenen 6nr'!$A$1:$O$1310,12,FALSE)</f>
        <v>-</v>
      </c>
      <c r="BN387" s="201" t="str">
        <f>VLOOKUP($A387,'[3]allergenen 6nr'!$A$1:$O$1310,13,FALSE)</f>
        <v>X</v>
      </c>
      <c r="BO387" s="201" t="str">
        <f>VLOOKUP($A387,'[3]allergenen 6nr'!$A$1:$O$1310,14,FALSE)</f>
        <v>-</v>
      </c>
      <c r="BP387" s="202" t="str">
        <f>VLOOKUP($A387,'[3]allergenen 6nr'!$A$1:$O$1310,15,FALSE)</f>
        <v>-</v>
      </c>
    </row>
    <row r="388" spans="1:68" x14ac:dyDescent="0.2">
      <c r="A388" s="54">
        <v>63990700</v>
      </c>
      <c r="B388" s="53" t="str">
        <f>VLOOKUP($A388,[1]maaltijden!$A$1:$IV$65536,4,FALSE)</f>
        <v>VAT GROENTESOEP MET BALLETJES 300G</v>
      </c>
      <c r="C388" s="46" t="str">
        <f>VLOOKUP($A388,[1]maaltijden!$A$1:$IV$65536,7,FALSE)</f>
        <v>C2187-1F</v>
      </c>
      <c r="D388" s="22" t="str">
        <f>VLOOKUP($A388,[1]maaltijden!$A$1:$IV$65536,10,FALSE)</f>
        <v>NVT</v>
      </c>
      <c r="E388" s="22" t="str">
        <f>VLOOKUP($A388,[1]maaltijden!$A$1:$IV$65536,13,FALSE)</f>
        <v>H11X10</v>
      </c>
      <c r="F388" s="20">
        <f t="shared" si="6"/>
        <v>0</v>
      </c>
      <c r="G388" s="20" t="str">
        <f>VLOOKUP($A388,[1]maaltijden!$A$1:$IV$65536,27,FALSE)</f>
        <v>! ! !</v>
      </c>
      <c r="H388" s="22">
        <f>VLOOKUP($A388,[1]maaltijden!$A$1:$IV$65536,21,FALSE)</f>
        <v>3</v>
      </c>
      <c r="I388" s="22">
        <f>VLOOKUP($A388,[1]maaltijden!$A$1:$IV$65536,21,FALSE)</f>
        <v>3</v>
      </c>
      <c r="J388" s="22">
        <f>VLOOKUP($A388,[1]maaltijden!$A$1:$IV$65536,18,FALSE)</f>
        <v>3</v>
      </c>
      <c r="K388" s="22">
        <f>VLOOKUP($A388,[1]maaltijden!$A$1:$IV$65536,17,FALSE)</f>
        <v>1.5</v>
      </c>
      <c r="L388" s="22">
        <f>VLOOKUP($A388,[1]maaltijden!$A$1:$IV$65536,20,FALSE)</f>
        <v>2000</v>
      </c>
      <c r="M388" s="22">
        <f>VLOOKUP($A388,[1]maaltijden!$A$1:$IV$65536,22,FALSE)</f>
        <v>2000</v>
      </c>
      <c r="N388" s="135"/>
      <c r="O388" s="50"/>
      <c r="P388" s="19">
        <v>0</v>
      </c>
      <c r="Q388" s="20">
        <v>1</v>
      </c>
      <c r="R388" s="21">
        <v>0</v>
      </c>
      <c r="S388" s="19">
        <v>0</v>
      </c>
      <c r="T388" s="20">
        <v>1</v>
      </c>
      <c r="U388" s="19"/>
      <c r="V388" s="20"/>
      <c r="W388" s="20"/>
      <c r="X388" s="20"/>
      <c r="Y388" s="20"/>
      <c r="Z388" s="20"/>
      <c r="AA388" s="20"/>
      <c r="AB388" s="49"/>
      <c r="AC388" s="49"/>
      <c r="AD388" s="49"/>
      <c r="AE388" s="49"/>
      <c r="AF388" s="49"/>
      <c r="AG388" s="161">
        <v>0</v>
      </c>
      <c r="AH388" s="168">
        <v>1</v>
      </c>
      <c r="AI388" s="20"/>
      <c r="AJ388" s="20"/>
      <c r="AK388" s="20"/>
      <c r="AL388" s="171">
        <v>1</v>
      </c>
      <c r="AM388" s="19">
        <v>0</v>
      </c>
      <c r="AN388" s="20" t="str">
        <f>IFERROR(INDEX([2]lijnopstellingsfiche!$AP$1:$AP$65536,MATCH(A388,[2]lijnopstellingsfiche!$AQ$1:$AQ$65536,0)),"")</f>
        <v>-</v>
      </c>
      <c r="AO388" s="20">
        <v>0</v>
      </c>
      <c r="AP388" s="20">
        <v>0</v>
      </c>
      <c r="AQ388" s="20">
        <v>2</v>
      </c>
      <c r="AR388" s="20">
        <v>0</v>
      </c>
      <c r="AS388" s="20">
        <v>1</v>
      </c>
      <c r="AT388" s="20">
        <v>0</v>
      </c>
      <c r="AU388" s="20">
        <v>0</v>
      </c>
      <c r="AV388" s="23">
        <v>0</v>
      </c>
      <c r="AW388" s="108">
        <v>0</v>
      </c>
      <c r="AX388" s="108">
        <v>0</v>
      </c>
      <c r="AY388" s="108">
        <v>1</v>
      </c>
      <c r="AZ388" s="108">
        <v>0</v>
      </c>
      <c r="BA388" s="114">
        <v>1</v>
      </c>
      <c r="BB388" s="20">
        <v>0</v>
      </c>
      <c r="BC388" s="113">
        <v>0</v>
      </c>
      <c r="BD388" s="200" t="str">
        <f>VLOOKUP($A388,'[3]allergenen 6nr'!$A$1:$O$1310,3,FALSE)</f>
        <v>-</v>
      </c>
      <c r="BE388" s="201" t="str">
        <f>VLOOKUP($A388,'[3]allergenen 6nr'!$A$1:$O$1310,4,FALSE)</f>
        <v>X</v>
      </c>
      <c r="BF388" s="201" t="str">
        <f>VLOOKUP($A388,'[3]allergenen 6nr'!$A$1:$O$1310,5,FALSE)</f>
        <v>X</v>
      </c>
      <c r="BG388" s="201" t="str">
        <f>VLOOKUP($A388,'[3]allergenen 6nr'!$A$1:$O$1310,6,FALSE)</f>
        <v>-</v>
      </c>
      <c r="BH388" s="201" t="str">
        <f>VLOOKUP($A388,'[3]allergenen 6nr'!$A$1:$O$1310,7,FALSE)</f>
        <v>X</v>
      </c>
      <c r="BI388" s="201" t="str">
        <f>VLOOKUP($A388,'[3]allergenen 6nr'!$A$1:$O$1310,8,FALSE)</f>
        <v>X</v>
      </c>
      <c r="BJ388" s="201" t="str">
        <f>VLOOKUP($A388,'[3]allergenen 6nr'!$A$1:$O$1310,9,FALSE)</f>
        <v>-</v>
      </c>
      <c r="BK388" s="201" t="str">
        <f>VLOOKUP($A388,'[3]allergenen 6nr'!$A$1:$O$1310,10,FALSE)</f>
        <v>X</v>
      </c>
      <c r="BL388" s="201" t="str">
        <f>VLOOKUP($A388,'[3]allergenen 6nr'!$A$1:$O$1310,11,FALSE)</f>
        <v>+</v>
      </c>
      <c r="BM388" s="201" t="str">
        <f>VLOOKUP($A388,'[3]allergenen 6nr'!$A$1:$O$1310,12,FALSE)</f>
        <v>-</v>
      </c>
      <c r="BN388" s="201" t="str">
        <f>VLOOKUP($A388,'[3]allergenen 6nr'!$A$1:$O$1310,13,FALSE)</f>
        <v>X</v>
      </c>
      <c r="BO388" s="201" t="str">
        <f>VLOOKUP($A388,'[3]allergenen 6nr'!$A$1:$O$1310,14,FALSE)</f>
        <v>X</v>
      </c>
      <c r="BP388" s="202" t="str">
        <f>VLOOKUP($A388,'[3]allergenen 6nr'!$A$1:$O$1310,15,FALSE)</f>
        <v>X</v>
      </c>
    </row>
    <row r="389" spans="1:68" x14ac:dyDescent="0.2">
      <c r="A389" s="54">
        <v>63990800</v>
      </c>
      <c r="B389" s="53" t="str">
        <f>VLOOKUP($A389,[1]maaltijden!$A$1:$IV$65536,4,FALSE)</f>
        <v>VAT KIPPENSOEP MET KIPPENSTUKJES 300G</v>
      </c>
      <c r="C389" s="46" t="str">
        <f>VLOOKUP($A389,[1]maaltijden!$A$1:$IV$65536,7,FALSE)</f>
        <v>C2187-1F</v>
      </c>
      <c r="D389" s="22" t="str">
        <f>VLOOKUP($A389,[1]maaltijden!$A$1:$IV$65536,10,FALSE)</f>
        <v>NVT</v>
      </c>
      <c r="E389" s="22" t="str">
        <f>VLOOKUP($A389,[1]maaltijden!$A$1:$IV$65536,13,FALSE)</f>
        <v>H11X10</v>
      </c>
      <c r="F389" s="20">
        <f t="shared" si="6"/>
        <v>0</v>
      </c>
      <c r="G389" s="20" t="str">
        <f>VLOOKUP($A389,[1]maaltijden!$A$1:$IV$65536,27,FALSE)</f>
        <v>! ! !</v>
      </c>
      <c r="H389" s="22">
        <f>VLOOKUP($A389,[1]maaltijden!$A$1:$IV$65536,21,FALSE)</f>
        <v>4</v>
      </c>
      <c r="I389" s="22">
        <f>VLOOKUP($A389,[1]maaltijden!$A$1:$IV$65536,21,FALSE)</f>
        <v>4</v>
      </c>
      <c r="J389" s="22">
        <f>VLOOKUP($A389,[1]maaltijden!$A$1:$IV$65536,18,FALSE)</f>
        <v>3</v>
      </c>
      <c r="K389" s="22">
        <f>VLOOKUP($A389,[1]maaltijden!$A$1:$IV$65536,17,FALSE)</f>
        <v>1.5</v>
      </c>
      <c r="L389" s="22">
        <f>VLOOKUP($A389,[1]maaltijden!$A$1:$IV$65536,20,FALSE)</f>
        <v>1750</v>
      </c>
      <c r="M389" s="22">
        <f>VLOOKUP($A389,[1]maaltijden!$A$1:$IV$65536,22,FALSE)</f>
        <v>1750</v>
      </c>
      <c r="N389" s="135"/>
      <c r="O389" s="50">
        <v>63596800</v>
      </c>
      <c r="P389" s="19">
        <v>0</v>
      </c>
      <c r="Q389" s="20">
        <v>1</v>
      </c>
      <c r="R389" s="21">
        <v>0</v>
      </c>
      <c r="S389" s="19">
        <v>0</v>
      </c>
      <c r="T389" s="20">
        <v>1</v>
      </c>
      <c r="U389" s="19"/>
      <c r="V389" s="20"/>
      <c r="W389" s="20"/>
      <c r="X389" s="20"/>
      <c r="Y389" s="20"/>
      <c r="Z389" s="20"/>
      <c r="AA389" s="20"/>
      <c r="AB389" s="49"/>
      <c r="AC389" s="49"/>
      <c r="AD389" s="49"/>
      <c r="AE389" s="49"/>
      <c r="AF389" s="49"/>
      <c r="AG389" s="161">
        <v>0</v>
      </c>
      <c r="AH389" s="168">
        <v>1</v>
      </c>
      <c r="AI389" s="20"/>
      <c r="AJ389" s="20"/>
      <c r="AK389" s="20"/>
      <c r="AL389" s="171">
        <v>1</v>
      </c>
      <c r="AM389" s="19">
        <v>0</v>
      </c>
      <c r="AN389" s="20" t="str">
        <f>IFERROR(INDEX([2]lijnopstellingsfiche!$AP$1:$AP$65536,MATCH(A389,[2]lijnopstellingsfiche!$AQ$1:$AQ$65536,0)),"")</f>
        <v>-</v>
      </c>
      <c r="AO389" s="20">
        <v>0</v>
      </c>
      <c r="AP389" s="20">
        <v>0</v>
      </c>
      <c r="AQ389" s="20">
        <v>2</v>
      </c>
      <c r="AR389" s="20">
        <v>0</v>
      </c>
      <c r="AS389" s="20">
        <v>0</v>
      </c>
      <c r="AT389" s="20">
        <v>0</v>
      </c>
      <c r="AU389" s="20">
        <v>0</v>
      </c>
      <c r="AV389" s="23">
        <v>0</v>
      </c>
      <c r="AW389" s="108">
        <v>0</v>
      </c>
      <c r="AX389" s="108">
        <v>0</v>
      </c>
      <c r="AY389" s="108">
        <v>1</v>
      </c>
      <c r="AZ389" s="108">
        <v>0</v>
      </c>
      <c r="BA389" s="114">
        <v>1</v>
      </c>
      <c r="BB389" s="20">
        <v>0</v>
      </c>
      <c r="BC389" s="113">
        <v>0</v>
      </c>
      <c r="BD389" s="200" t="str">
        <f>VLOOKUP($A389,'[3]allergenen 6nr'!$A$1:$O$1310,3,FALSE)</f>
        <v>-</v>
      </c>
      <c r="BE389" s="201" t="str">
        <f>VLOOKUP($A389,'[3]allergenen 6nr'!$A$1:$O$1310,4,FALSE)</f>
        <v>X</v>
      </c>
      <c r="BF389" s="201" t="str">
        <f>VLOOKUP($A389,'[3]allergenen 6nr'!$A$1:$O$1310,5,FALSE)</f>
        <v>+</v>
      </c>
      <c r="BG389" s="201" t="str">
        <f>VLOOKUP($A389,'[3]allergenen 6nr'!$A$1:$O$1310,6,FALSE)</f>
        <v>X</v>
      </c>
      <c r="BH389" s="201" t="str">
        <f>VLOOKUP($A389,'[3]allergenen 6nr'!$A$1:$O$1310,7,FALSE)</f>
        <v>+</v>
      </c>
      <c r="BI389" s="201" t="str">
        <f>VLOOKUP($A389,'[3]allergenen 6nr'!$A$1:$O$1310,8,FALSE)</f>
        <v>X</v>
      </c>
      <c r="BJ389" s="201" t="str">
        <f>VLOOKUP($A389,'[3]allergenen 6nr'!$A$1:$O$1310,9,FALSE)</f>
        <v>-</v>
      </c>
      <c r="BK389" s="201" t="str">
        <f>VLOOKUP($A389,'[3]allergenen 6nr'!$A$1:$O$1310,10,FALSE)</f>
        <v>-</v>
      </c>
      <c r="BL389" s="201" t="str">
        <f>VLOOKUP($A389,'[3]allergenen 6nr'!$A$1:$O$1310,11,FALSE)</f>
        <v>+</v>
      </c>
      <c r="BM389" s="201" t="str">
        <f>VLOOKUP($A389,'[3]allergenen 6nr'!$A$1:$O$1310,12,FALSE)</f>
        <v>-</v>
      </c>
      <c r="BN389" s="201" t="str">
        <f>VLOOKUP($A389,'[3]allergenen 6nr'!$A$1:$O$1310,13,FALSE)</f>
        <v>X</v>
      </c>
      <c r="BO389" s="201" t="str">
        <f>VLOOKUP($A389,'[3]allergenen 6nr'!$A$1:$O$1310,14,FALSE)</f>
        <v>-</v>
      </c>
      <c r="BP389" s="202" t="str">
        <f>VLOOKUP($A389,'[3]allergenen 6nr'!$A$1:$O$1310,15,FALSE)</f>
        <v>-</v>
      </c>
    </row>
    <row r="390" spans="1:68" x14ac:dyDescent="0.2">
      <c r="A390" s="54">
        <v>63991000</v>
      </c>
      <c r="B390" s="53" t="str">
        <f>VLOOKUP($A390,[1]maaltijden!$A$1:$IV$65536,4,FALSE)</f>
        <v>VAT POMPOENSOEP 300G</v>
      </c>
      <c r="C390" s="46" t="str">
        <f>VLOOKUP($A390,[1]maaltijden!$A$1:$IV$65536,7,FALSE)</f>
        <v>C2187-1F</v>
      </c>
      <c r="D390" s="22" t="str">
        <f>VLOOKUP($A390,[1]maaltijden!$A$1:$IV$65536,10,FALSE)</f>
        <v>NVT</v>
      </c>
      <c r="E390" s="22" t="str">
        <f>VLOOKUP($A390,[1]maaltijden!$A$1:$IV$65536,13,FALSE)</f>
        <v>H11X10</v>
      </c>
      <c r="F390" s="20">
        <f t="shared" si="6"/>
        <v>0</v>
      </c>
      <c r="G390" s="20" t="str">
        <f>VLOOKUP($A390,[1]maaltijden!$A$1:$IV$65536,27,FALSE)</f>
        <v>! ! !</v>
      </c>
      <c r="H390" s="22">
        <f>VLOOKUP($A390,[1]maaltijden!$A$1:$IV$65536,21,FALSE)</f>
        <v>2</v>
      </c>
      <c r="I390" s="22">
        <f>VLOOKUP($A390,[1]maaltijden!$A$1:$IV$65536,21,FALSE)</f>
        <v>2</v>
      </c>
      <c r="J390" s="22">
        <f>VLOOKUP($A390,[1]maaltijden!$A$1:$IV$65536,18,FALSE)</f>
        <v>3</v>
      </c>
      <c r="K390" s="22">
        <f>VLOOKUP($A390,[1]maaltijden!$A$1:$IV$65536,17,FALSE)</f>
        <v>1.5</v>
      </c>
      <c r="L390" s="22">
        <f>VLOOKUP($A390,[1]maaltijden!$A$1:$IV$65536,20,FALSE)</f>
        <v>1750</v>
      </c>
      <c r="M390" s="22">
        <f>VLOOKUP($A390,[1]maaltijden!$A$1:$IV$65536,22,FALSE)</f>
        <v>1750</v>
      </c>
      <c r="N390" s="135"/>
      <c r="O390" s="50"/>
      <c r="P390" s="19">
        <v>0</v>
      </c>
      <c r="Q390" s="20">
        <v>1</v>
      </c>
      <c r="R390" s="21">
        <v>0</v>
      </c>
      <c r="S390" s="19">
        <v>0</v>
      </c>
      <c r="T390" s="20">
        <v>1</v>
      </c>
      <c r="U390" s="19"/>
      <c r="V390" s="20"/>
      <c r="W390" s="20"/>
      <c r="X390" s="20"/>
      <c r="Y390" s="20"/>
      <c r="Z390" s="20"/>
      <c r="AA390" s="20"/>
      <c r="AB390" s="49"/>
      <c r="AC390" s="49"/>
      <c r="AD390" s="49"/>
      <c r="AE390" s="49"/>
      <c r="AF390" s="49"/>
      <c r="AG390" s="161">
        <v>0</v>
      </c>
      <c r="AH390" s="168">
        <v>1</v>
      </c>
      <c r="AI390" s="20"/>
      <c r="AJ390" s="20"/>
      <c r="AK390" s="20"/>
      <c r="AL390" s="171">
        <v>1</v>
      </c>
      <c r="AM390" s="19">
        <v>0</v>
      </c>
      <c r="AN390" s="20" t="str">
        <f>IFERROR(INDEX([2]lijnopstellingsfiche!$AP$1:$AP$65536,MATCH(A390,[2]lijnopstellingsfiche!$AQ$1:$AQ$65536,0)),"")</f>
        <v>-</v>
      </c>
      <c r="AO390" s="20">
        <v>0</v>
      </c>
      <c r="AP390" s="20">
        <v>0</v>
      </c>
      <c r="AQ390" s="20">
        <v>2</v>
      </c>
      <c r="AR390" s="20">
        <v>0</v>
      </c>
      <c r="AS390" s="20">
        <v>0</v>
      </c>
      <c r="AT390" s="20">
        <v>0</v>
      </c>
      <c r="AU390" s="20">
        <v>0</v>
      </c>
      <c r="AV390" s="23">
        <v>0</v>
      </c>
      <c r="AW390" s="108">
        <v>0</v>
      </c>
      <c r="AX390" s="108">
        <v>0</v>
      </c>
      <c r="AY390" s="108">
        <v>1</v>
      </c>
      <c r="AZ390" s="108">
        <v>0</v>
      </c>
      <c r="BA390" s="114">
        <v>1</v>
      </c>
      <c r="BB390" s="20">
        <v>0</v>
      </c>
      <c r="BC390" s="113">
        <v>0</v>
      </c>
      <c r="BD390" s="200" t="str">
        <f>VLOOKUP($A390,'[3]allergenen 6nr'!$A$1:$O$1310,3,FALSE)</f>
        <v>-</v>
      </c>
      <c r="BE390" s="201" t="str">
        <f>VLOOKUP($A390,'[3]allergenen 6nr'!$A$1:$O$1310,4,FALSE)</f>
        <v>-</v>
      </c>
      <c r="BF390" s="201" t="str">
        <f>VLOOKUP($A390,'[3]allergenen 6nr'!$A$1:$O$1310,5,FALSE)</f>
        <v>X</v>
      </c>
      <c r="BG390" s="201" t="str">
        <f>VLOOKUP($A390,'[3]allergenen 6nr'!$A$1:$O$1310,6,FALSE)</f>
        <v>-</v>
      </c>
      <c r="BH390" s="201" t="str">
        <f>VLOOKUP($A390,'[3]allergenen 6nr'!$A$1:$O$1310,7,FALSE)</f>
        <v>+</v>
      </c>
      <c r="BI390" s="201" t="str">
        <f>VLOOKUP($A390,'[3]allergenen 6nr'!$A$1:$O$1310,8,FALSE)</f>
        <v>X</v>
      </c>
      <c r="BJ390" s="201" t="str">
        <f>VLOOKUP($A390,'[3]allergenen 6nr'!$A$1:$O$1310,9,FALSE)</f>
        <v>-</v>
      </c>
      <c r="BK390" s="201" t="str">
        <f>VLOOKUP($A390,'[3]allergenen 6nr'!$A$1:$O$1310,10,FALSE)</f>
        <v>-</v>
      </c>
      <c r="BL390" s="201" t="str">
        <f>VLOOKUP($A390,'[3]allergenen 6nr'!$A$1:$O$1310,11,FALSE)</f>
        <v>+</v>
      </c>
      <c r="BM390" s="201" t="str">
        <f>VLOOKUP($A390,'[3]allergenen 6nr'!$A$1:$O$1310,12,FALSE)</f>
        <v>-</v>
      </c>
      <c r="BN390" s="201" t="str">
        <f>VLOOKUP($A390,'[3]allergenen 6nr'!$A$1:$O$1310,13,FALSE)</f>
        <v>-</v>
      </c>
      <c r="BO390" s="201" t="str">
        <f>VLOOKUP($A390,'[3]allergenen 6nr'!$A$1:$O$1310,14,FALSE)</f>
        <v>-</v>
      </c>
      <c r="BP390" s="202" t="str">
        <f>VLOOKUP($A390,'[3]allergenen 6nr'!$A$1:$O$1310,15,FALSE)</f>
        <v>-</v>
      </c>
    </row>
    <row r="391" spans="1:68" x14ac:dyDescent="0.2">
      <c r="A391" s="126">
        <v>63991100</v>
      </c>
      <c r="B391" s="53" t="str">
        <f>VLOOKUP($A391,[1]maaltijden!$A$1:$IV$65536,4,FALSE)</f>
        <v>VAT MOSTERDSOEP 300G</v>
      </c>
      <c r="C391" s="46" t="str">
        <f>VLOOKUP($A391,[1]maaltijden!$A$1:$IV$65536,7,FALSE)</f>
        <v>C2187-1F</v>
      </c>
      <c r="D391" s="22" t="str">
        <f>VLOOKUP($A391,[1]maaltijden!$A$1:$IV$65536,10,FALSE)</f>
        <v>NVT</v>
      </c>
      <c r="E391" s="22" t="str">
        <f>VLOOKUP($A391,[1]maaltijden!$A$1:$IV$65536,13,FALSE)</f>
        <v>H11X10</v>
      </c>
      <c r="F391" s="20">
        <f t="shared" si="6"/>
        <v>0</v>
      </c>
      <c r="G391" s="20" t="str">
        <f>VLOOKUP($A391,[1]maaltijden!$A$1:$IV$65536,27,FALSE)</f>
        <v>! ! !</v>
      </c>
      <c r="H391" s="22">
        <f>VLOOKUP($A391,[1]maaltijden!$A$1:$IV$65536,21,FALSE)</f>
        <v>2</v>
      </c>
      <c r="I391" s="22">
        <f>VLOOKUP($A391,[1]maaltijden!$A$1:$IV$65536,21,FALSE)</f>
        <v>2</v>
      </c>
      <c r="J391" s="22">
        <f>VLOOKUP($A391,[1]maaltijden!$A$1:$IV$65536,18,FALSE)</f>
        <v>3</v>
      </c>
      <c r="K391" s="22">
        <f>VLOOKUP($A391,[1]maaltijden!$A$1:$IV$65536,17,FALSE)</f>
        <v>1.5</v>
      </c>
      <c r="L391" s="22">
        <f>VLOOKUP($A391,[1]maaltijden!$A$1:$IV$65536,20,FALSE)</f>
        <v>1750</v>
      </c>
      <c r="M391" s="22">
        <f>VLOOKUP($A391,[1]maaltijden!$A$1:$IV$65536,22,FALSE)</f>
        <v>1750</v>
      </c>
      <c r="N391" s="135"/>
      <c r="O391" s="50"/>
      <c r="P391" s="19">
        <v>0</v>
      </c>
      <c r="Q391" s="20">
        <v>1</v>
      </c>
      <c r="R391" s="21">
        <v>0</v>
      </c>
      <c r="S391" s="19">
        <v>0</v>
      </c>
      <c r="T391" s="20">
        <v>1</v>
      </c>
      <c r="U391" s="19">
        <v>1</v>
      </c>
      <c r="V391" s="20">
        <v>1</v>
      </c>
      <c r="W391" s="20">
        <v>1</v>
      </c>
      <c r="X391" s="20">
        <v>1</v>
      </c>
      <c r="Y391" s="20">
        <v>1</v>
      </c>
      <c r="Z391" s="20">
        <v>0</v>
      </c>
      <c r="AA391" s="20">
        <v>0</v>
      </c>
      <c r="AB391" s="49">
        <v>0</v>
      </c>
      <c r="AC391" s="49">
        <v>0</v>
      </c>
      <c r="AD391" s="49">
        <v>0</v>
      </c>
      <c r="AE391" s="49">
        <v>0</v>
      </c>
      <c r="AF391" s="49">
        <v>0</v>
      </c>
      <c r="AG391" s="173">
        <v>0</v>
      </c>
      <c r="AH391" s="182">
        <v>1</v>
      </c>
      <c r="AI391" s="182">
        <v>0</v>
      </c>
      <c r="AJ391" s="182">
        <v>0</v>
      </c>
      <c r="AK391" s="182">
        <v>0</v>
      </c>
      <c r="AL391" s="183">
        <v>1</v>
      </c>
      <c r="AM391" s="19">
        <v>0</v>
      </c>
      <c r="AN391" s="20" t="str">
        <f>IFERROR(INDEX([2]lijnopstellingsfiche!$AP$1:$AP$65536,MATCH(A391,[2]lijnopstellingsfiche!$AQ$1:$AQ$65536,0)),"")</f>
        <v>-</v>
      </c>
      <c r="AO391" s="20">
        <v>0</v>
      </c>
      <c r="AP391" s="20">
        <v>0</v>
      </c>
      <c r="AQ391" s="20">
        <v>2</v>
      </c>
      <c r="AR391" s="20">
        <v>0</v>
      </c>
      <c r="AS391" s="20">
        <v>0</v>
      </c>
      <c r="AT391" s="20">
        <v>0</v>
      </c>
      <c r="AU391" s="20">
        <v>0</v>
      </c>
      <c r="AV391" s="23">
        <v>0</v>
      </c>
      <c r="AW391" s="108">
        <v>0</v>
      </c>
      <c r="AX391" s="108">
        <v>0</v>
      </c>
      <c r="AY391" s="108">
        <v>1</v>
      </c>
      <c r="AZ391" s="108">
        <v>0</v>
      </c>
      <c r="BA391" s="114">
        <v>1</v>
      </c>
      <c r="BB391" s="20">
        <v>0</v>
      </c>
      <c r="BC391" s="113">
        <v>0</v>
      </c>
      <c r="BD391" s="200" t="str">
        <f>VLOOKUP($A391,'[3]allergenen 6nr'!$A$1:$O$1310,3,FALSE)</f>
        <v>-</v>
      </c>
      <c r="BE391" s="201" t="str">
        <f>VLOOKUP($A391,'[3]allergenen 6nr'!$A$1:$O$1310,4,FALSE)</f>
        <v>-</v>
      </c>
      <c r="BF391" s="201" t="str">
        <f>VLOOKUP($A391,'[3]allergenen 6nr'!$A$1:$O$1310,5,FALSE)</f>
        <v>X</v>
      </c>
      <c r="BG391" s="201" t="str">
        <f>VLOOKUP($A391,'[3]allergenen 6nr'!$A$1:$O$1310,6,FALSE)</f>
        <v>-</v>
      </c>
      <c r="BH391" s="201" t="str">
        <f>VLOOKUP($A391,'[3]allergenen 6nr'!$A$1:$O$1310,7,FALSE)</f>
        <v>+</v>
      </c>
      <c r="BI391" s="201" t="str">
        <f>VLOOKUP($A391,'[3]allergenen 6nr'!$A$1:$O$1310,8,FALSE)</f>
        <v>+</v>
      </c>
      <c r="BJ391" s="201" t="str">
        <f>VLOOKUP($A391,'[3]allergenen 6nr'!$A$1:$O$1310,9,FALSE)</f>
        <v>-</v>
      </c>
      <c r="BK391" s="201" t="str">
        <f>VLOOKUP($A391,'[3]allergenen 6nr'!$A$1:$O$1310,10,FALSE)</f>
        <v>-</v>
      </c>
      <c r="BL391" s="201" t="str">
        <f>VLOOKUP($A391,'[3]allergenen 6nr'!$A$1:$O$1310,11,FALSE)</f>
        <v>+</v>
      </c>
      <c r="BM391" s="201" t="str">
        <f>VLOOKUP($A391,'[3]allergenen 6nr'!$A$1:$O$1310,12,FALSE)</f>
        <v>-</v>
      </c>
      <c r="BN391" s="201" t="str">
        <f>VLOOKUP($A391,'[3]allergenen 6nr'!$A$1:$O$1310,13,FALSE)</f>
        <v>-</v>
      </c>
      <c r="BO391" s="201" t="str">
        <f>VLOOKUP($A391,'[3]allergenen 6nr'!$A$1:$O$1310,14,FALSE)</f>
        <v>-</v>
      </c>
      <c r="BP391" s="202" t="str">
        <f>VLOOKUP($A391,'[3]allergenen 6nr'!$A$1:$O$1310,15,FALSE)</f>
        <v>-</v>
      </c>
    </row>
    <row r="392" spans="1:68" x14ac:dyDescent="0.2">
      <c r="A392" s="54">
        <v>63991200</v>
      </c>
      <c r="B392" s="53" t="str">
        <f>VLOOKUP($A392,[1]maaltijden!$A$1:$IV$65536,4,FALSE)</f>
        <v>VAT FRANSE UIENSOEP 300G</v>
      </c>
      <c r="C392" s="46" t="str">
        <f>VLOOKUP($A392,[1]maaltijden!$A$1:$IV$65536,7,FALSE)</f>
        <v>C2187-1F</v>
      </c>
      <c r="D392" s="22" t="str">
        <f>VLOOKUP($A392,[1]maaltijden!$A$1:$IV$65536,10,FALSE)</f>
        <v>NVT</v>
      </c>
      <c r="E392" s="22" t="str">
        <f>VLOOKUP($A392,[1]maaltijden!$A$1:$IV$65536,13,FALSE)</f>
        <v>H11X10</v>
      </c>
      <c r="F392" s="20">
        <f t="shared" si="6"/>
        <v>0</v>
      </c>
      <c r="G392" s="20" t="str">
        <f>VLOOKUP($A392,[1]maaltijden!$A$1:$IV$65536,27,FALSE)</f>
        <v>! ! !</v>
      </c>
      <c r="H392" s="22">
        <f>VLOOKUP($A392,[1]maaltijden!$A$1:$IV$65536,21,FALSE)</f>
        <v>1</v>
      </c>
      <c r="I392" s="22">
        <f>VLOOKUP($A392,[1]maaltijden!$A$1:$IV$65536,21,FALSE)</f>
        <v>1</v>
      </c>
      <c r="J392" s="22">
        <f>VLOOKUP($A392,[1]maaltijden!$A$1:$IV$65536,18,FALSE)</f>
        <v>3</v>
      </c>
      <c r="K392" s="22">
        <f>VLOOKUP($A392,[1]maaltijden!$A$1:$IV$65536,17,FALSE)</f>
        <v>1</v>
      </c>
      <c r="L392" s="22">
        <f>VLOOKUP($A392,[1]maaltijden!$A$1:$IV$65536,20,FALSE)</f>
        <v>1750</v>
      </c>
      <c r="M392" s="22">
        <f>VLOOKUP($A392,[1]maaltijden!$A$1:$IV$65536,22,FALSE)</f>
        <v>1750</v>
      </c>
      <c r="N392" s="135"/>
      <c r="O392" s="50"/>
      <c r="P392" s="19">
        <v>0</v>
      </c>
      <c r="Q392" s="20">
        <v>1</v>
      </c>
      <c r="R392" s="21">
        <v>0</v>
      </c>
      <c r="S392" s="19">
        <v>0</v>
      </c>
      <c r="T392" s="20">
        <v>1</v>
      </c>
      <c r="U392" s="19"/>
      <c r="V392" s="20"/>
      <c r="W392" s="20"/>
      <c r="X392" s="20"/>
      <c r="Y392" s="20"/>
      <c r="Z392" s="20"/>
      <c r="AA392" s="20"/>
      <c r="AB392" s="49"/>
      <c r="AC392" s="49"/>
      <c r="AD392" s="49"/>
      <c r="AE392" s="49"/>
      <c r="AF392" s="49"/>
      <c r="AG392" s="161">
        <v>0</v>
      </c>
      <c r="AH392" s="168">
        <v>1</v>
      </c>
      <c r="AI392" s="20"/>
      <c r="AJ392" s="20"/>
      <c r="AK392" s="20"/>
      <c r="AL392" s="171">
        <v>1</v>
      </c>
      <c r="AM392" s="19">
        <v>0</v>
      </c>
      <c r="AN392" s="20" t="str">
        <f>IFERROR(INDEX([2]lijnopstellingsfiche!$AP$1:$AP$65536,MATCH(A392,[2]lijnopstellingsfiche!$AQ$1:$AQ$65536,0)),"")</f>
        <v>-</v>
      </c>
      <c r="AO392" s="20">
        <v>0</v>
      </c>
      <c r="AP392" s="20">
        <v>0</v>
      </c>
      <c r="AQ392" s="20">
        <v>2</v>
      </c>
      <c r="AR392" s="20">
        <v>0</v>
      </c>
      <c r="AS392" s="20">
        <v>0</v>
      </c>
      <c r="AT392" s="20">
        <v>0</v>
      </c>
      <c r="AU392" s="20">
        <v>0</v>
      </c>
      <c r="AV392" s="23">
        <v>0</v>
      </c>
      <c r="AW392" s="108">
        <v>0</v>
      </c>
      <c r="AX392" s="108">
        <v>0</v>
      </c>
      <c r="AY392" s="108">
        <v>1</v>
      </c>
      <c r="AZ392" s="108">
        <v>0</v>
      </c>
      <c r="BA392" s="114">
        <v>1</v>
      </c>
      <c r="BB392" s="20">
        <v>0</v>
      </c>
      <c r="BC392" s="113">
        <v>0</v>
      </c>
      <c r="BD392" s="200" t="str">
        <f>VLOOKUP($A392,'[3]allergenen 6nr'!$A$1:$O$1310,3,FALSE)</f>
        <v>-</v>
      </c>
      <c r="BE392" s="201" t="str">
        <f>VLOOKUP($A392,'[3]allergenen 6nr'!$A$1:$O$1310,4,FALSE)</f>
        <v>X</v>
      </c>
      <c r="BF392" s="201" t="str">
        <f>VLOOKUP($A392,'[3]allergenen 6nr'!$A$1:$O$1310,5,FALSE)</f>
        <v>-</v>
      </c>
      <c r="BG392" s="201" t="str">
        <f>VLOOKUP($A392,'[3]allergenen 6nr'!$A$1:$O$1310,6,FALSE)</f>
        <v>-</v>
      </c>
      <c r="BH392" s="201" t="str">
        <f>VLOOKUP($A392,'[3]allergenen 6nr'!$A$1:$O$1310,7,FALSE)</f>
        <v>-</v>
      </c>
      <c r="BI392" s="201" t="str">
        <f>VLOOKUP($A392,'[3]allergenen 6nr'!$A$1:$O$1310,8,FALSE)</f>
        <v>-</v>
      </c>
      <c r="BJ392" s="201" t="str">
        <f>VLOOKUP($A392,'[3]allergenen 6nr'!$A$1:$O$1310,9,FALSE)</f>
        <v>-</v>
      </c>
      <c r="BK392" s="201" t="str">
        <f>VLOOKUP($A392,'[3]allergenen 6nr'!$A$1:$O$1310,10,FALSE)</f>
        <v>-</v>
      </c>
      <c r="BL392" s="201" t="str">
        <f>VLOOKUP($A392,'[3]allergenen 6nr'!$A$1:$O$1310,11,FALSE)</f>
        <v>+</v>
      </c>
      <c r="BM392" s="201" t="str">
        <f>VLOOKUP($A392,'[3]allergenen 6nr'!$A$1:$O$1310,12,FALSE)</f>
        <v>-</v>
      </c>
      <c r="BN392" s="201" t="str">
        <f>VLOOKUP($A392,'[3]allergenen 6nr'!$A$1:$O$1310,13,FALSE)</f>
        <v>-</v>
      </c>
      <c r="BO392" s="201" t="str">
        <f>VLOOKUP($A392,'[3]allergenen 6nr'!$A$1:$O$1310,14,FALSE)</f>
        <v>-</v>
      </c>
      <c r="BP392" s="202" t="str">
        <f>VLOOKUP($A392,'[3]allergenen 6nr'!$A$1:$O$1310,15,FALSE)</f>
        <v>-</v>
      </c>
    </row>
    <row r="393" spans="1:68" x14ac:dyDescent="0.2">
      <c r="A393" s="54">
        <v>64210000</v>
      </c>
      <c r="B393" s="53" t="str">
        <f>VLOOKUP($A393,[1]maaltijden!$A$1:$IV$65536,4,FALSE)</f>
        <v>COOP LASAGNE BOLOGNAISE RUND 500G</v>
      </c>
      <c r="C393" s="46" t="str">
        <f>VLOOKUP($A393,[1]maaltijden!$A$1:$IV$65536,7,FALSE)</f>
        <v>UK-59</v>
      </c>
      <c r="D393" s="22" t="str">
        <f>VLOOKUP($A393,[1]maaltijden!$A$1:$IV$65536,10,FALSE)</f>
        <v>H22</v>
      </c>
      <c r="E393" s="22" t="str">
        <f>VLOOKUP($A393,[1]maaltijden!$A$1:$IV$65536,13,FALSE)</f>
        <v>H22X10</v>
      </c>
      <c r="F393" s="20">
        <f t="shared" si="6"/>
        <v>0</v>
      </c>
      <c r="G393" s="20" t="str">
        <f>VLOOKUP($A393,[1]maaltijden!$A$1:$IV$65536,27,FALSE)</f>
        <v>! ! !</v>
      </c>
      <c r="H393" s="22">
        <f>VLOOKUP($A393,[1]maaltijden!$A$1:$IV$65536,21,FALSE)</f>
        <v>6</v>
      </c>
      <c r="I393" s="22">
        <f>VLOOKUP($A393,[1]maaltijden!$A$1:$IV$65536,21,FALSE)</f>
        <v>6</v>
      </c>
      <c r="J393" s="22">
        <f>VLOOKUP($A393,[1]maaltijden!$A$1:$IV$65536,18,FALSE)</f>
        <v>2</v>
      </c>
      <c r="K393" s="22">
        <f>VLOOKUP($A393,[1]maaltijden!$A$1:$IV$65536,17,FALSE)</f>
        <v>2</v>
      </c>
      <c r="L393" s="22">
        <f>VLOOKUP($A393,[1]maaltijden!$A$1:$IV$65536,20,FALSE)</f>
        <v>2500</v>
      </c>
      <c r="M393" s="22">
        <f>VLOOKUP($A393,[1]maaltijden!$A$1:$IV$65536,22,FALSE)</f>
        <v>2500</v>
      </c>
      <c r="N393" s="135"/>
      <c r="O393" s="50"/>
      <c r="P393" s="19">
        <v>1</v>
      </c>
      <c r="Q393" s="20">
        <v>2</v>
      </c>
      <c r="R393" s="21">
        <v>0</v>
      </c>
      <c r="S393" s="19">
        <v>1</v>
      </c>
      <c r="T393" s="20">
        <v>1</v>
      </c>
      <c r="U393" s="19"/>
      <c r="V393" s="20"/>
      <c r="W393" s="20"/>
      <c r="X393" s="20"/>
      <c r="Y393" s="20"/>
      <c r="Z393" s="20"/>
      <c r="AA393" s="20"/>
      <c r="AB393" s="49"/>
      <c r="AC393" s="49"/>
      <c r="AD393" s="49"/>
      <c r="AE393" s="49"/>
      <c r="AF393" s="49"/>
      <c r="AG393" s="161">
        <v>0</v>
      </c>
      <c r="AH393" s="168">
        <v>1</v>
      </c>
      <c r="AI393" s="168">
        <v>1</v>
      </c>
      <c r="AJ393" s="20"/>
      <c r="AK393" s="20"/>
      <c r="AL393" s="21"/>
      <c r="AM393" s="19">
        <v>0</v>
      </c>
      <c r="AN393" s="20" t="str">
        <f>IFERROR(INDEX([2]lijnopstellingsfiche!$AP$1:$AP$65536,MATCH(A393,[2]lijnopstellingsfiche!$AQ$1:$AQ$65536,0)),"")</f>
        <v>-</v>
      </c>
      <c r="AO393" s="20">
        <v>0</v>
      </c>
      <c r="AP393" s="20">
        <v>1</v>
      </c>
      <c r="AQ393" s="20">
        <v>4</v>
      </c>
      <c r="AR393" s="20">
        <v>1</v>
      </c>
      <c r="AS393" s="20">
        <v>0</v>
      </c>
      <c r="AT393" s="20">
        <v>0</v>
      </c>
      <c r="AU393" s="20">
        <v>0</v>
      </c>
      <c r="AV393" s="23">
        <v>0</v>
      </c>
      <c r="AW393" s="108"/>
      <c r="AX393" s="108"/>
      <c r="AY393" s="108"/>
      <c r="AZ393" s="108"/>
      <c r="BA393" s="114"/>
      <c r="BB393" s="20"/>
      <c r="BC393" s="113"/>
      <c r="BD393" s="200" t="str">
        <f>VLOOKUP($A393,'[3]allergenen 6nr'!$A$1:$O$1310,3,FALSE)</f>
        <v>-</v>
      </c>
      <c r="BE393" s="201" t="str">
        <f>VLOOKUP($A393,'[3]allergenen 6nr'!$A$1:$O$1310,4,FALSE)</f>
        <v>+</v>
      </c>
      <c r="BF393" s="201" t="str">
        <f>VLOOKUP($A393,'[3]allergenen 6nr'!$A$1:$O$1310,5,FALSE)</f>
        <v>+</v>
      </c>
      <c r="BG393" s="201" t="str">
        <f>VLOOKUP($A393,'[3]allergenen 6nr'!$A$1:$O$1310,6,FALSE)</f>
        <v>X</v>
      </c>
      <c r="BH393" s="201" t="str">
        <f>VLOOKUP($A393,'[3]allergenen 6nr'!$A$1:$O$1310,7,FALSE)</f>
        <v>+</v>
      </c>
      <c r="BI393" s="201" t="str">
        <f>VLOOKUP($A393,'[3]allergenen 6nr'!$A$1:$O$1310,8,FALSE)</f>
        <v>X</v>
      </c>
      <c r="BJ393" s="201" t="str">
        <f>VLOOKUP($A393,'[3]allergenen 6nr'!$A$1:$O$1310,9,FALSE)</f>
        <v>-</v>
      </c>
      <c r="BK393" s="201" t="str">
        <f>VLOOKUP($A393,'[3]allergenen 6nr'!$A$1:$O$1310,10,FALSE)</f>
        <v>-</v>
      </c>
      <c r="BL393" s="201" t="str">
        <f>VLOOKUP($A393,'[3]allergenen 6nr'!$A$1:$O$1310,11,FALSE)</f>
        <v>+</v>
      </c>
      <c r="BM393" s="201" t="str">
        <f>VLOOKUP($A393,'[3]allergenen 6nr'!$A$1:$O$1310,12,FALSE)</f>
        <v>-</v>
      </c>
      <c r="BN393" s="201" t="str">
        <f>VLOOKUP($A393,'[3]allergenen 6nr'!$A$1:$O$1310,13,FALSE)</f>
        <v>X</v>
      </c>
      <c r="BO393" s="201" t="str">
        <f>VLOOKUP($A393,'[3]allergenen 6nr'!$A$1:$O$1310,14,FALSE)</f>
        <v>-</v>
      </c>
      <c r="BP393" s="202" t="str">
        <f>VLOOKUP($A393,'[3]allergenen 6nr'!$A$1:$O$1310,15,FALSE)</f>
        <v>X</v>
      </c>
    </row>
    <row r="394" spans="1:68" x14ac:dyDescent="0.2">
      <c r="A394" s="126">
        <v>64223900</v>
      </c>
      <c r="B394" s="53" t="str">
        <f>VLOOKUP($A394,[1]maaltijden!$A$1:$IV$65536,4,FALSE)</f>
        <v>BOF FR ALASKA POLLAK MSC CITROENSAUS RIJST 300G</v>
      </c>
      <c r="C394" s="46" t="str">
        <f>VLOOKUP($A394,[1]maaltijden!$A$1:$IV$65536,7,FALSE)</f>
        <v>UK-59</v>
      </c>
      <c r="D394" s="22" t="str">
        <f>VLOOKUP($A394,[1]maaltijden!$A$1:$IV$65536,10,FALSE)</f>
        <v>H22</v>
      </c>
      <c r="E394" s="22" t="str">
        <f>VLOOKUP($A394,[1]maaltijden!$A$1:$IV$65536,13,FALSE)</f>
        <v>Shrink H22 X 6</v>
      </c>
      <c r="F394" s="20">
        <f t="shared" si="6"/>
        <v>0</v>
      </c>
      <c r="G394" s="20" t="str">
        <f>VLOOKUP($A394,[1]maaltijden!$A$1:$IV$65536,27,FALSE)</f>
        <v>! ! ! !</v>
      </c>
      <c r="H394" s="22">
        <f>VLOOKUP($A394,[1]maaltijden!$A$1:$IV$65536,21,FALSE)</f>
        <v>7</v>
      </c>
      <c r="I394" s="22">
        <f>VLOOKUP($A394,[1]maaltijden!$A$1:$IV$65536,21,FALSE)</f>
        <v>7</v>
      </c>
      <c r="J394" s="22">
        <f>VLOOKUP($A394,[1]maaltijden!$A$1:$IV$65536,18,FALSE)</f>
        <v>2</v>
      </c>
      <c r="K394" s="22">
        <f>VLOOKUP($A394,[1]maaltijden!$A$1:$IV$65536,17,FALSE)</f>
        <v>2</v>
      </c>
      <c r="L394" s="22">
        <f>VLOOKUP($A394,[1]maaltijden!$A$1:$IV$65536,20,FALSE)</f>
        <v>3200</v>
      </c>
      <c r="M394" s="22">
        <f>VLOOKUP($A394,[1]maaltijden!$A$1:$IV$65536,22,FALSE)</f>
        <v>3200</v>
      </c>
      <c r="N394" s="135"/>
      <c r="O394" s="50"/>
      <c r="P394" s="19">
        <v>1</v>
      </c>
      <c r="Q394" s="20">
        <v>0</v>
      </c>
      <c r="R394" s="21">
        <v>0</v>
      </c>
      <c r="S394" s="19">
        <v>1</v>
      </c>
      <c r="T394" s="20">
        <v>0</v>
      </c>
      <c r="U394" s="19">
        <v>0</v>
      </c>
      <c r="V394" s="20">
        <v>1</v>
      </c>
      <c r="W394" s="20">
        <v>1</v>
      </c>
      <c r="X394" s="20">
        <v>1</v>
      </c>
      <c r="Y394" s="20">
        <v>1</v>
      </c>
      <c r="Z394" s="20">
        <v>1</v>
      </c>
      <c r="AA394" s="20">
        <v>0</v>
      </c>
      <c r="AB394" s="49">
        <v>0</v>
      </c>
      <c r="AC394" s="49">
        <v>0</v>
      </c>
      <c r="AD394" s="49">
        <v>0</v>
      </c>
      <c r="AE394" s="49">
        <v>1</v>
      </c>
      <c r="AF394" s="49">
        <v>1</v>
      </c>
      <c r="AG394" s="161">
        <v>1</v>
      </c>
      <c r="AH394" s="168">
        <v>1</v>
      </c>
      <c r="AI394" s="20"/>
      <c r="AJ394" s="168">
        <v>1</v>
      </c>
      <c r="AK394" s="20"/>
      <c r="AL394" s="21"/>
      <c r="AM394" s="19">
        <v>1</v>
      </c>
      <c r="AN394" s="20" t="str">
        <f>IFERROR(INDEX([2]lijnopstellingsfiche!$AP$1:$AP$65536,MATCH(A394,[2]lijnopstellingsfiche!$AQ$1:$AQ$65536,0)),"")</f>
        <v>-</v>
      </c>
      <c r="AO394" s="20">
        <v>0</v>
      </c>
      <c r="AP394" s="20">
        <v>0</v>
      </c>
      <c r="AQ394" s="20">
        <v>2</v>
      </c>
      <c r="AR394" s="20">
        <v>0</v>
      </c>
      <c r="AS394" s="20">
        <v>0</v>
      </c>
      <c r="AT394" s="20">
        <v>0</v>
      </c>
      <c r="AU394" s="20">
        <v>0</v>
      </c>
      <c r="AV394" s="23">
        <v>0</v>
      </c>
      <c r="AW394" s="108">
        <v>1</v>
      </c>
      <c r="AX394" s="108">
        <v>1</v>
      </c>
      <c r="AY394" s="108">
        <v>0</v>
      </c>
      <c r="AZ394" s="108"/>
      <c r="BA394" s="114">
        <v>0</v>
      </c>
      <c r="BB394" s="20">
        <v>0</v>
      </c>
      <c r="BC394" s="113">
        <v>0</v>
      </c>
      <c r="BD394" s="200" t="str">
        <f>VLOOKUP($A394,'[3]allergenen 6nr'!$A$1:$O$1310,3,FALSE)</f>
        <v>-</v>
      </c>
      <c r="BE394" s="201" t="str">
        <f>VLOOKUP($A394,'[3]allergenen 6nr'!$A$1:$O$1310,4,FALSE)</f>
        <v>X</v>
      </c>
      <c r="BF394" s="201" t="str">
        <f>VLOOKUP($A394,'[3]allergenen 6nr'!$A$1:$O$1310,5,FALSE)</f>
        <v>+</v>
      </c>
      <c r="BG394" s="201" t="str">
        <f>VLOOKUP($A394,'[3]allergenen 6nr'!$A$1:$O$1310,6,FALSE)</f>
        <v>X</v>
      </c>
      <c r="BH394" s="201" t="str">
        <f>VLOOKUP($A394,'[3]allergenen 6nr'!$A$1:$O$1310,7,FALSE)</f>
        <v>+</v>
      </c>
      <c r="BI394" s="201" t="str">
        <f>VLOOKUP($A394,'[3]allergenen 6nr'!$A$1:$O$1310,8,FALSE)</f>
        <v>X</v>
      </c>
      <c r="BJ394" s="201" t="str">
        <f>VLOOKUP($A394,'[3]allergenen 6nr'!$A$1:$O$1310,9,FALSE)</f>
        <v>-</v>
      </c>
      <c r="BK394" s="201" t="str">
        <f>VLOOKUP($A394,'[3]allergenen 6nr'!$A$1:$O$1310,10,FALSE)</f>
        <v>-</v>
      </c>
      <c r="BL394" s="201" t="str">
        <f>VLOOKUP($A394,'[3]allergenen 6nr'!$A$1:$O$1310,11,FALSE)</f>
        <v>+</v>
      </c>
      <c r="BM394" s="201" t="str">
        <f>VLOOKUP($A394,'[3]allergenen 6nr'!$A$1:$O$1310,12,FALSE)</f>
        <v>-</v>
      </c>
      <c r="BN394" s="201" t="str">
        <f>VLOOKUP($A394,'[3]allergenen 6nr'!$A$1:$O$1310,13,FALSE)</f>
        <v>X</v>
      </c>
      <c r="BO394" s="201" t="str">
        <f>VLOOKUP($A394,'[3]allergenen 6nr'!$A$1:$O$1310,14,FALSE)</f>
        <v>+</v>
      </c>
      <c r="BP394" s="202" t="str">
        <f>VLOOKUP($A394,'[3]allergenen 6nr'!$A$1:$O$1310,15,FALSE)</f>
        <v>-</v>
      </c>
    </row>
    <row r="395" spans="1:68" x14ac:dyDescent="0.2">
      <c r="A395" s="54">
        <v>64224000</v>
      </c>
      <c r="B395" s="53" t="str">
        <f>VLOOKUP($A395,[1]maaltijden!$A$1:$IV$65536,4,FALSE)</f>
        <v>BOF FR BOEUF BOURGUIGNON AARD ECRASSEE 320G</v>
      </c>
      <c r="C395" s="46" t="str">
        <f>VLOOKUP($A395,[1]maaltijden!$A$1:$IV$65536,7,FALSE)</f>
        <v>UK-59</v>
      </c>
      <c r="D395" s="22" t="str">
        <f>VLOOKUP($A395,[1]maaltijden!$A$1:$IV$65536,10,FALSE)</f>
        <v>H22</v>
      </c>
      <c r="E395" s="22" t="str">
        <f>VLOOKUP($A395,[1]maaltijden!$A$1:$IV$65536,13,FALSE)</f>
        <v>Shrink H22 X 6</v>
      </c>
      <c r="F395" s="20">
        <f t="shared" si="6"/>
        <v>0</v>
      </c>
      <c r="G395" s="20" t="str">
        <f>VLOOKUP($A395,[1]maaltijden!$A$1:$IV$65536,27,FALSE)</f>
        <v>! !</v>
      </c>
      <c r="H395" s="22">
        <f>VLOOKUP($A395,[1]maaltijden!$A$1:$IV$65536,21,FALSE)</f>
        <v>5</v>
      </c>
      <c r="I395" s="22">
        <f>VLOOKUP($A395,[1]maaltijden!$A$1:$IV$65536,21,FALSE)</f>
        <v>5</v>
      </c>
      <c r="J395" s="22">
        <f>VLOOKUP($A395,[1]maaltijden!$A$1:$IV$65536,18,FALSE)</f>
        <v>2</v>
      </c>
      <c r="K395" s="22">
        <f>VLOOKUP($A395,[1]maaltijden!$A$1:$IV$65536,17,FALSE)</f>
        <v>2</v>
      </c>
      <c r="L395" s="22">
        <f>VLOOKUP($A395,[1]maaltijden!$A$1:$IV$65536,20,FALSE)</f>
        <v>3200</v>
      </c>
      <c r="M395" s="22">
        <f>VLOOKUP($A395,[1]maaltijden!$A$1:$IV$65536,22,FALSE)</f>
        <v>3200</v>
      </c>
      <c r="N395" s="135"/>
      <c r="O395" s="50"/>
      <c r="P395" s="19">
        <v>1</v>
      </c>
      <c r="Q395" s="20">
        <v>0</v>
      </c>
      <c r="R395" s="21">
        <v>0</v>
      </c>
      <c r="S395" s="19">
        <v>1</v>
      </c>
      <c r="T395" s="20">
        <v>0</v>
      </c>
      <c r="U395" s="19"/>
      <c r="V395" s="20"/>
      <c r="W395" s="20"/>
      <c r="X395" s="20"/>
      <c r="Y395" s="20"/>
      <c r="Z395" s="20"/>
      <c r="AA395" s="20"/>
      <c r="AB395" s="49"/>
      <c r="AC395" s="49"/>
      <c r="AD395" s="49"/>
      <c r="AE395" s="49"/>
      <c r="AF395" s="49"/>
      <c r="AG395" s="161">
        <v>0</v>
      </c>
      <c r="AH395" s="168">
        <v>2</v>
      </c>
      <c r="AI395" s="20"/>
      <c r="AJ395" s="20"/>
      <c r="AK395" s="20"/>
      <c r="AL395" s="21"/>
      <c r="AM395" s="19">
        <v>0</v>
      </c>
      <c r="AN395" s="20">
        <f>IFERROR(INDEX([2]lijnopstellingsfiche!$AP$1:$AP$65536,MATCH(A395,[2]lijnopstellingsfiche!$AQ$1:$AQ$65536,0)),"")</f>
        <v>1</v>
      </c>
      <c r="AO395" s="20">
        <v>0</v>
      </c>
      <c r="AP395" s="20">
        <v>0</v>
      </c>
      <c r="AQ395" s="20">
        <v>2</v>
      </c>
      <c r="AR395" s="20">
        <v>2</v>
      </c>
      <c r="AS395" s="20">
        <v>1</v>
      </c>
      <c r="AT395" s="20">
        <v>0</v>
      </c>
      <c r="AU395" s="20">
        <v>0</v>
      </c>
      <c r="AV395" s="23">
        <v>0</v>
      </c>
      <c r="AW395" s="108"/>
      <c r="AX395" s="108"/>
      <c r="AY395" s="108"/>
      <c r="AZ395" s="108"/>
      <c r="BA395" s="114"/>
      <c r="BB395" s="20"/>
      <c r="BC395" s="113"/>
      <c r="BD395" s="200" t="str">
        <f>VLOOKUP($A395,'[3]allergenen 6nr'!$A$1:$O$1310,3,FALSE)</f>
        <v>-</v>
      </c>
      <c r="BE395" s="201" t="str">
        <f>VLOOKUP($A395,'[3]allergenen 6nr'!$A$1:$O$1310,4,FALSE)</f>
        <v>X</v>
      </c>
      <c r="BF395" s="201" t="str">
        <f>VLOOKUP($A395,'[3]allergenen 6nr'!$A$1:$O$1310,5,FALSE)</f>
        <v>+</v>
      </c>
      <c r="BG395" s="201" t="str">
        <f>VLOOKUP($A395,'[3]allergenen 6nr'!$A$1:$O$1310,6,FALSE)</f>
        <v>X</v>
      </c>
      <c r="BH395" s="201" t="str">
        <f>VLOOKUP($A395,'[3]allergenen 6nr'!$A$1:$O$1310,7,FALSE)</f>
        <v>+</v>
      </c>
      <c r="BI395" s="201" t="str">
        <f>VLOOKUP($A395,'[3]allergenen 6nr'!$A$1:$O$1310,8,FALSE)</f>
        <v>X</v>
      </c>
      <c r="BJ395" s="201" t="str">
        <f>VLOOKUP($A395,'[3]allergenen 6nr'!$A$1:$O$1310,9,FALSE)</f>
        <v>-</v>
      </c>
      <c r="BK395" s="201" t="str">
        <f>VLOOKUP($A395,'[3]allergenen 6nr'!$A$1:$O$1310,10,FALSE)</f>
        <v>-</v>
      </c>
      <c r="BL395" s="201" t="str">
        <f>VLOOKUP($A395,'[3]allergenen 6nr'!$A$1:$O$1310,11,FALSE)</f>
        <v>-</v>
      </c>
      <c r="BM395" s="201" t="str">
        <f>VLOOKUP($A395,'[3]allergenen 6nr'!$A$1:$O$1310,12,FALSE)</f>
        <v>-</v>
      </c>
      <c r="BN395" s="201" t="str">
        <f>VLOOKUP($A395,'[3]allergenen 6nr'!$A$1:$O$1310,13,FALSE)</f>
        <v>X</v>
      </c>
      <c r="BO395" s="201" t="str">
        <f>VLOOKUP($A395,'[3]allergenen 6nr'!$A$1:$O$1310,14,FALSE)</f>
        <v>-</v>
      </c>
      <c r="BP395" s="202" t="str">
        <f>VLOOKUP($A395,'[3]allergenen 6nr'!$A$1:$O$1310,15,FALSE)</f>
        <v>-</v>
      </c>
    </row>
    <row r="396" spans="1:68" x14ac:dyDescent="0.2">
      <c r="A396" s="54">
        <v>64224100</v>
      </c>
      <c r="B396" s="53" t="str">
        <f>VLOOKUP($A396,[1]maaltijden!$A$1:$IV$65536,4,FALSE)</f>
        <v>BOF FR WITLOOF HAM KAAS 320G</v>
      </c>
      <c r="C396" s="46" t="str">
        <f>VLOOKUP($A396,[1]maaltijden!$A$1:$IV$65536,7,FALSE)</f>
        <v>UK-59</v>
      </c>
      <c r="D396" s="22" t="str">
        <f>VLOOKUP($A396,[1]maaltijden!$A$1:$IV$65536,10,FALSE)</f>
        <v>H22</v>
      </c>
      <c r="E396" s="22" t="str">
        <f>VLOOKUP($A396,[1]maaltijden!$A$1:$IV$65536,13,FALSE)</f>
        <v>Shrink H22 X 6</v>
      </c>
      <c r="F396" s="20">
        <f t="shared" si="6"/>
        <v>0</v>
      </c>
      <c r="G396" s="20" t="str">
        <f>VLOOKUP($A396,[1]maaltijden!$A$1:$IV$65536,27,FALSE)</f>
        <v>! !</v>
      </c>
      <c r="H396" s="22">
        <f>VLOOKUP($A396,[1]maaltijden!$A$1:$IV$65536,21,FALSE)</f>
        <v>10</v>
      </c>
      <c r="I396" s="22">
        <f>VLOOKUP($A396,[1]maaltijden!$A$1:$IV$65536,21,FALSE)</f>
        <v>10</v>
      </c>
      <c r="J396" s="22">
        <f>VLOOKUP($A396,[1]maaltijden!$A$1:$IV$65536,18,FALSE)</f>
        <v>2</v>
      </c>
      <c r="K396" s="22">
        <f>VLOOKUP($A396,[1]maaltijden!$A$1:$IV$65536,17,FALSE)</f>
        <v>1</v>
      </c>
      <c r="L396" s="22">
        <f>VLOOKUP($A396,[1]maaltijden!$A$1:$IV$65536,20,FALSE)</f>
        <v>1500</v>
      </c>
      <c r="M396" s="22">
        <f>VLOOKUP($A396,[1]maaltijden!$A$1:$IV$65536,22,FALSE)</f>
        <v>1500</v>
      </c>
      <c r="N396" s="135"/>
      <c r="O396" s="50"/>
      <c r="P396" s="19">
        <v>1</v>
      </c>
      <c r="Q396" s="20">
        <v>0</v>
      </c>
      <c r="R396" s="21">
        <v>0</v>
      </c>
      <c r="S396" s="19">
        <v>1</v>
      </c>
      <c r="T396" s="20">
        <v>0</v>
      </c>
      <c r="U396" s="19">
        <v>0</v>
      </c>
      <c r="V396" s="20">
        <v>1</v>
      </c>
      <c r="W396" s="20">
        <v>1</v>
      </c>
      <c r="X396" s="20">
        <v>1</v>
      </c>
      <c r="Y396" s="20">
        <v>1</v>
      </c>
      <c r="Z396" s="20">
        <v>1</v>
      </c>
      <c r="AA396" s="20">
        <v>0</v>
      </c>
      <c r="AB396" s="49">
        <v>0</v>
      </c>
      <c r="AC396" s="49">
        <v>1</v>
      </c>
      <c r="AD396" s="49">
        <v>0</v>
      </c>
      <c r="AE396" s="49">
        <v>1</v>
      </c>
      <c r="AF396" s="49">
        <v>0</v>
      </c>
      <c r="AG396" s="173">
        <v>0</v>
      </c>
      <c r="AH396" s="182">
        <v>1</v>
      </c>
      <c r="AI396" s="174">
        <v>0</v>
      </c>
      <c r="AJ396" s="174">
        <v>0</v>
      </c>
      <c r="AK396" s="174">
        <v>0</v>
      </c>
      <c r="AL396" s="175">
        <v>0</v>
      </c>
      <c r="AM396" s="19">
        <v>0</v>
      </c>
      <c r="AN396" s="20">
        <f>IFERROR(INDEX([2]lijnopstellingsfiche!$AP$1:$AP$65536,MATCH(A396,[2]lijnopstellingsfiche!$AQ$1:$AQ$65536,0)),"")</f>
        <v>10</v>
      </c>
      <c r="AO396" s="20">
        <v>0</v>
      </c>
      <c r="AP396" s="20">
        <v>1</v>
      </c>
      <c r="AQ396" s="20">
        <v>2</v>
      </c>
      <c r="AR396" s="20">
        <v>0</v>
      </c>
      <c r="AS396" s="20">
        <v>0</v>
      </c>
      <c r="AT396" s="20">
        <v>0</v>
      </c>
      <c r="AU396" s="20">
        <v>0</v>
      </c>
      <c r="AV396" s="23">
        <v>0</v>
      </c>
      <c r="AW396" s="11">
        <v>1</v>
      </c>
      <c r="AX396" s="108">
        <v>1</v>
      </c>
      <c r="AY396" s="108">
        <v>0</v>
      </c>
      <c r="AZ396" s="108"/>
      <c r="BA396" s="114">
        <v>0</v>
      </c>
      <c r="BB396" s="20">
        <v>0</v>
      </c>
      <c r="BC396" s="113">
        <v>0</v>
      </c>
      <c r="BD396" s="200" t="str">
        <f>VLOOKUP($A396,'[3]allergenen 6nr'!$A$1:$O$1310,3,FALSE)</f>
        <v>-</v>
      </c>
      <c r="BE396" s="201" t="str">
        <f>VLOOKUP($A396,'[3]allergenen 6nr'!$A$1:$O$1310,4,FALSE)</f>
        <v>-</v>
      </c>
      <c r="BF396" s="201" t="str">
        <f>VLOOKUP($A396,'[3]allergenen 6nr'!$A$1:$O$1310,5,FALSE)</f>
        <v>+</v>
      </c>
      <c r="BG396" s="201" t="str">
        <f>VLOOKUP($A396,'[3]allergenen 6nr'!$A$1:$O$1310,6,FALSE)</f>
        <v>X</v>
      </c>
      <c r="BH396" s="201" t="str">
        <f>VLOOKUP($A396,'[3]allergenen 6nr'!$A$1:$O$1310,7,FALSE)</f>
        <v>+</v>
      </c>
      <c r="BI396" s="201" t="str">
        <f>VLOOKUP($A396,'[3]allergenen 6nr'!$A$1:$O$1310,8,FALSE)</f>
        <v>X</v>
      </c>
      <c r="BJ396" s="201" t="str">
        <f>VLOOKUP($A396,'[3]allergenen 6nr'!$A$1:$O$1310,9,FALSE)</f>
        <v>-</v>
      </c>
      <c r="BK396" s="201" t="str">
        <f>VLOOKUP($A396,'[3]allergenen 6nr'!$A$1:$O$1310,10,FALSE)</f>
        <v>-</v>
      </c>
      <c r="BL396" s="201" t="str">
        <f>VLOOKUP($A396,'[3]allergenen 6nr'!$A$1:$O$1310,11,FALSE)</f>
        <v>-</v>
      </c>
      <c r="BM396" s="201" t="str">
        <f>VLOOKUP($A396,'[3]allergenen 6nr'!$A$1:$O$1310,12,FALSE)</f>
        <v>-</v>
      </c>
      <c r="BN396" s="201" t="str">
        <f>VLOOKUP($A396,'[3]allergenen 6nr'!$A$1:$O$1310,13,FALSE)</f>
        <v>X</v>
      </c>
      <c r="BO396" s="201" t="str">
        <f>VLOOKUP($A396,'[3]allergenen 6nr'!$A$1:$O$1310,14,FALSE)</f>
        <v>-</v>
      </c>
      <c r="BP396" s="202" t="str">
        <f>VLOOKUP($A396,'[3]allergenen 6nr'!$A$1:$O$1310,15,FALSE)</f>
        <v>-</v>
      </c>
    </row>
    <row r="397" spans="1:68" x14ac:dyDescent="0.2">
      <c r="A397" s="54">
        <v>64224200</v>
      </c>
      <c r="B397" s="53" t="str">
        <f>VLOOKUP($A397,[1]maaltijden!$A$1:$IV$65536,4,FALSE)</f>
        <v>BOF FR KIP CURRY BASMATI RODE RIJST 320G</v>
      </c>
      <c r="C397" s="46" t="str">
        <f>VLOOKUP($A397,[1]maaltijden!$A$1:$IV$65536,7,FALSE)</f>
        <v>UK-59</v>
      </c>
      <c r="D397" s="22" t="str">
        <f>VLOOKUP($A397,[1]maaltijden!$A$1:$IV$65536,10,FALSE)</f>
        <v>H22</v>
      </c>
      <c r="E397" s="22" t="str">
        <f>VLOOKUP($A397,[1]maaltijden!$A$1:$IV$65536,13,FALSE)</f>
        <v>Shrink H22 X 6</v>
      </c>
      <c r="F397" s="20">
        <f t="shared" si="6"/>
        <v>0</v>
      </c>
      <c r="G397" s="20" t="str">
        <f>VLOOKUP($A397,[1]maaltijden!$A$1:$IV$65536,27,FALSE)</f>
        <v>! !</v>
      </c>
      <c r="H397" s="22">
        <f>VLOOKUP($A397,[1]maaltijden!$A$1:$IV$65536,21,FALSE)</f>
        <v>5</v>
      </c>
      <c r="I397" s="22">
        <f>VLOOKUP($A397,[1]maaltijden!$A$1:$IV$65536,21,FALSE)</f>
        <v>5</v>
      </c>
      <c r="J397" s="22">
        <f>VLOOKUP($A397,[1]maaltijden!$A$1:$IV$65536,18,FALSE)</f>
        <v>2</v>
      </c>
      <c r="K397" s="22">
        <f>VLOOKUP($A397,[1]maaltijden!$A$1:$IV$65536,17,FALSE)</f>
        <v>2</v>
      </c>
      <c r="L397" s="22">
        <f>VLOOKUP($A397,[1]maaltijden!$A$1:$IV$65536,20,FALSE)</f>
        <v>3200</v>
      </c>
      <c r="M397" s="22">
        <f>VLOOKUP($A397,[1]maaltijden!$A$1:$IV$65536,22,FALSE)</f>
        <v>3200</v>
      </c>
      <c r="N397" s="135"/>
      <c r="O397" s="50"/>
      <c r="P397" s="19">
        <v>1</v>
      </c>
      <c r="Q397" s="20">
        <v>0</v>
      </c>
      <c r="R397" s="21">
        <v>0</v>
      </c>
      <c r="S397" s="19">
        <v>1</v>
      </c>
      <c r="T397" s="20">
        <v>0</v>
      </c>
      <c r="U397" s="19"/>
      <c r="V397" s="20"/>
      <c r="W397" s="20"/>
      <c r="X397" s="20"/>
      <c r="Y397" s="20"/>
      <c r="Z397" s="20"/>
      <c r="AA397" s="20"/>
      <c r="AB397" s="49"/>
      <c r="AC397" s="49"/>
      <c r="AD397" s="49"/>
      <c r="AE397" s="49"/>
      <c r="AF397" s="49"/>
      <c r="AG397" s="161">
        <v>1</v>
      </c>
      <c r="AH397" s="168">
        <v>1</v>
      </c>
      <c r="AI397" s="20"/>
      <c r="AJ397" s="168">
        <v>1</v>
      </c>
      <c r="AK397" s="20"/>
      <c r="AL397" s="21"/>
      <c r="AM397" s="19">
        <v>1</v>
      </c>
      <c r="AN397" s="20">
        <f>IFERROR(INDEX([2]lijnopstellingsfiche!$AP$1:$AP$65536,MATCH(A397,[2]lijnopstellingsfiche!$AQ$1:$AQ$65536,0)),"")</f>
        <v>1</v>
      </c>
      <c r="AO397" s="20">
        <v>0</v>
      </c>
      <c r="AP397" s="20">
        <v>0</v>
      </c>
      <c r="AQ397" s="20">
        <v>2</v>
      </c>
      <c r="AR397" s="20">
        <v>0</v>
      </c>
      <c r="AS397" s="20">
        <v>1</v>
      </c>
      <c r="AT397" s="20">
        <v>1</v>
      </c>
      <c r="AU397" s="20">
        <v>0</v>
      </c>
      <c r="AV397" s="23">
        <v>0</v>
      </c>
      <c r="AW397" s="108"/>
      <c r="AX397" s="108"/>
      <c r="AY397" s="108"/>
      <c r="AZ397" s="108"/>
      <c r="BA397" s="114"/>
      <c r="BB397" s="20"/>
      <c r="BC397" s="113"/>
      <c r="BD397" s="200" t="str">
        <f>VLOOKUP($A397,'[3]allergenen 6nr'!$A$1:$O$1310,3,FALSE)</f>
        <v>-</v>
      </c>
      <c r="BE397" s="201" t="str">
        <f>VLOOKUP($A397,'[3]allergenen 6nr'!$A$1:$O$1310,4,FALSE)</f>
        <v>X</v>
      </c>
      <c r="BF397" s="201" t="str">
        <f>VLOOKUP($A397,'[3]allergenen 6nr'!$A$1:$O$1310,5,FALSE)</f>
        <v>+</v>
      </c>
      <c r="BG397" s="201" t="str">
        <f>VLOOKUP($A397,'[3]allergenen 6nr'!$A$1:$O$1310,6,FALSE)</f>
        <v>X</v>
      </c>
      <c r="BH397" s="201" t="str">
        <f>VLOOKUP($A397,'[3]allergenen 6nr'!$A$1:$O$1310,7,FALSE)</f>
        <v>+</v>
      </c>
      <c r="BI397" s="201" t="str">
        <f>VLOOKUP($A397,'[3]allergenen 6nr'!$A$1:$O$1310,8,FALSE)</f>
        <v>X</v>
      </c>
      <c r="BJ397" s="201" t="str">
        <f>VLOOKUP($A397,'[3]allergenen 6nr'!$A$1:$O$1310,9,FALSE)</f>
        <v>-</v>
      </c>
      <c r="BK397" s="201" t="str">
        <f>VLOOKUP($A397,'[3]allergenen 6nr'!$A$1:$O$1310,10,FALSE)</f>
        <v>-</v>
      </c>
      <c r="BL397" s="201" t="str">
        <f>VLOOKUP($A397,'[3]allergenen 6nr'!$A$1:$O$1310,11,FALSE)</f>
        <v>-</v>
      </c>
      <c r="BM397" s="201" t="str">
        <f>VLOOKUP($A397,'[3]allergenen 6nr'!$A$1:$O$1310,12,FALSE)</f>
        <v>-</v>
      </c>
      <c r="BN397" s="201" t="str">
        <f>VLOOKUP($A397,'[3]allergenen 6nr'!$A$1:$O$1310,13,FALSE)</f>
        <v>X</v>
      </c>
      <c r="BO397" s="201" t="str">
        <f>VLOOKUP($A397,'[3]allergenen 6nr'!$A$1:$O$1310,14,FALSE)</f>
        <v>-</v>
      </c>
      <c r="BP397" s="202" t="str">
        <f>VLOOKUP($A397,'[3]allergenen 6nr'!$A$1:$O$1310,15,FALSE)</f>
        <v>-</v>
      </c>
    </row>
    <row r="398" spans="1:68" x14ac:dyDescent="0.2">
      <c r="A398" s="54">
        <v>64224300</v>
      </c>
      <c r="B398" s="53" t="str">
        <f>VLOOKUP($A398,[1]maaltijden!$A$1:$IV$65536,4,FALSE)</f>
        <v>BOF FR MOUSSAKA 320G</v>
      </c>
      <c r="C398" s="46" t="str">
        <f>VLOOKUP($A398,[1]maaltijden!$A$1:$IV$65536,7,FALSE)</f>
        <v>UK-59</v>
      </c>
      <c r="D398" s="22" t="str">
        <f>VLOOKUP($A398,[1]maaltijden!$A$1:$IV$65536,10,FALSE)</f>
        <v>H22</v>
      </c>
      <c r="E398" s="22" t="str">
        <f>VLOOKUP($A398,[1]maaltijden!$A$1:$IV$65536,13,FALSE)</f>
        <v>Shrink H22 X 6</v>
      </c>
      <c r="F398" s="20">
        <f t="shared" si="6"/>
        <v>0</v>
      </c>
      <c r="G398" s="20" t="str">
        <f>VLOOKUP($A398,[1]maaltijden!$A$1:$IV$65536,27,FALSE)</f>
        <v>! !</v>
      </c>
      <c r="H398" s="22">
        <f>VLOOKUP($A398,[1]maaltijden!$A$1:$IV$65536,21,FALSE)</f>
        <v>6</v>
      </c>
      <c r="I398" s="22">
        <f>VLOOKUP($A398,[1]maaltijden!$A$1:$IV$65536,21,FALSE)</f>
        <v>6</v>
      </c>
      <c r="J398" s="22">
        <f>VLOOKUP($A398,[1]maaltijden!$A$1:$IV$65536,18,FALSE)</f>
        <v>2</v>
      </c>
      <c r="K398" s="22">
        <f>VLOOKUP($A398,[1]maaltijden!$A$1:$IV$65536,17,FALSE)</f>
        <v>2</v>
      </c>
      <c r="L398" s="22">
        <f>VLOOKUP($A398,[1]maaltijden!$A$1:$IV$65536,20,FALSE)</f>
        <v>3200</v>
      </c>
      <c r="M398" s="22">
        <f>VLOOKUP($A398,[1]maaltijden!$A$1:$IV$65536,22,FALSE)</f>
        <v>3200</v>
      </c>
      <c r="N398" s="135"/>
      <c r="O398" s="50"/>
      <c r="P398" s="19">
        <v>1</v>
      </c>
      <c r="Q398" s="20">
        <v>0</v>
      </c>
      <c r="R398" s="21">
        <v>0</v>
      </c>
      <c r="S398" s="19">
        <v>1</v>
      </c>
      <c r="T398" s="20">
        <v>0</v>
      </c>
      <c r="U398" s="19"/>
      <c r="V398" s="20"/>
      <c r="W398" s="20"/>
      <c r="X398" s="20"/>
      <c r="Y398" s="20"/>
      <c r="Z398" s="20"/>
      <c r="AA398" s="20"/>
      <c r="AB398" s="49"/>
      <c r="AC398" s="49"/>
      <c r="AD398" s="49"/>
      <c r="AE398" s="49"/>
      <c r="AF398" s="49"/>
      <c r="AG398" s="161">
        <v>0</v>
      </c>
      <c r="AH398" s="168">
        <v>2</v>
      </c>
      <c r="AI398" s="20"/>
      <c r="AJ398" s="20"/>
      <c r="AK398" s="20"/>
      <c r="AL398" s="21"/>
      <c r="AM398" s="19">
        <v>0</v>
      </c>
      <c r="AN398" s="20" t="str">
        <f>IFERROR(INDEX([2]lijnopstellingsfiche!$AP$1:$AP$65536,MATCH(A398,[2]lijnopstellingsfiche!$AQ$1:$AQ$65536,0)),"")</f>
        <v>-</v>
      </c>
      <c r="AO398" s="20">
        <v>0</v>
      </c>
      <c r="AP398" s="20">
        <v>0</v>
      </c>
      <c r="AQ398" s="20">
        <v>4</v>
      </c>
      <c r="AR398" s="20">
        <v>0</v>
      </c>
      <c r="AS398" s="20">
        <v>0</v>
      </c>
      <c r="AT398" s="20">
        <v>0</v>
      </c>
      <c r="AU398" s="20">
        <v>0</v>
      </c>
      <c r="AV398" s="23">
        <v>0</v>
      </c>
      <c r="AW398" s="108"/>
      <c r="AX398" s="108"/>
      <c r="AY398" s="108"/>
      <c r="AZ398" s="108"/>
      <c r="BA398" s="114"/>
      <c r="BB398" s="20"/>
      <c r="BC398" s="113"/>
      <c r="BD398" s="200" t="str">
        <f>VLOOKUP($A398,'[3]allergenen 6nr'!$A$1:$O$1310,3,FALSE)</f>
        <v>-</v>
      </c>
      <c r="BE398" s="201" t="str">
        <f>VLOOKUP($A398,'[3]allergenen 6nr'!$A$1:$O$1310,4,FALSE)</f>
        <v>-</v>
      </c>
      <c r="BF398" s="201" t="str">
        <f>VLOOKUP($A398,'[3]allergenen 6nr'!$A$1:$O$1310,5,FALSE)</f>
        <v>+</v>
      </c>
      <c r="BG398" s="201" t="str">
        <f>VLOOKUP($A398,'[3]allergenen 6nr'!$A$1:$O$1310,6,FALSE)</f>
        <v>X</v>
      </c>
      <c r="BH398" s="201" t="str">
        <f>VLOOKUP($A398,'[3]allergenen 6nr'!$A$1:$O$1310,7,FALSE)</f>
        <v>+</v>
      </c>
      <c r="BI398" s="201" t="str">
        <f>VLOOKUP($A398,'[3]allergenen 6nr'!$A$1:$O$1310,8,FALSE)</f>
        <v>X</v>
      </c>
      <c r="BJ398" s="201" t="str">
        <f>VLOOKUP($A398,'[3]allergenen 6nr'!$A$1:$O$1310,9,FALSE)</f>
        <v>-</v>
      </c>
      <c r="BK398" s="201" t="str">
        <f>VLOOKUP($A398,'[3]allergenen 6nr'!$A$1:$O$1310,10,FALSE)</f>
        <v>-</v>
      </c>
      <c r="BL398" s="201" t="str">
        <f>VLOOKUP($A398,'[3]allergenen 6nr'!$A$1:$O$1310,11,FALSE)</f>
        <v>-</v>
      </c>
      <c r="BM398" s="201" t="str">
        <f>VLOOKUP($A398,'[3]allergenen 6nr'!$A$1:$O$1310,12,FALSE)</f>
        <v>-</v>
      </c>
      <c r="BN398" s="201" t="str">
        <f>VLOOKUP($A398,'[3]allergenen 6nr'!$A$1:$O$1310,13,FALSE)</f>
        <v>X</v>
      </c>
      <c r="BO398" s="201" t="str">
        <f>VLOOKUP($A398,'[3]allergenen 6nr'!$A$1:$O$1310,14,FALSE)</f>
        <v>-</v>
      </c>
      <c r="BP398" s="202" t="str">
        <f>VLOOKUP($A398,'[3]allergenen 6nr'!$A$1:$O$1310,15,FALSE)</f>
        <v>-</v>
      </c>
    </row>
    <row r="399" spans="1:68" x14ac:dyDescent="0.2">
      <c r="A399" s="54">
        <v>64224400</v>
      </c>
      <c r="B399" s="53" t="str">
        <f>VLOOKUP($A399,[1]maaltijden!$A$1:$IV$65536,4,FALSE)</f>
        <v>BOF FR ZWARTE PENS APPELCOMPOTE PUREE 320G</v>
      </c>
      <c r="C399" s="46" t="str">
        <f>VLOOKUP($A399,[1]maaltijden!$A$1:$IV$65536,7,FALSE)</f>
        <v>UK-59</v>
      </c>
      <c r="D399" s="22" t="str">
        <f>VLOOKUP($A399,[1]maaltijden!$A$1:$IV$65536,10,FALSE)</f>
        <v>H22</v>
      </c>
      <c r="E399" s="22" t="str">
        <f>VLOOKUP($A399,[1]maaltijden!$A$1:$IV$65536,13,FALSE)</f>
        <v>Shrink H22 X 6</v>
      </c>
      <c r="F399" s="20">
        <f t="shared" si="6"/>
        <v>0</v>
      </c>
      <c r="G399" s="20" t="str">
        <f>VLOOKUP($A399,[1]maaltijden!$A$1:$IV$65536,27,FALSE)</f>
        <v>! ! !</v>
      </c>
      <c r="H399" s="22">
        <f>VLOOKUP($A399,[1]maaltijden!$A$1:$IV$65536,21,FALSE)</f>
        <v>4</v>
      </c>
      <c r="I399" s="22">
        <f>VLOOKUP($A399,[1]maaltijden!$A$1:$IV$65536,21,FALSE)</f>
        <v>4</v>
      </c>
      <c r="J399" s="22">
        <f>VLOOKUP($A399,[1]maaltijden!$A$1:$IV$65536,18,FALSE)</f>
        <v>2</v>
      </c>
      <c r="K399" s="22">
        <f>VLOOKUP($A399,[1]maaltijden!$A$1:$IV$65536,17,FALSE)</f>
        <v>2</v>
      </c>
      <c r="L399" s="22">
        <f>VLOOKUP($A399,[1]maaltijden!$A$1:$IV$65536,20,FALSE)</f>
        <v>3200</v>
      </c>
      <c r="M399" s="22">
        <f>VLOOKUP($A399,[1]maaltijden!$A$1:$IV$65536,22,FALSE)</f>
        <v>3200</v>
      </c>
      <c r="N399" s="135"/>
      <c r="O399" s="50"/>
      <c r="P399" s="19">
        <v>1</v>
      </c>
      <c r="Q399" s="20">
        <v>0</v>
      </c>
      <c r="R399" s="21">
        <v>0</v>
      </c>
      <c r="S399" s="19">
        <v>1</v>
      </c>
      <c r="T399" s="20">
        <v>0</v>
      </c>
      <c r="U399" s="19"/>
      <c r="V399" s="20"/>
      <c r="W399" s="20"/>
      <c r="X399" s="20"/>
      <c r="Y399" s="20"/>
      <c r="Z399" s="20"/>
      <c r="AA399" s="20"/>
      <c r="AB399" s="49"/>
      <c r="AC399" s="49"/>
      <c r="AD399" s="49"/>
      <c r="AE399" s="49"/>
      <c r="AF399" s="49"/>
      <c r="AG399" s="161">
        <v>0</v>
      </c>
      <c r="AH399" s="168">
        <v>2</v>
      </c>
      <c r="AI399" s="168">
        <v>1</v>
      </c>
      <c r="AJ399" s="20"/>
      <c r="AK399" s="20"/>
      <c r="AL399" s="21"/>
      <c r="AM399" s="19">
        <v>0</v>
      </c>
      <c r="AN399" s="20" t="str">
        <f>IFERROR(INDEX([2]lijnopstellingsfiche!$AP$1:$AP$65536,MATCH(A399,[2]lijnopstellingsfiche!$AQ$1:$AQ$65536,0)),"")</f>
        <v>-</v>
      </c>
      <c r="AO399" s="20">
        <v>0</v>
      </c>
      <c r="AP399" s="20">
        <v>0</v>
      </c>
      <c r="AQ399" s="20">
        <v>2</v>
      </c>
      <c r="AR399" s="20">
        <v>2</v>
      </c>
      <c r="AS399" s="20">
        <v>0</v>
      </c>
      <c r="AT399" s="20">
        <v>0</v>
      </c>
      <c r="AU399" s="20">
        <v>0</v>
      </c>
      <c r="AV399" s="23">
        <v>0</v>
      </c>
      <c r="AW399" s="108"/>
      <c r="AX399" s="108"/>
      <c r="AY399" s="108"/>
      <c r="AZ399" s="108"/>
      <c r="BA399" s="114"/>
      <c r="BB399" s="20"/>
      <c r="BC399" s="113"/>
      <c r="BD399" s="200" t="str">
        <f>VLOOKUP($A399,'[3]allergenen 6nr'!$A$1:$O$1310,3,FALSE)</f>
        <v>-</v>
      </c>
      <c r="BE399" s="201" t="str">
        <f>VLOOKUP($A399,'[3]allergenen 6nr'!$A$1:$O$1310,4,FALSE)</f>
        <v>+</v>
      </c>
      <c r="BF399" s="201" t="str">
        <f>VLOOKUP($A399,'[3]allergenen 6nr'!$A$1:$O$1310,5,FALSE)</f>
        <v>+</v>
      </c>
      <c r="BG399" s="201" t="str">
        <f>VLOOKUP($A399,'[3]allergenen 6nr'!$A$1:$O$1310,6,FALSE)</f>
        <v>-</v>
      </c>
      <c r="BH399" s="201" t="str">
        <f>VLOOKUP($A399,'[3]allergenen 6nr'!$A$1:$O$1310,7,FALSE)</f>
        <v>+</v>
      </c>
      <c r="BI399" s="201" t="str">
        <f>VLOOKUP($A399,'[3]allergenen 6nr'!$A$1:$O$1310,8,FALSE)</f>
        <v>+</v>
      </c>
      <c r="BJ399" s="201" t="str">
        <f>VLOOKUP($A399,'[3]allergenen 6nr'!$A$1:$O$1310,9,FALSE)</f>
        <v>-</v>
      </c>
      <c r="BK399" s="201" t="str">
        <f>VLOOKUP($A399,'[3]allergenen 6nr'!$A$1:$O$1310,10,FALSE)</f>
        <v>-</v>
      </c>
      <c r="BL399" s="201" t="str">
        <f>VLOOKUP($A399,'[3]allergenen 6nr'!$A$1:$O$1310,11,FALSE)</f>
        <v>+</v>
      </c>
      <c r="BM399" s="201" t="str">
        <f>VLOOKUP($A399,'[3]allergenen 6nr'!$A$1:$O$1310,12,FALSE)</f>
        <v>-</v>
      </c>
      <c r="BN399" s="201" t="str">
        <f>VLOOKUP($A399,'[3]allergenen 6nr'!$A$1:$O$1310,13,FALSE)</f>
        <v>+</v>
      </c>
      <c r="BO399" s="201" t="str">
        <f>VLOOKUP($A399,'[3]allergenen 6nr'!$A$1:$O$1310,14,FALSE)</f>
        <v>-</v>
      </c>
      <c r="BP399" s="202" t="str">
        <f>VLOOKUP($A399,'[3]allergenen 6nr'!$A$1:$O$1310,15,FALSE)</f>
        <v>-</v>
      </c>
    </row>
    <row r="400" spans="1:68" x14ac:dyDescent="0.2">
      <c r="A400" s="54">
        <v>64224500</v>
      </c>
      <c r="B400" s="53" t="str">
        <f>VLOOKUP($A400,[1]maaltijden!$A$1:$IV$65536,4,FALSE)</f>
        <v>BOF FR SPAGHETTI BOLOGNAISE 320G</v>
      </c>
      <c r="C400" s="46" t="str">
        <f>VLOOKUP($A400,[1]maaltijden!$A$1:$IV$65536,7,FALSE)</f>
        <v>UK-59</v>
      </c>
      <c r="D400" s="22" t="str">
        <f>VLOOKUP($A400,[1]maaltijden!$A$1:$IV$65536,10,FALSE)</f>
        <v>H22</v>
      </c>
      <c r="E400" s="22" t="str">
        <f>VLOOKUP($A400,[1]maaltijden!$A$1:$IV$65536,13,FALSE)</f>
        <v>Shrink H22 X 6</v>
      </c>
      <c r="F400" s="20">
        <f t="shared" si="6"/>
        <v>0</v>
      </c>
      <c r="G400" s="20" t="str">
        <f>VLOOKUP($A400,[1]maaltijden!$A$1:$IV$65536,27,FALSE)</f>
        <v>! !</v>
      </c>
      <c r="H400" s="22">
        <f>VLOOKUP($A400,[1]maaltijden!$A$1:$IV$65536,21,FALSE)</f>
        <v>5</v>
      </c>
      <c r="I400" s="22">
        <f>VLOOKUP($A400,[1]maaltijden!$A$1:$IV$65536,21,FALSE)</f>
        <v>5</v>
      </c>
      <c r="J400" s="22">
        <f>VLOOKUP($A400,[1]maaltijden!$A$1:$IV$65536,18,FALSE)</f>
        <v>2</v>
      </c>
      <c r="K400" s="22">
        <f>VLOOKUP($A400,[1]maaltijden!$A$1:$IV$65536,17,FALSE)</f>
        <v>2</v>
      </c>
      <c r="L400" s="22">
        <f>VLOOKUP($A400,[1]maaltijden!$A$1:$IV$65536,20,FALSE)</f>
        <v>3200</v>
      </c>
      <c r="M400" s="22">
        <f>VLOOKUP($A400,[1]maaltijden!$A$1:$IV$65536,22,FALSE)</f>
        <v>3200</v>
      </c>
      <c r="N400" s="135"/>
      <c r="O400" s="50"/>
      <c r="P400" s="19">
        <v>1</v>
      </c>
      <c r="Q400" s="20">
        <v>0</v>
      </c>
      <c r="R400" s="21">
        <v>0</v>
      </c>
      <c r="S400" s="19">
        <v>1</v>
      </c>
      <c r="T400" s="20">
        <v>0</v>
      </c>
      <c r="U400" s="19"/>
      <c r="V400" s="20"/>
      <c r="W400" s="20"/>
      <c r="X400" s="20"/>
      <c r="Y400" s="20"/>
      <c r="Z400" s="20"/>
      <c r="AA400" s="20"/>
      <c r="AB400" s="49"/>
      <c r="AC400" s="49"/>
      <c r="AD400" s="49"/>
      <c r="AE400" s="49"/>
      <c r="AF400" s="49"/>
      <c r="AG400" s="161">
        <v>1</v>
      </c>
      <c r="AH400" s="168">
        <v>1</v>
      </c>
      <c r="AI400" s="20"/>
      <c r="AJ400" s="20"/>
      <c r="AK400" s="20"/>
      <c r="AL400" s="21"/>
      <c r="AM400" s="19">
        <v>1</v>
      </c>
      <c r="AN400" s="20">
        <f>IFERROR(INDEX([2]lijnopstellingsfiche!$AP$1:$AP$65536,MATCH(A400,[2]lijnopstellingsfiche!$AQ$1:$AQ$65536,0)),"")</f>
        <v>1</v>
      </c>
      <c r="AO400" s="20">
        <v>0</v>
      </c>
      <c r="AP400" s="20">
        <v>0</v>
      </c>
      <c r="AQ400" s="20">
        <v>2</v>
      </c>
      <c r="AR400" s="20">
        <v>0</v>
      </c>
      <c r="AS400" s="20">
        <v>0</v>
      </c>
      <c r="AT400" s="20">
        <v>0</v>
      </c>
      <c r="AU400" s="20">
        <v>0</v>
      </c>
      <c r="AV400" s="23">
        <v>0</v>
      </c>
      <c r="AW400" s="108"/>
      <c r="AX400" s="108"/>
      <c r="AY400" s="108"/>
      <c r="AZ400" s="108"/>
      <c r="BA400" s="114"/>
      <c r="BB400" s="20"/>
      <c r="BC400" s="113"/>
      <c r="BD400" s="200" t="str">
        <f>VLOOKUP($A400,'[3]allergenen 6nr'!$A$1:$O$1310,3,FALSE)</f>
        <v>-</v>
      </c>
      <c r="BE400" s="201" t="str">
        <f>VLOOKUP($A400,'[3]allergenen 6nr'!$A$1:$O$1310,4,FALSE)</f>
        <v>X</v>
      </c>
      <c r="BF400" s="201" t="str">
        <f>VLOOKUP($A400,'[3]allergenen 6nr'!$A$1:$O$1310,5,FALSE)</f>
        <v>+</v>
      </c>
      <c r="BG400" s="201" t="str">
        <f>VLOOKUP($A400,'[3]allergenen 6nr'!$A$1:$O$1310,6,FALSE)</f>
        <v>X</v>
      </c>
      <c r="BH400" s="201" t="str">
        <f>VLOOKUP($A400,'[3]allergenen 6nr'!$A$1:$O$1310,7,FALSE)</f>
        <v>-</v>
      </c>
      <c r="BI400" s="201" t="str">
        <f>VLOOKUP($A400,'[3]allergenen 6nr'!$A$1:$O$1310,8,FALSE)</f>
        <v>X</v>
      </c>
      <c r="BJ400" s="201" t="str">
        <f>VLOOKUP($A400,'[3]allergenen 6nr'!$A$1:$O$1310,9,FALSE)</f>
        <v>-</v>
      </c>
      <c r="BK400" s="201" t="str">
        <f>VLOOKUP($A400,'[3]allergenen 6nr'!$A$1:$O$1310,10,FALSE)</f>
        <v>-</v>
      </c>
      <c r="BL400" s="201" t="str">
        <f>VLOOKUP($A400,'[3]allergenen 6nr'!$A$1:$O$1310,11,FALSE)</f>
        <v>-</v>
      </c>
      <c r="BM400" s="201" t="str">
        <f>VLOOKUP($A400,'[3]allergenen 6nr'!$A$1:$O$1310,12,FALSE)</f>
        <v>-</v>
      </c>
      <c r="BN400" s="201" t="str">
        <f>VLOOKUP($A400,'[3]allergenen 6nr'!$A$1:$O$1310,13,FALSE)</f>
        <v>X</v>
      </c>
      <c r="BO400" s="201" t="str">
        <f>VLOOKUP($A400,'[3]allergenen 6nr'!$A$1:$O$1310,14,FALSE)</f>
        <v>-</v>
      </c>
      <c r="BP400" s="202" t="str">
        <f>VLOOKUP($A400,'[3]allergenen 6nr'!$A$1:$O$1310,15,FALSE)</f>
        <v>-</v>
      </c>
    </row>
    <row r="401" spans="1:68" x14ac:dyDescent="0.2">
      <c r="A401" s="54">
        <v>64224600</v>
      </c>
      <c r="B401" s="53" t="str">
        <f>VLOOKUP($A401,[1]maaltijden!$A$1:$IV$65536,4,FALSE)</f>
        <v>BOF FR KALFSBLANKET RIJST 320G</v>
      </c>
      <c r="C401" s="46" t="str">
        <f>VLOOKUP($A401,[1]maaltijden!$A$1:$IV$65536,7,FALSE)</f>
        <v>UK-59</v>
      </c>
      <c r="D401" s="22" t="str">
        <f>VLOOKUP($A401,[1]maaltijden!$A$1:$IV$65536,10,FALSE)</f>
        <v>H22</v>
      </c>
      <c r="E401" s="22" t="str">
        <f>VLOOKUP($A401,[1]maaltijden!$A$1:$IV$65536,13,FALSE)</f>
        <v>Shrink H22 X 6</v>
      </c>
      <c r="F401" s="20">
        <f t="shared" si="6"/>
        <v>0</v>
      </c>
      <c r="G401" s="20" t="str">
        <f>VLOOKUP($A401,[1]maaltijden!$A$1:$IV$65536,27,FALSE)</f>
        <v>! !</v>
      </c>
      <c r="H401" s="22">
        <f>VLOOKUP($A401,[1]maaltijden!$A$1:$IV$65536,21,FALSE)</f>
        <v>8</v>
      </c>
      <c r="I401" s="22">
        <f>VLOOKUP($A401,[1]maaltijden!$A$1:$IV$65536,21,FALSE)</f>
        <v>8</v>
      </c>
      <c r="J401" s="22">
        <f>VLOOKUP($A401,[1]maaltijden!$A$1:$IV$65536,18,FALSE)</f>
        <v>2</v>
      </c>
      <c r="K401" s="22">
        <f>VLOOKUP($A401,[1]maaltijden!$A$1:$IV$65536,17,FALSE)</f>
        <v>1</v>
      </c>
      <c r="L401" s="22">
        <f>VLOOKUP($A401,[1]maaltijden!$A$1:$IV$65536,20,FALSE)</f>
        <v>2200</v>
      </c>
      <c r="M401" s="22">
        <f>VLOOKUP($A401,[1]maaltijden!$A$1:$IV$65536,22,FALSE)</f>
        <v>2200</v>
      </c>
      <c r="N401" s="135"/>
      <c r="O401" s="50"/>
      <c r="P401" s="19">
        <v>1</v>
      </c>
      <c r="Q401" s="20">
        <v>0</v>
      </c>
      <c r="R401" s="21">
        <v>0</v>
      </c>
      <c r="S401" s="19">
        <v>1</v>
      </c>
      <c r="T401" s="20">
        <v>0</v>
      </c>
      <c r="U401" s="19">
        <v>0</v>
      </c>
      <c r="V401" s="20">
        <v>1</v>
      </c>
      <c r="W401" s="20">
        <v>1</v>
      </c>
      <c r="X401" s="20">
        <v>1</v>
      </c>
      <c r="Y401" s="20">
        <v>1</v>
      </c>
      <c r="Z401" s="20">
        <v>1</v>
      </c>
      <c r="AA401" s="20">
        <v>0</v>
      </c>
      <c r="AB401" s="49">
        <v>0</v>
      </c>
      <c r="AC401" s="49">
        <v>1</v>
      </c>
      <c r="AD401" s="49">
        <v>0</v>
      </c>
      <c r="AE401" s="49">
        <v>1</v>
      </c>
      <c r="AF401" s="49">
        <v>0</v>
      </c>
      <c r="AG401" s="161">
        <v>1</v>
      </c>
      <c r="AH401" s="168">
        <v>1</v>
      </c>
      <c r="AI401" s="20"/>
      <c r="AJ401" s="20"/>
      <c r="AK401" s="20"/>
      <c r="AL401" s="21"/>
      <c r="AM401" s="19">
        <v>1</v>
      </c>
      <c r="AN401" s="20">
        <f>IFERROR(INDEX([2]lijnopstellingsfiche!$AP$1:$AP$65536,MATCH(A401,[2]lijnopstellingsfiche!$AQ$1:$AQ$65536,0)),"")</f>
        <v>6</v>
      </c>
      <c r="AO401" s="20">
        <v>0</v>
      </c>
      <c r="AP401" s="20">
        <v>0</v>
      </c>
      <c r="AQ401" s="20">
        <v>1</v>
      </c>
      <c r="AR401" s="20">
        <v>0</v>
      </c>
      <c r="AS401" s="20">
        <v>0</v>
      </c>
      <c r="AT401" s="20">
        <v>0</v>
      </c>
      <c r="AU401" s="20">
        <v>0</v>
      </c>
      <c r="AV401" s="23">
        <v>0</v>
      </c>
      <c r="AW401" s="108"/>
      <c r="AX401" s="108"/>
      <c r="AY401" s="108"/>
      <c r="AZ401" s="108"/>
      <c r="BA401" s="114"/>
      <c r="BB401" s="20"/>
      <c r="BC401" s="113"/>
      <c r="BD401" s="200" t="str">
        <f>VLOOKUP($A401,'[3]allergenen 6nr'!$A$1:$O$1310,3,FALSE)</f>
        <v>-</v>
      </c>
      <c r="BE401" s="201" t="str">
        <f>VLOOKUP($A401,'[3]allergenen 6nr'!$A$1:$O$1310,4,FALSE)</f>
        <v>X</v>
      </c>
      <c r="BF401" s="201" t="str">
        <f>VLOOKUP($A401,'[3]allergenen 6nr'!$A$1:$O$1310,5,FALSE)</f>
        <v>+</v>
      </c>
      <c r="BG401" s="201" t="str">
        <f>VLOOKUP($A401,'[3]allergenen 6nr'!$A$1:$O$1310,6,FALSE)</f>
        <v>X</v>
      </c>
      <c r="BH401" s="201" t="str">
        <f>VLOOKUP($A401,'[3]allergenen 6nr'!$A$1:$O$1310,7,FALSE)</f>
        <v>+</v>
      </c>
      <c r="BI401" s="201" t="str">
        <f>VLOOKUP($A401,'[3]allergenen 6nr'!$A$1:$O$1310,8,FALSE)</f>
        <v>X</v>
      </c>
      <c r="BJ401" s="201" t="str">
        <f>VLOOKUP($A401,'[3]allergenen 6nr'!$A$1:$O$1310,9,FALSE)</f>
        <v>-</v>
      </c>
      <c r="BK401" s="201" t="str">
        <f>VLOOKUP($A401,'[3]allergenen 6nr'!$A$1:$O$1310,10,FALSE)</f>
        <v>-</v>
      </c>
      <c r="BL401" s="201" t="str">
        <f>VLOOKUP($A401,'[3]allergenen 6nr'!$A$1:$O$1310,11,FALSE)</f>
        <v>X</v>
      </c>
      <c r="BM401" s="201" t="str">
        <f>VLOOKUP($A401,'[3]allergenen 6nr'!$A$1:$O$1310,12,FALSE)</f>
        <v>-</v>
      </c>
      <c r="BN401" s="201" t="str">
        <f>VLOOKUP($A401,'[3]allergenen 6nr'!$A$1:$O$1310,13,FALSE)</f>
        <v>X</v>
      </c>
      <c r="BO401" s="201" t="str">
        <f>VLOOKUP($A401,'[3]allergenen 6nr'!$A$1:$O$1310,14,FALSE)</f>
        <v>-</v>
      </c>
      <c r="BP401" s="202" t="str">
        <f>VLOOKUP($A401,'[3]allergenen 6nr'!$A$1:$O$1310,15,FALSE)</f>
        <v>-</v>
      </c>
    </row>
    <row r="402" spans="1:68" x14ac:dyDescent="0.2">
      <c r="A402" s="54">
        <v>64224700</v>
      </c>
      <c r="B402" s="53" t="str">
        <f>VLOOKUP($A402,[1]maaltijden!$A$1:$IV$65536,4,FALSE)</f>
        <v>BOF FR TAGLIATELLE CARBONARA 320G</v>
      </c>
      <c r="C402" s="46" t="str">
        <f>VLOOKUP($A402,[1]maaltijden!$A$1:$IV$65536,7,FALSE)</f>
        <v>UK-59</v>
      </c>
      <c r="D402" s="22" t="str">
        <f>VLOOKUP($A402,[1]maaltijden!$A$1:$IV$65536,10,FALSE)</f>
        <v>H22</v>
      </c>
      <c r="E402" s="22" t="str">
        <f>VLOOKUP($A402,[1]maaltijden!$A$1:$IV$65536,13,FALSE)</f>
        <v>Shrink H22 X 6</v>
      </c>
      <c r="F402" s="20">
        <f t="shared" si="6"/>
        <v>0</v>
      </c>
      <c r="G402" s="20" t="str">
        <f>VLOOKUP($A402,[1]maaltijden!$A$1:$IV$65536,27,FALSE)</f>
        <v>! !</v>
      </c>
      <c r="H402" s="22">
        <f>VLOOKUP($A402,[1]maaltijden!$A$1:$IV$65536,21,FALSE)</f>
        <v>4</v>
      </c>
      <c r="I402" s="22">
        <f>VLOOKUP($A402,[1]maaltijden!$A$1:$IV$65536,21,FALSE)</f>
        <v>4</v>
      </c>
      <c r="J402" s="22">
        <f>VLOOKUP($A402,[1]maaltijden!$A$1:$IV$65536,18,FALSE)</f>
        <v>2</v>
      </c>
      <c r="K402" s="22">
        <f>VLOOKUP($A402,[1]maaltijden!$A$1:$IV$65536,17,FALSE)</f>
        <v>2</v>
      </c>
      <c r="L402" s="22">
        <f>VLOOKUP($A402,[1]maaltijden!$A$1:$IV$65536,20,FALSE)</f>
        <v>3200</v>
      </c>
      <c r="M402" s="22">
        <f>VLOOKUP($A402,[1]maaltijden!$A$1:$IV$65536,22,FALSE)</f>
        <v>3200</v>
      </c>
      <c r="N402" s="135"/>
      <c r="O402" s="50"/>
      <c r="P402" s="19">
        <v>1</v>
      </c>
      <c r="Q402" s="20">
        <v>0</v>
      </c>
      <c r="R402" s="21">
        <v>0</v>
      </c>
      <c r="S402" s="19">
        <v>1</v>
      </c>
      <c r="T402" s="20">
        <v>0</v>
      </c>
      <c r="U402" s="19"/>
      <c r="V402" s="20"/>
      <c r="W402" s="20"/>
      <c r="X402" s="20"/>
      <c r="Y402" s="20"/>
      <c r="Z402" s="20"/>
      <c r="AA402" s="20"/>
      <c r="AB402" s="49"/>
      <c r="AC402" s="49"/>
      <c r="AD402" s="49"/>
      <c r="AE402" s="49"/>
      <c r="AF402" s="49"/>
      <c r="AG402" s="161">
        <v>1</v>
      </c>
      <c r="AH402" s="168">
        <v>1</v>
      </c>
      <c r="AI402" s="20"/>
      <c r="AJ402" s="20"/>
      <c r="AK402" s="20"/>
      <c r="AL402" s="21"/>
      <c r="AM402" s="19">
        <v>1</v>
      </c>
      <c r="AN402" s="20" t="str">
        <f>IFERROR(INDEX([2]lijnopstellingsfiche!$AP$1:$AP$65536,MATCH(A402,[2]lijnopstellingsfiche!$AQ$1:$AQ$65536,0)),"")</f>
        <v>-</v>
      </c>
      <c r="AO402" s="20">
        <v>0</v>
      </c>
      <c r="AP402" s="20">
        <v>1</v>
      </c>
      <c r="AQ402" s="20">
        <v>2</v>
      </c>
      <c r="AR402" s="20">
        <v>0</v>
      </c>
      <c r="AS402" s="20">
        <v>0</v>
      </c>
      <c r="AT402" s="20">
        <v>0</v>
      </c>
      <c r="AU402" s="20">
        <v>0</v>
      </c>
      <c r="AV402" s="23">
        <v>0</v>
      </c>
      <c r="AW402" s="108"/>
      <c r="AX402" s="108"/>
      <c r="AY402" s="108"/>
      <c r="AZ402" s="108"/>
      <c r="BA402" s="114"/>
      <c r="BB402" s="20"/>
      <c r="BC402" s="113"/>
      <c r="BD402" s="200" t="str">
        <f>VLOOKUP($A402,'[3]allergenen 6nr'!$A$1:$O$1310,3,FALSE)</f>
        <v>-</v>
      </c>
      <c r="BE402" s="201" t="str">
        <f>VLOOKUP($A402,'[3]allergenen 6nr'!$A$1:$O$1310,4,FALSE)</f>
        <v>+</v>
      </c>
      <c r="BF402" s="201" t="str">
        <f>VLOOKUP($A402,'[3]allergenen 6nr'!$A$1:$O$1310,5,FALSE)</f>
        <v>+</v>
      </c>
      <c r="BG402" s="201" t="str">
        <f>VLOOKUP($A402,'[3]allergenen 6nr'!$A$1:$O$1310,6,FALSE)</f>
        <v>X</v>
      </c>
      <c r="BH402" s="201" t="str">
        <f>VLOOKUP($A402,'[3]allergenen 6nr'!$A$1:$O$1310,7,FALSE)</f>
        <v>+</v>
      </c>
      <c r="BI402" s="201" t="str">
        <f>VLOOKUP($A402,'[3]allergenen 6nr'!$A$1:$O$1310,8,FALSE)</f>
        <v>X</v>
      </c>
      <c r="BJ402" s="201" t="str">
        <f>VLOOKUP($A402,'[3]allergenen 6nr'!$A$1:$O$1310,9,FALSE)</f>
        <v>-</v>
      </c>
      <c r="BK402" s="201" t="str">
        <f>VLOOKUP($A402,'[3]allergenen 6nr'!$A$1:$O$1310,10,FALSE)</f>
        <v>-</v>
      </c>
      <c r="BL402" s="201" t="str">
        <f>VLOOKUP($A402,'[3]allergenen 6nr'!$A$1:$O$1310,11,FALSE)</f>
        <v>-</v>
      </c>
      <c r="BM402" s="201" t="str">
        <f>VLOOKUP($A402,'[3]allergenen 6nr'!$A$1:$O$1310,12,FALSE)</f>
        <v>-</v>
      </c>
      <c r="BN402" s="201" t="str">
        <f>VLOOKUP($A402,'[3]allergenen 6nr'!$A$1:$O$1310,13,FALSE)</f>
        <v>X</v>
      </c>
      <c r="BO402" s="201" t="str">
        <f>VLOOKUP($A402,'[3]allergenen 6nr'!$A$1:$O$1310,14,FALSE)</f>
        <v>-</v>
      </c>
      <c r="BP402" s="202" t="str">
        <f>VLOOKUP($A402,'[3]allergenen 6nr'!$A$1:$O$1310,15,FALSE)</f>
        <v>-</v>
      </c>
    </row>
    <row r="403" spans="1:68" x14ac:dyDescent="0.2">
      <c r="A403" s="54">
        <v>64224800</v>
      </c>
      <c r="B403" s="53" t="str">
        <f>VLOOKUP($A403,[1]maaltijden!$A$1:$IV$65536,4,FALSE)</f>
        <v xml:space="preserve">BOF FR KIP TANDOORI RIJST 320G </v>
      </c>
      <c r="C403" s="46" t="str">
        <f>VLOOKUP($A403,[1]maaltijden!$A$1:$IV$65536,7,FALSE)</f>
        <v>UK-59</v>
      </c>
      <c r="D403" s="22" t="str">
        <f>VLOOKUP($A403,[1]maaltijden!$A$1:$IV$65536,10,FALSE)</f>
        <v>H22</v>
      </c>
      <c r="E403" s="22" t="str">
        <f>VLOOKUP($A403,[1]maaltijden!$A$1:$IV$65536,13,FALSE)</f>
        <v>Shrink H22 X 6</v>
      </c>
      <c r="F403" s="20">
        <f t="shared" si="6"/>
        <v>0</v>
      </c>
      <c r="G403" s="20" t="str">
        <f>VLOOKUP($A403,[1]maaltijden!$A$1:$IV$65536,27,FALSE)</f>
        <v>! !</v>
      </c>
      <c r="H403" s="22">
        <f>VLOOKUP($A403,[1]maaltijden!$A$1:$IV$65536,21,FALSE)</f>
        <v>5</v>
      </c>
      <c r="I403" s="22">
        <f>VLOOKUP($A403,[1]maaltijden!$A$1:$IV$65536,21,FALSE)</f>
        <v>5</v>
      </c>
      <c r="J403" s="22">
        <f>VLOOKUP($A403,[1]maaltijden!$A$1:$IV$65536,18,FALSE)</f>
        <v>2</v>
      </c>
      <c r="K403" s="22">
        <f>VLOOKUP($A403,[1]maaltijden!$A$1:$IV$65536,17,FALSE)</f>
        <v>2</v>
      </c>
      <c r="L403" s="22">
        <f>VLOOKUP($A403,[1]maaltijden!$A$1:$IV$65536,20,FALSE)</f>
        <v>3000</v>
      </c>
      <c r="M403" s="22">
        <f>VLOOKUP($A403,[1]maaltijden!$A$1:$IV$65536,22,FALSE)</f>
        <v>3000</v>
      </c>
      <c r="N403" s="135"/>
      <c r="O403" s="50"/>
      <c r="P403" s="19">
        <v>1</v>
      </c>
      <c r="Q403" s="20">
        <v>0</v>
      </c>
      <c r="R403" s="21">
        <v>0</v>
      </c>
      <c r="S403" s="19">
        <v>1</v>
      </c>
      <c r="T403" s="20">
        <v>0</v>
      </c>
      <c r="U403" s="19"/>
      <c r="V403" s="20"/>
      <c r="W403" s="20"/>
      <c r="X403" s="20"/>
      <c r="Y403" s="20"/>
      <c r="Z403" s="20"/>
      <c r="AA403" s="20"/>
      <c r="AB403" s="49"/>
      <c r="AC403" s="49"/>
      <c r="AD403" s="49"/>
      <c r="AE403" s="49"/>
      <c r="AF403" s="49"/>
      <c r="AG403" s="161">
        <v>1</v>
      </c>
      <c r="AH403" s="168">
        <v>1</v>
      </c>
      <c r="AI403" s="20"/>
      <c r="AJ403" s="20"/>
      <c r="AK403" s="20"/>
      <c r="AL403" s="21"/>
      <c r="AM403" s="19">
        <v>1</v>
      </c>
      <c r="AN403" s="20">
        <f>IFERROR(INDEX([2]lijnopstellingsfiche!$AP$1:$AP$65536,MATCH(A403,[2]lijnopstellingsfiche!$AQ$1:$AQ$65536,0)),"")</f>
        <v>1</v>
      </c>
      <c r="AO403" s="20">
        <v>0</v>
      </c>
      <c r="AP403" s="20">
        <v>0</v>
      </c>
      <c r="AQ403" s="20">
        <v>2</v>
      </c>
      <c r="AR403" s="20">
        <v>0</v>
      </c>
      <c r="AS403" s="20">
        <v>1</v>
      </c>
      <c r="AT403" s="20">
        <v>0</v>
      </c>
      <c r="AU403" s="20">
        <v>0</v>
      </c>
      <c r="AV403" s="23">
        <v>0</v>
      </c>
      <c r="AW403" s="108"/>
      <c r="AX403" s="108"/>
      <c r="AY403" s="108"/>
      <c r="AZ403" s="108"/>
      <c r="BA403" s="114"/>
      <c r="BB403" s="20"/>
      <c r="BC403" s="113"/>
      <c r="BD403" s="200" t="str">
        <f>VLOOKUP($A403,'[3]allergenen 6nr'!$A$1:$O$1310,3,FALSE)</f>
        <v>-</v>
      </c>
      <c r="BE403" s="201" t="str">
        <f>VLOOKUP($A403,'[3]allergenen 6nr'!$A$1:$O$1310,4,FALSE)</f>
        <v>-</v>
      </c>
      <c r="BF403" s="201" t="str">
        <f>VLOOKUP($A403,'[3]allergenen 6nr'!$A$1:$O$1310,5,FALSE)</f>
        <v>-</v>
      </c>
      <c r="BG403" s="201" t="str">
        <f>VLOOKUP($A403,'[3]allergenen 6nr'!$A$1:$O$1310,6,FALSE)</f>
        <v>-</v>
      </c>
      <c r="BH403" s="201" t="str">
        <f>VLOOKUP($A403,'[3]allergenen 6nr'!$A$1:$O$1310,7,FALSE)</f>
        <v>+</v>
      </c>
      <c r="BI403" s="201" t="str">
        <f>VLOOKUP($A403,'[3]allergenen 6nr'!$A$1:$O$1310,8,FALSE)</f>
        <v>-</v>
      </c>
      <c r="BJ403" s="201" t="str">
        <f>VLOOKUP($A403,'[3]allergenen 6nr'!$A$1:$O$1310,9,FALSE)</f>
        <v>-</v>
      </c>
      <c r="BK403" s="201" t="str">
        <f>VLOOKUP($A403,'[3]allergenen 6nr'!$A$1:$O$1310,10,FALSE)</f>
        <v>-</v>
      </c>
      <c r="BL403" s="201" t="str">
        <f>VLOOKUP($A403,'[3]allergenen 6nr'!$A$1:$O$1310,11,FALSE)</f>
        <v>-</v>
      </c>
      <c r="BM403" s="201" t="str">
        <f>VLOOKUP($A403,'[3]allergenen 6nr'!$A$1:$O$1310,12,FALSE)</f>
        <v>-</v>
      </c>
      <c r="BN403" s="201" t="str">
        <f>VLOOKUP($A403,'[3]allergenen 6nr'!$A$1:$O$1310,13,FALSE)</f>
        <v>-</v>
      </c>
      <c r="BO403" s="201" t="str">
        <f>VLOOKUP($A403,'[3]allergenen 6nr'!$A$1:$O$1310,14,FALSE)</f>
        <v>-</v>
      </c>
      <c r="BP403" s="202" t="str">
        <f>VLOOKUP($A403,'[3]allergenen 6nr'!$A$1:$O$1310,15,FALSE)</f>
        <v>-</v>
      </c>
    </row>
    <row r="404" spans="1:68" x14ac:dyDescent="0.2">
      <c r="A404" s="54">
        <v>64224900</v>
      </c>
      <c r="B404" s="53" t="str">
        <f>VLOOKUP($A404,[1]maaltijden!$A$1:$IV$65536,4,FALSE)</f>
        <v>BOF FR RISOTTO KIP BOSCHAMPIGNON 320G</v>
      </c>
      <c r="C404" s="46" t="str">
        <f>VLOOKUP($A404,[1]maaltijden!$A$1:$IV$65536,7,FALSE)</f>
        <v>UK-59</v>
      </c>
      <c r="D404" s="22" t="str">
        <f>VLOOKUP($A404,[1]maaltijden!$A$1:$IV$65536,10,FALSE)</f>
        <v>H22</v>
      </c>
      <c r="E404" s="22" t="str">
        <f>VLOOKUP($A404,[1]maaltijden!$A$1:$IV$65536,13,FALSE)</f>
        <v>Shrink H22 X 6</v>
      </c>
      <c r="F404" s="20">
        <f t="shared" si="6"/>
        <v>0</v>
      </c>
      <c r="G404" s="20" t="str">
        <f>VLOOKUP($A404,[1]maaltijden!$A$1:$IV$65536,27,FALSE)</f>
        <v>! !</v>
      </c>
      <c r="H404" s="22">
        <f>VLOOKUP($A404,[1]maaltijden!$A$1:$IV$65536,21,FALSE)</f>
        <v>5</v>
      </c>
      <c r="I404" s="22">
        <f>VLOOKUP($A404,[1]maaltijden!$A$1:$IV$65536,21,FALSE)</f>
        <v>5</v>
      </c>
      <c r="J404" s="22">
        <f>VLOOKUP($A404,[1]maaltijden!$A$1:$IV$65536,18,FALSE)</f>
        <v>2</v>
      </c>
      <c r="K404" s="22">
        <f>VLOOKUP($A404,[1]maaltijden!$A$1:$IV$65536,17,FALSE)</f>
        <v>3</v>
      </c>
      <c r="L404" s="22">
        <f>VLOOKUP($A404,[1]maaltijden!$A$1:$IV$65536,20,FALSE)</f>
        <v>3000</v>
      </c>
      <c r="M404" s="22">
        <f>VLOOKUP($A404,[1]maaltijden!$A$1:$IV$65536,22,FALSE)</f>
        <v>3000</v>
      </c>
      <c r="N404" s="135"/>
      <c r="O404" s="50"/>
      <c r="P404" s="19">
        <v>1</v>
      </c>
      <c r="Q404" s="20">
        <v>0</v>
      </c>
      <c r="R404" s="21">
        <v>0</v>
      </c>
      <c r="S404" s="19">
        <v>1</v>
      </c>
      <c r="T404" s="20">
        <v>0</v>
      </c>
      <c r="U404" s="19"/>
      <c r="V404" s="20"/>
      <c r="W404" s="20"/>
      <c r="X404" s="20"/>
      <c r="Y404" s="20"/>
      <c r="Z404" s="20"/>
      <c r="AA404" s="20"/>
      <c r="AB404" s="49"/>
      <c r="AC404" s="49"/>
      <c r="AD404" s="49"/>
      <c r="AE404" s="49"/>
      <c r="AF404" s="49"/>
      <c r="AG404" s="161">
        <v>1</v>
      </c>
      <c r="AH404" s="168">
        <v>1</v>
      </c>
      <c r="AI404" s="20"/>
      <c r="AJ404" s="20"/>
      <c r="AK404" s="20"/>
      <c r="AL404" s="21"/>
      <c r="AM404" s="19">
        <v>1</v>
      </c>
      <c r="AN404" s="20" t="str">
        <f>IFERROR(INDEX([2]lijnopstellingsfiche!$AP$1:$AP$65536,MATCH(A404,[2]lijnopstellingsfiche!$AQ$1:$AQ$65536,0)),"")</f>
        <v>-</v>
      </c>
      <c r="AO404" s="20">
        <v>0</v>
      </c>
      <c r="AP404" s="20">
        <v>1</v>
      </c>
      <c r="AQ404" s="20">
        <v>2</v>
      </c>
      <c r="AR404" s="20">
        <v>0</v>
      </c>
      <c r="AS404" s="20">
        <v>1</v>
      </c>
      <c r="AT404" s="20">
        <v>0</v>
      </c>
      <c r="AU404" s="20">
        <v>0</v>
      </c>
      <c r="AV404" s="23">
        <v>0</v>
      </c>
      <c r="AW404" s="108"/>
      <c r="AX404" s="108"/>
      <c r="AY404" s="108"/>
      <c r="AZ404" s="108"/>
      <c r="BA404" s="114"/>
      <c r="BB404" s="20"/>
      <c r="BC404" s="113"/>
      <c r="BD404" s="200" t="str">
        <f>VLOOKUP($A404,'[3]allergenen 6nr'!$A$1:$O$1310,3,FALSE)</f>
        <v>-</v>
      </c>
      <c r="BE404" s="201" t="str">
        <f>VLOOKUP($A404,'[3]allergenen 6nr'!$A$1:$O$1310,4,FALSE)</f>
        <v>X</v>
      </c>
      <c r="BF404" s="201" t="str">
        <f>VLOOKUP($A404,'[3]allergenen 6nr'!$A$1:$O$1310,5,FALSE)</f>
        <v>+</v>
      </c>
      <c r="BG404" s="201" t="str">
        <f>VLOOKUP($A404,'[3]allergenen 6nr'!$A$1:$O$1310,6,FALSE)</f>
        <v>-</v>
      </c>
      <c r="BH404" s="201" t="str">
        <f>VLOOKUP($A404,'[3]allergenen 6nr'!$A$1:$O$1310,7,FALSE)</f>
        <v>+</v>
      </c>
      <c r="BI404" s="201" t="str">
        <f>VLOOKUP($A404,'[3]allergenen 6nr'!$A$1:$O$1310,8,FALSE)</f>
        <v>-</v>
      </c>
      <c r="BJ404" s="201" t="str">
        <f>VLOOKUP($A404,'[3]allergenen 6nr'!$A$1:$O$1310,9,FALSE)</f>
        <v>-</v>
      </c>
      <c r="BK404" s="201" t="str">
        <f>VLOOKUP($A404,'[3]allergenen 6nr'!$A$1:$O$1310,10,FALSE)</f>
        <v>-</v>
      </c>
      <c r="BL404" s="201" t="str">
        <f>VLOOKUP($A404,'[3]allergenen 6nr'!$A$1:$O$1310,11,FALSE)</f>
        <v>-</v>
      </c>
      <c r="BM404" s="201" t="str">
        <f>VLOOKUP($A404,'[3]allergenen 6nr'!$A$1:$O$1310,12,FALSE)</f>
        <v>-</v>
      </c>
      <c r="BN404" s="201" t="str">
        <f>VLOOKUP($A404,'[3]allergenen 6nr'!$A$1:$O$1310,13,FALSE)</f>
        <v>-</v>
      </c>
      <c r="BO404" s="201" t="str">
        <f>VLOOKUP($A404,'[3]allergenen 6nr'!$A$1:$O$1310,14,FALSE)</f>
        <v>-</v>
      </c>
      <c r="BP404" s="202" t="str">
        <f>VLOOKUP($A404,'[3]allergenen 6nr'!$A$1:$O$1310,15,FALSE)</f>
        <v>-</v>
      </c>
    </row>
    <row r="405" spans="1:68" x14ac:dyDescent="0.2">
      <c r="A405" s="54">
        <v>64225000</v>
      </c>
      <c r="B405" s="53" t="str">
        <f>VLOOKUP($A405,[1]maaltijden!$A$1:$IV$65536,4,FALSE)</f>
        <v>BOF FR KIP KORMA RIJST 320G</v>
      </c>
      <c r="C405" s="46" t="str">
        <f>VLOOKUP($A405,[1]maaltijden!$A$1:$IV$65536,7,FALSE)</f>
        <v>UK-59</v>
      </c>
      <c r="D405" s="22" t="str">
        <f>VLOOKUP($A405,[1]maaltijden!$A$1:$IV$65536,10,FALSE)</f>
        <v>H22</v>
      </c>
      <c r="E405" s="22" t="str">
        <f>VLOOKUP($A405,[1]maaltijden!$A$1:$IV$65536,13,FALSE)</f>
        <v>Shrink H22 X 6</v>
      </c>
      <c r="F405" s="20">
        <f t="shared" si="6"/>
        <v>0</v>
      </c>
      <c r="G405" s="20" t="str">
        <f>VLOOKUP($A405,[1]maaltijden!$A$1:$IV$65536,27,FALSE)</f>
        <v>! ! ! ! !</v>
      </c>
      <c r="H405" s="22">
        <f>VLOOKUP($A405,[1]maaltijden!$A$1:$IV$65536,21,FALSE)</f>
        <v>5</v>
      </c>
      <c r="I405" s="22">
        <f>VLOOKUP($A405,[1]maaltijden!$A$1:$IV$65536,21,FALSE)</f>
        <v>5</v>
      </c>
      <c r="J405" s="22">
        <f>VLOOKUP($A405,[1]maaltijden!$A$1:$IV$65536,18,FALSE)</f>
        <v>2</v>
      </c>
      <c r="K405" s="22">
        <f>VLOOKUP($A405,[1]maaltijden!$A$1:$IV$65536,17,FALSE)</f>
        <v>3</v>
      </c>
      <c r="L405" s="22">
        <f>VLOOKUP($A405,[1]maaltijden!$A$1:$IV$65536,20,FALSE)</f>
        <v>3200</v>
      </c>
      <c r="M405" s="22">
        <f>VLOOKUP($A405,[1]maaltijden!$A$1:$IV$65536,22,FALSE)</f>
        <v>3200</v>
      </c>
      <c r="N405" s="135"/>
      <c r="O405" s="50"/>
      <c r="P405" s="19">
        <v>1</v>
      </c>
      <c r="Q405" s="20">
        <v>0</v>
      </c>
      <c r="R405" s="21">
        <v>0</v>
      </c>
      <c r="S405" s="19">
        <v>1</v>
      </c>
      <c r="T405" s="20">
        <v>0</v>
      </c>
      <c r="U405" s="19"/>
      <c r="V405" s="20"/>
      <c r="W405" s="20"/>
      <c r="X405" s="20"/>
      <c r="Y405" s="20"/>
      <c r="Z405" s="20"/>
      <c r="AA405" s="20"/>
      <c r="AB405" s="49"/>
      <c r="AC405" s="49"/>
      <c r="AD405" s="49"/>
      <c r="AE405" s="49"/>
      <c r="AF405" s="49"/>
      <c r="AG405" s="161">
        <v>1</v>
      </c>
      <c r="AH405" s="168">
        <v>1</v>
      </c>
      <c r="AI405" s="20"/>
      <c r="AJ405" s="20"/>
      <c r="AK405" s="20"/>
      <c r="AL405" s="21"/>
      <c r="AM405" s="19">
        <v>1</v>
      </c>
      <c r="AN405" s="20">
        <f>IFERROR(INDEX([2]lijnopstellingsfiche!$AP$1:$AP$65536,MATCH(A405,[2]lijnopstellingsfiche!$AQ$1:$AQ$65536,0)),"")</f>
        <v>1</v>
      </c>
      <c r="AO405" s="20">
        <v>0</v>
      </c>
      <c r="AP405" s="20">
        <v>0</v>
      </c>
      <c r="AQ405" s="20">
        <v>2</v>
      </c>
      <c r="AR405" s="20">
        <v>0</v>
      </c>
      <c r="AS405" s="20">
        <v>1</v>
      </c>
      <c r="AT405" s="20">
        <v>0</v>
      </c>
      <c r="AU405" s="20">
        <v>0</v>
      </c>
      <c r="AV405" s="23">
        <v>0</v>
      </c>
      <c r="AW405" s="108"/>
      <c r="AX405" s="108"/>
      <c r="AY405" s="108"/>
      <c r="AZ405" s="108"/>
      <c r="BA405" s="114"/>
      <c r="BB405" s="20"/>
      <c r="BC405" s="113"/>
      <c r="BD405" s="200" t="str">
        <f>VLOOKUP($A405,'[3]allergenen 6nr'!$A$1:$O$1310,3,FALSE)</f>
        <v>-</v>
      </c>
      <c r="BE405" s="201" t="str">
        <f>VLOOKUP($A405,'[3]allergenen 6nr'!$A$1:$O$1310,4,FALSE)</f>
        <v>X</v>
      </c>
      <c r="BF405" s="201" t="str">
        <f>VLOOKUP($A405,'[3]allergenen 6nr'!$A$1:$O$1310,5,FALSE)</f>
        <v>X</v>
      </c>
      <c r="BG405" s="201" t="str">
        <f>VLOOKUP($A405,'[3]allergenen 6nr'!$A$1:$O$1310,6,FALSE)</f>
        <v>X</v>
      </c>
      <c r="BH405" s="201" t="str">
        <f>VLOOKUP($A405,'[3]allergenen 6nr'!$A$1:$O$1310,7,FALSE)</f>
        <v>+</v>
      </c>
      <c r="BI405" s="201" t="str">
        <f>VLOOKUP($A405,'[3]allergenen 6nr'!$A$1:$O$1310,8,FALSE)</f>
        <v>X</v>
      </c>
      <c r="BJ405" s="201" t="str">
        <f>VLOOKUP($A405,'[3]allergenen 6nr'!$A$1:$O$1310,9,FALSE)</f>
        <v>+</v>
      </c>
      <c r="BK405" s="201" t="str">
        <f>VLOOKUP($A405,'[3]allergenen 6nr'!$A$1:$O$1310,10,FALSE)</f>
        <v>-</v>
      </c>
      <c r="BL405" s="201" t="str">
        <f>VLOOKUP($A405,'[3]allergenen 6nr'!$A$1:$O$1310,11,FALSE)</f>
        <v>-</v>
      </c>
      <c r="BM405" s="201" t="str">
        <f>VLOOKUP($A405,'[3]allergenen 6nr'!$A$1:$O$1310,12,FALSE)</f>
        <v>X</v>
      </c>
      <c r="BN405" s="201" t="str">
        <f>VLOOKUP($A405,'[3]allergenen 6nr'!$A$1:$O$1310,13,FALSE)</f>
        <v>X</v>
      </c>
      <c r="BO405" s="201" t="str">
        <f>VLOOKUP($A405,'[3]allergenen 6nr'!$A$1:$O$1310,14,FALSE)</f>
        <v>-</v>
      </c>
      <c r="BP405" s="202" t="str">
        <f>VLOOKUP($A405,'[3]allergenen 6nr'!$A$1:$O$1310,15,FALSE)</f>
        <v>-</v>
      </c>
    </row>
    <row r="406" spans="1:68" x14ac:dyDescent="0.2">
      <c r="A406" s="54">
        <v>64225100</v>
      </c>
      <c r="B406" s="53" t="str">
        <f>VLOOKUP($A406,[1]maaltijden!$A$1:$IV$65536,4,FALSE)</f>
        <v>BOF FR COQUILLES MSC RIJSTMIX PREIROOM 320G</v>
      </c>
      <c r="C406" s="46" t="str">
        <f>VLOOKUP($A406,[1]maaltijden!$A$1:$IV$65536,7,FALSE)</f>
        <v>UK-59</v>
      </c>
      <c r="D406" s="22" t="str">
        <f>VLOOKUP($A406,[1]maaltijden!$A$1:$IV$65536,10,FALSE)</f>
        <v>H22</v>
      </c>
      <c r="E406" s="22" t="str">
        <f>VLOOKUP($A406,[1]maaltijden!$A$1:$IV$65536,13,FALSE)</f>
        <v>Shrink H22 X 6</v>
      </c>
      <c r="F406" s="20">
        <f t="shared" si="6"/>
        <v>0</v>
      </c>
      <c r="G406" s="20" t="str">
        <f>VLOOKUP($A406,[1]maaltijden!$A$1:$IV$65536,27,FALSE)</f>
        <v>! ! ! !</v>
      </c>
      <c r="H406" s="22">
        <f>VLOOKUP($A406,[1]maaltijden!$A$1:$IV$65536,21,FALSE)</f>
        <v>6</v>
      </c>
      <c r="I406" s="22">
        <f>VLOOKUP($A406,[1]maaltijden!$A$1:$IV$65536,21,FALSE)</f>
        <v>6</v>
      </c>
      <c r="J406" s="22">
        <f>VLOOKUP($A406,[1]maaltijden!$A$1:$IV$65536,18,FALSE)</f>
        <v>2</v>
      </c>
      <c r="K406" s="22">
        <f>VLOOKUP($A406,[1]maaltijden!$A$1:$IV$65536,17,FALSE)</f>
        <v>3</v>
      </c>
      <c r="L406" s="22">
        <f>VLOOKUP($A406,[1]maaltijden!$A$1:$IV$65536,20,FALSE)</f>
        <v>3000</v>
      </c>
      <c r="M406" s="22">
        <f>VLOOKUP($A406,[1]maaltijden!$A$1:$IV$65536,22,FALSE)</f>
        <v>3000</v>
      </c>
      <c r="N406" s="135"/>
      <c r="O406" s="50"/>
      <c r="P406" s="19">
        <v>1</v>
      </c>
      <c r="Q406" s="20">
        <v>0</v>
      </c>
      <c r="R406" s="21">
        <v>0</v>
      </c>
      <c r="S406" s="19">
        <v>1</v>
      </c>
      <c r="T406" s="20">
        <v>0</v>
      </c>
      <c r="U406" s="19"/>
      <c r="V406" s="20"/>
      <c r="W406" s="20"/>
      <c r="X406" s="20"/>
      <c r="Y406" s="20"/>
      <c r="Z406" s="20"/>
      <c r="AA406" s="20"/>
      <c r="AB406" s="49"/>
      <c r="AC406" s="49"/>
      <c r="AD406" s="49"/>
      <c r="AE406" s="49"/>
      <c r="AF406" s="49"/>
      <c r="AG406" s="161">
        <v>1</v>
      </c>
      <c r="AH406" s="168">
        <v>1</v>
      </c>
      <c r="AI406" s="20"/>
      <c r="AJ406" s="168">
        <v>1</v>
      </c>
      <c r="AK406" s="20"/>
      <c r="AL406" s="21"/>
      <c r="AM406" s="19">
        <v>1</v>
      </c>
      <c r="AN406" s="20" t="str">
        <f>IFERROR(INDEX([2]lijnopstellingsfiche!$AP$1:$AP$65536,MATCH(A406,[2]lijnopstellingsfiche!$AQ$1:$AQ$65536,0)),"")</f>
        <v>-</v>
      </c>
      <c r="AO406" s="20">
        <v>0</v>
      </c>
      <c r="AP406" s="20">
        <v>0</v>
      </c>
      <c r="AQ406" s="20">
        <v>4</v>
      </c>
      <c r="AR406" s="20">
        <v>0</v>
      </c>
      <c r="AS406" s="20">
        <v>1</v>
      </c>
      <c r="AT406" s="20">
        <v>0</v>
      </c>
      <c r="AU406" s="20">
        <v>0</v>
      </c>
      <c r="AV406" s="23">
        <v>0</v>
      </c>
      <c r="AW406" s="108"/>
      <c r="AX406" s="108"/>
      <c r="AY406" s="108"/>
      <c r="AZ406" s="108"/>
      <c r="BA406" s="114"/>
      <c r="BB406" s="20"/>
      <c r="BC406" s="113"/>
      <c r="BD406" s="200" t="str">
        <f>VLOOKUP($A406,'[3]allergenen 6nr'!$A$1:$O$1310,3,FALSE)</f>
        <v>-</v>
      </c>
      <c r="BE406" s="201" t="str">
        <f>VLOOKUP($A406,'[3]allergenen 6nr'!$A$1:$O$1310,4,FALSE)</f>
        <v>-</v>
      </c>
      <c r="BF406" s="201" t="str">
        <f>VLOOKUP($A406,'[3]allergenen 6nr'!$A$1:$O$1310,5,FALSE)</f>
        <v>+</v>
      </c>
      <c r="BG406" s="201" t="str">
        <f>VLOOKUP($A406,'[3]allergenen 6nr'!$A$1:$O$1310,6,FALSE)</f>
        <v>X</v>
      </c>
      <c r="BH406" s="201" t="str">
        <f>VLOOKUP($A406,'[3]allergenen 6nr'!$A$1:$O$1310,7,FALSE)</f>
        <v>+</v>
      </c>
      <c r="BI406" s="201" t="str">
        <f>VLOOKUP($A406,'[3]allergenen 6nr'!$A$1:$O$1310,8,FALSE)</f>
        <v>X</v>
      </c>
      <c r="BJ406" s="201" t="str">
        <f>VLOOKUP($A406,'[3]allergenen 6nr'!$A$1:$O$1310,9,FALSE)</f>
        <v>-</v>
      </c>
      <c r="BK406" s="201" t="str">
        <f>VLOOKUP($A406,'[3]allergenen 6nr'!$A$1:$O$1310,10,FALSE)</f>
        <v>X</v>
      </c>
      <c r="BL406" s="201" t="str">
        <f>VLOOKUP($A406,'[3]allergenen 6nr'!$A$1:$O$1310,11,FALSE)</f>
        <v>X</v>
      </c>
      <c r="BM406" s="201" t="str">
        <f>VLOOKUP($A406,'[3]allergenen 6nr'!$A$1:$O$1310,12,FALSE)</f>
        <v>-</v>
      </c>
      <c r="BN406" s="201" t="str">
        <f>VLOOKUP($A406,'[3]allergenen 6nr'!$A$1:$O$1310,13,FALSE)</f>
        <v>X</v>
      </c>
      <c r="BO406" s="201" t="str">
        <f>VLOOKUP($A406,'[3]allergenen 6nr'!$A$1:$O$1310,14,FALSE)</f>
        <v>+</v>
      </c>
      <c r="BP406" s="202" t="str">
        <f>VLOOKUP($A406,'[3]allergenen 6nr'!$A$1:$O$1310,15,FALSE)</f>
        <v>+</v>
      </c>
    </row>
    <row r="407" spans="1:68" x14ac:dyDescent="0.2">
      <c r="A407" s="89">
        <v>64225200</v>
      </c>
      <c r="B407" s="53" t="str">
        <f>VLOOKUP($A407,[1]maaltijden!$A$1:$IV$65536,4,FALSE)</f>
        <v>BOF FR LINGUINI ZALM ASC PREIROOM 320G</v>
      </c>
      <c r="C407" s="46" t="str">
        <f>VLOOKUP($A407,[1]maaltijden!$A$1:$IV$65536,7,FALSE)</f>
        <v>UK-59</v>
      </c>
      <c r="D407" s="22" t="str">
        <f>VLOOKUP($A407,[1]maaltijden!$A$1:$IV$65536,10,FALSE)</f>
        <v>H22</v>
      </c>
      <c r="E407" s="22" t="str">
        <f>VLOOKUP($A407,[1]maaltijden!$A$1:$IV$65536,13,FALSE)</f>
        <v>Shrink H22 X 6</v>
      </c>
      <c r="F407" s="20">
        <f t="shared" si="6"/>
        <v>0</v>
      </c>
      <c r="G407" s="20" t="str">
        <f>VLOOKUP($A407,[1]maaltijden!$A$1:$IV$65536,27,FALSE)</f>
        <v>! ! ! !</v>
      </c>
      <c r="H407" s="22">
        <f>VLOOKUP($A407,[1]maaltijden!$A$1:$IV$65536,21,FALSE)</f>
        <v>5</v>
      </c>
      <c r="I407" s="22">
        <f>VLOOKUP($A407,[1]maaltijden!$A$1:$IV$65536,21,FALSE)</f>
        <v>5</v>
      </c>
      <c r="J407" s="22">
        <f>VLOOKUP($A407,[1]maaltijden!$A$1:$IV$65536,18,FALSE)</f>
        <v>2</v>
      </c>
      <c r="K407" s="22">
        <f>VLOOKUP($A407,[1]maaltijden!$A$1:$IV$65536,17,FALSE)</f>
        <v>2.5</v>
      </c>
      <c r="L407" s="22">
        <f>VLOOKUP($A407,[1]maaltijden!$A$1:$IV$65536,20,FALSE)</f>
        <v>3000</v>
      </c>
      <c r="M407" s="22">
        <f>VLOOKUP($A407,[1]maaltijden!$A$1:$IV$65536,22,FALSE)</f>
        <v>3000</v>
      </c>
      <c r="N407" s="135"/>
      <c r="O407" s="50"/>
      <c r="P407" s="19">
        <v>1</v>
      </c>
      <c r="Q407" s="20">
        <v>0</v>
      </c>
      <c r="R407" s="21">
        <v>0</v>
      </c>
      <c r="S407" s="19">
        <v>1</v>
      </c>
      <c r="T407" s="20">
        <v>0</v>
      </c>
      <c r="U407" s="19">
        <v>0</v>
      </c>
      <c r="V407" s="20">
        <v>1</v>
      </c>
      <c r="W407" s="20">
        <v>1</v>
      </c>
      <c r="X407" s="20">
        <v>1</v>
      </c>
      <c r="Y407" s="20">
        <v>1</v>
      </c>
      <c r="Z407" s="20">
        <v>0</v>
      </c>
      <c r="AA407" s="20">
        <v>0</v>
      </c>
      <c r="AB407" s="49">
        <v>0</v>
      </c>
      <c r="AC407" s="49">
        <v>0</v>
      </c>
      <c r="AD407" s="49">
        <v>0</v>
      </c>
      <c r="AE407" s="49">
        <v>1</v>
      </c>
      <c r="AF407" s="49">
        <v>0</v>
      </c>
      <c r="AG407" s="161">
        <v>1</v>
      </c>
      <c r="AH407" s="162">
        <v>1</v>
      </c>
      <c r="AI407" s="162">
        <v>0</v>
      </c>
      <c r="AJ407" s="162">
        <v>0</v>
      </c>
      <c r="AK407" s="162">
        <v>0</v>
      </c>
      <c r="AL407" s="163">
        <v>0</v>
      </c>
      <c r="AM407" s="19">
        <v>1</v>
      </c>
      <c r="AN407" s="20" t="str">
        <f>IFERROR(INDEX([2]lijnopstellingsfiche!$AP$1:$AP$65536,MATCH(A407,[2]lijnopstellingsfiche!$AQ$1:$AQ$65536,0)),"")</f>
        <v>-</v>
      </c>
      <c r="AO407" s="20">
        <v>0</v>
      </c>
      <c r="AP407" s="20">
        <v>0</v>
      </c>
      <c r="AQ407" s="20">
        <v>2</v>
      </c>
      <c r="AR407" s="20">
        <v>0</v>
      </c>
      <c r="AS407" s="20">
        <v>1</v>
      </c>
      <c r="AT407" s="20">
        <v>0</v>
      </c>
      <c r="AU407" s="20">
        <v>0</v>
      </c>
      <c r="AV407" s="23">
        <v>0</v>
      </c>
      <c r="AW407" s="108">
        <v>1</v>
      </c>
      <c r="AX407" s="108">
        <v>1</v>
      </c>
      <c r="AY407" s="108">
        <v>0</v>
      </c>
      <c r="AZ407" s="108"/>
      <c r="BA407" s="114">
        <v>0</v>
      </c>
      <c r="BB407" s="20">
        <v>0</v>
      </c>
      <c r="BC407" s="113">
        <v>0</v>
      </c>
      <c r="BD407" s="200" t="str">
        <f>VLOOKUP($A407,'[3]allergenen 6nr'!$A$1:$O$1310,3,FALSE)</f>
        <v>-</v>
      </c>
      <c r="BE407" s="201" t="str">
        <f>VLOOKUP($A407,'[3]allergenen 6nr'!$A$1:$O$1310,4,FALSE)</f>
        <v>X</v>
      </c>
      <c r="BF407" s="201" t="str">
        <f>VLOOKUP($A407,'[3]allergenen 6nr'!$A$1:$O$1310,5,FALSE)</f>
        <v>+</v>
      </c>
      <c r="BG407" s="201" t="str">
        <f>VLOOKUP($A407,'[3]allergenen 6nr'!$A$1:$O$1310,6,FALSE)</f>
        <v>X</v>
      </c>
      <c r="BH407" s="201" t="str">
        <f>VLOOKUP($A407,'[3]allergenen 6nr'!$A$1:$O$1310,7,FALSE)</f>
        <v>+</v>
      </c>
      <c r="BI407" s="201" t="str">
        <f>VLOOKUP($A407,'[3]allergenen 6nr'!$A$1:$O$1310,8,FALSE)</f>
        <v>+</v>
      </c>
      <c r="BJ407" s="201" t="str">
        <f>VLOOKUP($A407,'[3]allergenen 6nr'!$A$1:$O$1310,9,FALSE)</f>
        <v>-</v>
      </c>
      <c r="BK407" s="201" t="str">
        <f>VLOOKUP($A407,'[3]allergenen 6nr'!$A$1:$O$1310,10,FALSE)</f>
        <v>X</v>
      </c>
      <c r="BL407" s="201" t="str">
        <f>VLOOKUP($A407,'[3]allergenen 6nr'!$A$1:$O$1310,11,FALSE)</f>
        <v>+</v>
      </c>
      <c r="BM407" s="201" t="str">
        <f>VLOOKUP($A407,'[3]allergenen 6nr'!$A$1:$O$1310,12,FALSE)</f>
        <v>-</v>
      </c>
      <c r="BN407" s="201" t="str">
        <f>VLOOKUP($A407,'[3]allergenen 6nr'!$A$1:$O$1310,13,FALSE)</f>
        <v>X</v>
      </c>
      <c r="BO407" s="201" t="str">
        <f>VLOOKUP($A407,'[3]allergenen 6nr'!$A$1:$O$1310,14,FALSE)</f>
        <v>+</v>
      </c>
      <c r="BP407" s="202" t="str">
        <f>VLOOKUP($A407,'[3]allergenen 6nr'!$A$1:$O$1310,15,FALSE)</f>
        <v>X</v>
      </c>
    </row>
    <row r="408" spans="1:68" x14ac:dyDescent="0.2">
      <c r="A408" s="89">
        <v>64225300</v>
      </c>
      <c r="B408" s="53" t="str">
        <f>VLOOKUP($A408,[1]maaltijden!$A$1:$IV$65536,4,FALSE)</f>
        <v>BOF FR LASAGNE GEITENKAAS SPINAZIE 350G</v>
      </c>
      <c r="C408" s="46" t="str">
        <f>VLOOKUP($A408,[1]maaltijden!$A$1:$IV$65536,7,FALSE)</f>
        <v>UK-59</v>
      </c>
      <c r="D408" s="22" t="str">
        <f>VLOOKUP($A408,[1]maaltijden!$A$1:$IV$65536,10,FALSE)</f>
        <v>H22</v>
      </c>
      <c r="E408" s="22" t="str">
        <f>VLOOKUP($A408,[1]maaltijden!$A$1:$IV$65536,13,FALSE)</f>
        <v>Shrink H22 X 6</v>
      </c>
      <c r="F408" s="20">
        <f t="shared" si="6"/>
        <v>0</v>
      </c>
      <c r="G408" s="20" t="str">
        <f>VLOOKUP($A408,[1]maaltijden!$A$1:$IV$65536,27,FALSE)</f>
        <v>! !</v>
      </c>
      <c r="H408" s="22">
        <f>VLOOKUP($A408,[1]maaltijden!$A$1:$IV$65536,21,FALSE)</f>
        <v>5</v>
      </c>
      <c r="I408" s="22">
        <f>VLOOKUP($A408,[1]maaltijden!$A$1:$IV$65536,21,FALSE)</f>
        <v>5</v>
      </c>
      <c r="J408" s="22">
        <f>VLOOKUP($A408,[1]maaltijden!$A$1:$IV$65536,18,FALSE)</f>
        <v>2</v>
      </c>
      <c r="K408" s="22">
        <f>VLOOKUP($A408,[1]maaltijden!$A$1:$IV$65536,17,FALSE)</f>
        <v>3</v>
      </c>
      <c r="L408" s="22">
        <f>VLOOKUP($A408,[1]maaltijden!$A$1:$IV$65536,20,FALSE)</f>
        <v>2500</v>
      </c>
      <c r="M408" s="22">
        <f>VLOOKUP($A408,[1]maaltijden!$A$1:$IV$65536,22,FALSE)</f>
        <v>2500</v>
      </c>
      <c r="N408" s="135"/>
      <c r="O408" s="50"/>
      <c r="P408" s="19">
        <v>1</v>
      </c>
      <c r="Q408" s="20">
        <v>0</v>
      </c>
      <c r="R408" s="21">
        <v>0</v>
      </c>
      <c r="S408" s="19">
        <v>1</v>
      </c>
      <c r="T408" s="20">
        <v>0</v>
      </c>
      <c r="U408" s="19">
        <v>1</v>
      </c>
      <c r="V408" s="20">
        <v>1</v>
      </c>
      <c r="W408" s="20">
        <v>1</v>
      </c>
      <c r="X408" s="20">
        <v>1</v>
      </c>
      <c r="Y408" s="20">
        <v>1</v>
      </c>
      <c r="Z408" s="20">
        <v>0</v>
      </c>
      <c r="AA408" s="20">
        <v>0</v>
      </c>
      <c r="AB408" s="49">
        <v>1</v>
      </c>
      <c r="AC408" s="49">
        <v>0</v>
      </c>
      <c r="AD408" s="49">
        <v>0</v>
      </c>
      <c r="AE408" s="49">
        <v>1</v>
      </c>
      <c r="AF408" s="49">
        <v>0</v>
      </c>
      <c r="AG408" s="161">
        <v>0</v>
      </c>
      <c r="AH408" s="174">
        <v>3</v>
      </c>
      <c r="AI408" s="162">
        <v>0</v>
      </c>
      <c r="AJ408" s="162">
        <v>0</v>
      </c>
      <c r="AK408" s="162">
        <v>0</v>
      </c>
      <c r="AL408" s="163">
        <v>0</v>
      </c>
      <c r="AM408" s="19">
        <v>0</v>
      </c>
      <c r="AN408" s="20" t="str">
        <f>IFERROR(INDEX([2]lijnopstellingsfiche!$AP$1:$AP$65536,MATCH(A408,[2]lijnopstellingsfiche!$AQ$1:$AQ$65536,0)),"")</f>
        <v>-</v>
      </c>
      <c r="AO408" s="20">
        <v>0</v>
      </c>
      <c r="AP408" s="20">
        <v>1</v>
      </c>
      <c r="AQ408" s="20">
        <v>5</v>
      </c>
      <c r="AR408" s="20">
        <v>0</v>
      </c>
      <c r="AS408" s="20">
        <v>0</v>
      </c>
      <c r="AT408" s="20">
        <v>0</v>
      </c>
      <c r="AU408" s="20">
        <v>0</v>
      </c>
      <c r="AV408" s="23">
        <v>0</v>
      </c>
      <c r="AW408" s="108">
        <v>1</v>
      </c>
      <c r="AX408" s="108">
        <v>1</v>
      </c>
      <c r="AY408" s="108">
        <v>0</v>
      </c>
      <c r="AZ408" s="108"/>
      <c r="BA408" s="114">
        <v>0</v>
      </c>
      <c r="BB408" s="20">
        <v>0</v>
      </c>
      <c r="BC408" s="113">
        <v>0</v>
      </c>
      <c r="BD408" s="200" t="str">
        <f>VLOOKUP($A408,'[3]allergenen 6nr'!$A$1:$O$1310,3,FALSE)</f>
        <v>-</v>
      </c>
      <c r="BE408" s="201" t="str">
        <f>VLOOKUP($A408,'[3]allergenen 6nr'!$A$1:$O$1310,4,FALSE)</f>
        <v>+</v>
      </c>
      <c r="BF408" s="201" t="str">
        <f>VLOOKUP($A408,'[3]allergenen 6nr'!$A$1:$O$1310,5,FALSE)</f>
        <v>+</v>
      </c>
      <c r="BG408" s="201" t="str">
        <f>VLOOKUP($A408,'[3]allergenen 6nr'!$A$1:$O$1310,6,FALSE)</f>
        <v>X</v>
      </c>
      <c r="BH408" s="201" t="str">
        <f>VLOOKUP($A408,'[3]allergenen 6nr'!$A$1:$O$1310,7,FALSE)</f>
        <v>+</v>
      </c>
      <c r="BI408" s="201" t="str">
        <f>VLOOKUP($A408,'[3]allergenen 6nr'!$A$1:$O$1310,8,FALSE)</f>
        <v>X</v>
      </c>
      <c r="BJ408" s="201" t="str">
        <f>VLOOKUP($A408,'[3]allergenen 6nr'!$A$1:$O$1310,9,FALSE)</f>
        <v>-</v>
      </c>
      <c r="BK408" s="201" t="str">
        <f>VLOOKUP($A408,'[3]allergenen 6nr'!$A$1:$O$1310,10,FALSE)</f>
        <v>-</v>
      </c>
      <c r="BL408" s="201" t="str">
        <f>VLOOKUP($A408,'[3]allergenen 6nr'!$A$1:$O$1310,11,FALSE)</f>
        <v>-</v>
      </c>
      <c r="BM408" s="201" t="str">
        <f>VLOOKUP($A408,'[3]allergenen 6nr'!$A$1:$O$1310,12,FALSE)</f>
        <v>-</v>
      </c>
      <c r="BN408" s="201" t="str">
        <f>VLOOKUP($A408,'[3]allergenen 6nr'!$A$1:$O$1310,13,FALSE)</f>
        <v>X</v>
      </c>
      <c r="BO408" s="201" t="str">
        <f>VLOOKUP($A408,'[3]allergenen 6nr'!$A$1:$O$1310,14,FALSE)</f>
        <v>-</v>
      </c>
      <c r="BP408" s="202" t="str">
        <f>VLOOKUP($A408,'[3]allergenen 6nr'!$A$1:$O$1310,15,FALSE)</f>
        <v>X</v>
      </c>
    </row>
    <row r="409" spans="1:68" x14ac:dyDescent="0.2">
      <c r="A409" s="89">
        <v>64225400</v>
      </c>
      <c r="B409" s="53" t="str">
        <f>VLOOKUP($A409,[1]maaltijden!$A$1:$IV$65536,4,FALSE)</f>
        <v>BOF FR LINZEN GRATINSCHOTEL 320G</v>
      </c>
      <c r="C409" s="46" t="str">
        <f>VLOOKUP($A409,[1]maaltijden!$A$1:$IV$65536,7,FALSE)</f>
        <v>UK-59</v>
      </c>
      <c r="D409" s="22" t="str">
        <f>VLOOKUP($A409,[1]maaltijden!$A$1:$IV$65536,10,FALSE)</f>
        <v>H22</v>
      </c>
      <c r="E409" s="22" t="str">
        <f>VLOOKUP($A409,[1]maaltijden!$A$1:$IV$65536,13,FALSE)</f>
        <v>Shrink H22 X 6</v>
      </c>
      <c r="F409" s="20">
        <f t="shared" si="6"/>
        <v>0</v>
      </c>
      <c r="G409" s="20" t="str">
        <f>VLOOKUP($A409,[1]maaltijden!$A$1:$IV$65536,27,FALSE)</f>
        <v>-</v>
      </c>
      <c r="H409" s="22">
        <f>VLOOKUP($A409,[1]maaltijden!$A$1:$IV$65536,21,FALSE)</f>
        <v>2</v>
      </c>
      <c r="I409" s="22">
        <f>VLOOKUP($A409,[1]maaltijden!$A$1:$IV$65536,21,FALSE)</f>
        <v>2</v>
      </c>
      <c r="J409" s="22">
        <f>VLOOKUP($A409,[1]maaltijden!$A$1:$IV$65536,18,FALSE)</f>
        <v>2</v>
      </c>
      <c r="K409" s="22">
        <f>VLOOKUP($A409,[1]maaltijden!$A$1:$IV$65536,17,FALSE)</f>
        <v>3</v>
      </c>
      <c r="L409" s="22">
        <f>VLOOKUP($A409,[1]maaltijden!$A$1:$IV$65536,20,FALSE)</f>
        <v>3200</v>
      </c>
      <c r="M409" s="22">
        <f>VLOOKUP($A409,[1]maaltijden!$A$1:$IV$65536,22,FALSE)</f>
        <v>3200</v>
      </c>
      <c r="N409" s="135"/>
      <c r="O409" s="50"/>
      <c r="P409" s="19">
        <v>1</v>
      </c>
      <c r="Q409" s="20">
        <v>0</v>
      </c>
      <c r="R409" s="21">
        <v>0</v>
      </c>
      <c r="S409" s="19">
        <v>1</v>
      </c>
      <c r="T409" s="20">
        <v>0</v>
      </c>
      <c r="U409" s="19">
        <v>0</v>
      </c>
      <c r="V409" s="20">
        <v>1</v>
      </c>
      <c r="W409" s="20">
        <v>1</v>
      </c>
      <c r="X409" s="20">
        <v>1</v>
      </c>
      <c r="Y409" s="20">
        <v>1</v>
      </c>
      <c r="Z409" s="20">
        <v>1</v>
      </c>
      <c r="AA409" s="20">
        <v>0</v>
      </c>
      <c r="AB409" s="49">
        <v>0</v>
      </c>
      <c r="AC409" s="49">
        <v>0</v>
      </c>
      <c r="AD409" s="49">
        <v>0</v>
      </c>
      <c r="AE409" s="49">
        <v>1</v>
      </c>
      <c r="AF409" s="49">
        <v>0</v>
      </c>
      <c r="AG409" s="161">
        <v>0</v>
      </c>
      <c r="AH409" s="162">
        <v>1</v>
      </c>
      <c r="AI409" s="162">
        <v>1</v>
      </c>
      <c r="AJ409" s="162">
        <v>0</v>
      </c>
      <c r="AK409" s="162">
        <v>0</v>
      </c>
      <c r="AL409" s="163">
        <v>0</v>
      </c>
      <c r="AM409" s="19">
        <v>0</v>
      </c>
      <c r="AN409" s="20" t="str">
        <f>IFERROR(INDEX([2]lijnopstellingsfiche!$AP$1:$AP$65536,MATCH(A409,[2]lijnopstellingsfiche!$AQ$1:$AQ$65536,0)),"")</f>
        <v>-</v>
      </c>
      <c r="AO409" s="20">
        <v>0</v>
      </c>
      <c r="AP409" s="20">
        <v>1</v>
      </c>
      <c r="AQ409" s="20">
        <v>2</v>
      </c>
      <c r="AR409" s="20">
        <v>2</v>
      </c>
      <c r="AS409" s="20">
        <v>0</v>
      </c>
      <c r="AT409" s="20">
        <v>0</v>
      </c>
      <c r="AU409" s="20">
        <v>0</v>
      </c>
      <c r="AV409" s="23">
        <v>0</v>
      </c>
      <c r="AW409" s="108">
        <v>1</v>
      </c>
      <c r="AX409" s="108">
        <v>1</v>
      </c>
      <c r="AY409" s="108">
        <v>0</v>
      </c>
      <c r="AZ409" s="108"/>
      <c r="BA409" s="114">
        <v>0</v>
      </c>
      <c r="BB409" s="20">
        <v>0</v>
      </c>
      <c r="BC409" s="113">
        <v>0</v>
      </c>
      <c r="BD409" s="200" t="str">
        <f>VLOOKUP($A409,'[3]allergenen 6nr'!$A$1:$O$1310,3,FALSE)</f>
        <v>-</v>
      </c>
      <c r="BE409" s="201" t="str">
        <f>VLOOKUP($A409,'[3]allergenen 6nr'!$A$1:$O$1310,4,FALSE)</f>
        <v>-</v>
      </c>
      <c r="BF409" s="201" t="str">
        <f>VLOOKUP($A409,'[3]allergenen 6nr'!$A$1:$O$1310,5,FALSE)</f>
        <v>X</v>
      </c>
      <c r="BG409" s="201" t="str">
        <f>VLOOKUP($A409,'[3]allergenen 6nr'!$A$1:$O$1310,6,FALSE)</f>
        <v>X</v>
      </c>
      <c r="BH409" s="201" t="str">
        <f>VLOOKUP($A409,'[3]allergenen 6nr'!$A$1:$O$1310,7,FALSE)</f>
        <v>-</v>
      </c>
      <c r="BI409" s="201" t="str">
        <f>VLOOKUP($A409,'[3]allergenen 6nr'!$A$1:$O$1310,8,FALSE)</f>
        <v>X</v>
      </c>
      <c r="BJ409" s="201" t="str">
        <f>VLOOKUP($A409,'[3]allergenen 6nr'!$A$1:$O$1310,9,FALSE)</f>
        <v>-</v>
      </c>
      <c r="BK409" s="201" t="str">
        <f>VLOOKUP($A409,'[3]allergenen 6nr'!$A$1:$O$1310,10,FALSE)</f>
        <v>-</v>
      </c>
      <c r="BL409" s="201" t="str">
        <f>VLOOKUP($A409,'[3]allergenen 6nr'!$A$1:$O$1310,11,FALSE)</f>
        <v>-</v>
      </c>
      <c r="BM409" s="201" t="str">
        <f>VLOOKUP($A409,'[3]allergenen 6nr'!$A$1:$O$1310,12,FALSE)</f>
        <v>X</v>
      </c>
      <c r="BN409" s="201" t="str">
        <f>VLOOKUP($A409,'[3]allergenen 6nr'!$A$1:$O$1310,13,FALSE)</f>
        <v>X</v>
      </c>
      <c r="BO409" s="201" t="str">
        <f>VLOOKUP($A409,'[3]allergenen 6nr'!$A$1:$O$1310,14,FALSE)</f>
        <v>-</v>
      </c>
      <c r="BP409" s="202" t="str">
        <f>VLOOKUP($A409,'[3]allergenen 6nr'!$A$1:$O$1310,15,FALSE)</f>
        <v>-</v>
      </c>
    </row>
    <row r="410" spans="1:68" x14ac:dyDescent="0.2">
      <c r="A410" s="89">
        <v>64225600</v>
      </c>
      <c r="B410" s="53" t="str">
        <f>VLOOKUP($A410,[1]maaltijden!$A$1:$IV$65536,4,FALSE)</f>
        <v>BOF FR VEG MACARONI KAASSAUS 320G</v>
      </c>
      <c r="C410" s="46" t="str">
        <f>VLOOKUP($A410,[1]maaltijden!$A$1:$IV$65536,7,FALSE)</f>
        <v>UK-59</v>
      </c>
      <c r="D410" s="22" t="str">
        <f>VLOOKUP($A410,[1]maaltijden!$A$1:$IV$65536,10,FALSE)</f>
        <v>H22</v>
      </c>
      <c r="E410" s="22" t="str">
        <f>VLOOKUP($A410,[1]maaltijden!$A$1:$IV$65536,13,FALSE)</f>
        <v>Shrink H22 X 6</v>
      </c>
      <c r="F410" s="20">
        <f t="shared" si="6"/>
        <v>0</v>
      </c>
      <c r="G410" s="20" t="str">
        <f>VLOOKUP($A410,[1]maaltijden!$A$1:$IV$65536,27,FALSE)</f>
        <v>! !</v>
      </c>
      <c r="H410" s="22">
        <f>VLOOKUP($A410,[1]maaltijden!$A$1:$IV$65536,21,FALSE)</f>
        <v>3</v>
      </c>
      <c r="I410" s="22">
        <f>VLOOKUP($A410,[1]maaltijden!$A$1:$IV$65536,21,FALSE)</f>
        <v>3</v>
      </c>
      <c r="J410" s="22">
        <f>VLOOKUP($A410,[1]maaltijden!$A$1:$IV$65536,18,FALSE)</f>
        <v>2</v>
      </c>
      <c r="K410" s="22">
        <f>VLOOKUP($A410,[1]maaltijden!$A$1:$IV$65536,17,FALSE)</f>
        <v>2</v>
      </c>
      <c r="L410" s="22">
        <f>VLOOKUP($A410,[1]maaltijden!$A$1:$IV$65536,20,FALSE)</f>
        <v>3200</v>
      </c>
      <c r="M410" s="22">
        <f>VLOOKUP($A410,[1]maaltijden!$A$1:$IV$65536,22,FALSE)</f>
        <v>3200</v>
      </c>
      <c r="N410" s="135"/>
      <c r="O410" s="50"/>
      <c r="P410" s="19">
        <v>1</v>
      </c>
      <c r="Q410" s="20">
        <v>0</v>
      </c>
      <c r="R410" s="21">
        <v>0</v>
      </c>
      <c r="S410" s="19">
        <v>1</v>
      </c>
      <c r="T410" s="20">
        <v>0</v>
      </c>
      <c r="U410" s="19">
        <v>1</v>
      </c>
      <c r="V410" s="20">
        <v>1</v>
      </c>
      <c r="W410" s="20">
        <v>1</v>
      </c>
      <c r="X410" s="20">
        <v>1</v>
      </c>
      <c r="Y410" s="20">
        <v>1</v>
      </c>
      <c r="Z410" s="20">
        <v>0</v>
      </c>
      <c r="AA410" s="20">
        <v>0</v>
      </c>
      <c r="AB410" s="49">
        <v>0</v>
      </c>
      <c r="AC410" s="49">
        <v>0</v>
      </c>
      <c r="AD410" s="49">
        <v>0</v>
      </c>
      <c r="AE410" s="49">
        <v>0</v>
      </c>
      <c r="AF410" s="49">
        <v>0</v>
      </c>
      <c r="AG410" s="161">
        <v>1</v>
      </c>
      <c r="AH410" s="162">
        <v>1</v>
      </c>
      <c r="AI410" s="162">
        <v>0</v>
      </c>
      <c r="AJ410" s="162">
        <v>0</v>
      </c>
      <c r="AK410" s="162">
        <v>0</v>
      </c>
      <c r="AL410" s="163">
        <v>0</v>
      </c>
      <c r="AM410" s="19">
        <v>1</v>
      </c>
      <c r="AN410" s="20" t="str">
        <f>IFERROR(INDEX([2]lijnopstellingsfiche!$AP$1:$AP$65536,MATCH(A410,[2]lijnopstellingsfiche!$AQ$1:$AQ$65536,0)),"")</f>
        <v>-</v>
      </c>
      <c r="AO410" s="20">
        <v>0</v>
      </c>
      <c r="AP410" s="20">
        <v>1</v>
      </c>
      <c r="AQ410" s="20">
        <v>2</v>
      </c>
      <c r="AR410" s="20">
        <v>0</v>
      </c>
      <c r="AS410" s="20">
        <v>0</v>
      </c>
      <c r="AT410" s="20">
        <v>0</v>
      </c>
      <c r="AU410" s="20">
        <v>0</v>
      </c>
      <c r="AV410" s="23">
        <v>0</v>
      </c>
      <c r="AW410" s="108">
        <v>1</v>
      </c>
      <c r="AX410" s="108">
        <v>1</v>
      </c>
      <c r="AY410" s="108">
        <v>0</v>
      </c>
      <c r="AZ410" s="108"/>
      <c r="BA410" s="114">
        <v>0</v>
      </c>
      <c r="BB410" s="20">
        <v>0</v>
      </c>
      <c r="BC410" s="113">
        <v>0</v>
      </c>
      <c r="BD410" s="200" t="str">
        <f>VLOOKUP($A410,'[3]allergenen 6nr'!$A$1:$O$1310,3,FALSE)</f>
        <v>-</v>
      </c>
      <c r="BE410" s="201" t="str">
        <f>VLOOKUP($A410,'[3]allergenen 6nr'!$A$1:$O$1310,4,FALSE)</f>
        <v>X</v>
      </c>
      <c r="BF410" s="201" t="str">
        <f>VLOOKUP($A410,'[3]allergenen 6nr'!$A$1:$O$1310,5,FALSE)</f>
        <v>+</v>
      </c>
      <c r="BG410" s="201" t="str">
        <f>VLOOKUP($A410,'[3]allergenen 6nr'!$A$1:$O$1310,6,FALSE)</f>
        <v>X</v>
      </c>
      <c r="BH410" s="201" t="str">
        <f>VLOOKUP($A410,'[3]allergenen 6nr'!$A$1:$O$1310,7,FALSE)</f>
        <v>+</v>
      </c>
      <c r="BI410" s="201" t="str">
        <f>VLOOKUP($A410,'[3]allergenen 6nr'!$A$1:$O$1310,8,FALSE)</f>
        <v>X</v>
      </c>
      <c r="BJ410" s="201" t="str">
        <f>VLOOKUP($A410,'[3]allergenen 6nr'!$A$1:$O$1310,9,FALSE)</f>
        <v>-</v>
      </c>
      <c r="BK410" s="201" t="str">
        <f>VLOOKUP($A410,'[3]allergenen 6nr'!$A$1:$O$1310,10,FALSE)</f>
        <v>-</v>
      </c>
      <c r="BL410" s="201" t="str">
        <f>VLOOKUP($A410,'[3]allergenen 6nr'!$A$1:$O$1310,11,FALSE)</f>
        <v>-</v>
      </c>
      <c r="BM410" s="201" t="str">
        <f>VLOOKUP($A410,'[3]allergenen 6nr'!$A$1:$O$1310,12,FALSE)</f>
        <v>-</v>
      </c>
      <c r="BN410" s="201" t="str">
        <f>VLOOKUP($A410,'[3]allergenen 6nr'!$A$1:$O$1310,13,FALSE)</f>
        <v>X</v>
      </c>
      <c r="BO410" s="201" t="str">
        <f>VLOOKUP($A410,'[3]allergenen 6nr'!$A$1:$O$1310,14,FALSE)</f>
        <v>-</v>
      </c>
      <c r="BP410" s="202" t="str">
        <f>VLOOKUP($A410,'[3]allergenen 6nr'!$A$1:$O$1310,15,FALSE)</f>
        <v>-</v>
      </c>
    </row>
    <row r="411" spans="1:68" x14ac:dyDescent="0.2">
      <c r="A411" s="89">
        <v>64225800</v>
      </c>
      <c r="B411" s="53" t="str">
        <f>VLOOKUP($A411,[1]maaltijden!$A$1:$IV$65536,4,FALSE)</f>
        <v>BOF FR PARMENTIER EEND PUREE 348G</v>
      </c>
      <c r="C411" s="46" t="str">
        <f>VLOOKUP($A411,[1]maaltijden!$A$1:$IV$65536,7,FALSE)</f>
        <v>UK-59</v>
      </c>
      <c r="D411" s="22" t="str">
        <f>VLOOKUP($A411,[1]maaltijden!$A$1:$IV$65536,10,FALSE)</f>
        <v>H22</v>
      </c>
      <c r="E411" s="22" t="str">
        <f>VLOOKUP($A411,[1]maaltijden!$A$1:$IV$65536,13,FALSE)</f>
        <v>Shrink H22 X 6</v>
      </c>
      <c r="F411" s="20">
        <f t="shared" si="6"/>
        <v>0</v>
      </c>
      <c r="G411" s="20" t="str">
        <f>VLOOKUP($A411,[1]maaltijden!$A$1:$IV$65536,27,FALSE)</f>
        <v>! !</v>
      </c>
      <c r="H411" s="22">
        <f>VLOOKUP($A411,[1]maaltijden!$A$1:$IV$65536,21,FALSE)</f>
        <v>4</v>
      </c>
      <c r="I411" s="22">
        <f>VLOOKUP($A411,[1]maaltijden!$A$1:$IV$65536,21,FALSE)</f>
        <v>4</v>
      </c>
      <c r="J411" s="22">
        <f>VLOOKUP($A411,[1]maaltijden!$A$1:$IV$65536,18,FALSE)</f>
        <v>2</v>
      </c>
      <c r="K411" s="22">
        <f>VLOOKUP($A411,[1]maaltijden!$A$1:$IV$65536,17,FALSE)</f>
        <v>2</v>
      </c>
      <c r="L411" s="22">
        <f>VLOOKUP($A411,[1]maaltijden!$A$1:$IV$65536,20,FALSE)</f>
        <v>3200</v>
      </c>
      <c r="M411" s="22">
        <f>VLOOKUP($A411,[1]maaltijden!$A$1:$IV$65536,22,FALSE)</f>
        <v>3200</v>
      </c>
      <c r="N411" s="135" t="s">
        <v>420</v>
      </c>
      <c r="O411" s="50"/>
      <c r="P411" s="19">
        <v>1</v>
      </c>
      <c r="Q411" s="20">
        <v>0</v>
      </c>
      <c r="R411" s="21">
        <v>0</v>
      </c>
      <c r="S411" s="19">
        <v>1</v>
      </c>
      <c r="T411" s="20">
        <v>0</v>
      </c>
      <c r="U411" s="19">
        <v>1</v>
      </c>
      <c r="V411" s="20">
        <v>1</v>
      </c>
      <c r="W411" s="20">
        <v>1</v>
      </c>
      <c r="X411" s="20">
        <v>1</v>
      </c>
      <c r="Y411" s="20">
        <v>0</v>
      </c>
      <c r="Z411" s="20">
        <v>0</v>
      </c>
      <c r="AA411" s="20">
        <v>0</v>
      </c>
      <c r="AB411" s="49">
        <v>0</v>
      </c>
      <c r="AC411" s="49">
        <v>0</v>
      </c>
      <c r="AD411" s="49">
        <v>0</v>
      </c>
      <c r="AE411" s="49">
        <v>1</v>
      </c>
      <c r="AF411" s="49">
        <v>0</v>
      </c>
      <c r="AG411" s="161">
        <v>0</v>
      </c>
      <c r="AH411" s="162">
        <v>2</v>
      </c>
      <c r="AI411" s="162">
        <v>0</v>
      </c>
      <c r="AJ411" s="162">
        <v>0</v>
      </c>
      <c r="AK411" s="162">
        <v>0</v>
      </c>
      <c r="AL411" s="163">
        <v>0</v>
      </c>
      <c r="AM411" s="19">
        <v>0</v>
      </c>
      <c r="AN411" s="20" t="str">
        <f>IFERROR(INDEX([2]lijnopstellingsfiche!$AP$1:$AP$65536,MATCH(A411,[2]lijnopstellingsfiche!$AQ$1:$AQ$65536,0)),"")</f>
        <v>-</v>
      </c>
      <c r="AO411" s="20">
        <v>0</v>
      </c>
      <c r="AP411" s="20">
        <v>1</v>
      </c>
      <c r="AQ411" s="20">
        <v>2</v>
      </c>
      <c r="AR411" s="20">
        <v>2</v>
      </c>
      <c r="AS411" s="20">
        <v>0</v>
      </c>
      <c r="AT411" s="20">
        <v>0</v>
      </c>
      <c r="AU411" s="20">
        <v>0</v>
      </c>
      <c r="AV411" s="23">
        <v>0</v>
      </c>
      <c r="AW411" s="108">
        <v>1</v>
      </c>
      <c r="AX411" s="108">
        <v>1</v>
      </c>
      <c r="AY411" s="108">
        <v>0</v>
      </c>
      <c r="AZ411" s="108"/>
      <c r="BA411" s="114">
        <v>0</v>
      </c>
      <c r="BB411" s="20">
        <v>0</v>
      </c>
      <c r="BC411" s="113">
        <v>0</v>
      </c>
      <c r="BD411" s="200" t="str">
        <f>VLOOKUP($A411,'[3]allergenen 6nr'!$A$1:$O$1310,3,FALSE)</f>
        <v>-</v>
      </c>
      <c r="BE411" s="201" t="str">
        <f>VLOOKUP($A411,'[3]allergenen 6nr'!$A$1:$O$1310,4,FALSE)</f>
        <v>+</v>
      </c>
      <c r="BF411" s="201" t="str">
        <f>VLOOKUP($A411,'[3]allergenen 6nr'!$A$1:$O$1310,5,FALSE)</f>
        <v>+</v>
      </c>
      <c r="BG411" s="201" t="str">
        <f>VLOOKUP($A411,'[3]allergenen 6nr'!$A$1:$O$1310,6,FALSE)</f>
        <v>-</v>
      </c>
      <c r="BH411" s="201" t="str">
        <f>VLOOKUP($A411,'[3]allergenen 6nr'!$A$1:$O$1310,7,FALSE)</f>
        <v>+</v>
      </c>
      <c r="BI411" s="201" t="str">
        <f>VLOOKUP($A411,'[3]allergenen 6nr'!$A$1:$O$1310,8,FALSE)</f>
        <v>-</v>
      </c>
      <c r="BJ411" s="201" t="str">
        <f>VLOOKUP($A411,'[3]allergenen 6nr'!$A$1:$O$1310,9,FALSE)</f>
        <v>-</v>
      </c>
      <c r="BK411" s="201" t="str">
        <f>VLOOKUP($A411,'[3]allergenen 6nr'!$A$1:$O$1310,10,FALSE)</f>
        <v>-</v>
      </c>
      <c r="BL411" s="201" t="str">
        <f>VLOOKUP($A411,'[3]allergenen 6nr'!$A$1:$O$1310,11,FALSE)</f>
        <v>-</v>
      </c>
      <c r="BM411" s="201" t="str">
        <f>VLOOKUP($A411,'[3]allergenen 6nr'!$A$1:$O$1310,12,FALSE)</f>
        <v>-</v>
      </c>
      <c r="BN411" s="201" t="str">
        <f>VLOOKUP($A411,'[3]allergenen 6nr'!$A$1:$O$1310,13,FALSE)</f>
        <v>-</v>
      </c>
      <c r="BO411" s="201" t="str">
        <f>VLOOKUP($A411,'[3]allergenen 6nr'!$A$1:$O$1310,14,FALSE)</f>
        <v>-</v>
      </c>
      <c r="BP411" s="202" t="str">
        <f>VLOOKUP($A411,'[3]allergenen 6nr'!$A$1:$O$1310,15,FALSE)</f>
        <v>-</v>
      </c>
    </row>
    <row r="412" spans="1:68" x14ac:dyDescent="0.2">
      <c r="A412" s="89">
        <v>64225900</v>
      </c>
      <c r="B412" s="53" t="str">
        <f>VLOOKUP($A412,[1]maaltijden!$A$1:$IV$65536,4,FALSE)</f>
        <v>BOF FR GEHAKTBALLETJES PROVENCALE RIJST 320G</v>
      </c>
      <c r="C412" s="46" t="str">
        <f>VLOOKUP($A412,[1]maaltijden!$A$1:$IV$65536,7,FALSE)</f>
        <v>UK-59</v>
      </c>
      <c r="D412" s="22" t="str">
        <f>VLOOKUP($A412,[1]maaltijden!$A$1:$IV$65536,10,FALSE)</f>
        <v>H22</v>
      </c>
      <c r="E412" s="22" t="str">
        <f>VLOOKUP($A412,[1]maaltijden!$A$1:$IV$65536,13,FALSE)</f>
        <v>Shrink H22 X 6</v>
      </c>
      <c r="F412" s="20">
        <f t="shared" si="6"/>
        <v>0</v>
      </c>
      <c r="G412" s="20" t="str">
        <f>VLOOKUP($A412,[1]maaltijden!$A$1:$IV$65536,27,FALSE)</f>
        <v>-</v>
      </c>
      <c r="H412" s="22">
        <f>VLOOKUP($A412,[1]maaltijden!$A$1:$IV$65536,21,FALSE)</f>
        <v>6</v>
      </c>
      <c r="I412" s="22">
        <f>VLOOKUP($A412,[1]maaltijden!$A$1:$IV$65536,21,FALSE)</f>
        <v>6</v>
      </c>
      <c r="J412" s="22">
        <f>VLOOKUP($A412,[1]maaltijden!$A$1:$IV$65536,18,FALSE)</f>
        <v>2</v>
      </c>
      <c r="K412" s="22">
        <f>VLOOKUP($A412,[1]maaltijden!$A$1:$IV$65536,17,FALSE)</f>
        <v>2</v>
      </c>
      <c r="L412" s="22">
        <f>VLOOKUP($A412,[1]maaltijden!$A$1:$IV$65536,20,FALSE)</f>
        <v>3200</v>
      </c>
      <c r="M412" s="22">
        <f>VLOOKUP($A412,[1]maaltijden!$A$1:$IV$65536,22,FALSE)</f>
        <v>3200</v>
      </c>
      <c r="N412" s="44"/>
      <c r="O412" s="50"/>
      <c r="P412" s="19">
        <v>1</v>
      </c>
      <c r="Q412" s="20">
        <v>0</v>
      </c>
      <c r="R412" s="21">
        <v>0</v>
      </c>
      <c r="S412" s="19">
        <v>1</v>
      </c>
      <c r="T412" s="20">
        <v>0</v>
      </c>
      <c r="U412" s="19">
        <v>1</v>
      </c>
      <c r="V412" s="20">
        <v>1</v>
      </c>
      <c r="W412" s="20">
        <v>1</v>
      </c>
      <c r="X412" s="20">
        <v>1</v>
      </c>
      <c r="Y412" s="20">
        <v>0</v>
      </c>
      <c r="Z412" s="20">
        <v>0</v>
      </c>
      <c r="AA412" s="20">
        <v>0</v>
      </c>
      <c r="AB412" s="49">
        <v>0</v>
      </c>
      <c r="AC412" s="49">
        <v>0</v>
      </c>
      <c r="AD412" s="49">
        <v>0</v>
      </c>
      <c r="AE412" s="49">
        <v>0</v>
      </c>
      <c r="AF412" s="49">
        <v>0</v>
      </c>
      <c r="AG412" s="161">
        <v>1</v>
      </c>
      <c r="AH412" s="162">
        <v>1</v>
      </c>
      <c r="AI412" s="162">
        <v>0</v>
      </c>
      <c r="AJ412" s="162">
        <v>0</v>
      </c>
      <c r="AK412" s="162">
        <v>0</v>
      </c>
      <c r="AL412" s="163">
        <v>0</v>
      </c>
      <c r="AM412" s="19">
        <v>1</v>
      </c>
      <c r="AN412" s="20" t="str">
        <f>IFERROR(INDEX([2]lijnopstellingsfiche!$AP$1:$AP$65536,MATCH(A412,[2]lijnopstellingsfiche!$AQ$1:$AQ$65536,0)),"")</f>
        <v>-</v>
      </c>
      <c r="AO412" s="20">
        <v>0</v>
      </c>
      <c r="AP412" s="20">
        <v>0</v>
      </c>
      <c r="AQ412" s="20">
        <v>2</v>
      </c>
      <c r="AR412" s="20">
        <v>0</v>
      </c>
      <c r="AS412" s="20">
        <v>1</v>
      </c>
      <c r="AT412" s="20">
        <v>0</v>
      </c>
      <c r="AU412" s="20">
        <v>0</v>
      </c>
      <c r="AV412" s="23">
        <v>0</v>
      </c>
      <c r="AW412" s="108">
        <v>1</v>
      </c>
      <c r="AX412" s="108">
        <v>1</v>
      </c>
      <c r="AY412" s="108">
        <v>0</v>
      </c>
      <c r="AZ412" s="108"/>
      <c r="BA412" s="114">
        <v>0</v>
      </c>
      <c r="BB412" s="20">
        <v>0</v>
      </c>
      <c r="BC412" s="113">
        <v>0</v>
      </c>
      <c r="BD412" s="200" t="str">
        <f>VLOOKUP($A412,'[3]allergenen 6nr'!$A$1:$O$1310,3,FALSE)</f>
        <v>-</v>
      </c>
      <c r="BE412" s="201" t="str">
        <f>VLOOKUP($A412,'[3]allergenen 6nr'!$A$1:$O$1310,4,FALSE)</f>
        <v>X</v>
      </c>
      <c r="BF412" s="201" t="str">
        <f>VLOOKUP($A412,'[3]allergenen 6nr'!$A$1:$O$1310,5,FALSE)</f>
        <v>X</v>
      </c>
      <c r="BG412" s="201" t="str">
        <f>VLOOKUP($A412,'[3]allergenen 6nr'!$A$1:$O$1310,6,FALSE)</f>
        <v>-</v>
      </c>
      <c r="BH412" s="201" t="str">
        <f>VLOOKUP($A412,'[3]allergenen 6nr'!$A$1:$O$1310,7,FALSE)</f>
        <v>X</v>
      </c>
      <c r="BI412" s="201" t="str">
        <f>VLOOKUP($A412,'[3]allergenen 6nr'!$A$1:$O$1310,8,FALSE)</f>
        <v>X</v>
      </c>
      <c r="BJ412" s="201" t="str">
        <f>VLOOKUP($A412,'[3]allergenen 6nr'!$A$1:$O$1310,9,FALSE)</f>
        <v>X</v>
      </c>
      <c r="BK412" s="201" t="str">
        <f>VLOOKUP($A412,'[3]allergenen 6nr'!$A$1:$O$1310,10,FALSE)</f>
        <v>X</v>
      </c>
      <c r="BL412" s="201" t="str">
        <f>VLOOKUP($A412,'[3]allergenen 6nr'!$A$1:$O$1310,11,FALSE)</f>
        <v>X</v>
      </c>
      <c r="BM412" s="201" t="str">
        <f>VLOOKUP($A412,'[3]allergenen 6nr'!$A$1:$O$1310,12,FALSE)</f>
        <v>-</v>
      </c>
      <c r="BN412" s="201" t="str">
        <f>VLOOKUP($A412,'[3]allergenen 6nr'!$A$1:$O$1310,13,FALSE)</f>
        <v>X</v>
      </c>
      <c r="BO412" s="201" t="str">
        <f>VLOOKUP($A412,'[3]allergenen 6nr'!$A$1:$O$1310,14,FALSE)</f>
        <v>X</v>
      </c>
      <c r="BP412" s="202" t="str">
        <f>VLOOKUP($A412,'[3]allergenen 6nr'!$A$1:$O$1310,15,FALSE)</f>
        <v>-</v>
      </c>
    </row>
    <row r="413" spans="1:68" x14ac:dyDescent="0.2">
      <c r="A413" s="89">
        <v>64226000</v>
      </c>
      <c r="B413" s="53" t="str">
        <f>VLOOKUP($A413,[1]maaltijden!$A$1:$IV$65536,4,FALSE)</f>
        <v>BOF FR SPAGHETTI RUNDSREEPJES TERIYAKI SPITSKOOL 320G</v>
      </c>
      <c r="C413" s="46" t="str">
        <f>VLOOKUP($A413,[1]maaltijden!$A$1:$IV$65536,7,FALSE)</f>
        <v>UK-59</v>
      </c>
      <c r="D413" s="22" t="str">
        <f>VLOOKUP($A413,[1]maaltijden!$A$1:$IV$65536,10,FALSE)</f>
        <v>H22</v>
      </c>
      <c r="E413" s="22" t="str">
        <f>VLOOKUP($A413,[1]maaltijden!$A$1:$IV$65536,13,FALSE)</f>
        <v>Shrink H22 X 6</v>
      </c>
      <c r="F413" s="20">
        <f t="shared" si="6"/>
        <v>0</v>
      </c>
      <c r="G413" s="20" t="str">
        <f>VLOOKUP($A413,[1]maaltijden!$A$1:$IV$65536,27,FALSE)</f>
        <v>! ! ! ! !</v>
      </c>
      <c r="H413" s="22">
        <f>VLOOKUP($A413,[1]maaltijden!$A$1:$IV$65536,21,FALSE)</f>
        <v>9</v>
      </c>
      <c r="I413" s="22">
        <f>VLOOKUP($A413,[1]maaltijden!$A$1:$IV$65536,21,FALSE)</f>
        <v>9</v>
      </c>
      <c r="J413" s="22">
        <f>VLOOKUP($A413,[1]maaltijden!$A$1:$IV$65536,18,FALSE)</f>
        <v>2</v>
      </c>
      <c r="K413" s="22">
        <f>VLOOKUP($A413,[1]maaltijden!$A$1:$IV$65536,17,FALSE)</f>
        <v>3</v>
      </c>
      <c r="L413" s="22">
        <f>VLOOKUP($A413,[1]maaltijden!$A$1:$IV$65536,20,FALSE)</f>
        <v>3000</v>
      </c>
      <c r="M413" s="22">
        <f>VLOOKUP($A413,[1]maaltijden!$A$1:$IV$65536,22,FALSE)</f>
        <v>3000</v>
      </c>
      <c r="N413" s="135"/>
      <c r="O413" s="50"/>
      <c r="P413" s="19">
        <v>1</v>
      </c>
      <c r="Q413" s="20">
        <v>0</v>
      </c>
      <c r="R413" s="21">
        <v>0</v>
      </c>
      <c r="S413" s="19">
        <v>1</v>
      </c>
      <c r="T413" s="20">
        <v>0</v>
      </c>
      <c r="U413" s="19">
        <v>1</v>
      </c>
      <c r="V413" s="20">
        <v>1</v>
      </c>
      <c r="W413" s="20">
        <v>1</v>
      </c>
      <c r="X413" s="20">
        <v>1</v>
      </c>
      <c r="Y413" s="20">
        <v>1</v>
      </c>
      <c r="Z413" s="20">
        <v>0</v>
      </c>
      <c r="AA413" s="20">
        <v>0</v>
      </c>
      <c r="AB413" s="49">
        <v>0</v>
      </c>
      <c r="AC413" s="49">
        <v>0</v>
      </c>
      <c r="AD413" s="49">
        <v>0</v>
      </c>
      <c r="AE413" s="49">
        <v>0</v>
      </c>
      <c r="AF413" s="49">
        <v>0</v>
      </c>
      <c r="AG413" s="161">
        <v>1</v>
      </c>
      <c r="AH413" s="162">
        <v>1</v>
      </c>
      <c r="AI413" s="162">
        <v>1</v>
      </c>
      <c r="AJ413" s="162">
        <v>0</v>
      </c>
      <c r="AK413" s="162">
        <v>0</v>
      </c>
      <c r="AL413" s="163">
        <v>0</v>
      </c>
      <c r="AM413" s="19">
        <v>1</v>
      </c>
      <c r="AN413" s="20">
        <f>IFERROR(INDEX([2]lijnopstellingsfiche!$AP$1:$AP$65536,MATCH(A413,[2]lijnopstellingsfiche!$AQ$1:$AQ$65536,0)),"")</f>
        <v>1</v>
      </c>
      <c r="AO413" s="20">
        <v>0</v>
      </c>
      <c r="AP413" s="20">
        <v>0</v>
      </c>
      <c r="AQ413" s="20">
        <v>2</v>
      </c>
      <c r="AR413" s="20">
        <v>0</v>
      </c>
      <c r="AS413" s="20">
        <v>1</v>
      </c>
      <c r="AT413" s="20">
        <v>0</v>
      </c>
      <c r="AU413" s="20">
        <v>0</v>
      </c>
      <c r="AV413" s="23">
        <v>0</v>
      </c>
      <c r="AW413" s="108">
        <v>1</v>
      </c>
      <c r="AX413" s="108">
        <v>1</v>
      </c>
      <c r="AY413" s="108">
        <v>0</v>
      </c>
      <c r="AZ413" s="108"/>
      <c r="BA413" s="114">
        <v>0</v>
      </c>
      <c r="BB413" s="20">
        <v>0</v>
      </c>
      <c r="BC413" s="113">
        <v>0</v>
      </c>
      <c r="BD413" s="200" t="str">
        <f>VLOOKUP($A413,'[3]allergenen 6nr'!$A$1:$O$1310,3,FALSE)</f>
        <v>-</v>
      </c>
      <c r="BE413" s="201" t="str">
        <f>VLOOKUP($A413,'[3]allergenen 6nr'!$A$1:$O$1310,4,FALSE)</f>
        <v>X</v>
      </c>
      <c r="BF413" s="201" t="str">
        <f>VLOOKUP($A413,'[3]allergenen 6nr'!$A$1:$O$1310,5,FALSE)</f>
        <v>+</v>
      </c>
      <c r="BG413" s="201" t="str">
        <f>VLOOKUP($A413,'[3]allergenen 6nr'!$A$1:$O$1310,6,FALSE)</f>
        <v>X</v>
      </c>
      <c r="BH413" s="201" t="str">
        <f>VLOOKUP($A413,'[3]allergenen 6nr'!$A$1:$O$1310,7,FALSE)</f>
        <v>-</v>
      </c>
      <c r="BI413" s="201" t="str">
        <f>VLOOKUP($A413,'[3]allergenen 6nr'!$A$1:$O$1310,8,FALSE)</f>
        <v>X</v>
      </c>
      <c r="BJ413" s="201" t="str">
        <f>VLOOKUP($A413,'[3]allergenen 6nr'!$A$1:$O$1310,9,FALSE)</f>
        <v>-</v>
      </c>
      <c r="BK413" s="201" t="str">
        <f>VLOOKUP($A413,'[3]allergenen 6nr'!$A$1:$O$1310,10,FALSE)</f>
        <v>-</v>
      </c>
      <c r="BL413" s="201" t="str">
        <f>VLOOKUP($A413,'[3]allergenen 6nr'!$A$1:$O$1310,11,FALSE)</f>
        <v>-</v>
      </c>
      <c r="BM413" s="201" t="str">
        <f>VLOOKUP($A413,'[3]allergenen 6nr'!$A$1:$O$1310,12,FALSE)</f>
        <v>+</v>
      </c>
      <c r="BN413" s="201" t="str">
        <f>VLOOKUP($A413,'[3]allergenen 6nr'!$A$1:$O$1310,13,FALSE)</f>
        <v>+</v>
      </c>
      <c r="BO413" s="201" t="str">
        <f>VLOOKUP($A413,'[3]allergenen 6nr'!$A$1:$O$1310,14,FALSE)</f>
        <v>-</v>
      </c>
      <c r="BP413" s="202" t="str">
        <f>VLOOKUP($A413,'[3]allergenen 6nr'!$A$1:$O$1310,15,FALSE)</f>
        <v>-</v>
      </c>
    </row>
    <row r="414" spans="1:68" x14ac:dyDescent="0.2">
      <c r="A414" s="89">
        <v>64226100</v>
      </c>
      <c r="B414" s="53" t="str">
        <f>VLOOKUP($A414,[1]maaltijden!$A$1:$IV$65536,4,FALSE)</f>
        <v>BOF FR ZALM ASC ZURINGSAUS RIJSTMIX 320G</v>
      </c>
      <c r="C414" s="46" t="str">
        <f>VLOOKUP($A414,[1]maaltijden!$A$1:$IV$65536,7,FALSE)</f>
        <v>UK-59</v>
      </c>
      <c r="D414" s="22" t="str">
        <f>VLOOKUP($A414,[1]maaltijden!$A$1:$IV$65536,10,FALSE)</f>
        <v>H22</v>
      </c>
      <c r="E414" s="22" t="str">
        <f>VLOOKUP($A414,[1]maaltijden!$A$1:$IV$65536,13,FALSE)</f>
        <v>Shrink H22 X 6</v>
      </c>
      <c r="F414" s="20">
        <f t="shared" si="6"/>
        <v>0</v>
      </c>
      <c r="G414" s="20" t="str">
        <f>VLOOKUP($A414,[1]maaltijden!$A$1:$IV$65536,27,FALSE)</f>
        <v>! ! ! !</v>
      </c>
      <c r="H414" s="22">
        <f>VLOOKUP($A414,[1]maaltijden!$A$1:$IV$65536,21,FALSE)</f>
        <v>7</v>
      </c>
      <c r="I414" s="22">
        <f>VLOOKUP($A414,[1]maaltijden!$A$1:$IV$65536,21,FALSE)</f>
        <v>7</v>
      </c>
      <c r="J414" s="22">
        <f>VLOOKUP($A414,[1]maaltijden!$A$1:$IV$65536,18,FALSE)</f>
        <v>2</v>
      </c>
      <c r="K414" s="22">
        <f>VLOOKUP($A414,[1]maaltijden!$A$1:$IV$65536,17,FALSE)</f>
        <v>2</v>
      </c>
      <c r="L414" s="22">
        <f>VLOOKUP($A414,[1]maaltijden!$A$1:$IV$65536,20,FALSE)</f>
        <v>3200</v>
      </c>
      <c r="M414" s="22">
        <f>VLOOKUP($A414,[1]maaltijden!$A$1:$IV$65536,22,FALSE)</f>
        <v>3200</v>
      </c>
      <c r="N414" s="135" t="s">
        <v>417</v>
      </c>
      <c r="O414" s="50"/>
      <c r="P414" s="19">
        <v>1</v>
      </c>
      <c r="Q414" s="20">
        <v>0</v>
      </c>
      <c r="R414" s="21">
        <v>0</v>
      </c>
      <c r="S414" s="19">
        <v>1</v>
      </c>
      <c r="T414" s="20">
        <v>0</v>
      </c>
      <c r="U414" s="19">
        <v>0</v>
      </c>
      <c r="V414" s="20">
        <v>1</v>
      </c>
      <c r="W414" s="20">
        <v>1</v>
      </c>
      <c r="X414" s="20">
        <v>1</v>
      </c>
      <c r="Y414" s="20">
        <v>1</v>
      </c>
      <c r="Z414" s="20">
        <v>1</v>
      </c>
      <c r="AA414" s="20">
        <v>0</v>
      </c>
      <c r="AB414" s="49">
        <v>0</v>
      </c>
      <c r="AC414" s="49">
        <v>0</v>
      </c>
      <c r="AD414" s="49">
        <v>0</v>
      </c>
      <c r="AE414" s="49">
        <v>1</v>
      </c>
      <c r="AF414" s="49">
        <v>1</v>
      </c>
      <c r="AG414" s="161">
        <v>1</v>
      </c>
      <c r="AH414" s="162">
        <v>1</v>
      </c>
      <c r="AI414" s="162">
        <v>0</v>
      </c>
      <c r="AJ414" s="162">
        <v>1</v>
      </c>
      <c r="AK414" s="162">
        <v>0</v>
      </c>
      <c r="AL414" s="163">
        <v>0</v>
      </c>
      <c r="AM414" s="19">
        <v>1</v>
      </c>
      <c r="AN414" s="20" t="str">
        <f>IFERROR(INDEX([2]lijnopstellingsfiche!$AP$1:$AP$65536,MATCH(A414,[2]lijnopstellingsfiche!$AQ$1:$AQ$65536,0)),"")</f>
        <v>-</v>
      </c>
      <c r="AO414" s="20">
        <v>0</v>
      </c>
      <c r="AP414" s="20">
        <v>0</v>
      </c>
      <c r="AQ414" s="20">
        <v>2</v>
      </c>
      <c r="AR414" s="20">
        <v>0</v>
      </c>
      <c r="AS414" s="20">
        <v>0</v>
      </c>
      <c r="AT414" s="20">
        <v>0</v>
      </c>
      <c r="AU414" s="20">
        <v>0</v>
      </c>
      <c r="AV414" s="23">
        <v>0</v>
      </c>
      <c r="AW414" s="108">
        <v>1</v>
      </c>
      <c r="AX414" s="108">
        <v>1</v>
      </c>
      <c r="AY414" s="108">
        <v>0</v>
      </c>
      <c r="AZ414" s="108"/>
      <c r="BA414" s="114">
        <v>0</v>
      </c>
      <c r="BB414" s="20">
        <v>0</v>
      </c>
      <c r="BC414" s="113">
        <v>0</v>
      </c>
      <c r="BD414" s="200" t="str">
        <f>VLOOKUP($A414,'[3]allergenen 6nr'!$A$1:$O$1310,3,FALSE)</f>
        <v>-</v>
      </c>
      <c r="BE414" s="201" t="str">
        <f>VLOOKUP($A414,'[3]allergenen 6nr'!$A$1:$O$1310,4,FALSE)</f>
        <v>-</v>
      </c>
      <c r="BF414" s="201" t="str">
        <f>VLOOKUP($A414,'[3]allergenen 6nr'!$A$1:$O$1310,5,FALSE)</f>
        <v>+</v>
      </c>
      <c r="BG414" s="201" t="str">
        <f>VLOOKUP($A414,'[3]allergenen 6nr'!$A$1:$O$1310,6,FALSE)</f>
        <v>X</v>
      </c>
      <c r="BH414" s="201" t="str">
        <f>VLOOKUP($A414,'[3]allergenen 6nr'!$A$1:$O$1310,7,FALSE)</f>
        <v>+</v>
      </c>
      <c r="BI414" s="201" t="str">
        <f>VLOOKUP($A414,'[3]allergenen 6nr'!$A$1:$O$1310,8,FALSE)</f>
        <v>X</v>
      </c>
      <c r="BJ414" s="201" t="str">
        <f>VLOOKUP($A414,'[3]allergenen 6nr'!$A$1:$O$1310,9,FALSE)</f>
        <v>-</v>
      </c>
      <c r="BK414" s="201" t="str">
        <f>VLOOKUP($A414,'[3]allergenen 6nr'!$A$1:$O$1310,10,FALSE)</f>
        <v>X</v>
      </c>
      <c r="BL414" s="201" t="str">
        <f>VLOOKUP($A414,'[3]allergenen 6nr'!$A$1:$O$1310,11,FALSE)</f>
        <v>-</v>
      </c>
      <c r="BM414" s="201" t="str">
        <f>VLOOKUP($A414,'[3]allergenen 6nr'!$A$1:$O$1310,12,FALSE)</f>
        <v>-</v>
      </c>
      <c r="BN414" s="201" t="str">
        <f>VLOOKUP($A414,'[3]allergenen 6nr'!$A$1:$O$1310,13,FALSE)</f>
        <v>X</v>
      </c>
      <c r="BO414" s="201" t="str">
        <f>VLOOKUP($A414,'[3]allergenen 6nr'!$A$1:$O$1310,14,FALSE)</f>
        <v>+</v>
      </c>
      <c r="BP414" s="202" t="str">
        <f>VLOOKUP($A414,'[3]allergenen 6nr'!$A$1:$O$1310,15,FALSE)</f>
        <v>X</v>
      </c>
    </row>
    <row r="415" spans="1:68" x14ac:dyDescent="0.2">
      <c r="A415" s="89">
        <v>64226200</v>
      </c>
      <c r="B415" s="53" t="str">
        <f>VLOOKUP($A415,[1]maaltijden!$A$1:$IV$65536,4,FALSE)</f>
        <v>BOF FR KIP OP BASKISCHE WIJZE TAGLIATELLE 320G</v>
      </c>
      <c r="C415" s="46" t="str">
        <f>VLOOKUP($A415,[1]maaltijden!$A$1:$IV$65536,7,FALSE)</f>
        <v>UK-59</v>
      </c>
      <c r="D415" s="22" t="str">
        <f>VLOOKUP($A415,[1]maaltijden!$A$1:$IV$65536,10,FALSE)</f>
        <v>H22</v>
      </c>
      <c r="E415" s="22" t="str">
        <f>VLOOKUP($A415,[1]maaltijden!$A$1:$IV$65536,13,FALSE)</f>
        <v>Shrink H22 X 6</v>
      </c>
      <c r="F415" s="20">
        <f t="shared" si="6"/>
        <v>0</v>
      </c>
      <c r="G415" s="20" t="str">
        <f>VLOOKUP($A415,[1]maaltijden!$A$1:$IV$65536,27,FALSE)</f>
        <v>! !</v>
      </c>
      <c r="H415" s="22">
        <f>VLOOKUP($A415,[1]maaltijden!$A$1:$IV$65536,21,FALSE)</f>
        <v>5</v>
      </c>
      <c r="I415" s="22">
        <f>VLOOKUP($A415,[1]maaltijden!$A$1:$IV$65536,21,FALSE)</f>
        <v>5</v>
      </c>
      <c r="J415" s="22">
        <f>VLOOKUP($A415,[1]maaltijden!$A$1:$IV$65536,18,FALSE)</f>
        <v>2</v>
      </c>
      <c r="K415" s="22">
        <f>VLOOKUP($A415,[1]maaltijden!$A$1:$IV$65536,17,FALSE)</f>
        <v>2</v>
      </c>
      <c r="L415" s="22">
        <f>VLOOKUP($A415,[1]maaltijden!$A$1:$IV$65536,20,FALSE)</f>
        <v>3200</v>
      </c>
      <c r="M415" s="22">
        <f>VLOOKUP($A415,[1]maaltijden!$A$1:$IV$65536,22,FALSE)</f>
        <v>3200</v>
      </c>
      <c r="N415" s="135"/>
      <c r="O415" s="50"/>
      <c r="P415" s="19">
        <v>1</v>
      </c>
      <c r="Q415" s="20">
        <v>0</v>
      </c>
      <c r="R415" s="21">
        <v>0</v>
      </c>
      <c r="S415" s="19">
        <v>1</v>
      </c>
      <c r="T415" s="20">
        <v>0</v>
      </c>
      <c r="U415" s="19">
        <v>1</v>
      </c>
      <c r="V415" s="11">
        <v>1</v>
      </c>
      <c r="W415" s="20">
        <v>1</v>
      </c>
      <c r="X415" s="20">
        <v>1</v>
      </c>
      <c r="Y415" s="20">
        <v>1</v>
      </c>
      <c r="Z415" s="20">
        <v>0</v>
      </c>
      <c r="AA415" s="20">
        <v>0</v>
      </c>
      <c r="AB415" s="49">
        <v>0</v>
      </c>
      <c r="AC415" s="49">
        <v>0</v>
      </c>
      <c r="AD415" s="49">
        <v>0</v>
      </c>
      <c r="AE415" s="49">
        <v>0</v>
      </c>
      <c r="AF415" s="49">
        <v>0</v>
      </c>
      <c r="AG415" s="161">
        <v>1</v>
      </c>
      <c r="AH415" s="162">
        <v>1</v>
      </c>
      <c r="AI415" s="162">
        <v>0</v>
      </c>
      <c r="AJ415" s="162">
        <v>0</v>
      </c>
      <c r="AK415" s="162">
        <v>0</v>
      </c>
      <c r="AL415" s="163">
        <v>0</v>
      </c>
      <c r="AM415" s="19">
        <v>1</v>
      </c>
      <c r="AN415" s="20" t="str">
        <f>IFERROR(INDEX([2]lijnopstellingsfiche!$AP$1:$AP$65536,MATCH(A415,[2]lijnopstellingsfiche!$AQ$1:$AQ$65536,0)),"")</f>
        <v>-</v>
      </c>
      <c r="AO415" s="20">
        <v>0</v>
      </c>
      <c r="AP415" s="20">
        <v>0</v>
      </c>
      <c r="AQ415" s="20">
        <v>2</v>
      </c>
      <c r="AR415" s="20">
        <v>0</v>
      </c>
      <c r="AS415" s="20">
        <v>1</v>
      </c>
      <c r="AT415" s="20">
        <v>0</v>
      </c>
      <c r="AU415" s="20">
        <v>0</v>
      </c>
      <c r="AV415" s="23">
        <v>0</v>
      </c>
      <c r="AW415" s="108">
        <v>1</v>
      </c>
      <c r="AX415" s="108">
        <v>1</v>
      </c>
      <c r="AY415" s="108">
        <v>0</v>
      </c>
      <c r="AZ415" s="108"/>
      <c r="BA415" s="114">
        <v>0</v>
      </c>
      <c r="BB415" s="20">
        <v>0</v>
      </c>
      <c r="BC415" s="113">
        <v>0</v>
      </c>
      <c r="BD415" s="200" t="str">
        <f>VLOOKUP($A415,'[3]allergenen 6nr'!$A$1:$O$1310,3,FALSE)</f>
        <v>-</v>
      </c>
      <c r="BE415" s="201" t="str">
        <f>VLOOKUP($A415,'[3]allergenen 6nr'!$A$1:$O$1310,4,FALSE)</f>
        <v>+</v>
      </c>
      <c r="BF415" s="201" t="str">
        <f>VLOOKUP($A415,'[3]allergenen 6nr'!$A$1:$O$1310,5,FALSE)</f>
        <v>+</v>
      </c>
      <c r="BG415" s="201" t="str">
        <f>VLOOKUP($A415,'[3]allergenen 6nr'!$A$1:$O$1310,6,FALSE)</f>
        <v>X</v>
      </c>
      <c r="BH415" s="201" t="str">
        <f>VLOOKUP($A415,'[3]allergenen 6nr'!$A$1:$O$1310,7,FALSE)</f>
        <v>-</v>
      </c>
      <c r="BI415" s="201" t="str">
        <f>VLOOKUP($A415,'[3]allergenen 6nr'!$A$1:$O$1310,8,FALSE)</f>
        <v>X</v>
      </c>
      <c r="BJ415" s="201" t="str">
        <f>VLOOKUP($A415,'[3]allergenen 6nr'!$A$1:$O$1310,9,FALSE)</f>
        <v>-</v>
      </c>
      <c r="BK415" s="201" t="str">
        <f>VLOOKUP($A415,'[3]allergenen 6nr'!$A$1:$O$1310,10,FALSE)</f>
        <v>-</v>
      </c>
      <c r="BL415" s="201" t="str">
        <f>VLOOKUP($A415,'[3]allergenen 6nr'!$A$1:$O$1310,11,FALSE)</f>
        <v>-</v>
      </c>
      <c r="BM415" s="201" t="str">
        <f>VLOOKUP($A415,'[3]allergenen 6nr'!$A$1:$O$1310,12,FALSE)</f>
        <v>-</v>
      </c>
      <c r="BN415" s="201" t="str">
        <f>VLOOKUP($A415,'[3]allergenen 6nr'!$A$1:$O$1310,13,FALSE)</f>
        <v>X</v>
      </c>
      <c r="BO415" s="201" t="str">
        <f>VLOOKUP($A415,'[3]allergenen 6nr'!$A$1:$O$1310,14,FALSE)</f>
        <v>-</v>
      </c>
      <c r="BP415" s="202" t="str">
        <f>VLOOKUP($A415,'[3]allergenen 6nr'!$A$1:$O$1310,15,FALSE)</f>
        <v>-</v>
      </c>
    </row>
    <row r="416" spans="1:68" x14ac:dyDescent="0.2">
      <c r="A416" s="89">
        <v>64226300</v>
      </c>
      <c r="B416" s="53" t="str">
        <f>VLOOKUP($A416,[1]maaltijden!$A$1:$IV$65536,4,FALSE)</f>
        <v>BOF FR KIP PAELLA 320G</v>
      </c>
      <c r="C416" s="46" t="str">
        <f>VLOOKUP($A416,[1]maaltijden!$A$1:$IV$65536,7,FALSE)</f>
        <v>UK-59</v>
      </c>
      <c r="D416" s="22" t="str">
        <f>VLOOKUP($A416,[1]maaltijden!$A$1:$IV$65536,10,FALSE)</f>
        <v>H22</v>
      </c>
      <c r="E416" s="22" t="str">
        <f>VLOOKUP($A416,[1]maaltijden!$A$1:$IV$65536,13,FALSE)</f>
        <v>Shrink H22 X 6</v>
      </c>
      <c r="F416" s="20">
        <f t="shared" si="6"/>
        <v>0</v>
      </c>
      <c r="G416" s="20" t="str">
        <f>VLOOKUP($A416,[1]maaltijden!$A$1:$IV$65536,27,FALSE)</f>
        <v>! ! ! !</v>
      </c>
      <c r="H416" s="22">
        <f>VLOOKUP($A416,[1]maaltijden!$A$1:$IV$65536,21,FALSE)</f>
        <v>4</v>
      </c>
      <c r="I416" s="22">
        <f>VLOOKUP($A416,[1]maaltijden!$A$1:$IV$65536,21,FALSE)</f>
        <v>4</v>
      </c>
      <c r="J416" s="22">
        <f>VLOOKUP($A416,[1]maaltijden!$A$1:$IV$65536,18,FALSE)</f>
        <v>2</v>
      </c>
      <c r="K416" s="22">
        <f>VLOOKUP($A416,[1]maaltijden!$A$1:$IV$65536,17,FALSE)</f>
        <v>2</v>
      </c>
      <c r="L416" s="22">
        <f>VLOOKUP($A416,[1]maaltijden!$A$1:$IV$65536,20,FALSE)</f>
        <v>3200</v>
      </c>
      <c r="M416" s="22">
        <f>VLOOKUP($A416,[1]maaltijden!$A$1:$IV$65536,22,FALSE)</f>
        <v>3200</v>
      </c>
      <c r="N416" s="135"/>
      <c r="O416" s="50"/>
      <c r="P416" s="19">
        <v>1</v>
      </c>
      <c r="Q416" s="20">
        <v>0</v>
      </c>
      <c r="R416" s="21">
        <v>0</v>
      </c>
      <c r="S416" s="19">
        <v>1</v>
      </c>
      <c r="T416" s="20">
        <v>0</v>
      </c>
      <c r="U416" s="19">
        <v>1</v>
      </c>
      <c r="V416" s="20">
        <v>1</v>
      </c>
      <c r="W416" s="20">
        <v>1</v>
      </c>
      <c r="X416" s="20">
        <v>1</v>
      </c>
      <c r="Y416" s="20">
        <v>1</v>
      </c>
      <c r="Z416" s="20">
        <v>0</v>
      </c>
      <c r="AA416" s="20">
        <v>0</v>
      </c>
      <c r="AB416" s="49">
        <v>0</v>
      </c>
      <c r="AC416" s="49">
        <v>0</v>
      </c>
      <c r="AD416" s="49">
        <v>0</v>
      </c>
      <c r="AE416" s="49">
        <v>0</v>
      </c>
      <c r="AF416" s="49">
        <v>0</v>
      </c>
      <c r="AG416" s="161">
        <v>0</v>
      </c>
      <c r="AH416" s="162">
        <v>1</v>
      </c>
      <c r="AI416" s="162">
        <v>0</v>
      </c>
      <c r="AJ416" s="162">
        <v>0</v>
      </c>
      <c r="AK416" s="162">
        <v>0</v>
      </c>
      <c r="AL416" s="163">
        <v>0</v>
      </c>
      <c r="AM416" s="19">
        <v>1</v>
      </c>
      <c r="AN416" s="20" t="str">
        <f>IFERROR(INDEX([2]lijnopstellingsfiche!$AP$1:$AP$65536,MATCH(A416,[2]lijnopstellingsfiche!$AQ$1:$AQ$65536,0)),"")</f>
        <v>-</v>
      </c>
      <c r="AO416" s="20">
        <v>0</v>
      </c>
      <c r="AP416" s="20">
        <v>0</v>
      </c>
      <c r="AQ416" s="20">
        <v>2</v>
      </c>
      <c r="AR416" s="20">
        <v>0</v>
      </c>
      <c r="AS416" s="20">
        <v>1</v>
      </c>
      <c r="AT416" s="20">
        <v>0</v>
      </c>
      <c r="AU416" s="20">
        <v>0</v>
      </c>
      <c r="AV416" s="23">
        <v>0</v>
      </c>
      <c r="AW416" s="108">
        <v>1</v>
      </c>
      <c r="AX416" s="108">
        <v>1</v>
      </c>
      <c r="AY416" s="108">
        <v>0</v>
      </c>
      <c r="AZ416" s="108"/>
      <c r="BA416" s="114">
        <v>0</v>
      </c>
      <c r="BB416" s="20">
        <v>0</v>
      </c>
      <c r="BC416" s="113">
        <v>0</v>
      </c>
      <c r="BD416" s="200" t="str">
        <f>VLOOKUP($A416,'[3]allergenen 6nr'!$A$1:$O$1310,3,FALSE)</f>
        <v>-</v>
      </c>
      <c r="BE416" s="201" t="str">
        <f>VLOOKUP($A416,'[3]allergenen 6nr'!$A$1:$O$1310,4,FALSE)</f>
        <v>X</v>
      </c>
      <c r="BF416" s="201" t="str">
        <f>VLOOKUP($A416,'[3]allergenen 6nr'!$A$1:$O$1310,5,FALSE)</f>
        <v>-</v>
      </c>
      <c r="BG416" s="201" t="str">
        <f>VLOOKUP($A416,'[3]allergenen 6nr'!$A$1:$O$1310,6,FALSE)</f>
        <v>-</v>
      </c>
      <c r="BH416" s="201" t="str">
        <f>VLOOKUP($A416,'[3]allergenen 6nr'!$A$1:$O$1310,7,FALSE)</f>
        <v>-</v>
      </c>
      <c r="BI416" s="201" t="str">
        <f>VLOOKUP($A416,'[3]allergenen 6nr'!$A$1:$O$1310,8,FALSE)</f>
        <v>-</v>
      </c>
      <c r="BJ416" s="201" t="str">
        <f>VLOOKUP($A416,'[3]allergenen 6nr'!$A$1:$O$1310,9,FALSE)</f>
        <v>-</v>
      </c>
      <c r="BK416" s="201" t="str">
        <f>VLOOKUP($A416,'[3]allergenen 6nr'!$A$1:$O$1310,10,FALSE)</f>
        <v>+</v>
      </c>
      <c r="BL416" s="201" t="str">
        <f>VLOOKUP($A416,'[3]allergenen 6nr'!$A$1:$O$1310,11,FALSE)</f>
        <v>-</v>
      </c>
      <c r="BM416" s="201" t="str">
        <f>VLOOKUP($A416,'[3]allergenen 6nr'!$A$1:$O$1310,12,FALSE)</f>
        <v>-</v>
      </c>
      <c r="BN416" s="201" t="str">
        <f>VLOOKUP($A416,'[3]allergenen 6nr'!$A$1:$O$1310,13,FALSE)</f>
        <v>-</v>
      </c>
      <c r="BO416" s="201" t="str">
        <f>VLOOKUP($A416,'[3]allergenen 6nr'!$A$1:$O$1310,14,FALSE)</f>
        <v>X</v>
      </c>
      <c r="BP416" s="202" t="str">
        <f>VLOOKUP($A416,'[3]allergenen 6nr'!$A$1:$O$1310,15,FALSE)</f>
        <v>X</v>
      </c>
    </row>
    <row r="417" spans="1:68" x14ac:dyDescent="0.2">
      <c r="A417" s="89">
        <v>64226400</v>
      </c>
      <c r="B417" s="53" t="str">
        <f>VLOOKUP($A417,[1]maaltijden!$A$1:$IV$65536,4,FALSE)</f>
        <v>BOF FR EW KIP PENNE VOLK GEITENKAAS SPINAZIESAUS 320G</v>
      </c>
      <c r="C417" s="46" t="str">
        <f>VLOOKUP($A417,[1]maaltijden!$A$1:$IV$65536,7,FALSE)</f>
        <v>UK-59</v>
      </c>
      <c r="D417" s="22" t="str">
        <f>VLOOKUP($A417,[1]maaltijden!$A$1:$IV$65536,10,FALSE)</f>
        <v>H22</v>
      </c>
      <c r="E417" s="22" t="str">
        <f>VLOOKUP($A417,[1]maaltijden!$A$1:$IV$65536,13,FALSE)</f>
        <v>Shrink H22 X 6</v>
      </c>
      <c r="F417" s="20">
        <f t="shared" si="6"/>
        <v>0</v>
      </c>
      <c r="G417" s="20" t="str">
        <f>VLOOKUP($A417,[1]maaltijden!$A$1:$IV$65536,27,FALSE)</f>
        <v>! !</v>
      </c>
      <c r="H417" s="22">
        <f>VLOOKUP($A417,[1]maaltijden!$A$1:$IV$65536,21,FALSE)</f>
        <v>4</v>
      </c>
      <c r="I417" s="22">
        <f>VLOOKUP($A417,[1]maaltijden!$A$1:$IV$65536,21,FALSE)</f>
        <v>4</v>
      </c>
      <c r="J417" s="22">
        <f>VLOOKUP($A417,[1]maaltijden!$A$1:$IV$65536,18,FALSE)</f>
        <v>2</v>
      </c>
      <c r="K417" s="22">
        <f>VLOOKUP($A417,[1]maaltijden!$A$1:$IV$65536,17,FALSE)</f>
        <v>2</v>
      </c>
      <c r="L417" s="22">
        <f>VLOOKUP($A417,[1]maaltijden!$A$1:$IV$65536,20,FALSE)</f>
        <v>3200</v>
      </c>
      <c r="M417" s="22">
        <f>VLOOKUP($A417,[1]maaltijden!$A$1:$IV$65536,22,FALSE)</f>
        <v>3200</v>
      </c>
      <c r="N417" s="135"/>
      <c r="O417" s="50"/>
      <c r="P417" s="19">
        <v>1</v>
      </c>
      <c r="Q417" s="20">
        <v>0</v>
      </c>
      <c r="R417" s="21">
        <v>0</v>
      </c>
      <c r="S417" s="19">
        <v>1</v>
      </c>
      <c r="T417" s="20">
        <v>0</v>
      </c>
      <c r="U417" s="19">
        <v>1</v>
      </c>
      <c r="V417" s="20">
        <v>1</v>
      </c>
      <c r="W417" s="20">
        <v>1</v>
      </c>
      <c r="X417" s="20">
        <v>1</v>
      </c>
      <c r="Y417" s="20">
        <v>1</v>
      </c>
      <c r="Z417" s="20">
        <v>0</v>
      </c>
      <c r="AA417" s="20">
        <v>0</v>
      </c>
      <c r="AB417" s="49">
        <v>0</v>
      </c>
      <c r="AC417" s="49">
        <v>0</v>
      </c>
      <c r="AD417" s="49">
        <v>0</v>
      </c>
      <c r="AE417" s="49">
        <v>0</v>
      </c>
      <c r="AF417" s="49">
        <v>0</v>
      </c>
      <c r="AG417" s="161">
        <v>1</v>
      </c>
      <c r="AH417" s="162">
        <v>1</v>
      </c>
      <c r="AI417" s="162">
        <v>1</v>
      </c>
      <c r="AJ417" s="162">
        <v>0</v>
      </c>
      <c r="AK417" s="162">
        <v>0</v>
      </c>
      <c r="AL417" s="163">
        <v>0</v>
      </c>
      <c r="AM417" s="19">
        <v>1</v>
      </c>
      <c r="AN417" s="20" t="str">
        <f>IFERROR(INDEX([2]lijnopstellingsfiche!$AP$1:$AP$65536,MATCH(A417,[2]lijnopstellingsfiche!$AQ$1:$AQ$65536,0)),"")</f>
        <v>-</v>
      </c>
      <c r="AO417" s="20">
        <v>0</v>
      </c>
      <c r="AP417" s="20">
        <v>0</v>
      </c>
      <c r="AQ417" s="20">
        <v>2</v>
      </c>
      <c r="AR417" s="20">
        <v>0</v>
      </c>
      <c r="AS417" s="20">
        <v>1</v>
      </c>
      <c r="AT417" s="20">
        <v>0</v>
      </c>
      <c r="AU417" s="20">
        <v>0</v>
      </c>
      <c r="AV417" s="23">
        <v>0</v>
      </c>
      <c r="AW417" s="108">
        <v>1</v>
      </c>
      <c r="AX417" s="108">
        <v>1</v>
      </c>
      <c r="AY417" s="108">
        <v>0</v>
      </c>
      <c r="AZ417" s="108"/>
      <c r="BA417" s="114">
        <v>0</v>
      </c>
      <c r="BB417" s="20">
        <v>0</v>
      </c>
      <c r="BC417" s="113">
        <v>0</v>
      </c>
      <c r="BD417" s="200" t="str">
        <f>VLOOKUP($A417,'[3]allergenen 6nr'!$A$1:$O$1310,3,FALSE)</f>
        <v>-</v>
      </c>
      <c r="BE417" s="201" t="str">
        <f>VLOOKUP($A417,'[3]allergenen 6nr'!$A$1:$O$1310,4,FALSE)</f>
        <v>X</v>
      </c>
      <c r="BF417" s="201" t="str">
        <f>VLOOKUP($A417,'[3]allergenen 6nr'!$A$1:$O$1310,5,FALSE)</f>
        <v>+</v>
      </c>
      <c r="BG417" s="201" t="str">
        <f>VLOOKUP($A417,'[3]allergenen 6nr'!$A$1:$O$1310,6,FALSE)</f>
        <v>X</v>
      </c>
      <c r="BH417" s="201" t="str">
        <f>VLOOKUP($A417,'[3]allergenen 6nr'!$A$1:$O$1310,7,FALSE)</f>
        <v>+</v>
      </c>
      <c r="BI417" s="201" t="str">
        <f>VLOOKUP($A417,'[3]allergenen 6nr'!$A$1:$O$1310,8,FALSE)</f>
        <v>X</v>
      </c>
      <c r="BJ417" s="201" t="str">
        <f>VLOOKUP($A417,'[3]allergenen 6nr'!$A$1:$O$1310,9,FALSE)</f>
        <v>-</v>
      </c>
      <c r="BK417" s="201" t="str">
        <f>VLOOKUP($A417,'[3]allergenen 6nr'!$A$1:$O$1310,10,FALSE)</f>
        <v>-</v>
      </c>
      <c r="BL417" s="201" t="str">
        <f>VLOOKUP($A417,'[3]allergenen 6nr'!$A$1:$O$1310,11,FALSE)</f>
        <v>-</v>
      </c>
      <c r="BM417" s="201" t="str">
        <f>VLOOKUP($A417,'[3]allergenen 6nr'!$A$1:$O$1310,12,FALSE)</f>
        <v>-</v>
      </c>
      <c r="BN417" s="201" t="str">
        <f>VLOOKUP($A417,'[3]allergenen 6nr'!$A$1:$O$1310,13,FALSE)</f>
        <v>X</v>
      </c>
      <c r="BO417" s="201" t="str">
        <f>VLOOKUP($A417,'[3]allergenen 6nr'!$A$1:$O$1310,14,FALSE)</f>
        <v>-</v>
      </c>
      <c r="BP417" s="202" t="str">
        <f>VLOOKUP($A417,'[3]allergenen 6nr'!$A$1:$O$1310,15,FALSE)</f>
        <v>-</v>
      </c>
    </row>
    <row r="418" spans="1:68" x14ac:dyDescent="0.2">
      <c r="A418" s="89">
        <v>64226500</v>
      </c>
      <c r="B418" s="53" t="str">
        <f>VLOOKUP($A418,[1]maaltijden!$A$1:$IV$65536,4,FALSE)</f>
        <v>BOF FR EW KIP GELE RIJST LINZEN KRUIDIGE SAUS 320G</v>
      </c>
      <c r="C418" s="46" t="str">
        <f>VLOOKUP($A418,[1]maaltijden!$A$1:$IV$65536,7,FALSE)</f>
        <v>UK-59</v>
      </c>
      <c r="D418" s="22" t="str">
        <f>VLOOKUP($A418,[1]maaltijden!$A$1:$IV$65536,10,FALSE)</f>
        <v>H22</v>
      </c>
      <c r="E418" s="22" t="str">
        <f>VLOOKUP($A418,[1]maaltijden!$A$1:$IV$65536,13,FALSE)</f>
        <v>Shrink H22 X 6</v>
      </c>
      <c r="F418" s="20">
        <f t="shared" si="6"/>
        <v>0</v>
      </c>
      <c r="G418" s="20" t="str">
        <f>VLOOKUP($A418,[1]maaltijden!$A$1:$IV$65536,27,FALSE)</f>
        <v>! !</v>
      </c>
      <c r="H418" s="22">
        <f>VLOOKUP($A418,[1]maaltijden!$A$1:$IV$65536,21,FALSE)</f>
        <v>4</v>
      </c>
      <c r="I418" s="22">
        <f>VLOOKUP($A418,[1]maaltijden!$A$1:$IV$65536,21,FALSE)</f>
        <v>4</v>
      </c>
      <c r="J418" s="22">
        <f>VLOOKUP($A418,[1]maaltijden!$A$1:$IV$65536,18,FALSE)</f>
        <v>2</v>
      </c>
      <c r="K418" s="22">
        <f>VLOOKUP($A418,[1]maaltijden!$A$1:$IV$65536,17,FALSE)</f>
        <v>3</v>
      </c>
      <c r="L418" s="22">
        <f>VLOOKUP($A418,[1]maaltijden!$A$1:$IV$65536,20,FALSE)</f>
        <v>3200</v>
      </c>
      <c r="M418" s="22">
        <f>VLOOKUP($A418,[1]maaltijden!$A$1:$IV$65536,22,FALSE)</f>
        <v>3200</v>
      </c>
      <c r="N418" s="135"/>
      <c r="O418" s="50"/>
      <c r="P418" s="19">
        <v>1</v>
      </c>
      <c r="Q418" s="20">
        <v>0</v>
      </c>
      <c r="R418" s="21">
        <v>0</v>
      </c>
      <c r="S418" s="19">
        <v>1</v>
      </c>
      <c r="T418" s="20">
        <v>0</v>
      </c>
      <c r="U418" s="19">
        <v>1</v>
      </c>
      <c r="V418" s="20">
        <v>1</v>
      </c>
      <c r="W418" s="20">
        <v>1</v>
      </c>
      <c r="X418" s="20">
        <v>1</v>
      </c>
      <c r="Y418" s="20">
        <v>1</v>
      </c>
      <c r="Z418" s="20">
        <v>0</v>
      </c>
      <c r="AA418" s="20">
        <v>0</v>
      </c>
      <c r="AB418" s="49">
        <v>0</v>
      </c>
      <c r="AC418" s="49">
        <v>0</v>
      </c>
      <c r="AD418" s="49">
        <v>0</v>
      </c>
      <c r="AE418" s="49">
        <v>0</v>
      </c>
      <c r="AF418" s="49">
        <v>0</v>
      </c>
      <c r="AG418" s="161">
        <v>1</v>
      </c>
      <c r="AH418" s="162">
        <v>1</v>
      </c>
      <c r="AI418" s="162">
        <v>1</v>
      </c>
      <c r="AJ418" s="162">
        <v>0</v>
      </c>
      <c r="AK418" s="162">
        <v>0</v>
      </c>
      <c r="AL418" s="163">
        <v>0</v>
      </c>
      <c r="AM418" s="19">
        <v>1</v>
      </c>
      <c r="AN418" s="20" t="str">
        <f>IFERROR(INDEX([2]lijnopstellingsfiche!$AP$1:$AP$65536,MATCH(A418,[2]lijnopstellingsfiche!$AQ$1:$AQ$65536,0)),"")</f>
        <v>-</v>
      </c>
      <c r="AO418" s="20">
        <v>0</v>
      </c>
      <c r="AP418" s="20">
        <v>0</v>
      </c>
      <c r="AQ418" s="20">
        <v>2</v>
      </c>
      <c r="AR418" s="20">
        <v>0</v>
      </c>
      <c r="AS418" s="20">
        <v>1</v>
      </c>
      <c r="AT418" s="20">
        <v>0</v>
      </c>
      <c r="AU418" s="20">
        <v>0</v>
      </c>
      <c r="AV418" s="23">
        <v>0</v>
      </c>
      <c r="AW418" s="108">
        <v>1</v>
      </c>
      <c r="AX418" s="108">
        <v>1</v>
      </c>
      <c r="AY418" s="108">
        <v>0</v>
      </c>
      <c r="AZ418" s="108"/>
      <c r="BA418" s="114">
        <v>0</v>
      </c>
      <c r="BB418" s="20">
        <v>0</v>
      </c>
      <c r="BC418" s="113">
        <v>0</v>
      </c>
      <c r="BD418" s="200" t="str">
        <f>VLOOKUP($A418,'[3]allergenen 6nr'!$A$1:$O$1310,3,FALSE)</f>
        <v>-</v>
      </c>
      <c r="BE418" s="201" t="str">
        <f>VLOOKUP($A418,'[3]allergenen 6nr'!$A$1:$O$1310,4,FALSE)</f>
        <v>X</v>
      </c>
      <c r="BF418" s="201" t="str">
        <f>VLOOKUP($A418,'[3]allergenen 6nr'!$A$1:$O$1310,5,FALSE)</f>
        <v>-</v>
      </c>
      <c r="BG418" s="201" t="str">
        <f>VLOOKUP($A418,'[3]allergenen 6nr'!$A$1:$O$1310,6,FALSE)</f>
        <v>-</v>
      </c>
      <c r="BH418" s="201" t="str">
        <f>VLOOKUP($A418,'[3]allergenen 6nr'!$A$1:$O$1310,7,FALSE)</f>
        <v>+</v>
      </c>
      <c r="BI418" s="201" t="str">
        <f>VLOOKUP($A418,'[3]allergenen 6nr'!$A$1:$O$1310,8,FALSE)</f>
        <v>-</v>
      </c>
      <c r="BJ418" s="201" t="str">
        <f>VLOOKUP($A418,'[3]allergenen 6nr'!$A$1:$O$1310,9,FALSE)</f>
        <v>-</v>
      </c>
      <c r="BK418" s="201" t="str">
        <f>VLOOKUP($A418,'[3]allergenen 6nr'!$A$1:$O$1310,10,FALSE)</f>
        <v>-</v>
      </c>
      <c r="BL418" s="201" t="str">
        <f>VLOOKUP($A418,'[3]allergenen 6nr'!$A$1:$O$1310,11,FALSE)</f>
        <v>-</v>
      </c>
      <c r="BM418" s="201" t="str">
        <f>VLOOKUP($A418,'[3]allergenen 6nr'!$A$1:$O$1310,12,FALSE)</f>
        <v>-</v>
      </c>
      <c r="BN418" s="201" t="str">
        <f>VLOOKUP($A418,'[3]allergenen 6nr'!$A$1:$O$1310,13,FALSE)</f>
        <v>-</v>
      </c>
      <c r="BO418" s="201" t="str">
        <f>VLOOKUP($A418,'[3]allergenen 6nr'!$A$1:$O$1310,14,FALSE)</f>
        <v>-</v>
      </c>
      <c r="BP418" s="202" t="str">
        <f>VLOOKUP($A418,'[3]allergenen 6nr'!$A$1:$O$1310,15,FALSE)</f>
        <v>-</v>
      </c>
    </row>
    <row r="419" spans="1:68" x14ac:dyDescent="0.2">
      <c r="A419" s="89">
        <v>64226600</v>
      </c>
      <c r="B419" s="53" t="str">
        <f>VLOOKUP($A419,[1]maaltijden!$A$1:$IV$65536,4,FALSE)</f>
        <v>BOF FR EW KIP BULGUR GROENTEMIX YOGHURTSAUS 320G</v>
      </c>
      <c r="C419" s="46" t="str">
        <f>VLOOKUP($A419,[1]maaltijden!$A$1:$IV$65536,7,FALSE)</f>
        <v>UK-59</v>
      </c>
      <c r="D419" s="22" t="str">
        <f>VLOOKUP($A419,[1]maaltijden!$A$1:$IV$65536,10,FALSE)</f>
        <v>H22</v>
      </c>
      <c r="E419" s="22" t="str">
        <f>VLOOKUP($A419,[1]maaltijden!$A$1:$IV$65536,13,FALSE)</f>
        <v>Shrink H22 X 6</v>
      </c>
      <c r="F419" s="20">
        <f t="shared" si="6"/>
        <v>0</v>
      </c>
      <c r="G419" s="20" t="str">
        <f>VLOOKUP($A419,[1]maaltijden!$A$1:$IV$65536,27,FALSE)</f>
        <v>! !</v>
      </c>
      <c r="H419" s="22">
        <f>VLOOKUP($A419,[1]maaltijden!$A$1:$IV$65536,21,FALSE)</f>
        <v>5</v>
      </c>
      <c r="I419" s="22">
        <f>VLOOKUP($A419,[1]maaltijden!$A$1:$IV$65536,21,FALSE)</f>
        <v>5</v>
      </c>
      <c r="J419" s="22">
        <f>VLOOKUP($A419,[1]maaltijden!$A$1:$IV$65536,18,FALSE)</f>
        <v>2</v>
      </c>
      <c r="K419" s="22">
        <f>VLOOKUP($A419,[1]maaltijden!$A$1:$IV$65536,17,FALSE)</f>
        <v>3</v>
      </c>
      <c r="L419" s="22">
        <f>VLOOKUP($A419,[1]maaltijden!$A$1:$IV$65536,20,FALSE)</f>
        <v>3200</v>
      </c>
      <c r="M419" s="22">
        <f>VLOOKUP($A419,[1]maaltijden!$A$1:$IV$65536,22,FALSE)</f>
        <v>3200</v>
      </c>
      <c r="N419" s="135"/>
      <c r="O419" s="50"/>
      <c r="P419" s="19">
        <v>1</v>
      </c>
      <c r="Q419" s="20">
        <v>0</v>
      </c>
      <c r="R419" s="21">
        <v>0</v>
      </c>
      <c r="S419" s="19">
        <v>1</v>
      </c>
      <c r="T419" s="20">
        <v>0</v>
      </c>
      <c r="U419" s="19">
        <v>0</v>
      </c>
      <c r="V419" s="20">
        <v>1</v>
      </c>
      <c r="W419" s="20">
        <v>1</v>
      </c>
      <c r="X419" s="20"/>
      <c r="Y419" s="20">
        <v>1</v>
      </c>
      <c r="Z419" s="20">
        <v>1</v>
      </c>
      <c r="AA419" s="20">
        <v>0</v>
      </c>
      <c r="AB419" s="49">
        <v>0</v>
      </c>
      <c r="AC419" s="49">
        <v>0</v>
      </c>
      <c r="AD419" s="49">
        <v>0</v>
      </c>
      <c r="AE419" s="49">
        <v>1</v>
      </c>
      <c r="AF419" s="49">
        <v>0</v>
      </c>
      <c r="AG419" s="161">
        <v>0</v>
      </c>
      <c r="AH419" s="162">
        <v>1</v>
      </c>
      <c r="AI419" s="162">
        <v>1</v>
      </c>
      <c r="AJ419" s="162">
        <v>1</v>
      </c>
      <c r="AK419" s="162">
        <v>0</v>
      </c>
      <c r="AL419" s="163">
        <v>0</v>
      </c>
      <c r="AM419" s="19">
        <v>1</v>
      </c>
      <c r="AN419" s="20" t="str">
        <f>IFERROR(INDEX([2]lijnopstellingsfiche!$AP$1:$AP$65536,MATCH(A419,[2]lijnopstellingsfiche!$AQ$1:$AQ$65536,0)),"")</f>
        <v>-</v>
      </c>
      <c r="AO419" s="20">
        <v>0</v>
      </c>
      <c r="AP419" s="20">
        <v>0</v>
      </c>
      <c r="AQ419" s="20">
        <v>2</v>
      </c>
      <c r="AR419" s="20">
        <v>0</v>
      </c>
      <c r="AS419" s="20">
        <v>1</v>
      </c>
      <c r="AT419" s="20">
        <v>0</v>
      </c>
      <c r="AU419" s="20">
        <v>0</v>
      </c>
      <c r="AV419" s="23">
        <v>0</v>
      </c>
      <c r="AW419" s="108">
        <v>1</v>
      </c>
      <c r="AX419" s="108">
        <v>1</v>
      </c>
      <c r="AY419" s="108">
        <v>0</v>
      </c>
      <c r="AZ419" s="108"/>
      <c r="BA419" s="114">
        <v>0</v>
      </c>
      <c r="BB419" s="20">
        <v>0</v>
      </c>
      <c r="BC419" s="113">
        <v>0</v>
      </c>
      <c r="BD419" s="200" t="str">
        <f>VLOOKUP($A419,'[3]allergenen 6nr'!$A$1:$O$1310,3,FALSE)</f>
        <v>-</v>
      </c>
      <c r="BE419" s="201" t="str">
        <f>VLOOKUP($A419,'[3]allergenen 6nr'!$A$1:$O$1310,4,FALSE)</f>
        <v>-</v>
      </c>
      <c r="BF419" s="201" t="str">
        <f>VLOOKUP($A419,'[3]allergenen 6nr'!$A$1:$O$1310,5,FALSE)</f>
        <v>+</v>
      </c>
      <c r="BG419" s="201" t="str">
        <f>VLOOKUP($A419,'[3]allergenen 6nr'!$A$1:$O$1310,6,FALSE)</f>
        <v>-</v>
      </c>
      <c r="BH419" s="201" t="str">
        <f>VLOOKUP($A419,'[3]allergenen 6nr'!$A$1:$O$1310,7,FALSE)</f>
        <v>+</v>
      </c>
      <c r="BI419" s="201" t="str">
        <f>VLOOKUP($A419,'[3]allergenen 6nr'!$A$1:$O$1310,8,FALSE)</f>
        <v>-</v>
      </c>
      <c r="BJ419" s="201" t="str">
        <f>VLOOKUP($A419,'[3]allergenen 6nr'!$A$1:$O$1310,9,FALSE)</f>
        <v>-</v>
      </c>
      <c r="BK419" s="201" t="str">
        <f>VLOOKUP($A419,'[3]allergenen 6nr'!$A$1:$O$1310,10,FALSE)</f>
        <v>-</v>
      </c>
      <c r="BL419" s="201" t="str">
        <f>VLOOKUP($A419,'[3]allergenen 6nr'!$A$1:$O$1310,11,FALSE)</f>
        <v>-</v>
      </c>
      <c r="BM419" s="201" t="str">
        <f>VLOOKUP($A419,'[3]allergenen 6nr'!$A$1:$O$1310,12,FALSE)</f>
        <v>-</v>
      </c>
      <c r="BN419" s="201" t="str">
        <f>VLOOKUP($A419,'[3]allergenen 6nr'!$A$1:$O$1310,13,FALSE)</f>
        <v>X</v>
      </c>
      <c r="BO419" s="201" t="str">
        <f>VLOOKUP($A419,'[3]allergenen 6nr'!$A$1:$O$1310,14,FALSE)</f>
        <v>-</v>
      </c>
      <c r="BP419" s="202" t="str">
        <f>VLOOKUP($A419,'[3]allergenen 6nr'!$A$1:$O$1310,15,FALSE)</f>
        <v>-</v>
      </c>
    </row>
    <row r="420" spans="1:68" x14ac:dyDescent="0.2">
      <c r="A420" s="89">
        <v>64226700</v>
      </c>
      <c r="B420" s="53" t="str">
        <f>VLOOKUP($A420,[1]maaltijden!$A$1:$IV$65536,4,FALSE)</f>
        <v>BOF FR FALAFEL GROENTEMIX BOUILLON 320G</v>
      </c>
      <c r="C420" s="46" t="str">
        <f>VLOOKUP($A420,[1]maaltijden!$A$1:$IV$65536,7,FALSE)</f>
        <v>UK-59</v>
      </c>
      <c r="D420" s="22" t="str">
        <f>VLOOKUP($A420,[1]maaltijden!$A$1:$IV$65536,10,FALSE)</f>
        <v>H22</v>
      </c>
      <c r="E420" s="22" t="str">
        <f>VLOOKUP($A420,[1]maaltijden!$A$1:$IV$65536,13,FALSE)</f>
        <v>Shrink H22 X 6</v>
      </c>
      <c r="F420" s="20">
        <f t="shared" si="6"/>
        <v>0</v>
      </c>
      <c r="G420" s="20" t="str">
        <f>VLOOKUP($A420,[1]maaltijden!$A$1:$IV$65536,27,FALSE)</f>
        <v>! !</v>
      </c>
      <c r="H420" s="22">
        <f>VLOOKUP($A420,[1]maaltijden!$A$1:$IV$65536,21,FALSE)</f>
        <v>7</v>
      </c>
      <c r="I420" s="22">
        <f>VLOOKUP($A420,[1]maaltijden!$A$1:$IV$65536,21,FALSE)</f>
        <v>7</v>
      </c>
      <c r="J420" s="22">
        <f>VLOOKUP($A420,[1]maaltijden!$A$1:$IV$65536,18,FALSE)</f>
        <v>3</v>
      </c>
      <c r="K420" s="22">
        <f>VLOOKUP($A420,[1]maaltijden!$A$1:$IV$65536,17,FALSE)</f>
        <v>2</v>
      </c>
      <c r="L420" s="22">
        <f>VLOOKUP($A420,[1]maaltijden!$A$1:$IV$65536,20,FALSE)</f>
        <v>3200</v>
      </c>
      <c r="M420" s="22">
        <f>VLOOKUP($A420,[1]maaltijden!$A$1:$IV$65536,22,FALSE)</f>
        <v>3200</v>
      </c>
      <c r="N420" s="135"/>
      <c r="O420" s="50"/>
      <c r="P420" s="19">
        <v>1</v>
      </c>
      <c r="Q420" s="20">
        <v>0</v>
      </c>
      <c r="R420" s="21">
        <v>0</v>
      </c>
      <c r="S420" s="19">
        <v>1</v>
      </c>
      <c r="T420" s="20">
        <v>0</v>
      </c>
      <c r="U420" s="19">
        <v>1</v>
      </c>
      <c r="V420" s="20">
        <v>1</v>
      </c>
      <c r="W420" s="20">
        <v>1</v>
      </c>
      <c r="X420" s="20">
        <v>1</v>
      </c>
      <c r="Y420" s="20">
        <v>1</v>
      </c>
      <c r="Z420" s="20">
        <v>0</v>
      </c>
      <c r="AA420" s="20">
        <v>0</v>
      </c>
      <c r="AB420" s="49">
        <v>0</v>
      </c>
      <c r="AC420" s="49">
        <v>0</v>
      </c>
      <c r="AD420" s="49">
        <v>0</v>
      </c>
      <c r="AE420" s="49">
        <v>0</v>
      </c>
      <c r="AF420" s="49">
        <v>0</v>
      </c>
      <c r="AG420" s="161">
        <v>0</v>
      </c>
      <c r="AH420" s="162">
        <v>1</v>
      </c>
      <c r="AI420" s="162">
        <v>1</v>
      </c>
      <c r="AJ420" s="162">
        <v>0</v>
      </c>
      <c r="AK420" s="162">
        <v>0</v>
      </c>
      <c r="AL420" s="163">
        <v>0</v>
      </c>
      <c r="AM420" s="19">
        <v>0</v>
      </c>
      <c r="AN420" s="20">
        <f>IFERROR(INDEX([2]lijnopstellingsfiche!$AP$1:$AP$65536,MATCH(A420,[2]lijnopstellingsfiche!$AQ$1:$AQ$65536,0)),"")</f>
        <v>1</v>
      </c>
      <c r="AO420" s="20">
        <v>0</v>
      </c>
      <c r="AP420" s="20">
        <v>0</v>
      </c>
      <c r="AQ420" s="20">
        <v>2</v>
      </c>
      <c r="AR420" s="20">
        <v>0</v>
      </c>
      <c r="AS420" s="20">
        <v>0</v>
      </c>
      <c r="AT420" s="20">
        <v>0</v>
      </c>
      <c r="AU420" s="20">
        <v>0</v>
      </c>
      <c r="AV420" s="23">
        <v>0</v>
      </c>
      <c r="AW420" s="108">
        <v>1</v>
      </c>
      <c r="AX420" s="108">
        <v>1</v>
      </c>
      <c r="AY420" s="108">
        <v>0</v>
      </c>
      <c r="AZ420" s="108"/>
      <c r="BA420" s="114">
        <v>0</v>
      </c>
      <c r="BB420" s="20">
        <v>0</v>
      </c>
      <c r="BC420" s="113">
        <v>0</v>
      </c>
      <c r="BD420" s="200" t="str">
        <f>VLOOKUP($A420,'[3]allergenen 6nr'!$A$1:$O$1310,3,FALSE)</f>
        <v>-</v>
      </c>
      <c r="BE420" s="201" t="str">
        <f>VLOOKUP($A420,'[3]allergenen 6nr'!$A$1:$O$1310,4,FALSE)</f>
        <v>-</v>
      </c>
      <c r="BF420" s="201" t="str">
        <f>VLOOKUP($A420,'[3]allergenen 6nr'!$A$1:$O$1310,5,FALSE)</f>
        <v>+</v>
      </c>
      <c r="BG420" s="201" t="str">
        <f>VLOOKUP($A420,'[3]allergenen 6nr'!$A$1:$O$1310,6,FALSE)</f>
        <v>-</v>
      </c>
      <c r="BH420" s="201" t="str">
        <f>VLOOKUP($A420,'[3]allergenen 6nr'!$A$1:$O$1310,7,FALSE)</f>
        <v>X</v>
      </c>
      <c r="BI420" s="201" t="str">
        <f>VLOOKUP($A420,'[3]allergenen 6nr'!$A$1:$O$1310,8,FALSE)</f>
        <v>X</v>
      </c>
      <c r="BJ420" s="201" t="str">
        <f>VLOOKUP($A420,'[3]allergenen 6nr'!$A$1:$O$1310,9,FALSE)</f>
        <v>-</v>
      </c>
      <c r="BK420" s="201" t="str">
        <f>VLOOKUP($A420,'[3]allergenen 6nr'!$A$1:$O$1310,10,FALSE)</f>
        <v>-</v>
      </c>
      <c r="BL420" s="201" t="str">
        <f>VLOOKUP($A420,'[3]allergenen 6nr'!$A$1:$O$1310,11,FALSE)</f>
        <v>X</v>
      </c>
      <c r="BM420" s="201" t="str">
        <f>VLOOKUP($A420,'[3]allergenen 6nr'!$A$1:$O$1310,12,FALSE)</f>
        <v>X</v>
      </c>
      <c r="BN420" s="201" t="str">
        <f>VLOOKUP($A420,'[3]allergenen 6nr'!$A$1:$O$1310,13,FALSE)</f>
        <v>X</v>
      </c>
      <c r="BO420" s="201" t="str">
        <f>VLOOKUP($A420,'[3]allergenen 6nr'!$A$1:$O$1310,14,FALSE)</f>
        <v>-</v>
      </c>
      <c r="BP420" s="202" t="str">
        <f>VLOOKUP($A420,'[3]allergenen 6nr'!$A$1:$O$1310,15,FALSE)</f>
        <v>-</v>
      </c>
    </row>
    <row r="421" spans="1:68" x14ac:dyDescent="0.2">
      <c r="A421" s="89">
        <v>64226800</v>
      </c>
      <c r="B421" s="53" t="str">
        <f>VLOOKUP($A421,[1]maaltijden!$A$1:$IV$65536,4,FALSE)</f>
        <v>BOF FR LASAGNE PESTO TOMATENSAUS AMANDEL 350G</v>
      </c>
      <c r="C421" s="46" t="str">
        <f>VLOOKUP($A421,[1]maaltijden!$A$1:$IV$65536,7,FALSE)</f>
        <v>UK-59</v>
      </c>
      <c r="D421" s="22" t="str">
        <f>VLOOKUP($A421,[1]maaltijden!$A$1:$IV$65536,10,FALSE)</f>
        <v>H22</v>
      </c>
      <c r="E421" s="22" t="str">
        <f>VLOOKUP($A421,[1]maaltijden!$A$1:$IV$65536,13,FALSE)</f>
        <v>Shrink H22 X 6</v>
      </c>
      <c r="F421" s="20">
        <f t="shared" si="6"/>
        <v>0</v>
      </c>
      <c r="G421" s="20" t="str">
        <f>VLOOKUP($A421,[1]maaltijden!$A$1:$IV$65536,27,FALSE)</f>
        <v>! ! ! ! !</v>
      </c>
      <c r="H421" s="22">
        <f>VLOOKUP($A421,[1]maaltijden!$A$1:$IV$65536,21,FALSE)</f>
        <v>7</v>
      </c>
      <c r="I421" s="22">
        <f>VLOOKUP($A421,[1]maaltijden!$A$1:$IV$65536,21,FALSE)</f>
        <v>7</v>
      </c>
      <c r="J421" s="22">
        <f>VLOOKUP($A421,[1]maaltijden!$A$1:$IV$65536,18,FALSE)</f>
        <v>2</v>
      </c>
      <c r="K421" s="22">
        <f>VLOOKUP($A421,[1]maaltijden!$A$1:$IV$65536,17,FALSE)</f>
        <v>2.5</v>
      </c>
      <c r="L421" s="22">
        <f>VLOOKUP($A421,[1]maaltijden!$A$1:$IV$65536,20,FALSE)</f>
        <v>2500</v>
      </c>
      <c r="M421" s="22">
        <f>VLOOKUP($A421,[1]maaltijden!$A$1:$IV$65536,22,FALSE)</f>
        <v>2500</v>
      </c>
      <c r="N421" s="135"/>
      <c r="O421" s="50"/>
      <c r="P421" s="19">
        <v>1</v>
      </c>
      <c r="Q421" s="20">
        <v>0</v>
      </c>
      <c r="R421" s="21">
        <v>0</v>
      </c>
      <c r="S421" s="19">
        <v>1</v>
      </c>
      <c r="T421" s="20">
        <v>0</v>
      </c>
      <c r="U421" s="19">
        <v>1</v>
      </c>
      <c r="V421" s="20">
        <v>1</v>
      </c>
      <c r="W421" s="20">
        <v>1</v>
      </c>
      <c r="X421" s="20">
        <v>1</v>
      </c>
      <c r="Y421" s="20">
        <v>1</v>
      </c>
      <c r="Z421" s="20">
        <v>0</v>
      </c>
      <c r="AA421" s="20">
        <v>0</v>
      </c>
      <c r="AB421" s="49">
        <v>1</v>
      </c>
      <c r="AC421" s="49">
        <v>0</v>
      </c>
      <c r="AD421" s="49">
        <v>0</v>
      </c>
      <c r="AE421" s="49">
        <v>1</v>
      </c>
      <c r="AF421" s="49">
        <v>0</v>
      </c>
      <c r="AG421" s="161">
        <v>0</v>
      </c>
      <c r="AH421" s="162">
        <v>2</v>
      </c>
      <c r="AI421" s="162">
        <v>0</v>
      </c>
      <c r="AJ421" s="162">
        <v>0</v>
      </c>
      <c r="AK421" s="162">
        <v>0</v>
      </c>
      <c r="AL421" s="163">
        <v>0</v>
      </c>
      <c r="AM421" s="19">
        <v>0</v>
      </c>
      <c r="AN421" s="20" t="str">
        <f>IFERROR(INDEX([2]lijnopstellingsfiche!$AP$1:$AP$65536,MATCH(A421,[2]lijnopstellingsfiche!$AQ$1:$AQ$65536,0)),"")</f>
        <v>-</v>
      </c>
      <c r="AO421" s="20">
        <v>0</v>
      </c>
      <c r="AP421" s="20">
        <v>0</v>
      </c>
      <c r="AQ421" s="20">
        <v>4</v>
      </c>
      <c r="AR421" s="20">
        <v>1</v>
      </c>
      <c r="AS421" s="20">
        <v>0</v>
      </c>
      <c r="AT421" s="20">
        <v>0</v>
      </c>
      <c r="AU421" s="20">
        <v>0</v>
      </c>
      <c r="AV421" s="23">
        <v>0</v>
      </c>
      <c r="AW421" s="108">
        <v>1</v>
      </c>
      <c r="AX421" s="108">
        <v>1</v>
      </c>
      <c r="AY421" s="108">
        <v>0</v>
      </c>
      <c r="AZ421" s="108"/>
      <c r="BA421" s="114">
        <v>0</v>
      </c>
      <c r="BB421" s="20">
        <v>0</v>
      </c>
      <c r="BC421" s="113">
        <v>0</v>
      </c>
      <c r="BD421" s="200" t="e">
        <f>VLOOKUP($A421,'[3]allergenen 6nr'!$A$1:$O$1310,3,FALSE)</f>
        <v>#N/A</v>
      </c>
      <c r="BE421" s="201" t="e">
        <f>VLOOKUP($A421,'[3]allergenen 6nr'!$A$1:$O$1310,4,FALSE)</f>
        <v>#N/A</v>
      </c>
      <c r="BF421" s="201" t="e">
        <f>VLOOKUP($A421,'[3]allergenen 6nr'!$A$1:$O$1310,5,FALSE)</f>
        <v>#N/A</v>
      </c>
      <c r="BG421" s="201" t="e">
        <f>VLOOKUP($A421,'[3]allergenen 6nr'!$A$1:$O$1310,6,FALSE)</f>
        <v>#N/A</v>
      </c>
      <c r="BH421" s="201" t="e">
        <f>VLOOKUP($A421,'[3]allergenen 6nr'!$A$1:$O$1310,7,FALSE)</f>
        <v>#N/A</v>
      </c>
      <c r="BI421" s="201" t="e">
        <f>VLOOKUP($A421,'[3]allergenen 6nr'!$A$1:$O$1310,8,FALSE)</f>
        <v>#N/A</v>
      </c>
      <c r="BJ421" s="201" t="e">
        <f>VLOOKUP($A421,'[3]allergenen 6nr'!$A$1:$O$1310,9,FALSE)</f>
        <v>#N/A</v>
      </c>
      <c r="BK421" s="201" t="e">
        <f>VLOOKUP($A421,'[3]allergenen 6nr'!$A$1:$O$1310,10,FALSE)</f>
        <v>#N/A</v>
      </c>
      <c r="BL421" s="201" t="e">
        <f>VLOOKUP($A421,'[3]allergenen 6nr'!$A$1:$O$1310,11,FALSE)</f>
        <v>#N/A</v>
      </c>
      <c r="BM421" s="201" t="e">
        <f>VLOOKUP($A421,'[3]allergenen 6nr'!$A$1:$O$1310,12,FALSE)</f>
        <v>#N/A</v>
      </c>
      <c r="BN421" s="201" t="e">
        <f>VLOOKUP($A421,'[3]allergenen 6nr'!$A$1:$O$1310,13,FALSE)</f>
        <v>#N/A</v>
      </c>
      <c r="BO421" s="201" t="e">
        <f>VLOOKUP($A421,'[3]allergenen 6nr'!$A$1:$O$1310,14,FALSE)</f>
        <v>#N/A</v>
      </c>
      <c r="BP421" s="202" t="e">
        <f>VLOOKUP($A421,'[3]allergenen 6nr'!$A$1:$O$1310,15,FALSE)</f>
        <v>#N/A</v>
      </c>
    </row>
    <row r="422" spans="1:68" x14ac:dyDescent="0.2">
      <c r="A422" s="89">
        <v>64231000</v>
      </c>
      <c r="B422" s="53" t="str">
        <f>VLOOKUP($A422,[1]maaltijden!$A$1:$IV$65536,4,FALSE)</f>
        <v>GEIA EW KIP CURRY RIJST BROCCOLI GR BONEN 370G</v>
      </c>
      <c r="C422" s="46" t="str">
        <f>VLOOKUP($A422,[1]maaltijden!$A$1:$IV$65536,7,FALSE)</f>
        <v>UK-59</v>
      </c>
      <c r="D422" s="22" t="str">
        <f>VLOOKUP($A422,[1]maaltijden!$A$1:$IV$65536,10,FALSE)</f>
        <v>H22</v>
      </c>
      <c r="E422" s="22" t="str">
        <f>VLOOKUP($A422,[1]maaltijden!$A$1:$IV$65536,13,FALSE)</f>
        <v>H22X10</v>
      </c>
      <c r="F422" s="20">
        <f t="shared" si="6"/>
        <v>0</v>
      </c>
      <c r="G422" s="20" t="str">
        <f>VLOOKUP($A422,[1]maaltijden!$A$1:$IV$65536,27,FALSE)</f>
        <v>! ! !</v>
      </c>
      <c r="H422" s="22">
        <f>VLOOKUP($A422,[1]maaltijden!$A$1:$IV$65536,21,FALSE)</f>
        <v>7</v>
      </c>
      <c r="I422" s="22">
        <f>VLOOKUP($A422,[1]maaltijden!$A$1:$IV$65536,21,FALSE)</f>
        <v>7</v>
      </c>
      <c r="J422" s="22">
        <f>VLOOKUP($A422,[1]maaltijden!$A$1:$IV$65536,18,FALSE)</f>
        <v>2</v>
      </c>
      <c r="K422" s="22">
        <f>VLOOKUP($A422,[1]maaltijden!$A$1:$IV$65536,17,FALSE)</f>
        <v>2</v>
      </c>
      <c r="L422" s="22">
        <f>VLOOKUP($A422,[1]maaltijden!$A$1:$IV$65536,20,FALSE)</f>
        <v>3200</v>
      </c>
      <c r="M422" s="22">
        <f>VLOOKUP($A422,[1]maaltijden!$A$1:$IV$65536,22,FALSE)</f>
        <v>3200</v>
      </c>
      <c r="N422" s="135"/>
      <c r="O422" s="50"/>
      <c r="P422" s="19">
        <v>1</v>
      </c>
      <c r="Q422" s="20">
        <v>2</v>
      </c>
      <c r="R422" s="21">
        <v>0</v>
      </c>
      <c r="S422" s="19">
        <v>1</v>
      </c>
      <c r="T422" s="20">
        <v>1</v>
      </c>
      <c r="U422" s="19">
        <v>1</v>
      </c>
      <c r="V422" s="20">
        <v>1</v>
      </c>
      <c r="W422" s="20">
        <v>1</v>
      </c>
      <c r="X422" s="20">
        <v>1</v>
      </c>
      <c r="Y422" s="20">
        <v>1</v>
      </c>
      <c r="Z422" s="20">
        <v>0</v>
      </c>
      <c r="AA422" s="20">
        <v>0</v>
      </c>
      <c r="AB422" s="49">
        <v>0</v>
      </c>
      <c r="AC422" s="49">
        <v>0</v>
      </c>
      <c r="AD422" s="49">
        <v>0</v>
      </c>
      <c r="AE422" s="49">
        <v>0</v>
      </c>
      <c r="AF422" s="49">
        <v>0</v>
      </c>
      <c r="AG422" s="161">
        <v>1</v>
      </c>
      <c r="AH422" s="162">
        <v>1</v>
      </c>
      <c r="AI422" s="162">
        <v>1</v>
      </c>
      <c r="AJ422" s="162">
        <v>0</v>
      </c>
      <c r="AK422" s="162">
        <v>0</v>
      </c>
      <c r="AL422" s="163">
        <v>0</v>
      </c>
      <c r="AM422" s="19">
        <v>1</v>
      </c>
      <c r="AN422" s="20">
        <f>IFERROR(INDEX([2]lijnopstellingsfiche!$AP$1:$AP$65536,MATCH(A422,[2]lijnopstellingsfiche!$AQ$1:$AQ$65536,0)),"")</f>
        <v>2</v>
      </c>
      <c r="AO422" s="20">
        <v>0</v>
      </c>
      <c r="AP422" s="20">
        <v>0</v>
      </c>
      <c r="AQ422" s="20">
        <v>2</v>
      </c>
      <c r="AR422" s="20">
        <v>0</v>
      </c>
      <c r="AS422" s="20">
        <v>1</v>
      </c>
      <c r="AT422" s="20">
        <v>0</v>
      </c>
      <c r="AU422" s="20">
        <v>0</v>
      </c>
      <c r="AV422" s="23">
        <v>0</v>
      </c>
      <c r="AW422" s="108">
        <v>1</v>
      </c>
      <c r="AX422" s="108">
        <v>0</v>
      </c>
      <c r="AY422" s="108">
        <v>1</v>
      </c>
      <c r="AZ422" s="108"/>
      <c r="BA422" s="114">
        <v>0</v>
      </c>
      <c r="BB422" s="20">
        <v>1</v>
      </c>
      <c r="BC422" s="113">
        <v>0</v>
      </c>
      <c r="BD422" s="200" t="str">
        <f>VLOOKUP($A422,'[3]allergenen 6nr'!$A$1:$O$1310,3,FALSE)</f>
        <v>X</v>
      </c>
      <c r="BE422" s="201" t="str">
        <f>VLOOKUP($A422,'[3]allergenen 6nr'!$A$1:$O$1310,4,FALSE)</f>
        <v>X</v>
      </c>
      <c r="BF422" s="201" t="str">
        <f>VLOOKUP($A422,'[3]allergenen 6nr'!$A$1:$O$1310,5,FALSE)</f>
        <v>X</v>
      </c>
      <c r="BG422" s="201" t="str">
        <f>VLOOKUP($A422,'[3]allergenen 6nr'!$A$1:$O$1310,6,FALSE)</f>
        <v>X</v>
      </c>
      <c r="BH422" s="201" t="str">
        <f>VLOOKUP($A422,'[3]allergenen 6nr'!$A$1:$O$1310,7,FALSE)</f>
        <v>+</v>
      </c>
      <c r="BI422" s="201" t="str">
        <f>VLOOKUP($A422,'[3]allergenen 6nr'!$A$1:$O$1310,8,FALSE)</f>
        <v>+</v>
      </c>
      <c r="BJ422" s="201" t="str">
        <f>VLOOKUP($A422,'[3]allergenen 6nr'!$A$1:$O$1310,9,FALSE)</f>
        <v>X</v>
      </c>
      <c r="BK422" s="201" t="str">
        <f>VLOOKUP($A422,'[3]allergenen 6nr'!$A$1:$O$1310,10,FALSE)</f>
        <v>X</v>
      </c>
      <c r="BL422" s="201" t="str">
        <f>VLOOKUP($A422,'[3]allergenen 6nr'!$A$1:$O$1310,11,FALSE)</f>
        <v>+</v>
      </c>
      <c r="BM422" s="201" t="str">
        <f>VLOOKUP($A422,'[3]allergenen 6nr'!$A$1:$O$1310,12,FALSE)</f>
        <v>X</v>
      </c>
      <c r="BN422" s="201" t="str">
        <f>VLOOKUP($A422,'[3]allergenen 6nr'!$A$1:$O$1310,13,FALSE)</f>
        <v>X</v>
      </c>
      <c r="BO422" s="201" t="str">
        <f>VLOOKUP($A422,'[3]allergenen 6nr'!$A$1:$O$1310,14,FALSE)</f>
        <v>X</v>
      </c>
      <c r="BP422" s="202" t="str">
        <f>VLOOKUP($A422,'[3]allergenen 6nr'!$A$1:$O$1310,15,FALSE)</f>
        <v>X</v>
      </c>
    </row>
    <row r="423" spans="1:68" x14ac:dyDescent="0.2">
      <c r="A423" s="89">
        <v>64231100</v>
      </c>
      <c r="B423" s="53" t="str">
        <f>VLOOKUP($A423,[1]maaltijden!$A$1:$IV$65536,4,FALSE)</f>
        <v>GEIA EW KIP LINGUINE TERIYAKI BROCCOLI 370G</v>
      </c>
      <c r="C423" s="46" t="str">
        <f>VLOOKUP($A423,[1]maaltijden!$A$1:$IV$65536,7,FALSE)</f>
        <v>UK-59</v>
      </c>
      <c r="D423" s="22" t="str">
        <f>VLOOKUP($A423,[1]maaltijden!$A$1:$IV$65536,10,FALSE)</f>
        <v>H22</v>
      </c>
      <c r="E423" s="22" t="str">
        <f>VLOOKUP($A423,[1]maaltijden!$A$1:$IV$65536,13,FALSE)</f>
        <v>H22X10</v>
      </c>
      <c r="F423" s="20">
        <f t="shared" si="6"/>
        <v>0</v>
      </c>
      <c r="G423" s="20" t="str">
        <f>VLOOKUP($A423,[1]maaltijden!$A$1:$IV$65536,27,FALSE)</f>
        <v>! ! ! ! !</v>
      </c>
      <c r="H423" s="22">
        <f>VLOOKUP($A423,[1]maaltijden!$A$1:$IV$65536,21,FALSE)</f>
        <v>7</v>
      </c>
      <c r="I423" s="22">
        <f>VLOOKUP($A423,[1]maaltijden!$A$1:$IV$65536,21,FALSE)</f>
        <v>7</v>
      </c>
      <c r="J423" s="22">
        <f>VLOOKUP($A423,[1]maaltijden!$A$1:$IV$65536,18,FALSE)</f>
        <v>2</v>
      </c>
      <c r="K423" s="22">
        <f>VLOOKUP($A423,[1]maaltijden!$A$1:$IV$65536,17,FALSE)</f>
        <v>2</v>
      </c>
      <c r="L423" s="22">
        <f>VLOOKUP($A423,[1]maaltijden!$A$1:$IV$65536,20,FALSE)</f>
        <v>3200</v>
      </c>
      <c r="M423" s="22">
        <f>VLOOKUP($A423,[1]maaltijden!$A$1:$IV$65536,22,FALSE)</f>
        <v>3200</v>
      </c>
      <c r="N423" s="135"/>
      <c r="O423" s="50"/>
      <c r="P423" s="19">
        <v>1</v>
      </c>
      <c r="Q423" s="20">
        <v>2</v>
      </c>
      <c r="R423" s="21">
        <v>0</v>
      </c>
      <c r="S423" s="19">
        <v>1</v>
      </c>
      <c r="T423" s="20">
        <v>1</v>
      </c>
      <c r="U423" s="19">
        <v>1</v>
      </c>
      <c r="V423" s="20">
        <v>1</v>
      </c>
      <c r="W423" s="20">
        <v>1</v>
      </c>
      <c r="X423" s="20">
        <v>1</v>
      </c>
      <c r="Y423" s="20">
        <v>1</v>
      </c>
      <c r="Z423" s="20">
        <v>0</v>
      </c>
      <c r="AA423" s="20">
        <v>0</v>
      </c>
      <c r="AB423" s="49">
        <v>0</v>
      </c>
      <c r="AC423" s="49">
        <v>0</v>
      </c>
      <c r="AD423" s="49">
        <v>0</v>
      </c>
      <c r="AE423" s="49">
        <v>0</v>
      </c>
      <c r="AF423" s="49">
        <v>0</v>
      </c>
      <c r="AG423" s="161">
        <v>1</v>
      </c>
      <c r="AH423" s="162">
        <v>1</v>
      </c>
      <c r="AI423" s="162">
        <v>0</v>
      </c>
      <c r="AJ423" s="162">
        <v>0</v>
      </c>
      <c r="AK423" s="162">
        <v>0</v>
      </c>
      <c r="AL423" s="163">
        <v>0</v>
      </c>
      <c r="AM423" s="19">
        <v>1</v>
      </c>
      <c r="AN423" s="20" t="str">
        <f>IFERROR(INDEX([2]lijnopstellingsfiche!$AP$1:$AP$65536,MATCH(A423,[2]lijnopstellingsfiche!$AQ$1:$AQ$65536,0)),"")</f>
        <v>-</v>
      </c>
      <c r="AO423" s="20">
        <v>0</v>
      </c>
      <c r="AP423" s="20">
        <v>0</v>
      </c>
      <c r="AQ423" s="20">
        <v>2</v>
      </c>
      <c r="AR423" s="20">
        <v>0</v>
      </c>
      <c r="AS423" s="20">
        <v>1</v>
      </c>
      <c r="AT423" s="20">
        <v>0</v>
      </c>
      <c r="AU423" s="20">
        <v>0</v>
      </c>
      <c r="AV423" s="23">
        <v>0</v>
      </c>
      <c r="AW423" s="108">
        <v>1</v>
      </c>
      <c r="AX423" s="108">
        <v>0</v>
      </c>
      <c r="AY423" s="108">
        <v>1</v>
      </c>
      <c r="AZ423" s="108"/>
      <c r="BA423" s="114">
        <v>0</v>
      </c>
      <c r="BB423" s="20">
        <v>1</v>
      </c>
      <c r="BC423" s="113">
        <v>0</v>
      </c>
      <c r="BD423" s="200" t="str">
        <f>VLOOKUP($A423,'[3]allergenen 6nr'!$A$1:$O$1310,3,FALSE)</f>
        <v>-</v>
      </c>
      <c r="BE423" s="201" t="str">
        <f>VLOOKUP($A423,'[3]allergenen 6nr'!$A$1:$O$1310,4,FALSE)</f>
        <v>X</v>
      </c>
      <c r="BF423" s="201" t="str">
        <f>VLOOKUP($A423,'[3]allergenen 6nr'!$A$1:$O$1310,5,FALSE)</f>
        <v>+</v>
      </c>
      <c r="BG423" s="201" t="str">
        <f>VLOOKUP($A423,'[3]allergenen 6nr'!$A$1:$O$1310,6,FALSE)</f>
        <v>X</v>
      </c>
      <c r="BH423" s="201" t="str">
        <f>VLOOKUP($A423,'[3]allergenen 6nr'!$A$1:$O$1310,7,FALSE)</f>
        <v>-</v>
      </c>
      <c r="BI423" s="201" t="str">
        <f>VLOOKUP($A423,'[3]allergenen 6nr'!$A$1:$O$1310,8,FALSE)</f>
        <v>X</v>
      </c>
      <c r="BJ423" s="201" t="str">
        <f>VLOOKUP($A423,'[3]allergenen 6nr'!$A$1:$O$1310,9,FALSE)</f>
        <v>-</v>
      </c>
      <c r="BK423" s="201" t="str">
        <f>VLOOKUP($A423,'[3]allergenen 6nr'!$A$1:$O$1310,10,FALSE)</f>
        <v>-</v>
      </c>
      <c r="BL423" s="201" t="str">
        <f>VLOOKUP($A423,'[3]allergenen 6nr'!$A$1:$O$1310,11,FALSE)</f>
        <v>-</v>
      </c>
      <c r="BM423" s="201" t="str">
        <f>VLOOKUP($A423,'[3]allergenen 6nr'!$A$1:$O$1310,12,FALSE)</f>
        <v>+</v>
      </c>
      <c r="BN423" s="201" t="str">
        <f>VLOOKUP($A423,'[3]allergenen 6nr'!$A$1:$O$1310,13,FALSE)</f>
        <v>+</v>
      </c>
      <c r="BO423" s="201" t="str">
        <f>VLOOKUP($A423,'[3]allergenen 6nr'!$A$1:$O$1310,14,FALSE)</f>
        <v>-</v>
      </c>
      <c r="BP423" s="202" t="str">
        <f>VLOOKUP($A423,'[3]allergenen 6nr'!$A$1:$O$1310,15,FALSE)</f>
        <v>-</v>
      </c>
    </row>
    <row r="424" spans="1:68" x14ac:dyDescent="0.2">
      <c r="A424" s="89">
        <v>64231200</v>
      </c>
      <c r="B424" s="53" t="str">
        <f>VLOOKUP($A424,[1]maaltijden!$A$1:$IV$65536,4,FALSE)</f>
        <v>GEIA EW SPAGHETTI BOLOGNAISE BROCCOLI 370G</v>
      </c>
      <c r="C424" s="46" t="str">
        <f>VLOOKUP($A424,[1]maaltijden!$A$1:$IV$65536,7,FALSE)</f>
        <v>UK-59</v>
      </c>
      <c r="D424" s="22" t="str">
        <f>VLOOKUP($A424,[1]maaltijden!$A$1:$IV$65536,10,FALSE)</f>
        <v>H22</v>
      </c>
      <c r="E424" s="22" t="str">
        <f>VLOOKUP($A424,[1]maaltijden!$A$1:$IV$65536,13,FALSE)</f>
        <v>H22X10</v>
      </c>
      <c r="F424" s="20">
        <f t="shared" si="6"/>
        <v>0</v>
      </c>
      <c r="G424" s="20" t="str">
        <f>VLOOKUP($A424,[1]maaltijden!$A$1:$IV$65536,27,FALSE)</f>
        <v>! ! !</v>
      </c>
      <c r="H424" s="22">
        <f>VLOOKUP($A424,[1]maaltijden!$A$1:$IV$65536,21,FALSE)</f>
        <v>6</v>
      </c>
      <c r="I424" s="22">
        <f>VLOOKUP($A424,[1]maaltijden!$A$1:$IV$65536,21,FALSE)</f>
        <v>6</v>
      </c>
      <c r="J424" s="22">
        <f>VLOOKUP($A424,[1]maaltijden!$A$1:$IV$65536,18,FALSE)</f>
        <v>2</v>
      </c>
      <c r="K424" s="22">
        <f>VLOOKUP($A424,[1]maaltijden!$A$1:$IV$65536,17,FALSE)</f>
        <v>2</v>
      </c>
      <c r="L424" s="22">
        <f>VLOOKUP($A424,[1]maaltijden!$A$1:$IV$65536,20,FALSE)</f>
        <v>3200</v>
      </c>
      <c r="M424" s="22">
        <f>VLOOKUP($A424,[1]maaltijden!$A$1:$IV$65536,22,FALSE)</f>
        <v>3200</v>
      </c>
      <c r="N424" s="135"/>
      <c r="O424" s="50"/>
      <c r="P424" s="19">
        <v>1</v>
      </c>
      <c r="Q424" s="20">
        <v>2</v>
      </c>
      <c r="R424" s="21">
        <v>0</v>
      </c>
      <c r="S424" s="19">
        <v>1</v>
      </c>
      <c r="T424" s="20">
        <v>1</v>
      </c>
      <c r="U424" s="19">
        <v>0</v>
      </c>
      <c r="V424" s="20">
        <v>1</v>
      </c>
      <c r="W424" s="20">
        <v>1</v>
      </c>
      <c r="X424" s="20">
        <v>1</v>
      </c>
      <c r="Y424" s="20">
        <v>1</v>
      </c>
      <c r="Z424" s="20">
        <v>0</v>
      </c>
      <c r="AA424" s="20">
        <v>0</v>
      </c>
      <c r="AB424" s="49">
        <v>0</v>
      </c>
      <c r="AC424" s="49">
        <v>0</v>
      </c>
      <c r="AD424" s="49">
        <v>0</v>
      </c>
      <c r="AE424" s="49">
        <v>1</v>
      </c>
      <c r="AF424" s="49">
        <v>0</v>
      </c>
      <c r="AG424" s="161">
        <v>1</v>
      </c>
      <c r="AH424" s="162">
        <v>1</v>
      </c>
      <c r="AI424" s="162">
        <v>0</v>
      </c>
      <c r="AJ424" s="162">
        <v>0</v>
      </c>
      <c r="AK424" s="162">
        <v>0</v>
      </c>
      <c r="AL424" s="163">
        <v>0</v>
      </c>
      <c r="AM424" s="19">
        <v>1</v>
      </c>
      <c r="AN424" s="20" t="str">
        <f>IFERROR(INDEX([2]lijnopstellingsfiche!$AP$1:$AP$65536,MATCH(A424,[2]lijnopstellingsfiche!$AQ$1:$AQ$65536,0)),"")</f>
        <v>-</v>
      </c>
      <c r="AO424" s="20">
        <v>0</v>
      </c>
      <c r="AP424" s="20">
        <v>0</v>
      </c>
      <c r="AQ424" s="20">
        <v>2</v>
      </c>
      <c r="AR424" s="20">
        <v>0</v>
      </c>
      <c r="AS424" s="20">
        <v>0</v>
      </c>
      <c r="AT424" s="20">
        <v>0</v>
      </c>
      <c r="AU424" s="20">
        <v>0</v>
      </c>
      <c r="AV424" s="23">
        <v>0</v>
      </c>
      <c r="AW424" s="108">
        <v>1</v>
      </c>
      <c r="AX424" s="108">
        <v>0</v>
      </c>
      <c r="AY424" s="108">
        <v>1</v>
      </c>
      <c r="AZ424" s="108"/>
      <c r="BA424" s="114">
        <v>0</v>
      </c>
      <c r="BB424" s="20">
        <v>1</v>
      </c>
      <c r="BC424" s="113">
        <v>0</v>
      </c>
      <c r="BD424" s="200" t="str">
        <f>VLOOKUP($A424,'[3]allergenen 6nr'!$A$1:$O$1310,3,FALSE)</f>
        <v>-</v>
      </c>
      <c r="BE424" s="201" t="str">
        <f>VLOOKUP($A424,'[3]allergenen 6nr'!$A$1:$O$1310,4,FALSE)</f>
        <v>X</v>
      </c>
      <c r="BF424" s="201" t="str">
        <f>VLOOKUP($A424,'[3]allergenen 6nr'!$A$1:$O$1310,5,FALSE)</f>
        <v>+</v>
      </c>
      <c r="BG424" s="201" t="str">
        <f>VLOOKUP($A424,'[3]allergenen 6nr'!$A$1:$O$1310,6,FALSE)</f>
        <v>X</v>
      </c>
      <c r="BH424" s="201" t="str">
        <f>VLOOKUP($A424,'[3]allergenen 6nr'!$A$1:$O$1310,7,FALSE)</f>
        <v>-</v>
      </c>
      <c r="BI424" s="201" t="str">
        <f>VLOOKUP($A424,'[3]allergenen 6nr'!$A$1:$O$1310,8,FALSE)</f>
        <v>X</v>
      </c>
      <c r="BJ424" s="201" t="str">
        <f>VLOOKUP($A424,'[3]allergenen 6nr'!$A$1:$O$1310,9,FALSE)</f>
        <v>-</v>
      </c>
      <c r="BK424" s="201" t="str">
        <f>VLOOKUP($A424,'[3]allergenen 6nr'!$A$1:$O$1310,10,FALSE)</f>
        <v>-</v>
      </c>
      <c r="BL424" s="201" t="str">
        <f>VLOOKUP($A424,'[3]allergenen 6nr'!$A$1:$O$1310,11,FALSE)</f>
        <v>+</v>
      </c>
      <c r="BM424" s="201" t="str">
        <f>VLOOKUP($A424,'[3]allergenen 6nr'!$A$1:$O$1310,12,FALSE)</f>
        <v>-</v>
      </c>
      <c r="BN424" s="201" t="str">
        <f>VLOOKUP($A424,'[3]allergenen 6nr'!$A$1:$O$1310,13,FALSE)</f>
        <v>X</v>
      </c>
      <c r="BO424" s="201" t="str">
        <f>VLOOKUP($A424,'[3]allergenen 6nr'!$A$1:$O$1310,14,FALSE)</f>
        <v>-</v>
      </c>
      <c r="BP424" s="202" t="str">
        <f>VLOOKUP($A424,'[3]allergenen 6nr'!$A$1:$O$1310,15,FALSE)</f>
        <v>-</v>
      </c>
    </row>
    <row r="425" spans="1:68" x14ac:dyDescent="0.2">
      <c r="A425" s="89">
        <v>64255000</v>
      </c>
      <c r="B425" s="53" t="str">
        <f>VLOOKUP($A425,[1]maaltijden!$A$1:$IV$65536,4,FALSE)</f>
        <v>LIDL DE EW KIP TERIYAKI PANDAN BROCC 400G (MIXED)</v>
      </c>
      <c r="C425" s="46" t="str">
        <f>VLOOKUP($A425,[1]maaltijden!$A$1:$IV$65536,7,FALSE)</f>
        <v>UK59 KRAFT</v>
      </c>
      <c r="D425" s="22" t="str">
        <f>VLOOKUP($A425,[1]maaltijden!$A$1:$IV$65536,10,FALSE)</f>
        <v>H22</v>
      </c>
      <c r="E425" s="22" t="str">
        <f>VLOOKUP($A425,[1]maaltijden!$A$1:$IV$65536,13,FALSE)</f>
        <v>H11X24</v>
      </c>
      <c r="F425" s="20">
        <f t="shared" si="6"/>
        <v>0</v>
      </c>
      <c r="G425" s="20" t="str">
        <f>VLOOKUP($A425,[1]maaltijden!$A$1:$IV$65536,27,FALSE)</f>
        <v>! ! ! ! !</v>
      </c>
      <c r="H425" s="22">
        <f>VLOOKUP($A425,[1]maaltijden!$A$1:$IV$65536,21,FALSE)</f>
        <v>5</v>
      </c>
      <c r="I425" s="22">
        <f>VLOOKUP($A425,[1]maaltijden!$A$1:$IV$65536,21,FALSE)</f>
        <v>5</v>
      </c>
      <c r="J425" s="22">
        <f>VLOOKUP($A425,[1]maaltijden!$A$1:$IV$65536,18,FALSE)</f>
        <v>2</v>
      </c>
      <c r="K425" s="22">
        <f>VLOOKUP($A425,[1]maaltijden!$A$1:$IV$65536,17,FALSE)</f>
        <v>2</v>
      </c>
      <c r="L425" s="22">
        <f>VLOOKUP($A425,[1]maaltijden!$A$1:$IV$65536,20,FALSE)</f>
        <v>3200</v>
      </c>
      <c r="M425" s="22">
        <f>VLOOKUP($A425,[1]maaltijden!$A$1:$IV$65536,22,FALSE)</f>
        <v>3200</v>
      </c>
      <c r="N425" s="135" t="s">
        <v>421</v>
      </c>
      <c r="O425" s="50">
        <v>64255300</v>
      </c>
      <c r="P425" s="19">
        <v>1</v>
      </c>
      <c r="Q425" s="20">
        <v>2</v>
      </c>
      <c r="R425" s="21">
        <v>0</v>
      </c>
      <c r="S425" s="19">
        <v>1</v>
      </c>
      <c r="T425" s="20">
        <v>2</v>
      </c>
      <c r="U425" s="19">
        <v>1</v>
      </c>
      <c r="V425" s="20">
        <v>1</v>
      </c>
      <c r="W425" s="20">
        <v>1</v>
      </c>
      <c r="X425" s="20">
        <v>1</v>
      </c>
      <c r="Y425" s="20">
        <v>1</v>
      </c>
      <c r="Z425" s="20">
        <v>0</v>
      </c>
      <c r="AA425" s="20">
        <v>0</v>
      </c>
      <c r="AB425" s="49">
        <v>0</v>
      </c>
      <c r="AC425" s="49">
        <v>0</v>
      </c>
      <c r="AD425" s="49">
        <v>0</v>
      </c>
      <c r="AE425" s="49">
        <v>0</v>
      </c>
      <c r="AF425" s="49">
        <v>0</v>
      </c>
      <c r="AG425" s="161">
        <v>1</v>
      </c>
      <c r="AH425" s="162">
        <v>1</v>
      </c>
      <c r="AI425" s="162">
        <v>0</v>
      </c>
      <c r="AJ425" s="162">
        <v>0</v>
      </c>
      <c r="AK425" s="162">
        <v>0</v>
      </c>
      <c r="AL425" s="163">
        <v>0</v>
      </c>
      <c r="AM425" s="19">
        <v>1</v>
      </c>
      <c r="AN425" s="20" t="str">
        <f>IFERROR(INDEX([2]lijnopstellingsfiche!$AP$1:$AP$65536,MATCH(A425,[2]lijnopstellingsfiche!$AQ$1:$AQ$65536,0)),"")</f>
        <v>-</v>
      </c>
      <c r="AO425" s="20">
        <v>0</v>
      </c>
      <c r="AP425" s="20">
        <v>1</v>
      </c>
      <c r="AQ425" s="20">
        <v>2</v>
      </c>
      <c r="AR425" s="20">
        <v>0</v>
      </c>
      <c r="AS425" s="20">
        <v>1</v>
      </c>
      <c r="AT425" s="20">
        <v>0</v>
      </c>
      <c r="AU425" s="20">
        <v>0</v>
      </c>
      <c r="AV425" s="23">
        <v>0</v>
      </c>
      <c r="AW425" s="108">
        <v>1</v>
      </c>
      <c r="AX425" s="108">
        <v>0</v>
      </c>
      <c r="AY425" s="108">
        <v>1</v>
      </c>
      <c r="AZ425" s="108"/>
      <c r="BA425" s="114">
        <v>0</v>
      </c>
      <c r="BB425" s="20">
        <v>0</v>
      </c>
      <c r="BC425" s="113">
        <v>0</v>
      </c>
      <c r="BD425" s="200" t="str">
        <f>VLOOKUP($A425,'[3]allergenen 6nr'!$A$1:$O$1310,3,FALSE)</f>
        <v>-</v>
      </c>
      <c r="BE425" s="201" t="str">
        <f>VLOOKUP($A425,'[3]allergenen 6nr'!$A$1:$O$1310,4,FALSE)</f>
        <v>-</v>
      </c>
      <c r="BF425" s="201" t="str">
        <f>VLOOKUP($A425,'[3]allergenen 6nr'!$A$1:$O$1310,5,FALSE)</f>
        <v>-</v>
      </c>
      <c r="BG425" s="201" t="str">
        <f>VLOOKUP($A425,'[3]allergenen 6nr'!$A$1:$O$1310,6,FALSE)</f>
        <v>-</v>
      </c>
      <c r="BH425" s="201" t="str">
        <f>VLOOKUP($A425,'[3]allergenen 6nr'!$A$1:$O$1310,7,FALSE)</f>
        <v>-</v>
      </c>
      <c r="BI425" s="201" t="str">
        <f>VLOOKUP($A425,'[3]allergenen 6nr'!$A$1:$O$1310,8,FALSE)</f>
        <v>-</v>
      </c>
      <c r="BJ425" s="201" t="str">
        <f>VLOOKUP($A425,'[3]allergenen 6nr'!$A$1:$O$1310,9,FALSE)</f>
        <v>-</v>
      </c>
      <c r="BK425" s="201" t="str">
        <f>VLOOKUP($A425,'[3]allergenen 6nr'!$A$1:$O$1310,10,FALSE)</f>
        <v>-</v>
      </c>
      <c r="BL425" s="201" t="str">
        <f>VLOOKUP($A425,'[3]allergenen 6nr'!$A$1:$O$1310,11,FALSE)</f>
        <v>-</v>
      </c>
      <c r="BM425" s="201" t="str">
        <f>VLOOKUP($A425,'[3]allergenen 6nr'!$A$1:$O$1310,12,FALSE)</f>
        <v>+</v>
      </c>
      <c r="BN425" s="201" t="str">
        <f>VLOOKUP($A425,'[3]allergenen 6nr'!$A$1:$O$1310,13,FALSE)</f>
        <v>+</v>
      </c>
      <c r="BO425" s="201" t="str">
        <f>VLOOKUP($A425,'[3]allergenen 6nr'!$A$1:$O$1310,14,FALSE)</f>
        <v>-</v>
      </c>
      <c r="BP425" s="202" t="str">
        <f>VLOOKUP($A425,'[3]allergenen 6nr'!$A$1:$O$1310,15,FALSE)</f>
        <v>-</v>
      </c>
    </row>
    <row r="426" spans="1:68" x14ac:dyDescent="0.2">
      <c r="A426" s="89">
        <v>64255100</v>
      </c>
      <c r="B426" s="53" t="str">
        <f>VLOOKUP($A426,[1]maaltijden!$A$1:$IV$65536,4,FALSE)</f>
        <v>LIDL DE EW KIPFILET SATE RIJST SOJAB 400G (MIXED)</v>
      </c>
      <c r="C426" s="46" t="str">
        <f>VLOOKUP($A426,[1]maaltijden!$A$1:$IV$65536,7,FALSE)</f>
        <v>UK59 KRAFT</v>
      </c>
      <c r="D426" s="22" t="str">
        <f>VLOOKUP($A426,[1]maaltijden!$A$1:$IV$65536,10,FALSE)</f>
        <v>H22</v>
      </c>
      <c r="E426" s="22" t="str">
        <f>VLOOKUP($A426,[1]maaltijden!$A$1:$IV$65536,13,FALSE)</f>
        <v>H11X24</v>
      </c>
      <c r="F426" s="20">
        <f t="shared" si="6"/>
        <v>0</v>
      </c>
      <c r="G426" s="20" t="str">
        <f>VLOOKUP($A426,[1]maaltijden!$A$1:$IV$65536,27,FALSE)</f>
        <v>X</v>
      </c>
      <c r="H426" s="22">
        <f>VLOOKUP($A426,[1]maaltijden!$A$1:$IV$65536,21,FALSE)</f>
        <v>8</v>
      </c>
      <c r="I426" s="22">
        <f>VLOOKUP($A426,[1]maaltijden!$A$1:$IV$65536,21,FALSE)</f>
        <v>8</v>
      </c>
      <c r="J426" s="22">
        <f>VLOOKUP($A426,[1]maaltijden!$A$1:$IV$65536,18,FALSE)</f>
        <v>2</v>
      </c>
      <c r="K426" s="22">
        <f>VLOOKUP($A426,[1]maaltijden!$A$1:$IV$65536,17,FALSE)</f>
        <v>3</v>
      </c>
      <c r="L426" s="22">
        <f>VLOOKUP($A426,[1]maaltijden!$A$1:$IV$65536,20,FALSE)</f>
        <v>3200</v>
      </c>
      <c r="M426" s="22">
        <f>VLOOKUP($A426,[1]maaltijden!$A$1:$IV$65536,22,FALSE)</f>
        <v>3200</v>
      </c>
      <c r="N426" s="135" t="s">
        <v>421</v>
      </c>
      <c r="O426" s="50">
        <v>64255400</v>
      </c>
      <c r="P426" s="19">
        <v>1</v>
      </c>
      <c r="Q426" s="20">
        <v>2</v>
      </c>
      <c r="R426" s="21">
        <v>0</v>
      </c>
      <c r="S426" s="19">
        <v>1</v>
      </c>
      <c r="T426" s="20">
        <v>0</v>
      </c>
      <c r="U426" s="19">
        <v>1</v>
      </c>
      <c r="V426" s="20">
        <v>1</v>
      </c>
      <c r="W426" s="20">
        <v>1</v>
      </c>
      <c r="X426" s="20">
        <v>1</v>
      </c>
      <c r="Y426" s="20">
        <v>1</v>
      </c>
      <c r="Z426" s="20">
        <v>0</v>
      </c>
      <c r="AA426" s="20">
        <v>0</v>
      </c>
      <c r="AB426" s="49">
        <v>0</v>
      </c>
      <c r="AC426" s="49">
        <v>1</v>
      </c>
      <c r="AD426" s="49">
        <v>1</v>
      </c>
      <c r="AE426" s="49">
        <v>0</v>
      </c>
      <c r="AF426" s="49">
        <v>0</v>
      </c>
      <c r="AG426" s="161">
        <v>1</v>
      </c>
      <c r="AH426" s="162">
        <v>1</v>
      </c>
      <c r="AI426" s="162">
        <v>0</v>
      </c>
      <c r="AJ426" s="162">
        <v>1</v>
      </c>
      <c r="AK426" s="162">
        <v>0</v>
      </c>
      <c r="AL426" s="163">
        <v>0</v>
      </c>
      <c r="AM426" s="19">
        <v>1</v>
      </c>
      <c r="AN426" s="20" t="str">
        <f>IFERROR(INDEX([2]lijnopstellingsfiche!$AP$1:$AP$65536,MATCH(A426,[2]lijnopstellingsfiche!$AQ$1:$AQ$65536,0)),"")</f>
        <v>-</v>
      </c>
      <c r="AO426" s="20">
        <v>0</v>
      </c>
      <c r="AP426" s="20">
        <v>0</v>
      </c>
      <c r="AQ426" s="20">
        <v>2</v>
      </c>
      <c r="AR426" s="20">
        <v>0</v>
      </c>
      <c r="AS426" s="20">
        <v>0</v>
      </c>
      <c r="AT426" s="20">
        <v>0</v>
      </c>
      <c r="AU426" s="20">
        <v>0</v>
      </c>
      <c r="AV426" s="23">
        <v>0</v>
      </c>
      <c r="AW426" s="108">
        <v>1</v>
      </c>
      <c r="AX426" s="108">
        <v>0</v>
      </c>
      <c r="AY426" s="108">
        <v>1</v>
      </c>
      <c r="AZ426" s="108"/>
      <c r="BA426" s="114">
        <v>0</v>
      </c>
      <c r="BB426" s="20">
        <v>0</v>
      </c>
      <c r="BC426" s="113">
        <v>0</v>
      </c>
      <c r="BD426" s="200" t="str">
        <f>VLOOKUP($A426,'[3]allergenen 6nr'!$A$1:$O$1310,3,FALSE)</f>
        <v>+</v>
      </c>
      <c r="BE426" s="201" t="str">
        <f>VLOOKUP($A426,'[3]allergenen 6nr'!$A$1:$O$1310,4,FALSE)</f>
        <v>-</v>
      </c>
      <c r="BF426" s="201" t="str">
        <f>VLOOKUP($A426,'[3]allergenen 6nr'!$A$1:$O$1310,5,FALSE)</f>
        <v>-</v>
      </c>
      <c r="BG426" s="201" t="str">
        <f>VLOOKUP($A426,'[3]allergenen 6nr'!$A$1:$O$1310,6,FALSE)</f>
        <v>-</v>
      </c>
      <c r="BH426" s="201" t="str">
        <f>VLOOKUP($A426,'[3]allergenen 6nr'!$A$1:$O$1310,7,FALSE)</f>
        <v>-</v>
      </c>
      <c r="BI426" s="201" t="str">
        <f>VLOOKUP($A426,'[3]allergenen 6nr'!$A$1:$O$1310,8,FALSE)</f>
        <v>-</v>
      </c>
      <c r="BJ426" s="201" t="str">
        <f>VLOOKUP($A426,'[3]allergenen 6nr'!$A$1:$O$1310,9,FALSE)</f>
        <v>-</v>
      </c>
      <c r="BK426" s="201" t="str">
        <f>VLOOKUP($A426,'[3]allergenen 6nr'!$A$1:$O$1310,10,FALSE)</f>
        <v>-</v>
      </c>
      <c r="BL426" s="201" t="str">
        <f>VLOOKUP($A426,'[3]allergenen 6nr'!$A$1:$O$1310,11,FALSE)</f>
        <v>-</v>
      </c>
      <c r="BM426" s="201" t="str">
        <f>VLOOKUP($A426,'[3]allergenen 6nr'!$A$1:$O$1310,12,FALSE)</f>
        <v>-</v>
      </c>
      <c r="BN426" s="201" t="str">
        <f>VLOOKUP($A426,'[3]allergenen 6nr'!$A$1:$O$1310,13,FALSE)</f>
        <v>+</v>
      </c>
      <c r="BO426" s="201" t="str">
        <f>VLOOKUP($A426,'[3]allergenen 6nr'!$A$1:$O$1310,14,FALSE)</f>
        <v>-</v>
      </c>
      <c r="BP426" s="202" t="str">
        <f>VLOOKUP($A426,'[3]allergenen 6nr'!$A$1:$O$1310,15,FALSE)</f>
        <v>-</v>
      </c>
    </row>
    <row r="427" spans="1:68" x14ac:dyDescent="0.2">
      <c r="A427" s="89">
        <v>64255200</v>
      </c>
      <c r="B427" s="53" t="str">
        <f>VLOOKUP($A427,[1]maaltijden!$A$1:$IV$65536,4,FALSE)</f>
        <v>LIDL DE EW CHILI SIN CARNE AVOCADO 400G (MIXED)</v>
      </c>
      <c r="C427" s="46" t="str">
        <f>VLOOKUP($A427,[1]maaltijden!$A$1:$IV$65536,7,FALSE)</f>
        <v>UK59 KRAFT</v>
      </c>
      <c r="D427" s="22" t="str">
        <f>VLOOKUP($A427,[1]maaltijden!$A$1:$IV$65536,10,FALSE)</f>
        <v>H22</v>
      </c>
      <c r="E427" s="22" t="str">
        <f>VLOOKUP($A427,[1]maaltijden!$A$1:$IV$65536,13,FALSE)</f>
        <v>H11X24</v>
      </c>
      <c r="F427" s="20">
        <f t="shared" si="6"/>
        <v>0</v>
      </c>
      <c r="G427" s="20" t="str">
        <f>VLOOKUP($A427,[1]maaltijden!$A$1:$IV$65536,27,FALSE)</f>
        <v>! ! !</v>
      </c>
      <c r="H427" s="22">
        <f>VLOOKUP($A427,[1]maaltijden!$A$1:$IV$65536,21,FALSE)</f>
        <v>4</v>
      </c>
      <c r="I427" s="22">
        <f>VLOOKUP($A427,[1]maaltijden!$A$1:$IV$65536,21,FALSE)</f>
        <v>4</v>
      </c>
      <c r="J427" s="22">
        <f>VLOOKUP($A427,[1]maaltijden!$A$1:$IV$65536,18,FALSE)</f>
        <v>2</v>
      </c>
      <c r="K427" s="22">
        <f>VLOOKUP($A427,[1]maaltijden!$A$1:$IV$65536,17,FALSE)</f>
        <v>1</v>
      </c>
      <c r="L427" s="22">
        <f>VLOOKUP($A427,[1]maaltijden!$A$1:$IV$65536,20,FALSE)</f>
        <v>3200</v>
      </c>
      <c r="M427" s="22">
        <f>VLOOKUP($A427,[1]maaltijden!$A$1:$IV$65536,22,FALSE)</f>
        <v>3200</v>
      </c>
      <c r="N427" s="135" t="s">
        <v>421</v>
      </c>
      <c r="O427" s="50"/>
      <c r="P427" s="19">
        <v>1</v>
      </c>
      <c r="Q427" s="20">
        <v>2</v>
      </c>
      <c r="R427" s="21">
        <v>0</v>
      </c>
      <c r="S427" s="19">
        <v>1</v>
      </c>
      <c r="T427" s="20">
        <v>2</v>
      </c>
      <c r="U427" s="19">
        <v>1</v>
      </c>
      <c r="V427" s="20">
        <v>1</v>
      </c>
      <c r="W427" s="20">
        <v>1</v>
      </c>
      <c r="X427" s="20">
        <v>1</v>
      </c>
      <c r="Y427" s="20">
        <v>1</v>
      </c>
      <c r="Z427" s="20">
        <v>0</v>
      </c>
      <c r="AA427" s="20">
        <v>0</v>
      </c>
      <c r="AB427" s="49">
        <v>0</v>
      </c>
      <c r="AC427" s="49">
        <v>0</v>
      </c>
      <c r="AD427" s="49">
        <v>0</v>
      </c>
      <c r="AE427" s="49">
        <v>0</v>
      </c>
      <c r="AF427" s="49">
        <v>0</v>
      </c>
      <c r="AG427" s="161">
        <v>0</v>
      </c>
      <c r="AH427" s="162">
        <v>1</v>
      </c>
      <c r="AI427" s="162">
        <v>0</v>
      </c>
      <c r="AJ427" s="162">
        <v>0</v>
      </c>
      <c r="AK427" s="162">
        <v>0</v>
      </c>
      <c r="AL427" s="163">
        <v>0</v>
      </c>
      <c r="AM427" s="19">
        <v>0</v>
      </c>
      <c r="AN427" s="20" t="str">
        <f>IFERROR(INDEX([2]lijnopstellingsfiche!$AP$1:$AP$65536,MATCH(A427,[2]lijnopstellingsfiche!$AQ$1:$AQ$65536,0)),"")</f>
        <v>-</v>
      </c>
      <c r="AO427" s="20">
        <v>0</v>
      </c>
      <c r="AP427" s="20">
        <v>0</v>
      </c>
      <c r="AQ427" s="20">
        <v>2</v>
      </c>
      <c r="AR427" s="20">
        <v>0</v>
      </c>
      <c r="AS427" s="20">
        <v>0</v>
      </c>
      <c r="AT427" s="20">
        <v>0</v>
      </c>
      <c r="AU427" s="20">
        <v>0</v>
      </c>
      <c r="AV427" s="23">
        <v>0</v>
      </c>
      <c r="AW427" s="108">
        <v>1</v>
      </c>
      <c r="AX427" s="108">
        <v>0</v>
      </c>
      <c r="AY427" s="108">
        <v>1</v>
      </c>
      <c r="AZ427" s="108"/>
      <c r="BA427" s="114">
        <v>0</v>
      </c>
      <c r="BB427" s="20">
        <v>0</v>
      </c>
      <c r="BC427" s="113">
        <v>0</v>
      </c>
      <c r="BD427" s="200" t="str">
        <f>VLOOKUP($A427,'[3]allergenen 6nr'!$A$1:$O$1310,3,FALSE)</f>
        <v>-</v>
      </c>
      <c r="BE427" s="201" t="str">
        <f>VLOOKUP($A427,'[3]allergenen 6nr'!$A$1:$O$1310,4,FALSE)</f>
        <v>X</v>
      </c>
      <c r="BF427" s="201" t="str">
        <f>VLOOKUP($A427,'[3]allergenen 6nr'!$A$1:$O$1310,5,FALSE)</f>
        <v>+</v>
      </c>
      <c r="BG427" s="201" t="str">
        <f>VLOOKUP($A427,'[3]allergenen 6nr'!$A$1:$O$1310,6,FALSE)</f>
        <v>-</v>
      </c>
      <c r="BH427" s="201" t="str">
        <f>VLOOKUP($A427,'[3]allergenen 6nr'!$A$1:$O$1310,7,FALSE)</f>
        <v>X</v>
      </c>
      <c r="BI427" s="201" t="str">
        <f>VLOOKUP($A427,'[3]allergenen 6nr'!$A$1:$O$1310,8,FALSE)</f>
        <v>X</v>
      </c>
      <c r="BJ427" s="201" t="str">
        <f>VLOOKUP($A427,'[3]allergenen 6nr'!$A$1:$O$1310,9,FALSE)</f>
        <v>-</v>
      </c>
      <c r="BK427" s="201" t="str">
        <f>VLOOKUP($A427,'[3]allergenen 6nr'!$A$1:$O$1310,10,FALSE)</f>
        <v>X</v>
      </c>
      <c r="BL427" s="201" t="str">
        <f>VLOOKUP($A427,'[3]allergenen 6nr'!$A$1:$O$1310,11,FALSE)</f>
        <v>X</v>
      </c>
      <c r="BM427" s="201" t="str">
        <f>VLOOKUP($A427,'[3]allergenen 6nr'!$A$1:$O$1310,12,FALSE)</f>
        <v>-</v>
      </c>
      <c r="BN427" s="201" t="str">
        <f>VLOOKUP($A427,'[3]allergenen 6nr'!$A$1:$O$1310,13,FALSE)</f>
        <v>+</v>
      </c>
      <c r="BO427" s="201" t="str">
        <f>VLOOKUP($A427,'[3]allergenen 6nr'!$A$1:$O$1310,14,FALSE)</f>
        <v>X</v>
      </c>
      <c r="BP427" s="202" t="str">
        <f>VLOOKUP($A427,'[3]allergenen 6nr'!$A$1:$O$1310,15,FALSE)</f>
        <v>-</v>
      </c>
    </row>
    <row r="428" spans="1:68" x14ac:dyDescent="0.2">
      <c r="A428" s="89">
        <v>64255300</v>
      </c>
      <c r="B428" s="53" t="str">
        <f>VLOOKUP($A428,[1]maaltijden!$A$1:$IV$65536,4,FALSE)</f>
        <v>LIDL BE NL EW KIP TERIYAKI PANDAN BROCC400G(MIXED)</v>
      </c>
      <c r="C428" s="46" t="str">
        <f>VLOOKUP($A428,[1]maaltijden!$A$1:$IV$65536,7,FALSE)</f>
        <v>UK59 KRAFT</v>
      </c>
      <c r="D428" s="22" t="str">
        <f>VLOOKUP($A428,[1]maaltijden!$A$1:$IV$65536,10,FALSE)</f>
        <v>H22</v>
      </c>
      <c r="E428" s="22" t="str">
        <f>VLOOKUP($A428,[1]maaltijden!$A$1:$IV$65536,13,FALSE)</f>
        <v>H11X24</v>
      </c>
      <c r="F428" s="20">
        <f t="shared" si="6"/>
        <v>0</v>
      </c>
      <c r="G428" s="20" t="str">
        <f>VLOOKUP($A428,[1]maaltijden!$A$1:$IV$65536,27,FALSE)</f>
        <v>! ! ! ! !</v>
      </c>
      <c r="H428" s="22">
        <f>VLOOKUP($A428,[1]maaltijden!$A$1:$IV$65536,21,FALSE)</f>
        <v>5</v>
      </c>
      <c r="I428" s="22">
        <f>VLOOKUP($A428,[1]maaltijden!$A$1:$IV$65536,21,FALSE)</f>
        <v>5</v>
      </c>
      <c r="J428" s="22">
        <f>VLOOKUP($A428,[1]maaltijden!$A$1:$IV$65536,18,FALSE)</f>
        <v>2</v>
      </c>
      <c r="K428" s="22">
        <f>VLOOKUP($A428,[1]maaltijden!$A$1:$IV$65536,17,FALSE)</f>
        <v>2</v>
      </c>
      <c r="L428" s="22">
        <f>VLOOKUP($A428,[1]maaltijden!$A$1:$IV$65536,20,FALSE)</f>
        <v>3200</v>
      </c>
      <c r="M428" s="22">
        <f>VLOOKUP($A428,[1]maaltijden!$A$1:$IV$65536,22,FALSE)</f>
        <v>3200</v>
      </c>
      <c r="N428" s="135"/>
      <c r="O428" s="50">
        <v>64255000</v>
      </c>
      <c r="P428" s="19">
        <v>1</v>
      </c>
      <c r="Q428" s="20">
        <v>2</v>
      </c>
      <c r="R428" s="21">
        <v>0</v>
      </c>
      <c r="S428" s="19">
        <v>1</v>
      </c>
      <c r="T428" s="20">
        <v>2</v>
      </c>
      <c r="U428" s="19">
        <v>1</v>
      </c>
      <c r="V428" s="20">
        <v>1</v>
      </c>
      <c r="W428" s="20">
        <v>1</v>
      </c>
      <c r="X428" s="20">
        <v>1</v>
      </c>
      <c r="Y428" s="20">
        <v>1</v>
      </c>
      <c r="Z428" s="20">
        <v>0</v>
      </c>
      <c r="AA428" s="20">
        <v>0</v>
      </c>
      <c r="AB428" s="49">
        <v>0</v>
      </c>
      <c r="AC428" s="49">
        <v>0</v>
      </c>
      <c r="AD428" s="49">
        <v>0</v>
      </c>
      <c r="AE428" s="49">
        <v>0</v>
      </c>
      <c r="AF428" s="49">
        <v>0</v>
      </c>
      <c r="AG428" s="161">
        <v>1</v>
      </c>
      <c r="AH428" s="162">
        <v>1</v>
      </c>
      <c r="AI428" s="162">
        <v>0</v>
      </c>
      <c r="AJ428" s="162">
        <v>0</v>
      </c>
      <c r="AK428" s="162">
        <v>0</v>
      </c>
      <c r="AL428" s="163">
        <v>0</v>
      </c>
      <c r="AM428" s="19">
        <v>1</v>
      </c>
      <c r="AN428" s="20" t="s">
        <v>525</v>
      </c>
      <c r="AO428" s="20">
        <v>0</v>
      </c>
      <c r="AP428" s="20">
        <v>1</v>
      </c>
      <c r="AQ428" s="20">
        <v>2</v>
      </c>
      <c r="AR428" s="20">
        <v>0</v>
      </c>
      <c r="AS428" s="20">
        <v>1</v>
      </c>
      <c r="AT428" s="20">
        <v>0</v>
      </c>
      <c r="AU428" s="20">
        <v>0</v>
      </c>
      <c r="AV428" s="23">
        <v>0</v>
      </c>
      <c r="AW428" s="108">
        <v>1</v>
      </c>
      <c r="AX428" s="108">
        <v>0</v>
      </c>
      <c r="AY428" s="108">
        <v>1</v>
      </c>
      <c r="AZ428" s="108"/>
      <c r="BA428" s="114">
        <v>0</v>
      </c>
      <c r="BB428" s="20">
        <v>0</v>
      </c>
      <c r="BC428" s="113">
        <v>0</v>
      </c>
      <c r="BD428" s="200"/>
      <c r="BE428" s="201"/>
      <c r="BF428" s="201"/>
      <c r="BG428" s="201"/>
      <c r="BH428" s="201"/>
      <c r="BI428" s="201"/>
      <c r="BJ428" s="201"/>
      <c r="BK428" s="201"/>
      <c r="BL428" s="201"/>
      <c r="BM428" s="201"/>
      <c r="BN428" s="201"/>
      <c r="BO428" s="201"/>
      <c r="BP428" s="202"/>
    </row>
    <row r="429" spans="1:68" x14ac:dyDescent="0.2">
      <c r="A429" s="89">
        <v>64255400</v>
      </c>
      <c r="B429" s="53" t="str">
        <f>VLOOKUP($A429,[1]maaltijden!$A$1:$IV$65536,4,FALSE)</f>
        <v>LIDL BE NL EW KIPFILET SATE RIJST SOJAB400G(MIXED)</v>
      </c>
      <c r="C429" s="46" t="str">
        <f>VLOOKUP($A429,[1]maaltijden!$A$1:$IV$65536,7,FALSE)</f>
        <v>UK59 KRAFT</v>
      </c>
      <c r="D429" s="22" t="str">
        <f>VLOOKUP($A429,[1]maaltijden!$A$1:$IV$65536,10,FALSE)</f>
        <v>H22</v>
      </c>
      <c r="E429" s="22" t="str">
        <f>VLOOKUP($A429,[1]maaltijden!$A$1:$IV$65536,13,FALSE)</f>
        <v>H11X24</v>
      </c>
      <c r="F429" s="20">
        <f t="shared" si="6"/>
        <v>0</v>
      </c>
      <c r="G429" s="20" t="str">
        <f>VLOOKUP($A429,[1]maaltijden!$A$1:$IV$65536,27,FALSE)</f>
        <v>X</v>
      </c>
      <c r="H429" s="22">
        <f>VLOOKUP($A429,[1]maaltijden!$A$1:$IV$65536,21,FALSE)</f>
        <v>8</v>
      </c>
      <c r="I429" s="22">
        <f>VLOOKUP($A429,[1]maaltijden!$A$1:$IV$65536,21,FALSE)</f>
        <v>8</v>
      </c>
      <c r="J429" s="22">
        <f>VLOOKUP($A429,[1]maaltijden!$A$1:$IV$65536,18,FALSE)</f>
        <v>2</v>
      </c>
      <c r="K429" s="22">
        <f>VLOOKUP($A429,[1]maaltijden!$A$1:$IV$65536,17,FALSE)</f>
        <v>3</v>
      </c>
      <c r="L429" s="22">
        <f>VLOOKUP($A429,[1]maaltijden!$A$1:$IV$65536,20,FALSE)</f>
        <v>3200</v>
      </c>
      <c r="M429" s="22">
        <f>VLOOKUP($A429,[1]maaltijden!$A$1:$IV$65536,22,FALSE)</f>
        <v>3200</v>
      </c>
      <c r="N429" s="135"/>
      <c r="O429" s="50">
        <v>64255100</v>
      </c>
      <c r="P429" s="19">
        <v>1</v>
      </c>
      <c r="Q429" s="20">
        <v>2</v>
      </c>
      <c r="R429" s="21">
        <v>0</v>
      </c>
      <c r="S429" s="19">
        <v>1</v>
      </c>
      <c r="T429" s="20">
        <v>0</v>
      </c>
      <c r="U429" s="19">
        <v>1</v>
      </c>
      <c r="V429" s="20">
        <v>1</v>
      </c>
      <c r="W429" s="20">
        <v>1</v>
      </c>
      <c r="X429" s="20">
        <v>1</v>
      </c>
      <c r="Y429" s="20">
        <v>1</v>
      </c>
      <c r="Z429" s="20">
        <v>0</v>
      </c>
      <c r="AA429" s="20">
        <v>0</v>
      </c>
      <c r="AB429" s="49">
        <v>0</v>
      </c>
      <c r="AC429" s="49">
        <v>1</v>
      </c>
      <c r="AD429" s="49">
        <v>1</v>
      </c>
      <c r="AE429" s="49">
        <v>0</v>
      </c>
      <c r="AF429" s="49">
        <v>0</v>
      </c>
      <c r="AG429" s="161">
        <v>1</v>
      </c>
      <c r="AH429" s="162">
        <v>1</v>
      </c>
      <c r="AI429" s="162">
        <v>0</v>
      </c>
      <c r="AJ429" s="162">
        <v>1</v>
      </c>
      <c r="AK429" s="162">
        <v>0</v>
      </c>
      <c r="AL429" s="163">
        <v>0</v>
      </c>
      <c r="AM429" s="19">
        <v>1</v>
      </c>
      <c r="AN429" s="20" t="s">
        <v>525</v>
      </c>
      <c r="AO429" s="20">
        <v>0</v>
      </c>
      <c r="AP429" s="20">
        <v>0</v>
      </c>
      <c r="AQ429" s="20">
        <v>2</v>
      </c>
      <c r="AR429" s="20">
        <v>0</v>
      </c>
      <c r="AS429" s="20">
        <v>0</v>
      </c>
      <c r="AT429" s="20">
        <v>0</v>
      </c>
      <c r="AU429" s="20">
        <v>0</v>
      </c>
      <c r="AV429" s="23">
        <v>0</v>
      </c>
      <c r="AW429" s="108">
        <v>1</v>
      </c>
      <c r="AX429" s="108">
        <v>0</v>
      </c>
      <c r="AY429" s="108">
        <v>1</v>
      </c>
      <c r="AZ429" s="108"/>
      <c r="BA429" s="114">
        <v>0</v>
      </c>
      <c r="BB429" s="20">
        <v>0</v>
      </c>
      <c r="BC429" s="113">
        <v>0</v>
      </c>
      <c r="BD429" s="200"/>
      <c r="BE429" s="201"/>
      <c r="BF429" s="201"/>
      <c r="BG429" s="201"/>
      <c r="BH429" s="201"/>
      <c r="BI429" s="201"/>
      <c r="BJ429" s="201"/>
      <c r="BK429" s="201"/>
      <c r="BL429" s="201"/>
      <c r="BM429" s="201"/>
      <c r="BN429" s="201"/>
      <c r="BO429" s="201"/>
      <c r="BP429" s="202"/>
    </row>
    <row r="430" spans="1:68" x14ac:dyDescent="0.2">
      <c r="A430" s="89">
        <v>64256000</v>
      </c>
      <c r="B430" s="53" t="str">
        <f>VLOOKUP($A430,[1]maaltijden!$A$1:$IV$65536,4,FALSE)</f>
        <v>LIDL DE AT ROSTI CAMEMBERT VEENBESSEN V-LABEL 360G (MIXED)</v>
      </c>
      <c r="C430" s="46" t="str">
        <f>VLOOKUP($A430,[1]maaltijden!$A$1:$IV$65536,7,FALSE)</f>
        <v>UK59 KRAFT</v>
      </c>
      <c r="D430" s="22" t="str">
        <f>VLOOKUP($A430,[1]maaltijden!$A$1:$IV$65536,10,FALSE)</f>
        <v>H22</v>
      </c>
      <c r="E430" s="22" t="str">
        <f>VLOOKUP($A430,[1]maaltijden!$A$1:$IV$65536,13,FALSE)</f>
        <v>H22X10</v>
      </c>
      <c r="F430" s="20">
        <f t="shared" si="6"/>
        <v>0</v>
      </c>
      <c r="G430" s="20" t="str">
        <f>VLOOKUP($A430,[1]maaltijden!$A$1:$IV$65536,27,FALSE)</f>
        <v>! ! !</v>
      </c>
      <c r="H430" s="22">
        <f>VLOOKUP($A430,[1]maaltijden!$A$1:$IV$65536,21,FALSE)</f>
        <v>9</v>
      </c>
      <c r="I430" s="22">
        <f>VLOOKUP($A430,[1]maaltijden!$A$1:$IV$65536,21,FALSE)</f>
        <v>9</v>
      </c>
      <c r="J430" s="22">
        <f>VLOOKUP($A430,[1]maaltijden!$A$1:$IV$65536,18,FALSE)</f>
        <v>0</v>
      </c>
      <c r="K430" s="22">
        <f>VLOOKUP($A430,[1]maaltijden!$A$1:$IV$65536,17,FALSE)</f>
        <v>2</v>
      </c>
      <c r="L430" s="22">
        <f>VLOOKUP($A430,[1]maaltijden!$A$1:$IV$65536,20,FALSE)</f>
        <v>2100</v>
      </c>
      <c r="M430" s="22">
        <f>VLOOKUP($A430,[1]maaltijden!$A$1:$IV$65536,22,FALSE)</f>
        <v>2100</v>
      </c>
      <c r="N430" s="135"/>
      <c r="O430" s="50"/>
      <c r="P430" s="19">
        <v>1</v>
      </c>
      <c r="Q430" s="20">
        <v>2</v>
      </c>
      <c r="R430" s="21">
        <v>0</v>
      </c>
      <c r="S430" s="19">
        <v>1</v>
      </c>
      <c r="T430" s="20">
        <v>1</v>
      </c>
      <c r="U430" s="19">
        <v>1</v>
      </c>
      <c r="V430" s="20">
        <v>1</v>
      </c>
      <c r="W430" s="20">
        <v>1</v>
      </c>
      <c r="X430" s="20">
        <v>1</v>
      </c>
      <c r="Y430" s="20">
        <v>1</v>
      </c>
      <c r="Z430" s="20">
        <v>0</v>
      </c>
      <c r="AA430" s="20">
        <v>0</v>
      </c>
      <c r="AB430" s="49">
        <v>0</v>
      </c>
      <c r="AC430" s="49">
        <v>0</v>
      </c>
      <c r="AD430" s="49">
        <v>0</v>
      </c>
      <c r="AE430" s="49">
        <v>0</v>
      </c>
      <c r="AF430" s="49">
        <v>0</v>
      </c>
      <c r="AG430" s="161">
        <v>0</v>
      </c>
      <c r="AH430" s="162">
        <v>2</v>
      </c>
      <c r="AI430" s="162">
        <v>0</v>
      </c>
      <c r="AJ430" s="162">
        <v>0</v>
      </c>
      <c r="AK430" s="162">
        <v>0</v>
      </c>
      <c r="AL430" s="163">
        <v>0</v>
      </c>
      <c r="AM430" s="19">
        <v>0</v>
      </c>
      <c r="AN430" s="20" t="str">
        <f>IFERROR(INDEX([2]lijnopstellingsfiche!$AP$1:$AP$65536,MATCH(A430,[2]lijnopstellingsfiche!$AQ$1:$AQ$65536,0)),"")</f>
        <v>-</v>
      </c>
      <c r="AO430" s="20">
        <v>0</v>
      </c>
      <c r="AP430" s="20">
        <v>0</v>
      </c>
      <c r="AQ430" s="20">
        <v>5</v>
      </c>
      <c r="AR430" s="20">
        <v>0</v>
      </c>
      <c r="AS430" s="20">
        <v>0</v>
      </c>
      <c r="AT430" s="20">
        <v>0</v>
      </c>
      <c r="AU430" s="20">
        <v>0</v>
      </c>
      <c r="AV430" s="23">
        <v>0</v>
      </c>
      <c r="AW430" s="108">
        <v>1</v>
      </c>
      <c r="AX430" s="108">
        <v>0</v>
      </c>
      <c r="AY430" s="108">
        <v>1</v>
      </c>
      <c r="AZ430" s="108"/>
      <c r="BA430" s="114">
        <v>0</v>
      </c>
      <c r="BB430" s="20">
        <v>1</v>
      </c>
      <c r="BC430" s="113">
        <v>0</v>
      </c>
      <c r="BD430" s="200" t="e">
        <f>VLOOKUP($A430,'[3]allergenen 6nr'!$A$1:$O$1310,3,FALSE)</f>
        <v>#N/A</v>
      </c>
      <c r="BE430" s="201" t="e">
        <f>VLOOKUP($A430,'[3]allergenen 6nr'!$A$1:$O$1310,4,FALSE)</f>
        <v>#N/A</v>
      </c>
      <c r="BF430" s="201" t="e">
        <f>VLOOKUP($A430,'[3]allergenen 6nr'!$A$1:$O$1310,5,FALSE)</f>
        <v>#N/A</v>
      </c>
      <c r="BG430" s="201" t="e">
        <f>VLOOKUP($A430,'[3]allergenen 6nr'!$A$1:$O$1310,6,FALSE)</f>
        <v>#N/A</v>
      </c>
      <c r="BH430" s="201" t="e">
        <f>VLOOKUP($A430,'[3]allergenen 6nr'!$A$1:$O$1310,7,FALSE)</f>
        <v>#N/A</v>
      </c>
      <c r="BI430" s="201" t="e">
        <f>VLOOKUP($A430,'[3]allergenen 6nr'!$A$1:$O$1310,8,FALSE)</f>
        <v>#N/A</v>
      </c>
      <c r="BJ430" s="201" t="e">
        <f>VLOOKUP($A430,'[3]allergenen 6nr'!$A$1:$O$1310,9,FALSE)</f>
        <v>#N/A</v>
      </c>
      <c r="BK430" s="201" t="e">
        <f>VLOOKUP($A430,'[3]allergenen 6nr'!$A$1:$O$1310,10,FALSE)</f>
        <v>#N/A</v>
      </c>
      <c r="BL430" s="201" t="e">
        <f>VLOOKUP($A430,'[3]allergenen 6nr'!$A$1:$O$1310,11,FALSE)</f>
        <v>#N/A</v>
      </c>
      <c r="BM430" s="201" t="e">
        <f>VLOOKUP($A430,'[3]allergenen 6nr'!$A$1:$O$1310,12,FALSE)</f>
        <v>#N/A</v>
      </c>
      <c r="BN430" s="201" t="e">
        <f>VLOOKUP($A430,'[3]allergenen 6nr'!$A$1:$O$1310,13,FALSE)</f>
        <v>#N/A</v>
      </c>
      <c r="BO430" s="201" t="e">
        <f>VLOOKUP($A430,'[3]allergenen 6nr'!$A$1:$O$1310,14,FALSE)</f>
        <v>#N/A</v>
      </c>
      <c r="BP430" s="202" t="e">
        <f>VLOOKUP($A430,'[3]allergenen 6nr'!$A$1:$O$1310,15,FALSE)</f>
        <v>#N/A</v>
      </c>
    </row>
    <row r="431" spans="1:68" x14ac:dyDescent="0.2">
      <c r="A431" s="89">
        <v>64256100</v>
      </c>
      <c r="B431" s="53" t="str">
        <f>VLOOKUP($A431,[1]maaltijden!$A$1:$IV$65536,4,FALSE)</f>
        <v>LIDL DE AT ROSTI HAM KAASSAUS 360G (MIXED)</v>
      </c>
      <c r="C431" s="46" t="str">
        <f>VLOOKUP($A431,[1]maaltijden!$A$1:$IV$65536,7,FALSE)</f>
        <v>UK59 KRAFT</v>
      </c>
      <c r="D431" s="22" t="str">
        <f>VLOOKUP($A431,[1]maaltijden!$A$1:$IV$65536,10,FALSE)</f>
        <v>H22</v>
      </c>
      <c r="E431" s="22" t="str">
        <f>VLOOKUP($A431,[1]maaltijden!$A$1:$IV$65536,13,FALSE)</f>
        <v>H22X10</v>
      </c>
      <c r="F431" s="20">
        <f t="shared" si="6"/>
        <v>0</v>
      </c>
      <c r="G431" s="20" t="str">
        <f>VLOOKUP($A431,[1]maaltijden!$A$1:$IV$65536,27,FALSE)</f>
        <v>! ! !</v>
      </c>
      <c r="H431" s="22">
        <f>VLOOKUP($A431,[1]maaltijden!$A$1:$IV$65536,21,FALSE)</f>
        <v>9</v>
      </c>
      <c r="I431" s="22">
        <f>VLOOKUP($A431,[1]maaltijden!$A$1:$IV$65536,21,FALSE)</f>
        <v>9</v>
      </c>
      <c r="J431" s="22">
        <f>VLOOKUP($A431,[1]maaltijden!$A$1:$IV$65536,18,FALSE)</f>
        <v>0</v>
      </c>
      <c r="K431" s="22">
        <f>VLOOKUP($A431,[1]maaltijden!$A$1:$IV$65536,17,FALSE)</f>
        <v>1</v>
      </c>
      <c r="L431" s="22">
        <f>VLOOKUP($A431,[1]maaltijden!$A$1:$IV$65536,20,FALSE)</f>
        <v>2500</v>
      </c>
      <c r="M431" s="22">
        <f>VLOOKUP($A431,[1]maaltijden!$A$1:$IV$65536,22,FALSE)</f>
        <v>2500</v>
      </c>
      <c r="N431" s="135"/>
      <c r="O431" s="50"/>
      <c r="P431" s="19">
        <v>1</v>
      </c>
      <c r="Q431" s="20">
        <v>2</v>
      </c>
      <c r="R431" s="21">
        <v>0</v>
      </c>
      <c r="S431" s="19">
        <v>1</v>
      </c>
      <c r="T431" s="20">
        <v>1</v>
      </c>
      <c r="U431" s="19">
        <v>1</v>
      </c>
      <c r="V431" s="20">
        <v>1</v>
      </c>
      <c r="W431" s="20">
        <v>1</v>
      </c>
      <c r="X431" s="20">
        <v>1</v>
      </c>
      <c r="Y431" s="20">
        <v>1</v>
      </c>
      <c r="Z431" s="20">
        <v>0</v>
      </c>
      <c r="AA431" s="20">
        <v>0</v>
      </c>
      <c r="AB431" s="49">
        <v>0</v>
      </c>
      <c r="AC431" s="49">
        <v>0</v>
      </c>
      <c r="AD431" s="49">
        <v>0</v>
      </c>
      <c r="AE431" s="49">
        <v>0</v>
      </c>
      <c r="AF431" s="49">
        <v>0</v>
      </c>
      <c r="AG431" s="161">
        <v>0</v>
      </c>
      <c r="AH431" s="162">
        <v>1</v>
      </c>
      <c r="AI431" s="162">
        <v>0</v>
      </c>
      <c r="AJ431" s="162">
        <v>0</v>
      </c>
      <c r="AK431" s="162">
        <v>0</v>
      </c>
      <c r="AL431" s="163">
        <v>0</v>
      </c>
      <c r="AM431" s="19">
        <v>0</v>
      </c>
      <c r="AN431" s="20" t="str">
        <f>IFERROR(INDEX([2]lijnopstellingsfiche!$AP$1:$AP$65536,MATCH(A431,[2]lijnopstellingsfiche!$AQ$1:$AQ$65536,0)),"")</f>
        <v>-</v>
      </c>
      <c r="AO431" s="20">
        <v>0</v>
      </c>
      <c r="AP431" s="20">
        <v>0</v>
      </c>
      <c r="AQ431" s="20">
        <v>4</v>
      </c>
      <c r="AR431" s="20">
        <v>0</v>
      </c>
      <c r="AS431" s="20">
        <v>0</v>
      </c>
      <c r="AT431" s="20">
        <v>0</v>
      </c>
      <c r="AU431" s="20">
        <v>0</v>
      </c>
      <c r="AV431" s="23">
        <v>0</v>
      </c>
      <c r="AW431" s="108">
        <v>1</v>
      </c>
      <c r="AX431" s="108">
        <v>0</v>
      </c>
      <c r="AY431" s="108">
        <v>1</v>
      </c>
      <c r="AZ431" s="108"/>
      <c r="BA431" s="114">
        <v>0</v>
      </c>
      <c r="BB431" s="20">
        <v>1</v>
      </c>
      <c r="BC431" s="113">
        <v>0</v>
      </c>
      <c r="BD431" s="200" t="e">
        <f>VLOOKUP($A431,'[3]allergenen 6nr'!$A$1:$O$1310,3,FALSE)</f>
        <v>#N/A</v>
      </c>
      <c r="BE431" s="201" t="e">
        <f>VLOOKUP($A431,'[3]allergenen 6nr'!$A$1:$O$1310,4,FALSE)</f>
        <v>#N/A</v>
      </c>
      <c r="BF431" s="201" t="e">
        <f>VLOOKUP($A431,'[3]allergenen 6nr'!$A$1:$O$1310,5,FALSE)</f>
        <v>#N/A</v>
      </c>
      <c r="BG431" s="201" t="e">
        <f>VLOOKUP($A431,'[3]allergenen 6nr'!$A$1:$O$1310,6,FALSE)</f>
        <v>#N/A</v>
      </c>
      <c r="BH431" s="201" t="e">
        <f>VLOOKUP($A431,'[3]allergenen 6nr'!$A$1:$O$1310,7,FALSE)</f>
        <v>#N/A</v>
      </c>
      <c r="BI431" s="201" t="e">
        <f>VLOOKUP($A431,'[3]allergenen 6nr'!$A$1:$O$1310,8,FALSE)</f>
        <v>#N/A</v>
      </c>
      <c r="BJ431" s="201" t="e">
        <f>VLOOKUP($A431,'[3]allergenen 6nr'!$A$1:$O$1310,9,FALSE)</f>
        <v>#N/A</v>
      </c>
      <c r="BK431" s="201" t="e">
        <f>VLOOKUP($A431,'[3]allergenen 6nr'!$A$1:$O$1310,10,FALSE)</f>
        <v>#N/A</v>
      </c>
      <c r="BL431" s="201" t="e">
        <f>VLOOKUP($A431,'[3]allergenen 6nr'!$A$1:$O$1310,11,FALSE)</f>
        <v>#N/A</v>
      </c>
      <c r="BM431" s="201" t="e">
        <f>VLOOKUP($A431,'[3]allergenen 6nr'!$A$1:$O$1310,12,FALSE)</f>
        <v>#N/A</v>
      </c>
      <c r="BN431" s="201" t="e">
        <f>VLOOKUP($A431,'[3]allergenen 6nr'!$A$1:$O$1310,13,FALSE)</f>
        <v>#N/A</v>
      </c>
      <c r="BO431" s="201" t="e">
        <f>VLOOKUP($A431,'[3]allergenen 6nr'!$A$1:$O$1310,14,FALSE)</f>
        <v>#N/A</v>
      </c>
      <c r="BP431" s="202" t="e">
        <f>VLOOKUP($A431,'[3]allergenen 6nr'!$A$1:$O$1310,15,FALSE)</f>
        <v>#N/A</v>
      </c>
    </row>
    <row r="432" spans="1:68" x14ac:dyDescent="0.2">
      <c r="A432" s="89">
        <v>64256200</v>
      </c>
      <c r="B432" s="53" t="str">
        <f>VLOOKUP($A432,[1]maaltijden!$A$1:$IV$65536,4,FALSE)</f>
        <v>LIDL DE AT ROSTI BERGKAASSAUS 360G (MIXED)</v>
      </c>
      <c r="C432" s="46" t="str">
        <f>VLOOKUP($A432,[1]maaltijden!$A$1:$IV$65536,7,FALSE)</f>
        <v>UK59 KRAFT</v>
      </c>
      <c r="D432" s="22" t="str">
        <f>VLOOKUP($A432,[1]maaltijden!$A$1:$IV$65536,10,FALSE)</f>
        <v>H22</v>
      </c>
      <c r="E432" s="22" t="str">
        <f>VLOOKUP($A432,[1]maaltijden!$A$1:$IV$65536,13,FALSE)</f>
        <v>H22X10</v>
      </c>
      <c r="F432" s="20">
        <f t="shared" si="6"/>
        <v>0</v>
      </c>
      <c r="G432" s="20" t="str">
        <f>VLOOKUP($A432,[1]maaltijden!$A$1:$IV$65536,27,FALSE)</f>
        <v>! ! !</v>
      </c>
      <c r="H432" s="22">
        <f>VLOOKUP($A432,[1]maaltijden!$A$1:$IV$65536,21,FALSE)</f>
        <v>9</v>
      </c>
      <c r="I432" s="22">
        <f>VLOOKUP($A432,[1]maaltijden!$A$1:$IV$65536,21,FALSE)</f>
        <v>9</v>
      </c>
      <c r="J432" s="22">
        <f>VLOOKUP($A432,[1]maaltijden!$A$1:$IV$65536,18,FALSE)</f>
        <v>0</v>
      </c>
      <c r="K432" s="22">
        <f>VLOOKUP($A432,[1]maaltijden!$A$1:$IV$65536,17,FALSE)</f>
        <v>1</v>
      </c>
      <c r="L432" s="22">
        <f>VLOOKUP($A432,[1]maaltijden!$A$1:$IV$65536,20,FALSE)</f>
        <v>2500</v>
      </c>
      <c r="M432" s="22">
        <f>VLOOKUP($A432,[1]maaltijden!$A$1:$IV$65536,22,FALSE)</f>
        <v>2500</v>
      </c>
      <c r="N432" s="135"/>
      <c r="O432" s="50"/>
      <c r="P432" s="19">
        <v>1</v>
      </c>
      <c r="Q432" s="20">
        <v>2</v>
      </c>
      <c r="R432" s="21">
        <v>0</v>
      </c>
      <c r="S432" s="19">
        <v>1</v>
      </c>
      <c r="T432" s="20">
        <v>1</v>
      </c>
      <c r="U432" s="19">
        <v>0</v>
      </c>
      <c r="V432" s="20">
        <v>1</v>
      </c>
      <c r="W432" s="20">
        <v>1</v>
      </c>
      <c r="X432" s="20">
        <v>1</v>
      </c>
      <c r="Y432" s="20">
        <v>1</v>
      </c>
      <c r="Z432" s="20">
        <v>0</v>
      </c>
      <c r="AA432" s="20">
        <v>0</v>
      </c>
      <c r="AB432" s="49">
        <v>0</v>
      </c>
      <c r="AC432" s="49">
        <v>0</v>
      </c>
      <c r="AD432" s="49">
        <v>0</v>
      </c>
      <c r="AE432" s="49">
        <v>1</v>
      </c>
      <c r="AF432" s="49">
        <v>0</v>
      </c>
      <c r="AG432" s="161">
        <v>0</v>
      </c>
      <c r="AH432" s="162">
        <v>1</v>
      </c>
      <c r="AI432" s="162">
        <v>0</v>
      </c>
      <c r="AJ432" s="162">
        <v>0</v>
      </c>
      <c r="AK432" s="162">
        <v>0</v>
      </c>
      <c r="AL432" s="163">
        <v>0</v>
      </c>
      <c r="AM432" s="19">
        <v>0</v>
      </c>
      <c r="AN432" s="20" t="str">
        <f>IFERROR(INDEX([2]lijnopstellingsfiche!$AP$1:$AP$65536,MATCH(A432,[2]lijnopstellingsfiche!$AQ$1:$AQ$65536,0)),"")</f>
        <v>-</v>
      </c>
      <c r="AO432" s="20">
        <v>0</v>
      </c>
      <c r="AP432" s="20">
        <v>0</v>
      </c>
      <c r="AQ432" s="20">
        <v>4</v>
      </c>
      <c r="AR432" s="20">
        <v>0</v>
      </c>
      <c r="AS432" s="11">
        <v>0</v>
      </c>
      <c r="AT432" s="20">
        <v>0</v>
      </c>
      <c r="AU432" s="20">
        <v>0</v>
      </c>
      <c r="AV432" s="23">
        <v>0</v>
      </c>
      <c r="AW432" s="108">
        <v>1</v>
      </c>
      <c r="AX432" s="108">
        <v>0</v>
      </c>
      <c r="AY432" s="108">
        <v>1</v>
      </c>
      <c r="AZ432" s="108"/>
      <c r="BA432" s="114">
        <v>0</v>
      </c>
      <c r="BB432" s="20">
        <v>1</v>
      </c>
      <c r="BC432" s="113">
        <v>0</v>
      </c>
      <c r="BD432" s="200" t="e">
        <f>VLOOKUP($A432,'[3]allergenen 6nr'!$A$1:$O$1310,3,FALSE)</f>
        <v>#N/A</v>
      </c>
      <c r="BE432" s="201" t="e">
        <f>VLOOKUP($A432,'[3]allergenen 6nr'!$A$1:$O$1310,4,FALSE)</f>
        <v>#N/A</v>
      </c>
      <c r="BF432" s="201" t="e">
        <f>VLOOKUP($A432,'[3]allergenen 6nr'!$A$1:$O$1310,5,FALSE)</f>
        <v>#N/A</v>
      </c>
      <c r="BG432" s="201" t="e">
        <f>VLOOKUP($A432,'[3]allergenen 6nr'!$A$1:$O$1310,6,FALSE)</f>
        <v>#N/A</v>
      </c>
      <c r="BH432" s="201" t="e">
        <f>VLOOKUP($A432,'[3]allergenen 6nr'!$A$1:$O$1310,7,FALSE)</f>
        <v>#N/A</v>
      </c>
      <c r="BI432" s="201" t="e">
        <f>VLOOKUP($A432,'[3]allergenen 6nr'!$A$1:$O$1310,8,FALSE)</f>
        <v>#N/A</v>
      </c>
      <c r="BJ432" s="201" t="e">
        <f>VLOOKUP($A432,'[3]allergenen 6nr'!$A$1:$O$1310,9,FALSE)</f>
        <v>#N/A</v>
      </c>
      <c r="BK432" s="201" t="e">
        <f>VLOOKUP($A432,'[3]allergenen 6nr'!$A$1:$O$1310,10,FALSE)</f>
        <v>#N/A</v>
      </c>
      <c r="BL432" s="201" t="e">
        <f>VLOOKUP($A432,'[3]allergenen 6nr'!$A$1:$O$1310,11,FALSE)</f>
        <v>#N/A</v>
      </c>
      <c r="BM432" s="201" t="e">
        <f>VLOOKUP($A432,'[3]allergenen 6nr'!$A$1:$O$1310,12,FALSE)</f>
        <v>#N/A</v>
      </c>
      <c r="BN432" s="201" t="e">
        <f>VLOOKUP($A432,'[3]allergenen 6nr'!$A$1:$O$1310,13,FALSE)</f>
        <v>#N/A</v>
      </c>
      <c r="BO432" s="201" t="e">
        <f>VLOOKUP($A432,'[3]allergenen 6nr'!$A$1:$O$1310,14,FALSE)</f>
        <v>#N/A</v>
      </c>
      <c r="BP432" s="202" t="e">
        <f>VLOOKUP($A432,'[3]allergenen 6nr'!$A$1:$O$1310,15,FALSE)</f>
        <v>#N/A</v>
      </c>
    </row>
    <row r="433" spans="1:68" x14ac:dyDescent="0.2">
      <c r="A433" s="54">
        <v>64257000</v>
      </c>
      <c r="B433" s="53" t="str">
        <f>VLOOKUP($A433,[1]maaltijden!$A$1:$IV$65536,4,FALSE)</f>
        <v>LIDL BE MACARONI KAASSAUS V-LABEL 400G (MIXED)</v>
      </c>
      <c r="C433" s="46" t="str">
        <f>VLOOKUP($A433,[1]maaltijden!$A$1:$IV$65536,7,FALSE)</f>
        <v>UK59 KRAFT</v>
      </c>
      <c r="D433" s="22" t="str">
        <f>VLOOKUP($A433,[1]maaltijden!$A$1:$IV$65536,10,FALSE)</f>
        <v>H22</v>
      </c>
      <c r="E433" s="22" t="str">
        <f>VLOOKUP($A433,[1]maaltijden!$A$1:$IV$65536,13,FALSE)</f>
        <v>H22X10</v>
      </c>
      <c r="F433" s="20">
        <f t="shared" si="6"/>
        <v>0</v>
      </c>
      <c r="G433" s="20" t="str">
        <f>VLOOKUP($A433,[1]maaltijden!$A$1:$IV$65536,27,FALSE)</f>
        <v>! !</v>
      </c>
      <c r="H433" s="22">
        <f>VLOOKUP($A433,[1]maaltijden!$A$1:$IV$65536,21,FALSE)</f>
        <v>0</v>
      </c>
      <c r="I433" s="22">
        <f>VLOOKUP($A433,[1]maaltijden!$A$1:$IV$65536,21,FALSE)</f>
        <v>0</v>
      </c>
      <c r="J433" s="22">
        <f>VLOOKUP($A433,[1]maaltijden!$A$1:$IV$65536,18,FALSE)</f>
        <v>0</v>
      </c>
      <c r="K433" s="22">
        <f>VLOOKUP($A433,[1]maaltijden!$A$1:$IV$65536,17,FALSE)</f>
        <v>0</v>
      </c>
      <c r="L433" s="22">
        <f>VLOOKUP($A433,[1]maaltijden!$A$1:$IV$65536,20,FALSE)</f>
        <v>0</v>
      </c>
      <c r="M433" s="22">
        <f>VLOOKUP($A433,[1]maaltijden!$A$1:$IV$65536,22,FALSE)</f>
        <v>0</v>
      </c>
      <c r="N433" s="135"/>
      <c r="O433" s="50"/>
      <c r="P433" s="19">
        <v>1</v>
      </c>
      <c r="Q433" s="20">
        <v>2</v>
      </c>
      <c r="R433" s="21">
        <v>0</v>
      </c>
      <c r="S433" s="19">
        <v>1</v>
      </c>
      <c r="T433" s="20">
        <v>1</v>
      </c>
      <c r="U433" s="19">
        <v>1</v>
      </c>
      <c r="V433" s="20">
        <v>1</v>
      </c>
      <c r="W433" s="20">
        <v>1</v>
      </c>
      <c r="X433" s="20">
        <v>1</v>
      </c>
      <c r="Y433" s="20">
        <v>1</v>
      </c>
      <c r="Z433" s="20">
        <v>0</v>
      </c>
      <c r="AA433" s="20">
        <v>0</v>
      </c>
      <c r="AB433" s="49">
        <v>0</v>
      </c>
      <c r="AC433" s="49">
        <v>0</v>
      </c>
      <c r="AD433" s="49">
        <v>0</v>
      </c>
      <c r="AE433" s="49">
        <v>0</v>
      </c>
      <c r="AF433" s="49">
        <v>0</v>
      </c>
      <c r="AG433" s="19"/>
      <c r="AH433" s="20"/>
      <c r="AI433" s="20"/>
      <c r="AJ433" s="20"/>
      <c r="AK433" s="20"/>
      <c r="AL433" s="21"/>
      <c r="AM433" s="19"/>
      <c r="AN433" s="20"/>
      <c r="AO433" s="20"/>
      <c r="AP433" s="20"/>
      <c r="AQ433" s="20"/>
      <c r="AR433" s="20"/>
      <c r="AS433" s="20"/>
      <c r="AT433" s="20"/>
      <c r="AU433" s="20"/>
      <c r="AV433" s="23">
        <v>0</v>
      </c>
      <c r="AW433" s="108"/>
      <c r="AX433" s="108"/>
      <c r="AY433" s="108"/>
      <c r="AZ433" s="108"/>
      <c r="BA433" s="114"/>
      <c r="BB433" s="20"/>
      <c r="BC433" s="113"/>
      <c r="BD433" s="200"/>
      <c r="BE433" s="201"/>
      <c r="BF433" s="201"/>
      <c r="BG433" s="201"/>
      <c r="BH433" s="201"/>
      <c r="BI433" s="201"/>
      <c r="BJ433" s="201"/>
      <c r="BK433" s="201"/>
      <c r="BL433" s="201"/>
      <c r="BM433" s="201"/>
      <c r="BN433" s="201"/>
      <c r="BO433" s="201"/>
      <c r="BP433" s="202"/>
    </row>
    <row r="434" spans="1:68" x14ac:dyDescent="0.2">
      <c r="A434" s="54">
        <v>64257100</v>
      </c>
      <c r="B434" s="53" t="str">
        <f>VLOOKUP($A434,[1]maaltijden!$A$1:$IV$65536,4,FALSE)</f>
        <v>LIDL BE MACARONI HAM KAASSAUS 400G (MIXED)</v>
      </c>
      <c r="C434" s="46" t="str">
        <f>VLOOKUP($A434,[1]maaltijden!$A$1:$IV$65536,7,FALSE)</f>
        <v>UK59 KRAFT</v>
      </c>
      <c r="D434" s="22" t="str">
        <f>VLOOKUP($A434,[1]maaltijden!$A$1:$IV$65536,10,FALSE)</f>
        <v>H22</v>
      </c>
      <c r="E434" s="22" t="str">
        <f>VLOOKUP($A434,[1]maaltijden!$A$1:$IV$65536,13,FALSE)</f>
        <v>H22X10</v>
      </c>
      <c r="F434" s="20">
        <f t="shared" si="6"/>
        <v>0</v>
      </c>
      <c r="G434" s="20" t="str">
        <f>VLOOKUP($A434,[1]maaltijden!$A$1:$IV$65536,27,FALSE)</f>
        <v>! !</v>
      </c>
      <c r="H434" s="22">
        <f>VLOOKUP($A434,[1]maaltijden!$A$1:$IV$65536,21,FALSE)</f>
        <v>0</v>
      </c>
      <c r="I434" s="22">
        <f>VLOOKUP($A434,[1]maaltijden!$A$1:$IV$65536,21,FALSE)</f>
        <v>0</v>
      </c>
      <c r="J434" s="22">
        <f>VLOOKUP($A434,[1]maaltijden!$A$1:$IV$65536,18,FALSE)</f>
        <v>0</v>
      </c>
      <c r="K434" s="22">
        <f>VLOOKUP($A434,[1]maaltijden!$A$1:$IV$65536,17,FALSE)</f>
        <v>0</v>
      </c>
      <c r="L434" s="22">
        <f>VLOOKUP($A434,[1]maaltijden!$A$1:$IV$65536,20,FALSE)</f>
        <v>0</v>
      </c>
      <c r="M434" s="22">
        <f>VLOOKUP($A434,[1]maaltijden!$A$1:$IV$65536,22,FALSE)</f>
        <v>0</v>
      </c>
      <c r="N434" s="135"/>
      <c r="O434" s="50"/>
      <c r="P434" s="19">
        <v>1</v>
      </c>
      <c r="Q434" s="20">
        <v>2</v>
      </c>
      <c r="R434" s="21">
        <v>0</v>
      </c>
      <c r="S434" s="19">
        <v>1</v>
      </c>
      <c r="T434" s="20">
        <v>1</v>
      </c>
      <c r="U434" s="19">
        <v>1</v>
      </c>
      <c r="V434" s="20">
        <v>1</v>
      </c>
      <c r="W434" s="20">
        <v>1</v>
      </c>
      <c r="X434" s="20">
        <v>1</v>
      </c>
      <c r="Y434" s="20">
        <v>1</v>
      </c>
      <c r="Z434" s="20">
        <v>0</v>
      </c>
      <c r="AA434" s="20">
        <v>0</v>
      </c>
      <c r="AB434" s="49">
        <v>0</v>
      </c>
      <c r="AC434" s="49">
        <v>0</v>
      </c>
      <c r="AD434" s="49">
        <v>0</v>
      </c>
      <c r="AE434" s="49">
        <v>0</v>
      </c>
      <c r="AF434" s="49">
        <v>0</v>
      </c>
      <c r="AG434" s="19"/>
      <c r="AH434" s="20"/>
      <c r="AI434" s="20"/>
      <c r="AJ434" s="20"/>
      <c r="AK434" s="20"/>
      <c r="AL434" s="21"/>
      <c r="AM434" s="19"/>
      <c r="AN434" s="20"/>
      <c r="AO434" s="20"/>
      <c r="AP434" s="20"/>
      <c r="AQ434" s="20"/>
      <c r="AR434" s="20"/>
      <c r="AS434" s="20"/>
      <c r="AT434" s="20"/>
      <c r="AU434" s="20"/>
      <c r="AV434" s="23">
        <v>0</v>
      </c>
      <c r="AW434" s="108"/>
      <c r="AX434" s="108"/>
      <c r="AY434" s="108"/>
      <c r="AZ434" s="108"/>
      <c r="BA434" s="114"/>
      <c r="BB434" s="20"/>
      <c r="BC434" s="113"/>
      <c r="BD434" s="200"/>
      <c r="BE434" s="201"/>
      <c r="BF434" s="201"/>
      <c r="BG434" s="201"/>
      <c r="BH434" s="201"/>
      <c r="BI434" s="201"/>
      <c r="BJ434" s="201"/>
      <c r="BK434" s="201"/>
      <c r="BL434" s="201"/>
      <c r="BM434" s="201"/>
      <c r="BN434" s="201"/>
      <c r="BO434" s="201"/>
      <c r="BP434" s="202"/>
    </row>
    <row r="435" spans="1:68" x14ac:dyDescent="0.2">
      <c r="A435" s="54">
        <v>64257200</v>
      </c>
      <c r="B435" s="53" t="str">
        <f>VLOOKUP($A435,[1]maaltijden!$A$1:$IV$65536,4,FALSE)</f>
        <v>LIDL BE MACARONI KAASSAUS TOMAAT SPEK 400G (MIXED)</v>
      </c>
      <c r="C435" s="46" t="str">
        <f>VLOOKUP($A435,[1]maaltijden!$A$1:$IV$65536,7,FALSE)</f>
        <v>UK59 KRAFT</v>
      </c>
      <c r="D435" s="22" t="str">
        <f>VLOOKUP($A435,[1]maaltijden!$A$1:$IV$65536,10,FALSE)</f>
        <v>H22</v>
      </c>
      <c r="E435" s="22" t="str">
        <f>VLOOKUP($A435,[1]maaltijden!$A$1:$IV$65536,13,FALSE)</f>
        <v>H22X10</v>
      </c>
      <c r="F435" s="20">
        <f t="shared" si="6"/>
        <v>0</v>
      </c>
      <c r="G435" s="20" t="str">
        <f>VLOOKUP($A435,[1]maaltijden!$A$1:$IV$65536,27,FALSE)</f>
        <v>! ! !</v>
      </c>
      <c r="H435" s="22">
        <f>VLOOKUP($A435,[1]maaltijden!$A$1:$IV$65536,21,FALSE)</f>
        <v>0</v>
      </c>
      <c r="I435" s="22">
        <f>VLOOKUP($A435,[1]maaltijden!$A$1:$IV$65536,21,FALSE)</f>
        <v>0</v>
      </c>
      <c r="J435" s="22">
        <f>VLOOKUP($A435,[1]maaltijden!$A$1:$IV$65536,18,FALSE)</f>
        <v>0</v>
      </c>
      <c r="K435" s="22">
        <f>VLOOKUP($A435,[1]maaltijden!$A$1:$IV$65536,17,FALSE)</f>
        <v>0</v>
      </c>
      <c r="L435" s="22">
        <f>VLOOKUP($A435,[1]maaltijden!$A$1:$IV$65536,20,FALSE)</f>
        <v>0</v>
      </c>
      <c r="M435" s="22">
        <f>VLOOKUP($A435,[1]maaltijden!$A$1:$IV$65536,22,FALSE)</f>
        <v>0</v>
      </c>
      <c r="N435" s="135"/>
      <c r="O435" s="50"/>
      <c r="P435" s="19">
        <v>1</v>
      </c>
      <c r="Q435" s="20">
        <v>2</v>
      </c>
      <c r="R435" s="21">
        <v>0</v>
      </c>
      <c r="S435" s="19">
        <v>1</v>
      </c>
      <c r="T435" s="20">
        <v>1</v>
      </c>
      <c r="U435" s="19">
        <v>1</v>
      </c>
      <c r="V435" s="20">
        <v>1</v>
      </c>
      <c r="W435" s="20">
        <v>1</v>
      </c>
      <c r="X435" s="20">
        <v>1</v>
      </c>
      <c r="Y435" s="20">
        <v>1</v>
      </c>
      <c r="Z435" s="20">
        <v>0</v>
      </c>
      <c r="AA435" s="20">
        <v>0</v>
      </c>
      <c r="AB435" s="49">
        <v>0</v>
      </c>
      <c r="AC435" s="49">
        <v>0</v>
      </c>
      <c r="AD435" s="49">
        <v>0</v>
      </c>
      <c r="AE435" s="49">
        <v>0</v>
      </c>
      <c r="AF435" s="49">
        <v>0</v>
      </c>
      <c r="AG435" s="19"/>
      <c r="AH435" s="20"/>
      <c r="AI435" s="20"/>
      <c r="AJ435" s="20"/>
      <c r="AK435" s="20"/>
      <c r="AL435" s="21"/>
      <c r="AM435" s="19"/>
      <c r="AN435" s="20"/>
      <c r="AO435" s="20"/>
      <c r="AP435" s="20"/>
      <c r="AQ435" s="20"/>
      <c r="AR435" s="20"/>
      <c r="AS435" s="20"/>
      <c r="AT435" s="20"/>
      <c r="AU435" s="20"/>
      <c r="AV435" s="23">
        <v>0</v>
      </c>
      <c r="AW435" s="108"/>
      <c r="AX435" s="108"/>
      <c r="AY435" s="108"/>
      <c r="AZ435" s="108"/>
      <c r="BA435" s="114"/>
      <c r="BB435" s="20"/>
      <c r="BC435" s="113"/>
      <c r="BD435" s="200"/>
      <c r="BE435" s="201"/>
      <c r="BF435" s="201"/>
      <c r="BG435" s="201"/>
      <c r="BH435" s="201"/>
      <c r="BI435" s="201"/>
      <c r="BJ435" s="201"/>
      <c r="BK435" s="201"/>
      <c r="BL435" s="201"/>
      <c r="BM435" s="201"/>
      <c r="BN435" s="201"/>
      <c r="BO435" s="201"/>
      <c r="BP435" s="202"/>
    </row>
    <row r="436" spans="1:68" x14ac:dyDescent="0.2">
      <c r="A436" s="89">
        <v>64260300</v>
      </c>
      <c r="B436" s="53" t="str">
        <f>VLOOKUP($A436,[1]maaltijden!$A$1:$IV$65536,4,FALSE)</f>
        <v>THIRIET WITLOOF HAM KAAS 350G</v>
      </c>
      <c r="C436" s="46" t="str">
        <f>VLOOKUP($A436,[1]maaltijden!$A$1:$IV$65536,7,FALSE)</f>
        <v>UK-59</v>
      </c>
      <c r="D436" s="22" t="str">
        <f>VLOOKUP($A436,[1]maaltijden!$A$1:$IV$65536,10,FALSE)</f>
        <v>H22</v>
      </c>
      <c r="E436" s="22" t="str">
        <f>VLOOKUP($A436,[1]maaltijden!$A$1:$IV$65536,13,FALSE)</f>
        <v>H22X10 GEPERFOREERD</v>
      </c>
      <c r="F436" s="20">
        <f t="shared" si="6"/>
        <v>0</v>
      </c>
      <c r="G436" s="20" t="str">
        <f>VLOOKUP($A436,[1]maaltijden!$A$1:$IV$65536,27,FALSE)</f>
        <v>! !</v>
      </c>
      <c r="H436" s="22">
        <f>VLOOKUP($A436,[1]maaltijden!$A$1:$IV$65536,21,FALSE)</f>
        <v>10</v>
      </c>
      <c r="I436" s="22">
        <f>VLOOKUP($A436,[1]maaltijden!$A$1:$IV$65536,21,FALSE)</f>
        <v>10</v>
      </c>
      <c r="J436" s="22">
        <f>VLOOKUP($A436,[1]maaltijden!$A$1:$IV$65536,18,FALSE)</f>
        <v>2</v>
      </c>
      <c r="K436" s="22">
        <f>VLOOKUP($A436,[1]maaltijden!$A$1:$IV$65536,17,FALSE)</f>
        <v>1</v>
      </c>
      <c r="L436" s="22">
        <f>VLOOKUP($A436,[1]maaltijden!$A$1:$IV$65536,20,FALSE)</f>
        <v>1500</v>
      </c>
      <c r="M436" s="22">
        <f>VLOOKUP($A436,[1]maaltijden!$A$1:$IV$65536,22,FALSE)</f>
        <v>1500</v>
      </c>
      <c r="N436" s="135"/>
      <c r="O436" s="50"/>
      <c r="P436" s="19">
        <v>1</v>
      </c>
      <c r="Q436" s="20">
        <v>2</v>
      </c>
      <c r="R436" s="21">
        <v>0</v>
      </c>
      <c r="S436" s="19">
        <v>1</v>
      </c>
      <c r="T436" s="20">
        <v>1</v>
      </c>
      <c r="U436" s="19">
        <v>0</v>
      </c>
      <c r="V436" s="20">
        <v>1</v>
      </c>
      <c r="W436" s="20">
        <v>1</v>
      </c>
      <c r="X436" s="20">
        <v>1</v>
      </c>
      <c r="Y436" s="20">
        <v>1</v>
      </c>
      <c r="Z436" s="20">
        <v>1</v>
      </c>
      <c r="AA436" s="20">
        <v>0</v>
      </c>
      <c r="AB436" s="49">
        <v>0</v>
      </c>
      <c r="AC436" s="49">
        <v>0</v>
      </c>
      <c r="AD436" s="49">
        <v>0</v>
      </c>
      <c r="AE436" s="49">
        <v>1</v>
      </c>
      <c r="AF436" s="49">
        <v>0</v>
      </c>
      <c r="AG436" s="161">
        <v>0</v>
      </c>
      <c r="AH436" s="162">
        <v>1</v>
      </c>
      <c r="AI436" s="162">
        <v>0</v>
      </c>
      <c r="AJ436" s="162">
        <v>0</v>
      </c>
      <c r="AK436" s="162">
        <v>0</v>
      </c>
      <c r="AL436" s="163">
        <v>0</v>
      </c>
      <c r="AM436" s="19">
        <v>0</v>
      </c>
      <c r="AN436" s="20">
        <f>IFERROR(INDEX([2]lijnopstellingsfiche!$AP$1:$AP$65536,MATCH(A436,[2]lijnopstellingsfiche!$AQ$1:$AQ$65536,0)),"")</f>
        <v>10</v>
      </c>
      <c r="AO436" s="20">
        <v>0</v>
      </c>
      <c r="AP436" s="20">
        <v>1</v>
      </c>
      <c r="AQ436" s="20">
        <v>2</v>
      </c>
      <c r="AR436" s="20">
        <v>0</v>
      </c>
      <c r="AS436" s="20">
        <v>0</v>
      </c>
      <c r="AT436" s="20">
        <v>0</v>
      </c>
      <c r="AU436" s="20">
        <v>0</v>
      </c>
      <c r="AV436" s="23">
        <v>0</v>
      </c>
      <c r="AW436" s="108">
        <v>1</v>
      </c>
      <c r="AX436" s="108">
        <v>0</v>
      </c>
      <c r="AY436" s="108">
        <v>1</v>
      </c>
      <c r="AZ436" s="108"/>
      <c r="BA436" s="114">
        <v>0</v>
      </c>
      <c r="BB436" s="20">
        <v>0</v>
      </c>
      <c r="BC436" s="113">
        <v>1</v>
      </c>
      <c r="BD436" s="200" t="str">
        <f>VLOOKUP($A436,'[3]allergenen 6nr'!$A$1:$O$1310,3,FALSE)</f>
        <v>-</v>
      </c>
      <c r="BE436" s="201" t="str">
        <f>VLOOKUP($A436,'[3]allergenen 6nr'!$A$1:$O$1310,4,FALSE)</f>
        <v>-</v>
      </c>
      <c r="BF436" s="201" t="str">
        <f>VLOOKUP($A436,'[3]allergenen 6nr'!$A$1:$O$1310,5,FALSE)</f>
        <v>+</v>
      </c>
      <c r="BG436" s="201" t="str">
        <f>VLOOKUP($A436,'[3]allergenen 6nr'!$A$1:$O$1310,6,FALSE)</f>
        <v>X</v>
      </c>
      <c r="BH436" s="201" t="str">
        <f>VLOOKUP($A436,'[3]allergenen 6nr'!$A$1:$O$1310,7,FALSE)</f>
        <v>+</v>
      </c>
      <c r="BI436" s="201" t="str">
        <f>VLOOKUP($A436,'[3]allergenen 6nr'!$A$1:$O$1310,8,FALSE)</f>
        <v>X</v>
      </c>
      <c r="BJ436" s="201" t="str">
        <f>VLOOKUP($A436,'[3]allergenen 6nr'!$A$1:$O$1310,9,FALSE)</f>
        <v>-</v>
      </c>
      <c r="BK436" s="201" t="str">
        <f>VLOOKUP($A436,'[3]allergenen 6nr'!$A$1:$O$1310,10,FALSE)</f>
        <v>-</v>
      </c>
      <c r="BL436" s="201" t="str">
        <f>VLOOKUP($A436,'[3]allergenen 6nr'!$A$1:$O$1310,11,FALSE)</f>
        <v>-</v>
      </c>
      <c r="BM436" s="201" t="str">
        <f>VLOOKUP($A436,'[3]allergenen 6nr'!$A$1:$O$1310,12,FALSE)</f>
        <v>-</v>
      </c>
      <c r="BN436" s="201" t="str">
        <f>VLOOKUP($A436,'[3]allergenen 6nr'!$A$1:$O$1310,13,FALSE)</f>
        <v>X</v>
      </c>
      <c r="BO436" s="201" t="str">
        <f>VLOOKUP($A436,'[3]allergenen 6nr'!$A$1:$O$1310,14,FALSE)</f>
        <v>-</v>
      </c>
      <c r="BP436" s="202" t="str">
        <f>VLOOKUP($A436,'[3]allergenen 6nr'!$A$1:$O$1310,15,FALSE)</f>
        <v>-</v>
      </c>
    </row>
    <row r="437" spans="1:68" x14ac:dyDescent="0.2">
      <c r="A437" s="89">
        <v>64270000</v>
      </c>
      <c r="B437" s="53" t="str">
        <f>VLOOKUP($A437,[1]maaltijden!$A$1:$IV$65536,4,FALSE)</f>
        <v>BLUE GREEN BAMI 400G</v>
      </c>
      <c r="C437" s="46" t="str">
        <f>VLOOKUP($A437,[1]maaltijden!$A$1:$IV$65536,7,FALSE)</f>
        <v>UK-59</v>
      </c>
      <c r="D437" s="22" t="str">
        <f>VLOOKUP($A437,[1]maaltijden!$A$1:$IV$65536,10,FALSE)</f>
        <v>NVT</v>
      </c>
      <c r="E437" s="22" t="str">
        <f>VLOOKUP($A437,[1]maaltijden!$A$1:$IV$65536,13,FALSE)</f>
        <v>H22X10</v>
      </c>
      <c r="F437" s="20">
        <f t="shared" si="6"/>
        <v>0</v>
      </c>
      <c r="G437" s="20" t="str">
        <f>VLOOKUP($A437,[1]maaltijden!$A$1:$IV$65536,27,FALSE)</f>
        <v>! ! !</v>
      </c>
      <c r="H437" s="22">
        <f>VLOOKUP($A437,[1]maaltijden!$A$1:$IV$65536,21,FALSE)</f>
        <v>6</v>
      </c>
      <c r="I437" s="22">
        <f>VLOOKUP($A437,[1]maaltijden!$A$1:$IV$65536,21,FALSE)</f>
        <v>6</v>
      </c>
      <c r="J437" s="22">
        <f>VLOOKUP($A437,[1]maaltijden!$A$1:$IV$65536,18,FALSE)</f>
        <v>3</v>
      </c>
      <c r="K437" s="22">
        <f>VLOOKUP($A437,[1]maaltijden!$A$1:$IV$65536,17,FALSE)</f>
        <v>2</v>
      </c>
      <c r="L437" s="22">
        <f>VLOOKUP($A437,[1]maaltijden!$A$1:$IV$65536,20,FALSE)</f>
        <v>2000</v>
      </c>
      <c r="M437" s="22">
        <f>VLOOKUP($A437,[1]maaltijden!$A$1:$IV$65536,22,FALSE)</f>
        <v>2000</v>
      </c>
      <c r="N437" s="135"/>
      <c r="O437" s="50"/>
      <c r="P437" s="19">
        <v>2</v>
      </c>
      <c r="Q437" s="20">
        <v>1</v>
      </c>
      <c r="R437" s="21">
        <v>0</v>
      </c>
      <c r="S437" s="19">
        <v>1</v>
      </c>
      <c r="T437" s="20">
        <v>1</v>
      </c>
      <c r="U437" s="19">
        <v>1</v>
      </c>
      <c r="V437" s="20">
        <v>1</v>
      </c>
      <c r="W437" s="20">
        <v>1</v>
      </c>
      <c r="X437" s="20">
        <v>1</v>
      </c>
      <c r="Y437" s="20">
        <v>1</v>
      </c>
      <c r="Z437" s="20">
        <v>0</v>
      </c>
      <c r="AA437" s="20">
        <v>0</v>
      </c>
      <c r="AB437" s="49">
        <v>0</v>
      </c>
      <c r="AC437" s="49">
        <v>0</v>
      </c>
      <c r="AD437" s="49">
        <v>0</v>
      </c>
      <c r="AE437" s="49">
        <v>0</v>
      </c>
      <c r="AF437" s="49">
        <v>0</v>
      </c>
      <c r="AG437" s="161">
        <v>1</v>
      </c>
      <c r="AH437" s="162">
        <v>0</v>
      </c>
      <c r="AI437" s="162">
        <v>1</v>
      </c>
      <c r="AJ437" s="162">
        <v>1</v>
      </c>
      <c r="AK437" s="162">
        <v>0</v>
      </c>
      <c r="AL437" s="163">
        <v>0</v>
      </c>
      <c r="AM437" s="19">
        <v>1</v>
      </c>
      <c r="AN437" s="20">
        <f>IFERROR(INDEX([2]lijnopstellingsfiche!$AP$1:$AP$65536,MATCH(A437,[2]lijnopstellingsfiche!$AQ$1:$AQ$65536,0)),"")</f>
        <v>1</v>
      </c>
      <c r="AO437" s="20">
        <v>0</v>
      </c>
      <c r="AP437" s="20">
        <v>0</v>
      </c>
      <c r="AQ437" s="20">
        <v>0</v>
      </c>
      <c r="AR437" s="20">
        <v>0</v>
      </c>
      <c r="AS437" s="20">
        <v>0</v>
      </c>
      <c r="AT437" s="20">
        <v>0</v>
      </c>
      <c r="AU437" s="20">
        <v>0</v>
      </c>
      <c r="AV437" s="23">
        <v>0</v>
      </c>
      <c r="AW437" s="108">
        <v>0</v>
      </c>
      <c r="AX437" s="108">
        <v>0</v>
      </c>
      <c r="AY437" s="108">
        <v>1</v>
      </c>
      <c r="AZ437" s="108"/>
      <c r="BA437" s="114">
        <v>1</v>
      </c>
      <c r="BB437" s="20">
        <v>0</v>
      </c>
      <c r="BC437" s="113">
        <v>0</v>
      </c>
      <c r="BD437" s="200" t="str">
        <f>VLOOKUP($A437,'[3]allergenen 6nr'!$A$1:$O$1310,3,FALSE)</f>
        <v>-</v>
      </c>
      <c r="BE437" s="201" t="str">
        <f>VLOOKUP($A437,'[3]allergenen 6nr'!$A$1:$O$1310,4,FALSE)</f>
        <v>X</v>
      </c>
      <c r="BF437" s="201" t="str">
        <f>VLOOKUP($A437,'[3]allergenen 6nr'!$A$1:$O$1310,5,FALSE)</f>
        <v>+</v>
      </c>
      <c r="BG437" s="201" t="str">
        <f>VLOOKUP($A437,'[3]allergenen 6nr'!$A$1:$O$1310,6,FALSE)</f>
        <v>X</v>
      </c>
      <c r="BH437" s="201" t="str">
        <f>VLOOKUP($A437,'[3]allergenen 6nr'!$A$1:$O$1310,7,FALSE)</f>
        <v>-</v>
      </c>
      <c r="BI437" s="201" t="str">
        <f>VLOOKUP($A437,'[3]allergenen 6nr'!$A$1:$O$1310,8,FALSE)</f>
        <v>+</v>
      </c>
      <c r="BJ437" s="201" t="str">
        <f>VLOOKUP($A437,'[3]allergenen 6nr'!$A$1:$O$1310,9,FALSE)</f>
        <v>-</v>
      </c>
      <c r="BK437" s="201" t="str">
        <f>VLOOKUP($A437,'[3]allergenen 6nr'!$A$1:$O$1310,10,FALSE)</f>
        <v>-</v>
      </c>
      <c r="BL437" s="201" t="str">
        <f>VLOOKUP($A437,'[3]allergenen 6nr'!$A$1:$O$1310,11,FALSE)</f>
        <v>+</v>
      </c>
      <c r="BM437" s="201" t="str">
        <f>VLOOKUP($A437,'[3]allergenen 6nr'!$A$1:$O$1310,12,FALSE)</f>
        <v>-</v>
      </c>
      <c r="BN437" s="201" t="str">
        <f>VLOOKUP($A437,'[3]allergenen 6nr'!$A$1:$O$1310,13,FALSE)</f>
        <v>+</v>
      </c>
      <c r="BO437" s="201" t="str">
        <f>VLOOKUP($A437,'[3]allergenen 6nr'!$A$1:$O$1310,14,FALSE)</f>
        <v>-</v>
      </c>
      <c r="BP437" s="202" t="str">
        <f>VLOOKUP($A437,'[3]allergenen 6nr'!$A$1:$O$1310,15,FALSE)</f>
        <v>-</v>
      </c>
    </row>
    <row r="438" spans="1:68" x14ac:dyDescent="0.2">
      <c r="A438" s="89">
        <v>64270100</v>
      </c>
      <c r="B438" s="53" t="str">
        <f>VLOOKUP($A438,[1]maaltijden!$A$1:$IV$65536,4,FALSE)</f>
        <v>BLUE GREEN NASI 400G</v>
      </c>
      <c r="C438" s="46" t="str">
        <f>VLOOKUP($A438,[1]maaltijden!$A$1:$IV$65536,7,FALSE)</f>
        <v>UK-59</v>
      </c>
      <c r="D438" s="22" t="str">
        <f>VLOOKUP($A438,[1]maaltijden!$A$1:$IV$65536,10,FALSE)</f>
        <v>NVT</v>
      </c>
      <c r="E438" s="22" t="str">
        <f>VLOOKUP($A438,[1]maaltijden!$A$1:$IV$65536,13,FALSE)</f>
        <v>H22X10</v>
      </c>
      <c r="F438" s="20">
        <f t="shared" si="6"/>
        <v>0</v>
      </c>
      <c r="G438" s="20" t="str">
        <f>VLOOKUP($A438,[1]maaltijden!$A$1:$IV$65536,27,FALSE)</f>
        <v>! ! !</v>
      </c>
      <c r="H438" s="22">
        <f>VLOOKUP($A438,[1]maaltijden!$A$1:$IV$65536,21,FALSE)</f>
        <v>5</v>
      </c>
      <c r="I438" s="22">
        <f>VLOOKUP($A438,[1]maaltijden!$A$1:$IV$65536,21,FALSE)</f>
        <v>5</v>
      </c>
      <c r="J438" s="22">
        <f>VLOOKUP($A438,[1]maaltijden!$A$1:$IV$65536,18,FALSE)</f>
        <v>3</v>
      </c>
      <c r="K438" s="22">
        <f>VLOOKUP($A438,[1]maaltijden!$A$1:$IV$65536,17,FALSE)</f>
        <v>2</v>
      </c>
      <c r="L438" s="22">
        <f>VLOOKUP($A438,[1]maaltijden!$A$1:$IV$65536,20,FALSE)</f>
        <v>2000</v>
      </c>
      <c r="M438" s="22">
        <f>VLOOKUP($A438,[1]maaltijden!$A$1:$IV$65536,22,FALSE)</f>
        <v>2000</v>
      </c>
      <c r="N438" s="135"/>
      <c r="O438" s="50"/>
      <c r="P438" s="19">
        <v>2</v>
      </c>
      <c r="Q438" s="20">
        <v>1</v>
      </c>
      <c r="R438" s="21">
        <v>0</v>
      </c>
      <c r="S438" s="19">
        <v>1</v>
      </c>
      <c r="T438" s="20">
        <v>1</v>
      </c>
      <c r="U438" s="19">
        <v>1</v>
      </c>
      <c r="V438" s="20">
        <v>1</v>
      </c>
      <c r="W438" s="20">
        <v>1</v>
      </c>
      <c r="X438" s="20">
        <v>1</v>
      </c>
      <c r="Y438" s="20">
        <v>1</v>
      </c>
      <c r="Z438" s="20">
        <v>0</v>
      </c>
      <c r="AA438" s="20">
        <v>0</v>
      </c>
      <c r="AB438" s="49">
        <v>0</v>
      </c>
      <c r="AC438" s="49">
        <v>0</v>
      </c>
      <c r="AD438" s="49">
        <v>0</v>
      </c>
      <c r="AE438" s="49">
        <v>0</v>
      </c>
      <c r="AF438" s="49">
        <v>0</v>
      </c>
      <c r="AG438" s="161">
        <v>1</v>
      </c>
      <c r="AH438" s="162">
        <v>0</v>
      </c>
      <c r="AI438" s="162">
        <v>1</v>
      </c>
      <c r="AJ438" s="162">
        <v>1</v>
      </c>
      <c r="AK438" s="162">
        <v>0</v>
      </c>
      <c r="AL438" s="163">
        <v>0</v>
      </c>
      <c r="AM438" s="19">
        <v>1</v>
      </c>
      <c r="AN438" s="20">
        <f>IFERROR(INDEX([2]lijnopstellingsfiche!$AP$1:$AP$65536,MATCH(A438,[2]lijnopstellingsfiche!$AQ$1:$AQ$65536,0)),"")</f>
        <v>1</v>
      </c>
      <c r="AO438" s="20">
        <v>0</v>
      </c>
      <c r="AP438" s="20">
        <v>0</v>
      </c>
      <c r="AQ438" s="20">
        <v>0</v>
      </c>
      <c r="AR438" s="20">
        <v>0</v>
      </c>
      <c r="AS438" s="20">
        <v>0</v>
      </c>
      <c r="AT438" s="20">
        <v>0</v>
      </c>
      <c r="AU438" s="20">
        <v>0</v>
      </c>
      <c r="AV438" s="23">
        <v>0</v>
      </c>
      <c r="AW438" s="108">
        <v>0</v>
      </c>
      <c r="AX438" s="108">
        <v>0</v>
      </c>
      <c r="AY438" s="108">
        <v>1</v>
      </c>
      <c r="AZ438" s="108"/>
      <c r="BA438" s="114">
        <v>1</v>
      </c>
      <c r="BB438" s="20">
        <v>0</v>
      </c>
      <c r="BC438" s="113">
        <v>0</v>
      </c>
      <c r="BD438" s="200" t="str">
        <f>VLOOKUP($A438,'[3]allergenen 6nr'!$A$1:$O$1310,3,FALSE)</f>
        <v>-</v>
      </c>
      <c r="BE438" s="201" t="str">
        <f>VLOOKUP($A438,'[3]allergenen 6nr'!$A$1:$O$1310,4,FALSE)</f>
        <v>-</v>
      </c>
      <c r="BF438" s="201" t="str">
        <f>VLOOKUP($A438,'[3]allergenen 6nr'!$A$1:$O$1310,5,FALSE)</f>
        <v>+</v>
      </c>
      <c r="BG438" s="201" t="str">
        <f>VLOOKUP($A438,'[3]allergenen 6nr'!$A$1:$O$1310,6,FALSE)</f>
        <v>-</v>
      </c>
      <c r="BH438" s="201" t="str">
        <f>VLOOKUP($A438,'[3]allergenen 6nr'!$A$1:$O$1310,7,FALSE)</f>
        <v>-</v>
      </c>
      <c r="BI438" s="201" t="str">
        <f>VLOOKUP($A438,'[3]allergenen 6nr'!$A$1:$O$1310,8,FALSE)</f>
        <v>+</v>
      </c>
      <c r="BJ438" s="201" t="str">
        <f>VLOOKUP($A438,'[3]allergenen 6nr'!$A$1:$O$1310,9,FALSE)</f>
        <v>-</v>
      </c>
      <c r="BK438" s="201" t="str">
        <f>VLOOKUP($A438,'[3]allergenen 6nr'!$A$1:$O$1310,10,FALSE)</f>
        <v>-</v>
      </c>
      <c r="BL438" s="201" t="str">
        <f>VLOOKUP($A438,'[3]allergenen 6nr'!$A$1:$O$1310,11,FALSE)</f>
        <v>+</v>
      </c>
      <c r="BM438" s="201" t="str">
        <f>VLOOKUP($A438,'[3]allergenen 6nr'!$A$1:$O$1310,12,FALSE)</f>
        <v>-</v>
      </c>
      <c r="BN438" s="201" t="str">
        <f>VLOOKUP($A438,'[3]allergenen 6nr'!$A$1:$O$1310,13,FALSE)</f>
        <v>+</v>
      </c>
      <c r="BO438" s="201" t="str">
        <f>VLOOKUP($A438,'[3]allergenen 6nr'!$A$1:$O$1310,14,FALSE)</f>
        <v>-</v>
      </c>
      <c r="BP438" s="202" t="str">
        <f>VLOOKUP($A438,'[3]allergenen 6nr'!$A$1:$O$1310,15,FALSE)</f>
        <v>-</v>
      </c>
    </row>
    <row r="439" spans="1:68" x14ac:dyDescent="0.2">
      <c r="A439" s="89">
        <v>64270200</v>
      </c>
      <c r="B439" s="53" t="str">
        <f>VLOOKUP($A439,[1]maaltijden!$A$1:$IV$65536,4,FALSE)</f>
        <v>BLUE GREEN MACARONI 400G</v>
      </c>
      <c r="C439" s="46" t="str">
        <f>VLOOKUP($A439,[1]maaltijden!$A$1:$IV$65536,7,FALSE)</f>
        <v>UK-59</v>
      </c>
      <c r="D439" s="22" t="str">
        <f>VLOOKUP($A439,[1]maaltijden!$A$1:$IV$65536,10,FALSE)</f>
        <v>NVT</v>
      </c>
      <c r="E439" s="22" t="str">
        <f>VLOOKUP($A439,[1]maaltijden!$A$1:$IV$65536,13,FALSE)</f>
        <v>H22X10</v>
      </c>
      <c r="F439" s="20">
        <f t="shared" si="6"/>
        <v>0</v>
      </c>
      <c r="G439" s="20" t="str">
        <f>VLOOKUP($A439,[1]maaltijden!$A$1:$IV$65536,27,FALSE)</f>
        <v>! ! !</v>
      </c>
      <c r="H439" s="22">
        <f>VLOOKUP($A439,[1]maaltijden!$A$1:$IV$65536,21,FALSE)</f>
        <v>5</v>
      </c>
      <c r="I439" s="22">
        <f>VLOOKUP($A439,[1]maaltijden!$A$1:$IV$65536,21,FALSE)</f>
        <v>5</v>
      </c>
      <c r="J439" s="22">
        <f>VLOOKUP($A439,[1]maaltijden!$A$1:$IV$65536,18,FALSE)</f>
        <v>3</v>
      </c>
      <c r="K439" s="22">
        <f>VLOOKUP($A439,[1]maaltijden!$A$1:$IV$65536,17,FALSE)</f>
        <v>2</v>
      </c>
      <c r="L439" s="22">
        <f>VLOOKUP($A439,[1]maaltijden!$A$1:$IV$65536,20,FALSE)</f>
        <v>2000</v>
      </c>
      <c r="M439" s="22">
        <f>VLOOKUP($A439,[1]maaltijden!$A$1:$IV$65536,22,FALSE)</f>
        <v>2000</v>
      </c>
      <c r="N439" s="135"/>
      <c r="O439" s="50"/>
      <c r="P439" s="19">
        <v>2</v>
      </c>
      <c r="Q439" s="20">
        <v>1</v>
      </c>
      <c r="R439" s="21">
        <v>0</v>
      </c>
      <c r="S439" s="19">
        <v>1</v>
      </c>
      <c r="T439" s="20">
        <v>1</v>
      </c>
      <c r="U439" s="19">
        <v>1</v>
      </c>
      <c r="V439" s="20">
        <v>1</v>
      </c>
      <c r="W439" s="20">
        <v>1</v>
      </c>
      <c r="X439" s="20">
        <v>1</v>
      </c>
      <c r="Y439" s="20">
        <v>1</v>
      </c>
      <c r="Z439" s="20">
        <v>0</v>
      </c>
      <c r="AA439" s="20">
        <v>0</v>
      </c>
      <c r="AB439" s="49">
        <v>0</v>
      </c>
      <c r="AC439" s="49">
        <v>0</v>
      </c>
      <c r="AD439" s="49">
        <v>0</v>
      </c>
      <c r="AE439" s="49">
        <v>0</v>
      </c>
      <c r="AF439" s="49">
        <v>0</v>
      </c>
      <c r="AG439" s="161">
        <v>1</v>
      </c>
      <c r="AH439" s="162">
        <v>0</v>
      </c>
      <c r="AI439" s="162">
        <v>1</v>
      </c>
      <c r="AJ439" s="162">
        <v>1</v>
      </c>
      <c r="AK439" s="162">
        <v>0</v>
      </c>
      <c r="AL439" s="163">
        <v>0</v>
      </c>
      <c r="AM439" s="19">
        <v>1</v>
      </c>
      <c r="AN439" s="20">
        <f>IFERROR(INDEX([2]lijnopstellingsfiche!$AP$1:$AP$65536,MATCH(A439,[2]lijnopstellingsfiche!$AQ$1:$AQ$65536,0)),"")</f>
        <v>1</v>
      </c>
      <c r="AO439" s="20">
        <v>0</v>
      </c>
      <c r="AP439" s="20">
        <v>0</v>
      </c>
      <c r="AQ439" s="20">
        <v>0</v>
      </c>
      <c r="AR439" s="20">
        <v>0</v>
      </c>
      <c r="AS439" s="20">
        <v>0</v>
      </c>
      <c r="AT439" s="20">
        <v>0</v>
      </c>
      <c r="AU439" s="20">
        <v>0</v>
      </c>
      <c r="AV439" s="23">
        <v>0</v>
      </c>
      <c r="AW439" s="108">
        <v>0</v>
      </c>
      <c r="AX439" s="108">
        <v>0</v>
      </c>
      <c r="AY439" s="108">
        <v>1</v>
      </c>
      <c r="AZ439" s="108"/>
      <c r="BA439" s="114">
        <v>1</v>
      </c>
      <c r="BB439" s="20">
        <v>0</v>
      </c>
      <c r="BC439" s="113">
        <v>0</v>
      </c>
      <c r="BD439" s="200" t="str">
        <f>VLOOKUP($A439,'[3]allergenen 6nr'!$A$1:$O$1310,3,FALSE)</f>
        <v>-</v>
      </c>
      <c r="BE439" s="201" t="str">
        <f>VLOOKUP($A439,'[3]allergenen 6nr'!$A$1:$O$1310,4,FALSE)</f>
        <v>X</v>
      </c>
      <c r="BF439" s="201" t="str">
        <f>VLOOKUP($A439,'[3]allergenen 6nr'!$A$1:$O$1310,5,FALSE)</f>
        <v>+</v>
      </c>
      <c r="BG439" s="201" t="str">
        <f>VLOOKUP($A439,'[3]allergenen 6nr'!$A$1:$O$1310,6,FALSE)</f>
        <v>X</v>
      </c>
      <c r="BH439" s="201" t="str">
        <f>VLOOKUP($A439,'[3]allergenen 6nr'!$A$1:$O$1310,7,FALSE)</f>
        <v>-</v>
      </c>
      <c r="BI439" s="201" t="str">
        <f>VLOOKUP($A439,'[3]allergenen 6nr'!$A$1:$O$1310,8,FALSE)</f>
        <v>X</v>
      </c>
      <c r="BJ439" s="201" t="str">
        <f>VLOOKUP($A439,'[3]allergenen 6nr'!$A$1:$O$1310,9,FALSE)</f>
        <v>-</v>
      </c>
      <c r="BK439" s="201" t="str">
        <f>VLOOKUP($A439,'[3]allergenen 6nr'!$A$1:$O$1310,10,FALSE)</f>
        <v>-</v>
      </c>
      <c r="BL439" s="201" t="str">
        <f>VLOOKUP($A439,'[3]allergenen 6nr'!$A$1:$O$1310,11,FALSE)</f>
        <v>+</v>
      </c>
      <c r="BM439" s="201" t="str">
        <f>VLOOKUP($A439,'[3]allergenen 6nr'!$A$1:$O$1310,12,FALSE)</f>
        <v>-</v>
      </c>
      <c r="BN439" s="201" t="str">
        <f>VLOOKUP($A439,'[3]allergenen 6nr'!$A$1:$O$1310,13,FALSE)</f>
        <v>+</v>
      </c>
      <c r="BO439" s="201" t="str">
        <f>VLOOKUP($A439,'[3]allergenen 6nr'!$A$1:$O$1310,14,FALSE)</f>
        <v>-</v>
      </c>
      <c r="BP439" s="202" t="str">
        <f>VLOOKUP($A439,'[3]allergenen 6nr'!$A$1:$O$1310,15,FALSE)</f>
        <v>-</v>
      </c>
    </row>
    <row r="440" spans="1:68" x14ac:dyDescent="0.2">
      <c r="A440" s="89">
        <v>64280100</v>
      </c>
      <c r="B440" s="53" t="str">
        <f>VLOOKUP($A440,[1]maaltijden!$A$1:$IV$65536,4,FALSE)</f>
        <v>BOF BE LASAGNE KIP 450G</v>
      </c>
      <c r="C440" s="46" t="str">
        <f>VLOOKUP($A440,[1]maaltijden!$A$1:$IV$65536,7,FALSE)</f>
        <v>UK-59</v>
      </c>
      <c r="D440" s="22" t="str">
        <f>VLOOKUP($A440,[1]maaltijden!$A$1:$IV$65536,10,FALSE)</f>
        <v>H22</v>
      </c>
      <c r="E440" s="22" t="str">
        <f>VLOOKUP($A440,[1]maaltijden!$A$1:$IV$65536,13,FALSE)</f>
        <v>H22X10</v>
      </c>
      <c r="F440" s="20">
        <f t="shared" si="6"/>
        <v>0</v>
      </c>
      <c r="G440" s="20" t="str">
        <f>VLOOKUP($A440,[1]maaltijden!$A$1:$IV$65536,27,FALSE)</f>
        <v>! !</v>
      </c>
      <c r="H440" s="22">
        <f>VLOOKUP($A440,[1]maaltijden!$A$1:$IV$65536,21,FALSE)</f>
        <v>7</v>
      </c>
      <c r="I440" s="22">
        <f>VLOOKUP($A440,[1]maaltijden!$A$1:$IV$65536,21,FALSE)</f>
        <v>7</v>
      </c>
      <c r="J440" s="22">
        <f>VLOOKUP($A440,[1]maaltijden!$A$1:$IV$65536,18,FALSE)</f>
        <v>2</v>
      </c>
      <c r="K440" s="22">
        <f>VLOOKUP($A440,[1]maaltijden!$A$1:$IV$65536,17,FALSE)</f>
        <v>2</v>
      </c>
      <c r="L440" s="22">
        <f>VLOOKUP($A440,[1]maaltijden!$A$1:$IV$65536,20,FALSE)</f>
        <v>2500</v>
      </c>
      <c r="M440" s="22">
        <f>VLOOKUP($A440,[1]maaltijden!$A$1:$IV$65536,22,FALSE)</f>
        <v>2500</v>
      </c>
      <c r="N440" s="135"/>
      <c r="O440" s="50"/>
      <c r="P440" s="19">
        <v>1</v>
      </c>
      <c r="Q440" s="20">
        <v>2</v>
      </c>
      <c r="R440" s="21">
        <v>0</v>
      </c>
      <c r="S440" s="19">
        <v>1</v>
      </c>
      <c r="T440" s="20">
        <v>1</v>
      </c>
      <c r="U440" s="19">
        <v>1</v>
      </c>
      <c r="V440" s="20">
        <v>1</v>
      </c>
      <c r="W440" s="20">
        <v>1</v>
      </c>
      <c r="X440" s="20">
        <v>1</v>
      </c>
      <c r="Y440" s="20">
        <v>1</v>
      </c>
      <c r="Z440" s="20">
        <v>0</v>
      </c>
      <c r="AA440" s="20">
        <v>0</v>
      </c>
      <c r="AB440" s="49">
        <v>0</v>
      </c>
      <c r="AC440" s="49">
        <v>0</v>
      </c>
      <c r="AD440" s="49">
        <v>0</v>
      </c>
      <c r="AE440" s="49">
        <v>0</v>
      </c>
      <c r="AF440" s="49">
        <v>0</v>
      </c>
      <c r="AG440" s="161">
        <v>0</v>
      </c>
      <c r="AH440" s="162">
        <v>2</v>
      </c>
      <c r="AI440" s="162">
        <v>0</v>
      </c>
      <c r="AJ440" s="162">
        <v>0</v>
      </c>
      <c r="AK440" s="162">
        <v>0</v>
      </c>
      <c r="AL440" s="163">
        <v>0</v>
      </c>
      <c r="AM440" s="19">
        <v>0</v>
      </c>
      <c r="AN440" s="20" t="str">
        <f>IFERROR(INDEX([2]lijnopstellingsfiche!$AP$1:$AP$65536,MATCH(A440,[2]lijnopstellingsfiche!$AQ$1:$AQ$65536,0)),"")</f>
        <v>-</v>
      </c>
      <c r="AO440" s="20">
        <v>0</v>
      </c>
      <c r="AP440" s="20">
        <v>0</v>
      </c>
      <c r="AQ440" s="20">
        <v>4</v>
      </c>
      <c r="AR440" s="20">
        <v>1</v>
      </c>
      <c r="AS440" s="20">
        <v>0</v>
      </c>
      <c r="AT440" s="20">
        <v>0</v>
      </c>
      <c r="AU440" s="20">
        <v>0</v>
      </c>
      <c r="AV440" s="23">
        <v>0</v>
      </c>
      <c r="AW440" s="108">
        <v>1</v>
      </c>
      <c r="AX440" s="108">
        <v>0</v>
      </c>
      <c r="AY440" s="108">
        <v>1</v>
      </c>
      <c r="AZ440" s="108"/>
      <c r="BA440" s="114">
        <v>0</v>
      </c>
      <c r="BB440" s="20">
        <v>1</v>
      </c>
      <c r="BC440" s="113">
        <v>0</v>
      </c>
      <c r="BD440" s="200" t="str">
        <f>VLOOKUP($A440,'[3]allergenen 6nr'!$A$1:$O$1310,3,FALSE)</f>
        <v>-</v>
      </c>
      <c r="BE440" s="201" t="str">
        <f>VLOOKUP($A440,'[3]allergenen 6nr'!$A$1:$O$1310,4,FALSE)</f>
        <v>+</v>
      </c>
      <c r="BF440" s="201" t="str">
        <f>VLOOKUP($A440,'[3]allergenen 6nr'!$A$1:$O$1310,5,FALSE)</f>
        <v>+</v>
      </c>
      <c r="BG440" s="201" t="str">
        <f>VLOOKUP($A440,'[3]allergenen 6nr'!$A$1:$O$1310,6,FALSE)</f>
        <v>-</v>
      </c>
      <c r="BH440" s="201" t="str">
        <f>VLOOKUP($A440,'[3]allergenen 6nr'!$A$1:$O$1310,7,FALSE)</f>
        <v>+</v>
      </c>
      <c r="BI440" s="201" t="str">
        <f>VLOOKUP($A440,'[3]allergenen 6nr'!$A$1:$O$1310,8,FALSE)</f>
        <v>X</v>
      </c>
      <c r="BJ440" s="201" t="str">
        <f>VLOOKUP($A440,'[3]allergenen 6nr'!$A$1:$O$1310,9,FALSE)</f>
        <v>-</v>
      </c>
      <c r="BK440" s="201" t="str">
        <f>VLOOKUP($A440,'[3]allergenen 6nr'!$A$1:$O$1310,10,FALSE)</f>
        <v>X</v>
      </c>
      <c r="BL440" s="201" t="str">
        <f>VLOOKUP($A440,'[3]allergenen 6nr'!$A$1:$O$1310,11,FALSE)</f>
        <v>X</v>
      </c>
      <c r="BM440" s="201" t="str">
        <f>VLOOKUP($A440,'[3]allergenen 6nr'!$A$1:$O$1310,12,FALSE)</f>
        <v>-</v>
      </c>
      <c r="BN440" s="201" t="str">
        <f>VLOOKUP($A440,'[3]allergenen 6nr'!$A$1:$O$1310,13,FALSE)</f>
        <v>X</v>
      </c>
      <c r="BO440" s="201" t="str">
        <f>VLOOKUP($A440,'[3]allergenen 6nr'!$A$1:$O$1310,14,FALSE)</f>
        <v>X</v>
      </c>
      <c r="BP440" s="202" t="str">
        <f>VLOOKUP($A440,'[3]allergenen 6nr'!$A$1:$O$1310,15,FALSE)</f>
        <v>X</v>
      </c>
    </row>
    <row r="441" spans="1:68" x14ac:dyDescent="0.2">
      <c r="A441" s="89">
        <v>64280300</v>
      </c>
      <c r="B441" s="53" t="str">
        <f>VLOOKUP($A441,[1]maaltijden!$A$1:$IV$65536,4,FALSE)</f>
        <v>BOF BE LASAGNE WITLOOF HAM KAAS 450G</v>
      </c>
      <c r="C441" s="46" t="str">
        <f>VLOOKUP($A441,[1]maaltijden!$A$1:$IV$65536,7,FALSE)</f>
        <v>UK-59</v>
      </c>
      <c r="D441" s="22" t="str">
        <f>VLOOKUP($A441,[1]maaltijden!$A$1:$IV$65536,10,FALSE)</f>
        <v>H22</v>
      </c>
      <c r="E441" s="22" t="str">
        <f>VLOOKUP($A441,[1]maaltijden!$A$1:$IV$65536,13,FALSE)</f>
        <v>H22X10</v>
      </c>
      <c r="F441" s="20">
        <f t="shared" si="6"/>
        <v>0</v>
      </c>
      <c r="G441" s="20" t="str">
        <f>VLOOKUP($A441,[1]maaltijden!$A$1:$IV$65536,27,FALSE)</f>
        <v>! ! !</v>
      </c>
      <c r="H441" s="22">
        <f>VLOOKUP($A441,[1]maaltijden!$A$1:$IV$65536,21,FALSE)</f>
        <v>6</v>
      </c>
      <c r="I441" s="22">
        <f>VLOOKUP($A441,[1]maaltijden!$A$1:$IV$65536,21,FALSE)</f>
        <v>6</v>
      </c>
      <c r="J441" s="22">
        <f>VLOOKUP($A441,[1]maaltijden!$A$1:$IV$65536,18,FALSE)</f>
        <v>2</v>
      </c>
      <c r="K441" s="22">
        <f>VLOOKUP($A441,[1]maaltijden!$A$1:$IV$65536,17,FALSE)</f>
        <v>2</v>
      </c>
      <c r="L441" s="22">
        <f>VLOOKUP($A441,[1]maaltijden!$A$1:$IV$65536,20,FALSE)</f>
        <v>2500</v>
      </c>
      <c r="M441" s="22">
        <f>VLOOKUP($A441,[1]maaltijden!$A$1:$IV$65536,22,FALSE)</f>
        <v>2500</v>
      </c>
      <c r="N441" s="135"/>
      <c r="O441" s="50"/>
      <c r="P441" s="19">
        <v>1</v>
      </c>
      <c r="Q441" s="20">
        <v>2</v>
      </c>
      <c r="R441" s="21">
        <v>0</v>
      </c>
      <c r="S441" s="19">
        <v>1</v>
      </c>
      <c r="T441" s="20">
        <v>1</v>
      </c>
      <c r="U441" s="19">
        <v>0</v>
      </c>
      <c r="V441" s="20">
        <v>1</v>
      </c>
      <c r="W441" s="20">
        <v>1</v>
      </c>
      <c r="X441" s="20">
        <v>1</v>
      </c>
      <c r="Y441" s="20">
        <v>1</v>
      </c>
      <c r="Z441" s="20">
        <v>0</v>
      </c>
      <c r="AA441" s="20">
        <v>0</v>
      </c>
      <c r="AB441" s="49">
        <v>0</v>
      </c>
      <c r="AC441" s="49">
        <v>0</v>
      </c>
      <c r="AD441" s="49">
        <v>0</v>
      </c>
      <c r="AE441" s="49">
        <v>1</v>
      </c>
      <c r="AF441" s="49">
        <v>0</v>
      </c>
      <c r="AG441" s="161">
        <v>0</v>
      </c>
      <c r="AH441" s="162">
        <v>2</v>
      </c>
      <c r="AI441" s="162">
        <v>0</v>
      </c>
      <c r="AJ441" s="162">
        <v>0</v>
      </c>
      <c r="AK441" s="162">
        <v>0</v>
      </c>
      <c r="AL441" s="163">
        <v>0</v>
      </c>
      <c r="AM441" s="19">
        <v>0</v>
      </c>
      <c r="AN441" s="20" t="str">
        <f>IFERROR(INDEX([2]lijnopstellingsfiche!$AP$1:$AP$65536,MATCH(A441,[2]lijnopstellingsfiche!$AQ$1:$AQ$65536,0)),"")</f>
        <v>-</v>
      </c>
      <c r="AO441" s="20">
        <v>0</v>
      </c>
      <c r="AP441" s="20">
        <v>1</v>
      </c>
      <c r="AQ441" s="20">
        <v>5</v>
      </c>
      <c r="AR441" s="20">
        <v>0</v>
      </c>
      <c r="AS441" s="20">
        <v>0</v>
      </c>
      <c r="AT441" s="20">
        <v>0</v>
      </c>
      <c r="AU441" s="20">
        <v>0</v>
      </c>
      <c r="AV441" s="23">
        <v>0</v>
      </c>
      <c r="AW441" s="108">
        <v>1</v>
      </c>
      <c r="AX441" s="108">
        <v>0</v>
      </c>
      <c r="AY441" s="108">
        <v>1</v>
      </c>
      <c r="AZ441" s="108"/>
      <c r="BA441" s="114">
        <v>0</v>
      </c>
      <c r="BB441" s="20">
        <v>1</v>
      </c>
      <c r="BC441" s="113">
        <v>0</v>
      </c>
      <c r="BD441" s="200" t="str">
        <f>VLOOKUP($A441,'[3]allergenen 6nr'!$A$1:$O$1310,3,FALSE)</f>
        <v>-</v>
      </c>
      <c r="BE441" s="201" t="str">
        <f>VLOOKUP($A441,'[3]allergenen 6nr'!$A$1:$O$1310,4,FALSE)</f>
        <v>+</v>
      </c>
      <c r="BF441" s="201" t="str">
        <f>VLOOKUP($A441,'[3]allergenen 6nr'!$A$1:$O$1310,5,FALSE)</f>
        <v>+</v>
      </c>
      <c r="BG441" s="201" t="str">
        <f>VLOOKUP($A441,'[3]allergenen 6nr'!$A$1:$O$1310,6,FALSE)</f>
        <v>X</v>
      </c>
      <c r="BH441" s="201" t="str">
        <f>VLOOKUP($A441,'[3]allergenen 6nr'!$A$1:$O$1310,7,FALSE)</f>
        <v>+</v>
      </c>
      <c r="BI441" s="201" t="str">
        <f>VLOOKUP($A441,'[3]allergenen 6nr'!$A$1:$O$1310,8,FALSE)</f>
        <v>X</v>
      </c>
      <c r="BJ441" s="201" t="str">
        <f>VLOOKUP($A441,'[3]allergenen 6nr'!$A$1:$O$1310,9,FALSE)</f>
        <v>-</v>
      </c>
      <c r="BK441" s="201" t="str">
        <f>VLOOKUP($A441,'[3]allergenen 6nr'!$A$1:$O$1310,10,FALSE)</f>
        <v>-</v>
      </c>
      <c r="BL441" s="201" t="str">
        <f>VLOOKUP($A441,'[3]allergenen 6nr'!$A$1:$O$1310,11,FALSE)</f>
        <v>X</v>
      </c>
      <c r="BM441" s="201" t="str">
        <f>VLOOKUP($A441,'[3]allergenen 6nr'!$A$1:$O$1310,12,FALSE)</f>
        <v>-</v>
      </c>
      <c r="BN441" s="201" t="str">
        <f>VLOOKUP($A441,'[3]allergenen 6nr'!$A$1:$O$1310,13,FALSE)</f>
        <v>X</v>
      </c>
      <c r="BO441" s="201" t="str">
        <f>VLOOKUP($A441,'[3]allergenen 6nr'!$A$1:$O$1310,14,FALSE)</f>
        <v>-</v>
      </c>
      <c r="BP441" s="202" t="str">
        <f>VLOOKUP($A441,'[3]allergenen 6nr'!$A$1:$O$1310,15,FALSE)</f>
        <v>X</v>
      </c>
    </row>
    <row r="442" spans="1:68" x14ac:dyDescent="0.2">
      <c r="A442" s="89">
        <v>64280400</v>
      </c>
      <c r="B442" s="53" t="str">
        <f>VLOOKUP($A442,[1]maaltijden!$A$1:$IV$65536,4,FALSE)</f>
        <v>BOF BE RUNDSTOOFVLEES IN BIERSAUS 450G</v>
      </c>
      <c r="C442" s="46" t="str">
        <f>VLOOKUP($A442,[1]maaltijden!$A$1:$IV$65536,7,FALSE)</f>
        <v>UK-59</v>
      </c>
      <c r="D442" s="22" t="str">
        <f>VLOOKUP($A442,[1]maaltijden!$A$1:$IV$65536,10,FALSE)</f>
        <v>H22</v>
      </c>
      <c r="E442" s="22" t="str">
        <f>VLOOKUP($A442,[1]maaltijden!$A$1:$IV$65536,13,FALSE)</f>
        <v>H22X10</v>
      </c>
      <c r="F442" s="20">
        <f t="shared" si="6"/>
        <v>0</v>
      </c>
      <c r="G442" s="20" t="str">
        <f>VLOOKUP($A442,[1]maaltijden!$A$1:$IV$65536,27,FALSE)</f>
        <v>! ! !</v>
      </c>
      <c r="H442" s="22">
        <f>VLOOKUP($A442,[1]maaltijden!$A$1:$IV$65536,21,FALSE)</f>
        <v>2</v>
      </c>
      <c r="I442" s="22">
        <f>VLOOKUP($A442,[1]maaltijden!$A$1:$IV$65536,21,FALSE)</f>
        <v>2</v>
      </c>
      <c r="J442" s="22">
        <f>VLOOKUP($A442,[1]maaltijden!$A$1:$IV$65536,18,FALSE)</f>
        <v>2</v>
      </c>
      <c r="K442" s="22">
        <f>VLOOKUP($A442,[1]maaltijden!$A$1:$IV$65536,17,FALSE)</f>
        <v>1</v>
      </c>
      <c r="L442" s="22">
        <f>VLOOKUP($A442,[1]maaltijden!$A$1:$IV$65536,20,FALSE)</f>
        <v>3500</v>
      </c>
      <c r="M442" s="22">
        <f>VLOOKUP($A442,[1]maaltijden!$A$1:$IV$65536,22,FALSE)</f>
        <v>3500</v>
      </c>
      <c r="N442" s="135"/>
      <c r="O442" s="50"/>
      <c r="P442" s="19">
        <v>1</v>
      </c>
      <c r="Q442" s="20">
        <v>2</v>
      </c>
      <c r="R442" s="21">
        <v>0</v>
      </c>
      <c r="S442" s="19">
        <v>1</v>
      </c>
      <c r="T442" s="20">
        <v>1</v>
      </c>
      <c r="U442" s="19">
        <v>1</v>
      </c>
      <c r="V442" s="20">
        <v>1</v>
      </c>
      <c r="W442" s="20">
        <v>1</v>
      </c>
      <c r="X442" s="20">
        <v>1</v>
      </c>
      <c r="Y442" s="20">
        <v>1</v>
      </c>
      <c r="Z442" s="20">
        <v>0</v>
      </c>
      <c r="AA442" s="20">
        <v>0</v>
      </c>
      <c r="AB442" s="49">
        <v>0</v>
      </c>
      <c r="AC442" s="49">
        <v>0</v>
      </c>
      <c r="AD442" s="49">
        <v>0</v>
      </c>
      <c r="AE442" s="49">
        <v>0</v>
      </c>
      <c r="AF442" s="49">
        <v>0</v>
      </c>
      <c r="AG442" s="161">
        <v>0</v>
      </c>
      <c r="AH442" s="162">
        <v>1</v>
      </c>
      <c r="AI442" s="162">
        <v>0</v>
      </c>
      <c r="AJ442" s="162">
        <v>0</v>
      </c>
      <c r="AK442" s="162">
        <v>0</v>
      </c>
      <c r="AL442" s="163">
        <v>0</v>
      </c>
      <c r="AM442" s="19">
        <v>0</v>
      </c>
      <c r="AN442" s="20" t="str">
        <f>IFERROR(INDEX([2]lijnopstellingsfiche!$AP$1:$AP$65536,MATCH(A442,[2]lijnopstellingsfiche!$AQ$1:$AQ$65536,0)),"")</f>
        <v>-</v>
      </c>
      <c r="AO442" s="20">
        <v>0</v>
      </c>
      <c r="AP442" s="20">
        <v>0</v>
      </c>
      <c r="AQ442" s="20">
        <v>2</v>
      </c>
      <c r="AR442" s="20">
        <v>0</v>
      </c>
      <c r="AS442" s="20">
        <v>1</v>
      </c>
      <c r="AT442" s="20">
        <v>0</v>
      </c>
      <c r="AU442" s="20">
        <v>0</v>
      </c>
      <c r="AV442" s="23">
        <v>0</v>
      </c>
      <c r="AW442" s="108">
        <v>1</v>
      </c>
      <c r="AX442" s="108">
        <v>0</v>
      </c>
      <c r="AY442" s="108">
        <v>1</v>
      </c>
      <c r="AZ442" s="108"/>
      <c r="BA442" s="114">
        <v>0</v>
      </c>
      <c r="BB442" s="20">
        <v>1</v>
      </c>
      <c r="BC442" s="113">
        <v>0</v>
      </c>
      <c r="BD442" s="200" t="str">
        <f>VLOOKUP($A442,'[3]allergenen 6nr'!$A$1:$O$1310,3,FALSE)</f>
        <v>-</v>
      </c>
      <c r="BE442" s="201" t="str">
        <f>VLOOKUP($A442,'[3]allergenen 6nr'!$A$1:$O$1310,4,FALSE)</f>
        <v>X</v>
      </c>
      <c r="BF442" s="201" t="str">
        <f>VLOOKUP($A442,'[3]allergenen 6nr'!$A$1:$O$1310,5,FALSE)</f>
        <v>+</v>
      </c>
      <c r="BG442" s="201" t="str">
        <f>VLOOKUP($A442,'[3]allergenen 6nr'!$A$1:$O$1310,6,FALSE)</f>
        <v>X</v>
      </c>
      <c r="BH442" s="201" t="str">
        <f>VLOOKUP($A442,'[3]allergenen 6nr'!$A$1:$O$1310,7,FALSE)</f>
        <v>X</v>
      </c>
      <c r="BI442" s="201" t="str">
        <f>VLOOKUP($A442,'[3]allergenen 6nr'!$A$1:$O$1310,8,FALSE)</f>
        <v>+</v>
      </c>
      <c r="BJ442" s="201" t="str">
        <f>VLOOKUP($A442,'[3]allergenen 6nr'!$A$1:$O$1310,9,FALSE)</f>
        <v>-</v>
      </c>
      <c r="BK442" s="201" t="str">
        <f>VLOOKUP($A442,'[3]allergenen 6nr'!$A$1:$O$1310,10,FALSE)</f>
        <v>-</v>
      </c>
      <c r="BL442" s="201" t="str">
        <f>VLOOKUP($A442,'[3]allergenen 6nr'!$A$1:$O$1310,11,FALSE)</f>
        <v>+</v>
      </c>
      <c r="BM442" s="201" t="str">
        <f>VLOOKUP($A442,'[3]allergenen 6nr'!$A$1:$O$1310,12,FALSE)</f>
        <v>-</v>
      </c>
      <c r="BN442" s="201" t="str">
        <f>VLOOKUP($A442,'[3]allergenen 6nr'!$A$1:$O$1310,13,FALSE)</f>
        <v>X</v>
      </c>
      <c r="BO442" s="201" t="str">
        <f>VLOOKUP($A442,'[3]allergenen 6nr'!$A$1:$O$1310,14,FALSE)</f>
        <v>-</v>
      </c>
      <c r="BP442" s="202" t="str">
        <f>VLOOKUP($A442,'[3]allergenen 6nr'!$A$1:$O$1310,15,FALSE)</f>
        <v>-</v>
      </c>
    </row>
    <row r="443" spans="1:68" x14ac:dyDescent="0.2">
      <c r="A443" s="89">
        <v>64280500</v>
      </c>
      <c r="B443" s="53" t="str">
        <f>VLOOKUP($A443,[1]maaltijden!$A$1:$IV$65536,4,FALSE)</f>
        <v>BOF BE SPAGHETTI BOLOGNESE 450G</v>
      </c>
      <c r="C443" s="46" t="str">
        <f>VLOOKUP($A443,[1]maaltijden!$A$1:$IV$65536,7,FALSE)</f>
        <v>UK-59</v>
      </c>
      <c r="D443" s="22" t="str">
        <f>VLOOKUP($A443,[1]maaltijden!$A$1:$IV$65536,10,FALSE)</f>
        <v>H22</v>
      </c>
      <c r="E443" s="22" t="str">
        <f>VLOOKUP($A443,[1]maaltijden!$A$1:$IV$65536,13,FALSE)</f>
        <v>H22X10</v>
      </c>
      <c r="F443" s="20">
        <f t="shared" si="6"/>
        <v>0</v>
      </c>
      <c r="G443" s="20" t="str">
        <f>VLOOKUP($A443,[1]maaltijden!$A$1:$IV$65536,27,FALSE)</f>
        <v>! ! !</v>
      </c>
      <c r="H443" s="22">
        <f>VLOOKUP($A443,[1]maaltijden!$A$1:$IV$65536,21,FALSE)</f>
        <v>4</v>
      </c>
      <c r="I443" s="22">
        <f>VLOOKUP($A443,[1]maaltijden!$A$1:$IV$65536,21,FALSE)</f>
        <v>4</v>
      </c>
      <c r="J443" s="22">
        <f>VLOOKUP($A443,[1]maaltijden!$A$1:$IV$65536,18,FALSE)</f>
        <v>2</v>
      </c>
      <c r="K443" s="22">
        <f>VLOOKUP($A443,[1]maaltijden!$A$1:$IV$65536,17,FALSE)</f>
        <v>2</v>
      </c>
      <c r="L443" s="22">
        <f>VLOOKUP($A443,[1]maaltijden!$A$1:$IV$65536,20,FALSE)</f>
        <v>3500</v>
      </c>
      <c r="M443" s="22">
        <f>VLOOKUP($A443,[1]maaltijden!$A$1:$IV$65536,22,FALSE)</f>
        <v>3500</v>
      </c>
      <c r="N443" s="135"/>
      <c r="O443" s="50"/>
      <c r="P443" s="19">
        <v>1</v>
      </c>
      <c r="Q443" s="20">
        <v>2</v>
      </c>
      <c r="R443" s="21">
        <v>0</v>
      </c>
      <c r="S443" s="19">
        <v>1</v>
      </c>
      <c r="T443" s="20">
        <v>1</v>
      </c>
      <c r="U443" s="19">
        <v>0</v>
      </c>
      <c r="V443" s="20">
        <v>1</v>
      </c>
      <c r="W443" s="20">
        <v>1</v>
      </c>
      <c r="X443" s="20">
        <v>1</v>
      </c>
      <c r="Y443" s="20">
        <v>1</v>
      </c>
      <c r="Z443" s="20">
        <v>0</v>
      </c>
      <c r="AA443" s="20">
        <v>0</v>
      </c>
      <c r="AB443" s="49">
        <v>0</v>
      </c>
      <c r="AC443" s="49">
        <v>0</v>
      </c>
      <c r="AD443" s="49">
        <v>0</v>
      </c>
      <c r="AE443" s="49">
        <v>1</v>
      </c>
      <c r="AF443" s="49">
        <v>0</v>
      </c>
      <c r="AG443" s="161">
        <v>1</v>
      </c>
      <c r="AH443" s="162">
        <v>1</v>
      </c>
      <c r="AI443" s="162">
        <v>0</v>
      </c>
      <c r="AJ443" s="162">
        <v>0</v>
      </c>
      <c r="AK443" s="162">
        <v>0</v>
      </c>
      <c r="AL443" s="163">
        <v>0</v>
      </c>
      <c r="AM443" s="19">
        <v>1</v>
      </c>
      <c r="AN443" s="20" t="str">
        <f>IFERROR(INDEX([2]lijnopstellingsfiche!$AP$1:$AP$65536,MATCH(A443,[2]lijnopstellingsfiche!$AQ$1:$AQ$65536,0)),"")</f>
        <v>-</v>
      </c>
      <c r="AO443" s="20">
        <v>0</v>
      </c>
      <c r="AP443" s="20">
        <v>0</v>
      </c>
      <c r="AQ443" s="20">
        <v>2</v>
      </c>
      <c r="AR443" s="20">
        <v>0</v>
      </c>
      <c r="AS443" s="20">
        <v>0</v>
      </c>
      <c r="AT443" s="20">
        <v>0</v>
      </c>
      <c r="AU443" s="20">
        <v>0</v>
      </c>
      <c r="AV443" s="23">
        <v>0</v>
      </c>
      <c r="AW443" s="108">
        <v>1</v>
      </c>
      <c r="AX443" s="108">
        <v>0</v>
      </c>
      <c r="AY443" s="108">
        <v>1</v>
      </c>
      <c r="AZ443" s="108"/>
      <c r="BA443" s="114">
        <v>0</v>
      </c>
      <c r="BB443" s="20">
        <v>1</v>
      </c>
      <c r="BC443" s="113">
        <v>0</v>
      </c>
      <c r="BD443" s="200" t="e">
        <f>VLOOKUP($A443,'[3]allergenen 6nr'!$A$1:$O$1310,3,FALSE)</f>
        <v>#N/A</v>
      </c>
      <c r="BE443" s="201" t="e">
        <f>VLOOKUP($A443,'[3]allergenen 6nr'!$A$1:$O$1310,4,FALSE)</f>
        <v>#N/A</v>
      </c>
      <c r="BF443" s="201" t="e">
        <f>VLOOKUP($A443,'[3]allergenen 6nr'!$A$1:$O$1310,5,FALSE)</f>
        <v>#N/A</v>
      </c>
      <c r="BG443" s="201" t="e">
        <f>VLOOKUP($A443,'[3]allergenen 6nr'!$A$1:$O$1310,6,FALSE)</f>
        <v>#N/A</v>
      </c>
      <c r="BH443" s="201" t="e">
        <f>VLOOKUP($A443,'[3]allergenen 6nr'!$A$1:$O$1310,7,FALSE)</f>
        <v>#N/A</v>
      </c>
      <c r="BI443" s="201" t="e">
        <f>VLOOKUP($A443,'[3]allergenen 6nr'!$A$1:$O$1310,8,FALSE)</f>
        <v>#N/A</v>
      </c>
      <c r="BJ443" s="201" t="e">
        <f>VLOOKUP($A443,'[3]allergenen 6nr'!$A$1:$O$1310,9,FALSE)</f>
        <v>#N/A</v>
      </c>
      <c r="BK443" s="201" t="e">
        <f>VLOOKUP($A443,'[3]allergenen 6nr'!$A$1:$O$1310,10,FALSE)</f>
        <v>#N/A</v>
      </c>
      <c r="BL443" s="201" t="e">
        <f>VLOOKUP($A443,'[3]allergenen 6nr'!$A$1:$O$1310,11,FALSE)</f>
        <v>#N/A</v>
      </c>
      <c r="BM443" s="201" t="e">
        <f>VLOOKUP($A443,'[3]allergenen 6nr'!$A$1:$O$1310,12,FALSE)</f>
        <v>#N/A</v>
      </c>
      <c r="BN443" s="201" t="e">
        <f>VLOOKUP($A443,'[3]allergenen 6nr'!$A$1:$O$1310,13,FALSE)</f>
        <v>#N/A</v>
      </c>
      <c r="BO443" s="201" t="e">
        <f>VLOOKUP($A443,'[3]allergenen 6nr'!$A$1:$O$1310,14,FALSE)</f>
        <v>#N/A</v>
      </c>
      <c r="BP443" s="202" t="e">
        <f>VLOOKUP($A443,'[3]allergenen 6nr'!$A$1:$O$1310,15,FALSE)</f>
        <v>#N/A</v>
      </c>
    </row>
    <row r="444" spans="1:68" x14ac:dyDescent="0.2">
      <c r="A444" s="89">
        <v>64280700</v>
      </c>
      <c r="B444" s="53" t="str">
        <f>VLOOKUP($A444,[1]maaltijden!$A$1:$IV$65536,4,FALSE)</f>
        <v>BOF BE KIPPENRAGOUT VOOR VIDEES 450G</v>
      </c>
      <c r="C444" s="46" t="str">
        <f>VLOOKUP($A444,[1]maaltijden!$A$1:$IV$65536,7,FALSE)</f>
        <v>UK-59</v>
      </c>
      <c r="D444" s="22" t="str">
        <f>VLOOKUP($A444,[1]maaltijden!$A$1:$IV$65536,10,FALSE)</f>
        <v>H22</v>
      </c>
      <c r="E444" s="22" t="str">
        <f>VLOOKUP($A444,[1]maaltijden!$A$1:$IV$65536,13,FALSE)</f>
        <v>H22X10</v>
      </c>
      <c r="F444" s="20">
        <f t="shared" si="6"/>
        <v>0</v>
      </c>
      <c r="G444" s="20" t="str">
        <f>VLOOKUP($A444,[1]maaltijden!$A$1:$IV$65536,27,FALSE)</f>
        <v>! !</v>
      </c>
      <c r="H444" s="22">
        <f>VLOOKUP($A444,[1]maaltijden!$A$1:$IV$65536,21,FALSE)</f>
        <v>2</v>
      </c>
      <c r="I444" s="22">
        <f>VLOOKUP($A444,[1]maaltijden!$A$1:$IV$65536,21,FALSE)</f>
        <v>2</v>
      </c>
      <c r="J444" s="22">
        <f>VLOOKUP($A444,[1]maaltijden!$A$1:$IV$65536,18,FALSE)</f>
        <v>2</v>
      </c>
      <c r="K444" s="22">
        <f>VLOOKUP($A444,[1]maaltijden!$A$1:$IV$65536,17,FALSE)</f>
        <v>2</v>
      </c>
      <c r="L444" s="22">
        <f>VLOOKUP($A444,[1]maaltijden!$A$1:$IV$65536,20,FALSE)</f>
        <v>3500</v>
      </c>
      <c r="M444" s="22">
        <f>VLOOKUP($A444,[1]maaltijden!$A$1:$IV$65536,22,FALSE)</f>
        <v>3500</v>
      </c>
      <c r="N444" s="135"/>
      <c r="O444" s="50"/>
      <c r="P444" s="19">
        <v>1</v>
      </c>
      <c r="Q444" s="20">
        <v>2</v>
      </c>
      <c r="R444" s="21">
        <v>0</v>
      </c>
      <c r="S444" s="19">
        <v>1</v>
      </c>
      <c r="T444" s="20">
        <v>1</v>
      </c>
      <c r="U444" s="19">
        <v>1</v>
      </c>
      <c r="V444" s="20">
        <v>1</v>
      </c>
      <c r="W444" s="20">
        <v>1</v>
      </c>
      <c r="X444" s="20">
        <v>1</v>
      </c>
      <c r="Y444" s="20">
        <v>1</v>
      </c>
      <c r="Z444" s="20">
        <v>0</v>
      </c>
      <c r="AA444" s="20">
        <v>0</v>
      </c>
      <c r="AB444" s="49">
        <v>0</v>
      </c>
      <c r="AC444" s="49">
        <v>0</v>
      </c>
      <c r="AD444" s="49">
        <v>0</v>
      </c>
      <c r="AE444" s="49">
        <v>1</v>
      </c>
      <c r="AF444" s="49">
        <v>0</v>
      </c>
      <c r="AG444" s="161">
        <v>0</v>
      </c>
      <c r="AH444" s="162">
        <v>2</v>
      </c>
      <c r="AI444" s="162">
        <v>0</v>
      </c>
      <c r="AJ444" s="162">
        <v>0</v>
      </c>
      <c r="AK444" s="162">
        <v>0</v>
      </c>
      <c r="AL444" s="163">
        <v>0</v>
      </c>
      <c r="AM444" s="19">
        <v>0</v>
      </c>
      <c r="AN444" s="20" t="str">
        <f>IFERROR(INDEX([2]lijnopstellingsfiche!$AP$1:$AP$65536,MATCH(A444,[2]lijnopstellingsfiche!$AQ$1:$AQ$65536,0)),"")</f>
        <v>-</v>
      </c>
      <c r="AO444" s="20">
        <v>0</v>
      </c>
      <c r="AP444" s="20">
        <v>0</v>
      </c>
      <c r="AQ444" s="20">
        <v>2</v>
      </c>
      <c r="AR444" s="20">
        <v>0</v>
      </c>
      <c r="AS444" s="20">
        <v>0</v>
      </c>
      <c r="AT444" s="20">
        <v>0</v>
      </c>
      <c r="AU444" s="20">
        <v>0</v>
      </c>
      <c r="AV444" s="23">
        <v>0</v>
      </c>
      <c r="AW444" s="108">
        <v>1</v>
      </c>
      <c r="AX444" s="108">
        <v>0</v>
      </c>
      <c r="AY444" s="108">
        <v>1</v>
      </c>
      <c r="AZ444" s="108"/>
      <c r="BA444" s="114">
        <v>0</v>
      </c>
      <c r="BB444" s="20">
        <v>1</v>
      </c>
      <c r="BC444" s="113">
        <v>0</v>
      </c>
      <c r="BD444" s="200" t="str">
        <f>VLOOKUP($A444,'[3]allergenen 6nr'!$A$1:$O$1310,3,FALSE)</f>
        <v>-</v>
      </c>
      <c r="BE444" s="201" t="str">
        <f>VLOOKUP($A444,'[3]allergenen 6nr'!$A$1:$O$1310,4,FALSE)</f>
        <v>X</v>
      </c>
      <c r="BF444" s="201" t="str">
        <f>VLOOKUP($A444,'[3]allergenen 6nr'!$A$1:$O$1310,5,FALSE)</f>
        <v>+</v>
      </c>
      <c r="BG444" s="201" t="str">
        <f>VLOOKUP($A444,'[3]allergenen 6nr'!$A$1:$O$1310,6,FALSE)</f>
        <v>X</v>
      </c>
      <c r="BH444" s="201" t="str">
        <f>VLOOKUP($A444,'[3]allergenen 6nr'!$A$1:$O$1310,7,FALSE)</f>
        <v>+</v>
      </c>
      <c r="BI444" s="201" t="str">
        <f>VLOOKUP($A444,'[3]allergenen 6nr'!$A$1:$O$1310,8,FALSE)</f>
        <v>X</v>
      </c>
      <c r="BJ444" s="201" t="str">
        <f>VLOOKUP($A444,'[3]allergenen 6nr'!$A$1:$O$1310,9,FALSE)</f>
        <v>-</v>
      </c>
      <c r="BK444" s="201" t="str">
        <f>VLOOKUP($A444,'[3]allergenen 6nr'!$A$1:$O$1310,10,FALSE)</f>
        <v>X</v>
      </c>
      <c r="BL444" s="201" t="str">
        <f>VLOOKUP($A444,'[3]allergenen 6nr'!$A$1:$O$1310,11,FALSE)</f>
        <v>X</v>
      </c>
      <c r="BM444" s="201" t="str">
        <f>VLOOKUP($A444,'[3]allergenen 6nr'!$A$1:$O$1310,12,FALSE)</f>
        <v>-</v>
      </c>
      <c r="BN444" s="201" t="str">
        <f>VLOOKUP($A444,'[3]allergenen 6nr'!$A$1:$O$1310,13,FALSE)</f>
        <v>X</v>
      </c>
      <c r="BO444" s="201" t="str">
        <f>VLOOKUP($A444,'[3]allergenen 6nr'!$A$1:$O$1310,14,FALSE)</f>
        <v>X</v>
      </c>
      <c r="BP444" s="202" t="str">
        <f>VLOOKUP($A444,'[3]allergenen 6nr'!$A$1:$O$1310,15,FALSE)</f>
        <v>X</v>
      </c>
    </row>
    <row r="445" spans="1:68" x14ac:dyDescent="0.2">
      <c r="A445" s="89">
        <v>64280900</v>
      </c>
      <c r="B445" s="53" t="str">
        <f>VLOOKUP($A445,[1]maaltijden!$A$1:$IV$65536,4,FALSE)</f>
        <v>BOF BE RUNDSTONG MADEIRA 400G</v>
      </c>
      <c r="C445" s="46" t="str">
        <f>VLOOKUP($A445,[1]maaltijden!$A$1:$IV$65536,7,FALSE)</f>
        <v>UK-59</v>
      </c>
      <c r="D445" s="22" t="str">
        <f>VLOOKUP($A445,[1]maaltijden!$A$1:$IV$65536,10,FALSE)</f>
        <v>H22</v>
      </c>
      <c r="E445" s="22" t="str">
        <f>VLOOKUP($A445,[1]maaltijden!$A$1:$IV$65536,13,FALSE)</f>
        <v>H22X10</v>
      </c>
      <c r="F445" s="20">
        <f t="shared" si="6"/>
        <v>0</v>
      </c>
      <c r="G445" s="20" t="str">
        <f>VLOOKUP($A445,[1]maaltijden!$A$1:$IV$65536,27,FALSE)</f>
        <v>! ! !</v>
      </c>
      <c r="H445" s="22">
        <f>VLOOKUP($A445,[1]maaltijden!$A$1:$IV$65536,21,FALSE)</f>
        <v>11</v>
      </c>
      <c r="I445" s="22">
        <f>VLOOKUP($A445,[1]maaltijden!$A$1:$IV$65536,21,FALSE)</f>
        <v>11</v>
      </c>
      <c r="J445" s="22">
        <f>VLOOKUP($A445,[1]maaltijden!$A$1:$IV$65536,18,FALSE)</f>
        <v>2</v>
      </c>
      <c r="K445" s="22">
        <f>VLOOKUP($A445,[1]maaltijden!$A$1:$IV$65536,17,FALSE)</f>
        <v>1</v>
      </c>
      <c r="L445" s="22">
        <f>VLOOKUP($A445,[1]maaltijden!$A$1:$IV$65536,20,FALSE)</f>
        <v>3200</v>
      </c>
      <c r="M445" s="22">
        <f>VLOOKUP($A445,[1]maaltijden!$A$1:$IV$65536,22,FALSE)</f>
        <v>3200</v>
      </c>
      <c r="N445" s="135"/>
      <c r="O445" s="50"/>
      <c r="P445" s="19">
        <v>1</v>
      </c>
      <c r="Q445" s="20">
        <v>2</v>
      </c>
      <c r="R445" s="21">
        <v>0</v>
      </c>
      <c r="S445" s="19">
        <v>1</v>
      </c>
      <c r="T445" s="20">
        <v>1</v>
      </c>
      <c r="U445" s="19">
        <v>0</v>
      </c>
      <c r="V445" s="20">
        <v>1</v>
      </c>
      <c r="W445" s="20">
        <v>1</v>
      </c>
      <c r="X445" s="20">
        <v>1</v>
      </c>
      <c r="Y445" s="20">
        <v>1</v>
      </c>
      <c r="Z445" s="20">
        <v>0</v>
      </c>
      <c r="AA445" s="20">
        <v>0</v>
      </c>
      <c r="AB445" s="49">
        <v>0</v>
      </c>
      <c r="AC445" s="49">
        <v>0</v>
      </c>
      <c r="AD445" s="49">
        <v>0</v>
      </c>
      <c r="AE445" s="49">
        <v>1</v>
      </c>
      <c r="AF445" s="49">
        <v>0</v>
      </c>
      <c r="AG445" s="161">
        <v>0</v>
      </c>
      <c r="AH445" s="162">
        <v>1</v>
      </c>
      <c r="AI445" s="162">
        <v>0</v>
      </c>
      <c r="AJ445" s="162">
        <v>0</v>
      </c>
      <c r="AK445" s="162">
        <v>0</v>
      </c>
      <c r="AL445" s="163">
        <v>0</v>
      </c>
      <c r="AM445" s="19">
        <v>0</v>
      </c>
      <c r="AN445" s="20">
        <f>IFERROR(INDEX([2]lijnopstellingsfiche!$AP$1:$AP$65536,MATCH(A445,[2]lijnopstellingsfiche!$AQ$1:$AQ$65536,0)),"")</f>
        <v>9</v>
      </c>
      <c r="AO445" s="20">
        <v>0</v>
      </c>
      <c r="AP445" s="20">
        <v>0</v>
      </c>
      <c r="AQ445" s="20">
        <v>2</v>
      </c>
      <c r="AR445" s="20">
        <v>0</v>
      </c>
      <c r="AS445" s="20">
        <v>0</v>
      </c>
      <c r="AT445" s="20">
        <v>0</v>
      </c>
      <c r="AU445" s="20">
        <v>0</v>
      </c>
      <c r="AV445" s="23">
        <v>0</v>
      </c>
      <c r="AW445" s="108">
        <v>1</v>
      </c>
      <c r="AX445" s="108">
        <v>0</v>
      </c>
      <c r="AY445" s="108">
        <v>1</v>
      </c>
      <c r="AZ445" s="108"/>
      <c r="BA445" s="114">
        <v>0</v>
      </c>
      <c r="BB445" s="20">
        <v>1</v>
      </c>
      <c r="BC445" s="113">
        <v>0</v>
      </c>
      <c r="BD445" s="200" t="str">
        <f>VLOOKUP($A445,'[3]allergenen 6nr'!$A$1:$O$1310,3,FALSE)</f>
        <v>-</v>
      </c>
      <c r="BE445" s="201" t="str">
        <f>VLOOKUP($A445,'[3]allergenen 6nr'!$A$1:$O$1310,4,FALSE)</f>
        <v>X</v>
      </c>
      <c r="BF445" s="201" t="str">
        <f>VLOOKUP($A445,'[3]allergenen 6nr'!$A$1:$O$1310,5,FALSE)</f>
        <v>+</v>
      </c>
      <c r="BG445" s="201" t="str">
        <f>VLOOKUP($A445,'[3]allergenen 6nr'!$A$1:$O$1310,6,FALSE)</f>
        <v>X</v>
      </c>
      <c r="BH445" s="201" t="str">
        <f>VLOOKUP($A445,'[3]allergenen 6nr'!$A$1:$O$1310,7,FALSE)</f>
        <v>+</v>
      </c>
      <c r="BI445" s="201" t="str">
        <f>VLOOKUP($A445,'[3]allergenen 6nr'!$A$1:$O$1310,8,FALSE)</f>
        <v>X</v>
      </c>
      <c r="BJ445" s="201" t="str">
        <f>VLOOKUP($A445,'[3]allergenen 6nr'!$A$1:$O$1310,9,FALSE)</f>
        <v>-</v>
      </c>
      <c r="BK445" s="201" t="str">
        <f>VLOOKUP($A445,'[3]allergenen 6nr'!$A$1:$O$1310,10,FALSE)</f>
        <v>-</v>
      </c>
      <c r="BL445" s="201" t="str">
        <f>VLOOKUP($A445,'[3]allergenen 6nr'!$A$1:$O$1310,11,FALSE)</f>
        <v>+</v>
      </c>
      <c r="BM445" s="201" t="str">
        <f>VLOOKUP($A445,'[3]allergenen 6nr'!$A$1:$O$1310,12,FALSE)</f>
        <v>-</v>
      </c>
      <c r="BN445" s="201" t="str">
        <f>VLOOKUP($A445,'[3]allergenen 6nr'!$A$1:$O$1310,13,FALSE)</f>
        <v>X</v>
      </c>
      <c r="BO445" s="201" t="str">
        <f>VLOOKUP($A445,'[3]allergenen 6nr'!$A$1:$O$1310,14,FALSE)</f>
        <v>-</v>
      </c>
      <c r="BP445" s="202" t="str">
        <f>VLOOKUP($A445,'[3]allergenen 6nr'!$A$1:$O$1310,15,FALSE)</f>
        <v>-</v>
      </c>
    </row>
    <row r="446" spans="1:68" x14ac:dyDescent="0.2">
      <c r="A446" s="89">
        <v>64281000</v>
      </c>
      <c r="B446" s="53" t="str">
        <f>VLOOKUP($A446,[1]maaltijden!$A$1:$IV$65536,4,FALSE)</f>
        <v>BOF BE MACARONI HAM KAAS 450G</v>
      </c>
      <c r="C446" s="46" t="str">
        <f>VLOOKUP($A446,[1]maaltijden!$A$1:$IV$65536,7,FALSE)</f>
        <v>UK-59</v>
      </c>
      <c r="D446" s="22" t="str">
        <f>VLOOKUP($A446,[1]maaltijden!$A$1:$IV$65536,10,FALSE)</f>
        <v>H22</v>
      </c>
      <c r="E446" s="22" t="str">
        <f>VLOOKUP($A446,[1]maaltijden!$A$1:$IV$65536,13,FALSE)</f>
        <v>H22X10</v>
      </c>
      <c r="F446" s="20">
        <f t="shared" si="6"/>
        <v>0</v>
      </c>
      <c r="G446" s="20" t="str">
        <f>VLOOKUP($A446,[1]maaltijden!$A$1:$IV$65536,27,FALSE)</f>
        <v>! !</v>
      </c>
      <c r="H446" s="22">
        <f>VLOOKUP($A446,[1]maaltijden!$A$1:$IV$65536,21,FALSE)</f>
        <v>7</v>
      </c>
      <c r="I446" s="22">
        <f>VLOOKUP($A446,[1]maaltijden!$A$1:$IV$65536,21,FALSE)</f>
        <v>7</v>
      </c>
      <c r="J446" s="22">
        <f>VLOOKUP($A446,[1]maaltijden!$A$1:$IV$65536,18,FALSE)</f>
        <v>2</v>
      </c>
      <c r="K446" s="22">
        <f>VLOOKUP($A446,[1]maaltijden!$A$1:$IV$65536,17,FALSE)</f>
        <v>2.5</v>
      </c>
      <c r="L446" s="22">
        <f>VLOOKUP($A446,[1]maaltijden!$A$1:$IV$65536,20,FALSE)</f>
        <v>3500</v>
      </c>
      <c r="M446" s="22">
        <f>VLOOKUP($A446,[1]maaltijden!$A$1:$IV$65536,22,FALSE)</f>
        <v>3500</v>
      </c>
      <c r="N446" s="135"/>
      <c r="O446" s="50"/>
      <c r="P446" s="19">
        <v>1</v>
      </c>
      <c r="Q446" s="20">
        <v>2</v>
      </c>
      <c r="R446" s="21">
        <v>0</v>
      </c>
      <c r="S446" s="19">
        <v>1</v>
      </c>
      <c r="T446" s="20">
        <v>1</v>
      </c>
      <c r="U446" s="19">
        <v>0</v>
      </c>
      <c r="V446" s="20">
        <v>1</v>
      </c>
      <c r="W446" s="20">
        <v>1</v>
      </c>
      <c r="X446" s="20">
        <v>1</v>
      </c>
      <c r="Y446" s="20">
        <v>1</v>
      </c>
      <c r="Z446" s="20">
        <v>1</v>
      </c>
      <c r="AA446" s="20">
        <v>0</v>
      </c>
      <c r="AB446" s="49">
        <v>0</v>
      </c>
      <c r="AC446" s="49">
        <v>0</v>
      </c>
      <c r="AD446" s="49">
        <v>0</v>
      </c>
      <c r="AE446" s="49">
        <v>1</v>
      </c>
      <c r="AF446" s="49">
        <v>0</v>
      </c>
      <c r="AG446" s="173">
        <v>1</v>
      </c>
      <c r="AH446" s="162">
        <v>1</v>
      </c>
      <c r="AI446" s="162">
        <v>0</v>
      </c>
      <c r="AJ446" s="162">
        <v>0</v>
      </c>
      <c r="AK446" s="162">
        <v>0</v>
      </c>
      <c r="AL446" s="163">
        <v>0</v>
      </c>
      <c r="AM446" s="19">
        <v>1</v>
      </c>
      <c r="AN446" s="20" t="str">
        <f>IFERROR(INDEX([2]lijnopstellingsfiche!$AP$1:$AP$65536,MATCH(A446,[2]lijnopstellingsfiche!$AQ$1:$AQ$65536,0)),"")</f>
        <v>-</v>
      </c>
      <c r="AO446" s="20">
        <v>0</v>
      </c>
      <c r="AP446" s="20">
        <v>1</v>
      </c>
      <c r="AQ446" s="20">
        <v>2</v>
      </c>
      <c r="AR446" s="20">
        <v>0</v>
      </c>
      <c r="AS446" s="20">
        <v>0</v>
      </c>
      <c r="AT446" s="20">
        <v>0</v>
      </c>
      <c r="AU446" s="20">
        <v>0</v>
      </c>
      <c r="AV446" s="23">
        <v>0</v>
      </c>
      <c r="AW446" s="108">
        <v>1</v>
      </c>
      <c r="AX446" s="108">
        <v>0</v>
      </c>
      <c r="AY446" s="108">
        <v>1</v>
      </c>
      <c r="AZ446" s="108"/>
      <c r="BA446" s="114">
        <v>0</v>
      </c>
      <c r="BB446" s="20">
        <v>1</v>
      </c>
      <c r="BC446" s="113">
        <v>0</v>
      </c>
      <c r="BD446" s="200" t="str">
        <f>VLOOKUP($A446,'[3]allergenen 6nr'!$A$1:$O$1310,3,FALSE)</f>
        <v>-</v>
      </c>
      <c r="BE446" s="201" t="str">
        <f>VLOOKUP($A446,'[3]allergenen 6nr'!$A$1:$O$1310,4,FALSE)</f>
        <v>X</v>
      </c>
      <c r="BF446" s="201" t="str">
        <f>VLOOKUP($A446,'[3]allergenen 6nr'!$A$1:$O$1310,5,FALSE)</f>
        <v>+</v>
      </c>
      <c r="BG446" s="201" t="str">
        <f>VLOOKUP($A446,'[3]allergenen 6nr'!$A$1:$O$1310,6,FALSE)</f>
        <v>X</v>
      </c>
      <c r="BH446" s="201" t="str">
        <f>VLOOKUP($A446,'[3]allergenen 6nr'!$A$1:$O$1310,7,FALSE)</f>
        <v>+</v>
      </c>
      <c r="BI446" s="201" t="str">
        <f>VLOOKUP($A446,'[3]allergenen 6nr'!$A$1:$O$1310,8,FALSE)</f>
        <v>X</v>
      </c>
      <c r="BJ446" s="201" t="str">
        <f>VLOOKUP($A446,'[3]allergenen 6nr'!$A$1:$O$1310,9,FALSE)</f>
        <v>-</v>
      </c>
      <c r="BK446" s="201" t="str">
        <f>VLOOKUP($A446,'[3]allergenen 6nr'!$A$1:$O$1310,10,FALSE)</f>
        <v>-</v>
      </c>
      <c r="BL446" s="201" t="str">
        <f>VLOOKUP($A446,'[3]allergenen 6nr'!$A$1:$O$1310,11,FALSE)</f>
        <v>-</v>
      </c>
      <c r="BM446" s="201" t="str">
        <f>VLOOKUP($A446,'[3]allergenen 6nr'!$A$1:$O$1310,12,FALSE)</f>
        <v>-</v>
      </c>
      <c r="BN446" s="201" t="str">
        <f>VLOOKUP($A446,'[3]allergenen 6nr'!$A$1:$O$1310,13,FALSE)</f>
        <v>X</v>
      </c>
      <c r="BO446" s="201" t="str">
        <f>VLOOKUP($A446,'[3]allergenen 6nr'!$A$1:$O$1310,14,FALSE)</f>
        <v>-</v>
      </c>
      <c r="BP446" s="202" t="str">
        <f>VLOOKUP($A446,'[3]allergenen 6nr'!$A$1:$O$1310,15,FALSE)</f>
        <v>-</v>
      </c>
    </row>
    <row r="447" spans="1:68" x14ac:dyDescent="0.2">
      <c r="A447" s="89">
        <v>64281100</v>
      </c>
      <c r="B447" s="53" t="str">
        <f>VLOOKUP($A447,[1]maaltijden!$A$1:$IV$65536,4,FALSE)</f>
        <v>BOF BE KALFSBLANKET OUDE WIJZE KRIELAARDAP 450G</v>
      </c>
      <c r="C447" s="46" t="str">
        <f>VLOOKUP($A447,[1]maaltijden!$A$1:$IV$65536,7,FALSE)</f>
        <v>UK-59</v>
      </c>
      <c r="D447" s="22" t="str">
        <f>VLOOKUP($A447,[1]maaltijden!$A$1:$IV$65536,10,FALSE)</f>
        <v>H22</v>
      </c>
      <c r="E447" s="22" t="str">
        <f>VLOOKUP($A447,[1]maaltijden!$A$1:$IV$65536,13,FALSE)</f>
        <v>H22X10</v>
      </c>
      <c r="F447" s="20">
        <f t="shared" si="6"/>
        <v>0</v>
      </c>
      <c r="G447" s="20" t="str">
        <f>VLOOKUP($A447,[1]maaltijden!$A$1:$IV$65536,27,FALSE)</f>
        <v>! !</v>
      </c>
      <c r="H447" s="22">
        <f>VLOOKUP($A447,[1]maaltijden!$A$1:$IV$65536,21,FALSE)</f>
        <v>8</v>
      </c>
      <c r="I447" s="22">
        <f>VLOOKUP($A447,[1]maaltijden!$A$1:$IV$65536,21,FALSE)</f>
        <v>8</v>
      </c>
      <c r="J447" s="22">
        <f>VLOOKUP($A447,[1]maaltijden!$A$1:$IV$65536,18,FALSE)</f>
        <v>2</v>
      </c>
      <c r="K447" s="22">
        <f>VLOOKUP($A447,[1]maaltijden!$A$1:$IV$65536,17,FALSE)</f>
        <v>1</v>
      </c>
      <c r="L447" s="22">
        <f>VLOOKUP($A447,[1]maaltijden!$A$1:$IV$65536,20,FALSE)</f>
        <v>2200</v>
      </c>
      <c r="M447" s="22">
        <f>VLOOKUP($A447,[1]maaltijden!$A$1:$IV$65536,22,FALSE)</f>
        <v>2200</v>
      </c>
      <c r="N447" s="135"/>
      <c r="O447" s="50"/>
      <c r="P447" s="19">
        <v>1</v>
      </c>
      <c r="Q447" s="20">
        <v>2</v>
      </c>
      <c r="R447" s="21">
        <v>0</v>
      </c>
      <c r="S447" s="19">
        <v>1</v>
      </c>
      <c r="T447" s="20">
        <v>1</v>
      </c>
      <c r="U447" s="19">
        <v>0</v>
      </c>
      <c r="V447" s="20">
        <v>1</v>
      </c>
      <c r="W447" s="20">
        <v>1</v>
      </c>
      <c r="X447" s="20">
        <v>1</v>
      </c>
      <c r="Y447" s="20">
        <v>1</v>
      </c>
      <c r="Z447" s="20">
        <v>1</v>
      </c>
      <c r="AA447" s="20">
        <v>0</v>
      </c>
      <c r="AB447" s="49">
        <v>0</v>
      </c>
      <c r="AC447" s="49">
        <v>0</v>
      </c>
      <c r="AD447" s="49">
        <v>0</v>
      </c>
      <c r="AE447" s="49">
        <v>1</v>
      </c>
      <c r="AF447" s="49">
        <v>0</v>
      </c>
      <c r="AG447" s="161">
        <v>0</v>
      </c>
      <c r="AH447" s="162">
        <v>1</v>
      </c>
      <c r="AI447" s="162">
        <v>0</v>
      </c>
      <c r="AJ447" s="162">
        <v>0</v>
      </c>
      <c r="AK447" s="162">
        <v>0</v>
      </c>
      <c r="AL447" s="163">
        <v>0</v>
      </c>
      <c r="AM447" s="19">
        <v>0</v>
      </c>
      <c r="AN447" s="20">
        <f>IFERROR(INDEX([2]lijnopstellingsfiche!$AP$1:$AP$65536,MATCH(A447,[2]lijnopstellingsfiche!$AQ$1:$AQ$65536,0)),"")</f>
        <v>5</v>
      </c>
      <c r="AO447" s="20">
        <v>0</v>
      </c>
      <c r="AP447" s="20">
        <v>0</v>
      </c>
      <c r="AQ447" s="20">
        <v>1</v>
      </c>
      <c r="AR447" s="20">
        <v>0</v>
      </c>
      <c r="AS447" s="20">
        <v>0</v>
      </c>
      <c r="AT447" s="20">
        <v>0</v>
      </c>
      <c r="AU447" s="20">
        <v>0</v>
      </c>
      <c r="AV447" s="23">
        <v>0</v>
      </c>
      <c r="AW447" s="108">
        <v>1</v>
      </c>
      <c r="AX447" s="108">
        <v>0</v>
      </c>
      <c r="AY447" s="108">
        <v>1</v>
      </c>
      <c r="AZ447" s="108"/>
      <c r="BA447" s="114">
        <v>0</v>
      </c>
      <c r="BB447" s="20">
        <v>1</v>
      </c>
      <c r="BC447" s="113">
        <v>0</v>
      </c>
      <c r="BD447" s="200" t="str">
        <f>VLOOKUP($A447,'[3]allergenen 6nr'!$A$1:$O$1310,3,FALSE)</f>
        <v>-</v>
      </c>
      <c r="BE447" s="201" t="str">
        <f>VLOOKUP($A447,'[3]allergenen 6nr'!$A$1:$O$1310,4,FALSE)</f>
        <v>X</v>
      </c>
      <c r="BF447" s="201" t="str">
        <f>VLOOKUP($A447,'[3]allergenen 6nr'!$A$1:$O$1310,5,FALSE)</f>
        <v>+</v>
      </c>
      <c r="BG447" s="201" t="str">
        <f>VLOOKUP($A447,'[3]allergenen 6nr'!$A$1:$O$1310,6,FALSE)</f>
        <v>X</v>
      </c>
      <c r="BH447" s="201" t="str">
        <f>VLOOKUP($A447,'[3]allergenen 6nr'!$A$1:$O$1310,7,FALSE)</f>
        <v>+</v>
      </c>
      <c r="BI447" s="201" t="str">
        <f>VLOOKUP($A447,'[3]allergenen 6nr'!$A$1:$O$1310,8,FALSE)</f>
        <v>X</v>
      </c>
      <c r="BJ447" s="201" t="str">
        <f>VLOOKUP($A447,'[3]allergenen 6nr'!$A$1:$O$1310,9,FALSE)</f>
        <v>-</v>
      </c>
      <c r="BK447" s="201" t="str">
        <f>VLOOKUP($A447,'[3]allergenen 6nr'!$A$1:$O$1310,10,FALSE)</f>
        <v>-</v>
      </c>
      <c r="BL447" s="201" t="str">
        <f>VLOOKUP($A447,'[3]allergenen 6nr'!$A$1:$O$1310,11,FALSE)</f>
        <v>X</v>
      </c>
      <c r="BM447" s="201" t="str">
        <f>VLOOKUP($A447,'[3]allergenen 6nr'!$A$1:$O$1310,12,FALSE)</f>
        <v>-</v>
      </c>
      <c r="BN447" s="201" t="str">
        <f>VLOOKUP($A447,'[3]allergenen 6nr'!$A$1:$O$1310,13,FALSE)</f>
        <v>X</v>
      </c>
      <c r="BO447" s="201" t="str">
        <f>VLOOKUP($A447,'[3]allergenen 6nr'!$A$1:$O$1310,14,FALSE)</f>
        <v>-</v>
      </c>
      <c r="BP447" s="202" t="str">
        <f>VLOOKUP($A447,'[3]allergenen 6nr'!$A$1:$O$1310,15,FALSE)</f>
        <v>-</v>
      </c>
    </row>
    <row r="448" spans="1:68" x14ac:dyDescent="0.2">
      <c r="A448" s="89">
        <v>64281900</v>
      </c>
      <c r="B448" s="53" t="str">
        <f>VLOOKUP($A448,[1]maaltijden!$A$1:$IV$65536,4,FALSE)</f>
        <v>BOF BE PEERTJES RODE WIJN 450G</v>
      </c>
      <c r="C448" s="46" t="str">
        <f>VLOOKUP($A448,[1]maaltijden!$A$1:$IV$65536,7,FALSE)</f>
        <v>UK-59</v>
      </c>
      <c r="D448" s="22" t="str">
        <f>VLOOKUP($A448,[1]maaltijden!$A$1:$IV$65536,10,FALSE)</f>
        <v>H22</v>
      </c>
      <c r="E448" s="22" t="str">
        <f>VLOOKUP($A448,[1]maaltijden!$A$1:$IV$65536,13,FALSE)</f>
        <v>H22X10</v>
      </c>
      <c r="F448" s="20">
        <f t="shared" si="6"/>
        <v>0</v>
      </c>
      <c r="G448" s="20" t="str">
        <f>VLOOKUP($A448,[1]maaltijden!$A$1:$IV$65536,27,FALSE)</f>
        <v>!</v>
      </c>
      <c r="H448" s="22">
        <f>VLOOKUP($A448,[1]maaltijden!$A$1:$IV$65536,21,FALSE)</f>
        <v>6</v>
      </c>
      <c r="I448" s="22">
        <f>VLOOKUP($A448,[1]maaltijden!$A$1:$IV$65536,21,FALSE)</f>
        <v>6</v>
      </c>
      <c r="J448" s="22">
        <f>VLOOKUP($A448,[1]maaltijden!$A$1:$IV$65536,18,FALSE)</f>
        <v>2</v>
      </c>
      <c r="K448" s="22">
        <f>VLOOKUP($A448,[1]maaltijden!$A$1:$IV$65536,17,FALSE)</f>
        <v>2</v>
      </c>
      <c r="L448" s="22">
        <f>VLOOKUP($A448,[1]maaltijden!$A$1:$IV$65536,20,FALSE)</f>
        <v>3500</v>
      </c>
      <c r="M448" s="22">
        <f>VLOOKUP($A448,[1]maaltijden!$A$1:$IV$65536,22,FALSE)</f>
        <v>3500</v>
      </c>
      <c r="N448" s="135"/>
      <c r="O448" s="50"/>
      <c r="P448" s="19">
        <v>1</v>
      </c>
      <c r="Q448" s="20">
        <v>2</v>
      </c>
      <c r="R448" s="21">
        <v>0</v>
      </c>
      <c r="S448" s="19">
        <v>1</v>
      </c>
      <c r="T448" s="20">
        <v>1</v>
      </c>
      <c r="U448" s="19">
        <v>1</v>
      </c>
      <c r="V448" s="20">
        <v>1</v>
      </c>
      <c r="W448" s="20">
        <v>1</v>
      </c>
      <c r="X448" s="20">
        <v>1</v>
      </c>
      <c r="Y448" s="20">
        <v>1</v>
      </c>
      <c r="Z448" s="20">
        <v>0</v>
      </c>
      <c r="AA448" s="20">
        <v>0</v>
      </c>
      <c r="AB448" s="49">
        <v>0</v>
      </c>
      <c r="AC448" s="49">
        <v>0</v>
      </c>
      <c r="AD448" s="49">
        <v>0</v>
      </c>
      <c r="AE448" s="49">
        <v>0</v>
      </c>
      <c r="AF448" s="49">
        <v>0</v>
      </c>
      <c r="AG448" s="161">
        <v>0</v>
      </c>
      <c r="AH448" s="162">
        <v>1</v>
      </c>
      <c r="AI448" s="162">
        <v>0</v>
      </c>
      <c r="AJ448" s="162">
        <v>0</v>
      </c>
      <c r="AK448" s="162">
        <v>0</v>
      </c>
      <c r="AL448" s="163">
        <v>0</v>
      </c>
      <c r="AM448" s="19">
        <v>0</v>
      </c>
      <c r="AN448" s="20">
        <f>IFERROR(INDEX([2]lijnopstellingsfiche!$AP$1:$AP$65536,MATCH(A448,[2]lijnopstellingsfiche!$AQ$1:$AQ$65536,0)),"")</f>
        <v>1</v>
      </c>
      <c r="AO448" s="20">
        <v>0</v>
      </c>
      <c r="AP448" s="20">
        <v>0</v>
      </c>
      <c r="AQ448" s="20">
        <v>2</v>
      </c>
      <c r="AR448" s="20">
        <v>0</v>
      </c>
      <c r="AS448" s="20">
        <v>1</v>
      </c>
      <c r="AT448" s="20">
        <v>0</v>
      </c>
      <c r="AU448" s="20">
        <v>0</v>
      </c>
      <c r="AV448" s="23">
        <v>0</v>
      </c>
      <c r="AW448" s="108">
        <v>1</v>
      </c>
      <c r="AX448" s="108">
        <v>0</v>
      </c>
      <c r="AY448" s="108">
        <v>1</v>
      </c>
      <c r="AZ448" s="108"/>
      <c r="BA448" s="114">
        <v>0</v>
      </c>
      <c r="BB448" s="20">
        <v>1</v>
      </c>
      <c r="BC448" s="113">
        <v>0</v>
      </c>
      <c r="BD448" s="200" t="str">
        <f>VLOOKUP($A448,'[3]allergenen 6nr'!$A$1:$O$1310,3,FALSE)</f>
        <v>-</v>
      </c>
      <c r="BE448" s="201" t="str">
        <f>VLOOKUP($A448,'[3]allergenen 6nr'!$A$1:$O$1310,4,FALSE)</f>
        <v>-</v>
      </c>
      <c r="BF448" s="201" t="str">
        <f>VLOOKUP($A448,'[3]allergenen 6nr'!$A$1:$O$1310,5,FALSE)</f>
        <v>-</v>
      </c>
      <c r="BG448" s="201" t="str">
        <f>VLOOKUP($A448,'[3]allergenen 6nr'!$A$1:$O$1310,6,FALSE)</f>
        <v>-</v>
      </c>
      <c r="BH448" s="201" t="str">
        <f>VLOOKUP($A448,'[3]allergenen 6nr'!$A$1:$O$1310,7,FALSE)</f>
        <v>-</v>
      </c>
      <c r="BI448" s="201" t="str">
        <f>VLOOKUP($A448,'[3]allergenen 6nr'!$A$1:$O$1310,8,FALSE)</f>
        <v>-</v>
      </c>
      <c r="BJ448" s="201" t="str">
        <f>VLOOKUP($A448,'[3]allergenen 6nr'!$A$1:$O$1310,9,FALSE)</f>
        <v>-</v>
      </c>
      <c r="BK448" s="201" t="str">
        <f>VLOOKUP($A448,'[3]allergenen 6nr'!$A$1:$O$1310,10,FALSE)</f>
        <v>-</v>
      </c>
      <c r="BL448" s="201" t="str">
        <f>VLOOKUP($A448,'[3]allergenen 6nr'!$A$1:$O$1310,11,FALSE)</f>
        <v>-</v>
      </c>
      <c r="BM448" s="201" t="str">
        <f>VLOOKUP($A448,'[3]allergenen 6nr'!$A$1:$O$1310,12,FALSE)</f>
        <v>-</v>
      </c>
      <c r="BN448" s="201" t="str">
        <f>VLOOKUP($A448,'[3]allergenen 6nr'!$A$1:$O$1310,13,FALSE)</f>
        <v>-</v>
      </c>
      <c r="BO448" s="201" t="str">
        <f>VLOOKUP($A448,'[3]allergenen 6nr'!$A$1:$O$1310,14,FALSE)</f>
        <v>-</v>
      </c>
      <c r="BP448" s="202" t="str">
        <f>VLOOKUP($A448,'[3]allergenen 6nr'!$A$1:$O$1310,15,FALSE)</f>
        <v>-</v>
      </c>
    </row>
    <row r="449" spans="1:68" x14ac:dyDescent="0.2">
      <c r="A449" s="89">
        <v>64282000</v>
      </c>
      <c r="B449" s="53" t="str">
        <f>VLOOKUP($A449,[1]maaltijden!$A$1:$IV$65536,4,FALSE)</f>
        <v>BOF BE ZWARTE PENS APPELCOMPOTE PUREE 420G</v>
      </c>
      <c r="C449" s="46" t="str">
        <f>VLOOKUP($A449,[1]maaltijden!$A$1:$IV$65536,7,FALSE)</f>
        <v>UK-59</v>
      </c>
      <c r="D449" s="22" t="str">
        <f>VLOOKUP($A449,[1]maaltijden!$A$1:$IV$65536,10,FALSE)</f>
        <v>H22</v>
      </c>
      <c r="E449" s="22" t="str">
        <f>VLOOKUP($A449,[1]maaltijden!$A$1:$IV$65536,13,FALSE)</f>
        <v>H22X10</v>
      </c>
      <c r="F449" s="20">
        <f t="shared" si="6"/>
        <v>0</v>
      </c>
      <c r="G449" s="20" t="str">
        <f>VLOOKUP($A449,[1]maaltijden!$A$1:$IV$65536,27,FALSE)</f>
        <v>! ! !</v>
      </c>
      <c r="H449" s="22">
        <f>VLOOKUP($A449,[1]maaltijden!$A$1:$IV$65536,21,FALSE)</f>
        <v>5</v>
      </c>
      <c r="I449" s="22">
        <f>VLOOKUP($A449,[1]maaltijden!$A$1:$IV$65536,21,FALSE)</f>
        <v>5</v>
      </c>
      <c r="J449" s="22">
        <f>VLOOKUP($A449,[1]maaltijden!$A$1:$IV$65536,18,FALSE)</f>
        <v>2</v>
      </c>
      <c r="K449" s="22">
        <f>VLOOKUP($A449,[1]maaltijden!$A$1:$IV$65536,17,FALSE)</f>
        <v>2</v>
      </c>
      <c r="L449" s="22">
        <f>VLOOKUP($A449,[1]maaltijden!$A$1:$IV$65536,20,FALSE)</f>
        <v>3200</v>
      </c>
      <c r="M449" s="22">
        <f>VLOOKUP($A449,[1]maaltijden!$A$1:$IV$65536,22,FALSE)</f>
        <v>3200</v>
      </c>
      <c r="N449" s="135"/>
      <c r="O449" s="50"/>
      <c r="P449" s="19">
        <v>1</v>
      </c>
      <c r="Q449" s="20">
        <v>2</v>
      </c>
      <c r="R449" s="21">
        <v>0</v>
      </c>
      <c r="S449" s="19">
        <v>1</v>
      </c>
      <c r="T449" s="20">
        <v>1</v>
      </c>
      <c r="U449" s="19">
        <v>0</v>
      </c>
      <c r="V449" s="20">
        <v>1</v>
      </c>
      <c r="W449" s="20">
        <v>1</v>
      </c>
      <c r="X449" s="20">
        <v>1</v>
      </c>
      <c r="Y449" s="20">
        <v>1</v>
      </c>
      <c r="Z449" s="20">
        <v>0</v>
      </c>
      <c r="AA449" s="20">
        <v>0</v>
      </c>
      <c r="AB449" s="49">
        <v>0</v>
      </c>
      <c r="AC449" s="49">
        <v>0</v>
      </c>
      <c r="AD449" s="49">
        <v>0</v>
      </c>
      <c r="AE449" s="49">
        <v>1</v>
      </c>
      <c r="AF449" s="49">
        <v>0</v>
      </c>
      <c r="AG449" s="161">
        <v>0</v>
      </c>
      <c r="AH449" s="162">
        <v>2</v>
      </c>
      <c r="AI449" s="162">
        <v>1</v>
      </c>
      <c r="AJ449" s="162">
        <v>0</v>
      </c>
      <c r="AK449" s="162">
        <v>0</v>
      </c>
      <c r="AL449" s="163">
        <v>0</v>
      </c>
      <c r="AM449" s="19">
        <v>0</v>
      </c>
      <c r="AN449" s="20" t="str">
        <f>IFERROR(INDEX([2]lijnopstellingsfiche!$AP$1:$AP$65536,MATCH(A449,[2]lijnopstellingsfiche!$AQ$1:$AQ$65536,0)),"")</f>
        <v>-</v>
      </c>
      <c r="AO449" s="20">
        <v>0</v>
      </c>
      <c r="AP449" s="20">
        <v>0</v>
      </c>
      <c r="AQ449" s="20">
        <v>2</v>
      </c>
      <c r="AR449" s="20">
        <v>2</v>
      </c>
      <c r="AS449" s="20">
        <v>0</v>
      </c>
      <c r="AT449" s="20">
        <v>0</v>
      </c>
      <c r="AU449" s="20">
        <v>0</v>
      </c>
      <c r="AV449" s="23">
        <v>0</v>
      </c>
      <c r="AW449" s="108">
        <v>1</v>
      </c>
      <c r="AX449" s="108">
        <v>0</v>
      </c>
      <c r="AY449" s="108">
        <v>1</v>
      </c>
      <c r="AZ449" s="108"/>
      <c r="BA449" s="114">
        <v>0</v>
      </c>
      <c r="BB449" s="20">
        <v>1</v>
      </c>
      <c r="BC449" s="113">
        <v>0</v>
      </c>
      <c r="BD449" s="200" t="str">
        <f>VLOOKUP($A449,'[3]allergenen 6nr'!$A$1:$O$1310,3,FALSE)</f>
        <v>-</v>
      </c>
      <c r="BE449" s="201" t="str">
        <f>VLOOKUP($A449,'[3]allergenen 6nr'!$A$1:$O$1310,4,FALSE)</f>
        <v>+</v>
      </c>
      <c r="BF449" s="201" t="str">
        <f>VLOOKUP($A449,'[3]allergenen 6nr'!$A$1:$O$1310,5,FALSE)</f>
        <v>+</v>
      </c>
      <c r="BG449" s="201" t="str">
        <f>VLOOKUP($A449,'[3]allergenen 6nr'!$A$1:$O$1310,6,FALSE)</f>
        <v>-</v>
      </c>
      <c r="BH449" s="201" t="str">
        <f>VLOOKUP($A449,'[3]allergenen 6nr'!$A$1:$O$1310,7,FALSE)</f>
        <v>+</v>
      </c>
      <c r="BI449" s="201" t="str">
        <f>VLOOKUP($A449,'[3]allergenen 6nr'!$A$1:$O$1310,8,FALSE)</f>
        <v>+</v>
      </c>
      <c r="BJ449" s="201" t="str">
        <f>VLOOKUP($A449,'[3]allergenen 6nr'!$A$1:$O$1310,9,FALSE)</f>
        <v>-</v>
      </c>
      <c r="BK449" s="201" t="str">
        <f>VLOOKUP($A449,'[3]allergenen 6nr'!$A$1:$O$1310,10,FALSE)</f>
        <v>-</v>
      </c>
      <c r="BL449" s="201" t="str">
        <f>VLOOKUP($A449,'[3]allergenen 6nr'!$A$1:$O$1310,11,FALSE)</f>
        <v>+</v>
      </c>
      <c r="BM449" s="201" t="str">
        <f>VLOOKUP($A449,'[3]allergenen 6nr'!$A$1:$O$1310,12,FALSE)</f>
        <v>-</v>
      </c>
      <c r="BN449" s="201" t="str">
        <f>VLOOKUP($A449,'[3]allergenen 6nr'!$A$1:$O$1310,13,FALSE)</f>
        <v>+</v>
      </c>
      <c r="BO449" s="201" t="str">
        <f>VLOOKUP($A449,'[3]allergenen 6nr'!$A$1:$O$1310,14,FALSE)</f>
        <v>-</v>
      </c>
      <c r="BP449" s="202" t="str">
        <f>VLOOKUP($A449,'[3]allergenen 6nr'!$A$1:$O$1310,15,FALSE)</f>
        <v>-</v>
      </c>
    </row>
    <row r="450" spans="1:68" x14ac:dyDescent="0.2">
      <c r="A450" s="89">
        <v>64282200</v>
      </c>
      <c r="B450" s="53" t="str">
        <f>VLOOKUP($A450,[1]maaltijden!$A$1:$IV$65536,4,FALSE)</f>
        <v>BOF BE CANNELLONI RUNDVLEES TOMATENSAUS 400G</v>
      </c>
      <c r="C450" s="46" t="str">
        <f>VLOOKUP($A450,[1]maaltijden!$A$1:$IV$65536,7,FALSE)</f>
        <v>UK-59</v>
      </c>
      <c r="D450" s="22" t="str">
        <f>VLOOKUP($A450,[1]maaltijden!$A$1:$IV$65536,10,FALSE)</f>
        <v>H22</v>
      </c>
      <c r="E450" s="22" t="str">
        <f>VLOOKUP($A450,[1]maaltijden!$A$1:$IV$65536,13,FALSE)</f>
        <v>H22X10</v>
      </c>
      <c r="F450" s="20">
        <f t="shared" si="6"/>
        <v>0</v>
      </c>
      <c r="G450" s="20" t="str">
        <f>VLOOKUP($A450,[1]maaltijden!$A$1:$IV$65536,27,FALSE)</f>
        <v>! ! !</v>
      </c>
      <c r="H450" s="22">
        <f>VLOOKUP($A450,[1]maaltijden!$A$1:$IV$65536,21,FALSE)</f>
        <v>4</v>
      </c>
      <c r="I450" s="22">
        <f>VLOOKUP($A450,[1]maaltijden!$A$1:$IV$65536,21,FALSE)</f>
        <v>4</v>
      </c>
      <c r="J450" s="22">
        <f>VLOOKUP($A450,[1]maaltijden!$A$1:$IV$65536,18,FALSE)</f>
        <v>3</v>
      </c>
      <c r="K450" s="22">
        <f>VLOOKUP($A450,[1]maaltijden!$A$1:$IV$65536,17,FALSE)</f>
        <v>1</v>
      </c>
      <c r="L450" s="22">
        <f>VLOOKUP($A450,[1]maaltijden!$A$1:$IV$65536,20,FALSE)</f>
        <v>1500</v>
      </c>
      <c r="M450" s="22">
        <f>VLOOKUP($A450,[1]maaltijden!$A$1:$IV$65536,22,FALSE)</f>
        <v>1500</v>
      </c>
      <c r="N450" s="135"/>
      <c r="O450" s="50"/>
      <c r="P450" s="19">
        <v>1</v>
      </c>
      <c r="Q450" s="20">
        <v>2</v>
      </c>
      <c r="R450" s="21">
        <v>0</v>
      </c>
      <c r="S450" s="19">
        <v>1</v>
      </c>
      <c r="T450" s="20">
        <v>1</v>
      </c>
      <c r="U450" s="19">
        <v>1</v>
      </c>
      <c r="V450" s="20">
        <v>1</v>
      </c>
      <c r="W450" s="20">
        <v>1</v>
      </c>
      <c r="X450" s="20">
        <v>1</v>
      </c>
      <c r="Y450" s="20">
        <v>1</v>
      </c>
      <c r="Z450" s="20">
        <v>0</v>
      </c>
      <c r="AA450" s="20">
        <v>0</v>
      </c>
      <c r="AB450" s="49">
        <v>0</v>
      </c>
      <c r="AC450" s="49">
        <v>0</v>
      </c>
      <c r="AD450" s="49">
        <v>0</v>
      </c>
      <c r="AE450" s="49">
        <v>0</v>
      </c>
      <c r="AF450" s="49">
        <v>0</v>
      </c>
      <c r="AG450" s="161">
        <v>0</v>
      </c>
      <c r="AH450" s="162">
        <v>1</v>
      </c>
      <c r="AI450" s="162">
        <v>0</v>
      </c>
      <c r="AJ450" s="162">
        <v>0</v>
      </c>
      <c r="AK450" s="162">
        <v>0</v>
      </c>
      <c r="AL450" s="163">
        <v>1</v>
      </c>
      <c r="AM450" s="19">
        <v>0</v>
      </c>
      <c r="AN450" s="20" t="str">
        <f>IFERROR(INDEX([2]lijnopstellingsfiche!$AP$1:$AP$65536,MATCH(A450,[2]lijnopstellingsfiche!$AQ$1:$AQ$65536,0)),"")</f>
        <v>-</v>
      </c>
      <c r="AO450" s="20">
        <v>0</v>
      </c>
      <c r="AP450" s="20">
        <v>1</v>
      </c>
      <c r="AQ450" s="20">
        <v>4</v>
      </c>
      <c r="AR450" s="20">
        <v>0</v>
      </c>
      <c r="AS450" s="20">
        <v>0</v>
      </c>
      <c r="AT450" s="20">
        <v>0</v>
      </c>
      <c r="AU450" s="20">
        <v>0</v>
      </c>
      <c r="AV450" s="23">
        <v>0</v>
      </c>
      <c r="AW450" s="108">
        <v>1</v>
      </c>
      <c r="AX450" s="108">
        <v>0</v>
      </c>
      <c r="AY450" s="108">
        <v>1</v>
      </c>
      <c r="AZ450" s="108"/>
      <c r="BA450" s="114">
        <v>0</v>
      </c>
      <c r="BB450" s="20">
        <v>1</v>
      </c>
      <c r="BC450" s="113">
        <v>0</v>
      </c>
      <c r="BD450" s="200" t="str">
        <f>VLOOKUP($A450,'[3]allergenen 6nr'!$A$1:$O$1310,3,FALSE)</f>
        <v>-</v>
      </c>
      <c r="BE450" s="201" t="str">
        <f>VLOOKUP($A450,'[3]allergenen 6nr'!$A$1:$O$1310,4,FALSE)</f>
        <v>+</v>
      </c>
      <c r="BF450" s="201" t="str">
        <f>VLOOKUP($A450,'[3]allergenen 6nr'!$A$1:$O$1310,5,FALSE)</f>
        <v>+</v>
      </c>
      <c r="BG450" s="201" t="str">
        <f>VLOOKUP($A450,'[3]allergenen 6nr'!$A$1:$O$1310,6,FALSE)</f>
        <v>X</v>
      </c>
      <c r="BH450" s="201" t="str">
        <f>VLOOKUP($A450,'[3]allergenen 6nr'!$A$1:$O$1310,7,FALSE)</f>
        <v>+</v>
      </c>
      <c r="BI450" s="201" t="str">
        <f>VLOOKUP($A450,'[3]allergenen 6nr'!$A$1:$O$1310,8,FALSE)</f>
        <v>X</v>
      </c>
      <c r="BJ450" s="201" t="str">
        <f>VLOOKUP($A450,'[3]allergenen 6nr'!$A$1:$O$1310,9,FALSE)</f>
        <v>-</v>
      </c>
      <c r="BK450" s="201" t="str">
        <f>VLOOKUP($A450,'[3]allergenen 6nr'!$A$1:$O$1310,10,FALSE)</f>
        <v>-</v>
      </c>
      <c r="BL450" s="201" t="str">
        <f>VLOOKUP($A450,'[3]allergenen 6nr'!$A$1:$O$1310,11,FALSE)</f>
        <v>+</v>
      </c>
      <c r="BM450" s="201" t="str">
        <f>VLOOKUP($A450,'[3]allergenen 6nr'!$A$1:$O$1310,12,FALSE)</f>
        <v>-</v>
      </c>
      <c r="BN450" s="201" t="str">
        <f>VLOOKUP($A450,'[3]allergenen 6nr'!$A$1:$O$1310,13,FALSE)</f>
        <v>X</v>
      </c>
      <c r="BO450" s="201" t="str">
        <f>VLOOKUP($A450,'[3]allergenen 6nr'!$A$1:$O$1310,14,FALSE)</f>
        <v>-</v>
      </c>
      <c r="BP450" s="202" t="str">
        <f>VLOOKUP($A450,'[3]allergenen 6nr'!$A$1:$O$1310,15,FALSE)</f>
        <v>-</v>
      </c>
    </row>
    <row r="451" spans="1:68" x14ac:dyDescent="0.2">
      <c r="A451" s="89">
        <v>64282300</v>
      </c>
      <c r="B451" s="53" t="str">
        <f>VLOOKUP($A451,[1]maaltijden!$A$1:$IV$65536,4,FALSE)</f>
        <v>BOF BE RUNDSTOOFVLEES IN BIERSAUS 450G</v>
      </c>
      <c r="C451" s="46" t="str">
        <f>VLOOKUP($A451,[1]maaltijden!$A$1:$IV$65536,7,FALSE)</f>
        <v>UK-59</v>
      </c>
      <c r="D451" s="22" t="str">
        <f>VLOOKUP($A451,[1]maaltijden!$A$1:$IV$65536,10,FALSE)</f>
        <v>H22</v>
      </c>
      <c r="E451" s="22" t="str">
        <f>VLOOKUP($A451,[1]maaltijden!$A$1:$IV$65536,13,FALSE)</f>
        <v>H22X10</v>
      </c>
      <c r="F451" s="20">
        <f t="shared" si="6"/>
        <v>0</v>
      </c>
      <c r="G451" s="20" t="str">
        <f>VLOOKUP($A451,[1]maaltijden!$A$1:$IV$65536,27,FALSE)</f>
        <v>! ! !</v>
      </c>
      <c r="H451" s="22">
        <f>VLOOKUP($A451,[1]maaltijden!$A$1:$IV$65536,21,FALSE)</f>
        <v>3</v>
      </c>
      <c r="I451" s="22">
        <f>VLOOKUP($A451,[1]maaltijden!$A$1:$IV$65536,21,FALSE)</f>
        <v>3</v>
      </c>
      <c r="J451" s="22">
        <f>VLOOKUP($A451,[1]maaltijden!$A$1:$IV$65536,18,FALSE)</f>
        <v>2</v>
      </c>
      <c r="K451" s="22">
        <f>VLOOKUP($A451,[1]maaltijden!$A$1:$IV$65536,17,FALSE)</f>
        <v>1</v>
      </c>
      <c r="L451" s="22">
        <f>VLOOKUP($A451,[1]maaltijden!$A$1:$IV$65536,20,FALSE)</f>
        <v>3500</v>
      </c>
      <c r="M451" s="22">
        <f>VLOOKUP($A451,[1]maaltijden!$A$1:$IV$65536,22,FALSE)</f>
        <v>3500</v>
      </c>
      <c r="N451" s="135"/>
      <c r="O451" s="50"/>
      <c r="P451" s="19">
        <v>1</v>
      </c>
      <c r="Q451" s="20">
        <v>2</v>
      </c>
      <c r="R451" s="21">
        <v>0</v>
      </c>
      <c r="S451" s="19">
        <v>1</v>
      </c>
      <c r="T451" s="20">
        <v>1</v>
      </c>
      <c r="U451" s="19">
        <v>1</v>
      </c>
      <c r="V451" s="20">
        <v>1</v>
      </c>
      <c r="W451" s="20">
        <v>1</v>
      </c>
      <c r="X451" s="20">
        <v>1</v>
      </c>
      <c r="Y451" s="20">
        <v>1</v>
      </c>
      <c r="Z451" s="20">
        <v>0</v>
      </c>
      <c r="AA451" s="20">
        <v>0</v>
      </c>
      <c r="AB451" s="49">
        <v>0</v>
      </c>
      <c r="AC451" s="49">
        <v>0</v>
      </c>
      <c r="AD451" s="49">
        <v>0</v>
      </c>
      <c r="AE451" s="49">
        <v>1</v>
      </c>
      <c r="AF451" s="49">
        <v>0</v>
      </c>
      <c r="AG451" s="161">
        <v>0</v>
      </c>
      <c r="AH451" s="162">
        <v>1</v>
      </c>
      <c r="AI451" s="162">
        <v>0</v>
      </c>
      <c r="AJ451" s="162">
        <v>0</v>
      </c>
      <c r="AK451" s="162">
        <v>0</v>
      </c>
      <c r="AL451" s="163">
        <v>0</v>
      </c>
      <c r="AM451" s="19">
        <v>0</v>
      </c>
      <c r="AN451" s="20" t="str">
        <f>IFERROR(INDEX([2]lijnopstellingsfiche!$AP$1:$AP$65536,MATCH(A451,[2]lijnopstellingsfiche!$AQ$1:$AQ$65536,0)),"")</f>
        <v>-</v>
      </c>
      <c r="AO451" s="20">
        <v>0</v>
      </c>
      <c r="AP451" s="20">
        <v>0</v>
      </c>
      <c r="AQ451" s="20">
        <v>2</v>
      </c>
      <c r="AR451" s="20">
        <v>0</v>
      </c>
      <c r="AS451" s="20">
        <v>1</v>
      </c>
      <c r="AT451" s="20">
        <v>0</v>
      </c>
      <c r="AU451" s="20">
        <v>0</v>
      </c>
      <c r="AV451" s="23">
        <v>0</v>
      </c>
      <c r="AW451" s="108">
        <v>1</v>
      </c>
      <c r="AX451" s="108">
        <v>0</v>
      </c>
      <c r="AY451" s="108">
        <v>1</v>
      </c>
      <c r="AZ451" s="108"/>
      <c r="BA451" s="114">
        <v>0</v>
      </c>
      <c r="BB451" s="20">
        <v>1</v>
      </c>
      <c r="BC451" s="113">
        <v>0</v>
      </c>
      <c r="BD451" s="200" t="str">
        <f>VLOOKUP($A451,'[3]allergenen 6nr'!$A$1:$O$1310,3,FALSE)</f>
        <v>-</v>
      </c>
      <c r="BE451" s="201" t="str">
        <f>VLOOKUP($A451,'[3]allergenen 6nr'!$A$1:$O$1310,4,FALSE)</f>
        <v>X</v>
      </c>
      <c r="BF451" s="201" t="str">
        <f>VLOOKUP($A451,'[3]allergenen 6nr'!$A$1:$O$1310,5,FALSE)</f>
        <v>+</v>
      </c>
      <c r="BG451" s="201" t="str">
        <f>VLOOKUP($A451,'[3]allergenen 6nr'!$A$1:$O$1310,6,FALSE)</f>
        <v>X</v>
      </c>
      <c r="BH451" s="201" t="str">
        <f>VLOOKUP($A451,'[3]allergenen 6nr'!$A$1:$O$1310,7,FALSE)</f>
        <v>X</v>
      </c>
      <c r="BI451" s="201" t="str">
        <f>VLOOKUP($A451,'[3]allergenen 6nr'!$A$1:$O$1310,8,FALSE)</f>
        <v>+</v>
      </c>
      <c r="BJ451" s="201" t="str">
        <f>VLOOKUP($A451,'[3]allergenen 6nr'!$A$1:$O$1310,9,FALSE)</f>
        <v>-</v>
      </c>
      <c r="BK451" s="201" t="str">
        <f>VLOOKUP($A451,'[3]allergenen 6nr'!$A$1:$O$1310,10,FALSE)</f>
        <v>-</v>
      </c>
      <c r="BL451" s="201" t="str">
        <f>VLOOKUP($A451,'[3]allergenen 6nr'!$A$1:$O$1310,11,FALSE)</f>
        <v>-</v>
      </c>
      <c r="BM451" s="201" t="str">
        <f>VLOOKUP($A451,'[3]allergenen 6nr'!$A$1:$O$1310,12,FALSE)</f>
        <v>-</v>
      </c>
      <c r="BN451" s="201" t="str">
        <f>VLOOKUP($A451,'[3]allergenen 6nr'!$A$1:$O$1310,13,FALSE)</f>
        <v>X</v>
      </c>
      <c r="BO451" s="201" t="str">
        <f>VLOOKUP($A451,'[3]allergenen 6nr'!$A$1:$O$1310,14,FALSE)</f>
        <v>-</v>
      </c>
      <c r="BP451" s="202" t="str">
        <f>VLOOKUP($A451,'[3]allergenen 6nr'!$A$1:$O$1310,15,FALSE)</f>
        <v>-</v>
      </c>
    </row>
    <row r="452" spans="1:68" x14ac:dyDescent="0.2">
      <c r="A452" s="89">
        <v>64282400</v>
      </c>
      <c r="B452" s="53" t="str">
        <f>VLOOKUP($A452,[1]maaltijden!$A$1:$IV$65536,4,FALSE)</f>
        <v>BOF BE WITTE PENS APPELCOMPOTE PUREE 420G</v>
      </c>
      <c r="C452" s="46" t="str">
        <f>VLOOKUP($A452,[1]maaltijden!$A$1:$IV$65536,7,FALSE)</f>
        <v>UK-59</v>
      </c>
      <c r="D452" s="22" t="str">
        <f>VLOOKUP($A452,[1]maaltijden!$A$1:$IV$65536,10,FALSE)</f>
        <v>H22</v>
      </c>
      <c r="E452" s="22" t="str">
        <f>VLOOKUP($A452,[1]maaltijden!$A$1:$IV$65536,13,FALSE)</f>
        <v>H22X10</v>
      </c>
      <c r="F452" s="20">
        <f t="shared" si="6"/>
        <v>0</v>
      </c>
      <c r="G452" s="20" t="str">
        <f>VLOOKUP($A452,[1]maaltijden!$A$1:$IV$65536,27,FALSE)</f>
        <v>! ! !</v>
      </c>
      <c r="H452" s="22">
        <f>VLOOKUP($A452,[1]maaltijden!$A$1:$IV$65536,21,FALSE)</f>
        <v>5</v>
      </c>
      <c r="I452" s="22">
        <f>VLOOKUP($A452,[1]maaltijden!$A$1:$IV$65536,21,FALSE)</f>
        <v>5</v>
      </c>
      <c r="J452" s="22">
        <f>VLOOKUP($A452,[1]maaltijden!$A$1:$IV$65536,18,FALSE)</f>
        <v>2</v>
      </c>
      <c r="K452" s="22">
        <f>VLOOKUP($A452,[1]maaltijden!$A$1:$IV$65536,17,FALSE)</f>
        <v>2</v>
      </c>
      <c r="L452" s="22">
        <f>VLOOKUP($A452,[1]maaltijden!$A$1:$IV$65536,20,FALSE)</f>
        <v>3200</v>
      </c>
      <c r="M452" s="22">
        <f>VLOOKUP($A452,[1]maaltijden!$A$1:$IV$65536,22,FALSE)</f>
        <v>3200</v>
      </c>
      <c r="N452" s="135"/>
      <c r="O452" s="50"/>
      <c r="P452" s="19">
        <v>1</v>
      </c>
      <c r="Q452" s="20">
        <v>2</v>
      </c>
      <c r="R452" s="21">
        <v>0</v>
      </c>
      <c r="S452" s="19">
        <v>1</v>
      </c>
      <c r="T452" s="20">
        <v>1</v>
      </c>
      <c r="U452" s="19">
        <v>0</v>
      </c>
      <c r="V452" s="20">
        <v>1</v>
      </c>
      <c r="W452" s="20">
        <v>1</v>
      </c>
      <c r="X452" s="20">
        <v>1</v>
      </c>
      <c r="Y452" s="20">
        <v>1</v>
      </c>
      <c r="Z452" s="20">
        <v>0</v>
      </c>
      <c r="AA452" s="20">
        <v>0</v>
      </c>
      <c r="AB452" s="49">
        <v>0</v>
      </c>
      <c r="AC452" s="49">
        <v>0</v>
      </c>
      <c r="AD452" s="49">
        <v>0</v>
      </c>
      <c r="AE452" s="49">
        <v>1</v>
      </c>
      <c r="AF452" s="49">
        <v>0</v>
      </c>
      <c r="AG452" s="161">
        <v>0</v>
      </c>
      <c r="AH452" s="162">
        <v>2</v>
      </c>
      <c r="AI452" s="162">
        <v>1</v>
      </c>
      <c r="AJ452" s="162">
        <v>0</v>
      </c>
      <c r="AK452" s="162">
        <v>0</v>
      </c>
      <c r="AL452" s="163">
        <v>0</v>
      </c>
      <c r="AM452" s="19">
        <v>0</v>
      </c>
      <c r="AN452" s="20" t="str">
        <f>IFERROR(INDEX([2]lijnopstellingsfiche!$AP$1:$AP$65536,MATCH(A452,[2]lijnopstellingsfiche!$AQ$1:$AQ$65536,0)),"")</f>
        <v>-</v>
      </c>
      <c r="AO452" s="20">
        <v>0</v>
      </c>
      <c r="AP452" s="20">
        <v>0</v>
      </c>
      <c r="AQ452" s="20">
        <v>2</v>
      </c>
      <c r="AR452" s="20">
        <v>2</v>
      </c>
      <c r="AS452" s="20">
        <v>0</v>
      </c>
      <c r="AT452" s="20">
        <v>0</v>
      </c>
      <c r="AU452" s="20">
        <v>0</v>
      </c>
      <c r="AV452" s="23">
        <v>0</v>
      </c>
      <c r="AW452" s="108">
        <v>1</v>
      </c>
      <c r="AX452" s="108">
        <v>0</v>
      </c>
      <c r="AY452" s="108">
        <v>1</v>
      </c>
      <c r="AZ452" s="108"/>
      <c r="BA452" s="114">
        <v>0</v>
      </c>
      <c r="BB452" s="20">
        <v>1</v>
      </c>
      <c r="BC452" s="113">
        <v>0</v>
      </c>
      <c r="BD452" s="200" t="str">
        <f>VLOOKUP($A452,'[3]allergenen 6nr'!$A$1:$O$1310,3,FALSE)</f>
        <v>-</v>
      </c>
      <c r="BE452" s="201" t="str">
        <f>VLOOKUP($A452,'[3]allergenen 6nr'!$A$1:$O$1310,4,FALSE)</f>
        <v>+</v>
      </c>
      <c r="BF452" s="201" t="str">
        <f>VLOOKUP($A452,'[3]allergenen 6nr'!$A$1:$O$1310,5,FALSE)</f>
        <v>+</v>
      </c>
      <c r="BG452" s="201" t="str">
        <f>VLOOKUP($A452,'[3]allergenen 6nr'!$A$1:$O$1310,6,FALSE)</f>
        <v>-</v>
      </c>
      <c r="BH452" s="201" t="str">
        <f>VLOOKUP($A452,'[3]allergenen 6nr'!$A$1:$O$1310,7,FALSE)</f>
        <v>+</v>
      </c>
      <c r="BI452" s="201" t="str">
        <f>VLOOKUP($A452,'[3]allergenen 6nr'!$A$1:$O$1310,8,FALSE)</f>
        <v>+</v>
      </c>
      <c r="BJ452" s="201" t="str">
        <f>VLOOKUP($A452,'[3]allergenen 6nr'!$A$1:$O$1310,9,FALSE)</f>
        <v>-</v>
      </c>
      <c r="BK452" s="201" t="str">
        <f>VLOOKUP($A452,'[3]allergenen 6nr'!$A$1:$O$1310,10,FALSE)</f>
        <v>-</v>
      </c>
      <c r="BL452" s="201" t="str">
        <f>VLOOKUP($A452,'[3]allergenen 6nr'!$A$1:$O$1310,11,FALSE)</f>
        <v>+</v>
      </c>
      <c r="BM452" s="201" t="str">
        <f>VLOOKUP($A452,'[3]allergenen 6nr'!$A$1:$O$1310,12,FALSE)</f>
        <v>-</v>
      </c>
      <c r="BN452" s="201" t="str">
        <f>VLOOKUP($A452,'[3]allergenen 6nr'!$A$1:$O$1310,13,FALSE)</f>
        <v>+</v>
      </c>
      <c r="BO452" s="201" t="str">
        <f>VLOOKUP($A452,'[3]allergenen 6nr'!$A$1:$O$1310,14,FALSE)</f>
        <v>-</v>
      </c>
      <c r="BP452" s="202" t="str">
        <f>VLOOKUP($A452,'[3]allergenen 6nr'!$A$1:$O$1310,15,FALSE)</f>
        <v>-</v>
      </c>
    </row>
    <row r="453" spans="1:68" x14ac:dyDescent="0.2">
      <c r="A453" s="89">
        <v>64282500</v>
      </c>
      <c r="B453" s="53" t="str">
        <f>VLOOKUP($A453,[1]maaltijden!$A$1:$IV$65536,4,FALSE)</f>
        <v>BOF BE KIPPENHAASJE ZOET ZURE RIJST GROENTEN 420G</v>
      </c>
      <c r="C453" s="46" t="str">
        <f>VLOOKUP($A453,[1]maaltijden!$A$1:$IV$65536,7,FALSE)</f>
        <v>UK-59</v>
      </c>
      <c r="D453" s="22" t="str">
        <f>VLOOKUP($A453,[1]maaltijden!$A$1:$IV$65536,10,FALSE)</f>
        <v>H22</v>
      </c>
      <c r="E453" s="22" t="str">
        <f>VLOOKUP($A453,[1]maaltijden!$A$1:$IV$65536,13,FALSE)</f>
        <v>H22X10</v>
      </c>
      <c r="F453" s="20">
        <f t="shared" ref="F453:F516" si="7">IF($D453="Bedrukte folie 470x300",1,0)</f>
        <v>0</v>
      </c>
      <c r="G453" s="20" t="str">
        <f>VLOOKUP($A453,[1]maaltijden!$A$1:$IV$65536,27,FALSE)</f>
        <v>! ! ! ! !</v>
      </c>
      <c r="H453" s="22">
        <f>VLOOKUP($A453,[1]maaltijden!$A$1:$IV$65536,21,FALSE)</f>
        <v>5</v>
      </c>
      <c r="I453" s="22">
        <f>VLOOKUP($A453,[1]maaltijden!$A$1:$IV$65536,21,FALSE)</f>
        <v>5</v>
      </c>
      <c r="J453" s="22">
        <f>VLOOKUP($A453,[1]maaltijden!$A$1:$IV$65536,18,FALSE)</f>
        <v>0</v>
      </c>
      <c r="K453" s="22">
        <f>VLOOKUP($A453,[1]maaltijden!$A$1:$IV$65536,17,FALSE)</f>
        <v>0</v>
      </c>
      <c r="L453" s="22">
        <f>VLOOKUP($A453,[1]maaltijden!$A$1:$IV$65536,20,FALSE)</f>
        <v>3200</v>
      </c>
      <c r="M453" s="22">
        <f>VLOOKUP($A453,[1]maaltijden!$A$1:$IV$65536,22,FALSE)</f>
        <v>3200</v>
      </c>
      <c r="N453" s="135"/>
      <c r="O453" s="50"/>
      <c r="P453" s="19">
        <v>1</v>
      </c>
      <c r="Q453" s="20">
        <v>2</v>
      </c>
      <c r="R453" s="21">
        <v>0</v>
      </c>
      <c r="S453" s="19">
        <v>1</v>
      </c>
      <c r="T453" s="20">
        <v>1</v>
      </c>
      <c r="U453" s="19">
        <v>1</v>
      </c>
      <c r="V453" s="20">
        <v>1</v>
      </c>
      <c r="W453" s="20">
        <v>1</v>
      </c>
      <c r="X453" s="20">
        <v>1</v>
      </c>
      <c r="Y453" s="20">
        <v>1</v>
      </c>
      <c r="Z453" s="20">
        <v>0</v>
      </c>
      <c r="AA453" s="20">
        <v>0</v>
      </c>
      <c r="AB453" s="49">
        <v>0</v>
      </c>
      <c r="AC453" s="49">
        <v>0</v>
      </c>
      <c r="AD453" s="49">
        <v>0</v>
      </c>
      <c r="AE453" s="49">
        <v>0</v>
      </c>
      <c r="AF453" s="49">
        <v>0</v>
      </c>
      <c r="AG453" s="161">
        <v>1</v>
      </c>
      <c r="AH453" s="162">
        <v>1</v>
      </c>
      <c r="AI453" s="162">
        <v>1</v>
      </c>
      <c r="AJ453" s="162">
        <v>1</v>
      </c>
      <c r="AK453" s="162">
        <v>0</v>
      </c>
      <c r="AL453" s="163">
        <v>0</v>
      </c>
      <c r="AM453" s="19">
        <v>1</v>
      </c>
      <c r="AN453" s="20">
        <f>IFERROR(INDEX([2]lijnopstellingsfiche!$AP$1:$AP$65536,MATCH(A453,[2]lijnopstellingsfiche!$AQ$1:$AQ$65536,0)),"")</f>
        <v>1</v>
      </c>
      <c r="AO453" s="20">
        <v>0</v>
      </c>
      <c r="AP453" s="20">
        <v>0</v>
      </c>
      <c r="AQ453" s="20">
        <v>2</v>
      </c>
      <c r="AR453" s="20">
        <v>0</v>
      </c>
      <c r="AS453" s="20">
        <v>1</v>
      </c>
      <c r="AT453" s="20">
        <v>0</v>
      </c>
      <c r="AU453" s="20">
        <v>0</v>
      </c>
      <c r="AV453" s="23">
        <v>0</v>
      </c>
      <c r="AW453" s="108">
        <v>1</v>
      </c>
      <c r="AX453" s="108">
        <v>0</v>
      </c>
      <c r="AY453" s="108">
        <v>1</v>
      </c>
      <c r="AZ453" s="108"/>
      <c r="BA453" s="114">
        <v>0</v>
      </c>
      <c r="BB453" s="20">
        <v>0</v>
      </c>
      <c r="BC453" s="113">
        <v>1</v>
      </c>
      <c r="BD453" s="200" t="str">
        <f>VLOOKUP($A453,'[3]allergenen 6nr'!$A$1:$O$1310,3,FALSE)</f>
        <v>-</v>
      </c>
      <c r="BE453" s="201" t="str">
        <f>VLOOKUP($A453,'[3]allergenen 6nr'!$A$1:$O$1310,4,FALSE)</f>
        <v>-</v>
      </c>
      <c r="BF453" s="201" t="str">
        <f>VLOOKUP($A453,'[3]allergenen 6nr'!$A$1:$O$1310,5,FALSE)</f>
        <v>-</v>
      </c>
      <c r="BG453" s="201" t="str">
        <f>VLOOKUP($A453,'[3]allergenen 6nr'!$A$1:$O$1310,6,FALSE)</f>
        <v>-</v>
      </c>
      <c r="BH453" s="201" t="str">
        <f>VLOOKUP($A453,'[3]allergenen 6nr'!$A$1:$O$1310,7,FALSE)</f>
        <v>-</v>
      </c>
      <c r="BI453" s="201" t="str">
        <f>VLOOKUP($A453,'[3]allergenen 6nr'!$A$1:$O$1310,8,FALSE)</f>
        <v>-</v>
      </c>
      <c r="BJ453" s="201" t="str">
        <f>VLOOKUP($A453,'[3]allergenen 6nr'!$A$1:$O$1310,9,FALSE)</f>
        <v>-</v>
      </c>
      <c r="BK453" s="201" t="str">
        <f>VLOOKUP($A453,'[3]allergenen 6nr'!$A$1:$O$1310,10,FALSE)</f>
        <v>-</v>
      </c>
      <c r="BL453" s="201" t="str">
        <f>VLOOKUP($A453,'[3]allergenen 6nr'!$A$1:$O$1310,11,FALSE)</f>
        <v>-</v>
      </c>
      <c r="BM453" s="201" t="str">
        <f>VLOOKUP($A453,'[3]allergenen 6nr'!$A$1:$O$1310,12,FALSE)</f>
        <v>+</v>
      </c>
      <c r="BN453" s="201" t="str">
        <f>VLOOKUP($A453,'[3]allergenen 6nr'!$A$1:$O$1310,13,FALSE)</f>
        <v>+</v>
      </c>
      <c r="BO453" s="201" t="str">
        <f>VLOOKUP($A453,'[3]allergenen 6nr'!$A$1:$O$1310,14,FALSE)</f>
        <v>-</v>
      </c>
      <c r="BP453" s="202" t="str">
        <f>VLOOKUP($A453,'[3]allergenen 6nr'!$A$1:$O$1310,15,FALSE)</f>
        <v>-</v>
      </c>
    </row>
    <row r="454" spans="1:68" x14ac:dyDescent="0.2">
      <c r="A454" s="89">
        <v>64282600</v>
      </c>
      <c r="B454" s="53" t="str">
        <f>VLOOKUP($A454,[1]maaltijden!$A$1:$IV$65536,4,FALSE)</f>
        <v>BOF BE BABI PANGANG RIJSTMIX 450G</v>
      </c>
      <c r="C454" s="46" t="str">
        <f>VLOOKUP($A454,[1]maaltijden!$A$1:$IV$65536,7,FALSE)</f>
        <v>UK-59</v>
      </c>
      <c r="D454" s="22" t="str">
        <f>VLOOKUP($A454,[1]maaltijden!$A$1:$IV$65536,10,FALSE)</f>
        <v>H22</v>
      </c>
      <c r="E454" s="22" t="str">
        <f>VLOOKUP($A454,[1]maaltijden!$A$1:$IV$65536,13,FALSE)</f>
        <v>H22X10</v>
      </c>
      <c r="F454" s="20">
        <f t="shared" si="7"/>
        <v>0</v>
      </c>
      <c r="G454" s="20" t="str">
        <f>VLOOKUP($A454,[1]maaltijden!$A$1:$IV$65536,27,FALSE)</f>
        <v>! ! ! ! !</v>
      </c>
      <c r="H454" s="22">
        <f>VLOOKUP($A454,[1]maaltijden!$A$1:$IV$65536,21,FALSE)</f>
        <v>5</v>
      </c>
      <c r="I454" s="22">
        <f>VLOOKUP($A454,[1]maaltijden!$A$1:$IV$65536,21,FALSE)</f>
        <v>5</v>
      </c>
      <c r="J454" s="22">
        <f>VLOOKUP($A454,[1]maaltijden!$A$1:$IV$65536,18,FALSE)</f>
        <v>2</v>
      </c>
      <c r="K454" s="22">
        <f>VLOOKUP($A454,[1]maaltijden!$A$1:$IV$65536,17,FALSE)</f>
        <v>2</v>
      </c>
      <c r="L454" s="22">
        <f>VLOOKUP($A454,[1]maaltijden!$A$1:$IV$65536,20,FALSE)</f>
        <v>3200</v>
      </c>
      <c r="M454" s="22">
        <f>VLOOKUP($A454,[1]maaltijden!$A$1:$IV$65536,22,FALSE)</f>
        <v>3200</v>
      </c>
      <c r="N454" s="135"/>
      <c r="O454" s="50"/>
      <c r="P454" s="19">
        <v>1</v>
      </c>
      <c r="Q454" s="20">
        <v>2</v>
      </c>
      <c r="R454" s="21">
        <v>0</v>
      </c>
      <c r="S454" s="19">
        <v>1</v>
      </c>
      <c r="T454" s="20">
        <v>1</v>
      </c>
      <c r="U454" s="19">
        <v>0</v>
      </c>
      <c r="V454" s="20">
        <v>1</v>
      </c>
      <c r="W454" s="20">
        <v>1</v>
      </c>
      <c r="X454" s="20">
        <v>1</v>
      </c>
      <c r="Y454" s="20">
        <v>1</v>
      </c>
      <c r="Z454" s="20">
        <v>0</v>
      </c>
      <c r="AA454" s="20">
        <v>0</v>
      </c>
      <c r="AB454" s="49">
        <v>0</v>
      </c>
      <c r="AC454" s="49">
        <v>0</v>
      </c>
      <c r="AD454" s="49">
        <v>0</v>
      </c>
      <c r="AE454" s="49">
        <v>1</v>
      </c>
      <c r="AF454" s="49">
        <v>0</v>
      </c>
      <c r="AG454" s="161">
        <v>1</v>
      </c>
      <c r="AH454" s="162">
        <v>1</v>
      </c>
      <c r="AI454" s="162">
        <v>1</v>
      </c>
      <c r="AJ454" s="162">
        <v>1</v>
      </c>
      <c r="AK454" s="162">
        <v>0</v>
      </c>
      <c r="AL454" s="163">
        <v>0</v>
      </c>
      <c r="AM454" s="19">
        <v>1</v>
      </c>
      <c r="AN454" s="20">
        <f>IFERROR(INDEX([2]lijnopstellingsfiche!$AP$1:$AP$65536,MATCH(A454,[2]lijnopstellingsfiche!$AQ$1:$AQ$65536,0)),"")</f>
        <v>1</v>
      </c>
      <c r="AO454" s="20">
        <v>0</v>
      </c>
      <c r="AP454" s="20">
        <v>0</v>
      </c>
      <c r="AQ454" s="20">
        <v>2</v>
      </c>
      <c r="AR454" s="20">
        <v>0</v>
      </c>
      <c r="AS454" s="20">
        <v>1</v>
      </c>
      <c r="AT454" s="20">
        <v>0</v>
      </c>
      <c r="AU454" s="20">
        <v>0</v>
      </c>
      <c r="AV454" s="23">
        <v>0</v>
      </c>
      <c r="AW454" s="108">
        <v>1</v>
      </c>
      <c r="AX454" s="108">
        <v>0</v>
      </c>
      <c r="AY454" s="108">
        <v>1</v>
      </c>
      <c r="AZ454" s="108"/>
      <c r="BA454" s="114">
        <v>0</v>
      </c>
      <c r="BB454" s="20">
        <v>0</v>
      </c>
      <c r="BC454" s="113">
        <v>1</v>
      </c>
      <c r="BD454" s="200" t="str">
        <f>VLOOKUP($A454,'[3]allergenen 6nr'!$A$1:$O$1310,3,FALSE)</f>
        <v>-</v>
      </c>
      <c r="BE454" s="201" t="str">
        <f>VLOOKUP($A454,'[3]allergenen 6nr'!$A$1:$O$1310,4,FALSE)</f>
        <v>X</v>
      </c>
      <c r="BF454" s="201" t="str">
        <f>VLOOKUP($A454,'[3]allergenen 6nr'!$A$1:$O$1310,5,FALSE)</f>
        <v>+</v>
      </c>
      <c r="BG454" s="201" t="str">
        <f>VLOOKUP($A454,'[3]allergenen 6nr'!$A$1:$O$1310,6,FALSE)</f>
        <v>-</v>
      </c>
      <c r="BH454" s="201" t="str">
        <f>VLOOKUP($A454,'[3]allergenen 6nr'!$A$1:$O$1310,7,FALSE)</f>
        <v>X</v>
      </c>
      <c r="BI454" s="201" t="str">
        <f>VLOOKUP($A454,'[3]allergenen 6nr'!$A$1:$O$1310,8,FALSE)</f>
        <v>X</v>
      </c>
      <c r="BJ454" s="201" t="str">
        <f>VLOOKUP($A454,'[3]allergenen 6nr'!$A$1:$O$1310,9,FALSE)</f>
        <v>-</v>
      </c>
      <c r="BK454" s="201" t="str">
        <f>VLOOKUP($A454,'[3]allergenen 6nr'!$A$1:$O$1310,10,FALSE)</f>
        <v>-</v>
      </c>
      <c r="BL454" s="201" t="str">
        <f>VLOOKUP($A454,'[3]allergenen 6nr'!$A$1:$O$1310,11,FALSE)</f>
        <v>X</v>
      </c>
      <c r="BM454" s="201" t="str">
        <f>VLOOKUP($A454,'[3]allergenen 6nr'!$A$1:$O$1310,12,FALSE)</f>
        <v>+</v>
      </c>
      <c r="BN454" s="201" t="str">
        <f>VLOOKUP($A454,'[3]allergenen 6nr'!$A$1:$O$1310,13,FALSE)</f>
        <v>+</v>
      </c>
      <c r="BO454" s="201" t="str">
        <f>VLOOKUP($A454,'[3]allergenen 6nr'!$A$1:$O$1310,14,FALSE)</f>
        <v>-</v>
      </c>
      <c r="BP454" s="202" t="str">
        <f>VLOOKUP($A454,'[3]allergenen 6nr'!$A$1:$O$1310,15,FALSE)</f>
        <v>-</v>
      </c>
    </row>
    <row r="455" spans="1:68" x14ac:dyDescent="0.2">
      <c r="A455" s="89">
        <v>64291000</v>
      </c>
      <c r="B455" s="53" t="str">
        <f>VLOOKUP($A455,[1]maaltijden!$A$1:$IV$65536,4,FALSE)</f>
        <v>APETITO CANNELLONI RUND TOMATENSAUS 400G</v>
      </c>
      <c r="C455" s="46" t="str">
        <f>VLOOKUP($A455,[1]maaltijden!$A$1:$IV$65536,7,FALSE)</f>
        <v>UK-59</v>
      </c>
      <c r="D455" s="22" t="str">
        <f>VLOOKUP($A455,[1]maaltijden!$A$1:$IV$65536,10,FALSE)</f>
        <v>NVT</v>
      </c>
      <c r="E455" s="22" t="str">
        <f>VLOOKUP($A455,[1]maaltijden!$A$1:$IV$65536,13,FALSE)</f>
        <v>UK59X8</v>
      </c>
      <c r="F455" s="20">
        <f t="shared" si="7"/>
        <v>0</v>
      </c>
      <c r="G455" s="20" t="str">
        <f>VLOOKUP($A455,[1]maaltijden!$A$1:$IV$65536,27,FALSE)</f>
        <v>! ! !</v>
      </c>
      <c r="H455" s="22">
        <f>VLOOKUP($A455,[1]maaltijden!$A$1:$IV$65536,21,FALSE)</f>
        <v>4</v>
      </c>
      <c r="I455" s="22">
        <f>VLOOKUP($A455,[1]maaltijden!$A$1:$IV$65536,21,FALSE)</f>
        <v>4</v>
      </c>
      <c r="J455" s="22">
        <f>VLOOKUP($A455,[1]maaltijden!$A$1:$IV$65536,18,FALSE)</f>
        <v>3</v>
      </c>
      <c r="K455" s="22">
        <f>VLOOKUP($A455,[1]maaltijden!$A$1:$IV$65536,17,FALSE)</f>
        <v>1</v>
      </c>
      <c r="L455" s="22">
        <f>VLOOKUP($A455,[1]maaltijden!$A$1:$IV$65536,20,FALSE)</f>
        <v>1500</v>
      </c>
      <c r="M455" s="22">
        <f>VLOOKUP($A455,[1]maaltijden!$A$1:$IV$65536,22,FALSE)</f>
        <v>1500</v>
      </c>
      <c r="N455" s="135"/>
      <c r="O455" s="50"/>
      <c r="P455" s="19">
        <v>0</v>
      </c>
      <c r="Q455" s="20">
        <v>1</v>
      </c>
      <c r="R455" s="21">
        <v>0</v>
      </c>
      <c r="S455" s="19">
        <v>0</v>
      </c>
      <c r="T455" s="20">
        <v>1</v>
      </c>
      <c r="U455" s="19">
        <v>1</v>
      </c>
      <c r="V455" s="20">
        <v>1</v>
      </c>
      <c r="W455" s="20">
        <v>1</v>
      </c>
      <c r="X455" s="20">
        <v>1</v>
      </c>
      <c r="Y455" s="20">
        <v>1</v>
      </c>
      <c r="Z455" s="20">
        <v>0</v>
      </c>
      <c r="AA455" s="20">
        <v>0</v>
      </c>
      <c r="AB455" s="49">
        <v>0</v>
      </c>
      <c r="AC455" s="49">
        <v>0</v>
      </c>
      <c r="AD455" s="49">
        <v>0</v>
      </c>
      <c r="AE455" s="49">
        <v>0</v>
      </c>
      <c r="AF455" s="49">
        <v>0</v>
      </c>
      <c r="AG455" s="161">
        <v>0</v>
      </c>
      <c r="AH455" s="162">
        <v>1</v>
      </c>
      <c r="AI455" s="162">
        <v>0</v>
      </c>
      <c r="AJ455" s="162">
        <v>0</v>
      </c>
      <c r="AK455" s="162">
        <v>0</v>
      </c>
      <c r="AL455" s="163">
        <v>1</v>
      </c>
      <c r="AM455" s="19">
        <v>0</v>
      </c>
      <c r="AN455" s="20" t="str">
        <f>IFERROR(INDEX([2]lijnopstellingsfiche!$AP$1:$AP$65536,MATCH(A455,[2]lijnopstellingsfiche!$AQ$1:$AQ$65536,0)),"")</f>
        <v>-</v>
      </c>
      <c r="AO455" s="20">
        <v>0</v>
      </c>
      <c r="AP455" s="20">
        <v>1</v>
      </c>
      <c r="AQ455" s="20">
        <v>4</v>
      </c>
      <c r="AR455" s="20">
        <v>0</v>
      </c>
      <c r="AS455" s="20">
        <v>0</v>
      </c>
      <c r="AT455" s="20">
        <v>0</v>
      </c>
      <c r="AU455" s="20">
        <v>0</v>
      </c>
      <c r="AV455" s="23">
        <v>0</v>
      </c>
      <c r="AW455" s="108">
        <v>1</v>
      </c>
      <c r="AX455" s="108">
        <v>0</v>
      </c>
      <c r="AY455" s="108">
        <v>1</v>
      </c>
      <c r="AZ455" s="108"/>
      <c r="BA455" s="114">
        <v>0</v>
      </c>
      <c r="BB455" s="20">
        <v>0</v>
      </c>
      <c r="BC455" s="113">
        <v>1</v>
      </c>
      <c r="BD455" s="200" t="str">
        <f>VLOOKUP($A455,'[3]allergenen 6nr'!$A$1:$O$1310,3,FALSE)</f>
        <v>-</v>
      </c>
      <c r="BE455" s="201" t="str">
        <f>VLOOKUP($A455,'[3]allergenen 6nr'!$A$1:$O$1310,4,FALSE)</f>
        <v>+</v>
      </c>
      <c r="BF455" s="201" t="str">
        <f>VLOOKUP($A455,'[3]allergenen 6nr'!$A$1:$O$1310,5,FALSE)</f>
        <v>+</v>
      </c>
      <c r="BG455" s="201" t="str">
        <f>VLOOKUP($A455,'[3]allergenen 6nr'!$A$1:$O$1310,6,FALSE)</f>
        <v>X</v>
      </c>
      <c r="BH455" s="201" t="str">
        <f>VLOOKUP($A455,'[3]allergenen 6nr'!$A$1:$O$1310,7,FALSE)</f>
        <v>+</v>
      </c>
      <c r="BI455" s="201" t="str">
        <f>VLOOKUP($A455,'[3]allergenen 6nr'!$A$1:$O$1310,8,FALSE)</f>
        <v>X</v>
      </c>
      <c r="BJ455" s="201" t="str">
        <f>VLOOKUP($A455,'[3]allergenen 6nr'!$A$1:$O$1310,9,FALSE)</f>
        <v>-</v>
      </c>
      <c r="BK455" s="201" t="str">
        <f>VLOOKUP($A455,'[3]allergenen 6nr'!$A$1:$O$1310,10,FALSE)</f>
        <v>-</v>
      </c>
      <c r="BL455" s="201" t="str">
        <f>VLOOKUP($A455,'[3]allergenen 6nr'!$A$1:$O$1310,11,FALSE)</f>
        <v>+</v>
      </c>
      <c r="BM455" s="201" t="str">
        <f>VLOOKUP($A455,'[3]allergenen 6nr'!$A$1:$O$1310,12,FALSE)</f>
        <v>-</v>
      </c>
      <c r="BN455" s="201" t="str">
        <f>VLOOKUP($A455,'[3]allergenen 6nr'!$A$1:$O$1310,13,FALSE)</f>
        <v>X</v>
      </c>
      <c r="BO455" s="201" t="str">
        <f>VLOOKUP($A455,'[3]allergenen 6nr'!$A$1:$O$1310,14,FALSE)</f>
        <v>-</v>
      </c>
      <c r="BP455" s="202" t="str">
        <f>VLOOKUP($A455,'[3]allergenen 6nr'!$A$1:$O$1310,15,FALSE)</f>
        <v>-</v>
      </c>
    </row>
    <row r="456" spans="1:68" x14ac:dyDescent="0.2">
      <c r="A456" s="89">
        <v>64291100</v>
      </c>
      <c r="B456" s="53" t="str">
        <f>VLOOKUP($A456,[1]maaltijden!$A$1:$IV$65536,4,FALSE)</f>
        <v>APETITO LASAGNE BOLOGNAISE 400G</v>
      </c>
      <c r="C456" s="46" t="str">
        <f>VLOOKUP($A456,[1]maaltijden!$A$1:$IV$65536,7,FALSE)</f>
        <v>UK-59</v>
      </c>
      <c r="D456" s="22" t="str">
        <f>VLOOKUP($A456,[1]maaltijden!$A$1:$IV$65536,10,FALSE)</f>
        <v>NVT</v>
      </c>
      <c r="E456" s="22" t="str">
        <f>VLOOKUP($A456,[1]maaltijden!$A$1:$IV$65536,13,FALSE)</f>
        <v>UK59X8</v>
      </c>
      <c r="F456" s="20">
        <f t="shared" si="7"/>
        <v>0</v>
      </c>
      <c r="G456" s="20" t="str">
        <f>VLOOKUP($A456,[1]maaltijden!$A$1:$IV$65536,27,FALSE)</f>
        <v>! ! !</v>
      </c>
      <c r="H456" s="22">
        <f>VLOOKUP($A456,[1]maaltijden!$A$1:$IV$65536,21,FALSE)</f>
        <v>5</v>
      </c>
      <c r="I456" s="22">
        <f>VLOOKUP($A456,[1]maaltijden!$A$1:$IV$65536,21,FALSE)</f>
        <v>5</v>
      </c>
      <c r="J456" s="22">
        <f>VLOOKUP($A456,[1]maaltijden!$A$1:$IV$65536,18,FALSE)</f>
        <v>3</v>
      </c>
      <c r="K456" s="22">
        <f>VLOOKUP($A456,[1]maaltijden!$A$1:$IV$65536,17,FALSE)</f>
        <v>2</v>
      </c>
      <c r="L456" s="22">
        <f>VLOOKUP($A456,[1]maaltijden!$A$1:$IV$65536,20,FALSE)</f>
        <v>2500</v>
      </c>
      <c r="M456" s="22">
        <f>VLOOKUP($A456,[1]maaltijden!$A$1:$IV$65536,22,FALSE)</f>
        <v>2500</v>
      </c>
      <c r="N456" s="135"/>
      <c r="O456" s="50"/>
      <c r="P456" s="19">
        <v>0</v>
      </c>
      <c r="Q456" s="20">
        <v>1</v>
      </c>
      <c r="R456" s="21">
        <v>0</v>
      </c>
      <c r="S456" s="19">
        <v>0</v>
      </c>
      <c r="T456" s="20">
        <v>1</v>
      </c>
      <c r="U456" s="19">
        <v>0</v>
      </c>
      <c r="V456" s="20">
        <v>1</v>
      </c>
      <c r="W456" s="20">
        <v>1</v>
      </c>
      <c r="X456" s="20">
        <v>1</v>
      </c>
      <c r="Y456" s="20">
        <v>1</v>
      </c>
      <c r="Z456" s="20">
        <v>0</v>
      </c>
      <c r="AA456" s="20">
        <v>0</v>
      </c>
      <c r="AB456" s="49">
        <v>0</v>
      </c>
      <c r="AC456" s="49">
        <v>0</v>
      </c>
      <c r="AD456" s="49">
        <v>0</v>
      </c>
      <c r="AE456" s="49">
        <v>1</v>
      </c>
      <c r="AF456" s="49">
        <v>0</v>
      </c>
      <c r="AG456" s="161">
        <v>0</v>
      </c>
      <c r="AH456" s="162">
        <v>2</v>
      </c>
      <c r="AI456" s="162">
        <v>0</v>
      </c>
      <c r="AJ456" s="162">
        <v>0</v>
      </c>
      <c r="AK456" s="162">
        <v>0</v>
      </c>
      <c r="AL456" s="163">
        <v>0</v>
      </c>
      <c r="AM456" s="19">
        <v>0</v>
      </c>
      <c r="AN456" s="20" t="str">
        <f>IFERROR(INDEX([2]lijnopstellingsfiche!$AP$1:$AP$65536,MATCH(A456,[2]lijnopstellingsfiche!$AQ$1:$AQ$65536,0)),"")</f>
        <v>-</v>
      </c>
      <c r="AO456" s="20">
        <v>0</v>
      </c>
      <c r="AP456" s="20">
        <v>1</v>
      </c>
      <c r="AQ456" s="20">
        <v>3</v>
      </c>
      <c r="AR456" s="20">
        <v>1</v>
      </c>
      <c r="AS456" s="20">
        <v>0</v>
      </c>
      <c r="AT456" s="20">
        <v>0</v>
      </c>
      <c r="AU456" s="20">
        <v>0</v>
      </c>
      <c r="AV456" s="23">
        <v>0</v>
      </c>
      <c r="AW456" s="108">
        <v>1</v>
      </c>
      <c r="AX456" s="108">
        <v>0</v>
      </c>
      <c r="AY456" s="108">
        <v>1</v>
      </c>
      <c r="AZ456" s="108"/>
      <c r="BA456" s="114">
        <v>0</v>
      </c>
      <c r="BB456" s="20">
        <v>0</v>
      </c>
      <c r="BC456" s="113">
        <v>1</v>
      </c>
      <c r="BD456" s="200" t="str">
        <f>VLOOKUP($A456,'[3]allergenen 6nr'!$A$1:$O$1310,3,FALSE)</f>
        <v>-</v>
      </c>
      <c r="BE456" s="201" t="str">
        <f>VLOOKUP($A456,'[3]allergenen 6nr'!$A$1:$O$1310,4,FALSE)</f>
        <v>+</v>
      </c>
      <c r="BF456" s="201" t="str">
        <f>VLOOKUP($A456,'[3]allergenen 6nr'!$A$1:$O$1310,5,FALSE)</f>
        <v>+</v>
      </c>
      <c r="BG456" s="201" t="str">
        <f>VLOOKUP($A456,'[3]allergenen 6nr'!$A$1:$O$1310,6,FALSE)</f>
        <v>X</v>
      </c>
      <c r="BH456" s="201" t="str">
        <f>VLOOKUP($A456,'[3]allergenen 6nr'!$A$1:$O$1310,7,FALSE)</f>
        <v>+</v>
      </c>
      <c r="BI456" s="201" t="str">
        <f>VLOOKUP($A456,'[3]allergenen 6nr'!$A$1:$O$1310,8,FALSE)</f>
        <v>X</v>
      </c>
      <c r="BJ456" s="201" t="str">
        <f>VLOOKUP($A456,'[3]allergenen 6nr'!$A$1:$O$1310,9,FALSE)</f>
        <v>-</v>
      </c>
      <c r="BK456" s="201" t="str">
        <f>VLOOKUP($A456,'[3]allergenen 6nr'!$A$1:$O$1310,10,FALSE)</f>
        <v>-</v>
      </c>
      <c r="BL456" s="201" t="str">
        <f>VLOOKUP($A456,'[3]allergenen 6nr'!$A$1:$O$1310,11,FALSE)</f>
        <v>+</v>
      </c>
      <c r="BM456" s="201" t="str">
        <f>VLOOKUP($A456,'[3]allergenen 6nr'!$A$1:$O$1310,12,FALSE)</f>
        <v>-</v>
      </c>
      <c r="BN456" s="201" t="str">
        <f>VLOOKUP($A456,'[3]allergenen 6nr'!$A$1:$O$1310,13,FALSE)</f>
        <v>X</v>
      </c>
      <c r="BO456" s="201" t="str">
        <f>VLOOKUP($A456,'[3]allergenen 6nr'!$A$1:$O$1310,14,FALSE)</f>
        <v>-</v>
      </c>
      <c r="BP456" s="202" t="str">
        <f>VLOOKUP($A456,'[3]allergenen 6nr'!$A$1:$O$1310,15,FALSE)</f>
        <v>X</v>
      </c>
    </row>
    <row r="457" spans="1:68" x14ac:dyDescent="0.2">
      <c r="A457" s="89">
        <v>64400100</v>
      </c>
      <c r="B457" s="53" t="str">
        <f>VLOOKUP($A457,[1]maaltijden!$A$1:$IV$65536,4,FALSE)</f>
        <v>BOF BE FR GRATIN DAUPHINOIS 2X400G</v>
      </c>
      <c r="C457" s="46" t="str">
        <f>VLOOKUP($A457,[1]maaltijden!$A$1:$IV$65536,7,FALSE)</f>
        <v>UK-59</v>
      </c>
      <c r="D457" s="22" t="str">
        <f>VLOOKUP($A457,[1]maaltijden!$A$1:$IV$65536,10,FALSE)</f>
        <v>H44</v>
      </c>
      <c r="E457" s="22" t="str">
        <f>VLOOKUP($A457,[1]maaltijden!$A$1:$IV$65536,13,FALSE)</f>
        <v>H44X4</v>
      </c>
      <c r="F457" s="20">
        <f t="shared" si="7"/>
        <v>0</v>
      </c>
      <c r="G457" s="20" t="str">
        <f>VLOOKUP($A457,[1]maaltijden!$A$1:$IV$65536,27,FALSE)</f>
        <v>! !</v>
      </c>
      <c r="H457" s="22">
        <f>VLOOKUP($A457,[1]maaltijden!$A$1:$IV$65536,21,FALSE)</f>
        <v>3</v>
      </c>
      <c r="I457" s="22">
        <f>VLOOKUP($A457,[1]maaltijden!$A$1:$IV$65536,21,FALSE)</f>
        <v>3</v>
      </c>
      <c r="J457" s="22">
        <f>VLOOKUP($A457,[1]maaltijden!$A$1:$IV$65536,18,FALSE)</f>
        <v>6</v>
      </c>
      <c r="K457" s="22">
        <f>VLOOKUP($A457,[1]maaltijden!$A$1:$IV$65536,17,FALSE)</f>
        <v>1</v>
      </c>
      <c r="L457" s="22">
        <f>VLOOKUP($A457,[1]maaltijden!$A$1:$IV$65536,20,FALSE)</f>
        <v>1750</v>
      </c>
      <c r="M457" s="22">
        <f>VLOOKUP($A457,[1]maaltijden!$A$1:$IV$65536,22,FALSE)</f>
        <v>1750</v>
      </c>
      <c r="N457" s="135"/>
      <c r="O457" s="50"/>
      <c r="P457" s="19">
        <v>1</v>
      </c>
      <c r="Q457" s="20">
        <v>0</v>
      </c>
      <c r="R457" s="21">
        <v>0</v>
      </c>
      <c r="S457" s="19">
        <v>1</v>
      </c>
      <c r="T457" s="20">
        <v>0</v>
      </c>
      <c r="U457" s="19">
        <v>1</v>
      </c>
      <c r="V457" s="20">
        <v>1</v>
      </c>
      <c r="W457" s="20">
        <v>1</v>
      </c>
      <c r="X457" s="20">
        <v>1</v>
      </c>
      <c r="Y457" s="20">
        <v>1</v>
      </c>
      <c r="Z457" s="20">
        <v>0</v>
      </c>
      <c r="AA457" s="20">
        <v>0</v>
      </c>
      <c r="AB457" s="49">
        <v>0</v>
      </c>
      <c r="AC457" s="49">
        <v>0</v>
      </c>
      <c r="AD457" s="49">
        <v>0</v>
      </c>
      <c r="AE457" s="49">
        <v>0</v>
      </c>
      <c r="AF457" s="49">
        <v>0</v>
      </c>
      <c r="AG457" s="161">
        <v>0</v>
      </c>
      <c r="AH457" s="162">
        <v>1</v>
      </c>
      <c r="AI457" s="162">
        <v>0</v>
      </c>
      <c r="AJ457" s="162">
        <v>0</v>
      </c>
      <c r="AK457" s="162">
        <v>0</v>
      </c>
      <c r="AL457" s="163">
        <v>0</v>
      </c>
      <c r="AM457" s="19">
        <v>0</v>
      </c>
      <c r="AN457" s="20" t="str">
        <f>IFERROR(INDEX([2]lijnopstellingsfiche!$AP$1:$AP$65536,MATCH(A457,[2]lijnopstellingsfiche!$AQ$1:$AQ$65536,0)),"")</f>
        <v>-</v>
      </c>
      <c r="AO457" s="20">
        <v>0</v>
      </c>
      <c r="AP457" s="20">
        <v>1</v>
      </c>
      <c r="AQ457" s="20">
        <v>2</v>
      </c>
      <c r="AR457" s="20">
        <v>0</v>
      </c>
      <c r="AS457" s="20">
        <v>1</v>
      </c>
      <c r="AT457" s="20">
        <v>1</v>
      </c>
      <c r="AU457" s="20">
        <v>0</v>
      </c>
      <c r="AV457" s="23">
        <v>0</v>
      </c>
      <c r="AW457" s="108">
        <v>1</v>
      </c>
      <c r="AX457" s="108">
        <v>0</v>
      </c>
      <c r="AY457" s="108">
        <v>1</v>
      </c>
      <c r="AZ457" s="108"/>
      <c r="BA457" s="114">
        <v>0</v>
      </c>
      <c r="BB457" s="20">
        <v>0</v>
      </c>
      <c r="BC457" s="113">
        <v>0</v>
      </c>
      <c r="BD457" s="200" t="str">
        <f>VLOOKUP($A457,'[3]allergenen 6nr'!$A$1:$O$1310,3,FALSE)</f>
        <v>-</v>
      </c>
      <c r="BE457" s="201" t="str">
        <f>VLOOKUP($A457,'[3]allergenen 6nr'!$A$1:$O$1310,4,FALSE)</f>
        <v>-</v>
      </c>
      <c r="BF457" s="201" t="str">
        <f>VLOOKUP($A457,'[3]allergenen 6nr'!$A$1:$O$1310,5,FALSE)</f>
        <v>+</v>
      </c>
      <c r="BG457" s="201" t="str">
        <f>VLOOKUP($A457,'[3]allergenen 6nr'!$A$1:$O$1310,6,FALSE)</f>
        <v>X</v>
      </c>
      <c r="BH457" s="201" t="str">
        <f>VLOOKUP($A457,'[3]allergenen 6nr'!$A$1:$O$1310,7,FALSE)</f>
        <v>+</v>
      </c>
      <c r="BI457" s="201" t="str">
        <f>VLOOKUP($A457,'[3]allergenen 6nr'!$A$1:$O$1310,8,FALSE)</f>
        <v>X</v>
      </c>
      <c r="BJ457" s="201" t="str">
        <f>VLOOKUP($A457,'[3]allergenen 6nr'!$A$1:$O$1310,9,FALSE)</f>
        <v>-</v>
      </c>
      <c r="BK457" s="201" t="str">
        <f>VLOOKUP($A457,'[3]allergenen 6nr'!$A$1:$O$1310,10,FALSE)</f>
        <v>-</v>
      </c>
      <c r="BL457" s="201" t="str">
        <f>VLOOKUP($A457,'[3]allergenen 6nr'!$A$1:$O$1310,11,FALSE)</f>
        <v>-</v>
      </c>
      <c r="BM457" s="201" t="str">
        <f>VLOOKUP($A457,'[3]allergenen 6nr'!$A$1:$O$1310,12,FALSE)</f>
        <v>-</v>
      </c>
      <c r="BN457" s="201" t="str">
        <f>VLOOKUP($A457,'[3]allergenen 6nr'!$A$1:$O$1310,13,FALSE)</f>
        <v>X</v>
      </c>
      <c r="BO457" s="201" t="str">
        <f>VLOOKUP($A457,'[3]allergenen 6nr'!$A$1:$O$1310,14,FALSE)</f>
        <v>-</v>
      </c>
      <c r="BP457" s="202" t="str">
        <f>VLOOKUP($A457,'[3]allergenen 6nr'!$A$1:$O$1310,15,FALSE)</f>
        <v>-</v>
      </c>
    </row>
    <row r="458" spans="1:68" x14ac:dyDescent="0.2">
      <c r="A458" s="89">
        <v>64400200</v>
      </c>
      <c r="B458" s="53" t="str">
        <f>VLOOKUP($A458,[1]maaltijden!$A$1:$IV$65536,4,FALSE)</f>
        <v>BOF BE MOUSSAKA 2X400G</v>
      </c>
      <c r="C458" s="46" t="str">
        <f>VLOOKUP($A458,[1]maaltijden!$A$1:$IV$65536,7,FALSE)</f>
        <v>UK-59</v>
      </c>
      <c r="D458" s="22" t="str">
        <f>VLOOKUP($A458,[1]maaltijden!$A$1:$IV$65536,10,FALSE)</f>
        <v>H44</v>
      </c>
      <c r="E458" s="22" t="str">
        <f>VLOOKUP($A458,[1]maaltijden!$A$1:$IV$65536,13,FALSE)</f>
        <v>H44X4</v>
      </c>
      <c r="F458" s="20">
        <f t="shared" si="7"/>
        <v>0</v>
      </c>
      <c r="G458" s="20" t="str">
        <f>VLOOKUP($A458,[1]maaltijden!$A$1:$IV$65536,27,FALSE)</f>
        <v>! !</v>
      </c>
      <c r="H458" s="22">
        <f>VLOOKUP($A458,[1]maaltijden!$A$1:$IV$65536,21,FALSE)</f>
        <v>5</v>
      </c>
      <c r="I458" s="22">
        <f>VLOOKUP($A458,[1]maaltijden!$A$1:$IV$65536,21,FALSE)</f>
        <v>5</v>
      </c>
      <c r="J458" s="22">
        <f>VLOOKUP($A458,[1]maaltijden!$A$1:$IV$65536,18,FALSE)</f>
        <v>3</v>
      </c>
      <c r="K458" s="22">
        <f>VLOOKUP($A458,[1]maaltijden!$A$1:$IV$65536,17,FALSE)</f>
        <v>2</v>
      </c>
      <c r="L458" s="22">
        <f>VLOOKUP($A458,[1]maaltijden!$A$1:$IV$65536,20,FALSE)</f>
        <v>1750</v>
      </c>
      <c r="M458" s="22">
        <f>VLOOKUP($A458,[1]maaltijden!$A$1:$IV$65536,22,FALSE)</f>
        <v>1750</v>
      </c>
      <c r="N458" s="135"/>
      <c r="O458" s="50"/>
      <c r="P458" s="19">
        <v>1</v>
      </c>
      <c r="Q458" s="20">
        <v>0</v>
      </c>
      <c r="R458" s="21">
        <v>0</v>
      </c>
      <c r="S458" s="19">
        <v>1</v>
      </c>
      <c r="T458" s="20">
        <v>0</v>
      </c>
      <c r="U458" s="19">
        <v>0</v>
      </c>
      <c r="V458" s="20">
        <v>1</v>
      </c>
      <c r="W458" s="20">
        <v>1</v>
      </c>
      <c r="X458" s="20">
        <v>1</v>
      </c>
      <c r="Y458" s="20">
        <v>1</v>
      </c>
      <c r="Z458" s="20">
        <v>0</v>
      </c>
      <c r="AA458" s="20">
        <v>0</v>
      </c>
      <c r="AB458" s="49">
        <v>0</v>
      </c>
      <c r="AC458" s="49">
        <v>0</v>
      </c>
      <c r="AD458" s="49">
        <v>0</v>
      </c>
      <c r="AE458" s="49">
        <v>1</v>
      </c>
      <c r="AF458" s="49">
        <v>0</v>
      </c>
      <c r="AG458" s="161">
        <v>0</v>
      </c>
      <c r="AH458" s="162">
        <v>2</v>
      </c>
      <c r="AI458" s="162">
        <v>0</v>
      </c>
      <c r="AJ458" s="162">
        <v>0</v>
      </c>
      <c r="AK458" s="162">
        <v>0</v>
      </c>
      <c r="AL458" s="163">
        <v>0</v>
      </c>
      <c r="AM458" s="19">
        <v>0</v>
      </c>
      <c r="AN458" s="20" t="str">
        <f>IFERROR(INDEX([2]lijnopstellingsfiche!$AP$1:$AP$65536,MATCH(A458,[2]lijnopstellingsfiche!$AQ$1:$AQ$65536,0)),"")</f>
        <v>-</v>
      </c>
      <c r="AO458" s="20">
        <v>0</v>
      </c>
      <c r="AP458" s="20">
        <v>1</v>
      </c>
      <c r="AQ458" s="20">
        <v>4</v>
      </c>
      <c r="AR458" s="20">
        <v>0</v>
      </c>
      <c r="AS458" s="20">
        <v>1</v>
      </c>
      <c r="AT458" s="20">
        <v>0</v>
      </c>
      <c r="AU458" s="20">
        <v>0</v>
      </c>
      <c r="AV458" s="23">
        <v>0</v>
      </c>
      <c r="AW458" s="108">
        <v>1</v>
      </c>
      <c r="AX458" s="108">
        <v>0</v>
      </c>
      <c r="AY458" s="108">
        <v>1</v>
      </c>
      <c r="AZ458" s="108"/>
      <c r="BA458" s="114">
        <v>0</v>
      </c>
      <c r="BB458" s="20">
        <v>0</v>
      </c>
      <c r="BC458" s="113">
        <v>0</v>
      </c>
      <c r="BD458" s="200" t="str">
        <f>VLOOKUP($A458,'[3]allergenen 6nr'!$A$1:$O$1310,3,FALSE)</f>
        <v>-</v>
      </c>
      <c r="BE458" s="201" t="str">
        <f>VLOOKUP($A458,'[3]allergenen 6nr'!$A$1:$O$1310,4,FALSE)</f>
        <v>-</v>
      </c>
      <c r="BF458" s="201" t="str">
        <f>VLOOKUP($A458,'[3]allergenen 6nr'!$A$1:$O$1310,5,FALSE)</f>
        <v>+</v>
      </c>
      <c r="BG458" s="201" t="str">
        <f>VLOOKUP($A458,'[3]allergenen 6nr'!$A$1:$O$1310,6,FALSE)</f>
        <v>X</v>
      </c>
      <c r="BH458" s="201" t="str">
        <f>VLOOKUP($A458,'[3]allergenen 6nr'!$A$1:$O$1310,7,FALSE)</f>
        <v>+</v>
      </c>
      <c r="BI458" s="201" t="str">
        <f>VLOOKUP($A458,'[3]allergenen 6nr'!$A$1:$O$1310,8,FALSE)</f>
        <v>X</v>
      </c>
      <c r="BJ458" s="201" t="str">
        <f>VLOOKUP($A458,'[3]allergenen 6nr'!$A$1:$O$1310,9,FALSE)</f>
        <v>-</v>
      </c>
      <c r="BK458" s="201" t="str">
        <f>VLOOKUP($A458,'[3]allergenen 6nr'!$A$1:$O$1310,10,FALSE)</f>
        <v>-</v>
      </c>
      <c r="BL458" s="201" t="str">
        <f>VLOOKUP($A458,'[3]allergenen 6nr'!$A$1:$O$1310,11,FALSE)</f>
        <v>-</v>
      </c>
      <c r="BM458" s="201" t="str">
        <f>VLOOKUP($A458,'[3]allergenen 6nr'!$A$1:$O$1310,12,FALSE)</f>
        <v>-</v>
      </c>
      <c r="BN458" s="201" t="str">
        <f>VLOOKUP($A458,'[3]allergenen 6nr'!$A$1:$O$1310,13,FALSE)</f>
        <v>X</v>
      </c>
      <c r="BO458" s="201" t="str">
        <f>VLOOKUP($A458,'[3]allergenen 6nr'!$A$1:$O$1310,14,FALSE)</f>
        <v>-</v>
      </c>
      <c r="BP458" s="202" t="str">
        <f>VLOOKUP($A458,'[3]allergenen 6nr'!$A$1:$O$1310,15,FALSE)</f>
        <v>-</v>
      </c>
    </row>
    <row r="459" spans="1:68" x14ac:dyDescent="0.2">
      <c r="A459" s="89">
        <v>64400300</v>
      </c>
      <c r="B459" s="53" t="str">
        <f>VLOOKUP($A459,[1]maaltijden!$A$1:$IV$65536,4,FALSE)</f>
        <v>BOF BE MACARONI KAASSAUS BOLOGNAISE 2X400G</v>
      </c>
      <c r="C459" s="46" t="str">
        <f>VLOOKUP($A459,[1]maaltijden!$A$1:$IV$65536,7,FALSE)</f>
        <v>UK-59</v>
      </c>
      <c r="D459" s="22" t="str">
        <f>VLOOKUP($A459,[1]maaltijden!$A$1:$IV$65536,10,FALSE)</f>
        <v>H44</v>
      </c>
      <c r="E459" s="22" t="str">
        <f>VLOOKUP($A459,[1]maaltijden!$A$1:$IV$65536,13,FALSE)</f>
        <v>H44X4</v>
      </c>
      <c r="F459" s="20">
        <f t="shared" si="7"/>
        <v>0</v>
      </c>
      <c r="G459" s="20" t="str">
        <f>VLOOKUP($A459,[1]maaltijden!$A$1:$IV$65536,27,FALSE)</f>
        <v>! ! !</v>
      </c>
      <c r="H459" s="22">
        <f>VLOOKUP($A459,[1]maaltijden!$A$1:$IV$65536,21,FALSE)</f>
        <v>3</v>
      </c>
      <c r="I459" s="22">
        <f>VLOOKUP($A459,[1]maaltijden!$A$1:$IV$65536,21,FALSE)</f>
        <v>3</v>
      </c>
      <c r="J459" s="22">
        <f>VLOOKUP($A459,[1]maaltijden!$A$1:$IV$65536,18,FALSE)</f>
        <v>6</v>
      </c>
      <c r="K459" s="22">
        <f>VLOOKUP($A459,[1]maaltijden!$A$1:$IV$65536,17,FALSE)</f>
        <v>3</v>
      </c>
      <c r="L459" s="22">
        <f>VLOOKUP($A459,[1]maaltijden!$A$1:$IV$65536,20,FALSE)</f>
        <v>1750</v>
      </c>
      <c r="M459" s="22">
        <f>VLOOKUP($A459,[1]maaltijden!$A$1:$IV$65536,22,FALSE)</f>
        <v>1750</v>
      </c>
      <c r="N459" s="135"/>
      <c r="O459" s="50"/>
      <c r="P459" s="19">
        <v>1</v>
      </c>
      <c r="Q459" s="20">
        <v>0</v>
      </c>
      <c r="R459" s="21">
        <v>0</v>
      </c>
      <c r="S459" s="19">
        <v>1</v>
      </c>
      <c r="T459" s="20">
        <v>0</v>
      </c>
      <c r="U459" s="19">
        <v>0</v>
      </c>
      <c r="V459" s="20">
        <v>1</v>
      </c>
      <c r="W459" s="20">
        <v>1</v>
      </c>
      <c r="X459" s="20">
        <v>1</v>
      </c>
      <c r="Y459" s="20">
        <v>1</v>
      </c>
      <c r="Z459" s="20">
        <v>0</v>
      </c>
      <c r="AA459" s="20">
        <v>0</v>
      </c>
      <c r="AB459" s="49">
        <v>0</v>
      </c>
      <c r="AC459" s="49">
        <v>0</v>
      </c>
      <c r="AD459" s="49">
        <v>0</v>
      </c>
      <c r="AE459" s="49">
        <v>1</v>
      </c>
      <c r="AF459" s="49">
        <v>0</v>
      </c>
      <c r="AG459" s="161">
        <v>1</v>
      </c>
      <c r="AH459" s="162">
        <v>3</v>
      </c>
      <c r="AI459" s="162">
        <v>0</v>
      </c>
      <c r="AJ459" s="162">
        <v>1</v>
      </c>
      <c r="AK459" s="162">
        <v>0</v>
      </c>
      <c r="AL459" s="163">
        <v>0</v>
      </c>
      <c r="AM459" s="19">
        <v>0</v>
      </c>
      <c r="AN459" s="20" t="str">
        <f>IFERROR(INDEX([2]lijnopstellingsfiche!$AP$1:$AP$65536,MATCH(A459,[2]lijnopstellingsfiche!$AQ$1:$AQ$65536,0)),"")</f>
        <v>-</v>
      </c>
      <c r="AO459" s="20">
        <v>0</v>
      </c>
      <c r="AP459" s="20">
        <v>1</v>
      </c>
      <c r="AQ459" s="20">
        <v>4</v>
      </c>
      <c r="AR459" s="20">
        <v>0</v>
      </c>
      <c r="AS459" s="20">
        <v>0</v>
      </c>
      <c r="AT459" s="20">
        <v>0</v>
      </c>
      <c r="AU459" s="20">
        <v>0</v>
      </c>
      <c r="AV459" s="23">
        <v>0</v>
      </c>
      <c r="AW459" s="108">
        <v>1</v>
      </c>
      <c r="AX459" s="108">
        <v>0</v>
      </c>
      <c r="AY459" s="108">
        <v>1</v>
      </c>
      <c r="AZ459" s="108"/>
      <c r="BA459" s="114">
        <v>0</v>
      </c>
      <c r="BB459" s="20">
        <v>0</v>
      </c>
      <c r="BC459" s="113">
        <v>0</v>
      </c>
      <c r="BD459" s="200" t="str">
        <f>VLOOKUP($A459,'[3]allergenen 6nr'!$A$1:$O$1310,3,FALSE)</f>
        <v>-</v>
      </c>
      <c r="BE459" s="201" t="str">
        <f>VLOOKUP($A459,'[3]allergenen 6nr'!$A$1:$O$1310,4,FALSE)</f>
        <v>+</v>
      </c>
      <c r="BF459" s="201" t="str">
        <f>VLOOKUP($A459,'[3]allergenen 6nr'!$A$1:$O$1310,5,FALSE)</f>
        <v>+</v>
      </c>
      <c r="BG459" s="201" t="str">
        <f>VLOOKUP($A459,'[3]allergenen 6nr'!$A$1:$O$1310,6,FALSE)</f>
        <v>X</v>
      </c>
      <c r="BH459" s="201" t="str">
        <f>VLOOKUP($A459,'[3]allergenen 6nr'!$A$1:$O$1310,7,FALSE)</f>
        <v>+</v>
      </c>
      <c r="BI459" s="201" t="str">
        <f>VLOOKUP($A459,'[3]allergenen 6nr'!$A$1:$O$1310,8,FALSE)</f>
        <v>X</v>
      </c>
      <c r="BJ459" s="201" t="str">
        <f>VLOOKUP($A459,'[3]allergenen 6nr'!$A$1:$O$1310,9,FALSE)</f>
        <v>-</v>
      </c>
      <c r="BK459" s="201" t="str">
        <f>VLOOKUP($A459,'[3]allergenen 6nr'!$A$1:$O$1310,10,FALSE)</f>
        <v>-</v>
      </c>
      <c r="BL459" s="201" t="str">
        <f>VLOOKUP($A459,'[3]allergenen 6nr'!$A$1:$O$1310,11,FALSE)</f>
        <v>+</v>
      </c>
      <c r="BM459" s="201" t="str">
        <f>VLOOKUP($A459,'[3]allergenen 6nr'!$A$1:$O$1310,12,FALSE)</f>
        <v>-</v>
      </c>
      <c r="BN459" s="201" t="str">
        <f>VLOOKUP($A459,'[3]allergenen 6nr'!$A$1:$O$1310,13,FALSE)</f>
        <v>X</v>
      </c>
      <c r="BO459" s="201" t="str">
        <f>VLOOKUP($A459,'[3]allergenen 6nr'!$A$1:$O$1310,14,FALSE)</f>
        <v>-</v>
      </c>
      <c r="BP459" s="202" t="str">
        <f>VLOOKUP($A459,'[3]allergenen 6nr'!$A$1:$O$1310,15,FALSE)</f>
        <v>-</v>
      </c>
    </row>
    <row r="460" spans="1:68" x14ac:dyDescent="0.2">
      <c r="A460" s="89">
        <v>64402000</v>
      </c>
      <c r="B460" s="53" t="str">
        <f>VLOOKUP($A460,[1]maaltijden!$A$1:$IV$65536,4,FALSE)</f>
        <v>BOF DE GRATIN BROCCOLI WORTEL MAIS RODE UI 2X400G</v>
      </c>
      <c r="C460" s="46" t="str">
        <f>VLOOKUP($A460,[1]maaltijden!$A$1:$IV$65536,7,FALSE)</f>
        <v>UK-59</v>
      </c>
      <c r="D460" s="22" t="str">
        <f>VLOOKUP($A460,[1]maaltijden!$A$1:$IV$65536,10,FALSE)</f>
        <v>H44</v>
      </c>
      <c r="E460" s="22" t="str">
        <f>VLOOKUP($A460,[1]maaltijden!$A$1:$IV$65536,13,FALSE)</f>
        <v>H44X4</v>
      </c>
      <c r="F460" s="20">
        <f t="shared" si="7"/>
        <v>0</v>
      </c>
      <c r="G460" s="20" t="str">
        <f>VLOOKUP($A460,[1]maaltijden!$A$1:$IV$65536,27,FALSE)</f>
        <v>! !</v>
      </c>
      <c r="H460" s="22">
        <f>VLOOKUP($A460,[1]maaltijden!$A$1:$IV$65536,21,FALSE)</f>
        <v>6</v>
      </c>
      <c r="I460" s="22">
        <f>VLOOKUP($A460,[1]maaltijden!$A$1:$IV$65536,21,FALSE)</f>
        <v>6</v>
      </c>
      <c r="J460" s="22">
        <f>VLOOKUP($A460,[1]maaltijden!$A$1:$IV$65536,18,FALSE)</f>
        <v>4</v>
      </c>
      <c r="K460" s="22">
        <f>VLOOKUP($A460,[1]maaltijden!$A$1:$IV$65536,17,FALSE)</f>
        <v>2</v>
      </c>
      <c r="L460" s="22">
        <f>VLOOKUP($A460,[1]maaltijden!$A$1:$IV$65536,20,FALSE)</f>
        <v>1750</v>
      </c>
      <c r="M460" s="22">
        <f>VLOOKUP($A460,[1]maaltijden!$A$1:$IV$65536,22,FALSE)</f>
        <v>1750</v>
      </c>
      <c r="N460" s="135"/>
      <c r="O460" s="50"/>
      <c r="P460" s="19">
        <v>1</v>
      </c>
      <c r="Q460" s="20">
        <v>0</v>
      </c>
      <c r="R460" s="21">
        <v>0</v>
      </c>
      <c r="S460" s="19">
        <v>1</v>
      </c>
      <c r="T460" s="20">
        <v>0</v>
      </c>
      <c r="U460" s="19">
        <v>1</v>
      </c>
      <c r="V460" s="20">
        <v>1</v>
      </c>
      <c r="W460" s="20">
        <v>1</v>
      </c>
      <c r="X460" s="20">
        <v>1</v>
      </c>
      <c r="Y460" s="20">
        <v>1</v>
      </c>
      <c r="Z460" s="20">
        <v>0</v>
      </c>
      <c r="AA460" s="20">
        <v>0</v>
      </c>
      <c r="AB460" s="49">
        <v>0</v>
      </c>
      <c r="AC460" s="49">
        <v>0</v>
      </c>
      <c r="AD460" s="49">
        <v>0</v>
      </c>
      <c r="AE460" s="49">
        <v>1</v>
      </c>
      <c r="AF460" s="49">
        <v>0</v>
      </c>
      <c r="AG460" s="161">
        <v>0</v>
      </c>
      <c r="AH460" s="162">
        <v>2</v>
      </c>
      <c r="AI460" s="162">
        <v>0</v>
      </c>
      <c r="AJ460" s="162">
        <v>1</v>
      </c>
      <c r="AK460" s="162">
        <v>0</v>
      </c>
      <c r="AL460" s="163">
        <v>0</v>
      </c>
      <c r="AM460" s="19">
        <v>0</v>
      </c>
      <c r="AN460" s="20" t="str">
        <f>IFERROR(INDEX([2]lijnopstellingsfiche!$AP$1:$AP$65536,MATCH(A460,[2]lijnopstellingsfiche!$AQ$1:$AQ$65536,0)),"")</f>
        <v>-</v>
      </c>
      <c r="AO460" s="20">
        <v>0</v>
      </c>
      <c r="AP460" s="20">
        <v>1</v>
      </c>
      <c r="AQ460" s="20">
        <v>2</v>
      </c>
      <c r="AR460" s="20">
        <v>0</v>
      </c>
      <c r="AS460" s="20">
        <v>1</v>
      </c>
      <c r="AT460" s="20">
        <v>0</v>
      </c>
      <c r="AU460" s="20">
        <v>0</v>
      </c>
      <c r="AV460" s="23">
        <v>0</v>
      </c>
      <c r="AW460" s="108">
        <v>1</v>
      </c>
      <c r="AX460" s="108">
        <v>0</v>
      </c>
      <c r="AY460" s="108">
        <v>1</v>
      </c>
      <c r="AZ460" s="108"/>
      <c r="BA460" s="114">
        <v>0</v>
      </c>
      <c r="BB460" s="20">
        <v>0</v>
      </c>
      <c r="BC460" s="113">
        <v>0</v>
      </c>
      <c r="BD460" s="200" t="str">
        <f>VLOOKUP($A460,'[3]allergenen 6nr'!$A$1:$O$1310,3,FALSE)</f>
        <v>-</v>
      </c>
      <c r="BE460" s="201" t="str">
        <f>VLOOKUP($A460,'[3]allergenen 6nr'!$A$1:$O$1310,4,FALSE)</f>
        <v>-</v>
      </c>
      <c r="BF460" s="201" t="str">
        <f>VLOOKUP($A460,'[3]allergenen 6nr'!$A$1:$O$1310,5,FALSE)</f>
        <v>+</v>
      </c>
      <c r="BG460" s="201" t="str">
        <f>VLOOKUP($A460,'[3]allergenen 6nr'!$A$1:$O$1310,6,FALSE)</f>
        <v>X</v>
      </c>
      <c r="BH460" s="201" t="str">
        <f>VLOOKUP($A460,'[3]allergenen 6nr'!$A$1:$O$1310,7,FALSE)</f>
        <v>+</v>
      </c>
      <c r="BI460" s="201" t="str">
        <f>VLOOKUP($A460,'[3]allergenen 6nr'!$A$1:$O$1310,8,FALSE)</f>
        <v>X</v>
      </c>
      <c r="BJ460" s="201" t="str">
        <f>VLOOKUP($A460,'[3]allergenen 6nr'!$A$1:$O$1310,9,FALSE)</f>
        <v>-</v>
      </c>
      <c r="BK460" s="201" t="str">
        <f>VLOOKUP($A460,'[3]allergenen 6nr'!$A$1:$O$1310,10,FALSE)</f>
        <v>-</v>
      </c>
      <c r="BL460" s="201" t="str">
        <f>VLOOKUP($A460,'[3]allergenen 6nr'!$A$1:$O$1310,11,FALSE)</f>
        <v>-</v>
      </c>
      <c r="BM460" s="201" t="str">
        <f>VLOOKUP($A460,'[3]allergenen 6nr'!$A$1:$O$1310,12,FALSE)</f>
        <v>-</v>
      </c>
      <c r="BN460" s="201" t="str">
        <f>VLOOKUP($A460,'[3]allergenen 6nr'!$A$1:$O$1310,13,FALSE)</f>
        <v>X</v>
      </c>
      <c r="BO460" s="201" t="str">
        <f>VLOOKUP($A460,'[3]allergenen 6nr'!$A$1:$O$1310,14,FALSE)</f>
        <v>-</v>
      </c>
      <c r="BP460" s="202" t="str">
        <f>VLOOKUP($A460,'[3]allergenen 6nr'!$A$1:$O$1310,15,FALSE)</f>
        <v>-</v>
      </c>
    </row>
    <row r="461" spans="1:68" x14ac:dyDescent="0.2">
      <c r="A461" s="89">
        <v>64402100</v>
      </c>
      <c r="B461" s="53" t="str">
        <f>VLOOKUP($A461,[1]maaltijden!$A$1:$IV$65536,4,FALSE)</f>
        <v>BOF DE MACARONI KAASSAUS BOLOGNAISE 2X400G</v>
      </c>
      <c r="C461" s="46" t="str">
        <f>VLOOKUP($A461,[1]maaltijden!$A$1:$IV$65536,7,FALSE)</f>
        <v>UK-59</v>
      </c>
      <c r="D461" s="22" t="str">
        <f>VLOOKUP($A461,[1]maaltijden!$A$1:$IV$65536,10,FALSE)</f>
        <v>H44</v>
      </c>
      <c r="E461" s="22" t="str">
        <f>VLOOKUP($A461,[1]maaltijden!$A$1:$IV$65536,13,FALSE)</f>
        <v>H44X4</v>
      </c>
      <c r="F461" s="20">
        <f t="shared" si="7"/>
        <v>0</v>
      </c>
      <c r="G461" s="20" t="str">
        <f>VLOOKUP($A461,[1]maaltijden!$A$1:$IV$65536,27,FALSE)</f>
        <v>! ! !</v>
      </c>
      <c r="H461" s="22">
        <f>VLOOKUP($A461,[1]maaltijden!$A$1:$IV$65536,21,FALSE)</f>
        <v>3</v>
      </c>
      <c r="I461" s="22">
        <f>VLOOKUP($A461,[1]maaltijden!$A$1:$IV$65536,21,FALSE)</f>
        <v>3</v>
      </c>
      <c r="J461" s="22">
        <f>VLOOKUP($A461,[1]maaltijden!$A$1:$IV$65536,18,FALSE)</f>
        <v>3</v>
      </c>
      <c r="K461" s="22">
        <f>VLOOKUP($A461,[1]maaltijden!$A$1:$IV$65536,17,FALSE)</f>
        <v>2</v>
      </c>
      <c r="L461" s="22">
        <f>VLOOKUP($A461,[1]maaltijden!$A$1:$IV$65536,20,FALSE)</f>
        <v>1750</v>
      </c>
      <c r="M461" s="22">
        <f>VLOOKUP($A461,[1]maaltijden!$A$1:$IV$65536,22,FALSE)</f>
        <v>1750</v>
      </c>
      <c r="N461" s="135"/>
      <c r="O461" s="50"/>
      <c r="P461" s="19">
        <v>1</v>
      </c>
      <c r="Q461" s="20">
        <v>0</v>
      </c>
      <c r="R461" s="21">
        <v>0</v>
      </c>
      <c r="S461" s="19">
        <v>1</v>
      </c>
      <c r="T461" s="20">
        <v>0</v>
      </c>
      <c r="U461" s="19">
        <v>0</v>
      </c>
      <c r="V461" s="20">
        <v>1</v>
      </c>
      <c r="W461" s="11">
        <v>1</v>
      </c>
      <c r="X461" s="20">
        <v>1</v>
      </c>
      <c r="Y461" s="20">
        <v>1</v>
      </c>
      <c r="Z461" s="20">
        <v>0</v>
      </c>
      <c r="AA461" s="20">
        <v>0</v>
      </c>
      <c r="AB461" s="49">
        <v>0</v>
      </c>
      <c r="AC461" s="49">
        <v>0</v>
      </c>
      <c r="AD461" s="49">
        <v>0</v>
      </c>
      <c r="AE461" s="49">
        <v>1</v>
      </c>
      <c r="AF461" s="49">
        <v>0</v>
      </c>
      <c r="AG461" s="161">
        <v>1</v>
      </c>
      <c r="AH461" s="162">
        <v>3</v>
      </c>
      <c r="AI461" s="162">
        <v>0</v>
      </c>
      <c r="AJ461" s="162">
        <v>1</v>
      </c>
      <c r="AK461" s="162">
        <v>0</v>
      </c>
      <c r="AL461" s="163">
        <v>0</v>
      </c>
      <c r="AM461" s="19">
        <v>0</v>
      </c>
      <c r="AN461" s="20" t="str">
        <f>IFERROR(INDEX([2]lijnopstellingsfiche!$AP$1:$AP$65536,MATCH(A461,[2]lijnopstellingsfiche!$AQ$1:$AQ$65536,0)),"")</f>
        <v>-</v>
      </c>
      <c r="AO461" s="20">
        <v>0</v>
      </c>
      <c r="AP461" s="20">
        <v>0</v>
      </c>
      <c r="AQ461" s="20">
        <v>4</v>
      </c>
      <c r="AR461" s="20">
        <v>0</v>
      </c>
      <c r="AS461" s="20">
        <v>0</v>
      </c>
      <c r="AT461" s="20">
        <v>0</v>
      </c>
      <c r="AU461" s="20">
        <v>0</v>
      </c>
      <c r="AV461" s="23">
        <v>0</v>
      </c>
      <c r="AW461" s="108">
        <v>1</v>
      </c>
      <c r="AX461" s="108">
        <v>0</v>
      </c>
      <c r="AY461" s="108">
        <v>1</v>
      </c>
      <c r="AZ461" s="108"/>
      <c r="BA461" s="114">
        <v>0</v>
      </c>
      <c r="BB461" s="20">
        <v>0</v>
      </c>
      <c r="BC461" s="113">
        <v>0</v>
      </c>
      <c r="BD461" s="200" t="str">
        <f>VLOOKUP($A461,'[3]allergenen 6nr'!$A$1:$O$1310,3,FALSE)</f>
        <v>-</v>
      </c>
      <c r="BE461" s="201" t="str">
        <f>VLOOKUP($A461,'[3]allergenen 6nr'!$A$1:$O$1310,4,FALSE)</f>
        <v>+</v>
      </c>
      <c r="BF461" s="201" t="str">
        <f>VLOOKUP($A461,'[3]allergenen 6nr'!$A$1:$O$1310,5,FALSE)</f>
        <v>+</v>
      </c>
      <c r="BG461" s="201" t="str">
        <f>VLOOKUP($A461,'[3]allergenen 6nr'!$A$1:$O$1310,6,FALSE)</f>
        <v>X</v>
      </c>
      <c r="BH461" s="201" t="str">
        <f>VLOOKUP($A461,'[3]allergenen 6nr'!$A$1:$O$1310,7,FALSE)</f>
        <v>+</v>
      </c>
      <c r="BI461" s="201" t="str">
        <f>VLOOKUP($A461,'[3]allergenen 6nr'!$A$1:$O$1310,8,FALSE)</f>
        <v>X</v>
      </c>
      <c r="BJ461" s="201" t="str">
        <f>VLOOKUP($A461,'[3]allergenen 6nr'!$A$1:$O$1310,9,FALSE)</f>
        <v>-</v>
      </c>
      <c r="BK461" s="201" t="str">
        <f>VLOOKUP($A461,'[3]allergenen 6nr'!$A$1:$O$1310,10,FALSE)</f>
        <v>-</v>
      </c>
      <c r="BL461" s="201" t="str">
        <f>VLOOKUP($A461,'[3]allergenen 6nr'!$A$1:$O$1310,11,FALSE)</f>
        <v>+</v>
      </c>
      <c r="BM461" s="201" t="str">
        <f>VLOOKUP($A461,'[3]allergenen 6nr'!$A$1:$O$1310,12,FALSE)</f>
        <v>-</v>
      </c>
      <c r="BN461" s="201" t="str">
        <f>VLOOKUP($A461,'[3]allergenen 6nr'!$A$1:$O$1310,13,FALSE)</f>
        <v>X</v>
      </c>
      <c r="BO461" s="201" t="str">
        <f>VLOOKUP($A461,'[3]allergenen 6nr'!$A$1:$O$1310,14,FALSE)</f>
        <v>-</v>
      </c>
      <c r="BP461" s="202" t="str">
        <f>VLOOKUP($A461,'[3]allergenen 6nr'!$A$1:$O$1310,15,FALSE)</f>
        <v>-</v>
      </c>
    </row>
    <row r="462" spans="1:68" x14ac:dyDescent="0.2">
      <c r="A462" s="89">
        <v>64402200</v>
      </c>
      <c r="B462" s="53" t="str">
        <f>VLOOKUP($A462,[1]maaltijden!$A$1:$IV$65536,4,FALSE)</f>
        <v>BOF DE KIP KEBAB AUFLAUF 2X400G</v>
      </c>
      <c r="C462" s="46" t="str">
        <f>VLOOKUP($A462,[1]maaltijden!$A$1:$IV$65536,7,FALSE)</f>
        <v>UK-59</v>
      </c>
      <c r="D462" s="22" t="str">
        <f>VLOOKUP($A462,[1]maaltijden!$A$1:$IV$65536,10,FALSE)</f>
        <v>H44</v>
      </c>
      <c r="E462" s="22" t="str">
        <f>VLOOKUP($A462,[1]maaltijden!$A$1:$IV$65536,13,FALSE)</f>
        <v>H44X4</v>
      </c>
      <c r="F462" s="20">
        <f t="shared" si="7"/>
        <v>0</v>
      </c>
      <c r="G462" s="20" t="str">
        <f>VLOOKUP($A462,[1]maaltijden!$A$1:$IV$65536,27,FALSE)</f>
        <v>! !</v>
      </c>
      <c r="H462" s="22">
        <f>VLOOKUP($A462,[1]maaltijden!$A$1:$IV$65536,21,FALSE)</f>
        <v>7</v>
      </c>
      <c r="I462" s="22">
        <f>VLOOKUP($A462,[1]maaltijden!$A$1:$IV$65536,21,FALSE)</f>
        <v>7</v>
      </c>
      <c r="J462" s="22">
        <f>VLOOKUP($A462,[1]maaltijden!$A$1:$IV$65536,18,FALSE)</f>
        <v>3</v>
      </c>
      <c r="K462" s="22">
        <f>VLOOKUP($A462,[1]maaltijden!$A$1:$IV$65536,17,FALSE)</f>
        <v>2</v>
      </c>
      <c r="L462" s="22">
        <f>VLOOKUP($A462,[1]maaltijden!$A$1:$IV$65536,20,FALSE)</f>
        <v>1500</v>
      </c>
      <c r="M462" s="22">
        <f>VLOOKUP($A462,[1]maaltijden!$A$1:$IV$65536,22,FALSE)</f>
        <v>1500</v>
      </c>
      <c r="N462" s="135"/>
      <c r="O462" s="50"/>
      <c r="P462" s="19">
        <v>1</v>
      </c>
      <c r="Q462" s="20">
        <v>0</v>
      </c>
      <c r="R462" s="21">
        <v>0</v>
      </c>
      <c r="S462" s="19">
        <v>1</v>
      </c>
      <c r="T462" s="20">
        <v>0</v>
      </c>
      <c r="U462" s="19">
        <v>1</v>
      </c>
      <c r="V462" s="20">
        <v>1</v>
      </c>
      <c r="W462" s="20">
        <v>1</v>
      </c>
      <c r="X462" s="20">
        <v>1</v>
      </c>
      <c r="Y462" s="20">
        <v>1</v>
      </c>
      <c r="Z462" s="20">
        <v>0</v>
      </c>
      <c r="AA462" s="20">
        <v>0</v>
      </c>
      <c r="AB462" s="49">
        <v>0</v>
      </c>
      <c r="AC462" s="49">
        <v>0</v>
      </c>
      <c r="AD462" s="49">
        <v>0</v>
      </c>
      <c r="AE462" s="49">
        <v>0</v>
      </c>
      <c r="AF462" s="49">
        <v>0</v>
      </c>
      <c r="AG462" s="161">
        <v>0</v>
      </c>
      <c r="AH462" s="162">
        <v>1</v>
      </c>
      <c r="AI462" s="162">
        <v>0</v>
      </c>
      <c r="AJ462" s="162">
        <v>1</v>
      </c>
      <c r="AK462" s="162">
        <v>0</v>
      </c>
      <c r="AL462" s="163">
        <v>0</v>
      </c>
      <c r="AM462" s="19">
        <v>0</v>
      </c>
      <c r="AN462" s="20">
        <f>IFERROR(INDEX([2]lijnopstellingsfiche!$AP$1:$AP$65536,MATCH(A462,[2]lijnopstellingsfiche!$AQ$1:$AQ$65536,0)),"")</f>
        <v>1</v>
      </c>
      <c r="AO462" s="20">
        <v>0</v>
      </c>
      <c r="AP462" s="20">
        <v>1</v>
      </c>
      <c r="AQ462" s="20">
        <v>2</v>
      </c>
      <c r="AR462" s="20">
        <v>0</v>
      </c>
      <c r="AS462" s="20">
        <v>1</v>
      </c>
      <c r="AT462" s="20">
        <v>0</v>
      </c>
      <c r="AU462" s="20">
        <v>0</v>
      </c>
      <c r="AV462" s="23">
        <v>0</v>
      </c>
      <c r="AW462" s="108">
        <v>1</v>
      </c>
      <c r="AX462" s="108">
        <v>0</v>
      </c>
      <c r="AY462" s="108">
        <v>1</v>
      </c>
      <c r="AZ462" s="108"/>
      <c r="BA462" s="114">
        <v>0</v>
      </c>
      <c r="BB462" s="20">
        <v>0</v>
      </c>
      <c r="BC462" s="113">
        <v>0</v>
      </c>
      <c r="BD462" s="200" t="str">
        <f>VLOOKUP($A462,'[3]allergenen 6nr'!$A$1:$O$1310,3,FALSE)</f>
        <v>-</v>
      </c>
      <c r="BE462" s="201" t="str">
        <f>VLOOKUP($A462,'[3]allergenen 6nr'!$A$1:$O$1310,4,FALSE)</f>
        <v>-</v>
      </c>
      <c r="BF462" s="201" t="str">
        <f>VLOOKUP($A462,'[3]allergenen 6nr'!$A$1:$O$1310,5,FALSE)</f>
        <v>-</v>
      </c>
      <c r="BG462" s="201" t="str">
        <f>VLOOKUP($A462,'[3]allergenen 6nr'!$A$1:$O$1310,6,FALSE)</f>
        <v>-</v>
      </c>
      <c r="BH462" s="201" t="str">
        <f>VLOOKUP($A462,'[3]allergenen 6nr'!$A$1:$O$1310,7,FALSE)</f>
        <v>+</v>
      </c>
      <c r="BI462" s="201" t="str">
        <f>VLOOKUP($A462,'[3]allergenen 6nr'!$A$1:$O$1310,8,FALSE)</f>
        <v>-</v>
      </c>
      <c r="BJ462" s="201" t="str">
        <f>VLOOKUP($A462,'[3]allergenen 6nr'!$A$1:$O$1310,9,FALSE)</f>
        <v>-</v>
      </c>
      <c r="BK462" s="201" t="str">
        <f>VLOOKUP($A462,'[3]allergenen 6nr'!$A$1:$O$1310,10,FALSE)</f>
        <v>-</v>
      </c>
      <c r="BL462" s="201" t="str">
        <f>VLOOKUP($A462,'[3]allergenen 6nr'!$A$1:$O$1310,11,FALSE)</f>
        <v>-</v>
      </c>
      <c r="BM462" s="201" t="str">
        <f>VLOOKUP($A462,'[3]allergenen 6nr'!$A$1:$O$1310,12,FALSE)</f>
        <v>-</v>
      </c>
      <c r="BN462" s="201" t="str">
        <f>VLOOKUP($A462,'[3]allergenen 6nr'!$A$1:$O$1310,13,FALSE)</f>
        <v>-</v>
      </c>
      <c r="BO462" s="201" t="str">
        <f>VLOOKUP($A462,'[3]allergenen 6nr'!$A$1:$O$1310,14,FALSE)</f>
        <v>-</v>
      </c>
      <c r="BP462" s="202" t="str">
        <f>VLOOKUP($A462,'[3]allergenen 6nr'!$A$1:$O$1310,15,FALSE)</f>
        <v>-</v>
      </c>
    </row>
    <row r="463" spans="1:68" x14ac:dyDescent="0.2">
      <c r="A463" s="89">
        <v>65050000</v>
      </c>
      <c r="B463" s="53" t="str">
        <f>VLOOKUP($A463,[1]maaltijden!$A$1:$IV$65536,4,FALSE)</f>
        <v>CARREFOUR VOL AU VENT PUREE 450G</v>
      </c>
      <c r="C463" s="46" t="str">
        <f>VLOOKUP($A463,[1]maaltijden!$A$1:$IV$65536,7,FALSE)</f>
        <v>C2176-1A</v>
      </c>
      <c r="D463" s="22" t="str">
        <f>VLOOKUP($A463,[1]maaltijden!$A$1:$IV$65536,10,FALSE)</f>
        <v>H29</v>
      </c>
      <c r="E463" s="22" t="str">
        <f>VLOOKUP($A463,[1]maaltijden!$A$1:$IV$65536,13,FALSE)</f>
        <v>H29x10</v>
      </c>
      <c r="F463" s="20">
        <f t="shared" si="7"/>
        <v>0</v>
      </c>
      <c r="G463" s="20" t="str">
        <f>VLOOKUP($A463,[1]maaltijden!$A$1:$IV$65536,27,FALSE)</f>
        <v>! ! !</v>
      </c>
      <c r="H463" s="22">
        <f>VLOOKUP($A463,[1]maaltijden!$A$1:$IV$65536,21,FALSE)</f>
        <v>3</v>
      </c>
      <c r="I463" s="22">
        <f>VLOOKUP($A463,[1]maaltijden!$A$1:$IV$65536,21,FALSE)</f>
        <v>3</v>
      </c>
      <c r="J463" s="22">
        <f>VLOOKUP($A463,[1]maaltijden!$A$1:$IV$65536,18,FALSE)</f>
        <v>2</v>
      </c>
      <c r="K463" s="22">
        <f>VLOOKUP($A463,[1]maaltijden!$A$1:$IV$65536,17,FALSE)</f>
        <v>2</v>
      </c>
      <c r="L463" s="22">
        <f>VLOOKUP($A463,[1]maaltijden!$A$1:$IV$65536,20,FALSE)</f>
        <v>3500</v>
      </c>
      <c r="M463" s="22">
        <f>VLOOKUP($A463,[1]maaltijden!$A$1:$IV$65536,22,FALSE)</f>
        <v>3500</v>
      </c>
      <c r="N463" s="135"/>
      <c r="O463" s="50"/>
      <c r="P463" s="19">
        <v>1</v>
      </c>
      <c r="Q463" s="20">
        <v>2</v>
      </c>
      <c r="R463" s="21">
        <v>0</v>
      </c>
      <c r="S463" s="19">
        <v>1</v>
      </c>
      <c r="T463" s="20">
        <v>1</v>
      </c>
      <c r="U463" s="19">
        <v>1</v>
      </c>
      <c r="V463" s="20">
        <v>1</v>
      </c>
      <c r="W463" s="20">
        <v>1</v>
      </c>
      <c r="X463" s="20">
        <v>1</v>
      </c>
      <c r="Y463" s="20">
        <v>1</v>
      </c>
      <c r="Z463" s="20">
        <v>0</v>
      </c>
      <c r="AA463" s="20">
        <v>0</v>
      </c>
      <c r="AB463" s="49">
        <v>0</v>
      </c>
      <c r="AC463" s="49">
        <v>0</v>
      </c>
      <c r="AD463" s="49">
        <v>0</v>
      </c>
      <c r="AE463" s="49">
        <v>1</v>
      </c>
      <c r="AF463" s="49">
        <v>0</v>
      </c>
      <c r="AG463" s="161">
        <v>0</v>
      </c>
      <c r="AH463" s="162">
        <v>2</v>
      </c>
      <c r="AI463" s="162">
        <v>0</v>
      </c>
      <c r="AJ463" s="162">
        <v>0</v>
      </c>
      <c r="AK463" s="162">
        <v>0</v>
      </c>
      <c r="AL463" s="163">
        <v>0</v>
      </c>
      <c r="AM463" s="19">
        <v>0</v>
      </c>
      <c r="AN463" s="20" t="str">
        <f>IFERROR(INDEX([2]lijnopstellingsfiche!$AP$1:$AP$65536,MATCH(A463,[2]lijnopstellingsfiche!$AQ$1:$AQ$65536,0)),"")</f>
        <v>-</v>
      </c>
      <c r="AO463" s="20">
        <v>0</v>
      </c>
      <c r="AP463" s="20">
        <v>0</v>
      </c>
      <c r="AQ463" s="20">
        <v>2</v>
      </c>
      <c r="AR463" s="20">
        <v>2</v>
      </c>
      <c r="AS463" s="20">
        <v>0</v>
      </c>
      <c r="AT463" s="20">
        <v>0</v>
      </c>
      <c r="AU463" s="20">
        <v>0</v>
      </c>
      <c r="AV463" s="23">
        <v>0</v>
      </c>
      <c r="AW463" s="108">
        <v>1</v>
      </c>
      <c r="AX463" s="108">
        <v>0</v>
      </c>
      <c r="AY463" s="108">
        <v>1</v>
      </c>
      <c r="AZ463" s="108"/>
      <c r="BA463" s="114">
        <v>0</v>
      </c>
      <c r="BB463" s="20">
        <v>1</v>
      </c>
      <c r="BC463" s="113">
        <v>0</v>
      </c>
      <c r="BD463" s="200" t="str">
        <f>VLOOKUP($A463,'[3]allergenen 6nr'!$A$1:$O$1310,3,FALSE)</f>
        <v>-</v>
      </c>
      <c r="BE463" s="201" t="str">
        <f>VLOOKUP($A463,'[3]allergenen 6nr'!$A$1:$O$1310,4,FALSE)</f>
        <v>+</v>
      </c>
      <c r="BF463" s="201" t="str">
        <f>VLOOKUP($A463,'[3]allergenen 6nr'!$A$1:$O$1310,5,FALSE)</f>
        <v>+</v>
      </c>
      <c r="BG463" s="201" t="str">
        <f>VLOOKUP($A463,'[3]allergenen 6nr'!$A$1:$O$1310,6,FALSE)</f>
        <v>-</v>
      </c>
      <c r="BH463" s="201" t="str">
        <f>VLOOKUP($A463,'[3]allergenen 6nr'!$A$1:$O$1310,7,FALSE)</f>
        <v>+</v>
      </c>
      <c r="BI463" s="201" t="str">
        <f>VLOOKUP($A463,'[3]allergenen 6nr'!$A$1:$O$1310,8,FALSE)</f>
        <v>X</v>
      </c>
      <c r="BJ463" s="201" t="str">
        <f>VLOOKUP($A463,'[3]allergenen 6nr'!$A$1:$O$1310,9,FALSE)</f>
        <v>-</v>
      </c>
      <c r="BK463" s="201" t="str">
        <f>VLOOKUP($A463,'[3]allergenen 6nr'!$A$1:$O$1310,10,FALSE)</f>
        <v>X</v>
      </c>
      <c r="BL463" s="201" t="str">
        <f>VLOOKUP($A463,'[3]allergenen 6nr'!$A$1:$O$1310,11,FALSE)</f>
        <v>+</v>
      </c>
      <c r="BM463" s="201" t="str">
        <f>VLOOKUP($A463,'[3]allergenen 6nr'!$A$1:$O$1310,12,FALSE)</f>
        <v>-</v>
      </c>
      <c r="BN463" s="201" t="str">
        <f>VLOOKUP($A463,'[3]allergenen 6nr'!$A$1:$O$1310,13,FALSE)</f>
        <v>X</v>
      </c>
      <c r="BO463" s="201" t="str">
        <f>VLOOKUP($A463,'[3]allergenen 6nr'!$A$1:$O$1310,14,FALSE)</f>
        <v>X</v>
      </c>
      <c r="BP463" s="202" t="str">
        <f>VLOOKUP($A463,'[3]allergenen 6nr'!$A$1:$O$1310,15,FALSE)</f>
        <v>X</v>
      </c>
    </row>
    <row r="464" spans="1:68" x14ac:dyDescent="0.2">
      <c r="A464" s="89">
        <v>65050100</v>
      </c>
      <c r="B464" s="53" t="str">
        <f>VLOOKUP($A464,[1]maaltijden!$A$1:$IV$65536,4,FALSE)</f>
        <v>CARREFOUR VISGRATIN MSC SPINAZIE 450G</v>
      </c>
      <c r="C464" s="46" t="str">
        <f>VLOOKUP($A464,[1]maaltijden!$A$1:$IV$65536,7,FALSE)</f>
        <v>C2176-1A</v>
      </c>
      <c r="D464" s="22" t="str">
        <f>VLOOKUP($A464,[1]maaltijden!$A$1:$IV$65536,10,FALSE)</f>
        <v>H29</v>
      </c>
      <c r="E464" s="22" t="str">
        <f>VLOOKUP($A464,[1]maaltijden!$A$1:$IV$65536,13,FALSE)</f>
        <v>H29x10</v>
      </c>
      <c r="F464" s="20">
        <f t="shared" si="7"/>
        <v>0</v>
      </c>
      <c r="G464" s="20" t="str">
        <f>VLOOKUP($A464,[1]maaltijden!$A$1:$IV$65536,27,FALSE)</f>
        <v>! ! ! !</v>
      </c>
      <c r="H464" s="22">
        <f>VLOOKUP($A464,[1]maaltijden!$A$1:$IV$65536,21,FALSE)</f>
        <v>2</v>
      </c>
      <c r="I464" s="22">
        <f>VLOOKUP($A464,[1]maaltijden!$A$1:$IV$65536,21,FALSE)</f>
        <v>2</v>
      </c>
      <c r="J464" s="22">
        <f>VLOOKUP($A464,[1]maaltijden!$A$1:$IV$65536,18,FALSE)</f>
        <v>2</v>
      </c>
      <c r="K464" s="22">
        <f>VLOOKUP($A464,[1]maaltijden!$A$1:$IV$65536,17,FALSE)</f>
        <v>3</v>
      </c>
      <c r="L464" s="22">
        <f>VLOOKUP($A464,[1]maaltijden!$A$1:$IV$65536,20,FALSE)</f>
        <v>3500</v>
      </c>
      <c r="M464" s="22">
        <f>VLOOKUP($A464,[1]maaltijden!$A$1:$IV$65536,22,FALSE)</f>
        <v>3500</v>
      </c>
      <c r="N464" s="135"/>
      <c r="O464" s="50"/>
      <c r="P464" s="19">
        <v>1</v>
      </c>
      <c r="Q464" s="20">
        <v>2</v>
      </c>
      <c r="R464" s="21">
        <v>0</v>
      </c>
      <c r="S464" s="19">
        <v>1</v>
      </c>
      <c r="T464" s="20">
        <v>1</v>
      </c>
      <c r="U464" s="19">
        <v>1</v>
      </c>
      <c r="V464" s="20">
        <v>1</v>
      </c>
      <c r="W464" s="20">
        <v>1</v>
      </c>
      <c r="X464" s="20">
        <v>1</v>
      </c>
      <c r="Y464" s="20">
        <v>1</v>
      </c>
      <c r="Z464" s="20">
        <v>0</v>
      </c>
      <c r="AA464" s="20">
        <v>0</v>
      </c>
      <c r="AB464" s="49">
        <v>1</v>
      </c>
      <c r="AC464" s="49">
        <v>0</v>
      </c>
      <c r="AD464" s="49">
        <v>0</v>
      </c>
      <c r="AE464" s="49">
        <v>0</v>
      </c>
      <c r="AF464" s="49">
        <v>1</v>
      </c>
      <c r="AG464" s="161">
        <v>0</v>
      </c>
      <c r="AH464" s="162">
        <v>1</v>
      </c>
      <c r="AI464" s="162">
        <v>1</v>
      </c>
      <c r="AJ464" s="162">
        <v>0</v>
      </c>
      <c r="AK464" s="162">
        <v>0</v>
      </c>
      <c r="AL464" s="163">
        <v>0</v>
      </c>
      <c r="AM464" s="19">
        <v>0</v>
      </c>
      <c r="AN464" s="20" t="str">
        <f>IFERROR(INDEX([2]lijnopstellingsfiche!$AP$1:$AP$65536,MATCH(A464,[2]lijnopstellingsfiche!$AQ$1:$AQ$65536,0)),"")</f>
        <v>-</v>
      </c>
      <c r="AO464" s="20">
        <v>0</v>
      </c>
      <c r="AP464" s="20">
        <v>0</v>
      </c>
      <c r="AQ464" s="20">
        <v>4</v>
      </c>
      <c r="AR464" s="20">
        <v>2</v>
      </c>
      <c r="AS464" s="20">
        <v>0</v>
      </c>
      <c r="AT464" s="20">
        <v>0</v>
      </c>
      <c r="AU464" s="20">
        <v>0</v>
      </c>
      <c r="AV464" s="23">
        <v>0</v>
      </c>
      <c r="AW464" s="108"/>
      <c r="AX464" s="108"/>
      <c r="AY464" s="108"/>
      <c r="AZ464" s="108"/>
      <c r="BA464" s="114"/>
      <c r="BB464" s="20"/>
      <c r="BC464" s="113"/>
      <c r="BD464" s="200" t="str">
        <f>VLOOKUP($A464,'[3]allergenen 6nr'!$A$1:$O$1310,3,FALSE)</f>
        <v>-</v>
      </c>
      <c r="BE464" s="201" t="str">
        <f>VLOOKUP($A464,'[3]allergenen 6nr'!$A$1:$O$1310,4,FALSE)</f>
        <v>+</v>
      </c>
      <c r="BF464" s="201" t="str">
        <f>VLOOKUP($A464,'[3]allergenen 6nr'!$A$1:$O$1310,5,FALSE)</f>
        <v>-</v>
      </c>
      <c r="BG464" s="201" t="str">
        <f>VLOOKUP($A464,'[3]allergenen 6nr'!$A$1:$O$1310,6,FALSE)</f>
        <v>-</v>
      </c>
      <c r="BH464" s="201" t="str">
        <f>VLOOKUP($A464,'[3]allergenen 6nr'!$A$1:$O$1310,7,FALSE)</f>
        <v>+</v>
      </c>
      <c r="BI464" s="201" t="str">
        <f>VLOOKUP($A464,'[3]allergenen 6nr'!$A$1:$O$1310,8,FALSE)</f>
        <v>-</v>
      </c>
      <c r="BJ464" s="201" t="str">
        <f>VLOOKUP($A464,'[3]allergenen 6nr'!$A$1:$O$1310,9,FALSE)</f>
        <v>-</v>
      </c>
      <c r="BK464" s="201" t="str">
        <f>VLOOKUP($A464,'[3]allergenen 6nr'!$A$1:$O$1310,10,FALSE)</f>
        <v>-</v>
      </c>
      <c r="BL464" s="201" t="str">
        <f>VLOOKUP($A464,'[3]allergenen 6nr'!$A$1:$O$1310,11,FALSE)</f>
        <v>-</v>
      </c>
      <c r="BM464" s="201" t="str">
        <f>VLOOKUP($A464,'[3]allergenen 6nr'!$A$1:$O$1310,12,FALSE)</f>
        <v>-</v>
      </c>
      <c r="BN464" s="201" t="str">
        <f>VLOOKUP($A464,'[3]allergenen 6nr'!$A$1:$O$1310,13,FALSE)</f>
        <v>-</v>
      </c>
      <c r="BO464" s="201" t="str">
        <f>VLOOKUP($A464,'[3]allergenen 6nr'!$A$1:$O$1310,14,FALSE)</f>
        <v>+</v>
      </c>
      <c r="BP464" s="202" t="str">
        <f>VLOOKUP($A464,'[3]allergenen 6nr'!$A$1:$O$1310,15,FALSE)</f>
        <v>-</v>
      </c>
    </row>
    <row r="465" spans="1:68" x14ac:dyDescent="0.2">
      <c r="A465" s="54">
        <v>65050200</v>
      </c>
      <c r="B465" s="53" t="str">
        <f>VLOOKUP($A465,[1]maaltijden!$A$1:$IV$65536,4,FALSE)</f>
        <v>CARREFOUR BALLETJES TOMATENSAUS BONEN PUREE 450G</v>
      </c>
      <c r="C465" s="46" t="str">
        <f>VLOOKUP($A465,[1]maaltijden!$A$1:$IV$65536,7,FALSE)</f>
        <v>C2176-1A</v>
      </c>
      <c r="D465" s="22" t="str">
        <f>VLOOKUP($A465,[1]maaltijden!$A$1:$IV$65536,10,FALSE)</f>
        <v>H29</v>
      </c>
      <c r="E465" s="22" t="str">
        <f>VLOOKUP($A465,[1]maaltijden!$A$1:$IV$65536,13,FALSE)</f>
        <v>H29x10</v>
      </c>
      <c r="F465" s="20">
        <f t="shared" si="7"/>
        <v>0</v>
      </c>
      <c r="G465" s="20" t="str">
        <f>VLOOKUP($A465,[1]maaltijden!$A$1:$IV$65536,27,FALSE)</f>
        <v>! ! !</v>
      </c>
      <c r="H465" s="22">
        <f>VLOOKUP($A465,[1]maaltijden!$A$1:$IV$65536,21,FALSE)</f>
        <v>7</v>
      </c>
      <c r="I465" s="22">
        <f>VLOOKUP($A465,[1]maaltijden!$A$1:$IV$65536,21,FALSE)</f>
        <v>7</v>
      </c>
      <c r="J465" s="22">
        <f>VLOOKUP($A465,[1]maaltijden!$A$1:$IV$65536,18,FALSE)</f>
        <v>2</v>
      </c>
      <c r="K465" s="22">
        <f>VLOOKUP($A465,[1]maaltijden!$A$1:$IV$65536,17,FALSE)</f>
        <v>3</v>
      </c>
      <c r="L465" s="22">
        <f>VLOOKUP($A465,[1]maaltijden!$A$1:$IV$65536,20,FALSE)</f>
        <v>3500</v>
      </c>
      <c r="M465" s="22">
        <f>VLOOKUP($A465,[1]maaltijden!$A$1:$IV$65536,22,FALSE)</f>
        <v>3500</v>
      </c>
      <c r="N465" s="135"/>
      <c r="O465" s="50"/>
      <c r="P465" s="19">
        <v>1</v>
      </c>
      <c r="Q465" s="20">
        <v>2</v>
      </c>
      <c r="R465" s="21">
        <v>0</v>
      </c>
      <c r="S465" s="19">
        <v>1</v>
      </c>
      <c r="T465" s="20">
        <v>1</v>
      </c>
      <c r="U465" s="19"/>
      <c r="V465" s="20"/>
      <c r="W465" s="20"/>
      <c r="X465" s="20"/>
      <c r="Y465" s="20"/>
      <c r="Z465" s="20"/>
      <c r="AA465" s="20"/>
      <c r="AB465" s="49"/>
      <c r="AC465" s="49"/>
      <c r="AD465" s="49"/>
      <c r="AE465" s="49"/>
      <c r="AF465" s="49"/>
      <c r="AG465" s="161">
        <v>0</v>
      </c>
      <c r="AH465" s="168">
        <v>2</v>
      </c>
      <c r="AI465" s="168">
        <v>1</v>
      </c>
      <c r="AJ465" s="20"/>
      <c r="AK465" s="20"/>
      <c r="AL465" s="21"/>
      <c r="AM465" s="19">
        <v>0</v>
      </c>
      <c r="AN465" s="20" t="str">
        <f>IFERROR(INDEX([2]lijnopstellingsfiche!$AP$1:$AP$65536,MATCH(A465,[2]lijnopstellingsfiche!$AQ$1:$AQ$65536,0)),"")</f>
        <v>-</v>
      </c>
      <c r="AO465" s="20">
        <v>0</v>
      </c>
      <c r="AP465" s="20">
        <v>0</v>
      </c>
      <c r="AQ465" s="20">
        <v>2</v>
      </c>
      <c r="AR465" s="20">
        <v>2</v>
      </c>
      <c r="AS465" s="20">
        <v>1</v>
      </c>
      <c r="AT465" s="20">
        <v>0</v>
      </c>
      <c r="AU465" s="20">
        <v>0</v>
      </c>
      <c r="AV465" s="23">
        <v>0</v>
      </c>
      <c r="AW465" s="108"/>
      <c r="AX465" s="108"/>
      <c r="AY465" s="108"/>
      <c r="AZ465" s="108"/>
      <c r="BA465" s="114"/>
      <c r="BB465" s="20"/>
      <c r="BC465" s="113"/>
      <c r="BD465" s="200" t="str">
        <f>VLOOKUP($A465,'[3]allergenen 6nr'!$A$1:$O$1310,3,FALSE)</f>
        <v>-</v>
      </c>
      <c r="BE465" s="201" t="str">
        <f>VLOOKUP($A465,'[3]allergenen 6nr'!$A$1:$O$1310,4,FALSE)</f>
        <v>+</v>
      </c>
      <c r="BF465" s="201" t="str">
        <f>VLOOKUP($A465,'[3]allergenen 6nr'!$A$1:$O$1310,5,FALSE)</f>
        <v>+</v>
      </c>
      <c r="BG465" s="201" t="str">
        <f>VLOOKUP($A465,'[3]allergenen 6nr'!$A$1:$O$1310,6,FALSE)</f>
        <v>X</v>
      </c>
      <c r="BH465" s="201" t="str">
        <f>VLOOKUP($A465,'[3]allergenen 6nr'!$A$1:$O$1310,7,FALSE)</f>
        <v>+</v>
      </c>
      <c r="BI465" s="201" t="str">
        <f>VLOOKUP($A465,'[3]allergenen 6nr'!$A$1:$O$1310,8,FALSE)</f>
        <v>X</v>
      </c>
      <c r="BJ465" s="201" t="str">
        <f>VLOOKUP($A465,'[3]allergenen 6nr'!$A$1:$O$1310,9,FALSE)</f>
        <v>X</v>
      </c>
      <c r="BK465" s="201" t="str">
        <f>VLOOKUP($A465,'[3]allergenen 6nr'!$A$1:$O$1310,10,FALSE)</f>
        <v>X</v>
      </c>
      <c r="BL465" s="201" t="str">
        <f>VLOOKUP($A465,'[3]allergenen 6nr'!$A$1:$O$1310,11,FALSE)</f>
        <v>+</v>
      </c>
      <c r="BM465" s="201" t="str">
        <f>VLOOKUP($A465,'[3]allergenen 6nr'!$A$1:$O$1310,12,FALSE)</f>
        <v>-</v>
      </c>
      <c r="BN465" s="201" t="str">
        <f>VLOOKUP($A465,'[3]allergenen 6nr'!$A$1:$O$1310,13,FALSE)</f>
        <v>X</v>
      </c>
      <c r="BO465" s="201" t="str">
        <f>VLOOKUP($A465,'[3]allergenen 6nr'!$A$1:$O$1310,14,FALSE)</f>
        <v>X</v>
      </c>
      <c r="BP465" s="202" t="str">
        <f>VLOOKUP($A465,'[3]allergenen 6nr'!$A$1:$O$1310,15,FALSE)</f>
        <v>X</v>
      </c>
    </row>
    <row r="466" spans="1:68" x14ac:dyDescent="0.2">
      <c r="A466" s="54">
        <v>65050300</v>
      </c>
      <c r="B466" s="53" t="str">
        <f>VLOOKUP($A466,[1]maaltijden!$A$1:$IV$65536,4,FALSE)</f>
        <v>CARREFOUR AARDAPPELGEHAKTSCHOTEL MET SPINAZIE 450G</v>
      </c>
      <c r="C466" s="46" t="str">
        <f>VLOOKUP($A466,[1]maaltijden!$A$1:$IV$65536,7,FALSE)</f>
        <v>C2176-1A</v>
      </c>
      <c r="D466" s="22" t="str">
        <f>VLOOKUP($A466,[1]maaltijden!$A$1:$IV$65536,10,FALSE)</f>
        <v>H29</v>
      </c>
      <c r="E466" s="22" t="str">
        <f>VLOOKUP($A466,[1]maaltijden!$A$1:$IV$65536,13,FALSE)</f>
        <v>H29x10</v>
      </c>
      <c r="F466" s="20">
        <f t="shared" si="7"/>
        <v>0</v>
      </c>
      <c r="G466" s="20" t="str">
        <f>VLOOKUP($A466,[1]maaltijden!$A$1:$IV$65536,27,FALSE)</f>
        <v>! ! !</v>
      </c>
      <c r="H466" s="22">
        <f>VLOOKUP($A466,[1]maaltijden!$A$1:$IV$65536,21,FALSE)</f>
        <v>3</v>
      </c>
      <c r="I466" s="22">
        <f>VLOOKUP($A466,[1]maaltijden!$A$1:$IV$65536,21,FALSE)</f>
        <v>3</v>
      </c>
      <c r="J466" s="22">
        <f>VLOOKUP($A466,[1]maaltijden!$A$1:$IV$65536,18,FALSE)</f>
        <v>2</v>
      </c>
      <c r="K466" s="22">
        <f>VLOOKUP($A466,[1]maaltijden!$A$1:$IV$65536,17,FALSE)</f>
        <v>3</v>
      </c>
      <c r="L466" s="22">
        <f>VLOOKUP($A466,[1]maaltijden!$A$1:$IV$65536,20,FALSE)</f>
        <v>3500</v>
      </c>
      <c r="M466" s="22">
        <f>VLOOKUP($A466,[1]maaltijden!$A$1:$IV$65536,22,FALSE)</f>
        <v>3500</v>
      </c>
      <c r="N466" s="135"/>
      <c r="O466" s="50"/>
      <c r="P466" s="19">
        <v>1</v>
      </c>
      <c r="Q466" s="20">
        <v>2</v>
      </c>
      <c r="R466" s="21">
        <v>0</v>
      </c>
      <c r="S466" s="19">
        <v>1</v>
      </c>
      <c r="T466" s="20">
        <v>1</v>
      </c>
      <c r="U466" s="19"/>
      <c r="V466" s="20"/>
      <c r="W466" s="20"/>
      <c r="X466" s="20"/>
      <c r="Y466" s="20"/>
      <c r="Z466" s="20"/>
      <c r="AA466" s="20"/>
      <c r="AB466" s="49"/>
      <c r="AC466" s="49"/>
      <c r="AD466" s="49"/>
      <c r="AE466" s="49"/>
      <c r="AF466" s="49"/>
      <c r="AG466" s="161">
        <v>0</v>
      </c>
      <c r="AH466" s="168">
        <v>1</v>
      </c>
      <c r="AI466" s="168">
        <v>1</v>
      </c>
      <c r="AJ466" s="20"/>
      <c r="AK466" s="20"/>
      <c r="AL466" s="21"/>
      <c r="AM466" s="19">
        <v>0</v>
      </c>
      <c r="AN466" s="20" t="str">
        <f>IFERROR(INDEX([2]lijnopstellingsfiche!$AP$1:$AP$65536,MATCH(A466,[2]lijnopstellingsfiche!$AQ$1:$AQ$65536,0)),"")</f>
        <v>-</v>
      </c>
      <c r="AO466" s="20">
        <v>0</v>
      </c>
      <c r="AP466" s="20">
        <v>0</v>
      </c>
      <c r="AQ466" s="20">
        <v>4</v>
      </c>
      <c r="AR466" s="20">
        <v>2</v>
      </c>
      <c r="AS466" s="20">
        <v>0</v>
      </c>
      <c r="AT466" s="20">
        <v>0</v>
      </c>
      <c r="AU466" s="20">
        <v>0</v>
      </c>
      <c r="AV466" s="23">
        <v>0</v>
      </c>
      <c r="AW466" s="108"/>
      <c r="AX466" s="108"/>
      <c r="AY466" s="108"/>
      <c r="AZ466" s="108"/>
      <c r="BA466" s="114"/>
      <c r="BB466" s="20"/>
      <c r="BC466" s="113"/>
      <c r="BD466" s="200" t="str">
        <f>VLOOKUP($A466,'[3]allergenen 6nr'!$A$1:$O$1310,3,FALSE)</f>
        <v>-</v>
      </c>
      <c r="BE466" s="201" t="str">
        <f>VLOOKUP($A466,'[3]allergenen 6nr'!$A$1:$O$1310,4,FALSE)</f>
        <v>+</v>
      </c>
      <c r="BF466" s="201" t="str">
        <f>VLOOKUP($A466,'[3]allergenen 6nr'!$A$1:$O$1310,5,FALSE)</f>
        <v>+</v>
      </c>
      <c r="BG466" s="201" t="str">
        <f>VLOOKUP($A466,'[3]allergenen 6nr'!$A$1:$O$1310,6,FALSE)</f>
        <v>X</v>
      </c>
      <c r="BH466" s="201" t="str">
        <f>VLOOKUP($A466,'[3]allergenen 6nr'!$A$1:$O$1310,7,FALSE)</f>
        <v>+</v>
      </c>
      <c r="BI466" s="201" t="str">
        <f>VLOOKUP($A466,'[3]allergenen 6nr'!$A$1:$O$1310,8,FALSE)</f>
        <v>X</v>
      </c>
      <c r="BJ466" s="201" t="str">
        <f>VLOOKUP($A466,'[3]allergenen 6nr'!$A$1:$O$1310,9,FALSE)</f>
        <v>-</v>
      </c>
      <c r="BK466" s="201" t="str">
        <f>VLOOKUP($A466,'[3]allergenen 6nr'!$A$1:$O$1310,10,FALSE)</f>
        <v>-</v>
      </c>
      <c r="BL466" s="201" t="str">
        <f>VLOOKUP($A466,'[3]allergenen 6nr'!$A$1:$O$1310,11,FALSE)</f>
        <v>+</v>
      </c>
      <c r="BM466" s="201" t="str">
        <f>VLOOKUP($A466,'[3]allergenen 6nr'!$A$1:$O$1310,12,FALSE)</f>
        <v>-</v>
      </c>
      <c r="BN466" s="201" t="str">
        <f>VLOOKUP($A466,'[3]allergenen 6nr'!$A$1:$O$1310,13,FALSE)</f>
        <v>X</v>
      </c>
      <c r="BO466" s="201" t="str">
        <f>VLOOKUP($A466,'[3]allergenen 6nr'!$A$1:$O$1310,14,FALSE)</f>
        <v>-</v>
      </c>
      <c r="BP466" s="202" t="str">
        <f>VLOOKUP($A466,'[3]allergenen 6nr'!$A$1:$O$1310,15,FALSE)</f>
        <v>-</v>
      </c>
    </row>
    <row r="467" spans="1:68" x14ac:dyDescent="0.2">
      <c r="A467" s="54">
        <v>65050400</v>
      </c>
      <c r="B467" s="53" t="str">
        <f>VLOOKUP($A467,[1]maaltijden!$A$1:$IV$65536,4,FALSE)</f>
        <v>CARREFOUR MACARONI HAM KAAS 450G</v>
      </c>
      <c r="C467" s="46" t="str">
        <f>VLOOKUP($A467,[1]maaltijden!$A$1:$IV$65536,7,FALSE)</f>
        <v>C2176-1A</v>
      </c>
      <c r="D467" s="22" t="str">
        <f>VLOOKUP($A467,[1]maaltijden!$A$1:$IV$65536,10,FALSE)</f>
        <v>H29</v>
      </c>
      <c r="E467" s="22" t="str">
        <f>VLOOKUP($A467,[1]maaltijden!$A$1:$IV$65536,13,FALSE)</f>
        <v>H29x10</v>
      </c>
      <c r="F467" s="20">
        <f t="shared" si="7"/>
        <v>0</v>
      </c>
      <c r="G467" s="20" t="str">
        <f>VLOOKUP($A467,[1]maaltijden!$A$1:$IV$65536,27,FALSE)</f>
        <v>! !</v>
      </c>
      <c r="H467" s="22">
        <f>VLOOKUP($A467,[1]maaltijden!$A$1:$IV$65536,21,FALSE)</f>
        <v>3</v>
      </c>
      <c r="I467" s="22">
        <f>VLOOKUP($A467,[1]maaltijden!$A$1:$IV$65536,21,FALSE)</f>
        <v>3</v>
      </c>
      <c r="J467" s="22">
        <f>VLOOKUP($A467,[1]maaltijden!$A$1:$IV$65536,18,FALSE)</f>
        <v>2</v>
      </c>
      <c r="K467" s="22">
        <f>VLOOKUP($A467,[1]maaltijden!$A$1:$IV$65536,17,FALSE)</f>
        <v>2</v>
      </c>
      <c r="L467" s="22">
        <f>VLOOKUP($A467,[1]maaltijden!$A$1:$IV$65536,20,FALSE)</f>
        <v>3500</v>
      </c>
      <c r="M467" s="22">
        <f>VLOOKUP($A467,[1]maaltijden!$A$1:$IV$65536,22,FALSE)</f>
        <v>3500</v>
      </c>
      <c r="N467" s="135"/>
      <c r="O467" s="50"/>
      <c r="P467" s="19">
        <v>1</v>
      </c>
      <c r="Q467" s="20">
        <v>2</v>
      </c>
      <c r="R467" s="21">
        <v>0</v>
      </c>
      <c r="S467" s="19">
        <v>1</v>
      </c>
      <c r="T467" s="20">
        <v>1</v>
      </c>
      <c r="U467" s="19"/>
      <c r="V467" s="20"/>
      <c r="W467" s="20"/>
      <c r="X467" s="20"/>
      <c r="Y467" s="20"/>
      <c r="Z467" s="20"/>
      <c r="AA467" s="20"/>
      <c r="AB467" s="49"/>
      <c r="AC467" s="49"/>
      <c r="AD467" s="49"/>
      <c r="AE467" s="49"/>
      <c r="AF467" s="49"/>
      <c r="AG467" s="161">
        <v>1</v>
      </c>
      <c r="AH467" s="168">
        <v>1</v>
      </c>
      <c r="AI467" s="20"/>
      <c r="AJ467" s="20"/>
      <c r="AK467" s="20"/>
      <c r="AL467" s="21"/>
      <c r="AM467" s="19">
        <v>1</v>
      </c>
      <c r="AN467" s="20" t="str">
        <f>IFERROR(INDEX([2]lijnopstellingsfiche!$AP$1:$AP$65536,MATCH(A467,[2]lijnopstellingsfiche!$AQ$1:$AQ$65536,0)),"")</f>
        <v>-</v>
      </c>
      <c r="AO467" s="20">
        <v>0</v>
      </c>
      <c r="AP467" s="20">
        <v>0</v>
      </c>
      <c r="AQ467" s="20">
        <v>2</v>
      </c>
      <c r="AR467" s="20">
        <v>0</v>
      </c>
      <c r="AS467" s="20">
        <v>0</v>
      </c>
      <c r="AT467" s="20">
        <v>0</v>
      </c>
      <c r="AU467" s="20">
        <v>0</v>
      </c>
      <c r="AV467" s="23">
        <v>0</v>
      </c>
      <c r="AW467" s="108"/>
      <c r="AX467" s="108"/>
      <c r="AY467" s="108"/>
      <c r="AZ467" s="108"/>
      <c r="BA467" s="114"/>
      <c r="BB467" s="20"/>
      <c r="BC467" s="113"/>
      <c r="BD467" s="200" t="str">
        <f>VLOOKUP($A467,'[3]allergenen 6nr'!$A$1:$O$1310,3,FALSE)</f>
        <v>-</v>
      </c>
      <c r="BE467" s="201" t="str">
        <f>VLOOKUP($A467,'[3]allergenen 6nr'!$A$1:$O$1310,4,FALSE)</f>
        <v>X</v>
      </c>
      <c r="BF467" s="201" t="str">
        <f>VLOOKUP($A467,'[3]allergenen 6nr'!$A$1:$O$1310,5,FALSE)</f>
        <v>+</v>
      </c>
      <c r="BG467" s="201" t="str">
        <f>VLOOKUP($A467,'[3]allergenen 6nr'!$A$1:$O$1310,6,FALSE)</f>
        <v>X</v>
      </c>
      <c r="BH467" s="201" t="str">
        <f>VLOOKUP($A467,'[3]allergenen 6nr'!$A$1:$O$1310,7,FALSE)</f>
        <v>+</v>
      </c>
      <c r="BI467" s="201" t="str">
        <f>VLOOKUP($A467,'[3]allergenen 6nr'!$A$1:$O$1310,8,FALSE)</f>
        <v>X</v>
      </c>
      <c r="BJ467" s="201" t="str">
        <f>VLOOKUP($A467,'[3]allergenen 6nr'!$A$1:$O$1310,9,FALSE)</f>
        <v>-</v>
      </c>
      <c r="BK467" s="201" t="str">
        <f>VLOOKUP($A467,'[3]allergenen 6nr'!$A$1:$O$1310,10,FALSE)</f>
        <v>-</v>
      </c>
      <c r="BL467" s="201" t="str">
        <f>VLOOKUP($A467,'[3]allergenen 6nr'!$A$1:$O$1310,11,FALSE)</f>
        <v>-</v>
      </c>
      <c r="BM467" s="201" t="str">
        <f>VLOOKUP($A467,'[3]allergenen 6nr'!$A$1:$O$1310,12,FALSE)</f>
        <v>-</v>
      </c>
      <c r="BN467" s="201" t="str">
        <f>VLOOKUP($A467,'[3]allergenen 6nr'!$A$1:$O$1310,13,FALSE)</f>
        <v>X</v>
      </c>
      <c r="BO467" s="201" t="str">
        <f>VLOOKUP($A467,'[3]allergenen 6nr'!$A$1:$O$1310,14,FALSE)</f>
        <v>-</v>
      </c>
      <c r="BP467" s="202" t="str">
        <f>VLOOKUP($A467,'[3]allergenen 6nr'!$A$1:$O$1310,15,FALSE)</f>
        <v>-</v>
      </c>
    </row>
    <row r="468" spans="1:68" x14ac:dyDescent="0.2">
      <c r="A468" s="54">
        <v>65050500</v>
      </c>
      <c r="B468" s="53" t="str">
        <f>VLOOKUP($A468,[1]maaltijden!$A$1:$IV$65536,4,FALSE)</f>
        <v>CARREFOUR RUNDSTONG MADEIRA PUREE 450G</v>
      </c>
      <c r="C468" s="46" t="str">
        <f>VLOOKUP($A468,[1]maaltijden!$A$1:$IV$65536,7,FALSE)</f>
        <v>C2176-1A</v>
      </c>
      <c r="D468" s="22" t="str">
        <f>VLOOKUP($A468,[1]maaltijden!$A$1:$IV$65536,10,FALSE)</f>
        <v>H29</v>
      </c>
      <c r="E468" s="22" t="str">
        <f>VLOOKUP($A468,[1]maaltijden!$A$1:$IV$65536,13,FALSE)</f>
        <v>H29x10</v>
      </c>
      <c r="F468" s="20">
        <f t="shared" si="7"/>
        <v>0</v>
      </c>
      <c r="G468" s="20" t="str">
        <f>VLOOKUP($A468,[1]maaltijden!$A$1:$IV$65536,27,FALSE)</f>
        <v>! !</v>
      </c>
      <c r="H468" s="22">
        <f>VLOOKUP($A468,[1]maaltijden!$A$1:$IV$65536,21,FALSE)</f>
        <v>10</v>
      </c>
      <c r="I468" s="22">
        <f>VLOOKUP($A468,[1]maaltijden!$A$1:$IV$65536,21,FALSE)</f>
        <v>10</v>
      </c>
      <c r="J468" s="22">
        <f>VLOOKUP($A468,[1]maaltijden!$A$1:$IV$65536,18,FALSE)</f>
        <v>2</v>
      </c>
      <c r="K468" s="22">
        <f>VLOOKUP($A468,[1]maaltijden!$A$1:$IV$65536,17,FALSE)</f>
        <v>2</v>
      </c>
      <c r="L468" s="22">
        <f>VLOOKUP($A468,[1]maaltijden!$A$1:$IV$65536,20,FALSE)</f>
        <v>3500</v>
      </c>
      <c r="M468" s="22">
        <f>VLOOKUP($A468,[1]maaltijden!$A$1:$IV$65536,22,FALSE)</f>
        <v>3500</v>
      </c>
      <c r="N468" s="135"/>
      <c r="O468" s="50"/>
      <c r="P468" s="19">
        <v>1</v>
      </c>
      <c r="Q468" s="20">
        <v>2</v>
      </c>
      <c r="R468" s="21">
        <v>0</v>
      </c>
      <c r="S468" s="19">
        <v>1</v>
      </c>
      <c r="T468" s="20">
        <v>1</v>
      </c>
      <c r="U468" s="19"/>
      <c r="V468" s="20"/>
      <c r="W468" s="20"/>
      <c r="X468" s="20"/>
      <c r="Y468" s="20"/>
      <c r="Z468" s="20"/>
      <c r="AA468" s="20"/>
      <c r="AB468" s="49"/>
      <c r="AC468" s="49"/>
      <c r="AD468" s="49"/>
      <c r="AE468" s="49"/>
      <c r="AF468" s="49"/>
      <c r="AG468" s="161">
        <v>0</v>
      </c>
      <c r="AH468" s="168">
        <v>1</v>
      </c>
      <c r="AI468" s="168">
        <v>1</v>
      </c>
      <c r="AJ468" s="20"/>
      <c r="AK468" s="20"/>
      <c r="AL468" s="21"/>
      <c r="AM468" s="19">
        <v>0</v>
      </c>
      <c r="AN468" s="20">
        <f>IFERROR(INDEX([2]lijnopstellingsfiche!$AP$1:$AP$65536,MATCH(A468,[2]lijnopstellingsfiche!$AQ$1:$AQ$65536,0)),"")</f>
        <v>8</v>
      </c>
      <c r="AO468" s="20">
        <v>0</v>
      </c>
      <c r="AP468" s="20">
        <v>0</v>
      </c>
      <c r="AQ468" s="20">
        <v>2</v>
      </c>
      <c r="AR468" s="20">
        <v>2</v>
      </c>
      <c r="AS468" s="20">
        <v>0</v>
      </c>
      <c r="AT468" s="20">
        <v>0</v>
      </c>
      <c r="AU468" s="20">
        <v>0</v>
      </c>
      <c r="AV468" s="23">
        <v>0</v>
      </c>
      <c r="AW468" s="108"/>
      <c r="AX468" s="108"/>
      <c r="AY468" s="108"/>
      <c r="AZ468" s="108"/>
      <c r="BA468" s="114"/>
      <c r="BB468" s="20"/>
      <c r="BC468" s="113"/>
      <c r="BD468" s="200" t="str">
        <f>VLOOKUP($A468,'[3]allergenen 6nr'!$A$1:$O$1310,3,FALSE)</f>
        <v>-</v>
      </c>
      <c r="BE468" s="201" t="str">
        <f>VLOOKUP($A468,'[3]allergenen 6nr'!$A$1:$O$1310,4,FALSE)</f>
        <v>+</v>
      </c>
      <c r="BF468" s="201" t="str">
        <f>VLOOKUP($A468,'[3]allergenen 6nr'!$A$1:$O$1310,5,FALSE)</f>
        <v>+</v>
      </c>
      <c r="BG468" s="201" t="str">
        <f>VLOOKUP($A468,'[3]allergenen 6nr'!$A$1:$O$1310,6,FALSE)</f>
        <v>-</v>
      </c>
      <c r="BH468" s="201" t="str">
        <f>VLOOKUP($A468,'[3]allergenen 6nr'!$A$1:$O$1310,7,FALSE)</f>
        <v>+</v>
      </c>
      <c r="BI468" s="201" t="str">
        <f>VLOOKUP($A468,'[3]allergenen 6nr'!$A$1:$O$1310,8,FALSE)</f>
        <v>X</v>
      </c>
      <c r="BJ468" s="201" t="str">
        <f>VLOOKUP($A468,'[3]allergenen 6nr'!$A$1:$O$1310,9,FALSE)</f>
        <v>-</v>
      </c>
      <c r="BK468" s="201" t="str">
        <f>VLOOKUP($A468,'[3]allergenen 6nr'!$A$1:$O$1310,10,FALSE)</f>
        <v>-</v>
      </c>
      <c r="BL468" s="201" t="str">
        <f>VLOOKUP($A468,'[3]allergenen 6nr'!$A$1:$O$1310,11,FALSE)</f>
        <v>X</v>
      </c>
      <c r="BM468" s="201" t="str">
        <f>VLOOKUP($A468,'[3]allergenen 6nr'!$A$1:$O$1310,12,FALSE)</f>
        <v>-</v>
      </c>
      <c r="BN468" s="201" t="str">
        <f>VLOOKUP($A468,'[3]allergenen 6nr'!$A$1:$O$1310,13,FALSE)</f>
        <v>-</v>
      </c>
      <c r="BO468" s="201" t="str">
        <f>VLOOKUP($A468,'[3]allergenen 6nr'!$A$1:$O$1310,14,FALSE)</f>
        <v>-</v>
      </c>
      <c r="BP468" s="202" t="str">
        <f>VLOOKUP($A468,'[3]allergenen 6nr'!$A$1:$O$1310,15,FALSE)</f>
        <v>-</v>
      </c>
    </row>
    <row r="469" spans="1:68" x14ac:dyDescent="0.2">
      <c r="A469" s="54">
        <v>65060000</v>
      </c>
      <c r="B469" s="53" t="str">
        <f>VLOOKUP($A469,[1]maaltijden!$A$1:$IV$65536,4,FALSE)</f>
        <v>ALDI BE GEHAKTBAL PROVENCAAL GEB AARDAP 450G (MIXED)</v>
      </c>
      <c r="C469" s="46" t="str">
        <f>VLOOKUP($A469,[1]maaltijden!$A$1:$IV$65536,7,FALSE)</f>
        <v>C2176-1A</v>
      </c>
      <c r="D469" s="22" t="str">
        <f>VLOOKUP($A469,[1]maaltijden!$A$1:$IV$65536,10,FALSE)</f>
        <v>H29</v>
      </c>
      <c r="E469" s="22" t="str">
        <f>VLOOKUP($A469,[1]maaltijden!$A$1:$IV$65536,13,FALSE)</f>
        <v>H29x16</v>
      </c>
      <c r="F469" s="20">
        <f t="shared" si="7"/>
        <v>0</v>
      </c>
      <c r="G469" s="20" t="str">
        <f>VLOOKUP($A469,[1]maaltijden!$A$1:$IV$65536,27,FALSE)</f>
        <v>! ! !</v>
      </c>
      <c r="H469" s="22">
        <f>VLOOKUP($A469,[1]maaltijden!$A$1:$IV$65536,21,FALSE)</f>
        <v>5</v>
      </c>
      <c r="I469" s="22">
        <f>VLOOKUP($A469,[1]maaltijden!$A$1:$IV$65536,21,FALSE)</f>
        <v>5</v>
      </c>
      <c r="J469" s="22">
        <f>VLOOKUP($A469,[1]maaltijden!$A$1:$IV$65536,18,FALSE)</f>
        <v>4</v>
      </c>
      <c r="K469" s="22">
        <f>VLOOKUP($A469,[1]maaltijden!$A$1:$IV$65536,17,FALSE)</f>
        <v>1</v>
      </c>
      <c r="L469" s="22">
        <f>VLOOKUP($A469,[1]maaltijden!$A$1:$IV$65536,20,FALSE)</f>
        <v>3200</v>
      </c>
      <c r="M469" s="22">
        <f>VLOOKUP($A469,[1]maaltijden!$A$1:$IV$65536,22,FALSE)</f>
        <v>3200</v>
      </c>
      <c r="N469" s="135"/>
      <c r="O469" s="50"/>
      <c r="P469" s="19">
        <v>1</v>
      </c>
      <c r="Q469" s="20">
        <v>2</v>
      </c>
      <c r="R469" s="21">
        <v>0</v>
      </c>
      <c r="S469" s="19">
        <v>1</v>
      </c>
      <c r="T469" s="20">
        <v>1</v>
      </c>
      <c r="U469" s="19"/>
      <c r="V469" s="20"/>
      <c r="W469" s="20"/>
      <c r="X469" s="20"/>
      <c r="Y469" s="20"/>
      <c r="Z469" s="20"/>
      <c r="AA469" s="20"/>
      <c r="AB469" s="49"/>
      <c r="AC469" s="49"/>
      <c r="AD469" s="49"/>
      <c r="AE469" s="49"/>
      <c r="AF469" s="49"/>
      <c r="AG469" s="161">
        <v>0</v>
      </c>
      <c r="AH469" s="168">
        <v>1</v>
      </c>
      <c r="AI469" s="20"/>
      <c r="AJ469" s="20"/>
      <c r="AK469" s="20"/>
      <c r="AL469" s="21"/>
      <c r="AM469" s="19">
        <v>0</v>
      </c>
      <c r="AN469" s="20" t="str">
        <f>IFERROR(INDEX([2]lijnopstellingsfiche!$AP$1:$AP$65536,MATCH(A469,[2]lijnopstellingsfiche!$AQ$1:$AQ$65536,0)),"")</f>
        <v>-</v>
      </c>
      <c r="AO469" s="20">
        <v>0</v>
      </c>
      <c r="AP469" s="20">
        <v>0</v>
      </c>
      <c r="AQ469" s="20">
        <v>2</v>
      </c>
      <c r="AR469" s="20">
        <v>0</v>
      </c>
      <c r="AS469" s="20">
        <v>1</v>
      </c>
      <c r="AT469" s="20">
        <v>0</v>
      </c>
      <c r="AU469" s="20">
        <v>0</v>
      </c>
      <c r="AV469" s="23">
        <v>0</v>
      </c>
      <c r="AW469" s="108"/>
      <c r="AX469" s="108"/>
      <c r="AY469" s="108"/>
      <c r="AZ469" s="108"/>
      <c r="BA469" s="114"/>
      <c r="BB469" s="20"/>
      <c r="BC469" s="113"/>
      <c r="BD469" s="200" t="str">
        <f>VLOOKUP($A469,'[3]allergenen 6nr'!$A$1:$O$1310,3,FALSE)</f>
        <v>-</v>
      </c>
      <c r="BE469" s="201" t="str">
        <f>VLOOKUP($A469,'[3]allergenen 6nr'!$A$1:$O$1310,4,FALSE)</f>
        <v>X</v>
      </c>
      <c r="BF469" s="201" t="str">
        <f>VLOOKUP($A469,'[3]allergenen 6nr'!$A$1:$O$1310,5,FALSE)</f>
        <v>X</v>
      </c>
      <c r="BG469" s="201" t="str">
        <f>VLOOKUP($A469,'[3]allergenen 6nr'!$A$1:$O$1310,6,FALSE)</f>
        <v>-</v>
      </c>
      <c r="BH469" s="201" t="str">
        <f>VLOOKUP($A469,'[3]allergenen 6nr'!$A$1:$O$1310,7,FALSE)</f>
        <v>X</v>
      </c>
      <c r="BI469" s="201" t="str">
        <f>VLOOKUP($A469,'[3]allergenen 6nr'!$A$1:$O$1310,8,FALSE)</f>
        <v>X</v>
      </c>
      <c r="BJ469" s="201" t="str">
        <f>VLOOKUP($A469,'[3]allergenen 6nr'!$A$1:$O$1310,9,FALSE)</f>
        <v>-</v>
      </c>
      <c r="BK469" s="201" t="str">
        <f>VLOOKUP($A469,'[3]allergenen 6nr'!$A$1:$O$1310,10,FALSE)</f>
        <v>X</v>
      </c>
      <c r="BL469" s="201" t="str">
        <f>VLOOKUP($A469,'[3]allergenen 6nr'!$A$1:$O$1310,11,FALSE)</f>
        <v>+</v>
      </c>
      <c r="BM469" s="201" t="str">
        <f>VLOOKUP($A469,'[3]allergenen 6nr'!$A$1:$O$1310,12,FALSE)</f>
        <v>-</v>
      </c>
      <c r="BN469" s="201" t="str">
        <f>VLOOKUP($A469,'[3]allergenen 6nr'!$A$1:$O$1310,13,FALSE)</f>
        <v>X</v>
      </c>
      <c r="BO469" s="201" t="str">
        <f>VLOOKUP($A469,'[3]allergenen 6nr'!$A$1:$O$1310,14,FALSE)</f>
        <v>X</v>
      </c>
      <c r="BP469" s="202" t="str">
        <f>VLOOKUP($A469,'[3]allergenen 6nr'!$A$1:$O$1310,15,FALSE)</f>
        <v>X</v>
      </c>
    </row>
    <row r="470" spans="1:68" x14ac:dyDescent="0.2">
      <c r="A470" s="54">
        <v>65060100</v>
      </c>
      <c r="B470" s="53" t="str">
        <f>VLOOKUP($A470,[1]maaltijden!$A$1:$IV$65536,4,FALSE)</f>
        <v>ALDI BE BALLETJES TOMATENSAUS BOON PUREE 450G(MIXED)</v>
      </c>
      <c r="C470" s="46" t="str">
        <f>VLOOKUP($A470,[1]maaltijden!$A$1:$IV$65536,7,FALSE)</f>
        <v>C2176-1A</v>
      </c>
      <c r="D470" s="22" t="str">
        <f>VLOOKUP($A470,[1]maaltijden!$A$1:$IV$65536,10,FALSE)</f>
        <v>H29</v>
      </c>
      <c r="E470" s="22" t="str">
        <f>VLOOKUP($A470,[1]maaltijden!$A$1:$IV$65536,13,FALSE)</f>
        <v>H29x16</v>
      </c>
      <c r="F470" s="20">
        <f t="shared" si="7"/>
        <v>0</v>
      </c>
      <c r="G470" s="20" t="str">
        <f>VLOOKUP($A470,[1]maaltijden!$A$1:$IV$65536,27,FALSE)</f>
        <v>! ! !</v>
      </c>
      <c r="H470" s="22">
        <f>VLOOKUP($A470,[1]maaltijden!$A$1:$IV$65536,21,FALSE)</f>
        <v>6</v>
      </c>
      <c r="I470" s="22">
        <f>VLOOKUP($A470,[1]maaltijden!$A$1:$IV$65536,21,FALSE)</f>
        <v>6</v>
      </c>
      <c r="J470" s="22">
        <f>VLOOKUP($A470,[1]maaltijden!$A$1:$IV$65536,18,FALSE)</f>
        <v>4</v>
      </c>
      <c r="K470" s="22">
        <f>VLOOKUP($A470,[1]maaltijden!$A$1:$IV$65536,17,FALSE)</f>
        <v>3</v>
      </c>
      <c r="L470" s="22">
        <f>VLOOKUP($A470,[1]maaltijden!$A$1:$IV$65536,20,FALSE)</f>
        <v>3200</v>
      </c>
      <c r="M470" s="22">
        <f>VLOOKUP($A470,[1]maaltijden!$A$1:$IV$65536,22,FALSE)</f>
        <v>3200</v>
      </c>
      <c r="N470" s="135"/>
      <c r="O470" s="50"/>
      <c r="P470" s="19">
        <v>1</v>
      </c>
      <c r="Q470" s="20">
        <v>2</v>
      </c>
      <c r="R470" s="21">
        <v>0</v>
      </c>
      <c r="S470" s="19">
        <v>1</v>
      </c>
      <c r="T470" s="20">
        <v>1</v>
      </c>
      <c r="U470" s="19"/>
      <c r="V470" s="20"/>
      <c r="W470" s="20"/>
      <c r="X470" s="20"/>
      <c r="Y470" s="20"/>
      <c r="Z470" s="20"/>
      <c r="AA470" s="20"/>
      <c r="AB470" s="49"/>
      <c r="AC470" s="49"/>
      <c r="AD470" s="49"/>
      <c r="AE470" s="49"/>
      <c r="AF470" s="49"/>
      <c r="AG470" s="161">
        <v>0</v>
      </c>
      <c r="AH470" s="168">
        <v>2</v>
      </c>
      <c r="AI470" s="168">
        <v>1</v>
      </c>
      <c r="AJ470" s="20"/>
      <c r="AK470" s="20"/>
      <c r="AL470" s="21"/>
      <c r="AM470" s="19">
        <v>0</v>
      </c>
      <c r="AN470" s="20">
        <f>IFERROR(INDEX([2]lijnopstellingsfiche!$AP$1:$AP$65536,MATCH(A470,[2]lijnopstellingsfiche!$AQ$1:$AQ$65536,0)),"")</f>
        <v>2</v>
      </c>
      <c r="AO470" s="20">
        <v>0</v>
      </c>
      <c r="AP470" s="20">
        <v>0</v>
      </c>
      <c r="AQ470" s="20">
        <v>2</v>
      </c>
      <c r="AR470" s="20">
        <v>2</v>
      </c>
      <c r="AS470" s="20">
        <v>1</v>
      </c>
      <c r="AT470" s="20">
        <v>0</v>
      </c>
      <c r="AU470" s="20">
        <v>0</v>
      </c>
      <c r="AV470" s="23">
        <v>0</v>
      </c>
      <c r="AW470" s="108"/>
      <c r="AX470" s="108"/>
      <c r="AY470" s="108"/>
      <c r="AZ470" s="108"/>
      <c r="BA470" s="114"/>
      <c r="BB470" s="20"/>
      <c r="BC470" s="113"/>
      <c r="BD470" s="200" t="str">
        <f>VLOOKUP($A470,'[3]allergenen 6nr'!$A$1:$O$1310,3,FALSE)</f>
        <v>-</v>
      </c>
      <c r="BE470" s="201" t="str">
        <f>VLOOKUP($A470,'[3]allergenen 6nr'!$A$1:$O$1310,4,FALSE)</f>
        <v>+</v>
      </c>
      <c r="BF470" s="201" t="str">
        <f>VLOOKUP($A470,'[3]allergenen 6nr'!$A$1:$O$1310,5,FALSE)</f>
        <v>+</v>
      </c>
      <c r="BG470" s="201" t="str">
        <f>VLOOKUP($A470,'[3]allergenen 6nr'!$A$1:$O$1310,6,FALSE)</f>
        <v>X</v>
      </c>
      <c r="BH470" s="201" t="str">
        <f>VLOOKUP($A470,'[3]allergenen 6nr'!$A$1:$O$1310,7,FALSE)</f>
        <v>+</v>
      </c>
      <c r="BI470" s="201" t="str">
        <f>VLOOKUP($A470,'[3]allergenen 6nr'!$A$1:$O$1310,8,FALSE)</f>
        <v>X</v>
      </c>
      <c r="BJ470" s="201" t="str">
        <f>VLOOKUP($A470,'[3]allergenen 6nr'!$A$1:$O$1310,9,FALSE)</f>
        <v>X</v>
      </c>
      <c r="BK470" s="201" t="str">
        <f>VLOOKUP($A470,'[3]allergenen 6nr'!$A$1:$O$1310,10,FALSE)</f>
        <v>X</v>
      </c>
      <c r="BL470" s="201" t="str">
        <f>VLOOKUP($A470,'[3]allergenen 6nr'!$A$1:$O$1310,11,FALSE)</f>
        <v>+</v>
      </c>
      <c r="BM470" s="201" t="str">
        <f>VLOOKUP($A470,'[3]allergenen 6nr'!$A$1:$O$1310,12,FALSE)</f>
        <v>-</v>
      </c>
      <c r="BN470" s="201" t="str">
        <f>VLOOKUP($A470,'[3]allergenen 6nr'!$A$1:$O$1310,13,FALSE)</f>
        <v>X</v>
      </c>
      <c r="BO470" s="201" t="str">
        <f>VLOOKUP($A470,'[3]allergenen 6nr'!$A$1:$O$1310,14,FALSE)</f>
        <v>X</v>
      </c>
      <c r="BP470" s="202" t="str">
        <f>VLOOKUP($A470,'[3]allergenen 6nr'!$A$1:$O$1310,15,FALSE)</f>
        <v>X</v>
      </c>
    </row>
    <row r="471" spans="1:68" x14ac:dyDescent="0.2">
      <c r="A471" s="54">
        <v>65060200</v>
      </c>
      <c r="B471" s="53" t="str">
        <f>VLOOKUP($A471,[1]maaltijden!$A$1:$IV$65536,4,FALSE)</f>
        <v>ALDI BE BLINDE VINK ERWT WORTEL PUREE 450G (MIXED)</v>
      </c>
      <c r="C471" s="46" t="str">
        <f>VLOOKUP($A471,[1]maaltijden!$A$1:$IV$65536,7,FALSE)</f>
        <v>C2176-1A</v>
      </c>
      <c r="D471" s="22" t="str">
        <f>VLOOKUP($A471,[1]maaltijden!$A$1:$IV$65536,10,FALSE)</f>
        <v>H29</v>
      </c>
      <c r="E471" s="22" t="str">
        <f>VLOOKUP($A471,[1]maaltijden!$A$1:$IV$65536,13,FALSE)</f>
        <v>H29x16</v>
      </c>
      <c r="F471" s="20">
        <f t="shared" si="7"/>
        <v>0</v>
      </c>
      <c r="G471" s="20" t="str">
        <f>VLOOKUP($A471,[1]maaltijden!$A$1:$IV$65536,27,FALSE)</f>
        <v>! !</v>
      </c>
      <c r="H471" s="22">
        <f>VLOOKUP($A471,[1]maaltijden!$A$1:$IV$65536,21,FALSE)</f>
        <v>7</v>
      </c>
      <c r="I471" s="22">
        <f>VLOOKUP($A471,[1]maaltijden!$A$1:$IV$65536,21,FALSE)</f>
        <v>7</v>
      </c>
      <c r="J471" s="22">
        <f>VLOOKUP($A471,[1]maaltijden!$A$1:$IV$65536,18,FALSE)</f>
        <v>4</v>
      </c>
      <c r="K471" s="22">
        <f>VLOOKUP($A471,[1]maaltijden!$A$1:$IV$65536,17,FALSE)</f>
        <v>3</v>
      </c>
      <c r="L471" s="22">
        <f>VLOOKUP($A471,[1]maaltijden!$A$1:$IV$65536,20,FALSE)</f>
        <v>3200</v>
      </c>
      <c r="M471" s="22">
        <f>VLOOKUP($A471,[1]maaltijden!$A$1:$IV$65536,22,FALSE)</f>
        <v>3200</v>
      </c>
      <c r="N471" s="135"/>
      <c r="O471" s="50"/>
      <c r="P471" s="19">
        <v>1</v>
      </c>
      <c r="Q471" s="20">
        <v>2</v>
      </c>
      <c r="R471" s="21">
        <v>0</v>
      </c>
      <c r="S471" s="19">
        <v>1</v>
      </c>
      <c r="T471" s="20">
        <v>1</v>
      </c>
      <c r="U471" s="19"/>
      <c r="V471" s="20"/>
      <c r="W471" s="20"/>
      <c r="X471" s="20"/>
      <c r="Y471" s="20"/>
      <c r="Z471" s="20"/>
      <c r="AA471" s="20"/>
      <c r="AB471" s="49"/>
      <c r="AC471" s="49"/>
      <c r="AD471" s="49"/>
      <c r="AE471" s="49"/>
      <c r="AF471" s="49"/>
      <c r="AG471" s="161">
        <v>0</v>
      </c>
      <c r="AH471" s="168">
        <v>2</v>
      </c>
      <c r="AI471" s="168">
        <v>1</v>
      </c>
      <c r="AJ471" s="20"/>
      <c r="AK471" s="20"/>
      <c r="AL471" s="21"/>
      <c r="AM471" s="19">
        <v>0</v>
      </c>
      <c r="AN471" s="20">
        <f>IFERROR(INDEX([2]lijnopstellingsfiche!$AP$1:$AP$65536,MATCH(A471,[2]lijnopstellingsfiche!$AQ$1:$AQ$65536,0)),"")</f>
        <v>1</v>
      </c>
      <c r="AO471" s="20">
        <v>0</v>
      </c>
      <c r="AP471" s="20">
        <v>0</v>
      </c>
      <c r="AQ471" s="20">
        <v>2</v>
      </c>
      <c r="AR471" s="20">
        <v>2</v>
      </c>
      <c r="AS471" s="20">
        <v>0</v>
      </c>
      <c r="AT471" s="20">
        <v>0</v>
      </c>
      <c r="AU471" s="20">
        <v>0</v>
      </c>
      <c r="AV471" s="23">
        <v>0</v>
      </c>
      <c r="AW471" s="108"/>
      <c r="AX471" s="108"/>
      <c r="AY471" s="108"/>
      <c r="AZ471" s="108"/>
      <c r="BA471" s="114"/>
      <c r="BB471" s="20"/>
      <c r="BC471" s="113"/>
      <c r="BD471" s="200" t="str">
        <f>VLOOKUP($A471,'[3]allergenen 6nr'!$A$1:$O$1310,3,FALSE)</f>
        <v>-</v>
      </c>
      <c r="BE471" s="201" t="str">
        <f>VLOOKUP($A471,'[3]allergenen 6nr'!$A$1:$O$1310,4,FALSE)</f>
        <v>+</v>
      </c>
      <c r="BF471" s="201" t="str">
        <f>VLOOKUP($A471,'[3]allergenen 6nr'!$A$1:$O$1310,5,FALSE)</f>
        <v>+</v>
      </c>
      <c r="BG471" s="201" t="str">
        <f>VLOOKUP($A471,'[3]allergenen 6nr'!$A$1:$O$1310,6,FALSE)</f>
        <v>X</v>
      </c>
      <c r="BH471" s="201" t="str">
        <f>VLOOKUP($A471,'[3]allergenen 6nr'!$A$1:$O$1310,7,FALSE)</f>
        <v>+</v>
      </c>
      <c r="BI471" s="201" t="str">
        <f>VLOOKUP($A471,'[3]allergenen 6nr'!$A$1:$O$1310,8,FALSE)</f>
        <v>X</v>
      </c>
      <c r="BJ471" s="201" t="str">
        <f>VLOOKUP($A471,'[3]allergenen 6nr'!$A$1:$O$1310,9,FALSE)</f>
        <v>-</v>
      </c>
      <c r="BK471" s="201" t="str">
        <f>VLOOKUP($A471,'[3]allergenen 6nr'!$A$1:$O$1310,10,FALSE)</f>
        <v>-</v>
      </c>
      <c r="BL471" s="201" t="str">
        <f>VLOOKUP($A471,'[3]allergenen 6nr'!$A$1:$O$1310,11,FALSE)</f>
        <v>X</v>
      </c>
      <c r="BM471" s="201" t="str">
        <f>VLOOKUP($A471,'[3]allergenen 6nr'!$A$1:$O$1310,12,FALSE)</f>
        <v>-</v>
      </c>
      <c r="BN471" s="201" t="str">
        <f>VLOOKUP($A471,'[3]allergenen 6nr'!$A$1:$O$1310,13,FALSE)</f>
        <v>X</v>
      </c>
      <c r="BO471" s="201" t="str">
        <f>VLOOKUP($A471,'[3]allergenen 6nr'!$A$1:$O$1310,14,FALSE)</f>
        <v>-</v>
      </c>
      <c r="BP471" s="202" t="str">
        <f>VLOOKUP($A471,'[3]allergenen 6nr'!$A$1:$O$1310,15,FALSE)</f>
        <v>-</v>
      </c>
    </row>
    <row r="472" spans="1:68" x14ac:dyDescent="0.2">
      <c r="A472" s="54">
        <v>65060300</v>
      </c>
      <c r="B472" s="53" t="str">
        <f>VLOOKUP($A472,[1]maaltijden!$A$1:$IV$65536,4,FALSE)</f>
        <v>ALDI BE BOERENBRAADWORST AJUIN STAMPPOT 450G (MIXED)</v>
      </c>
      <c r="C472" s="46" t="str">
        <f>VLOOKUP($A472,[1]maaltijden!$A$1:$IV$65536,7,FALSE)</f>
        <v>C2176-1A</v>
      </c>
      <c r="D472" s="22" t="str">
        <f>VLOOKUP($A472,[1]maaltijden!$A$1:$IV$65536,10,FALSE)</f>
        <v>H29</v>
      </c>
      <c r="E472" s="22" t="str">
        <f>VLOOKUP($A472,[1]maaltijden!$A$1:$IV$65536,13,FALSE)</f>
        <v>H29x16</v>
      </c>
      <c r="F472" s="20">
        <f t="shared" si="7"/>
        <v>0</v>
      </c>
      <c r="G472" s="20" t="str">
        <f>VLOOKUP($A472,[1]maaltijden!$A$1:$IV$65536,27,FALSE)</f>
        <v>! ! !</v>
      </c>
      <c r="H472" s="22">
        <f>VLOOKUP($A472,[1]maaltijden!$A$1:$IV$65536,21,FALSE)</f>
        <v>4</v>
      </c>
      <c r="I472" s="22">
        <f>VLOOKUP($A472,[1]maaltijden!$A$1:$IV$65536,21,FALSE)</f>
        <v>4</v>
      </c>
      <c r="J472" s="22">
        <f>VLOOKUP($A472,[1]maaltijden!$A$1:$IV$65536,18,FALSE)</f>
        <v>4</v>
      </c>
      <c r="K472" s="22">
        <f>VLOOKUP($A472,[1]maaltijden!$A$1:$IV$65536,17,FALSE)</f>
        <v>3</v>
      </c>
      <c r="L472" s="22">
        <f>VLOOKUP($A472,[1]maaltijden!$A$1:$IV$65536,20,FALSE)</f>
        <v>3200</v>
      </c>
      <c r="M472" s="22">
        <f>VLOOKUP($A472,[1]maaltijden!$A$1:$IV$65536,22,FALSE)</f>
        <v>3200</v>
      </c>
      <c r="N472" s="135"/>
      <c r="O472" s="50"/>
      <c r="P472" s="19">
        <v>1</v>
      </c>
      <c r="Q472" s="20">
        <v>2</v>
      </c>
      <c r="R472" s="21">
        <v>0</v>
      </c>
      <c r="S472" s="19">
        <v>1</v>
      </c>
      <c r="T472" s="20">
        <v>1</v>
      </c>
      <c r="U472" s="19"/>
      <c r="V472" s="20"/>
      <c r="W472" s="20"/>
      <c r="X472" s="20"/>
      <c r="Y472" s="20"/>
      <c r="Z472" s="20"/>
      <c r="AA472" s="20"/>
      <c r="AB472" s="49"/>
      <c r="AC472" s="49"/>
      <c r="AD472" s="49"/>
      <c r="AE472" s="49"/>
      <c r="AF472" s="49"/>
      <c r="AG472" s="161">
        <v>0</v>
      </c>
      <c r="AH472" s="168">
        <v>1</v>
      </c>
      <c r="AI472" s="168">
        <v>1</v>
      </c>
      <c r="AJ472" s="20"/>
      <c r="AK472" s="20"/>
      <c r="AL472" s="21"/>
      <c r="AM472" s="19">
        <v>0</v>
      </c>
      <c r="AN472" s="20" t="str">
        <f>IFERROR(INDEX([2]lijnopstellingsfiche!$AP$1:$AP$65536,MATCH(A472,[2]lijnopstellingsfiche!$AQ$1:$AQ$65536,0)),"")</f>
        <v>-</v>
      </c>
      <c r="AO472" s="20">
        <v>0</v>
      </c>
      <c r="AP472" s="20">
        <v>0</v>
      </c>
      <c r="AQ472" s="20">
        <v>2</v>
      </c>
      <c r="AR472" s="20">
        <v>2</v>
      </c>
      <c r="AS472" s="20">
        <v>0</v>
      </c>
      <c r="AT472" s="20">
        <v>0</v>
      </c>
      <c r="AU472" s="20">
        <v>0</v>
      </c>
      <c r="AV472" s="23">
        <v>0</v>
      </c>
      <c r="AW472" s="108"/>
      <c r="AX472" s="108"/>
      <c r="AY472" s="108"/>
      <c r="AZ472" s="108"/>
      <c r="BA472" s="114"/>
      <c r="BB472" s="20"/>
      <c r="BC472" s="113"/>
      <c r="BD472" s="200" t="str">
        <f>VLOOKUP($A472,'[3]allergenen 6nr'!$A$1:$O$1310,3,FALSE)</f>
        <v>-</v>
      </c>
      <c r="BE472" s="201" t="str">
        <f>VLOOKUP($A472,'[3]allergenen 6nr'!$A$1:$O$1310,4,FALSE)</f>
        <v>+</v>
      </c>
      <c r="BF472" s="201" t="str">
        <f>VLOOKUP($A472,'[3]allergenen 6nr'!$A$1:$O$1310,5,FALSE)</f>
        <v>+</v>
      </c>
      <c r="BG472" s="201" t="str">
        <f>VLOOKUP($A472,'[3]allergenen 6nr'!$A$1:$O$1310,6,FALSE)</f>
        <v>X</v>
      </c>
      <c r="BH472" s="201" t="str">
        <f>VLOOKUP($A472,'[3]allergenen 6nr'!$A$1:$O$1310,7,FALSE)</f>
        <v>+</v>
      </c>
      <c r="BI472" s="201" t="str">
        <f>VLOOKUP($A472,'[3]allergenen 6nr'!$A$1:$O$1310,8,FALSE)</f>
        <v>+</v>
      </c>
      <c r="BJ472" s="201" t="str">
        <f>VLOOKUP($A472,'[3]allergenen 6nr'!$A$1:$O$1310,9,FALSE)</f>
        <v>-</v>
      </c>
      <c r="BK472" s="201" t="str">
        <f>VLOOKUP($A472,'[3]allergenen 6nr'!$A$1:$O$1310,10,FALSE)</f>
        <v>-</v>
      </c>
      <c r="BL472" s="201" t="str">
        <f>VLOOKUP($A472,'[3]allergenen 6nr'!$A$1:$O$1310,11,FALSE)</f>
        <v>+</v>
      </c>
      <c r="BM472" s="201" t="str">
        <f>VLOOKUP($A472,'[3]allergenen 6nr'!$A$1:$O$1310,12,FALSE)</f>
        <v>-</v>
      </c>
      <c r="BN472" s="201" t="str">
        <f>VLOOKUP($A472,'[3]allergenen 6nr'!$A$1:$O$1310,13,FALSE)</f>
        <v>X</v>
      </c>
      <c r="BO472" s="201" t="str">
        <f>VLOOKUP($A472,'[3]allergenen 6nr'!$A$1:$O$1310,14,FALSE)</f>
        <v>-</v>
      </c>
      <c r="BP472" s="202" t="str">
        <f>VLOOKUP($A472,'[3]allergenen 6nr'!$A$1:$O$1310,15,FALSE)</f>
        <v>-</v>
      </c>
    </row>
    <row r="473" spans="1:68" x14ac:dyDescent="0.2">
      <c r="A473" s="54">
        <v>65060400</v>
      </c>
      <c r="B473" s="53" t="str">
        <f>VLOOKUP($A473,[1]maaltijden!$A$1:$IV$65536,4,FALSE)</f>
        <v>ALDI BE HAMBURGER SPINAZIEPUREE JUS 450G (MIXED)</v>
      </c>
      <c r="C473" s="46" t="str">
        <f>VLOOKUP($A473,[1]maaltijden!$A$1:$IV$65536,7,FALSE)</f>
        <v>C2176-1A</v>
      </c>
      <c r="D473" s="22" t="str">
        <f>VLOOKUP($A473,[1]maaltijden!$A$1:$IV$65536,10,FALSE)</f>
        <v>H29</v>
      </c>
      <c r="E473" s="22" t="str">
        <f>VLOOKUP($A473,[1]maaltijden!$A$1:$IV$65536,13,FALSE)</f>
        <v>H29x16</v>
      </c>
      <c r="F473" s="20">
        <f t="shared" si="7"/>
        <v>0</v>
      </c>
      <c r="G473" s="20" t="str">
        <f>VLOOKUP($A473,[1]maaltijden!$A$1:$IV$65536,27,FALSE)</f>
        <v>! ! !</v>
      </c>
      <c r="H473" s="22">
        <f>VLOOKUP($A473,[1]maaltijden!$A$1:$IV$65536,21,FALSE)</f>
        <v>4</v>
      </c>
      <c r="I473" s="22">
        <f>VLOOKUP($A473,[1]maaltijden!$A$1:$IV$65536,21,FALSE)</f>
        <v>4</v>
      </c>
      <c r="J473" s="22">
        <f>VLOOKUP($A473,[1]maaltijden!$A$1:$IV$65536,18,FALSE)</f>
        <v>4</v>
      </c>
      <c r="K473" s="22">
        <f>VLOOKUP($A473,[1]maaltijden!$A$1:$IV$65536,17,FALSE)</f>
        <v>2</v>
      </c>
      <c r="L473" s="22">
        <f>VLOOKUP($A473,[1]maaltijden!$A$1:$IV$65536,20,FALSE)</f>
        <v>3200</v>
      </c>
      <c r="M473" s="22">
        <f>VLOOKUP($A473,[1]maaltijden!$A$1:$IV$65536,22,FALSE)</f>
        <v>3200</v>
      </c>
      <c r="N473" s="135"/>
      <c r="O473" s="50"/>
      <c r="P473" s="19">
        <v>1</v>
      </c>
      <c r="Q473" s="20">
        <v>2</v>
      </c>
      <c r="R473" s="21">
        <v>0</v>
      </c>
      <c r="S473" s="19">
        <v>1</v>
      </c>
      <c r="T473" s="20">
        <v>1</v>
      </c>
      <c r="U473" s="19"/>
      <c r="V473" s="20"/>
      <c r="W473" s="20"/>
      <c r="X473" s="20"/>
      <c r="Y473" s="20"/>
      <c r="Z473" s="20"/>
      <c r="AA473" s="20"/>
      <c r="AB473" s="49"/>
      <c r="AC473" s="49"/>
      <c r="AD473" s="49"/>
      <c r="AE473" s="49"/>
      <c r="AF473" s="49"/>
      <c r="AG473" s="161">
        <v>0</v>
      </c>
      <c r="AH473" s="168">
        <v>2</v>
      </c>
      <c r="AI473" s="20"/>
      <c r="AJ473" s="20"/>
      <c r="AK473" s="20"/>
      <c r="AL473" s="21"/>
      <c r="AM473" s="19">
        <v>0</v>
      </c>
      <c r="AN473" s="20" t="str">
        <f>IFERROR(INDEX([2]lijnopstellingsfiche!$AP$1:$AP$65536,MATCH(A473,[2]lijnopstellingsfiche!$AQ$1:$AQ$65536,0)),"")</f>
        <v>-</v>
      </c>
      <c r="AO473" s="20">
        <v>0</v>
      </c>
      <c r="AP473" s="20">
        <v>0</v>
      </c>
      <c r="AQ473" s="20">
        <v>2</v>
      </c>
      <c r="AR473" s="20">
        <v>2</v>
      </c>
      <c r="AS473" s="20">
        <v>0</v>
      </c>
      <c r="AT473" s="20">
        <v>0</v>
      </c>
      <c r="AU473" s="20">
        <v>0</v>
      </c>
      <c r="AV473" s="23">
        <v>0</v>
      </c>
      <c r="AW473" s="108"/>
      <c r="AX473" s="108"/>
      <c r="AY473" s="108"/>
      <c r="AZ473" s="108"/>
      <c r="BA473" s="114"/>
      <c r="BB473" s="20"/>
      <c r="BC473" s="113"/>
      <c r="BD473" s="200" t="str">
        <f>VLOOKUP($A473,'[3]allergenen 6nr'!$A$1:$O$1310,3,FALSE)</f>
        <v>-</v>
      </c>
      <c r="BE473" s="201" t="str">
        <f>VLOOKUP($A473,'[3]allergenen 6nr'!$A$1:$O$1310,4,FALSE)</f>
        <v>X</v>
      </c>
      <c r="BF473" s="201" t="str">
        <f>VLOOKUP($A473,'[3]allergenen 6nr'!$A$1:$O$1310,5,FALSE)</f>
        <v>+</v>
      </c>
      <c r="BG473" s="201" t="str">
        <f>VLOOKUP($A473,'[3]allergenen 6nr'!$A$1:$O$1310,6,FALSE)</f>
        <v>X</v>
      </c>
      <c r="BH473" s="201" t="str">
        <f>VLOOKUP($A473,'[3]allergenen 6nr'!$A$1:$O$1310,7,FALSE)</f>
        <v>+</v>
      </c>
      <c r="BI473" s="201" t="str">
        <f>VLOOKUP($A473,'[3]allergenen 6nr'!$A$1:$O$1310,8,FALSE)</f>
        <v>X</v>
      </c>
      <c r="BJ473" s="201" t="str">
        <f>VLOOKUP($A473,'[3]allergenen 6nr'!$A$1:$O$1310,9,FALSE)</f>
        <v>-</v>
      </c>
      <c r="BK473" s="201" t="str">
        <f>VLOOKUP($A473,'[3]allergenen 6nr'!$A$1:$O$1310,10,FALSE)</f>
        <v>X</v>
      </c>
      <c r="BL473" s="201" t="str">
        <f>VLOOKUP($A473,'[3]allergenen 6nr'!$A$1:$O$1310,11,FALSE)</f>
        <v>+</v>
      </c>
      <c r="BM473" s="201" t="str">
        <f>VLOOKUP($A473,'[3]allergenen 6nr'!$A$1:$O$1310,12,FALSE)</f>
        <v>-</v>
      </c>
      <c r="BN473" s="201" t="str">
        <f>VLOOKUP($A473,'[3]allergenen 6nr'!$A$1:$O$1310,13,FALSE)</f>
        <v>X</v>
      </c>
      <c r="BO473" s="201" t="str">
        <f>VLOOKUP($A473,'[3]allergenen 6nr'!$A$1:$O$1310,14,FALSE)</f>
        <v>X</v>
      </c>
      <c r="BP473" s="202" t="str">
        <f>VLOOKUP($A473,'[3]allergenen 6nr'!$A$1:$O$1310,15,FALSE)</f>
        <v>X</v>
      </c>
    </row>
    <row r="474" spans="1:68" x14ac:dyDescent="0.2">
      <c r="A474" s="54">
        <v>65062000</v>
      </c>
      <c r="B474" s="53" t="str">
        <f>VLOOKUP($A474,[1]maaltijden!$A$1:$IV$65536,4,FALSE)</f>
        <v>ALDI BE EW ZALM ASC PICKELS RIJSTMIX 425G (MIXED)</v>
      </c>
      <c r="C474" s="46" t="str">
        <f>VLOOKUP($A474,[1]maaltijden!$A$1:$IV$65536,7,FALSE)</f>
        <v>C2176-1A</v>
      </c>
      <c r="D474" s="22" t="str">
        <f>VLOOKUP($A474,[1]maaltijden!$A$1:$IV$65536,10,FALSE)</f>
        <v>H29</v>
      </c>
      <c r="E474" s="22" t="str">
        <f>VLOOKUP($A474,[1]maaltijden!$A$1:$IV$65536,13,FALSE)</f>
        <v>H29x16</v>
      </c>
      <c r="F474" s="20">
        <f t="shared" si="7"/>
        <v>0</v>
      </c>
      <c r="G474" s="20" t="str">
        <f>VLOOKUP($A474,[1]maaltijden!$A$1:$IV$65536,27,FALSE)</f>
        <v>! ! ! !</v>
      </c>
      <c r="H474" s="22">
        <f>VLOOKUP($A474,[1]maaltijden!$A$1:$IV$65536,21,FALSE)</f>
        <v>6</v>
      </c>
      <c r="I474" s="22">
        <f>VLOOKUP($A474,[1]maaltijden!$A$1:$IV$65536,21,FALSE)</f>
        <v>6</v>
      </c>
      <c r="J474" s="22">
        <f>VLOOKUP($A474,[1]maaltijden!$A$1:$IV$65536,18,FALSE)</f>
        <v>4</v>
      </c>
      <c r="K474" s="22">
        <f>VLOOKUP($A474,[1]maaltijden!$A$1:$IV$65536,17,FALSE)</f>
        <v>2</v>
      </c>
      <c r="L474" s="22">
        <f>VLOOKUP($A474,[1]maaltijden!$A$1:$IV$65536,20,FALSE)</f>
        <v>2500</v>
      </c>
      <c r="M474" s="22">
        <f>VLOOKUP($A474,[1]maaltijden!$A$1:$IV$65536,22,FALSE)</f>
        <v>2500</v>
      </c>
      <c r="N474" s="135"/>
      <c r="O474" s="50"/>
      <c r="P474" s="19">
        <v>1</v>
      </c>
      <c r="Q474" s="20">
        <v>2</v>
      </c>
      <c r="R474" s="21">
        <v>0</v>
      </c>
      <c r="S474" s="19">
        <v>1</v>
      </c>
      <c r="T474" s="20">
        <v>1</v>
      </c>
      <c r="U474" s="19"/>
      <c r="V474" s="20"/>
      <c r="W474" s="20"/>
      <c r="X474" s="20"/>
      <c r="Y474" s="20"/>
      <c r="Z474" s="20"/>
      <c r="AA474" s="20"/>
      <c r="AB474" s="49"/>
      <c r="AC474" s="49"/>
      <c r="AD474" s="49"/>
      <c r="AE474" s="49"/>
      <c r="AF474" s="49"/>
      <c r="AG474" s="161">
        <v>1</v>
      </c>
      <c r="AH474" s="168">
        <v>1</v>
      </c>
      <c r="AI474" s="20"/>
      <c r="AJ474" s="168">
        <v>1</v>
      </c>
      <c r="AK474" s="20"/>
      <c r="AL474" s="21"/>
      <c r="AM474" s="19">
        <v>1</v>
      </c>
      <c r="AN474" s="20">
        <f>IFERROR(INDEX([2]lijnopstellingsfiche!$AP$1:$AP$65536,MATCH(A474,[2]lijnopstellingsfiche!$AQ$1:$AQ$65536,0)),"")</f>
        <v>1</v>
      </c>
      <c r="AO474" s="20">
        <v>0</v>
      </c>
      <c r="AP474" s="20">
        <v>0</v>
      </c>
      <c r="AQ474" s="20">
        <v>2</v>
      </c>
      <c r="AR474" s="20">
        <v>0</v>
      </c>
      <c r="AS474" s="20">
        <v>1</v>
      </c>
      <c r="AT474" s="20">
        <v>0</v>
      </c>
      <c r="AU474" s="20">
        <v>0</v>
      </c>
      <c r="AV474" s="23">
        <v>0</v>
      </c>
      <c r="AW474" s="108"/>
      <c r="AX474" s="108"/>
      <c r="AY474" s="108"/>
      <c r="AZ474" s="108"/>
      <c r="BA474" s="114"/>
      <c r="BB474" s="20"/>
      <c r="BC474" s="113"/>
      <c r="BD474" s="200" t="str">
        <f>VLOOKUP($A474,'[3]allergenen 6nr'!$A$1:$O$1310,3,FALSE)</f>
        <v>-</v>
      </c>
      <c r="BE474" s="201" t="str">
        <f>VLOOKUP($A474,'[3]allergenen 6nr'!$A$1:$O$1310,4,FALSE)</f>
        <v>-</v>
      </c>
      <c r="BF474" s="201" t="str">
        <f>VLOOKUP($A474,'[3]allergenen 6nr'!$A$1:$O$1310,5,FALSE)</f>
        <v>-</v>
      </c>
      <c r="BG474" s="201" t="str">
        <f>VLOOKUP($A474,'[3]allergenen 6nr'!$A$1:$O$1310,6,FALSE)</f>
        <v>-</v>
      </c>
      <c r="BH474" s="201" t="str">
        <f>VLOOKUP($A474,'[3]allergenen 6nr'!$A$1:$O$1310,7,FALSE)</f>
        <v>+</v>
      </c>
      <c r="BI474" s="201" t="str">
        <f>VLOOKUP($A474,'[3]allergenen 6nr'!$A$1:$O$1310,8,FALSE)</f>
        <v>+</v>
      </c>
      <c r="BJ474" s="201" t="str">
        <f>VLOOKUP($A474,'[3]allergenen 6nr'!$A$1:$O$1310,9,FALSE)</f>
        <v>-</v>
      </c>
      <c r="BK474" s="201" t="str">
        <f>VLOOKUP($A474,'[3]allergenen 6nr'!$A$1:$O$1310,10,FALSE)</f>
        <v>-</v>
      </c>
      <c r="BL474" s="201" t="str">
        <f>VLOOKUP($A474,'[3]allergenen 6nr'!$A$1:$O$1310,11,FALSE)</f>
        <v>+</v>
      </c>
      <c r="BM474" s="201" t="str">
        <f>VLOOKUP($A474,'[3]allergenen 6nr'!$A$1:$O$1310,12,FALSE)</f>
        <v>-</v>
      </c>
      <c r="BN474" s="201" t="str">
        <f>VLOOKUP($A474,'[3]allergenen 6nr'!$A$1:$O$1310,13,FALSE)</f>
        <v>+</v>
      </c>
      <c r="BO474" s="201" t="str">
        <f>VLOOKUP($A474,'[3]allergenen 6nr'!$A$1:$O$1310,14,FALSE)</f>
        <v>+</v>
      </c>
      <c r="BP474" s="202" t="str">
        <f>VLOOKUP($A474,'[3]allergenen 6nr'!$A$1:$O$1310,15,FALSE)</f>
        <v>-</v>
      </c>
    </row>
    <row r="475" spans="1:68" x14ac:dyDescent="0.2">
      <c r="A475" s="54">
        <v>65062100</v>
      </c>
      <c r="B475" s="53" t="str">
        <f>VLOOKUP($A475,[1]maaltijden!$A$1:$IV$65536,4,FALSE)</f>
        <v>ALDI BE EW KIP BLOEMKOOLRIJST GROENTEN CURRY425G(MIXED)</v>
      </c>
      <c r="C475" s="46" t="str">
        <f>VLOOKUP($A475,[1]maaltijden!$A$1:$IV$65536,7,FALSE)</f>
        <v>C2176-1A</v>
      </c>
      <c r="D475" s="22" t="str">
        <f>VLOOKUP($A475,[1]maaltijden!$A$1:$IV$65536,10,FALSE)</f>
        <v>H29</v>
      </c>
      <c r="E475" s="22" t="str">
        <f>VLOOKUP($A475,[1]maaltijden!$A$1:$IV$65536,13,FALSE)</f>
        <v>H29x16</v>
      </c>
      <c r="F475" s="20">
        <f t="shared" si="7"/>
        <v>0</v>
      </c>
      <c r="G475" s="20" t="str">
        <f>VLOOKUP($A475,[1]maaltijden!$A$1:$IV$65536,27,FALSE)</f>
        <v>! ! !</v>
      </c>
      <c r="H475" s="22">
        <f>VLOOKUP($A475,[1]maaltijden!$A$1:$IV$65536,21,FALSE)</f>
        <v>5</v>
      </c>
      <c r="I475" s="22">
        <f>VLOOKUP($A475,[1]maaltijden!$A$1:$IV$65536,21,FALSE)</f>
        <v>5</v>
      </c>
      <c r="J475" s="22">
        <f>VLOOKUP($A475,[1]maaltijden!$A$1:$IV$65536,18,FALSE)</f>
        <v>4</v>
      </c>
      <c r="K475" s="22">
        <f>VLOOKUP($A475,[1]maaltijden!$A$1:$IV$65536,17,FALSE)</f>
        <v>2</v>
      </c>
      <c r="L475" s="22">
        <f>VLOOKUP($A475,[1]maaltijden!$A$1:$IV$65536,20,FALSE)</f>
        <v>2500</v>
      </c>
      <c r="M475" s="22">
        <f>VLOOKUP($A475,[1]maaltijden!$A$1:$IV$65536,22,FALSE)</f>
        <v>2500</v>
      </c>
      <c r="N475" s="135"/>
      <c r="O475" s="50"/>
      <c r="P475" s="19">
        <v>1</v>
      </c>
      <c r="Q475" s="20">
        <v>2</v>
      </c>
      <c r="R475" s="21">
        <v>0</v>
      </c>
      <c r="S475" s="19">
        <v>1</v>
      </c>
      <c r="T475" s="20">
        <v>1</v>
      </c>
      <c r="U475" s="19"/>
      <c r="V475" s="20"/>
      <c r="W475" s="20"/>
      <c r="X475" s="20"/>
      <c r="Y475" s="20"/>
      <c r="Z475" s="20"/>
      <c r="AA475" s="20"/>
      <c r="AB475" s="49"/>
      <c r="AC475" s="49"/>
      <c r="AD475" s="49"/>
      <c r="AE475" s="49"/>
      <c r="AF475" s="49"/>
      <c r="AG475" s="161">
        <v>0</v>
      </c>
      <c r="AH475" s="168">
        <v>1</v>
      </c>
      <c r="AI475" s="168">
        <v>1</v>
      </c>
      <c r="AJ475" s="20"/>
      <c r="AK475" s="20"/>
      <c r="AL475" s="21"/>
      <c r="AM475" s="19">
        <v>1</v>
      </c>
      <c r="AN475" s="20">
        <f>IFERROR(INDEX([2]lijnopstellingsfiche!$AP$1:$AP$65536,MATCH(A475,[2]lijnopstellingsfiche!$AQ$1:$AQ$65536,0)),"")</f>
        <v>1</v>
      </c>
      <c r="AO475" s="20">
        <v>0</v>
      </c>
      <c r="AP475" s="20">
        <v>0</v>
      </c>
      <c r="AQ475" s="20">
        <v>2</v>
      </c>
      <c r="AR475" s="20">
        <v>0</v>
      </c>
      <c r="AS475" s="20">
        <v>0</v>
      </c>
      <c r="AT475" s="20">
        <v>0</v>
      </c>
      <c r="AU475" s="20">
        <v>0</v>
      </c>
      <c r="AV475" s="23">
        <v>0</v>
      </c>
      <c r="AW475" s="108"/>
      <c r="AX475" s="108"/>
      <c r="AY475" s="108"/>
      <c r="AZ475" s="108"/>
      <c r="BA475" s="114"/>
      <c r="BB475" s="20"/>
      <c r="BC475" s="113"/>
      <c r="BD475" s="200" t="str">
        <f>VLOOKUP($A475,'[3]allergenen 6nr'!$A$1:$O$1310,3,FALSE)</f>
        <v>-</v>
      </c>
      <c r="BE475" s="201" t="str">
        <f>VLOOKUP($A475,'[3]allergenen 6nr'!$A$1:$O$1310,4,FALSE)</f>
        <v>-</v>
      </c>
      <c r="BF475" s="201" t="str">
        <f>VLOOKUP($A475,'[3]allergenen 6nr'!$A$1:$O$1310,5,FALSE)</f>
        <v>+</v>
      </c>
      <c r="BG475" s="201" t="str">
        <f>VLOOKUP($A475,'[3]allergenen 6nr'!$A$1:$O$1310,6,FALSE)</f>
        <v>X</v>
      </c>
      <c r="BH475" s="201" t="str">
        <f>VLOOKUP($A475,'[3]allergenen 6nr'!$A$1:$O$1310,7,FALSE)</f>
        <v>+</v>
      </c>
      <c r="BI475" s="201" t="str">
        <f>VLOOKUP($A475,'[3]allergenen 6nr'!$A$1:$O$1310,8,FALSE)</f>
        <v>+</v>
      </c>
      <c r="BJ475" s="201" t="str">
        <f>VLOOKUP($A475,'[3]allergenen 6nr'!$A$1:$O$1310,9,FALSE)</f>
        <v>-</v>
      </c>
      <c r="BK475" s="201" t="str">
        <f>VLOOKUP($A475,'[3]allergenen 6nr'!$A$1:$O$1310,10,FALSE)</f>
        <v>-</v>
      </c>
      <c r="BL475" s="201" t="str">
        <f>VLOOKUP($A475,'[3]allergenen 6nr'!$A$1:$O$1310,11,FALSE)</f>
        <v>+</v>
      </c>
      <c r="BM475" s="201" t="str">
        <f>VLOOKUP($A475,'[3]allergenen 6nr'!$A$1:$O$1310,12,FALSE)</f>
        <v>-</v>
      </c>
      <c r="BN475" s="201" t="str">
        <f>VLOOKUP($A475,'[3]allergenen 6nr'!$A$1:$O$1310,13,FALSE)</f>
        <v>X</v>
      </c>
      <c r="BO475" s="201" t="str">
        <f>VLOOKUP($A475,'[3]allergenen 6nr'!$A$1:$O$1310,14,FALSE)</f>
        <v>-</v>
      </c>
      <c r="BP475" s="202" t="str">
        <f>VLOOKUP($A475,'[3]allergenen 6nr'!$A$1:$O$1310,15,FALSE)</f>
        <v>-</v>
      </c>
    </row>
    <row r="476" spans="1:68" x14ac:dyDescent="0.2">
      <c r="A476" s="54">
        <v>65062200</v>
      </c>
      <c r="B476" s="53" t="str">
        <f>VLOOKUP($A476,[1]maaltijden!$A$1:$IV$65536,4,FALSE)</f>
        <v>ALDI BE EW KIP LINGUINE TERIYAKI BROCCOLI 425G (MIXED)</v>
      </c>
      <c r="C476" s="46" t="str">
        <f>VLOOKUP($A476,[1]maaltijden!$A$1:$IV$65536,7,FALSE)</f>
        <v>C2176-1A</v>
      </c>
      <c r="D476" s="22" t="str">
        <f>VLOOKUP($A476,[1]maaltijden!$A$1:$IV$65536,10,FALSE)</f>
        <v>H29</v>
      </c>
      <c r="E476" s="22" t="str">
        <f>VLOOKUP($A476,[1]maaltijden!$A$1:$IV$65536,13,FALSE)</f>
        <v>H29x16</v>
      </c>
      <c r="F476" s="20">
        <f t="shared" si="7"/>
        <v>0</v>
      </c>
      <c r="G476" s="20" t="str">
        <f>VLOOKUP($A476,[1]maaltijden!$A$1:$IV$65536,27,FALSE)</f>
        <v>! ! !</v>
      </c>
      <c r="H476" s="22">
        <f>VLOOKUP($A476,[1]maaltijden!$A$1:$IV$65536,21,FALSE)</f>
        <v>6</v>
      </c>
      <c r="I476" s="22">
        <f>VLOOKUP($A476,[1]maaltijden!$A$1:$IV$65536,21,FALSE)</f>
        <v>6</v>
      </c>
      <c r="J476" s="22">
        <f>VLOOKUP($A476,[1]maaltijden!$A$1:$IV$65536,18,FALSE)</f>
        <v>4</v>
      </c>
      <c r="K476" s="22">
        <f>VLOOKUP($A476,[1]maaltijden!$A$1:$IV$65536,17,FALSE)</f>
        <v>2</v>
      </c>
      <c r="L476" s="22">
        <f>VLOOKUP($A476,[1]maaltijden!$A$1:$IV$65536,20,FALSE)</f>
        <v>3000</v>
      </c>
      <c r="M476" s="22">
        <f>VLOOKUP($A476,[1]maaltijden!$A$1:$IV$65536,22,FALSE)</f>
        <v>3000</v>
      </c>
      <c r="N476" s="135"/>
      <c r="O476" s="50"/>
      <c r="P476" s="19">
        <v>1</v>
      </c>
      <c r="Q476" s="20">
        <v>2</v>
      </c>
      <c r="R476" s="21">
        <v>0</v>
      </c>
      <c r="S476" s="19">
        <v>1</v>
      </c>
      <c r="T476" s="20">
        <v>1</v>
      </c>
      <c r="U476" s="19"/>
      <c r="V476" s="20"/>
      <c r="W476" s="20"/>
      <c r="X476" s="20"/>
      <c r="Y476" s="20"/>
      <c r="Z476" s="20"/>
      <c r="AA476" s="20"/>
      <c r="AB476" s="49"/>
      <c r="AC476" s="49"/>
      <c r="AD476" s="49"/>
      <c r="AE476" s="49"/>
      <c r="AF476" s="49"/>
      <c r="AG476" s="161">
        <v>1</v>
      </c>
      <c r="AH476" s="168">
        <v>1</v>
      </c>
      <c r="AI476" s="20"/>
      <c r="AJ476" s="20"/>
      <c r="AK476" s="20"/>
      <c r="AL476" s="21"/>
      <c r="AM476" s="19">
        <v>1</v>
      </c>
      <c r="AN476" s="20">
        <f>IFERROR(INDEX([2]lijnopstellingsfiche!$AP$1:$AP$65536,MATCH(A476,[2]lijnopstellingsfiche!$AQ$1:$AQ$65536,0)),"")</f>
        <v>2</v>
      </c>
      <c r="AO476" s="20">
        <v>0</v>
      </c>
      <c r="AP476" s="20">
        <v>0</v>
      </c>
      <c r="AQ476" s="20">
        <v>2</v>
      </c>
      <c r="AR476" s="20">
        <v>0</v>
      </c>
      <c r="AS476" s="20">
        <v>1</v>
      </c>
      <c r="AT476" s="20">
        <v>0</v>
      </c>
      <c r="AU476" s="20">
        <v>0</v>
      </c>
      <c r="AV476" s="23">
        <v>0</v>
      </c>
      <c r="AW476" s="108"/>
      <c r="AX476" s="108"/>
      <c r="AY476" s="108"/>
      <c r="AZ476" s="108"/>
      <c r="BA476" s="114"/>
      <c r="BB476" s="20"/>
      <c r="BC476" s="113"/>
      <c r="BD476" s="200" t="str">
        <f>VLOOKUP($A476,'[3]allergenen 6nr'!$A$1:$O$1310,3,FALSE)</f>
        <v>-</v>
      </c>
      <c r="BE476" s="201" t="str">
        <f>VLOOKUP($A476,'[3]allergenen 6nr'!$A$1:$O$1310,4,FALSE)</f>
        <v>X</v>
      </c>
      <c r="BF476" s="201" t="str">
        <f>VLOOKUP($A476,'[3]allergenen 6nr'!$A$1:$O$1310,5,FALSE)</f>
        <v>+</v>
      </c>
      <c r="BG476" s="201" t="str">
        <f>VLOOKUP($A476,'[3]allergenen 6nr'!$A$1:$O$1310,6,FALSE)</f>
        <v>X</v>
      </c>
      <c r="BH476" s="201" t="str">
        <f>VLOOKUP($A476,'[3]allergenen 6nr'!$A$1:$O$1310,7,FALSE)</f>
        <v>-</v>
      </c>
      <c r="BI476" s="201" t="str">
        <f>VLOOKUP($A476,'[3]allergenen 6nr'!$A$1:$O$1310,8,FALSE)</f>
        <v>X</v>
      </c>
      <c r="BJ476" s="201" t="str">
        <f>VLOOKUP($A476,'[3]allergenen 6nr'!$A$1:$O$1310,9,FALSE)</f>
        <v>-</v>
      </c>
      <c r="BK476" s="201" t="str">
        <f>VLOOKUP($A476,'[3]allergenen 6nr'!$A$1:$O$1310,10,FALSE)</f>
        <v>-</v>
      </c>
      <c r="BL476" s="201" t="str">
        <f>VLOOKUP($A476,'[3]allergenen 6nr'!$A$1:$O$1310,11,FALSE)</f>
        <v>X</v>
      </c>
      <c r="BM476" s="201" t="str">
        <f>VLOOKUP($A476,'[3]allergenen 6nr'!$A$1:$O$1310,12,FALSE)</f>
        <v>+</v>
      </c>
      <c r="BN476" s="201" t="str">
        <f>VLOOKUP($A476,'[3]allergenen 6nr'!$A$1:$O$1310,13,FALSE)</f>
        <v>+</v>
      </c>
      <c r="BO476" s="201" t="str">
        <f>VLOOKUP($A476,'[3]allergenen 6nr'!$A$1:$O$1310,14,FALSE)</f>
        <v>-</v>
      </c>
      <c r="BP476" s="202" t="str">
        <f>VLOOKUP($A476,'[3]allergenen 6nr'!$A$1:$O$1310,15,FALSE)</f>
        <v>-</v>
      </c>
    </row>
    <row r="477" spans="1:68" x14ac:dyDescent="0.2">
      <c r="A477" s="54">
        <v>65062300</v>
      </c>
      <c r="B477" s="53" t="str">
        <f>VLOOKUP($A477,[1]maaltijden!$A$1:$IV$65536,4,FALSE)</f>
        <v>ALDI BE EW KIP RIJST TERIYAKI BROCCOLI 425G (MIXED)</v>
      </c>
      <c r="C477" s="46" t="str">
        <f>VLOOKUP($A477,[1]maaltijden!$A$1:$IV$65536,7,FALSE)</f>
        <v>C2176-1A</v>
      </c>
      <c r="D477" s="22" t="str">
        <f>VLOOKUP($A477,[1]maaltijden!$A$1:$IV$65536,10,FALSE)</f>
        <v>H29</v>
      </c>
      <c r="E477" s="22" t="str">
        <f>VLOOKUP($A477,[1]maaltijden!$A$1:$IV$65536,13,FALSE)</f>
        <v>H29x16</v>
      </c>
      <c r="F477" s="20">
        <f t="shared" si="7"/>
        <v>0</v>
      </c>
      <c r="G477" s="20" t="str">
        <f>VLOOKUP($A477,[1]maaltijden!$A$1:$IV$65536,27,FALSE)</f>
        <v>! ! !</v>
      </c>
      <c r="H477" s="22">
        <f>VLOOKUP($A477,[1]maaltijden!$A$1:$IV$65536,21,FALSE)</f>
        <v>5</v>
      </c>
      <c r="I477" s="22">
        <f>VLOOKUP($A477,[1]maaltijden!$A$1:$IV$65536,21,FALSE)</f>
        <v>5</v>
      </c>
      <c r="J477" s="22">
        <f>VLOOKUP($A477,[1]maaltijden!$A$1:$IV$65536,18,FALSE)</f>
        <v>4</v>
      </c>
      <c r="K477" s="22">
        <f>VLOOKUP($A477,[1]maaltijden!$A$1:$IV$65536,17,FALSE)</f>
        <v>2</v>
      </c>
      <c r="L477" s="22">
        <f>VLOOKUP($A477,[1]maaltijden!$A$1:$IV$65536,20,FALSE)</f>
        <v>3000</v>
      </c>
      <c r="M477" s="22">
        <f>VLOOKUP($A477,[1]maaltijden!$A$1:$IV$65536,22,FALSE)</f>
        <v>3000</v>
      </c>
      <c r="N477" s="135"/>
      <c r="O477" s="50"/>
      <c r="P477" s="19">
        <v>1</v>
      </c>
      <c r="Q477" s="20">
        <v>2</v>
      </c>
      <c r="R477" s="21">
        <v>0</v>
      </c>
      <c r="S477" s="19">
        <v>1</v>
      </c>
      <c r="T477" s="20">
        <v>1</v>
      </c>
      <c r="U477" s="19"/>
      <c r="V477" s="20"/>
      <c r="W477" s="20"/>
      <c r="X477" s="20"/>
      <c r="Y477" s="20"/>
      <c r="Z477" s="20"/>
      <c r="AA477" s="20"/>
      <c r="AB477" s="49"/>
      <c r="AC477" s="49"/>
      <c r="AD477" s="49"/>
      <c r="AE477" s="49"/>
      <c r="AF477" s="49"/>
      <c r="AG477" s="161">
        <v>1</v>
      </c>
      <c r="AH477" s="168">
        <v>1</v>
      </c>
      <c r="AI477" s="20"/>
      <c r="AJ477" s="20"/>
      <c r="AK477" s="20"/>
      <c r="AL477" s="21"/>
      <c r="AM477" s="19">
        <v>1</v>
      </c>
      <c r="AN477" s="20">
        <f>IFERROR(INDEX([2]lijnopstellingsfiche!$AP$1:$AP$65536,MATCH(A477,[2]lijnopstellingsfiche!$AQ$1:$AQ$65536,0)),"")</f>
        <v>1</v>
      </c>
      <c r="AO477" s="20">
        <v>0</v>
      </c>
      <c r="AP477" s="20">
        <v>0</v>
      </c>
      <c r="AQ477" s="20">
        <v>2</v>
      </c>
      <c r="AR477" s="20">
        <v>0</v>
      </c>
      <c r="AS477" s="20">
        <v>1</v>
      </c>
      <c r="AT477" s="20">
        <v>0</v>
      </c>
      <c r="AU477" s="20">
        <v>0</v>
      </c>
      <c r="AV477" s="23">
        <v>0</v>
      </c>
      <c r="AW477" s="108"/>
      <c r="AX477" s="108"/>
      <c r="AY477" s="108"/>
      <c r="AZ477" s="108"/>
      <c r="BA477" s="114"/>
      <c r="BB477" s="20"/>
      <c r="BC477" s="113"/>
      <c r="BD477" s="200" t="str">
        <f>VLOOKUP($A477,'[3]allergenen 6nr'!$A$1:$O$1310,3,FALSE)</f>
        <v>-</v>
      </c>
      <c r="BE477" s="201" t="str">
        <f>VLOOKUP($A477,'[3]allergenen 6nr'!$A$1:$O$1310,4,FALSE)</f>
        <v>-</v>
      </c>
      <c r="BF477" s="201" t="str">
        <f>VLOOKUP($A477,'[3]allergenen 6nr'!$A$1:$O$1310,5,FALSE)</f>
        <v>+</v>
      </c>
      <c r="BG477" s="201" t="str">
        <f>VLOOKUP($A477,'[3]allergenen 6nr'!$A$1:$O$1310,6,FALSE)</f>
        <v>-</v>
      </c>
      <c r="BH477" s="201" t="str">
        <f>VLOOKUP($A477,'[3]allergenen 6nr'!$A$1:$O$1310,7,FALSE)</f>
        <v>-</v>
      </c>
      <c r="BI477" s="201" t="str">
        <f>VLOOKUP($A477,'[3]allergenen 6nr'!$A$1:$O$1310,8,FALSE)</f>
        <v>-</v>
      </c>
      <c r="BJ477" s="201" t="str">
        <f>VLOOKUP($A477,'[3]allergenen 6nr'!$A$1:$O$1310,9,FALSE)</f>
        <v>-</v>
      </c>
      <c r="BK477" s="201" t="str">
        <f>VLOOKUP($A477,'[3]allergenen 6nr'!$A$1:$O$1310,10,FALSE)</f>
        <v>-</v>
      </c>
      <c r="BL477" s="201" t="str">
        <f>VLOOKUP($A477,'[3]allergenen 6nr'!$A$1:$O$1310,11,FALSE)</f>
        <v>+</v>
      </c>
      <c r="BM477" s="201" t="str">
        <f>VLOOKUP($A477,'[3]allergenen 6nr'!$A$1:$O$1310,12,FALSE)</f>
        <v>+</v>
      </c>
      <c r="BN477" s="201" t="str">
        <f>VLOOKUP($A477,'[3]allergenen 6nr'!$A$1:$O$1310,13,FALSE)</f>
        <v>+</v>
      </c>
      <c r="BO477" s="201" t="str">
        <f>VLOOKUP($A477,'[3]allergenen 6nr'!$A$1:$O$1310,14,FALSE)</f>
        <v>-</v>
      </c>
      <c r="BP477" s="202" t="str">
        <f>VLOOKUP($A477,'[3]allergenen 6nr'!$A$1:$O$1310,15,FALSE)</f>
        <v>-</v>
      </c>
    </row>
    <row r="478" spans="1:68" x14ac:dyDescent="0.2">
      <c r="A478" s="54">
        <v>65062400</v>
      </c>
      <c r="B478" s="53" t="str">
        <f>VLOOKUP($A478,[1]maaltijden!$A$1:$IV$65536,4,FALSE)</f>
        <v>ALDI BE EW ZALM ASC MOSTERD GROENTEN BULGUR 425G(MIXED)</v>
      </c>
      <c r="C478" s="46" t="str">
        <f>VLOOKUP($A478,[1]maaltijden!$A$1:$IV$65536,7,FALSE)</f>
        <v>C2176-1A</v>
      </c>
      <c r="D478" s="22" t="str">
        <f>VLOOKUP($A478,[1]maaltijden!$A$1:$IV$65536,10,FALSE)</f>
        <v>H29</v>
      </c>
      <c r="E478" s="22" t="str">
        <f>VLOOKUP($A478,[1]maaltijden!$A$1:$IV$65536,13,FALSE)</f>
        <v>H29x16</v>
      </c>
      <c r="F478" s="20">
        <f t="shared" si="7"/>
        <v>0</v>
      </c>
      <c r="G478" s="20" t="str">
        <f>VLOOKUP($A478,[1]maaltijden!$A$1:$IV$65536,27,FALSE)</f>
        <v>! ! ! !</v>
      </c>
      <c r="H478" s="22">
        <f>VLOOKUP($A478,[1]maaltijden!$A$1:$IV$65536,21,FALSE)</f>
        <v>7</v>
      </c>
      <c r="I478" s="22">
        <f>VLOOKUP($A478,[1]maaltijden!$A$1:$IV$65536,21,FALSE)</f>
        <v>7</v>
      </c>
      <c r="J478" s="22">
        <f>VLOOKUP($A478,[1]maaltijden!$A$1:$IV$65536,18,FALSE)</f>
        <v>4</v>
      </c>
      <c r="K478" s="22">
        <f>VLOOKUP($A478,[1]maaltijden!$A$1:$IV$65536,17,FALSE)</f>
        <v>3</v>
      </c>
      <c r="L478" s="22">
        <f>VLOOKUP($A478,[1]maaltijden!$A$1:$IV$65536,20,FALSE)</f>
        <v>2500</v>
      </c>
      <c r="M478" s="22">
        <f>VLOOKUP($A478,[1]maaltijden!$A$1:$IV$65536,22,FALSE)</f>
        <v>2500</v>
      </c>
      <c r="N478" s="135"/>
      <c r="O478" s="50"/>
      <c r="P478" s="19">
        <v>1</v>
      </c>
      <c r="Q478" s="20">
        <v>2</v>
      </c>
      <c r="R478" s="21">
        <v>0</v>
      </c>
      <c r="S478" s="19">
        <v>1</v>
      </c>
      <c r="T478" s="20">
        <v>1</v>
      </c>
      <c r="U478" s="19"/>
      <c r="V478" s="20"/>
      <c r="W478" s="20"/>
      <c r="X478" s="20"/>
      <c r="Y478" s="20"/>
      <c r="Z478" s="20"/>
      <c r="AA478" s="20"/>
      <c r="AB478" s="49"/>
      <c r="AC478" s="49"/>
      <c r="AD478" s="49"/>
      <c r="AE478" s="49"/>
      <c r="AF478" s="49"/>
      <c r="AG478" s="161">
        <v>0</v>
      </c>
      <c r="AH478" s="168">
        <v>1</v>
      </c>
      <c r="AI478" s="168">
        <v>1</v>
      </c>
      <c r="AJ478" s="20"/>
      <c r="AK478" s="20"/>
      <c r="AL478" s="21"/>
      <c r="AM478" s="19">
        <v>1</v>
      </c>
      <c r="AN478" s="20">
        <f>IFERROR(INDEX([2]lijnopstellingsfiche!$AP$1:$AP$65536,MATCH(A478,[2]lijnopstellingsfiche!$AQ$1:$AQ$65536,0)),"")</f>
        <v>2</v>
      </c>
      <c r="AO478" s="20">
        <v>0</v>
      </c>
      <c r="AP478" s="20">
        <v>0</v>
      </c>
      <c r="AQ478" s="20">
        <v>2</v>
      </c>
      <c r="AR478" s="20">
        <v>0</v>
      </c>
      <c r="AS478" s="20">
        <v>1</v>
      </c>
      <c r="AT478" s="20">
        <v>0</v>
      </c>
      <c r="AU478" s="20">
        <v>0</v>
      </c>
      <c r="AV478" s="23">
        <v>0</v>
      </c>
      <c r="AW478" s="108"/>
      <c r="AX478" s="108"/>
      <c r="AY478" s="108"/>
      <c r="AZ478" s="108"/>
      <c r="BA478" s="114"/>
      <c r="BB478" s="20"/>
      <c r="BC478" s="113"/>
      <c r="BD478" s="200" t="str">
        <f>VLOOKUP($A478,'[3]allergenen 6nr'!$A$1:$O$1310,3,FALSE)</f>
        <v>-</v>
      </c>
      <c r="BE478" s="201" t="str">
        <f>VLOOKUP($A478,'[3]allergenen 6nr'!$A$1:$O$1310,4,FALSE)</f>
        <v>-</v>
      </c>
      <c r="BF478" s="201" t="str">
        <f>VLOOKUP($A478,'[3]allergenen 6nr'!$A$1:$O$1310,5,FALSE)</f>
        <v>+</v>
      </c>
      <c r="BG478" s="201" t="str">
        <f>VLOOKUP($A478,'[3]allergenen 6nr'!$A$1:$O$1310,6,FALSE)</f>
        <v>-</v>
      </c>
      <c r="BH478" s="201" t="str">
        <f>VLOOKUP($A478,'[3]allergenen 6nr'!$A$1:$O$1310,7,FALSE)</f>
        <v>+</v>
      </c>
      <c r="BI478" s="201" t="str">
        <f>VLOOKUP($A478,'[3]allergenen 6nr'!$A$1:$O$1310,8,FALSE)</f>
        <v>+</v>
      </c>
      <c r="BJ478" s="201" t="str">
        <f>VLOOKUP($A478,'[3]allergenen 6nr'!$A$1:$O$1310,9,FALSE)</f>
        <v>-</v>
      </c>
      <c r="BK478" s="201" t="str">
        <f>VLOOKUP($A478,'[3]allergenen 6nr'!$A$1:$O$1310,10,FALSE)</f>
        <v>-</v>
      </c>
      <c r="BL478" s="201" t="str">
        <f>VLOOKUP($A478,'[3]allergenen 6nr'!$A$1:$O$1310,11,FALSE)</f>
        <v>+</v>
      </c>
      <c r="BM478" s="201" t="str">
        <f>VLOOKUP($A478,'[3]allergenen 6nr'!$A$1:$O$1310,12,FALSE)</f>
        <v>-</v>
      </c>
      <c r="BN478" s="201" t="str">
        <f>VLOOKUP($A478,'[3]allergenen 6nr'!$A$1:$O$1310,13,FALSE)</f>
        <v>+</v>
      </c>
      <c r="BO478" s="201" t="str">
        <f>VLOOKUP($A478,'[3]allergenen 6nr'!$A$1:$O$1310,14,FALSE)</f>
        <v>+</v>
      </c>
      <c r="BP478" s="202" t="str">
        <f>VLOOKUP($A478,'[3]allergenen 6nr'!$A$1:$O$1310,15,FALSE)</f>
        <v>-</v>
      </c>
    </row>
    <row r="479" spans="1:68" x14ac:dyDescent="0.2">
      <c r="A479" s="89">
        <v>65101200</v>
      </c>
      <c r="B479" s="53" t="str">
        <f>VLOOKUP($A479,[1]maaltijden!$A$1:$IV$65536,4,FALSE)</f>
        <v>DMB SCHARROLLETJES OOSTENDSE WIJZE 2,1KG</v>
      </c>
      <c r="C479" s="46" t="str">
        <f>VLOOKUP($A479,[1]maaltijden!$A$1:$IV$65536,7,FALSE)</f>
        <v>C2325-1C</v>
      </c>
      <c r="D479" s="22" t="str">
        <f>VLOOKUP($A479,[1]maaltijden!$A$1:$IV$65536,10,FALSE)</f>
        <v>NVT</v>
      </c>
      <c r="E479" s="22" t="str">
        <f>VLOOKUP($A479,[1]maaltijden!$A$1:$IV$65536,13,FALSE)</f>
        <v>BULK HO</v>
      </c>
      <c r="F479" s="20">
        <f t="shared" si="7"/>
        <v>0</v>
      </c>
      <c r="G479" s="20" t="str">
        <f>VLOOKUP($A479,[1]maaltijden!$A$1:$IV$65536,27,FALSE)</f>
        <v>! ! ! !</v>
      </c>
      <c r="H479" s="22">
        <f>VLOOKUP($A479,[1]maaltijden!$A$1:$IV$65536,21,FALSE)</f>
        <v>8</v>
      </c>
      <c r="I479" s="22">
        <f>VLOOKUP($A479,[1]maaltijden!$A$1:$IV$65536,21,FALSE)</f>
        <v>8</v>
      </c>
      <c r="J479" s="22">
        <f>VLOOKUP($A479,[1]maaltijden!$A$1:$IV$65536,18,FALSE)</f>
        <v>3</v>
      </c>
      <c r="K479" s="22">
        <f>VLOOKUP($A479,[1]maaltijden!$A$1:$IV$65536,17,FALSE)</f>
        <v>1</v>
      </c>
      <c r="L479" s="22">
        <f>VLOOKUP($A479,[1]maaltijden!$A$1:$IV$65536,20,FALSE)</f>
        <v>600</v>
      </c>
      <c r="M479" s="22">
        <f>VLOOKUP($A479,[1]maaltijden!$A$1:$IV$65536,22,FALSE)</f>
        <v>600</v>
      </c>
      <c r="N479" s="135"/>
      <c r="O479" s="50"/>
      <c r="P479" s="19">
        <v>0</v>
      </c>
      <c r="Q479" s="20">
        <v>1</v>
      </c>
      <c r="R479" s="21">
        <v>0</v>
      </c>
      <c r="S479" s="19">
        <v>0</v>
      </c>
      <c r="T479" s="20">
        <v>1</v>
      </c>
      <c r="U479" s="19">
        <v>1</v>
      </c>
      <c r="V479" s="20">
        <v>1</v>
      </c>
      <c r="W479" s="20">
        <v>1</v>
      </c>
      <c r="X479" s="20">
        <v>1</v>
      </c>
      <c r="Y479" s="20">
        <v>1</v>
      </c>
      <c r="Z479" s="20">
        <v>0</v>
      </c>
      <c r="AA479" s="20">
        <v>0</v>
      </c>
      <c r="AB479" s="49">
        <v>0</v>
      </c>
      <c r="AC479" s="49">
        <v>0</v>
      </c>
      <c r="AD479" s="49">
        <v>0</v>
      </c>
      <c r="AE479" s="49">
        <v>0</v>
      </c>
      <c r="AF479" s="49">
        <v>0</v>
      </c>
      <c r="AG479" s="184">
        <v>0</v>
      </c>
      <c r="AH479" s="182">
        <v>1</v>
      </c>
      <c r="AI479" s="182">
        <v>0</v>
      </c>
      <c r="AJ479" s="182">
        <v>0</v>
      </c>
      <c r="AK479" s="182">
        <v>0</v>
      </c>
      <c r="AL479" s="183">
        <v>0</v>
      </c>
      <c r="AM479" s="19">
        <v>0</v>
      </c>
      <c r="AN479" s="20" t="str">
        <f>IFERROR(INDEX([2]lijnopstellingsfiche!$AP$1:$AP$65536,MATCH(A479,[2]lijnopstellingsfiche!$AQ$1:$AQ$65536,0)),"")</f>
        <v>-</v>
      </c>
      <c r="AO479" s="20">
        <v>0</v>
      </c>
      <c r="AP479" s="20">
        <v>0</v>
      </c>
      <c r="AQ479" s="20">
        <v>2</v>
      </c>
      <c r="AR479" s="20">
        <v>0</v>
      </c>
      <c r="AS479" s="20">
        <v>0</v>
      </c>
      <c r="AT479" s="20">
        <v>0</v>
      </c>
      <c r="AU479" s="20">
        <v>0</v>
      </c>
      <c r="AV479" s="23">
        <v>0</v>
      </c>
      <c r="AW479" s="108">
        <v>0</v>
      </c>
      <c r="AX479" s="108">
        <v>0</v>
      </c>
      <c r="AY479" s="108">
        <v>0</v>
      </c>
      <c r="AZ479" s="108">
        <v>0</v>
      </c>
      <c r="BA479" s="114">
        <v>1</v>
      </c>
      <c r="BB479" s="20">
        <v>0</v>
      </c>
      <c r="BC479" s="113">
        <v>0</v>
      </c>
      <c r="BD479" s="200" t="str">
        <f>VLOOKUP($A479,'[3]allergenen 6nr'!$A$1:$O$1310,3,FALSE)</f>
        <v>-</v>
      </c>
      <c r="BE479" s="201" t="str">
        <f>VLOOKUP($A479,'[3]allergenen 6nr'!$A$1:$O$1310,4,FALSE)</f>
        <v>-</v>
      </c>
      <c r="BF479" s="201" t="str">
        <f>VLOOKUP($A479,'[3]allergenen 6nr'!$A$1:$O$1310,5,FALSE)</f>
        <v>+</v>
      </c>
      <c r="BG479" s="201" t="str">
        <f>VLOOKUP($A479,'[3]allergenen 6nr'!$A$1:$O$1310,6,FALSE)</f>
        <v>X</v>
      </c>
      <c r="BH479" s="201" t="str">
        <f>VLOOKUP($A479,'[3]allergenen 6nr'!$A$1:$O$1310,7,FALSE)</f>
        <v>+</v>
      </c>
      <c r="BI479" s="201" t="str">
        <f>VLOOKUP($A479,'[3]allergenen 6nr'!$A$1:$O$1310,8,FALSE)</f>
        <v>X</v>
      </c>
      <c r="BJ479" s="201" t="str">
        <f>VLOOKUP($A479,'[3]allergenen 6nr'!$A$1:$O$1310,9,FALSE)</f>
        <v>-</v>
      </c>
      <c r="BK479" s="201" t="str">
        <f>VLOOKUP($A479,'[3]allergenen 6nr'!$A$1:$O$1310,10,FALSE)</f>
        <v>X</v>
      </c>
      <c r="BL479" s="201" t="str">
        <f>VLOOKUP($A479,'[3]allergenen 6nr'!$A$1:$O$1310,11,FALSE)</f>
        <v>+</v>
      </c>
      <c r="BM479" s="201" t="str">
        <f>VLOOKUP($A479,'[3]allergenen 6nr'!$A$1:$O$1310,12,FALSE)</f>
        <v>-</v>
      </c>
      <c r="BN479" s="201" t="str">
        <f>VLOOKUP($A479,'[3]allergenen 6nr'!$A$1:$O$1310,13,FALSE)</f>
        <v>X</v>
      </c>
      <c r="BO479" s="201" t="str">
        <f>VLOOKUP($A479,'[3]allergenen 6nr'!$A$1:$O$1310,14,FALSE)</f>
        <v>+</v>
      </c>
      <c r="BP479" s="202" t="str">
        <f>VLOOKUP($A479,'[3]allergenen 6nr'!$A$1:$O$1310,15,FALSE)</f>
        <v>X</v>
      </c>
    </row>
    <row r="480" spans="1:68" x14ac:dyDescent="0.2">
      <c r="A480" s="89">
        <v>65101800</v>
      </c>
      <c r="B480" s="53" t="str">
        <f>VLOOKUP($A480,[1]maaltijden!$A$1:$IV$65536,4,FALSE)</f>
        <v>DMB ZALM FIJNE GROENTENSAUS 2,2KG</v>
      </c>
      <c r="C480" s="46" t="str">
        <f>VLOOKUP($A480,[1]maaltijden!$A$1:$IV$65536,7,FALSE)</f>
        <v>C2325-1C</v>
      </c>
      <c r="D480" s="22" t="str">
        <f>VLOOKUP($A480,[1]maaltijden!$A$1:$IV$65536,10,FALSE)</f>
        <v>NVT</v>
      </c>
      <c r="E480" s="22" t="str">
        <f>VLOOKUP($A480,[1]maaltijden!$A$1:$IV$65536,13,FALSE)</f>
        <v>BULK HO</v>
      </c>
      <c r="F480" s="20">
        <f t="shared" si="7"/>
        <v>0</v>
      </c>
      <c r="G480" s="20" t="str">
        <f>VLOOKUP($A480,[1]maaltijden!$A$1:$IV$65536,27,FALSE)</f>
        <v>! ! ! !</v>
      </c>
      <c r="H480" s="22">
        <f>VLOOKUP($A480,[1]maaltijden!$A$1:$IV$65536,21,FALSE)</f>
        <v>6</v>
      </c>
      <c r="I480" s="22">
        <f>VLOOKUP($A480,[1]maaltijden!$A$1:$IV$65536,21,FALSE)</f>
        <v>6</v>
      </c>
      <c r="J480" s="22">
        <f>VLOOKUP($A480,[1]maaltijden!$A$1:$IV$65536,18,FALSE)</f>
        <v>3</v>
      </c>
      <c r="K480" s="22">
        <f>VLOOKUP($A480,[1]maaltijden!$A$1:$IV$65536,17,FALSE)</f>
        <v>1</v>
      </c>
      <c r="L480" s="22">
        <f>VLOOKUP($A480,[1]maaltijden!$A$1:$IV$65536,20,FALSE)</f>
        <v>550</v>
      </c>
      <c r="M480" s="22">
        <f>VLOOKUP($A480,[1]maaltijden!$A$1:$IV$65536,22,FALSE)</f>
        <v>550</v>
      </c>
      <c r="N480" s="135"/>
      <c r="O480" s="50">
        <v>0</v>
      </c>
      <c r="P480" s="19">
        <v>0</v>
      </c>
      <c r="Q480" s="20">
        <v>1</v>
      </c>
      <c r="R480" s="21">
        <v>0</v>
      </c>
      <c r="S480" s="19">
        <v>0</v>
      </c>
      <c r="T480" s="20">
        <v>1</v>
      </c>
      <c r="U480" s="19">
        <v>1</v>
      </c>
      <c r="V480" s="20">
        <v>1</v>
      </c>
      <c r="W480" s="20">
        <v>1</v>
      </c>
      <c r="X480" s="20">
        <v>1</v>
      </c>
      <c r="Y480" s="20">
        <v>1</v>
      </c>
      <c r="Z480" s="20">
        <v>0</v>
      </c>
      <c r="AA480" s="20">
        <v>1</v>
      </c>
      <c r="AB480" s="49">
        <v>0</v>
      </c>
      <c r="AC480" s="49">
        <v>0</v>
      </c>
      <c r="AD480" s="49">
        <v>0</v>
      </c>
      <c r="AE480" s="49">
        <v>0</v>
      </c>
      <c r="AF480" s="49">
        <v>1</v>
      </c>
      <c r="AG480" s="184">
        <v>0</v>
      </c>
      <c r="AH480" s="182">
        <v>1</v>
      </c>
      <c r="AI480" s="182">
        <v>0</v>
      </c>
      <c r="AJ480" s="182">
        <v>0</v>
      </c>
      <c r="AK480" s="182">
        <v>0</v>
      </c>
      <c r="AL480" s="183">
        <v>0</v>
      </c>
      <c r="AM480" s="19">
        <v>0</v>
      </c>
      <c r="AN480" s="20" t="str">
        <f>IFERROR(INDEX([2]lijnopstellingsfiche!$AP$1:$AP$65536,MATCH(A480,[2]lijnopstellingsfiche!$AQ$1:$AQ$65536,0)),"")</f>
        <v>-</v>
      </c>
      <c r="AO480" s="20">
        <v>0</v>
      </c>
      <c r="AP480" s="20">
        <v>0</v>
      </c>
      <c r="AQ480" s="20">
        <v>2</v>
      </c>
      <c r="AR480" s="20">
        <v>0</v>
      </c>
      <c r="AS480" s="20">
        <v>0</v>
      </c>
      <c r="AT480" s="20">
        <v>0</v>
      </c>
      <c r="AU480" s="20">
        <v>0</v>
      </c>
      <c r="AV480" s="23">
        <v>0</v>
      </c>
      <c r="AW480" s="108">
        <v>0</v>
      </c>
      <c r="AX480" s="108">
        <v>0</v>
      </c>
      <c r="AY480" s="108">
        <v>0</v>
      </c>
      <c r="AZ480" s="108">
        <v>0</v>
      </c>
      <c r="BA480" s="114">
        <v>1</v>
      </c>
      <c r="BB480" s="20">
        <v>0</v>
      </c>
      <c r="BC480" s="113">
        <v>0</v>
      </c>
      <c r="BD480" s="200" t="str">
        <f>VLOOKUP($A480,'[3]allergenen 6nr'!$A$1:$O$1310,3,FALSE)</f>
        <v>-</v>
      </c>
      <c r="BE480" s="201" t="str">
        <f>VLOOKUP($A480,'[3]allergenen 6nr'!$A$1:$O$1310,4,FALSE)</f>
        <v>-</v>
      </c>
      <c r="BF480" s="201" t="str">
        <f>VLOOKUP($A480,'[3]allergenen 6nr'!$A$1:$O$1310,5,FALSE)</f>
        <v>+</v>
      </c>
      <c r="BG480" s="201" t="str">
        <f>VLOOKUP($A480,'[3]allergenen 6nr'!$A$1:$O$1310,6,FALSE)</f>
        <v>X</v>
      </c>
      <c r="BH480" s="201" t="str">
        <f>VLOOKUP($A480,'[3]allergenen 6nr'!$A$1:$O$1310,7,FALSE)</f>
        <v>+</v>
      </c>
      <c r="BI480" s="201" t="str">
        <f>VLOOKUP($A480,'[3]allergenen 6nr'!$A$1:$O$1310,8,FALSE)</f>
        <v>X</v>
      </c>
      <c r="BJ480" s="201" t="str">
        <f>VLOOKUP($A480,'[3]allergenen 6nr'!$A$1:$O$1310,9,FALSE)</f>
        <v>-</v>
      </c>
      <c r="BK480" s="201" t="str">
        <f>VLOOKUP($A480,'[3]allergenen 6nr'!$A$1:$O$1310,10,FALSE)</f>
        <v>X</v>
      </c>
      <c r="BL480" s="201" t="str">
        <f>VLOOKUP($A480,'[3]allergenen 6nr'!$A$1:$O$1310,11,FALSE)</f>
        <v>+</v>
      </c>
      <c r="BM480" s="201" t="str">
        <f>VLOOKUP($A480,'[3]allergenen 6nr'!$A$1:$O$1310,12,FALSE)</f>
        <v>-</v>
      </c>
      <c r="BN480" s="201" t="str">
        <f>VLOOKUP($A480,'[3]allergenen 6nr'!$A$1:$O$1310,13,FALSE)</f>
        <v>X</v>
      </c>
      <c r="BO480" s="201" t="str">
        <f>VLOOKUP($A480,'[3]allergenen 6nr'!$A$1:$O$1310,14,FALSE)</f>
        <v>+</v>
      </c>
      <c r="BP480" s="202" t="str">
        <f>VLOOKUP($A480,'[3]allergenen 6nr'!$A$1:$O$1310,15,FALSE)</f>
        <v>X</v>
      </c>
    </row>
    <row r="481" spans="1:68" x14ac:dyDescent="0.2">
      <c r="A481" s="89">
        <v>65101900</v>
      </c>
      <c r="B481" s="53" t="str">
        <f>VLOOKUP($A481,[1]maaltijden!$A$1:$IV$65536,4,FALSE)</f>
        <v>DMB VISFILET FIJNE KRUIDENSAUS 2,2KG</v>
      </c>
      <c r="C481" s="46" t="str">
        <f>VLOOKUP($A481,[1]maaltijden!$A$1:$IV$65536,7,FALSE)</f>
        <v>C2325-1C</v>
      </c>
      <c r="D481" s="22" t="str">
        <f>VLOOKUP($A481,[1]maaltijden!$A$1:$IV$65536,10,FALSE)</f>
        <v>NVT</v>
      </c>
      <c r="E481" s="22" t="str">
        <f>VLOOKUP($A481,[1]maaltijden!$A$1:$IV$65536,13,FALSE)</f>
        <v>BULK HO</v>
      </c>
      <c r="F481" s="20">
        <f t="shared" si="7"/>
        <v>0</v>
      </c>
      <c r="G481" s="20" t="str">
        <f>VLOOKUP($A481,[1]maaltijden!$A$1:$IV$65536,27,FALSE)</f>
        <v>! ! ! !</v>
      </c>
      <c r="H481" s="22">
        <f>VLOOKUP($A481,[1]maaltijden!$A$1:$IV$65536,21,FALSE)</f>
        <v>5</v>
      </c>
      <c r="I481" s="22">
        <f>VLOOKUP($A481,[1]maaltijden!$A$1:$IV$65536,21,FALSE)</f>
        <v>5</v>
      </c>
      <c r="J481" s="22">
        <f>VLOOKUP($A481,[1]maaltijden!$A$1:$IV$65536,18,FALSE)</f>
        <v>3</v>
      </c>
      <c r="K481" s="22">
        <f>VLOOKUP($A481,[1]maaltijden!$A$1:$IV$65536,17,FALSE)</f>
        <v>1</v>
      </c>
      <c r="L481" s="22">
        <f>VLOOKUP($A481,[1]maaltijden!$A$1:$IV$65536,20,FALSE)</f>
        <v>550</v>
      </c>
      <c r="M481" s="22">
        <f>VLOOKUP($A481,[1]maaltijden!$A$1:$IV$65536,22,FALSE)</f>
        <v>550</v>
      </c>
      <c r="N481" s="44"/>
      <c r="O481" s="11">
        <v>0</v>
      </c>
      <c r="P481" s="19">
        <v>0</v>
      </c>
      <c r="Q481" s="11">
        <v>1</v>
      </c>
      <c r="R481" s="11">
        <v>0</v>
      </c>
      <c r="S481" s="19">
        <v>0</v>
      </c>
      <c r="T481" s="11">
        <v>1</v>
      </c>
      <c r="U481" s="19">
        <v>1</v>
      </c>
      <c r="V481" s="11">
        <v>1</v>
      </c>
      <c r="W481" s="11">
        <v>1</v>
      </c>
      <c r="Y481" s="11">
        <v>1</v>
      </c>
      <c r="Z481" s="11">
        <v>0</v>
      </c>
      <c r="AA481" s="11">
        <v>0</v>
      </c>
      <c r="AB481" s="11">
        <v>0</v>
      </c>
      <c r="AC481" s="11">
        <v>0</v>
      </c>
      <c r="AD481" s="11">
        <v>0</v>
      </c>
      <c r="AF481" s="56">
        <v>0</v>
      </c>
      <c r="AG481" s="184">
        <v>0</v>
      </c>
      <c r="AH481" s="182">
        <v>1</v>
      </c>
      <c r="AI481" s="182">
        <v>0</v>
      </c>
      <c r="AJ481" s="182">
        <v>0</v>
      </c>
      <c r="AK481" s="182">
        <v>0</v>
      </c>
      <c r="AL481" s="183">
        <v>0</v>
      </c>
      <c r="AM481" s="11">
        <v>0</v>
      </c>
      <c r="AN481" s="20" t="str">
        <f>IFERROR(INDEX([2]lijnopstellingsfiche!$AP$1:$AP$65536,MATCH(A481,[2]lijnopstellingsfiche!$AQ$1:$AQ$65536,0)),"")</f>
        <v>-</v>
      </c>
      <c r="AO481" s="11">
        <v>0</v>
      </c>
      <c r="AP481" s="11">
        <v>0</v>
      </c>
      <c r="AQ481" s="11">
        <v>2</v>
      </c>
      <c r="AR481" s="11">
        <v>0</v>
      </c>
      <c r="AS481" s="20">
        <v>0</v>
      </c>
      <c r="AT481" s="11">
        <v>0</v>
      </c>
      <c r="AU481" s="25">
        <v>0</v>
      </c>
      <c r="AV481" s="23">
        <v>0</v>
      </c>
      <c r="AW481" s="122">
        <v>0</v>
      </c>
      <c r="AX481" s="108">
        <v>0</v>
      </c>
      <c r="AY481" s="108">
        <v>0</v>
      </c>
      <c r="AZ481" s="108">
        <v>0</v>
      </c>
      <c r="BA481" s="114">
        <v>1</v>
      </c>
      <c r="BB481" s="20">
        <v>0</v>
      </c>
      <c r="BC481" s="113">
        <v>0</v>
      </c>
      <c r="BD481" s="200" t="str">
        <f>VLOOKUP($A481,'[3]allergenen 6nr'!$A$1:$O$1310,3,FALSE)</f>
        <v>-</v>
      </c>
      <c r="BE481" s="201" t="str">
        <f>VLOOKUP($A481,'[3]allergenen 6nr'!$A$1:$O$1310,4,FALSE)</f>
        <v>-</v>
      </c>
      <c r="BF481" s="201" t="str">
        <f>VLOOKUP($A481,'[3]allergenen 6nr'!$A$1:$O$1310,5,FALSE)</f>
        <v>+</v>
      </c>
      <c r="BG481" s="201" t="str">
        <f>VLOOKUP($A481,'[3]allergenen 6nr'!$A$1:$O$1310,6,FALSE)</f>
        <v>X</v>
      </c>
      <c r="BH481" s="201" t="str">
        <f>VLOOKUP($A481,'[3]allergenen 6nr'!$A$1:$O$1310,7,FALSE)</f>
        <v>+</v>
      </c>
      <c r="BI481" s="201" t="str">
        <f>VLOOKUP($A481,'[3]allergenen 6nr'!$A$1:$O$1310,8,FALSE)</f>
        <v>X</v>
      </c>
      <c r="BJ481" s="201" t="str">
        <f>VLOOKUP($A481,'[3]allergenen 6nr'!$A$1:$O$1310,9,FALSE)</f>
        <v>-</v>
      </c>
      <c r="BK481" s="201" t="str">
        <f>VLOOKUP($A481,'[3]allergenen 6nr'!$A$1:$O$1310,10,FALSE)</f>
        <v>X</v>
      </c>
      <c r="BL481" s="201" t="str">
        <f>VLOOKUP($A481,'[3]allergenen 6nr'!$A$1:$O$1310,11,FALSE)</f>
        <v>-</v>
      </c>
      <c r="BM481" s="201" t="str">
        <f>VLOOKUP($A481,'[3]allergenen 6nr'!$A$1:$O$1310,12,FALSE)</f>
        <v>-</v>
      </c>
      <c r="BN481" s="201" t="str">
        <f>VLOOKUP($A481,'[3]allergenen 6nr'!$A$1:$O$1310,13,FALSE)</f>
        <v>X</v>
      </c>
      <c r="BO481" s="201" t="str">
        <f>VLOOKUP($A481,'[3]allergenen 6nr'!$A$1:$O$1310,14,FALSE)</f>
        <v>+</v>
      </c>
      <c r="BP481" s="202" t="str">
        <f>VLOOKUP($A481,'[3]allergenen 6nr'!$A$1:$O$1310,15,FALSE)</f>
        <v>X</v>
      </c>
    </row>
    <row r="482" spans="1:68" x14ac:dyDescent="0.2">
      <c r="A482" s="54">
        <v>65102200</v>
      </c>
      <c r="B482" s="53" t="str">
        <f>VLOOKUP($A482,[1]maaltijden!$A$1:$IV$65536,4,FALSE)</f>
        <v>DMB VARKENSLAPJE VLEESJUS 1,9KG</v>
      </c>
      <c r="C482" s="46" t="str">
        <f>VLOOKUP($A482,[1]maaltijden!$A$1:$IV$65536,7,FALSE)</f>
        <v>C2325-1C</v>
      </c>
      <c r="D482" s="22" t="str">
        <f>VLOOKUP($A482,[1]maaltijden!$A$1:$IV$65536,10,FALSE)</f>
        <v>NVT</v>
      </c>
      <c r="E482" s="22" t="str">
        <f>VLOOKUP($A482,[1]maaltijden!$A$1:$IV$65536,13,FALSE)</f>
        <v>BULK HO</v>
      </c>
      <c r="F482" s="20">
        <f t="shared" si="7"/>
        <v>0</v>
      </c>
      <c r="G482" s="20" t="str">
        <f>VLOOKUP($A482,[1]maaltijden!$A$1:$IV$65536,27,FALSE)</f>
        <v>! !</v>
      </c>
      <c r="H482" s="22">
        <f>VLOOKUP($A482,[1]maaltijden!$A$1:$IV$65536,21,FALSE)</f>
        <v>6</v>
      </c>
      <c r="I482" s="22">
        <f>VLOOKUP($A482,[1]maaltijden!$A$1:$IV$65536,21,FALSE)</f>
        <v>6</v>
      </c>
      <c r="J482" s="22">
        <f>VLOOKUP($A482,[1]maaltijden!$A$1:$IV$65536,18,FALSE)</f>
        <v>3</v>
      </c>
      <c r="K482" s="22">
        <f>VLOOKUP($A482,[1]maaltijden!$A$1:$IV$65536,17,FALSE)</f>
        <v>1</v>
      </c>
      <c r="L482" s="22">
        <f>VLOOKUP($A482,[1]maaltijden!$A$1:$IV$65536,20,FALSE)</f>
        <v>650</v>
      </c>
      <c r="M482" s="22">
        <f>VLOOKUP($A482,[1]maaltijden!$A$1:$IV$65536,22,FALSE)</f>
        <v>650</v>
      </c>
      <c r="N482" s="135"/>
      <c r="O482" s="50">
        <v>65102300</v>
      </c>
      <c r="P482" s="19">
        <v>0</v>
      </c>
      <c r="Q482" s="20">
        <v>1</v>
      </c>
      <c r="R482" s="21">
        <v>0</v>
      </c>
      <c r="S482" s="19">
        <v>0</v>
      </c>
      <c r="T482" s="20">
        <v>1</v>
      </c>
      <c r="U482" s="19">
        <v>0</v>
      </c>
      <c r="V482" s="20">
        <v>1</v>
      </c>
      <c r="W482" s="20">
        <v>1</v>
      </c>
      <c r="X482" s="20">
        <v>1</v>
      </c>
      <c r="Y482" s="20">
        <v>1</v>
      </c>
      <c r="Z482" s="20">
        <v>0</v>
      </c>
      <c r="AA482" s="20">
        <v>0</v>
      </c>
      <c r="AB482" s="49">
        <v>0</v>
      </c>
      <c r="AC482" s="49"/>
      <c r="AD482" s="49">
        <v>0</v>
      </c>
      <c r="AE482" s="49">
        <v>0</v>
      </c>
      <c r="AF482" s="49">
        <v>0</v>
      </c>
      <c r="AG482" s="161">
        <v>0</v>
      </c>
      <c r="AH482" s="168">
        <v>1</v>
      </c>
      <c r="AI482" s="20"/>
      <c r="AJ482" s="20"/>
      <c r="AK482" s="20"/>
      <c r="AL482" s="21"/>
      <c r="AM482" s="19">
        <v>0</v>
      </c>
      <c r="AN482" s="20" t="str">
        <f>IFERROR(INDEX([2]lijnopstellingsfiche!$AP$1:$AP$65536,MATCH(A482,[2]lijnopstellingsfiche!$AQ$1:$AQ$65536,0)),"")</f>
        <v>-</v>
      </c>
      <c r="AO482" s="20">
        <v>0</v>
      </c>
      <c r="AP482" s="20">
        <v>0</v>
      </c>
      <c r="AQ482" s="20">
        <v>2</v>
      </c>
      <c r="AR482" s="20">
        <v>0</v>
      </c>
      <c r="AS482" s="20">
        <v>0</v>
      </c>
      <c r="AT482" s="20">
        <v>0</v>
      </c>
      <c r="AU482" s="20">
        <v>0</v>
      </c>
      <c r="AV482" s="23">
        <v>0</v>
      </c>
      <c r="AW482" s="108">
        <v>0</v>
      </c>
      <c r="AX482" s="108">
        <v>0</v>
      </c>
      <c r="AY482" s="108">
        <v>0</v>
      </c>
      <c r="AZ482" s="108">
        <v>0</v>
      </c>
      <c r="BA482" s="114">
        <v>1</v>
      </c>
      <c r="BB482" s="20">
        <v>0</v>
      </c>
      <c r="BC482" s="113">
        <v>0</v>
      </c>
      <c r="BD482" s="200" t="str">
        <f>VLOOKUP($A482,'[3]allergenen 6nr'!$A$1:$O$1310,3,FALSE)</f>
        <v>-</v>
      </c>
      <c r="BE482" s="201" t="str">
        <f>VLOOKUP($A482,'[3]allergenen 6nr'!$A$1:$O$1310,4,FALSE)</f>
        <v>X</v>
      </c>
      <c r="BF482" s="201" t="str">
        <f>VLOOKUP($A482,'[3]allergenen 6nr'!$A$1:$O$1310,5,FALSE)</f>
        <v>+</v>
      </c>
      <c r="BG482" s="201" t="str">
        <f>VLOOKUP($A482,'[3]allergenen 6nr'!$A$1:$O$1310,6,FALSE)</f>
        <v>X</v>
      </c>
      <c r="BH482" s="201" t="str">
        <f>VLOOKUP($A482,'[3]allergenen 6nr'!$A$1:$O$1310,7,FALSE)</f>
        <v>X</v>
      </c>
      <c r="BI482" s="201" t="str">
        <f>VLOOKUP($A482,'[3]allergenen 6nr'!$A$1:$O$1310,8,FALSE)</f>
        <v>X</v>
      </c>
      <c r="BJ482" s="201" t="str">
        <f>VLOOKUP($A482,'[3]allergenen 6nr'!$A$1:$O$1310,9,FALSE)</f>
        <v>X</v>
      </c>
      <c r="BK482" s="201" t="str">
        <f>VLOOKUP($A482,'[3]allergenen 6nr'!$A$1:$O$1310,10,FALSE)</f>
        <v>X</v>
      </c>
      <c r="BL482" s="201" t="str">
        <f>VLOOKUP($A482,'[3]allergenen 6nr'!$A$1:$O$1310,11,FALSE)</f>
        <v>X</v>
      </c>
      <c r="BM482" s="201" t="str">
        <f>VLOOKUP($A482,'[3]allergenen 6nr'!$A$1:$O$1310,12,FALSE)</f>
        <v>-</v>
      </c>
      <c r="BN482" s="201" t="str">
        <f>VLOOKUP($A482,'[3]allergenen 6nr'!$A$1:$O$1310,13,FALSE)</f>
        <v>X</v>
      </c>
      <c r="BO482" s="201" t="str">
        <f>VLOOKUP($A482,'[3]allergenen 6nr'!$A$1:$O$1310,14,FALSE)</f>
        <v>X</v>
      </c>
      <c r="BP482" s="202" t="str">
        <f>VLOOKUP($A482,'[3]allergenen 6nr'!$A$1:$O$1310,15,FALSE)</f>
        <v>X</v>
      </c>
    </row>
    <row r="483" spans="1:68" x14ac:dyDescent="0.2">
      <c r="A483" s="54">
        <v>65102300</v>
      </c>
      <c r="B483" s="53" t="str">
        <f>VLOOKUP($A483,[1]maaltijden!$A$1:$IV$65536,4,FALSE)</f>
        <v>DMB VARKENSLAPJE GESNEDEN VLEESJUS 1,9KG</v>
      </c>
      <c r="C483" s="46" t="str">
        <f>VLOOKUP($A483,[1]maaltijden!$A$1:$IV$65536,7,FALSE)</f>
        <v>C2325-1C</v>
      </c>
      <c r="D483" s="22" t="str">
        <f>VLOOKUP($A483,[1]maaltijden!$A$1:$IV$65536,10,FALSE)</f>
        <v>NVT</v>
      </c>
      <c r="E483" s="22" t="str">
        <f>VLOOKUP($A483,[1]maaltijden!$A$1:$IV$65536,13,FALSE)</f>
        <v>BULK HO</v>
      </c>
      <c r="F483" s="20">
        <f t="shared" si="7"/>
        <v>0</v>
      </c>
      <c r="G483" s="20" t="str">
        <f>VLOOKUP($A483,[1]maaltijden!$A$1:$IV$65536,27,FALSE)</f>
        <v>! !</v>
      </c>
      <c r="H483" s="22">
        <f>VLOOKUP($A483,[1]maaltijden!$A$1:$IV$65536,21,FALSE)</f>
        <v>6</v>
      </c>
      <c r="I483" s="22">
        <f>VLOOKUP($A483,[1]maaltijden!$A$1:$IV$65536,21,FALSE)</f>
        <v>6</v>
      </c>
      <c r="J483" s="22">
        <f>VLOOKUP($A483,[1]maaltijden!$A$1:$IV$65536,18,FALSE)</f>
        <v>3</v>
      </c>
      <c r="K483" s="22">
        <f>VLOOKUP($A483,[1]maaltijden!$A$1:$IV$65536,17,FALSE)</f>
        <v>1</v>
      </c>
      <c r="L483" s="22">
        <f>VLOOKUP($A483,[1]maaltijden!$A$1:$IV$65536,20,FALSE)</f>
        <v>650</v>
      </c>
      <c r="M483" s="22">
        <f>VLOOKUP($A483,[1]maaltijden!$A$1:$IV$65536,22,FALSE)</f>
        <v>650</v>
      </c>
      <c r="N483" s="135"/>
      <c r="O483" s="50">
        <v>65102200</v>
      </c>
      <c r="P483" s="19">
        <v>0</v>
      </c>
      <c r="Q483" s="20">
        <v>1</v>
      </c>
      <c r="R483" s="21">
        <v>0</v>
      </c>
      <c r="S483" s="19">
        <v>0</v>
      </c>
      <c r="T483" s="20">
        <v>1</v>
      </c>
      <c r="U483" s="19"/>
      <c r="V483" s="20"/>
      <c r="W483" s="20"/>
      <c r="X483" s="20"/>
      <c r="Y483" s="20"/>
      <c r="Z483" s="20"/>
      <c r="AA483" s="20"/>
      <c r="AB483" s="49"/>
      <c r="AC483" s="49"/>
      <c r="AD483" s="49"/>
      <c r="AE483" s="49"/>
      <c r="AF483" s="49"/>
      <c r="AG483" s="161">
        <v>0</v>
      </c>
      <c r="AH483" s="168">
        <v>1</v>
      </c>
      <c r="AI483" s="20"/>
      <c r="AJ483" s="20"/>
      <c r="AK483" s="20"/>
      <c r="AL483" s="21"/>
      <c r="AM483" s="19">
        <v>0</v>
      </c>
      <c r="AN483" s="20">
        <f>IFERROR(INDEX([2]lijnopstellingsfiche!$AP$1:$AP$65536,MATCH(A483,[2]lijnopstellingsfiche!$AQ$1:$AQ$65536,0)),"")</f>
        <v>4</v>
      </c>
      <c r="AO483" s="20">
        <v>0</v>
      </c>
      <c r="AP483" s="20">
        <v>0</v>
      </c>
      <c r="AQ483" s="20">
        <v>2</v>
      </c>
      <c r="AR483" s="20">
        <v>0</v>
      </c>
      <c r="AS483" s="20">
        <v>0</v>
      </c>
      <c r="AT483" s="20">
        <v>0</v>
      </c>
      <c r="AU483" s="20">
        <v>0</v>
      </c>
      <c r="AV483" s="23">
        <v>0</v>
      </c>
      <c r="AW483" s="108">
        <v>0</v>
      </c>
      <c r="AX483" s="108">
        <v>0</v>
      </c>
      <c r="AY483" s="108">
        <v>0</v>
      </c>
      <c r="AZ483" s="108">
        <v>0</v>
      </c>
      <c r="BA483" s="114">
        <v>1</v>
      </c>
      <c r="BB483" s="20">
        <v>0</v>
      </c>
      <c r="BC483" s="113">
        <v>0</v>
      </c>
      <c r="BD483" s="200" t="str">
        <f>VLOOKUP($A483,'[3]allergenen 6nr'!$A$1:$O$1310,3,FALSE)</f>
        <v>-</v>
      </c>
      <c r="BE483" s="201" t="str">
        <f>VLOOKUP($A483,'[3]allergenen 6nr'!$A$1:$O$1310,4,FALSE)</f>
        <v>X</v>
      </c>
      <c r="BF483" s="201" t="str">
        <f>VLOOKUP($A483,'[3]allergenen 6nr'!$A$1:$O$1310,5,FALSE)</f>
        <v>+</v>
      </c>
      <c r="BG483" s="201" t="str">
        <f>VLOOKUP($A483,'[3]allergenen 6nr'!$A$1:$O$1310,6,FALSE)</f>
        <v>X</v>
      </c>
      <c r="BH483" s="201" t="str">
        <f>VLOOKUP($A483,'[3]allergenen 6nr'!$A$1:$O$1310,7,FALSE)</f>
        <v>X</v>
      </c>
      <c r="BI483" s="201" t="str">
        <f>VLOOKUP($A483,'[3]allergenen 6nr'!$A$1:$O$1310,8,FALSE)</f>
        <v>X</v>
      </c>
      <c r="BJ483" s="201" t="str">
        <f>VLOOKUP($A483,'[3]allergenen 6nr'!$A$1:$O$1310,9,FALSE)</f>
        <v>X</v>
      </c>
      <c r="BK483" s="201" t="str">
        <f>VLOOKUP($A483,'[3]allergenen 6nr'!$A$1:$O$1310,10,FALSE)</f>
        <v>X</v>
      </c>
      <c r="BL483" s="201" t="str">
        <f>VLOOKUP($A483,'[3]allergenen 6nr'!$A$1:$O$1310,11,FALSE)</f>
        <v>X</v>
      </c>
      <c r="BM483" s="201" t="str">
        <f>VLOOKUP($A483,'[3]allergenen 6nr'!$A$1:$O$1310,12,FALSE)</f>
        <v>-</v>
      </c>
      <c r="BN483" s="201" t="str">
        <f>VLOOKUP($A483,'[3]allergenen 6nr'!$A$1:$O$1310,13,FALSE)</f>
        <v>X</v>
      </c>
      <c r="BO483" s="201" t="str">
        <f>VLOOKUP($A483,'[3]allergenen 6nr'!$A$1:$O$1310,14,FALSE)</f>
        <v>X</v>
      </c>
      <c r="BP483" s="202" t="str">
        <f>VLOOKUP($A483,'[3]allergenen 6nr'!$A$1:$O$1310,15,FALSE)</f>
        <v>X</v>
      </c>
    </row>
    <row r="484" spans="1:68" x14ac:dyDescent="0.2">
      <c r="A484" s="54">
        <v>65102400</v>
      </c>
      <c r="B484" s="53" t="str">
        <f>VLOOKUP($A484,[1]maaltijden!$A$1:$IV$65536,4,FALSE)</f>
        <v>DMB VARKENSSTOOFVLEES 2,1KG</v>
      </c>
      <c r="C484" s="46" t="str">
        <f>VLOOKUP($A484,[1]maaltijden!$A$1:$IV$65536,7,FALSE)</f>
        <v>C2325-1C</v>
      </c>
      <c r="D484" s="22" t="str">
        <f>VLOOKUP($A484,[1]maaltijden!$A$1:$IV$65536,10,FALSE)</f>
        <v>NVT</v>
      </c>
      <c r="E484" s="22" t="str">
        <f>VLOOKUP($A484,[1]maaltijden!$A$1:$IV$65536,13,FALSE)</f>
        <v>BULK HO</v>
      </c>
      <c r="F484" s="20">
        <f t="shared" si="7"/>
        <v>0</v>
      </c>
      <c r="G484" s="20" t="str">
        <f>VLOOKUP($A484,[1]maaltijden!$A$1:$IV$65536,27,FALSE)</f>
        <v>! ! !</v>
      </c>
      <c r="H484" s="22">
        <f>VLOOKUP($A484,[1]maaltijden!$A$1:$IV$65536,21,FALSE)</f>
        <v>5</v>
      </c>
      <c r="I484" s="22">
        <f>VLOOKUP($A484,[1]maaltijden!$A$1:$IV$65536,21,FALSE)</f>
        <v>5</v>
      </c>
      <c r="J484" s="22">
        <f>VLOOKUP($A484,[1]maaltijden!$A$1:$IV$65536,18,FALSE)</f>
        <v>3</v>
      </c>
      <c r="K484" s="22">
        <f>VLOOKUP($A484,[1]maaltijden!$A$1:$IV$65536,17,FALSE)</f>
        <v>1</v>
      </c>
      <c r="L484" s="22">
        <f>VLOOKUP($A484,[1]maaltijden!$A$1:$IV$65536,20,FALSE)</f>
        <v>600</v>
      </c>
      <c r="M484" s="22">
        <f>VLOOKUP($A484,[1]maaltijden!$A$1:$IV$65536,22,FALSE)</f>
        <v>600</v>
      </c>
      <c r="N484" s="135"/>
      <c r="O484" s="50">
        <v>0</v>
      </c>
      <c r="P484" s="19">
        <v>0</v>
      </c>
      <c r="Q484" s="20">
        <v>1</v>
      </c>
      <c r="R484" s="21">
        <v>0</v>
      </c>
      <c r="S484" s="19">
        <v>0</v>
      </c>
      <c r="T484" s="20">
        <v>1</v>
      </c>
      <c r="U484" s="19">
        <v>0</v>
      </c>
      <c r="V484" s="20">
        <v>1</v>
      </c>
      <c r="W484" s="20">
        <v>1</v>
      </c>
      <c r="X484" s="20">
        <v>1</v>
      </c>
      <c r="Y484" s="20">
        <v>1</v>
      </c>
      <c r="Z484" s="20">
        <v>1</v>
      </c>
      <c r="AA484" s="20">
        <v>0</v>
      </c>
      <c r="AB484" s="49">
        <v>1</v>
      </c>
      <c r="AC484" s="49"/>
      <c r="AD484" s="49">
        <v>0</v>
      </c>
      <c r="AE484" s="49">
        <v>0</v>
      </c>
      <c r="AF484" s="49">
        <v>0</v>
      </c>
      <c r="AG484" s="161">
        <v>0</v>
      </c>
      <c r="AH484" s="168">
        <v>1</v>
      </c>
      <c r="AI484" s="20"/>
      <c r="AJ484" s="20"/>
      <c r="AK484" s="20"/>
      <c r="AL484" s="21"/>
      <c r="AM484" s="19">
        <v>0</v>
      </c>
      <c r="AN484" s="20">
        <f>IFERROR(INDEX([2]lijnopstellingsfiche!$AP$1:$AP$65536,MATCH(A484,[2]lijnopstellingsfiche!$AQ$1:$AQ$65536,0)),"")</f>
        <v>4</v>
      </c>
      <c r="AO484" s="20">
        <v>0</v>
      </c>
      <c r="AP484" s="20">
        <v>0</v>
      </c>
      <c r="AQ484" s="20">
        <v>2</v>
      </c>
      <c r="AR484" s="20">
        <v>0</v>
      </c>
      <c r="AS484" s="20">
        <v>0</v>
      </c>
      <c r="AT484" s="20">
        <v>0</v>
      </c>
      <c r="AU484" s="20">
        <v>0</v>
      </c>
      <c r="AV484" s="23">
        <v>0</v>
      </c>
      <c r="AW484" s="108">
        <v>0</v>
      </c>
      <c r="AX484" s="108">
        <v>0</v>
      </c>
      <c r="AY484" s="108">
        <v>0</v>
      </c>
      <c r="AZ484" s="108">
        <v>0</v>
      </c>
      <c r="BA484" s="114">
        <v>1</v>
      </c>
      <c r="BB484" s="20">
        <v>0</v>
      </c>
      <c r="BC484" s="113">
        <v>0</v>
      </c>
      <c r="BD484" s="200" t="str">
        <f>VLOOKUP($A484,'[3]allergenen 6nr'!$A$1:$O$1310,3,FALSE)</f>
        <v>-</v>
      </c>
      <c r="BE484" s="201" t="str">
        <f>VLOOKUP($A484,'[3]allergenen 6nr'!$A$1:$O$1310,4,FALSE)</f>
        <v>-</v>
      </c>
      <c r="BF484" s="201" t="str">
        <f>VLOOKUP($A484,'[3]allergenen 6nr'!$A$1:$O$1310,5,FALSE)</f>
        <v>+</v>
      </c>
      <c r="BG484" s="201" t="str">
        <f>VLOOKUP($A484,'[3]allergenen 6nr'!$A$1:$O$1310,6,FALSE)</f>
        <v>X</v>
      </c>
      <c r="BH484" s="201" t="str">
        <f>VLOOKUP($A484,'[3]allergenen 6nr'!$A$1:$O$1310,7,FALSE)</f>
        <v>-</v>
      </c>
      <c r="BI484" s="201" t="str">
        <f>VLOOKUP($A484,'[3]allergenen 6nr'!$A$1:$O$1310,8,FALSE)</f>
        <v>+</v>
      </c>
      <c r="BJ484" s="201" t="str">
        <f>VLOOKUP($A484,'[3]allergenen 6nr'!$A$1:$O$1310,9,FALSE)</f>
        <v>-</v>
      </c>
      <c r="BK484" s="201" t="str">
        <f>VLOOKUP($A484,'[3]allergenen 6nr'!$A$1:$O$1310,10,FALSE)</f>
        <v>-</v>
      </c>
      <c r="BL484" s="201" t="str">
        <f>VLOOKUP($A484,'[3]allergenen 6nr'!$A$1:$O$1310,11,FALSE)</f>
        <v>+</v>
      </c>
      <c r="BM484" s="201" t="str">
        <f>VLOOKUP($A484,'[3]allergenen 6nr'!$A$1:$O$1310,12,FALSE)</f>
        <v>-</v>
      </c>
      <c r="BN484" s="201" t="str">
        <f>VLOOKUP($A484,'[3]allergenen 6nr'!$A$1:$O$1310,13,FALSE)</f>
        <v>X</v>
      </c>
      <c r="BO484" s="201" t="str">
        <f>VLOOKUP($A484,'[3]allergenen 6nr'!$A$1:$O$1310,14,FALSE)</f>
        <v>-</v>
      </c>
      <c r="BP484" s="202" t="str">
        <f>VLOOKUP($A484,'[3]allergenen 6nr'!$A$1:$O$1310,15,FALSE)</f>
        <v>-</v>
      </c>
    </row>
    <row r="485" spans="1:68" x14ac:dyDescent="0.2">
      <c r="A485" s="126">
        <v>65102700</v>
      </c>
      <c r="B485" s="53" t="str">
        <f>VLOOKUP($A485,[1]maaltijden!$A$1:$IV$65536,4,FALSE)</f>
        <v>DMB VARKENSREEPJES PAPRIKA-CHAMPIGNONSAUS 1,9KG</v>
      </c>
      <c r="C485" s="46" t="str">
        <f>VLOOKUP($A485,[1]maaltijden!$A$1:$IV$65536,7,FALSE)</f>
        <v>C2325-1C</v>
      </c>
      <c r="D485" s="22" t="str">
        <f>VLOOKUP($A485,[1]maaltijden!$A$1:$IV$65536,10,FALSE)</f>
        <v>NVT</v>
      </c>
      <c r="E485" s="22" t="str">
        <f>VLOOKUP($A485,[1]maaltijden!$A$1:$IV$65536,13,FALSE)</f>
        <v>BULK HO</v>
      </c>
      <c r="F485" s="20">
        <f t="shared" si="7"/>
        <v>0</v>
      </c>
      <c r="G485" s="20" t="str">
        <f>VLOOKUP($A485,[1]maaltijden!$A$1:$IV$65536,27,FALSE)</f>
        <v>! ! !</v>
      </c>
      <c r="H485" s="22">
        <f>VLOOKUP($A485,[1]maaltijden!$A$1:$IV$65536,21,FALSE)</f>
        <v>5</v>
      </c>
      <c r="I485" s="22">
        <f>VLOOKUP($A485,[1]maaltijden!$A$1:$IV$65536,21,FALSE)</f>
        <v>5</v>
      </c>
      <c r="J485" s="22">
        <f>VLOOKUP($A485,[1]maaltijden!$A$1:$IV$65536,18,FALSE)</f>
        <v>3</v>
      </c>
      <c r="K485" s="22">
        <f>VLOOKUP($A485,[1]maaltijden!$A$1:$IV$65536,17,FALSE)</f>
        <v>1</v>
      </c>
      <c r="L485" s="22">
        <f>VLOOKUP($A485,[1]maaltijden!$A$1:$IV$65536,20,FALSE)</f>
        <v>650</v>
      </c>
      <c r="M485" s="22">
        <f>VLOOKUP($A485,[1]maaltijden!$A$1:$IV$65536,22,FALSE)</f>
        <v>650</v>
      </c>
      <c r="N485" s="135"/>
      <c r="O485" s="50">
        <v>0</v>
      </c>
      <c r="P485" s="19">
        <v>0</v>
      </c>
      <c r="Q485" s="20">
        <v>1</v>
      </c>
      <c r="R485" s="21">
        <v>0</v>
      </c>
      <c r="S485" s="19">
        <v>0</v>
      </c>
      <c r="T485" s="20">
        <v>1</v>
      </c>
      <c r="U485" s="19">
        <v>0</v>
      </c>
      <c r="V485" s="20">
        <v>1</v>
      </c>
      <c r="W485" s="20">
        <v>1</v>
      </c>
      <c r="X485" s="20">
        <v>1</v>
      </c>
      <c r="Y485" s="20">
        <v>1</v>
      </c>
      <c r="Z485" s="20">
        <v>0</v>
      </c>
      <c r="AA485" s="20">
        <v>0</v>
      </c>
      <c r="AB485" s="49">
        <v>0</v>
      </c>
      <c r="AC485" s="49">
        <v>0</v>
      </c>
      <c r="AD485" s="49">
        <v>0</v>
      </c>
      <c r="AE485" s="49">
        <v>1</v>
      </c>
      <c r="AF485" s="49">
        <v>0</v>
      </c>
      <c r="AG485" s="161">
        <v>0</v>
      </c>
      <c r="AH485" s="168">
        <v>1</v>
      </c>
      <c r="AI485" s="20"/>
      <c r="AJ485" s="20"/>
      <c r="AK485" s="20"/>
      <c r="AL485" s="21"/>
      <c r="AM485" s="19">
        <v>0</v>
      </c>
      <c r="AN485" s="20">
        <f>IFERROR(INDEX([2]lijnopstellingsfiche!$AP$1:$AP$65536,MATCH(A485,[2]lijnopstellingsfiche!$AQ$1:$AQ$65536,0)),"")</f>
        <v>4</v>
      </c>
      <c r="AO485" s="20">
        <v>0</v>
      </c>
      <c r="AP485" s="20">
        <v>0</v>
      </c>
      <c r="AQ485" s="20">
        <v>2</v>
      </c>
      <c r="AR485" s="20">
        <v>0</v>
      </c>
      <c r="AS485" s="20">
        <v>0</v>
      </c>
      <c r="AT485" s="20">
        <v>0</v>
      </c>
      <c r="AU485" s="20">
        <v>0</v>
      </c>
      <c r="AV485" s="23">
        <v>0</v>
      </c>
      <c r="AW485" s="108">
        <v>0</v>
      </c>
      <c r="AX485" s="108">
        <v>0</v>
      </c>
      <c r="AY485" s="108">
        <v>0</v>
      </c>
      <c r="AZ485" s="108">
        <v>0</v>
      </c>
      <c r="BA485" s="114">
        <v>1</v>
      </c>
      <c r="BB485" s="20">
        <v>0</v>
      </c>
      <c r="BC485" s="113">
        <v>0</v>
      </c>
      <c r="BD485" s="200" t="str">
        <f>VLOOKUP($A485,'[3]allergenen 6nr'!$A$1:$O$1310,3,FALSE)</f>
        <v>-</v>
      </c>
      <c r="BE485" s="201" t="str">
        <f>VLOOKUP($A485,'[3]allergenen 6nr'!$A$1:$O$1310,4,FALSE)</f>
        <v>X</v>
      </c>
      <c r="BF485" s="201" t="str">
        <f>VLOOKUP($A485,'[3]allergenen 6nr'!$A$1:$O$1310,5,FALSE)</f>
        <v>+</v>
      </c>
      <c r="BG485" s="201" t="str">
        <f>VLOOKUP($A485,'[3]allergenen 6nr'!$A$1:$O$1310,6,FALSE)</f>
        <v>X</v>
      </c>
      <c r="BH485" s="201" t="str">
        <f>VLOOKUP($A485,'[3]allergenen 6nr'!$A$1:$O$1310,7,FALSE)</f>
        <v>+</v>
      </c>
      <c r="BI485" s="201" t="str">
        <f>VLOOKUP($A485,'[3]allergenen 6nr'!$A$1:$O$1310,8,FALSE)</f>
        <v>X</v>
      </c>
      <c r="BJ485" s="201" t="str">
        <f>VLOOKUP($A485,'[3]allergenen 6nr'!$A$1:$O$1310,9,FALSE)</f>
        <v>X</v>
      </c>
      <c r="BK485" s="201" t="str">
        <f>VLOOKUP($A485,'[3]allergenen 6nr'!$A$1:$O$1310,10,FALSE)</f>
        <v>X</v>
      </c>
      <c r="BL485" s="201" t="str">
        <f>VLOOKUP($A485,'[3]allergenen 6nr'!$A$1:$O$1310,11,FALSE)</f>
        <v>+</v>
      </c>
      <c r="BM485" s="201" t="str">
        <f>VLOOKUP($A485,'[3]allergenen 6nr'!$A$1:$O$1310,12,FALSE)</f>
        <v>-</v>
      </c>
      <c r="BN485" s="201" t="str">
        <f>VLOOKUP($A485,'[3]allergenen 6nr'!$A$1:$O$1310,13,FALSE)</f>
        <v>X</v>
      </c>
      <c r="BO485" s="201" t="str">
        <f>VLOOKUP($A485,'[3]allergenen 6nr'!$A$1:$O$1310,14,FALSE)</f>
        <v>X</v>
      </c>
      <c r="BP485" s="202" t="str">
        <f>VLOOKUP($A485,'[3]allergenen 6nr'!$A$1:$O$1310,15,FALSE)</f>
        <v>X</v>
      </c>
    </row>
    <row r="486" spans="1:68" x14ac:dyDescent="0.2">
      <c r="A486" s="54">
        <v>65102800</v>
      </c>
      <c r="B486" s="53" t="str">
        <f>VLOOKUP($A486,[1]maaltijden!$A$1:$IV$65536,4,FALSE)</f>
        <v>DMB VARKENSGYROS MEDITERRAANS 1,9KG</v>
      </c>
      <c r="C486" s="46" t="str">
        <f>VLOOKUP($A486,[1]maaltijden!$A$1:$IV$65536,7,FALSE)</f>
        <v>C2325-1C</v>
      </c>
      <c r="D486" s="22" t="str">
        <f>VLOOKUP($A486,[1]maaltijden!$A$1:$IV$65536,10,FALSE)</f>
        <v>NVT</v>
      </c>
      <c r="E486" s="22" t="str">
        <f>VLOOKUP($A486,[1]maaltijden!$A$1:$IV$65536,13,FALSE)</f>
        <v>BULK HO</v>
      </c>
      <c r="F486" s="20">
        <f t="shared" si="7"/>
        <v>0</v>
      </c>
      <c r="G486" s="20" t="str">
        <f>VLOOKUP($A486,[1]maaltijden!$A$1:$IV$65536,27,FALSE)</f>
        <v>! ! !</v>
      </c>
      <c r="H486" s="22">
        <f>VLOOKUP($A486,[1]maaltijden!$A$1:$IV$65536,21,FALSE)</f>
        <v>5</v>
      </c>
      <c r="I486" s="22">
        <f>VLOOKUP($A486,[1]maaltijden!$A$1:$IV$65536,21,FALSE)</f>
        <v>5</v>
      </c>
      <c r="J486" s="22">
        <f>VLOOKUP($A486,[1]maaltijden!$A$1:$IV$65536,18,FALSE)</f>
        <v>3</v>
      </c>
      <c r="K486" s="22">
        <f>VLOOKUP($A486,[1]maaltijden!$A$1:$IV$65536,17,FALSE)</f>
        <v>1</v>
      </c>
      <c r="L486" s="22">
        <f>VLOOKUP($A486,[1]maaltijden!$A$1:$IV$65536,20,FALSE)</f>
        <v>650</v>
      </c>
      <c r="M486" s="22">
        <f>VLOOKUP($A486,[1]maaltijden!$A$1:$IV$65536,22,FALSE)</f>
        <v>650</v>
      </c>
      <c r="N486" s="135"/>
      <c r="O486" s="50">
        <v>0</v>
      </c>
      <c r="P486" s="19">
        <v>0</v>
      </c>
      <c r="Q486" s="20">
        <v>1</v>
      </c>
      <c r="R486" s="21">
        <v>0</v>
      </c>
      <c r="S486" s="19">
        <v>0</v>
      </c>
      <c r="T486" s="20">
        <v>1</v>
      </c>
      <c r="U486" s="19">
        <v>0</v>
      </c>
      <c r="V486" s="20">
        <v>1</v>
      </c>
      <c r="W486" s="20">
        <v>1</v>
      </c>
      <c r="X486" s="20">
        <v>1</v>
      </c>
      <c r="Y486" s="20">
        <v>1</v>
      </c>
      <c r="Z486" s="20">
        <v>0</v>
      </c>
      <c r="AA486" s="20">
        <v>0</v>
      </c>
      <c r="AB486" s="49">
        <v>1</v>
      </c>
      <c r="AC486" s="49"/>
      <c r="AD486" s="49">
        <v>0</v>
      </c>
      <c r="AE486" s="49">
        <v>0</v>
      </c>
      <c r="AF486" s="49">
        <v>0</v>
      </c>
      <c r="AG486" s="161">
        <v>0</v>
      </c>
      <c r="AH486" s="168">
        <v>1</v>
      </c>
      <c r="AI486" s="20"/>
      <c r="AJ486" s="20"/>
      <c r="AK486" s="20"/>
      <c r="AL486" s="21"/>
      <c r="AM486" s="19">
        <v>0</v>
      </c>
      <c r="AN486" s="20">
        <f>IFERROR(INDEX([2]lijnopstellingsfiche!$AP$1:$AP$65536,MATCH(A486,[2]lijnopstellingsfiche!$AQ$1:$AQ$65536,0)),"")</f>
        <v>4</v>
      </c>
      <c r="AO486" s="20">
        <v>0</v>
      </c>
      <c r="AP486" s="20">
        <v>0</v>
      </c>
      <c r="AQ486" s="20">
        <v>2</v>
      </c>
      <c r="AR486" s="20">
        <v>0</v>
      </c>
      <c r="AS486" s="20">
        <v>0</v>
      </c>
      <c r="AT486" s="20">
        <v>0</v>
      </c>
      <c r="AU486" s="20">
        <v>0</v>
      </c>
      <c r="AV486" s="23">
        <v>0</v>
      </c>
      <c r="AW486" s="108">
        <v>0</v>
      </c>
      <c r="AX486" s="108">
        <v>0</v>
      </c>
      <c r="AY486" s="108">
        <v>0</v>
      </c>
      <c r="AZ486" s="108">
        <v>0</v>
      </c>
      <c r="BA486" s="114">
        <v>1</v>
      </c>
      <c r="BB486" s="20">
        <v>0</v>
      </c>
      <c r="BC486" s="113">
        <v>0</v>
      </c>
      <c r="BD486" s="200" t="str">
        <f>VLOOKUP($A486,'[3]allergenen 6nr'!$A$1:$O$1310,3,FALSE)</f>
        <v>-</v>
      </c>
      <c r="BE486" s="201" t="str">
        <f>VLOOKUP($A486,'[3]allergenen 6nr'!$A$1:$O$1310,4,FALSE)</f>
        <v>X</v>
      </c>
      <c r="BF486" s="201" t="str">
        <f>VLOOKUP($A486,'[3]allergenen 6nr'!$A$1:$O$1310,5,FALSE)</f>
        <v>X</v>
      </c>
      <c r="BG486" s="201" t="str">
        <f>VLOOKUP($A486,'[3]allergenen 6nr'!$A$1:$O$1310,6,FALSE)</f>
        <v>-</v>
      </c>
      <c r="BH486" s="201" t="str">
        <f>VLOOKUP($A486,'[3]allergenen 6nr'!$A$1:$O$1310,7,FALSE)</f>
        <v>X</v>
      </c>
      <c r="BI486" s="201" t="str">
        <f>VLOOKUP($A486,'[3]allergenen 6nr'!$A$1:$O$1310,8,FALSE)</f>
        <v>X</v>
      </c>
      <c r="BJ486" s="201" t="str">
        <f>VLOOKUP($A486,'[3]allergenen 6nr'!$A$1:$O$1310,9,FALSE)</f>
        <v>X</v>
      </c>
      <c r="BK486" s="201" t="str">
        <f>VLOOKUP($A486,'[3]allergenen 6nr'!$A$1:$O$1310,10,FALSE)</f>
        <v>X</v>
      </c>
      <c r="BL486" s="201" t="str">
        <f>VLOOKUP($A486,'[3]allergenen 6nr'!$A$1:$O$1310,11,FALSE)</f>
        <v>+</v>
      </c>
      <c r="BM486" s="201" t="str">
        <f>VLOOKUP($A486,'[3]allergenen 6nr'!$A$1:$O$1310,12,FALSE)</f>
        <v>-</v>
      </c>
      <c r="BN486" s="201" t="str">
        <f>VLOOKUP($A486,'[3]allergenen 6nr'!$A$1:$O$1310,13,FALSE)</f>
        <v>X</v>
      </c>
      <c r="BO486" s="201" t="str">
        <f>VLOOKUP($A486,'[3]allergenen 6nr'!$A$1:$O$1310,14,FALSE)</f>
        <v>X</v>
      </c>
      <c r="BP486" s="202" t="str">
        <f>VLOOKUP($A486,'[3]allergenen 6nr'!$A$1:$O$1310,15,FALSE)</f>
        <v>X</v>
      </c>
    </row>
    <row r="487" spans="1:68" x14ac:dyDescent="0.2">
      <c r="A487" s="54">
        <v>65102900</v>
      </c>
      <c r="B487" s="53" t="str">
        <f>VLOOKUP($A487,[1]maaltijden!$A$1:$IV$65536,4,FALSE)</f>
        <v>DMB WITLOOF HAM KAAS 2,35KG</v>
      </c>
      <c r="C487" s="46" t="str">
        <f>VLOOKUP($A487,[1]maaltijden!$A$1:$IV$65536,7,FALSE)</f>
        <v>C2325-1C</v>
      </c>
      <c r="D487" s="22" t="str">
        <f>VLOOKUP($A487,[1]maaltijden!$A$1:$IV$65536,10,FALSE)</f>
        <v>NVT</v>
      </c>
      <c r="E487" s="22" t="str">
        <f>VLOOKUP($A487,[1]maaltijden!$A$1:$IV$65536,13,FALSE)</f>
        <v>BULK HO</v>
      </c>
      <c r="F487" s="20">
        <f t="shared" si="7"/>
        <v>0</v>
      </c>
      <c r="G487" s="20" t="str">
        <f>VLOOKUP($A487,[1]maaltijden!$A$1:$IV$65536,27,FALSE)</f>
        <v>! !</v>
      </c>
      <c r="H487" s="22">
        <f>VLOOKUP($A487,[1]maaltijden!$A$1:$IV$65536,21,FALSE)</f>
        <v>8</v>
      </c>
      <c r="I487" s="22">
        <f>VLOOKUP($A487,[1]maaltijden!$A$1:$IV$65536,21,FALSE)</f>
        <v>8</v>
      </c>
      <c r="J487" s="22">
        <f>VLOOKUP($A487,[1]maaltijden!$A$1:$IV$65536,18,FALSE)</f>
        <v>3</v>
      </c>
      <c r="K487" s="22">
        <f>VLOOKUP($A487,[1]maaltijden!$A$1:$IV$65536,17,FALSE)</f>
        <v>1</v>
      </c>
      <c r="L487" s="22">
        <f>VLOOKUP($A487,[1]maaltijden!$A$1:$IV$65536,20,FALSE)</f>
        <v>275</v>
      </c>
      <c r="M487" s="22">
        <f>VLOOKUP($A487,[1]maaltijden!$A$1:$IV$65536,22,FALSE)</f>
        <v>275</v>
      </c>
      <c r="N487" s="135"/>
      <c r="O487" s="50">
        <v>0</v>
      </c>
      <c r="P487" s="19">
        <v>0</v>
      </c>
      <c r="Q487" s="20">
        <v>1</v>
      </c>
      <c r="R487" s="21">
        <v>0</v>
      </c>
      <c r="S487" s="19">
        <v>0</v>
      </c>
      <c r="T487" s="20">
        <v>1</v>
      </c>
      <c r="U487" s="19">
        <v>0</v>
      </c>
      <c r="V487" s="20">
        <v>1</v>
      </c>
      <c r="W487" s="20">
        <v>1</v>
      </c>
      <c r="X487" s="20">
        <v>1</v>
      </c>
      <c r="Y487" s="20">
        <v>1</v>
      </c>
      <c r="Z487" s="20">
        <v>1</v>
      </c>
      <c r="AA487" s="20">
        <v>0</v>
      </c>
      <c r="AB487" s="49">
        <v>0</v>
      </c>
      <c r="AC487" s="49"/>
      <c r="AD487" s="49">
        <v>0</v>
      </c>
      <c r="AE487" s="49">
        <v>0</v>
      </c>
      <c r="AF487" s="49">
        <v>1</v>
      </c>
      <c r="AG487" s="161">
        <v>0</v>
      </c>
      <c r="AH487" s="168">
        <v>1</v>
      </c>
      <c r="AI487" s="20"/>
      <c r="AJ487" s="20"/>
      <c r="AK487" s="20"/>
      <c r="AL487" s="21"/>
      <c r="AM487" s="19">
        <v>0</v>
      </c>
      <c r="AN487" s="20" t="str">
        <f>IFERROR(INDEX([2]lijnopstellingsfiche!$AP$1:$AP$65536,MATCH(A487,[2]lijnopstellingsfiche!$AQ$1:$AQ$65536,0)),"")</f>
        <v>-</v>
      </c>
      <c r="AO487" s="20">
        <v>0</v>
      </c>
      <c r="AP487" s="20">
        <v>1</v>
      </c>
      <c r="AQ487" s="20">
        <v>2</v>
      </c>
      <c r="AR487" s="20">
        <v>0</v>
      </c>
      <c r="AS487" s="20">
        <v>0</v>
      </c>
      <c r="AT487" s="20">
        <v>0</v>
      </c>
      <c r="AU487" s="20">
        <v>0</v>
      </c>
      <c r="AV487" s="23">
        <v>0</v>
      </c>
      <c r="AW487" s="108">
        <v>0</v>
      </c>
      <c r="AX487" s="108">
        <v>0</v>
      </c>
      <c r="AY487" s="108">
        <v>0</v>
      </c>
      <c r="AZ487" s="108">
        <v>0</v>
      </c>
      <c r="BA487" s="114">
        <v>1</v>
      </c>
      <c r="BB487" s="20">
        <v>0</v>
      </c>
      <c r="BC487" s="113">
        <v>0</v>
      </c>
      <c r="BD487" s="200" t="str">
        <f>VLOOKUP($A487,'[3]allergenen 6nr'!$A$1:$O$1310,3,FALSE)</f>
        <v>-</v>
      </c>
      <c r="BE487" s="201" t="str">
        <f>VLOOKUP($A487,'[3]allergenen 6nr'!$A$1:$O$1310,4,FALSE)</f>
        <v>-</v>
      </c>
      <c r="BF487" s="201" t="str">
        <f>VLOOKUP($A487,'[3]allergenen 6nr'!$A$1:$O$1310,5,FALSE)</f>
        <v>+</v>
      </c>
      <c r="BG487" s="201" t="str">
        <f>VLOOKUP($A487,'[3]allergenen 6nr'!$A$1:$O$1310,6,FALSE)</f>
        <v>X</v>
      </c>
      <c r="BH487" s="201" t="str">
        <f>VLOOKUP($A487,'[3]allergenen 6nr'!$A$1:$O$1310,7,FALSE)</f>
        <v>+</v>
      </c>
      <c r="BI487" s="201" t="str">
        <f>VLOOKUP($A487,'[3]allergenen 6nr'!$A$1:$O$1310,8,FALSE)</f>
        <v>X</v>
      </c>
      <c r="BJ487" s="201" t="str">
        <f>VLOOKUP($A487,'[3]allergenen 6nr'!$A$1:$O$1310,9,FALSE)</f>
        <v>-</v>
      </c>
      <c r="BK487" s="201" t="str">
        <f>VLOOKUP($A487,'[3]allergenen 6nr'!$A$1:$O$1310,10,FALSE)</f>
        <v>-</v>
      </c>
      <c r="BL487" s="201" t="str">
        <f>VLOOKUP($A487,'[3]allergenen 6nr'!$A$1:$O$1310,11,FALSE)</f>
        <v>-</v>
      </c>
      <c r="BM487" s="201" t="str">
        <f>VLOOKUP($A487,'[3]allergenen 6nr'!$A$1:$O$1310,12,FALSE)</f>
        <v>-</v>
      </c>
      <c r="BN487" s="201" t="str">
        <f>VLOOKUP($A487,'[3]allergenen 6nr'!$A$1:$O$1310,13,FALSE)</f>
        <v>X</v>
      </c>
      <c r="BO487" s="201" t="str">
        <f>VLOOKUP($A487,'[3]allergenen 6nr'!$A$1:$O$1310,14,FALSE)</f>
        <v>-</v>
      </c>
      <c r="BP487" s="202" t="str">
        <f>VLOOKUP($A487,'[3]allergenen 6nr'!$A$1:$O$1310,15,FALSE)</f>
        <v>-</v>
      </c>
    </row>
    <row r="488" spans="1:68" x14ac:dyDescent="0.2">
      <c r="A488" s="126">
        <v>65104000</v>
      </c>
      <c r="B488" s="53" t="str">
        <f>VLOOKUP($A488,[1]maaltijden!$A$1:$IV$65536,4,FALSE)</f>
        <v>DMB VLAAMSE STOVERIJ 2,1KG</v>
      </c>
      <c r="C488" s="46" t="str">
        <f>VLOOKUP($A488,[1]maaltijden!$A$1:$IV$65536,7,FALSE)</f>
        <v>C2325-1C</v>
      </c>
      <c r="D488" s="22" t="str">
        <f>VLOOKUP($A488,[1]maaltijden!$A$1:$IV$65536,10,FALSE)</f>
        <v>NVT</v>
      </c>
      <c r="E488" s="22" t="str">
        <f>VLOOKUP($A488,[1]maaltijden!$A$1:$IV$65536,13,FALSE)</f>
        <v>BULK HO</v>
      </c>
      <c r="F488" s="20">
        <f t="shared" si="7"/>
        <v>0</v>
      </c>
      <c r="G488" s="20" t="str">
        <f>VLOOKUP($A488,[1]maaltijden!$A$1:$IV$65536,27,FALSE)</f>
        <v>! ! !</v>
      </c>
      <c r="H488" s="22">
        <f>VLOOKUP($A488,[1]maaltijden!$A$1:$IV$65536,21,FALSE)</f>
        <v>3</v>
      </c>
      <c r="I488" s="22">
        <f>VLOOKUP($A488,[1]maaltijden!$A$1:$IV$65536,21,FALSE)</f>
        <v>3</v>
      </c>
      <c r="J488" s="22">
        <f>VLOOKUP($A488,[1]maaltijden!$A$1:$IV$65536,18,FALSE)</f>
        <v>3</v>
      </c>
      <c r="K488" s="22">
        <f>VLOOKUP($A488,[1]maaltijden!$A$1:$IV$65536,17,FALSE)</f>
        <v>1</v>
      </c>
      <c r="L488" s="22">
        <f>VLOOKUP($A488,[1]maaltijden!$A$1:$IV$65536,20,FALSE)</f>
        <v>600</v>
      </c>
      <c r="M488" s="22">
        <f>VLOOKUP($A488,[1]maaltijden!$A$1:$IV$65536,22,FALSE)</f>
        <v>600</v>
      </c>
      <c r="N488" s="135"/>
      <c r="O488" s="50">
        <v>0</v>
      </c>
      <c r="P488" s="19">
        <v>0</v>
      </c>
      <c r="Q488" s="20">
        <v>1</v>
      </c>
      <c r="R488" s="21">
        <v>0</v>
      </c>
      <c r="S488" s="19">
        <v>0</v>
      </c>
      <c r="T488" s="20">
        <v>1</v>
      </c>
      <c r="U488" s="19">
        <v>1</v>
      </c>
      <c r="V488" s="20">
        <v>1</v>
      </c>
      <c r="W488" s="20">
        <v>1</v>
      </c>
      <c r="X488" s="20">
        <v>1</v>
      </c>
      <c r="Y488" s="20">
        <v>1</v>
      </c>
      <c r="Z488" s="20">
        <v>0</v>
      </c>
      <c r="AA488" s="20">
        <v>0</v>
      </c>
      <c r="AB488" s="49">
        <v>0</v>
      </c>
      <c r="AC488" s="49">
        <v>0</v>
      </c>
      <c r="AD488" s="49">
        <v>0</v>
      </c>
      <c r="AE488" s="49">
        <v>0</v>
      </c>
      <c r="AF488" s="49">
        <v>0</v>
      </c>
      <c r="AG488" s="161">
        <v>0</v>
      </c>
      <c r="AH488" s="168">
        <v>1</v>
      </c>
      <c r="AI488" s="20"/>
      <c r="AJ488" s="20"/>
      <c r="AK488" s="20"/>
      <c r="AL488" s="21"/>
      <c r="AM488" s="19">
        <v>0</v>
      </c>
      <c r="AN488" s="20">
        <f>IFERROR(INDEX([2]lijnopstellingsfiche!$AP$1:$AP$65536,MATCH(A488,[2]lijnopstellingsfiche!$AQ$1:$AQ$65536,0)),"")</f>
        <v>1</v>
      </c>
      <c r="AO488" s="20">
        <v>0</v>
      </c>
      <c r="AP488" s="20">
        <v>0</v>
      </c>
      <c r="AQ488" s="20">
        <v>2</v>
      </c>
      <c r="AR488" s="20">
        <v>0</v>
      </c>
      <c r="AS488" s="20">
        <v>0</v>
      </c>
      <c r="AT488" s="20">
        <v>1</v>
      </c>
      <c r="AU488" s="20">
        <v>0</v>
      </c>
      <c r="AV488" s="23">
        <v>0</v>
      </c>
      <c r="AW488" s="108">
        <v>0</v>
      </c>
      <c r="AX488" s="108">
        <v>0</v>
      </c>
      <c r="AY488" s="108">
        <v>0</v>
      </c>
      <c r="AZ488" s="108">
        <v>0</v>
      </c>
      <c r="BA488" s="114">
        <v>1</v>
      </c>
      <c r="BB488" s="20">
        <v>0</v>
      </c>
      <c r="BC488" s="113">
        <v>0</v>
      </c>
      <c r="BD488" s="200" t="str">
        <f>VLOOKUP($A488,'[3]allergenen 6nr'!$A$1:$O$1310,3,FALSE)</f>
        <v>-</v>
      </c>
      <c r="BE488" s="201" t="str">
        <f>VLOOKUP($A488,'[3]allergenen 6nr'!$A$1:$O$1310,4,FALSE)</f>
        <v>X</v>
      </c>
      <c r="BF488" s="201" t="str">
        <f>VLOOKUP($A488,'[3]allergenen 6nr'!$A$1:$O$1310,5,FALSE)</f>
        <v>+</v>
      </c>
      <c r="BG488" s="201" t="str">
        <f>VLOOKUP($A488,'[3]allergenen 6nr'!$A$1:$O$1310,6,FALSE)</f>
        <v>X</v>
      </c>
      <c r="BH488" s="201" t="str">
        <f>VLOOKUP($A488,'[3]allergenen 6nr'!$A$1:$O$1310,7,FALSE)</f>
        <v>X</v>
      </c>
      <c r="BI488" s="201" t="str">
        <f>VLOOKUP($A488,'[3]allergenen 6nr'!$A$1:$O$1310,8,FALSE)</f>
        <v>+</v>
      </c>
      <c r="BJ488" s="201" t="str">
        <f>VLOOKUP($A488,'[3]allergenen 6nr'!$A$1:$O$1310,9,FALSE)</f>
        <v>-</v>
      </c>
      <c r="BK488" s="201" t="str">
        <f>VLOOKUP($A488,'[3]allergenen 6nr'!$A$1:$O$1310,10,FALSE)</f>
        <v>-</v>
      </c>
      <c r="BL488" s="201" t="str">
        <f>VLOOKUP($A488,'[3]allergenen 6nr'!$A$1:$O$1310,11,FALSE)</f>
        <v>+</v>
      </c>
      <c r="BM488" s="201" t="str">
        <f>VLOOKUP($A488,'[3]allergenen 6nr'!$A$1:$O$1310,12,FALSE)</f>
        <v>-</v>
      </c>
      <c r="BN488" s="201" t="str">
        <f>VLOOKUP($A488,'[3]allergenen 6nr'!$A$1:$O$1310,13,FALSE)</f>
        <v>X</v>
      </c>
      <c r="BO488" s="201" t="str">
        <f>VLOOKUP($A488,'[3]allergenen 6nr'!$A$1:$O$1310,14,FALSE)</f>
        <v>-</v>
      </c>
      <c r="BP488" s="202" t="str">
        <f>VLOOKUP($A488,'[3]allergenen 6nr'!$A$1:$O$1310,15,FALSE)</f>
        <v>-</v>
      </c>
    </row>
    <row r="489" spans="1:68" x14ac:dyDescent="0.2">
      <c r="A489" s="54">
        <v>65104200</v>
      </c>
      <c r="B489" s="53" t="str">
        <f>VLOOKUP($A489,[1]maaltijden!$A$1:$IV$65536,4,FALSE)</f>
        <v>DMB RUNDSGOULASH 1,9KG</v>
      </c>
      <c r="C489" s="46" t="str">
        <f>VLOOKUP($A489,[1]maaltijden!$A$1:$IV$65536,7,FALSE)</f>
        <v>C2325-1C</v>
      </c>
      <c r="D489" s="22" t="str">
        <f>VLOOKUP($A489,[1]maaltijden!$A$1:$IV$65536,10,FALSE)</f>
        <v>NVT</v>
      </c>
      <c r="E489" s="22" t="str">
        <f>VLOOKUP($A489,[1]maaltijden!$A$1:$IV$65536,13,FALSE)</f>
        <v>BULK HO</v>
      </c>
      <c r="F489" s="20">
        <f t="shared" si="7"/>
        <v>0</v>
      </c>
      <c r="G489" s="20" t="str">
        <f>VLOOKUP($A489,[1]maaltijden!$A$1:$IV$65536,27,FALSE)</f>
        <v>! !</v>
      </c>
      <c r="H489" s="22">
        <f>VLOOKUP($A489,[1]maaltijden!$A$1:$IV$65536,21,FALSE)</f>
        <v>3</v>
      </c>
      <c r="I489" s="22">
        <f>VLOOKUP($A489,[1]maaltijden!$A$1:$IV$65536,21,FALSE)</f>
        <v>3</v>
      </c>
      <c r="J489" s="22">
        <f>VLOOKUP($A489,[1]maaltijden!$A$1:$IV$65536,18,FALSE)</f>
        <v>3</v>
      </c>
      <c r="K489" s="22">
        <f>VLOOKUP($A489,[1]maaltijden!$A$1:$IV$65536,17,FALSE)</f>
        <v>1</v>
      </c>
      <c r="L489" s="22">
        <f>VLOOKUP($A489,[1]maaltijden!$A$1:$IV$65536,20,FALSE)</f>
        <v>650</v>
      </c>
      <c r="M489" s="22">
        <f>VLOOKUP($A489,[1]maaltijden!$A$1:$IV$65536,22,FALSE)</f>
        <v>650</v>
      </c>
      <c r="N489" s="135"/>
      <c r="O489" s="50">
        <v>0</v>
      </c>
      <c r="P489" s="19">
        <v>0</v>
      </c>
      <c r="Q489" s="20">
        <v>1</v>
      </c>
      <c r="R489" s="21">
        <v>0</v>
      </c>
      <c r="S489" s="19">
        <v>0</v>
      </c>
      <c r="T489" s="20">
        <v>1</v>
      </c>
      <c r="U489" s="19">
        <v>1</v>
      </c>
      <c r="V489" s="20">
        <v>1</v>
      </c>
      <c r="W489" s="20">
        <v>1</v>
      </c>
      <c r="X489" s="20">
        <v>1</v>
      </c>
      <c r="Y489" s="20">
        <v>1</v>
      </c>
      <c r="Z489" s="20">
        <v>0</v>
      </c>
      <c r="AA489" s="20">
        <v>0</v>
      </c>
      <c r="AB489" s="49">
        <v>0</v>
      </c>
      <c r="AC489" s="49"/>
      <c r="AD489" s="49">
        <v>0</v>
      </c>
      <c r="AE489" s="49">
        <v>0</v>
      </c>
      <c r="AF489" s="49">
        <v>0</v>
      </c>
      <c r="AG489" s="161">
        <v>0</v>
      </c>
      <c r="AH489" s="168">
        <v>1</v>
      </c>
      <c r="AI489" s="20"/>
      <c r="AJ489" s="20"/>
      <c r="AK489" s="20"/>
      <c r="AL489" s="21"/>
      <c r="AM489" s="19">
        <v>0</v>
      </c>
      <c r="AN489" s="20">
        <f>IFERROR(INDEX([2]lijnopstellingsfiche!$AP$1:$AP$65536,MATCH(A489,[2]lijnopstellingsfiche!$AQ$1:$AQ$65536,0)),"")</f>
        <v>1</v>
      </c>
      <c r="AO489" s="20">
        <v>0</v>
      </c>
      <c r="AP489" s="20">
        <v>0</v>
      </c>
      <c r="AQ489" s="20">
        <v>2</v>
      </c>
      <c r="AR489" s="20">
        <v>0</v>
      </c>
      <c r="AS489" s="20">
        <v>0</v>
      </c>
      <c r="AT489" s="20">
        <v>1</v>
      </c>
      <c r="AU489" s="20">
        <v>0</v>
      </c>
      <c r="AV489" s="23">
        <v>0</v>
      </c>
      <c r="AW489" s="108">
        <v>0</v>
      </c>
      <c r="AX489" s="108">
        <v>0</v>
      </c>
      <c r="AY489" s="108">
        <v>0</v>
      </c>
      <c r="AZ489" s="108">
        <v>0</v>
      </c>
      <c r="BA489" s="114">
        <v>1</v>
      </c>
      <c r="BB489" s="20">
        <v>0</v>
      </c>
      <c r="BC489" s="113">
        <v>0</v>
      </c>
      <c r="BD489" s="200" t="str">
        <f>VLOOKUP($A489,'[3]allergenen 6nr'!$A$1:$O$1310,3,FALSE)</f>
        <v>-</v>
      </c>
      <c r="BE489" s="201" t="str">
        <f>VLOOKUP($A489,'[3]allergenen 6nr'!$A$1:$O$1310,4,FALSE)</f>
        <v>X</v>
      </c>
      <c r="BF489" s="201" t="str">
        <f>VLOOKUP($A489,'[3]allergenen 6nr'!$A$1:$O$1310,5,FALSE)</f>
        <v>+</v>
      </c>
      <c r="BG489" s="201" t="str">
        <f>VLOOKUP($A489,'[3]allergenen 6nr'!$A$1:$O$1310,6,FALSE)</f>
        <v>-</v>
      </c>
      <c r="BH489" s="201" t="str">
        <f>VLOOKUP($A489,'[3]allergenen 6nr'!$A$1:$O$1310,7,FALSE)</f>
        <v>X</v>
      </c>
      <c r="BI489" s="201" t="str">
        <f>VLOOKUP($A489,'[3]allergenen 6nr'!$A$1:$O$1310,8,FALSE)</f>
        <v>X</v>
      </c>
      <c r="BJ489" s="201" t="str">
        <f>VLOOKUP($A489,'[3]allergenen 6nr'!$A$1:$O$1310,9,FALSE)</f>
        <v>-</v>
      </c>
      <c r="BK489" s="201" t="str">
        <f>VLOOKUP($A489,'[3]allergenen 6nr'!$A$1:$O$1310,10,FALSE)</f>
        <v>-</v>
      </c>
      <c r="BL489" s="201" t="str">
        <f>VLOOKUP($A489,'[3]allergenen 6nr'!$A$1:$O$1310,11,FALSE)</f>
        <v>X</v>
      </c>
      <c r="BM489" s="201" t="str">
        <f>VLOOKUP($A489,'[3]allergenen 6nr'!$A$1:$O$1310,12,FALSE)</f>
        <v>-</v>
      </c>
      <c r="BN489" s="201" t="str">
        <f>VLOOKUP($A489,'[3]allergenen 6nr'!$A$1:$O$1310,13,FALSE)</f>
        <v>X</v>
      </c>
      <c r="BO489" s="201" t="str">
        <f>VLOOKUP($A489,'[3]allergenen 6nr'!$A$1:$O$1310,14,FALSE)</f>
        <v>-</v>
      </c>
      <c r="BP489" s="202" t="str">
        <f>VLOOKUP($A489,'[3]allergenen 6nr'!$A$1:$O$1310,15,FALSE)</f>
        <v>-</v>
      </c>
    </row>
    <row r="490" spans="1:68" x14ac:dyDescent="0.2">
      <c r="A490" s="54">
        <v>65104300</v>
      </c>
      <c r="B490" s="53" t="str">
        <f>VLOOKUP($A490,[1]maaltijden!$A$1:$IV$65536,4,FALSE)</f>
        <v>DMB HAMBURGER CHAMPIGNONSAUS 2 KG</v>
      </c>
      <c r="C490" s="46" t="str">
        <f>VLOOKUP($A490,[1]maaltijden!$A$1:$IV$65536,7,FALSE)</f>
        <v>C2325-1C</v>
      </c>
      <c r="D490" s="22" t="str">
        <f>VLOOKUP($A490,[1]maaltijden!$A$1:$IV$65536,10,FALSE)</f>
        <v>NVT</v>
      </c>
      <c r="E490" s="22" t="str">
        <f>VLOOKUP($A490,[1]maaltijden!$A$1:$IV$65536,13,FALSE)</f>
        <v>BULK HO</v>
      </c>
      <c r="F490" s="20">
        <f t="shared" si="7"/>
        <v>0</v>
      </c>
      <c r="G490" s="20" t="str">
        <f>VLOOKUP($A490,[1]maaltijden!$A$1:$IV$65536,27,FALSE)</f>
        <v>! ! !</v>
      </c>
      <c r="H490" s="22">
        <f>VLOOKUP($A490,[1]maaltijden!$A$1:$IV$65536,21,FALSE)</f>
        <v>6</v>
      </c>
      <c r="I490" s="22">
        <f>VLOOKUP($A490,[1]maaltijden!$A$1:$IV$65536,21,FALSE)</f>
        <v>6</v>
      </c>
      <c r="J490" s="22">
        <f>VLOOKUP($A490,[1]maaltijden!$A$1:$IV$65536,18,FALSE)</f>
        <v>2</v>
      </c>
      <c r="K490" s="22">
        <f>VLOOKUP($A490,[1]maaltijden!$A$1:$IV$65536,17,FALSE)</f>
        <v>1</v>
      </c>
      <c r="L490" s="22">
        <f>VLOOKUP($A490,[1]maaltijden!$A$1:$IV$65536,20,FALSE)</f>
        <v>600</v>
      </c>
      <c r="M490" s="22">
        <f>VLOOKUP($A490,[1]maaltijden!$A$1:$IV$65536,22,FALSE)</f>
        <v>600</v>
      </c>
      <c r="N490" s="135"/>
      <c r="O490" s="50">
        <v>65104400</v>
      </c>
      <c r="P490" s="19">
        <v>0</v>
      </c>
      <c r="Q490" s="20">
        <v>1</v>
      </c>
      <c r="R490" s="21">
        <v>0</v>
      </c>
      <c r="S490" s="19">
        <v>0</v>
      </c>
      <c r="T490" s="20">
        <v>1</v>
      </c>
      <c r="U490" s="19">
        <v>1</v>
      </c>
      <c r="V490" s="20">
        <v>1</v>
      </c>
      <c r="W490" s="20">
        <v>1</v>
      </c>
      <c r="X490" s="20">
        <v>1</v>
      </c>
      <c r="Y490" s="20">
        <v>1</v>
      </c>
      <c r="Z490" s="20">
        <v>0</v>
      </c>
      <c r="AA490" s="20">
        <v>0</v>
      </c>
      <c r="AB490" s="49">
        <v>0</v>
      </c>
      <c r="AC490" s="49"/>
      <c r="AD490" s="49">
        <v>0</v>
      </c>
      <c r="AE490" s="49">
        <v>0</v>
      </c>
      <c r="AF490" s="49">
        <v>0</v>
      </c>
      <c r="AG490" s="161">
        <v>0</v>
      </c>
      <c r="AH490" s="168">
        <v>1</v>
      </c>
      <c r="AI490" s="20"/>
      <c r="AJ490" s="20"/>
      <c r="AK490" s="20"/>
      <c r="AL490" s="21"/>
      <c r="AM490" s="19">
        <v>0</v>
      </c>
      <c r="AN490" s="20" t="str">
        <f>IFERROR(INDEX([2]lijnopstellingsfiche!$AP$1:$AP$65536,MATCH(A490,[2]lijnopstellingsfiche!$AQ$1:$AQ$65536,0)),"")</f>
        <v>-</v>
      </c>
      <c r="AO490" s="20">
        <v>0</v>
      </c>
      <c r="AP490" s="20">
        <v>0</v>
      </c>
      <c r="AQ490" s="20">
        <v>2</v>
      </c>
      <c r="AR490" s="20">
        <v>0</v>
      </c>
      <c r="AS490" s="20">
        <v>0</v>
      </c>
      <c r="AT490" s="20">
        <v>0</v>
      </c>
      <c r="AU490" s="20">
        <v>0</v>
      </c>
      <c r="AV490" s="23">
        <v>0</v>
      </c>
      <c r="AW490" s="108">
        <v>0</v>
      </c>
      <c r="AX490" s="108">
        <v>0</v>
      </c>
      <c r="AY490" s="108">
        <v>0</v>
      </c>
      <c r="AZ490" s="108">
        <v>0</v>
      </c>
      <c r="BA490" s="114">
        <v>1</v>
      </c>
      <c r="BB490" s="20">
        <v>0</v>
      </c>
      <c r="BC490" s="113">
        <v>0</v>
      </c>
      <c r="BD490" s="200" t="str">
        <f>VLOOKUP($A490,'[3]allergenen 6nr'!$A$1:$O$1310,3,FALSE)</f>
        <v>-</v>
      </c>
      <c r="BE490" s="201" t="str">
        <f>VLOOKUP($A490,'[3]allergenen 6nr'!$A$1:$O$1310,4,FALSE)</f>
        <v>X</v>
      </c>
      <c r="BF490" s="201" t="str">
        <f>VLOOKUP($A490,'[3]allergenen 6nr'!$A$1:$O$1310,5,FALSE)</f>
        <v>+</v>
      </c>
      <c r="BG490" s="201" t="str">
        <f>VLOOKUP($A490,'[3]allergenen 6nr'!$A$1:$O$1310,6,FALSE)</f>
        <v>X</v>
      </c>
      <c r="BH490" s="201" t="str">
        <f>VLOOKUP($A490,'[3]allergenen 6nr'!$A$1:$O$1310,7,FALSE)</f>
        <v>+</v>
      </c>
      <c r="BI490" s="201" t="str">
        <f>VLOOKUP($A490,'[3]allergenen 6nr'!$A$1:$O$1310,8,FALSE)</f>
        <v>X</v>
      </c>
      <c r="BJ490" s="201" t="str">
        <f>VLOOKUP($A490,'[3]allergenen 6nr'!$A$1:$O$1310,9,FALSE)</f>
        <v>-</v>
      </c>
      <c r="BK490" s="201" t="str">
        <f>VLOOKUP($A490,'[3]allergenen 6nr'!$A$1:$O$1310,10,FALSE)</f>
        <v>X</v>
      </c>
      <c r="BL490" s="201" t="str">
        <f>VLOOKUP($A490,'[3]allergenen 6nr'!$A$1:$O$1310,11,FALSE)</f>
        <v>+</v>
      </c>
      <c r="BM490" s="201" t="str">
        <f>VLOOKUP($A490,'[3]allergenen 6nr'!$A$1:$O$1310,12,FALSE)</f>
        <v>-</v>
      </c>
      <c r="BN490" s="201" t="str">
        <f>VLOOKUP($A490,'[3]allergenen 6nr'!$A$1:$O$1310,13,FALSE)</f>
        <v>X</v>
      </c>
      <c r="BO490" s="201" t="str">
        <f>VLOOKUP($A490,'[3]allergenen 6nr'!$A$1:$O$1310,14,FALSE)</f>
        <v>X</v>
      </c>
      <c r="BP490" s="202" t="str">
        <f>VLOOKUP($A490,'[3]allergenen 6nr'!$A$1:$O$1310,15,FALSE)</f>
        <v>X</v>
      </c>
    </row>
    <row r="491" spans="1:68" x14ac:dyDescent="0.2">
      <c r="A491" s="54">
        <v>65104400</v>
      </c>
      <c r="B491" s="53" t="str">
        <f>VLOOKUP($A491,[1]maaltijden!$A$1:$IV$65536,4,FALSE)</f>
        <v>DMB HAMBURGER GESNEDEN CHAMPIGNONSAUS 2 KG</v>
      </c>
      <c r="C491" s="46" t="str">
        <f>VLOOKUP($A491,[1]maaltijden!$A$1:$IV$65536,7,FALSE)</f>
        <v>C2325-1C</v>
      </c>
      <c r="D491" s="22" t="str">
        <f>VLOOKUP($A491,[1]maaltijden!$A$1:$IV$65536,10,FALSE)</f>
        <v>NVT</v>
      </c>
      <c r="E491" s="22" t="str">
        <f>VLOOKUP($A491,[1]maaltijden!$A$1:$IV$65536,13,FALSE)</f>
        <v>BULK HO</v>
      </c>
      <c r="F491" s="20">
        <f t="shared" si="7"/>
        <v>0</v>
      </c>
      <c r="G491" s="20" t="str">
        <f>VLOOKUP($A491,[1]maaltijden!$A$1:$IV$65536,27,FALSE)</f>
        <v>! ! !</v>
      </c>
      <c r="H491" s="22">
        <f>VLOOKUP($A491,[1]maaltijden!$A$1:$IV$65536,21,FALSE)</f>
        <v>5</v>
      </c>
      <c r="I491" s="22">
        <f>VLOOKUP($A491,[1]maaltijden!$A$1:$IV$65536,21,FALSE)</f>
        <v>5</v>
      </c>
      <c r="J491" s="22">
        <f>VLOOKUP($A491,[1]maaltijden!$A$1:$IV$65536,18,FALSE)</f>
        <v>2</v>
      </c>
      <c r="K491" s="22">
        <f>VLOOKUP($A491,[1]maaltijden!$A$1:$IV$65536,17,FALSE)</f>
        <v>1</v>
      </c>
      <c r="L491" s="22">
        <f>VLOOKUP($A491,[1]maaltijden!$A$1:$IV$65536,20,FALSE)</f>
        <v>600</v>
      </c>
      <c r="M491" s="22">
        <f>VLOOKUP($A491,[1]maaltijden!$A$1:$IV$65536,22,FALSE)</f>
        <v>600</v>
      </c>
      <c r="N491" s="135"/>
      <c r="O491" s="50">
        <v>65104300</v>
      </c>
      <c r="P491" s="19">
        <v>0</v>
      </c>
      <c r="Q491" s="20">
        <v>1</v>
      </c>
      <c r="R491" s="21">
        <v>0</v>
      </c>
      <c r="S491" s="19">
        <v>0</v>
      </c>
      <c r="T491" s="20">
        <v>1</v>
      </c>
      <c r="U491" s="19">
        <v>1</v>
      </c>
      <c r="V491" s="20">
        <v>1</v>
      </c>
      <c r="W491" s="20">
        <v>1</v>
      </c>
      <c r="X491" s="20">
        <v>1</v>
      </c>
      <c r="Y491" s="20">
        <v>1</v>
      </c>
      <c r="Z491" s="20">
        <v>0</v>
      </c>
      <c r="AA491" s="20">
        <v>0</v>
      </c>
      <c r="AB491" s="49">
        <v>0</v>
      </c>
      <c r="AC491" s="49"/>
      <c r="AD491" s="49">
        <v>0</v>
      </c>
      <c r="AE491" s="49">
        <v>0</v>
      </c>
      <c r="AF491" s="49">
        <v>0</v>
      </c>
      <c r="AG491" s="161">
        <v>0</v>
      </c>
      <c r="AH491" s="168">
        <v>1</v>
      </c>
      <c r="AI491" s="20"/>
      <c r="AJ491" s="20"/>
      <c r="AK491" s="20"/>
      <c r="AL491" s="21"/>
      <c r="AM491" s="19">
        <v>0</v>
      </c>
      <c r="AN491" s="20">
        <f>IFERROR(INDEX([2]lijnopstellingsfiche!$AP$1:$AP$65536,MATCH(A491,[2]lijnopstellingsfiche!$AQ$1:$AQ$65536,0)),"")</f>
        <v>4</v>
      </c>
      <c r="AO491" s="20">
        <v>0</v>
      </c>
      <c r="AP491" s="20">
        <v>0</v>
      </c>
      <c r="AQ491" s="20">
        <v>2</v>
      </c>
      <c r="AR491" s="20">
        <v>0</v>
      </c>
      <c r="AS491" s="20">
        <v>0</v>
      </c>
      <c r="AT491" s="20">
        <v>0</v>
      </c>
      <c r="AU491" s="20">
        <v>0</v>
      </c>
      <c r="AV491" s="23">
        <v>0</v>
      </c>
      <c r="AW491" s="108">
        <v>0</v>
      </c>
      <c r="AX491" s="108">
        <v>0</v>
      </c>
      <c r="AY491" s="108">
        <v>0</v>
      </c>
      <c r="AZ491" s="108">
        <v>0</v>
      </c>
      <c r="BA491" s="114">
        <v>1</v>
      </c>
      <c r="BB491" s="20">
        <v>0</v>
      </c>
      <c r="BC491" s="113">
        <v>0</v>
      </c>
      <c r="BD491" s="200" t="str">
        <f>VLOOKUP($A491,'[3]allergenen 6nr'!$A$1:$O$1310,3,FALSE)</f>
        <v>-</v>
      </c>
      <c r="BE491" s="201" t="str">
        <f>VLOOKUP($A491,'[3]allergenen 6nr'!$A$1:$O$1310,4,FALSE)</f>
        <v>X</v>
      </c>
      <c r="BF491" s="201" t="str">
        <f>VLOOKUP($A491,'[3]allergenen 6nr'!$A$1:$O$1310,5,FALSE)</f>
        <v>+</v>
      </c>
      <c r="BG491" s="201" t="str">
        <f>VLOOKUP($A491,'[3]allergenen 6nr'!$A$1:$O$1310,6,FALSE)</f>
        <v>X</v>
      </c>
      <c r="BH491" s="201" t="str">
        <f>VLOOKUP($A491,'[3]allergenen 6nr'!$A$1:$O$1310,7,FALSE)</f>
        <v>+</v>
      </c>
      <c r="BI491" s="201" t="str">
        <f>VLOOKUP($A491,'[3]allergenen 6nr'!$A$1:$O$1310,8,FALSE)</f>
        <v>X</v>
      </c>
      <c r="BJ491" s="201" t="str">
        <f>VLOOKUP($A491,'[3]allergenen 6nr'!$A$1:$O$1310,9,FALSE)</f>
        <v>X</v>
      </c>
      <c r="BK491" s="201" t="str">
        <f>VLOOKUP($A491,'[3]allergenen 6nr'!$A$1:$O$1310,10,FALSE)</f>
        <v>X</v>
      </c>
      <c r="BL491" s="201" t="str">
        <f>VLOOKUP($A491,'[3]allergenen 6nr'!$A$1:$O$1310,11,FALSE)</f>
        <v>+</v>
      </c>
      <c r="BM491" s="201" t="str">
        <f>VLOOKUP($A491,'[3]allergenen 6nr'!$A$1:$O$1310,12,FALSE)</f>
        <v>-</v>
      </c>
      <c r="BN491" s="201" t="str">
        <f>VLOOKUP($A491,'[3]allergenen 6nr'!$A$1:$O$1310,13,FALSE)</f>
        <v>X</v>
      </c>
      <c r="BO491" s="201" t="str">
        <f>VLOOKUP($A491,'[3]allergenen 6nr'!$A$1:$O$1310,14,FALSE)</f>
        <v>X</v>
      </c>
      <c r="BP491" s="202" t="str">
        <f>VLOOKUP($A491,'[3]allergenen 6nr'!$A$1:$O$1310,15,FALSE)</f>
        <v>X</v>
      </c>
    </row>
    <row r="492" spans="1:68" x14ac:dyDescent="0.2">
      <c r="A492" s="54">
        <v>65105100</v>
      </c>
      <c r="B492" s="53" t="str">
        <f>VLOOKUP($A492,[1]maaltijden!$A$1:$IV$65536,4,FALSE)</f>
        <v>DMB KIPPENHAASJE SUPREMESAUS 2 KG</v>
      </c>
      <c r="C492" s="46" t="str">
        <f>VLOOKUP($A492,[1]maaltijden!$A$1:$IV$65536,7,FALSE)</f>
        <v>C2325-1C</v>
      </c>
      <c r="D492" s="22" t="str">
        <f>VLOOKUP($A492,[1]maaltijden!$A$1:$IV$65536,10,FALSE)</f>
        <v>NVT</v>
      </c>
      <c r="E492" s="22" t="str">
        <f>VLOOKUP($A492,[1]maaltijden!$A$1:$IV$65536,13,FALSE)</f>
        <v>BULK HO</v>
      </c>
      <c r="F492" s="20">
        <f t="shared" si="7"/>
        <v>0</v>
      </c>
      <c r="G492" s="20" t="str">
        <f>VLOOKUP($A492,[1]maaltijden!$A$1:$IV$65536,27,FALSE)</f>
        <v>! ! !</v>
      </c>
      <c r="H492" s="22">
        <f>VLOOKUP($A492,[1]maaltijden!$A$1:$IV$65536,21,FALSE)</f>
        <v>3</v>
      </c>
      <c r="I492" s="22">
        <f>VLOOKUP($A492,[1]maaltijden!$A$1:$IV$65536,21,FALSE)</f>
        <v>3</v>
      </c>
      <c r="J492" s="22">
        <f>VLOOKUP($A492,[1]maaltijden!$A$1:$IV$65536,18,FALSE)</f>
        <v>3</v>
      </c>
      <c r="K492" s="22">
        <f>VLOOKUP($A492,[1]maaltijden!$A$1:$IV$65536,17,FALSE)</f>
        <v>1</v>
      </c>
      <c r="L492" s="22">
        <f>VLOOKUP($A492,[1]maaltijden!$A$1:$IV$65536,20,FALSE)</f>
        <v>600</v>
      </c>
      <c r="M492" s="22">
        <f>VLOOKUP($A492,[1]maaltijden!$A$1:$IV$65536,22,FALSE)</f>
        <v>600</v>
      </c>
      <c r="N492" s="135"/>
      <c r="O492" s="50">
        <v>0</v>
      </c>
      <c r="P492" s="19">
        <v>0</v>
      </c>
      <c r="Q492" s="20">
        <v>1</v>
      </c>
      <c r="R492" s="21">
        <v>0</v>
      </c>
      <c r="S492" s="19">
        <v>0</v>
      </c>
      <c r="T492" s="20">
        <v>1</v>
      </c>
      <c r="U492" s="19">
        <v>1</v>
      </c>
      <c r="V492" s="20">
        <v>1</v>
      </c>
      <c r="W492" s="20">
        <v>1</v>
      </c>
      <c r="X492" s="20">
        <v>1</v>
      </c>
      <c r="Y492" s="20">
        <v>1</v>
      </c>
      <c r="Z492" s="20">
        <v>0</v>
      </c>
      <c r="AA492" s="20">
        <v>0</v>
      </c>
      <c r="AB492" s="49">
        <v>0</v>
      </c>
      <c r="AC492" s="49"/>
      <c r="AD492" s="49">
        <v>0</v>
      </c>
      <c r="AE492" s="49">
        <v>0</v>
      </c>
      <c r="AF492" s="49">
        <v>0</v>
      </c>
      <c r="AG492" s="161">
        <v>0</v>
      </c>
      <c r="AH492" s="168">
        <v>1</v>
      </c>
      <c r="AI492" s="20"/>
      <c r="AJ492" s="20"/>
      <c r="AK492" s="20"/>
      <c r="AL492" s="21"/>
      <c r="AM492" s="19">
        <v>0</v>
      </c>
      <c r="AN492" s="20">
        <f>IFERROR(INDEX([2]lijnopstellingsfiche!$AP$1:$AP$65536,MATCH(A492,[2]lijnopstellingsfiche!$AQ$1:$AQ$65536,0)),"")</f>
        <v>1</v>
      </c>
      <c r="AO492" s="20">
        <v>0</v>
      </c>
      <c r="AP492" s="20">
        <v>0</v>
      </c>
      <c r="AQ492" s="20">
        <v>2</v>
      </c>
      <c r="AR492" s="20">
        <v>0</v>
      </c>
      <c r="AS492" s="20">
        <v>0</v>
      </c>
      <c r="AT492" s="20">
        <v>1</v>
      </c>
      <c r="AU492" s="20">
        <v>0</v>
      </c>
      <c r="AV492" s="23">
        <v>0</v>
      </c>
      <c r="AW492" s="108">
        <v>0</v>
      </c>
      <c r="AX492" s="108">
        <v>0</v>
      </c>
      <c r="AY492" s="108">
        <v>0</v>
      </c>
      <c r="AZ492" s="108">
        <v>0</v>
      </c>
      <c r="BA492" s="114">
        <v>1</v>
      </c>
      <c r="BB492" s="20">
        <v>0</v>
      </c>
      <c r="BC492" s="113">
        <v>0</v>
      </c>
      <c r="BD492" s="200" t="str">
        <f>VLOOKUP($A492,'[3]allergenen 6nr'!$A$1:$O$1310,3,FALSE)</f>
        <v>-</v>
      </c>
      <c r="BE492" s="201" t="str">
        <f>VLOOKUP($A492,'[3]allergenen 6nr'!$A$1:$O$1310,4,FALSE)</f>
        <v>-</v>
      </c>
      <c r="BF492" s="201" t="str">
        <f>VLOOKUP($A492,'[3]allergenen 6nr'!$A$1:$O$1310,5,FALSE)</f>
        <v>+</v>
      </c>
      <c r="BG492" s="201" t="str">
        <f>VLOOKUP($A492,'[3]allergenen 6nr'!$A$1:$O$1310,6,FALSE)</f>
        <v>X</v>
      </c>
      <c r="BH492" s="201" t="str">
        <f>VLOOKUP($A492,'[3]allergenen 6nr'!$A$1:$O$1310,7,FALSE)</f>
        <v>+</v>
      </c>
      <c r="BI492" s="201" t="str">
        <f>VLOOKUP($A492,'[3]allergenen 6nr'!$A$1:$O$1310,8,FALSE)</f>
        <v>X</v>
      </c>
      <c r="BJ492" s="201" t="str">
        <f>VLOOKUP($A492,'[3]allergenen 6nr'!$A$1:$O$1310,9,FALSE)</f>
        <v>-</v>
      </c>
      <c r="BK492" s="201" t="str">
        <f>VLOOKUP($A492,'[3]allergenen 6nr'!$A$1:$O$1310,10,FALSE)</f>
        <v>-</v>
      </c>
      <c r="BL492" s="201" t="str">
        <f>VLOOKUP($A492,'[3]allergenen 6nr'!$A$1:$O$1310,11,FALSE)</f>
        <v>+</v>
      </c>
      <c r="BM492" s="201" t="str">
        <f>VLOOKUP($A492,'[3]allergenen 6nr'!$A$1:$O$1310,12,FALSE)</f>
        <v>-</v>
      </c>
      <c r="BN492" s="201" t="str">
        <f>VLOOKUP($A492,'[3]allergenen 6nr'!$A$1:$O$1310,13,FALSE)</f>
        <v>X</v>
      </c>
      <c r="BO492" s="201" t="str">
        <f>VLOOKUP($A492,'[3]allergenen 6nr'!$A$1:$O$1310,14,FALSE)</f>
        <v>-</v>
      </c>
      <c r="BP492" s="202" t="str">
        <f>VLOOKUP($A492,'[3]allergenen 6nr'!$A$1:$O$1310,15,FALSE)</f>
        <v>-</v>
      </c>
    </row>
    <row r="493" spans="1:68" x14ac:dyDescent="0.2">
      <c r="A493" s="54">
        <v>65105200</v>
      </c>
      <c r="B493" s="53" t="str">
        <f>VLOOKUP($A493,[1]maaltijden!$A$1:$IV$65536,4,FALSE)</f>
        <v>DMB KALKOEN ROOMSAUS 2 KG</v>
      </c>
      <c r="C493" s="46" t="str">
        <f>VLOOKUP($A493,[1]maaltijden!$A$1:$IV$65536,7,FALSE)</f>
        <v>C2325-1C</v>
      </c>
      <c r="D493" s="22" t="str">
        <f>VLOOKUP($A493,[1]maaltijden!$A$1:$IV$65536,10,FALSE)</f>
        <v>NVT</v>
      </c>
      <c r="E493" s="22" t="str">
        <f>VLOOKUP($A493,[1]maaltijden!$A$1:$IV$65536,13,FALSE)</f>
        <v>BULK HO</v>
      </c>
      <c r="F493" s="20">
        <f t="shared" si="7"/>
        <v>0</v>
      </c>
      <c r="G493" s="20" t="str">
        <f>VLOOKUP($A493,[1]maaltijden!$A$1:$IV$65536,27,FALSE)</f>
        <v>! !</v>
      </c>
      <c r="H493" s="22">
        <f>VLOOKUP($A493,[1]maaltijden!$A$1:$IV$65536,21,FALSE)</f>
        <v>7</v>
      </c>
      <c r="I493" s="22">
        <f>VLOOKUP($A493,[1]maaltijden!$A$1:$IV$65536,21,FALSE)</f>
        <v>7</v>
      </c>
      <c r="J493" s="22">
        <f>VLOOKUP($A493,[1]maaltijden!$A$1:$IV$65536,18,FALSE)</f>
        <v>3</v>
      </c>
      <c r="K493" s="22">
        <f>VLOOKUP($A493,[1]maaltijden!$A$1:$IV$65536,17,FALSE)</f>
        <v>1</v>
      </c>
      <c r="L493" s="22">
        <f>VLOOKUP($A493,[1]maaltijden!$A$1:$IV$65536,20,FALSE)</f>
        <v>600</v>
      </c>
      <c r="M493" s="22">
        <f>VLOOKUP($A493,[1]maaltijden!$A$1:$IV$65536,22,FALSE)</f>
        <v>600</v>
      </c>
      <c r="N493" s="135"/>
      <c r="O493" s="50">
        <v>65105300</v>
      </c>
      <c r="P493" s="19">
        <v>0</v>
      </c>
      <c r="Q493" s="20">
        <v>1</v>
      </c>
      <c r="R493" s="21">
        <v>0</v>
      </c>
      <c r="S493" s="19">
        <v>0</v>
      </c>
      <c r="T493" s="20">
        <v>1</v>
      </c>
      <c r="U493" s="19">
        <v>0</v>
      </c>
      <c r="V493" s="20">
        <v>1</v>
      </c>
      <c r="W493" s="20">
        <v>1</v>
      </c>
      <c r="X493" s="20">
        <v>1</v>
      </c>
      <c r="Y493" s="20">
        <v>1</v>
      </c>
      <c r="Z493" s="20">
        <v>0</v>
      </c>
      <c r="AA493" s="20">
        <v>0</v>
      </c>
      <c r="AB493" s="49">
        <v>0</v>
      </c>
      <c r="AC493" s="49"/>
      <c r="AD493" s="49">
        <v>0</v>
      </c>
      <c r="AE493" s="49">
        <v>0</v>
      </c>
      <c r="AF493" s="49">
        <v>0</v>
      </c>
      <c r="AG493" s="161">
        <v>0</v>
      </c>
      <c r="AH493" s="168">
        <v>1</v>
      </c>
      <c r="AI493" s="20"/>
      <c r="AJ493" s="20"/>
      <c r="AK493" s="20"/>
      <c r="AL493" s="21"/>
      <c r="AM493" s="19">
        <v>0</v>
      </c>
      <c r="AN493" s="20" t="str">
        <f>IFERROR(INDEX([2]lijnopstellingsfiche!$AP$1:$AP$65536,MATCH(A493,[2]lijnopstellingsfiche!$AQ$1:$AQ$65536,0)),"")</f>
        <v>-</v>
      </c>
      <c r="AO493" s="20">
        <v>0</v>
      </c>
      <c r="AP493" s="20">
        <v>0</v>
      </c>
      <c r="AQ493" s="20">
        <v>2</v>
      </c>
      <c r="AR493" s="20">
        <v>0</v>
      </c>
      <c r="AS493" s="20">
        <v>0</v>
      </c>
      <c r="AT493" s="20">
        <v>0</v>
      </c>
      <c r="AU493" s="20">
        <v>0</v>
      </c>
      <c r="AV493" s="23">
        <v>0</v>
      </c>
      <c r="AW493" s="108">
        <v>0</v>
      </c>
      <c r="AX493" s="108">
        <v>0</v>
      </c>
      <c r="AY493" s="108">
        <v>0</v>
      </c>
      <c r="AZ493" s="108">
        <v>0</v>
      </c>
      <c r="BA493" s="114">
        <v>1</v>
      </c>
      <c r="BB493" s="20">
        <v>0</v>
      </c>
      <c r="BC493" s="113">
        <v>0</v>
      </c>
      <c r="BD493" s="200" t="str">
        <f>VLOOKUP($A493,'[3]allergenen 6nr'!$A$1:$O$1310,3,FALSE)</f>
        <v>-</v>
      </c>
      <c r="BE493" s="201" t="str">
        <f>VLOOKUP($A493,'[3]allergenen 6nr'!$A$1:$O$1310,4,FALSE)</f>
        <v>X</v>
      </c>
      <c r="BF493" s="201" t="str">
        <f>VLOOKUP($A493,'[3]allergenen 6nr'!$A$1:$O$1310,5,FALSE)</f>
        <v>+</v>
      </c>
      <c r="BG493" s="201" t="str">
        <f>VLOOKUP($A493,'[3]allergenen 6nr'!$A$1:$O$1310,6,FALSE)</f>
        <v>X</v>
      </c>
      <c r="BH493" s="201" t="str">
        <f>VLOOKUP($A493,'[3]allergenen 6nr'!$A$1:$O$1310,7,FALSE)</f>
        <v>+</v>
      </c>
      <c r="BI493" s="201" t="str">
        <f>VLOOKUP($A493,'[3]allergenen 6nr'!$A$1:$O$1310,8,FALSE)</f>
        <v>X</v>
      </c>
      <c r="BJ493" s="201" t="str">
        <f>VLOOKUP($A493,'[3]allergenen 6nr'!$A$1:$O$1310,9,FALSE)</f>
        <v>-</v>
      </c>
      <c r="BK493" s="201" t="str">
        <f>VLOOKUP($A493,'[3]allergenen 6nr'!$A$1:$O$1310,10,FALSE)</f>
        <v>-</v>
      </c>
      <c r="BL493" s="201" t="str">
        <f>VLOOKUP($A493,'[3]allergenen 6nr'!$A$1:$O$1310,11,FALSE)</f>
        <v>-</v>
      </c>
      <c r="BM493" s="201" t="str">
        <f>VLOOKUP($A493,'[3]allergenen 6nr'!$A$1:$O$1310,12,FALSE)</f>
        <v>-</v>
      </c>
      <c r="BN493" s="201" t="str">
        <f>VLOOKUP($A493,'[3]allergenen 6nr'!$A$1:$O$1310,13,FALSE)</f>
        <v>X</v>
      </c>
      <c r="BO493" s="201" t="str">
        <f>VLOOKUP($A493,'[3]allergenen 6nr'!$A$1:$O$1310,14,FALSE)</f>
        <v>-</v>
      </c>
      <c r="BP493" s="202" t="str">
        <f>VLOOKUP($A493,'[3]allergenen 6nr'!$A$1:$O$1310,15,FALSE)</f>
        <v>-</v>
      </c>
    </row>
    <row r="494" spans="1:68" x14ac:dyDescent="0.2">
      <c r="A494" s="54">
        <v>65105300</v>
      </c>
      <c r="B494" s="53" t="str">
        <f>VLOOKUP($A494,[1]maaltijden!$A$1:$IV$65536,4,FALSE)</f>
        <v>DMB KALKOEN GESNEDEN ROOMSAUS 2 KG</v>
      </c>
      <c r="C494" s="46" t="str">
        <f>VLOOKUP($A494,[1]maaltijden!$A$1:$IV$65536,7,FALSE)</f>
        <v>C2325-1C</v>
      </c>
      <c r="D494" s="22" t="str">
        <f>VLOOKUP($A494,[1]maaltijden!$A$1:$IV$65536,10,FALSE)</f>
        <v>NVT</v>
      </c>
      <c r="E494" s="22" t="str">
        <f>VLOOKUP($A494,[1]maaltijden!$A$1:$IV$65536,13,FALSE)</f>
        <v>BULK HO</v>
      </c>
      <c r="F494" s="20">
        <f t="shared" si="7"/>
        <v>0</v>
      </c>
      <c r="G494" s="20" t="str">
        <f>VLOOKUP($A494,[1]maaltijden!$A$1:$IV$65536,27,FALSE)</f>
        <v>! !</v>
      </c>
      <c r="H494" s="22">
        <f>VLOOKUP($A494,[1]maaltijden!$A$1:$IV$65536,21,FALSE)</f>
        <v>6</v>
      </c>
      <c r="I494" s="22">
        <f>VLOOKUP($A494,[1]maaltijden!$A$1:$IV$65536,21,FALSE)</f>
        <v>6</v>
      </c>
      <c r="J494" s="22">
        <f>VLOOKUP($A494,[1]maaltijden!$A$1:$IV$65536,18,FALSE)</f>
        <v>3</v>
      </c>
      <c r="K494" s="22">
        <f>VLOOKUP($A494,[1]maaltijden!$A$1:$IV$65536,17,FALSE)</f>
        <v>1</v>
      </c>
      <c r="L494" s="22">
        <f>VLOOKUP($A494,[1]maaltijden!$A$1:$IV$65536,20,FALSE)</f>
        <v>600</v>
      </c>
      <c r="M494" s="22">
        <f>VLOOKUP($A494,[1]maaltijden!$A$1:$IV$65536,22,FALSE)</f>
        <v>600</v>
      </c>
      <c r="N494" s="135"/>
      <c r="O494" s="50">
        <v>65105200</v>
      </c>
      <c r="P494" s="19">
        <v>0</v>
      </c>
      <c r="Q494" s="20">
        <v>1</v>
      </c>
      <c r="R494" s="21">
        <v>0</v>
      </c>
      <c r="S494" s="19">
        <v>0</v>
      </c>
      <c r="T494" s="20">
        <v>1</v>
      </c>
      <c r="U494" s="19"/>
      <c r="V494" s="20"/>
      <c r="W494" s="20"/>
      <c r="X494" s="20"/>
      <c r="Y494" s="20"/>
      <c r="Z494" s="20"/>
      <c r="AA494" s="20"/>
      <c r="AB494" s="49"/>
      <c r="AC494" s="49"/>
      <c r="AD494" s="49"/>
      <c r="AE494" s="49"/>
      <c r="AF494" s="49"/>
      <c r="AG494" s="161">
        <v>0</v>
      </c>
      <c r="AH494" s="168">
        <v>1</v>
      </c>
      <c r="AI494" s="20"/>
      <c r="AJ494" s="20"/>
      <c r="AK494" s="20"/>
      <c r="AL494" s="21"/>
      <c r="AM494" s="19">
        <v>0</v>
      </c>
      <c r="AN494" s="20">
        <f>IFERROR(INDEX([2]lijnopstellingsfiche!$AP$1:$AP$65536,MATCH(A494,[2]lijnopstellingsfiche!$AQ$1:$AQ$65536,0)),"")</f>
        <v>4</v>
      </c>
      <c r="AO494" s="20">
        <v>0</v>
      </c>
      <c r="AP494" s="20">
        <v>0</v>
      </c>
      <c r="AQ494" s="20">
        <v>2</v>
      </c>
      <c r="AR494" s="20">
        <v>0</v>
      </c>
      <c r="AS494" s="20">
        <v>0</v>
      </c>
      <c r="AT494" s="20">
        <v>0</v>
      </c>
      <c r="AU494" s="20">
        <v>0</v>
      </c>
      <c r="AV494" s="23">
        <v>0</v>
      </c>
      <c r="AW494" s="108">
        <v>0</v>
      </c>
      <c r="AX494" s="108">
        <v>0</v>
      </c>
      <c r="AY494" s="108">
        <v>0</v>
      </c>
      <c r="AZ494" s="108">
        <v>0</v>
      </c>
      <c r="BA494" s="114">
        <v>1</v>
      </c>
      <c r="BB494" s="20">
        <v>0</v>
      </c>
      <c r="BC494" s="113">
        <v>0</v>
      </c>
      <c r="BD494" s="200" t="str">
        <f>VLOOKUP($A494,'[3]allergenen 6nr'!$A$1:$O$1310,3,FALSE)</f>
        <v>-</v>
      </c>
      <c r="BE494" s="201" t="str">
        <f>VLOOKUP($A494,'[3]allergenen 6nr'!$A$1:$O$1310,4,FALSE)</f>
        <v>X</v>
      </c>
      <c r="BF494" s="201" t="str">
        <f>VLOOKUP($A494,'[3]allergenen 6nr'!$A$1:$O$1310,5,FALSE)</f>
        <v>+</v>
      </c>
      <c r="BG494" s="201" t="str">
        <f>VLOOKUP($A494,'[3]allergenen 6nr'!$A$1:$O$1310,6,FALSE)</f>
        <v>X</v>
      </c>
      <c r="BH494" s="201" t="str">
        <f>VLOOKUP($A494,'[3]allergenen 6nr'!$A$1:$O$1310,7,FALSE)</f>
        <v>+</v>
      </c>
      <c r="BI494" s="201" t="str">
        <f>VLOOKUP($A494,'[3]allergenen 6nr'!$A$1:$O$1310,8,FALSE)</f>
        <v>X</v>
      </c>
      <c r="BJ494" s="201" t="str">
        <f>VLOOKUP($A494,'[3]allergenen 6nr'!$A$1:$O$1310,9,FALSE)</f>
        <v>-</v>
      </c>
      <c r="BK494" s="201" t="str">
        <f>VLOOKUP($A494,'[3]allergenen 6nr'!$A$1:$O$1310,10,FALSE)</f>
        <v>-</v>
      </c>
      <c r="BL494" s="201" t="str">
        <f>VLOOKUP($A494,'[3]allergenen 6nr'!$A$1:$O$1310,11,FALSE)</f>
        <v>X</v>
      </c>
      <c r="BM494" s="201" t="str">
        <f>VLOOKUP($A494,'[3]allergenen 6nr'!$A$1:$O$1310,12,FALSE)</f>
        <v>-</v>
      </c>
      <c r="BN494" s="201" t="str">
        <f>VLOOKUP($A494,'[3]allergenen 6nr'!$A$1:$O$1310,13,FALSE)</f>
        <v>X</v>
      </c>
      <c r="BO494" s="201" t="str">
        <f>VLOOKUP($A494,'[3]allergenen 6nr'!$A$1:$O$1310,14,FALSE)</f>
        <v>-</v>
      </c>
      <c r="BP494" s="202" t="str">
        <f>VLOOKUP($A494,'[3]allergenen 6nr'!$A$1:$O$1310,15,FALSE)</f>
        <v>-</v>
      </c>
    </row>
    <row r="495" spans="1:68" x14ac:dyDescent="0.2">
      <c r="A495" s="54">
        <v>65106000</v>
      </c>
      <c r="B495" s="53" t="str">
        <f>VLOOKUP($A495,[1]maaltijden!$A$1:$IV$65536,4,FALSE)</f>
        <v>DMB KIPPENHAASJE CURRYSAUS 2 KG</v>
      </c>
      <c r="C495" s="46" t="str">
        <f>VLOOKUP($A495,[1]maaltijden!$A$1:$IV$65536,7,FALSE)</f>
        <v>C2325-1C</v>
      </c>
      <c r="D495" s="22" t="str">
        <f>VLOOKUP($A495,[1]maaltijden!$A$1:$IV$65536,10,FALSE)</f>
        <v>NVT</v>
      </c>
      <c r="E495" s="22" t="str">
        <f>VLOOKUP($A495,[1]maaltijden!$A$1:$IV$65536,13,FALSE)</f>
        <v>BULK HO</v>
      </c>
      <c r="F495" s="20">
        <f t="shared" si="7"/>
        <v>0</v>
      </c>
      <c r="G495" s="20" t="str">
        <f>VLOOKUP($A495,[1]maaltijden!$A$1:$IV$65536,27,FALSE)</f>
        <v>! ! !</v>
      </c>
      <c r="H495" s="22">
        <f>VLOOKUP($A495,[1]maaltijden!$A$1:$IV$65536,21,FALSE)</f>
        <v>3</v>
      </c>
      <c r="I495" s="22">
        <f>VLOOKUP($A495,[1]maaltijden!$A$1:$IV$65536,21,FALSE)</f>
        <v>3</v>
      </c>
      <c r="J495" s="22">
        <f>VLOOKUP($A495,[1]maaltijden!$A$1:$IV$65536,18,FALSE)</f>
        <v>3</v>
      </c>
      <c r="K495" s="22">
        <f>VLOOKUP($A495,[1]maaltijden!$A$1:$IV$65536,17,FALSE)</f>
        <v>1</v>
      </c>
      <c r="L495" s="22">
        <f>VLOOKUP($A495,[1]maaltijden!$A$1:$IV$65536,20,FALSE)</f>
        <v>600</v>
      </c>
      <c r="M495" s="22">
        <f>VLOOKUP($A495,[1]maaltijden!$A$1:$IV$65536,22,FALSE)</f>
        <v>600</v>
      </c>
      <c r="N495" s="135"/>
      <c r="O495" s="50">
        <v>0</v>
      </c>
      <c r="P495" s="19">
        <v>0</v>
      </c>
      <c r="Q495" s="20">
        <v>1</v>
      </c>
      <c r="R495" s="21">
        <v>0</v>
      </c>
      <c r="S495" s="19">
        <v>0</v>
      </c>
      <c r="T495" s="20">
        <v>1</v>
      </c>
      <c r="U495" s="19">
        <v>1</v>
      </c>
      <c r="V495" s="20">
        <v>1</v>
      </c>
      <c r="W495" s="20">
        <v>1</v>
      </c>
      <c r="X495" s="20">
        <v>1</v>
      </c>
      <c r="Y495" s="20">
        <v>1</v>
      </c>
      <c r="Z495" s="20">
        <v>0</v>
      </c>
      <c r="AA495" s="20">
        <v>0</v>
      </c>
      <c r="AB495" s="49">
        <v>0</v>
      </c>
      <c r="AC495" s="49"/>
      <c r="AD495" s="49">
        <v>0</v>
      </c>
      <c r="AE495" s="49">
        <v>0</v>
      </c>
      <c r="AF495" s="49">
        <v>0</v>
      </c>
      <c r="AG495" s="161">
        <v>0</v>
      </c>
      <c r="AH495" s="168">
        <v>1</v>
      </c>
      <c r="AI495" s="20"/>
      <c r="AJ495" s="20"/>
      <c r="AK495" s="20"/>
      <c r="AL495" s="21"/>
      <c r="AM495" s="19">
        <v>0</v>
      </c>
      <c r="AN495" s="20">
        <f>IFERROR(INDEX([2]lijnopstellingsfiche!$AP$1:$AP$65536,MATCH(A495,[2]lijnopstellingsfiche!$AQ$1:$AQ$65536,0)),"")</f>
        <v>1</v>
      </c>
      <c r="AO495" s="20">
        <v>0</v>
      </c>
      <c r="AP495" s="20">
        <v>0</v>
      </c>
      <c r="AQ495" s="20">
        <v>2</v>
      </c>
      <c r="AR495" s="20">
        <v>0</v>
      </c>
      <c r="AS495" s="20">
        <v>0</v>
      </c>
      <c r="AT495" s="20">
        <v>1</v>
      </c>
      <c r="AU495" s="20">
        <v>0</v>
      </c>
      <c r="AV495" s="23">
        <v>0</v>
      </c>
      <c r="AW495" s="108">
        <v>0</v>
      </c>
      <c r="AX495" s="108">
        <v>0</v>
      </c>
      <c r="AY495" s="108">
        <v>0</v>
      </c>
      <c r="AZ495" s="108">
        <v>0</v>
      </c>
      <c r="BA495" s="114">
        <v>1</v>
      </c>
      <c r="BB495" s="20">
        <v>0</v>
      </c>
      <c r="BC495" s="113">
        <v>0</v>
      </c>
      <c r="BD495" s="200" t="str">
        <f>VLOOKUP($A495,'[3]allergenen 6nr'!$A$1:$O$1310,3,FALSE)</f>
        <v>-</v>
      </c>
      <c r="BE495" s="201" t="str">
        <f>VLOOKUP($A495,'[3]allergenen 6nr'!$A$1:$O$1310,4,FALSE)</f>
        <v>-</v>
      </c>
      <c r="BF495" s="201" t="str">
        <f>VLOOKUP($A495,'[3]allergenen 6nr'!$A$1:$O$1310,5,FALSE)</f>
        <v>+</v>
      </c>
      <c r="BG495" s="201" t="str">
        <f>VLOOKUP($A495,'[3]allergenen 6nr'!$A$1:$O$1310,6,FALSE)</f>
        <v>X</v>
      </c>
      <c r="BH495" s="201" t="str">
        <f>VLOOKUP($A495,'[3]allergenen 6nr'!$A$1:$O$1310,7,FALSE)</f>
        <v>+</v>
      </c>
      <c r="BI495" s="201" t="str">
        <f>VLOOKUP($A495,'[3]allergenen 6nr'!$A$1:$O$1310,8,FALSE)</f>
        <v>+</v>
      </c>
      <c r="BJ495" s="201" t="str">
        <f>VLOOKUP($A495,'[3]allergenen 6nr'!$A$1:$O$1310,9,FALSE)</f>
        <v>-</v>
      </c>
      <c r="BK495" s="201" t="str">
        <f>VLOOKUP($A495,'[3]allergenen 6nr'!$A$1:$O$1310,10,FALSE)</f>
        <v>-</v>
      </c>
      <c r="BL495" s="201" t="str">
        <f>VLOOKUP($A495,'[3]allergenen 6nr'!$A$1:$O$1310,11,FALSE)</f>
        <v>+</v>
      </c>
      <c r="BM495" s="201" t="str">
        <f>VLOOKUP($A495,'[3]allergenen 6nr'!$A$1:$O$1310,12,FALSE)</f>
        <v>-</v>
      </c>
      <c r="BN495" s="201" t="str">
        <f>VLOOKUP($A495,'[3]allergenen 6nr'!$A$1:$O$1310,13,FALSE)</f>
        <v>X</v>
      </c>
      <c r="BO495" s="201" t="str">
        <f>VLOOKUP($A495,'[3]allergenen 6nr'!$A$1:$O$1310,14,FALSE)</f>
        <v>-</v>
      </c>
      <c r="BP495" s="202" t="str">
        <f>VLOOKUP($A495,'[3]allergenen 6nr'!$A$1:$O$1310,15,FALSE)</f>
        <v>-</v>
      </c>
    </row>
    <row r="496" spans="1:68" x14ac:dyDescent="0.2">
      <c r="A496" s="54">
        <v>65106100</v>
      </c>
      <c r="B496" s="53" t="str">
        <f>VLOOKUP($A496,[1]maaltijden!$A$1:$IV$65536,4,FALSE)</f>
        <v>DMB VOL AU VENT 2  KG</v>
      </c>
      <c r="C496" s="46" t="str">
        <f>VLOOKUP($A496,[1]maaltijden!$A$1:$IV$65536,7,FALSE)</f>
        <v>C2325-1C</v>
      </c>
      <c r="D496" s="22" t="str">
        <f>VLOOKUP($A496,[1]maaltijden!$A$1:$IV$65536,10,FALSE)</f>
        <v>NVT</v>
      </c>
      <c r="E496" s="22" t="str">
        <f>VLOOKUP($A496,[1]maaltijden!$A$1:$IV$65536,13,FALSE)</f>
        <v>BULK HO</v>
      </c>
      <c r="F496" s="20">
        <f t="shared" si="7"/>
        <v>0</v>
      </c>
      <c r="G496" s="20" t="str">
        <f>VLOOKUP($A496,[1]maaltijden!$A$1:$IV$65536,27,FALSE)</f>
        <v>! !</v>
      </c>
      <c r="H496" s="22">
        <f>VLOOKUP($A496,[1]maaltijden!$A$1:$IV$65536,21,FALSE)</f>
        <v>2</v>
      </c>
      <c r="I496" s="22">
        <f>VLOOKUP($A496,[1]maaltijden!$A$1:$IV$65536,21,FALSE)</f>
        <v>2</v>
      </c>
      <c r="J496" s="22">
        <f>VLOOKUP($A496,[1]maaltijden!$A$1:$IV$65536,18,FALSE)</f>
        <v>3</v>
      </c>
      <c r="K496" s="22">
        <f>VLOOKUP($A496,[1]maaltijden!$A$1:$IV$65536,17,FALSE)</f>
        <v>1</v>
      </c>
      <c r="L496" s="22">
        <f>VLOOKUP($A496,[1]maaltijden!$A$1:$IV$65536,20,FALSE)</f>
        <v>600</v>
      </c>
      <c r="M496" s="22">
        <f>VLOOKUP($A496,[1]maaltijden!$A$1:$IV$65536,22,FALSE)</f>
        <v>600</v>
      </c>
      <c r="N496" s="135"/>
      <c r="O496" s="50">
        <v>0</v>
      </c>
      <c r="P496" s="19">
        <v>0</v>
      </c>
      <c r="Q496" s="20">
        <v>1</v>
      </c>
      <c r="R496" s="21">
        <v>0</v>
      </c>
      <c r="S496" s="19">
        <v>0</v>
      </c>
      <c r="T496" s="20">
        <v>1</v>
      </c>
      <c r="U496" s="19">
        <v>1</v>
      </c>
      <c r="V496" s="20">
        <v>1</v>
      </c>
      <c r="W496" s="20">
        <v>1</v>
      </c>
      <c r="X496" s="20">
        <v>1</v>
      </c>
      <c r="Y496" s="20">
        <v>1</v>
      </c>
      <c r="Z496" s="20">
        <v>0</v>
      </c>
      <c r="AA496" s="20">
        <v>0</v>
      </c>
      <c r="AB496" s="49">
        <v>0</v>
      </c>
      <c r="AC496" s="49"/>
      <c r="AD496" s="49">
        <v>0</v>
      </c>
      <c r="AE496" s="49">
        <v>0</v>
      </c>
      <c r="AF496" s="49">
        <v>0</v>
      </c>
      <c r="AG496" s="161">
        <v>0</v>
      </c>
      <c r="AH496" s="168">
        <v>2</v>
      </c>
      <c r="AI496" s="20"/>
      <c r="AJ496" s="20"/>
      <c r="AK496" s="20"/>
      <c r="AL496" s="21"/>
      <c r="AM496" s="19">
        <v>0</v>
      </c>
      <c r="AN496" s="20" t="str">
        <f>IFERROR(INDEX([2]lijnopstellingsfiche!$AP$1:$AP$65536,MATCH(A496,[2]lijnopstellingsfiche!$AQ$1:$AQ$65536,0)),"")</f>
        <v>-</v>
      </c>
      <c r="AO496" s="20">
        <v>0</v>
      </c>
      <c r="AP496" s="20">
        <v>0</v>
      </c>
      <c r="AQ496" s="20">
        <v>2</v>
      </c>
      <c r="AR496" s="20">
        <v>0</v>
      </c>
      <c r="AS496" s="20">
        <v>0</v>
      </c>
      <c r="AT496" s="20">
        <v>0</v>
      </c>
      <c r="AU496" s="20">
        <v>0</v>
      </c>
      <c r="AV496" s="23">
        <v>0</v>
      </c>
      <c r="AW496" s="108">
        <v>0</v>
      </c>
      <c r="AX496" s="108">
        <v>0</v>
      </c>
      <c r="AY496" s="108">
        <v>0</v>
      </c>
      <c r="AZ496" s="108">
        <v>0</v>
      </c>
      <c r="BA496" s="114">
        <v>1</v>
      </c>
      <c r="BB496" s="20">
        <v>0</v>
      </c>
      <c r="BC496" s="113">
        <v>0</v>
      </c>
      <c r="BD496" s="200" t="str">
        <f>VLOOKUP($A496,'[3]allergenen 6nr'!$A$1:$O$1310,3,FALSE)</f>
        <v>-</v>
      </c>
      <c r="BE496" s="201" t="str">
        <f>VLOOKUP($A496,'[3]allergenen 6nr'!$A$1:$O$1310,4,FALSE)</f>
        <v>X</v>
      </c>
      <c r="BF496" s="201" t="str">
        <f>VLOOKUP($A496,'[3]allergenen 6nr'!$A$1:$O$1310,5,FALSE)</f>
        <v>+</v>
      </c>
      <c r="BG496" s="201" t="str">
        <f>VLOOKUP($A496,'[3]allergenen 6nr'!$A$1:$O$1310,6,FALSE)</f>
        <v>X</v>
      </c>
      <c r="BH496" s="201" t="str">
        <f>VLOOKUP($A496,'[3]allergenen 6nr'!$A$1:$O$1310,7,FALSE)</f>
        <v>+</v>
      </c>
      <c r="BI496" s="201" t="str">
        <f>VLOOKUP($A496,'[3]allergenen 6nr'!$A$1:$O$1310,8,FALSE)</f>
        <v>X</v>
      </c>
      <c r="BJ496" s="201" t="str">
        <f>VLOOKUP($A496,'[3]allergenen 6nr'!$A$1:$O$1310,9,FALSE)</f>
        <v>-</v>
      </c>
      <c r="BK496" s="201" t="str">
        <f>VLOOKUP($A496,'[3]allergenen 6nr'!$A$1:$O$1310,10,FALSE)</f>
        <v>X</v>
      </c>
      <c r="BL496" s="201" t="str">
        <f>VLOOKUP($A496,'[3]allergenen 6nr'!$A$1:$O$1310,11,FALSE)</f>
        <v>X</v>
      </c>
      <c r="BM496" s="201" t="str">
        <f>VLOOKUP($A496,'[3]allergenen 6nr'!$A$1:$O$1310,12,FALSE)</f>
        <v>-</v>
      </c>
      <c r="BN496" s="201" t="str">
        <f>VLOOKUP($A496,'[3]allergenen 6nr'!$A$1:$O$1310,13,FALSE)</f>
        <v>X</v>
      </c>
      <c r="BO496" s="201" t="str">
        <f>VLOOKUP($A496,'[3]allergenen 6nr'!$A$1:$O$1310,14,FALSE)</f>
        <v>X</v>
      </c>
      <c r="BP496" s="202" t="str">
        <f>VLOOKUP($A496,'[3]allergenen 6nr'!$A$1:$O$1310,15,FALSE)</f>
        <v>X</v>
      </c>
    </row>
    <row r="497" spans="1:68" x14ac:dyDescent="0.2">
      <c r="A497" s="54">
        <v>65106400</v>
      </c>
      <c r="B497" s="53" t="str">
        <f>VLOOKUP($A497,[1]maaltijden!$A$1:$IV$65536,4,FALSE)</f>
        <v>DMB KIPPENHAASJES ZOETZUUR 2 KG</v>
      </c>
      <c r="C497" s="46" t="str">
        <f>VLOOKUP($A497,[1]maaltijden!$A$1:$IV$65536,7,FALSE)</f>
        <v>C2325-1C</v>
      </c>
      <c r="D497" s="22" t="str">
        <f>VLOOKUP($A497,[1]maaltijden!$A$1:$IV$65536,10,FALSE)</f>
        <v>NVT</v>
      </c>
      <c r="E497" s="22" t="str">
        <f>VLOOKUP($A497,[1]maaltijden!$A$1:$IV$65536,13,FALSE)</f>
        <v>BULK HO</v>
      </c>
      <c r="F497" s="20">
        <f t="shared" si="7"/>
        <v>0</v>
      </c>
      <c r="G497" s="20" t="str">
        <f>VLOOKUP($A497,[1]maaltijden!$A$1:$IV$65536,27,FALSE)</f>
        <v>! ! !</v>
      </c>
      <c r="H497" s="22">
        <f>VLOOKUP($A497,[1]maaltijden!$A$1:$IV$65536,21,FALSE)</f>
        <v>3</v>
      </c>
      <c r="I497" s="22">
        <f>VLOOKUP($A497,[1]maaltijden!$A$1:$IV$65536,21,FALSE)</f>
        <v>3</v>
      </c>
      <c r="J497" s="22">
        <f>VLOOKUP($A497,[1]maaltijden!$A$1:$IV$65536,18,FALSE)</f>
        <v>3</v>
      </c>
      <c r="K497" s="22">
        <f>VLOOKUP($A497,[1]maaltijden!$A$1:$IV$65536,17,FALSE)</f>
        <v>1</v>
      </c>
      <c r="L497" s="22">
        <f>VLOOKUP($A497,[1]maaltijden!$A$1:$IV$65536,20,FALSE)</f>
        <v>600</v>
      </c>
      <c r="M497" s="22">
        <f>VLOOKUP($A497,[1]maaltijden!$A$1:$IV$65536,22,FALSE)</f>
        <v>600</v>
      </c>
      <c r="N497" s="135"/>
      <c r="O497" s="50">
        <v>0</v>
      </c>
      <c r="P497" s="19">
        <v>0</v>
      </c>
      <c r="Q497" s="20">
        <v>1</v>
      </c>
      <c r="R497" s="21">
        <v>0</v>
      </c>
      <c r="S497" s="19">
        <v>0</v>
      </c>
      <c r="T497" s="20">
        <v>1</v>
      </c>
      <c r="U497" s="19">
        <v>1</v>
      </c>
      <c r="V497" s="20">
        <v>1</v>
      </c>
      <c r="W497" s="20">
        <v>1</v>
      </c>
      <c r="X497" s="20">
        <v>1</v>
      </c>
      <c r="Y497" s="20">
        <v>1</v>
      </c>
      <c r="Z497" s="20">
        <v>0</v>
      </c>
      <c r="AA497" s="20">
        <v>0</v>
      </c>
      <c r="AB497" s="49">
        <v>0</v>
      </c>
      <c r="AC497" s="49"/>
      <c r="AD497" s="49">
        <v>0</v>
      </c>
      <c r="AE497" s="49">
        <v>0</v>
      </c>
      <c r="AF497" s="49">
        <v>0</v>
      </c>
      <c r="AG497" s="161">
        <v>0</v>
      </c>
      <c r="AH497" s="168">
        <v>1</v>
      </c>
      <c r="AI497" s="20"/>
      <c r="AJ497" s="20"/>
      <c r="AK497" s="20"/>
      <c r="AL497" s="21"/>
      <c r="AM497" s="19">
        <v>0</v>
      </c>
      <c r="AN497" s="20">
        <f>IFERROR(INDEX([2]lijnopstellingsfiche!$AP$1:$AP$65536,MATCH(A497,[2]lijnopstellingsfiche!$AQ$1:$AQ$65536,0)),"")</f>
        <v>1</v>
      </c>
      <c r="AO497" s="20">
        <v>0</v>
      </c>
      <c r="AP497" s="20">
        <v>0</v>
      </c>
      <c r="AQ497" s="20">
        <v>2</v>
      </c>
      <c r="AR497" s="20">
        <v>0</v>
      </c>
      <c r="AS497" s="20">
        <v>0</v>
      </c>
      <c r="AT497" s="20">
        <v>1</v>
      </c>
      <c r="AU497" s="20">
        <v>0</v>
      </c>
      <c r="AV497" s="23">
        <v>0</v>
      </c>
      <c r="AW497" s="108">
        <v>0</v>
      </c>
      <c r="AX497" s="108">
        <v>0</v>
      </c>
      <c r="AY497" s="108">
        <v>0</v>
      </c>
      <c r="AZ497" s="108">
        <v>0</v>
      </c>
      <c r="BA497" s="114">
        <v>1</v>
      </c>
      <c r="BB497" s="20">
        <v>0</v>
      </c>
      <c r="BC497" s="113">
        <v>0</v>
      </c>
      <c r="BD497" s="200" t="str">
        <f>VLOOKUP($A497,'[3]allergenen 6nr'!$A$1:$O$1310,3,FALSE)</f>
        <v>-</v>
      </c>
      <c r="BE497" s="201" t="str">
        <f>VLOOKUP($A497,'[3]allergenen 6nr'!$A$1:$O$1310,4,FALSE)</f>
        <v>-</v>
      </c>
      <c r="BF497" s="201" t="str">
        <f>VLOOKUP($A497,'[3]allergenen 6nr'!$A$1:$O$1310,5,FALSE)</f>
        <v>-</v>
      </c>
      <c r="BG497" s="201" t="str">
        <f>VLOOKUP($A497,'[3]allergenen 6nr'!$A$1:$O$1310,6,FALSE)</f>
        <v>-</v>
      </c>
      <c r="BH497" s="201" t="str">
        <f>VLOOKUP($A497,'[3]allergenen 6nr'!$A$1:$O$1310,7,FALSE)</f>
        <v>-</v>
      </c>
      <c r="BI497" s="201" t="str">
        <f>VLOOKUP($A497,'[3]allergenen 6nr'!$A$1:$O$1310,8,FALSE)</f>
        <v>-</v>
      </c>
      <c r="BJ497" s="201" t="str">
        <f>VLOOKUP($A497,'[3]allergenen 6nr'!$A$1:$O$1310,9,FALSE)</f>
        <v>-</v>
      </c>
      <c r="BK497" s="201" t="str">
        <f>VLOOKUP($A497,'[3]allergenen 6nr'!$A$1:$O$1310,10,FALSE)</f>
        <v>-</v>
      </c>
      <c r="BL497" s="201" t="str">
        <f>VLOOKUP($A497,'[3]allergenen 6nr'!$A$1:$O$1310,11,FALSE)</f>
        <v>+</v>
      </c>
      <c r="BM497" s="201" t="str">
        <f>VLOOKUP($A497,'[3]allergenen 6nr'!$A$1:$O$1310,12,FALSE)</f>
        <v>-</v>
      </c>
      <c r="BN497" s="201" t="str">
        <f>VLOOKUP($A497,'[3]allergenen 6nr'!$A$1:$O$1310,13,FALSE)</f>
        <v>+</v>
      </c>
      <c r="BO497" s="201" t="str">
        <f>VLOOKUP($A497,'[3]allergenen 6nr'!$A$1:$O$1310,14,FALSE)</f>
        <v>-</v>
      </c>
      <c r="BP497" s="202" t="str">
        <f>VLOOKUP($A497,'[3]allergenen 6nr'!$A$1:$O$1310,15,FALSE)</f>
        <v>-</v>
      </c>
    </row>
    <row r="498" spans="1:68" x14ac:dyDescent="0.2">
      <c r="A498" s="54">
        <v>65106900</v>
      </c>
      <c r="B498" s="53" t="str">
        <f>VLOOKUP($A498,[1]maaltijden!$A$1:$IV$65536,4,FALSE)</f>
        <v>DMB KIPPENHAASJES BRAADJUS 2 KG</v>
      </c>
      <c r="C498" s="46" t="str">
        <f>VLOOKUP($A498,[1]maaltijden!$A$1:$IV$65536,7,FALSE)</f>
        <v>C2325-1C</v>
      </c>
      <c r="D498" s="22" t="str">
        <f>VLOOKUP($A498,[1]maaltijden!$A$1:$IV$65536,10,FALSE)</f>
        <v>NVT</v>
      </c>
      <c r="E498" s="22" t="str">
        <f>VLOOKUP($A498,[1]maaltijden!$A$1:$IV$65536,13,FALSE)</f>
        <v>BULK HO</v>
      </c>
      <c r="F498" s="20">
        <f t="shared" si="7"/>
        <v>0</v>
      </c>
      <c r="G498" s="20" t="str">
        <f>VLOOKUP($A498,[1]maaltijden!$A$1:$IV$65536,27,FALSE)</f>
        <v>! !</v>
      </c>
      <c r="H498" s="22">
        <f>VLOOKUP($A498,[1]maaltijden!$A$1:$IV$65536,21,FALSE)</f>
        <v>3</v>
      </c>
      <c r="I498" s="22">
        <f>VLOOKUP($A498,[1]maaltijden!$A$1:$IV$65536,21,FALSE)</f>
        <v>3</v>
      </c>
      <c r="J498" s="22">
        <f>VLOOKUP($A498,[1]maaltijden!$A$1:$IV$65536,18,FALSE)</f>
        <v>2</v>
      </c>
      <c r="K498" s="22">
        <f>VLOOKUP($A498,[1]maaltijden!$A$1:$IV$65536,17,FALSE)</f>
        <v>1</v>
      </c>
      <c r="L498" s="22">
        <f>VLOOKUP($A498,[1]maaltijden!$A$1:$IV$65536,20,FALSE)</f>
        <v>600</v>
      </c>
      <c r="M498" s="22">
        <f>VLOOKUP($A498,[1]maaltijden!$A$1:$IV$65536,22,FALSE)</f>
        <v>600</v>
      </c>
      <c r="N498" s="135"/>
      <c r="O498" s="50"/>
      <c r="P498" s="19">
        <v>0</v>
      </c>
      <c r="Q498" s="20">
        <v>1</v>
      </c>
      <c r="R498" s="21">
        <v>0</v>
      </c>
      <c r="S498" s="19">
        <v>0</v>
      </c>
      <c r="T498" s="20">
        <v>1</v>
      </c>
      <c r="U498" s="19"/>
      <c r="V498" s="20"/>
      <c r="W498" s="20"/>
      <c r="X498" s="20"/>
      <c r="Y498" s="20"/>
      <c r="Z498" s="20"/>
      <c r="AA498" s="20"/>
      <c r="AB498" s="49"/>
      <c r="AC498" s="49"/>
      <c r="AD498" s="49"/>
      <c r="AE498" s="49"/>
      <c r="AF498" s="49"/>
      <c r="AG498" s="161">
        <v>0</v>
      </c>
      <c r="AH498" s="168">
        <v>1</v>
      </c>
      <c r="AI498" s="20"/>
      <c r="AJ498" s="20"/>
      <c r="AK498" s="20"/>
      <c r="AL498" s="21"/>
      <c r="AM498" s="19">
        <v>0</v>
      </c>
      <c r="AN498" s="20">
        <f>IFERROR(INDEX([2]lijnopstellingsfiche!$AP$1:$AP$65536,MATCH(A498,[2]lijnopstellingsfiche!$AQ$1:$AQ$65536,0)),"")</f>
        <v>1</v>
      </c>
      <c r="AO498" s="20">
        <v>0</v>
      </c>
      <c r="AP498" s="20">
        <v>0</v>
      </c>
      <c r="AQ498" s="20">
        <v>2</v>
      </c>
      <c r="AR498" s="20">
        <v>0</v>
      </c>
      <c r="AS498" s="20">
        <v>0</v>
      </c>
      <c r="AT498" s="20">
        <v>1</v>
      </c>
      <c r="AU498" s="20">
        <v>0</v>
      </c>
      <c r="AV498" s="23">
        <v>0</v>
      </c>
      <c r="AW498" s="108">
        <v>0</v>
      </c>
      <c r="AX498" s="108">
        <v>0</v>
      </c>
      <c r="AY498" s="108">
        <v>0</v>
      </c>
      <c r="AZ498" s="108">
        <v>0</v>
      </c>
      <c r="BA498" s="114">
        <v>1</v>
      </c>
      <c r="BB498" s="20">
        <v>0</v>
      </c>
      <c r="BC498" s="113">
        <v>0</v>
      </c>
      <c r="BD498" s="200" t="str">
        <f>VLOOKUP($A498,'[3]allergenen 6nr'!$A$1:$O$1310,3,FALSE)</f>
        <v>-</v>
      </c>
      <c r="BE498" s="201" t="str">
        <f>VLOOKUP($A498,'[3]allergenen 6nr'!$A$1:$O$1310,4,FALSE)</f>
        <v>-</v>
      </c>
      <c r="BF498" s="201" t="str">
        <f>VLOOKUP($A498,'[3]allergenen 6nr'!$A$1:$O$1310,5,FALSE)</f>
        <v>+</v>
      </c>
      <c r="BG498" s="201" t="str">
        <f>VLOOKUP($A498,'[3]allergenen 6nr'!$A$1:$O$1310,6,FALSE)</f>
        <v>X</v>
      </c>
      <c r="BH498" s="201" t="str">
        <f>VLOOKUP($A498,'[3]allergenen 6nr'!$A$1:$O$1310,7,FALSE)</f>
        <v>+</v>
      </c>
      <c r="BI498" s="201" t="str">
        <f>VLOOKUP($A498,'[3]allergenen 6nr'!$A$1:$O$1310,8,FALSE)</f>
        <v>X</v>
      </c>
      <c r="BJ498" s="201" t="str">
        <f>VLOOKUP($A498,'[3]allergenen 6nr'!$A$1:$O$1310,9,FALSE)</f>
        <v>-</v>
      </c>
      <c r="BK498" s="201" t="str">
        <f>VLOOKUP($A498,'[3]allergenen 6nr'!$A$1:$O$1310,10,FALSE)</f>
        <v>-</v>
      </c>
      <c r="BL498" s="201" t="str">
        <f>VLOOKUP($A498,'[3]allergenen 6nr'!$A$1:$O$1310,11,FALSE)</f>
        <v>X</v>
      </c>
      <c r="BM498" s="201" t="str">
        <f>VLOOKUP($A498,'[3]allergenen 6nr'!$A$1:$O$1310,12,FALSE)</f>
        <v>-</v>
      </c>
      <c r="BN498" s="201" t="str">
        <f>VLOOKUP($A498,'[3]allergenen 6nr'!$A$1:$O$1310,13,FALSE)</f>
        <v>X</v>
      </c>
      <c r="BO498" s="201" t="str">
        <f>VLOOKUP($A498,'[3]allergenen 6nr'!$A$1:$O$1310,14,FALSE)</f>
        <v>-</v>
      </c>
      <c r="BP498" s="202" t="str">
        <f>VLOOKUP($A498,'[3]allergenen 6nr'!$A$1:$O$1310,15,FALSE)</f>
        <v>-</v>
      </c>
    </row>
    <row r="499" spans="1:68" x14ac:dyDescent="0.2">
      <c r="A499" s="54">
        <v>65107200</v>
      </c>
      <c r="B499" s="53" t="str">
        <f>VLOOKUP($A499,[1]maaltijden!$A$1:$IV$65536,4,FALSE)</f>
        <v>DMB KIPFILET PEPERROOMSAUS 2 KG</v>
      </c>
      <c r="C499" s="46" t="str">
        <f>VLOOKUP($A499,[1]maaltijden!$A$1:$IV$65536,7,FALSE)</f>
        <v>C2325-1C</v>
      </c>
      <c r="D499" s="22" t="str">
        <f>VLOOKUP($A499,[1]maaltijden!$A$1:$IV$65536,10,FALSE)</f>
        <v>NVT</v>
      </c>
      <c r="E499" s="22" t="str">
        <f>VLOOKUP($A499,[1]maaltijden!$A$1:$IV$65536,13,FALSE)</f>
        <v>BULK HO</v>
      </c>
      <c r="F499" s="20">
        <f t="shared" si="7"/>
        <v>0</v>
      </c>
      <c r="G499" s="20" t="str">
        <f>VLOOKUP($A499,[1]maaltijden!$A$1:$IV$65536,27,FALSE)</f>
        <v>! !</v>
      </c>
      <c r="H499" s="22">
        <f>VLOOKUP($A499,[1]maaltijden!$A$1:$IV$65536,21,FALSE)</f>
        <v>6</v>
      </c>
      <c r="I499" s="22">
        <f>VLOOKUP($A499,[1]maaltijden!$A$1:$IV$65536,21,FALSE)</f>
        <v>6</v>
      </c>
      <c r="J499" s="22">
        <f>VLOOKUP($A499,[1]maaltijden!$A$1:$IV$65536,18,FALSE)</f>
        <v>3</v>
      </c>
      <c r="K499" s="22">
        <f>VLOOKUP($A499,[1]maaltijden!$A$1:$IV$65536,17,FALSE)</f>
        <v>1</v>
      </c>
      <c r="L499" s="22">
        <f>VLOOKUP($A499,[1]maaltijden!$A$1:$IV$65536,20,FALSE)</f>
        <v>600</v>
      </c>
      <c r="M499" s="22">
        <f>VLOOKUP($A499,[1]maaltijden!$A$1:$IV$65536,22,FALSE)</f>
        <v>600</v>
      </c>
      <c r="N499" s="135"/>
      <c r="O499" s="50">
        <v>0</v>
      </c>
      <c r="P499" s="19">
        <v>0</v>
      </c>
      <c r="Q499" s="20">
        <v>1</v>
      </c>
      <c r="R499" s="21">
        <v>0</v>
      </c>
      <c r="S499" s="19">
        <v>0</v>
      </c>
      <c r="T499" s="20">
        <v>1</v>
      </c>
      <c r="U499" s="19">
        <v>1</v>
      </c>
      <c r="V499" s="20">
        <v>1</v>
      </c>
      <c r="W499" s="20">
        <v>1</v>
      </c>
      <c r="X499" s="20">
        <v>1</v>
      </c>
      <c r="Y499" s="20">
        <v>1</v>
      </c>
      <c r="Z499" s="20">
        <v>0</v>
      </c>
      <c r="AA499" s="20">
        <v>0</v>
      </c>
      <c r="AB499" s="49">
        <v>0</v>
      </c>
      <c r="AC499" s="49">
        <v>0</v>
      </c>
      <c r="AD499" s="49">
        <v>0</v>
      </c>
      <c r="AE499" s="49">
        <v>0</v>
      </c>
      <c r="AF499" s="49">
        <v>0</v>
      </c>
      <c r="AG499" s="161">
        <v>0</v>
      </c>
      <c r="AH499" s="168">
        <v>1</v>
      </c>
      <c r="AI499" s="20"/>
      <c r="AJ499" s="20"/>
      <c r="AK499" s="20"/>
      <c r="AL499" s="21"/>
      <c r="AM499" s="19">
        <v>0</v>
      </c>
      <c r="AN499" s="20" t="str">
        <f>IFERROR(INDEX([2]lijnopstellingsfiche!$AP$1:$AP$65536,MATCH(A499,[2]lijnopstellingsfiche!$AQ$1:$AQ$65536,0)),"")</f>
        <v>-</v>
      </c>
      <c r="AO499" s="20">
        <v>0</v>
      </c>
      <c r="AP499" s="20">
        <v>0</v>
      </c>
      <c r="AQ499" s="20">
        <v>2</v>
      </c>
      <c r="AR499" s="20">
        <v>0</v>
      </c>
      <c r="AS499" s="20">
        <v>0</v>
      </c>
      <c r="AT499" s="20">
        <v>0</v>
      </c>
      <c r="AU499" s="20">
        <v>0</v>
      </c>
      <c r="AV499" s="23">
        <v>0</v>
      </c>
      <c r="AW499" s="108">
        <v>0</v>
      </c>
      <c r="AX499" s="108">
        <v>0</v>
      </c>
      <c r="AY499" s="108">
        <v>0</v>
      </c>
      <c r="AZ499" s="108">
        <v>0</v>
      </c>
      <c r="BA499" s="114">
        <v>1</v>
      </c>
      <c r="BB499" s="20">
        <v>0</v>
      </c>
      <c r="BC499" s="113">
        <v>0</v>
      </c>
      <c r="BD499" s="200" t="str">
        <f>VLOOKUP($A499,'[3]allergenen 6nr'!$A$1:$O$1310,3,FALSE)</f>
        <v>-</v>
      </c>
      <c r="BE499" s="201" t="str">
        <f>VLOOKUP($A499,'[3]allergenen 6nr'!$A$1:$O$1310,4,FALSE)</f>
        <v>-</v>
      </c>
      <c r="BF499" s="201" t="str">
        <f>VLOOKUP($A499,'[3]allergenen 6nr'!$A$1:$O$1310,5,FALSE)</f>
        <v>+</v>
      </c>
      <c r="BG499" s="201" t="str">
        <f>VLOOKUP($A499,'[3]allergenen 6nr'!$A$1:$O$1310,6,FALSE)</f>
        <v>X</v>
      </c>
      <c r="BH499" s="201" t="str">
        <f>VLOOKUP($A499,'[3]allergenen 6nr'!$A$1:$O$1310,7,FALSE)</f>
        <v>+</v>
      </c>
      <c r="BI499" s="201" t="str">
        <f>VLOOKUP($A499,'[3]allergenen 6nr'!$A$1:$O$1310,8,FALSE)</f>
        <v>X</v>
      </c>
      <c r="BJ499" s="201" t="str">
        <f>VLOOKUP($A499,'[3]allergenen 6nr'!$A$1:$O$1310,9,FALSE)</f>
        <v>-</v>
      </c>
      <c r="BK499" s="201" t="str">
        <f>VLOOKUP($A499,'[3]allergenen 6nr'!$A$1:$O$1310,10,FALSE)</f>
        <v>-</v>
      </c>
      <c r="BL499" s="201" t="str">
        <f>VLOOKUP($A499,'[3]allergenen 6nr'!$A$1:$O$1310,11,FALSE)</f>
        <v>-</v>
      </c>
      <c r="BM499" s="201" t="str">
        <f>VLOOKUP($A499,'[3]allergenen 6nr'!$A$1:$O$1310,12,FALSE)</f>
        <v>-</v>
      </c>
      <c r="BN499" s="201" t="str">
        <f>VLOOKUP($A499,'[3]allergenen 6nr'!$A$1:$O$1310,13,FALSE)</f>
        <v>X</v>
      </c>
      <c r="BO499" s="201" t="str">
        <f>VLOOKUP($A499,'[3]allergenen 6nr'!$A$1:$O$1310,14,FALSE)</f>
        <v>-</v>
      </c>
      <c r="BP499" s="202" t="str">
        <f>VLOOKUP($A499,'[3]allergenen 6nr'!$A$1:$O$1310,15,FALSE)</f>
        <v>-</v>
      </c>
    </row>
    <row r="500" spans="1:68" x14ac:dyDescent="0.2">
      <c r="A500" s="54">
        <v>65107300</v>
      </c>
      <c r="B500" s="53" t="str">
        <f>VLOOKUP($A500,[1]maaltijden!$A$1:$IV$65536,4,FALSE)</f>
        <v>DMB WITTE PENS KALFSJUS 2,2KG</v>
      </c>
      <c r="C500" s="46" t="str">
        <f>VLOOKUP($A500,[1]maaltijden!$A$1:$IV$65536,7,FALSE)</f>
        <v>C2325-1C</v>
      </c>
      <c r="D500" s="22" t="str">
        <f>VLOOKUP($A500,[1]maaltijden!$A$1:$IV$65536,10,FALSE)</f>
        <v>NVT</v>
      </c>
      <c r="E500" s="22" t="str">
        <f>VLOOKUP($A500,[1]maaltijden!$A$1:$IV$65536,13,FALSE)</f>
        <v>BULK HO</v>
      </c>
      <c r="F500" s="20">
        <f t="shared" si="7"/>
        <v>0</v>
      </c>
      <c r="G500" s="20" t="str">
        <f>VLOOKUP($A500,[1]maaltijden!$A$1:$IV$65536,27,FALSE)</f>
        <v>! ! !</v>
      </c>
      <c r="H500" s="22">
        <f>VLOOKUP($A500,[1]maaltijden!$A$1:$IV$65536,21,FALSE)</f>
        <v>6</v>
      </c>
      <c r="I500" s="22">
        <f>VLOOKUP($A500,[1]maaltijden!$A$1:$IV$65536,21,FALSE)</f>
        <v>6</v>
      </c>
      <c r="J500" s="22">
        <f>VLOOKUP($A500,[1]maaltijden!$A$1:$IV$65536,18,FALSE)</f>
        <v>3</v>
      </c>
      <c r="K500" s="22">
        <f>VLOOKUP($A500,[1]maaltijden!$A$1:$IV$65536,17,FALSE)</f>
        <v>1</v>
      </c>
      <c r="L500" s="22">
        <f>VLOOKUP($A500,[1]maaltijden!$A$1:$IV$65536,20,FALSE)</f>
        <v>550</v>
      </c>
      <c r="M500" s="22">
        <f>VLOOKUP($A500,[1]maaltijden!$A$1:$IV$65536,22,FALSE)</f>
        <v>550</v>
      </c>
      <c r="N500" s="135"/>
      <c r="O500" s="50">
        <v>65107400</v>
      </c>
      <c r="P500" s="19">
        <v>0</v>
      </c>
      <c r="Q500" s="20">
        <v>1</v>
      </c>
      <c r="R500" s="21">
        <v>0</v>
      </c>
      <c r="S500" s="19">
        <v>0</v>
      </c>
      <c r="T500" s="20">
        <v>1</v>
      </c>
      <c r="U500" s="19">
        <v>0</v>
      </c>
      <c r="V500" s="20">
        <v>1</v>
      </c>
      <c r="W500" s="20">
        <v>1</v>
      </c>
      <c r="X500" s="20">
        <v>1</v>
      </c>
      <c r="Y500" s="20">
        <v>1</v>
      </c>
      <c r="Z500" s="20">
        <v>0</v>
      </c>
      <c r="AA500" s="20">
        <v>0</v>
      </c>
      <c r="AB500" s="49">
        <v>0</v>
      </c>
      <c r="AC500" s="49">
        <v>0</v>
      </c>
      <c r="AD500" s="49">
        <v>0</v>
      </c>
      <c r="AE500" s="49">
        <v>1</v>
      </c>
      <c r="AF500" s="49">
        <v>0</v>
      </c>
      <c r="AG500" s="161">
        <v>0</v>
      </c>
      <c r="AH500" s="168">
        <v>1</v>
      </c>
      <c r="AI500" s="20"/>
      <c r="AJ500" s="20"/>
      <c r="AK500" s="20"/>
      <c r="AL500" s="21"/>
      <c r="AM500" s="19">
        <v>0</v>
      </c>
      <c r="AN500" s="20" t="str">
        <f>IFERROR(INDEX([2]lijnopstellingsfiche!$AP$1:$AP$65536,MATCH(A500,[2]lijnopstellingsfiche!$AQ$1:$AQ$65536,0)),"")</f>
        <v>-</v>
      </c>
      <c r="AO500" s="20">
        <v>0</v>
      </c>
      <c r="AP500" s="20">
        <v>0</v>
      </c>
      <c r="AQ500" s="20">
        <v>2</v>
      </c>
      <c r="AR500" s="20">
        <v>0</v>
      </c>
      <c r="AS500" s="20">
        <v>0</v>
      </c>
      <c r="AT500" s="20">
        <v>0</v>
      </c>
      <c r="AU500" s="20">
        <v>0</v>
      </c>
      <c r="AV500" s="23">
        <v>0</v>
      </c>
      <c r="AW500" s="108">
        <v>0</v>
      </c>
      <c r="AX500" s="108">
        <v>0</v>
      </c>
      <c r="AY500" s="108">
        <v>0</v>
      </c>
      <c r="AZ500" s="108">
        <v>0</v>
      </c>
      <c r="BA500" s="114">
        <v>1</v>
      </c>
      <c r="BB500" s="20">
        <v>0</v>
      </c>
      <c r="BC500" s="113">
        <v>0</v>
      </c>
      <c r="BD500" s="200" t="str">
        <f>VLOOKUP($A500,'[3]allergenen 6nr'!$A$1:$O$1310,3,FALSE)</f>
        <v>-</v>
      </c>
      <c r="BE500" s="201" t="str">
        <f>VLOOKUP($A500,'[3]allergenen 6nr'!$A$1:$O$1310,4,FALSE)</f>
        <v>+</v>
      </c>
      <c r="BF500" s="201" t="str">
        <f>VLOOKUP($A500,'[3]allergenen 6nr'!$A$1:$O$1310,5,FALSE)</f>
        <v>+</v>
      </c>
      <c r="BG500" s="201" t="str">
        <f>VLOOKUP($A500,'[3]allergenen 6nr'!$A$1:$O$1310,6,FALSE)</f>
        <v>X</v>
      </c>
      <c r="BH500" s="201" t="str">
        <f>VLOOKUP($A500,'[3]allergenen 6nr'!$A$1:$O$1310,7,FALSE)</f>
        <v>+</v>
      </c>
      <c r="BI500" s="201" t="str">
        <f>VLOOKUP($A500,'[3]allergenen 6nr'!$A$1:$O$1310,8,FALSE)</f>
        <v>+</v>
      </c>
      <c r="BJ500" s="201" t="str">
        <f>VLOOKUP($A500,'[3]allergenen 6nr'!$A$1:$O$1310,9,FALSE)</f>
        <v>-</v>
      </c>
      <c r="BK500" s="201" t="str">
        <f>VLOOKUP($A500,'[3]allergenen 6nr'!$A$1:$O$1310,10,FALSE)</f>
        <v>-</v>
      </c>
      <c r="BL500" s="201" t="str">
        <f>VLOOKUP($A500,'[3]allergenen 6nr'!$A$1:$O$1310,11,FALSE)</f>
        <v>+</v>
      </c>
      <c r="BM500" s="201" t="str">
        <f>VLOOKUP($A500,'[3]allergenen 6nr'!$A$1:$O$1310,12,FALSE)</f>
        <v>-</v>
      </c>
      <c r="BN500" s="201" t="str">
        <f>VLOOKUP($A500,'[3]allergenen 6nr'!$A$1:$O$1310,13,FALSE)</f>
        <v>+</v>
      </c>
      <c r="BO500" s="201" t="str">
        <f>VLOOKUP($A500,'[3]allergenen 6nr'!$A$1:$O$1310,14,FALSE)</f>
        <v>-</v>
      </c>
      <c r="BP500" s="202" t="str">
        <f>VLOOKUP($A500,'[3]allergenen 6nr'!$A$1:$O$1310,15,FALSE)</f>
        <v>-</v>
      </c>
    </row>
    <row r="501" spans="1:68" x14ac:dyDescent="0.2">
      <c r="A501" s="54">
        <v>65107400</v>
      </c>
      <c r="B501" s="53" t="str">
        <f>VLOOKUP($A501,[1]maaltijden!$A$1:$IV$65536,4,FALSE)</f>
        <v>DMB WITTE PENS GESNEDEN KALFSJUS 2,2KG</v>
      </c>
      <c r="C501" s="46" t="str">
        <f>VLOOKUP($A501,[1]maaltijden!$A$1:$IV$65536,7,FALSE)</f>
        <v>C2325-1C</v>
      </c>
      <c r="D501" s="22" t="str">
        <f>VLOOKUP($A501,[1]maaltijden!$A$1:$IV$65536,10,FALSE)</f>
        <v>NVT</v>
      </c>
      <c r="E501" s="22" t="str">
        <f>VLOOKUP($A501,[1]maaltijden!$A$1:$IV$65536,13,FALSE)</f>
        <v>BULK HO</v>
      </c>
      <c r="F501" s="20">
        <f t="shared" si="7"/>
        <v>0</v>
      </c>
      <c r="G501" s="20" t="str">
        <f>VLOOKUP($A501,[1]maaltijden!$A$1:$IV$65536,27,FALSE)</f>
        <v>! ! !</v>
      </c>
      <c r="H501" s="22">
        <f>VLOOKUP($A501,[1]maaltijden!$A$1:$IV$65536,21,FALSE)</f>
        <v>6</v>
      </c>
      <c r="I501" s="22">
        <f>VLOOKUP($A501,[1]maaltijden!$A$1:$IV$65536,21,FALSE)</f>
        <v>6</v>
      </c>
      <c r="J501" s="22">
        <f>VLOOKUP($A501,[1]maaltijden!$A$1:$IV$65536,18,FALSE)</f>
        <v>3</v>
      </c>
      <c r="K501" s="22">
        <f>VLOOKUP($A501,[1]maaltijden!$A$1:$IV$65536,17,FALSE)</f>
        <v>1</v>
      </c>
      <c r="L501" s="22">
        <f>VLOOKUP($A501,[1]maaltijden!$A$1:$IV$65536,20,FALSE)</f>
        <v>550</v>
      </c>
      <c r="M501" s="22">
        <f>VLOOKUP($A501,[1]maaltijden!$A$1:$IV$65536,22,FALSE)</f>
        <v>550</v>
      </c>
      <c r="N501" s="135"/>
      <c r="O501" s="50">
        <v>65107300</v>
      </c>
      <c r="P501" s="19">
        <v>0</v>
      </c>
      <c r="Q501" s="20">
        <v>1</v>
      </c>
      <c r="R501" s="21">
        <v>0</v>
      </c>
      <c r="S501" s="19">
        <v>0</v>
      </c>
      <c r="T501" s="20">
        <v>1</v>
      </c>
      <c r="U501" s="19">
        <v>0</v>
      </c>
      <c r="V501" s="20">
        <v>1</v>
      </c>
      <c r="W501" s="20">
        <v>1</v>
      </c>
      <c r="X501" s="20">
        <v>1</v>
      </c>
      <c r="Y501" s="20">
        <v>1</v>
      </c>
      <c r="Z501" s="20">
        <v>0</v>
      </c>
      <c r="AA501" s="20">
        <v>0</v>
      </c>
      <c r="AB501" s="49">
        <v>0</v>
      </c>
      <c r="AC501" s="49">
        <v>0</v>
      </c>
      <c r="AD501" s="49">
        <v>0</v>
      </c>
      <c r="AE501" s="49">
        <v>1</v>
      </c>
      <c r="AF501" s="49">
        <v>0</v>
      </c>
      <c r="AG501" s="161">
        <v>0</v>
      </c>
      <c r="AH501" s="168">
        <v>1</v>
      </c>
      <c r="AI501" s="20"/>
      <c r="AJ501" s="20"/>
      <c r="AK501" s="20"/>
      <c r="AL501" s="21"/>
      <c r="AM501" s="19">
        <v>0</v>
      </c>
      <c r="AN501" s="20">
        <f>IFERROR(INDEX([2]lijnopstellingsfiche!$AP$1:$AP$65536,MATCH(A501,[2]lijnopstellingsfiche!$AQ$1:$AQ$65536,0)),"")</f>
        <v>1</v>
      </c>
      <c r="AO501" s="20">
        <v>0</v>
      </c>
      <c r="AP501" s="20">
        <v>0</v>
      </c>
      <c r="AQ501" s="20">
        <v>2</v>
      </c>
      <c r="AR501" s="20">
        <v>0</v>
      </c>
      <c r="AS501" s="20">
        <v>0</v>
      </c>
      <c r="AT501" s="20">
        <v>0</v>
      </c>
      <c r="AU501" s="20">
        <v>0</v>
      </c>
      <c r="AV501" s="23">
        <v>0</v>
      </c>
      <c r="AW501" s="108">
        <v>0</v>
      </c>
      <c r="AX501" s="108">
        <v>0</v>
      </c>
      <c r="AY501" s="108">
        <v>0</v>
      </c>
      <c r="AZ501" s="108">
        <v>0</v>
      </c>
      <c r="BA501" s="114">
        <v>1</v>
      </c>
      <c r="BB501" s="20">
        <v>0</v>
      </c>
      <c r="BC501" s="113">
        <v>0</v>
      </c>
      <c r="BD501" s="200" t="str">
        <f>VLOOKUP($A501,'[3]allergenen 6nr'!$A$1:$O$1310,3,FALSE)</f>
        <v>-</v>
      </c>
      <c r="BE501" s="201" t="str">
        <f>VLOOKUP($A501,'[3]allergenen 6nr'!$A$1:$O$1310,4,FALSE)</f>
        <v>X</v>
      </c>
      <c r="BF501" s="201" t="str">
        <f>VLOOKUP($A501,'[3]allergenen 6nr'!$A$1:$O$1310,5,FALSE)</f>
        <v>+</v>
      </c>
      <c r="BG501" s="201" t="str">
        <f>VLOOKUP($A501,'[3]allergenen 6nr'!$A$1:$O$1310,6,FALSE)</f>
        <v>X</v>
      </c>
      <c r="BH501" s="201" t="str">
        <f>VLOOKUP($A501,'[3]allergenen 6nr'!$A$1:$O$1310,7,FALSE)</f>
        <v>+</v>
      </c>
      <c r="BI501" s="201" t="str">
        <f>VLOOKUP($A501,'[3]allergenen 6nr'!$A$1:$O$1310,8,FALSE)</f>
        <v>X</v>
      </c>
      <c r="BJ501" s="201" t="str">
        <f>VLOOKUP($A501,'[3]allergenen 6nr'!$A$1:$O$1310,9,FALSE)</f>
        <v>X</v>
      </c>
      <c r="BK501" s="201" t="str">
        <f>VLOOKUP($A501,'[3]allergenen 6nr'!$A$1:$O$1310,10,FALSE)</f>
        <v>-</v>
      </c>
      <c r="BL501" s="201" t="str">
        <f>VLOOKUP($A501,'[3]allergenen 6nr'!$A$1:$O$1310,11,FALSE)</f>
        <v>X</v>
      </c>
      <c r="BM501" s="201" t="str">
        <f>VLOOKUP($A501,'[3]allergenen 6nr'!$A$1:$O$1310,12,FALSE)</f>
        <v>-</v>
      </c>
      <c r="BN501" s="201" t="str">
        <f>VLOOKUP($A501,'[3]allergenen 6nr'!$A$1:$O$1310,13,FALSE)</f>
        <v>+</v>
      </c>
      <c r="BO501" s="201" t="str">
        <f>VLOOKUP($A501,'[3]allergenen 6nr'!$A$1:$O$1310,14,FALSE)</f>
        <v>X</v>
      </c>
      <c r="BP501" s="202" t="str">
        <f>VLOOKUP($A501,'[3]allergenen 6nr'!$A$1:$O$1310,15,FALSE)</f>
        <v>-</v>
      </c>
    </row>
    <row r="502" spans="1:68" x14ac:dyDescent="0.2">
      <c r="A502" s="126">
        <v>65107600</v>
      </c>
      <c r="B502" s="53" t="str">
        <f>VLOOKUP($A502,[1]maaltijden!$A$1:$IV$65536,4,FALSE)</f>
        <v>DMB BLINDE VINK CHAMPIGNONSAUS 2KG</v>
      </c>
      <c r="C502" s="46" t="str">
        <f>VLOOKUP($A502,[1]maaltijden!$A$1:$IV$65536,7,FALSE)</f>
        <v>C2325-1C</v>
      </c>
      <c r="D502" s="22" t="str">
        <f>VLOOKUP($A502,[1]maaltijden!$A$1:$IV$65536,10,FALSE)</f>
        <v>NVT</v>
      </c>
      <c r="E502" s="22" t="str">
        <f>VLOOKUP($A502,[1]maaltijden!$A$1:$IV$65536,13,FALSE)</f>
        <v>BULK HO</v>
      </c>
      <c r="F502" s="20">
        <f t="shared" si="7"/>
        <v>0</v>
      </c>
      <c r="G502" s="20" t="str">
        <f>VLOOKUP($A502,[1]maaltijden!$A$1:$IV$65536,27,FALSE)</f>
        <v>! ! !</v>
      </c>
      <c r="H502" s="22">
        <f>VLOOKUP($A502,[1]maaltijden!$A$1:$IV$65536,21,FALSE)</f>
        <v>6</v>
      </c>
      <c r="I502" s="22">
        <f>VLOOKUP($A502,[1]maaltijden!$A$1:$IV$65536,21,FALSE)</f>
        <v>6</v>
      </c>
      <c r="J502" s="22">
        <f>VLOOKUP($A502,[1]maaltijden!$A$1:$IV$65536,18,FALSE)</f>
        <v>3</v>
      </c>
      <c r="K502" s="22">
        <f>VLOOKUP($A502,[1]maaltijden!$A$1:$IV$65536,17,FALSE)</f>
        <v>1</v>
      </c>
      <c r="L502" s="22">
        <f>VLOOKUP($A502,[1]maaltijden!$A$1:$IV$65536,20,FALSE)</f>
        <v>600</v>
      </c>
      <c r="M502" s="22">
        <f>VLOOKUP($A502,[1]maaltijden!$A$1:$IV$65536,22,FALSE)</f>
        <v>600</v>
      </c>
      <c r="N502" s="135"/>
      <c r="O502" s="50">
        <v>65107700</v>
      </c>
      <c r="P502" s="19">
        <v>0</v>
      </c>
      <c r="Q502" s="20">
        <v>1</v>
      </c>
      <c r="R502" s="21">
        <v>0</v>
      </c>
      <c r="S502" s="19">
        <v>0</v>
      </c>
      <c r="T502" s="20">
        <v>1</v>
      </c>
      <c r="U502" s="19">
        <v>0</v>
      </c>
      <c r="V502" s="20">
        <v>1</v>
      </c>
      <c r="W502" s="20">
        <v>1</v>
      </c>
      <c r="X502" s="20">
        <v>1</v>
      </c>
      <c r="Y502" s="20">
        <v>1</v>
      </c>
      <c r="Z502" s="20">
        <v>0</v>
      </c>
      <c r="AA502" s="20">
        <v>0</v>
      </c>
      <c r="AB502" s="49">
        <v>0</v>
      </c>
      <c r="AC502" s="49">
        <v>0</v>
      </c>
      <c r="AD502" s="49">
        <v>0</v>
      </c>
      <c r="AE502" s="49">
        <v>0</v>
      </c>
      <c r="AF502" s="49">
        <v>0</v>
      </c>
      <c r="AG502" s="19">
        <v>0</v>
      </c>
      <c r="AH502" s="20"/>
      <c r="AI502" s="20"/>
      <c r="AJ502" s="20"/>
      <c r="AK502" s="20"/>
      <c r="AL502" s="21"/>
      <c r="AM502" s="19">
        <v>0</v>
      </c>
      <c r="AN502" s="20" t="str">
        <f>IFERROR(INDEX([2]lijnopstellingsfiche!$AP$1:$AP$65536,MATCH(A502,[2]lijnopstellingsfiche!$AQ$1:$AQ$65536,0)),"")</f>
        <v>-</v>
      </c>
      <c r="AO502" s="20">
        <v>0</v>
      </c>
      <c r="AP502" s="20">
        <v>0</v>
      </c>
      <c r="AQ502" s="20">
        <v>2</v>
      </c>
      <c r="AR502" s="20">
        <v>0</v>
      </c>
      <c r="AS502" s="20">
        <v>0</v>
      </c>
      <c r="AT502" s="20">
        <v>0</v>
      </c>
      <c r="AU502" s="20">
        <v>0</v>
      </c>
      <c r="AV502" s="23">
        <v>0</v>
      </c>
      <c r="AW502" s="108">
        <v>0</v>
      </c>
      <c r="AX502" s="108">
        <v>0</v>
      </c>
      <c r="AY502" s="108">
        <v>0</v>
      </c>
      <c r="AZ502" s="108">
        <v>0</v>
      </c>
      <c r="BA502" s="114">
        <v>1</v>
      </c>
      <c r="BB502" s="20">
        <v>0</v>
      </c>
      <c r="BC502" s="113">
        <v>0</v>
      </c>
      <c r="BD502" s="200"/>
      <c r="BE502" s="201"/>
      <c r="BF502" s="201"/>
      <c r="BG502" s="201"/>
      <c r="BH502" s="201"/>
      <c r="BI502" s="201"/>
      <c r="BJ502" s="201"/>
      <c r="BK502" s="201"/>
      <c r="BL502" s="201"/>
      <c r="BM502" s="201"/>
      <c r="BN502" s="201"/>
      <c r="BO502" s="201"/>
      <c r="BP502" s="202"/>
    </row>
    <row r="503" spans="1:68" x14ac:dyDescent="0.2">
      <c r="A503" s="126">
        <v>65107700</v>
      </c>
      <c r="B503" s="53" t="str">
        <f>VLOOKUP($A503,[1]maaltijden!$A$1:$IV$65536,4,FALSE)</f>
        <v>DMB BLINDE VINK GESNEDEN CHAMPIGNONSAUS 2KG</v>
      </c>
      <c r="C503" s="46" t="str">
        <f>VLOOKUP($A503,[1]maaltijden!$A$1:$IV$65536,7,FALSE)</f>
        <v>C2325-1C</v>
      </c>
      <c r="D503" s="22" t="str">
        <f>VLOOKUP($A503,[1]maaltijden!$A$1:$IV$65536,10,FALSE)</f>
        <v>NVT</v>
      </c>
      <c r="E503" s="22" t="str">
        <f>VLOOKUP($A503,[1]maaltijden!$A$1:$IV$65536,13,FALSE)</f>
        <v>BULK HO</v>
      </c>
      <c r="F503" s="20">
        <f t="shared" si="7"/>
        <v>0</v>
      </c>
      <c r="G503" s="20" t="str">
        <f>VLOOKUP($A503,[1]maaltijden!$A$1:$IV$65536,27,FALSE)</f>
        <v>! ! !</v>
      </c>
      <c r="H503" s="22">
        <f>VLOOKUP($A503,[1]maaltijden!$A$1:$IV$65536,21,FALSE)</f>
        <v>5</v>
      </c>
      <c r="I503" s="22">
        <f>VLOOKUP($A503,[1]maaltijden!$A$1:$IV$65536,21,FALSE)</f>
        <v>5</v>
      </c>
      <c r="J503" s="22">
        <f>VLOOKUP($A503,[1]maaltijden!$A$1:$IV$65536,18,FALSE)</f>
        <v>3</v>
      </c>
      <c r="K503" s="22">
        <f>VLOOKUP($A503,[1]maaltijden!$A$1:$IV$65536,17,FALSE)</f>
        <v>1</v>
      </c>
      <c r="L503" s="22">
        <f>VLOOKUP($A503,[1]maaltijden!$A$1:$IV$65536,20,FALSE)</f>
        <v>600</v>
      </c>
      <c r="M503" s="22">
        <f>VLOOKUP($A503,[1]maaltijden!$A$1:$IV$65536,22,FALSE)</f>
        <v>600</v>
      </c>
      <c r="N503" s="135"/>
      <c r="O503" s="50">
        <v>65107600</v>
      </c>
      <c r="P503" s="19">
        <v>0</v>
      </c>
      <c r="Q503" s="20">
        <v>1</v>
      </c>
      <c r="R503" s="21">
        <v>0</v>
      </c>
      <c r="S503" s="19">
        <v>0</v>
      </c>
      <c r="T503" s="20">
        <v>1</v>
      </c>
      <c r="U503" s="19">
        <v>0</v>
      </c>
      <c r="V503" s="20">
        <v>1</v>
      </c>
      <c r="W503" s="20">
        <v>1</v>
      </c>
      <c r="X503" s="20">
        <v>1</v>
      </c>
      <c r="Y503" s="20">
        <v>1</v>
      </c>
      <c r="Z503" s="20">
        <v>0</v>
      </c>
      <c r="AA503" s="20">
        <v>0</v>
      </c>
      <c r="AB503" s="49">
        <v>0</v>
      </c>
      <c r="AC503" s="49">
        <v>0</v>
      </c>
      <c r="AD503" s="49">
        <v>0</v>
      </c>
      <c r="AE503" s="49">
        <v>0</v>
      </c>
      <c r="AF503" s="49">
        <v>0</v>
      </c>
      <c r="AG503" s="19">
        <v>0</v>
      </c>
      <c r="AH503" s="20"/>
      <c r="AI503" s="20"/>
      <c r="AJ503" s="20"/>
      <c r="AK503" s="20"/>
      <c r="AL503" s="21"/>
      <c r="AM503" s="19">
        <v>0</v>
      </c>
      <c r="AN503" s="20">
        <f>IFERROR(INDEX([2]lijnopstellingsfiche!$AP$1:$AP$65536,MATCH(A503,[2]lijnopstellingsfiche!$AQ$1:$AQ$65536,0)),"")</f>
        <v>4</v>
      </c>
      <c r="AO503" s="20">
        <v>0</v>
      </c>
      <c r="AP503" s="20">
        <v>0</v>
      </c>
      <c r="AQ503" s="20">
        <v>2</v>
      </c>
      <c r="AR503" s="20">
        <v>0</v>
      </c>
      <c r="AS503" s="20">
        <v>0</v>
      </c>
      <c r="AT503" s="20">
        <v>0</v>
      </c>
      <c r="AU503" s="20">
        <v>0</v>
      </c>
      <c r="AV503" s="23">
        <v>0</v>
      </c>
      <c r="AW503" s="108">
        <v>0</v>
      </c>
      <c r="AX503" s="108">
        <v>0</v>
      </c>
      <c r="AY503" s="108">
        <v>0</v>
      </c>
      <c r="AZ503" s="108">
        <v>0</v>
      </c>
      <c r="BA503" s="114">
        <v>1</v>
      </c>
      <c r="BB503" s="20">
        <v>0</v>
      </c>
      <c r="BC503" s="113">
        <v>0</v>
      </c>
      <c r="BD503" s="200"/>
      <c r="BE503" s="201"/>
      <c r="BF503" s="201"/>
      <c r="BG503" s="201"/>
      <c r="BH503" s="201"/>
      <c r="BI503" s="201"/>
      <c r="BJ503" s="201"/>
      <c r="BK503" s="201"/>
      <c r="BL503" s="201"/>
      <c r="BM503" s="201"/>
      <c r="BN503" s="201"/>
      <c r="BO503" s="201"/>
      <c r="BP503" s="202"/>
    </row>
    <row r="504" spans="1:68" x14ac:dyDescent="0.2">
      <c r="A504" s="89">
        <v>65107800</v>
      </c>
      <c r="B504" s="53" t="str">
        <f>VLOOKUP($A504,[1]maaltijden!$A$1:$IV$65536,4,FALSE)</f>
        <v>DMB BOOMSTAMMETJE ZACHTE PAPRIKASAUS 2KG</v>
      </c>
      <c r="C504" s="46" t="str">
        <f>VLOOKUP($A504,[1]maaltijden!$A$1:$IV$65536,7,FALSE)</f>
        <v>C2325-1C</v>
      </c>
      <c r="D504" s="22" t="str">
        <f>VLOOKUP($A504,[1]maaltijden!$A$1:$IV$65536,10,FALSE)</f>
        <v>NVT</v>
      </c>
      <c r="E504" s="22" t="str">
        <f>VLOOKUP($A504,[1]maaltijden!$A$1:$IV$65536,13,FALSE)</f>
        <v>BULK HO</v>
      </c>
      <c r="F504" s="20">
        <f t="shared" si="7"/>
        <v>0</v>
      </c>
      <c r="G504" s="20" t="str">
        <f>VLOOKUP($A504,[1]maaltijden!$A$1:$IV$65536,27,FALSE)</f>
        <v>! ! !</v>
      </c>
      <c r="H504" s="22">
        <f>VLOOKUP($A504,[1]maaltijden!$A$1:$IV$65536,21,FALSE)</f>
        <v>5</v>
      </c>
      <c r="I504" s="22">
        <f>VLOOKUP($A504,[1]maaltijden!$A$1:$IV$65536,21,FALSE)</f>
        <v>5</v>
      </c>
      <c r="J504" s="22">
        <f>VLOOKUP($A504,[1]maaltijden!$A$1:$IV$65536,18,FALSE)</f>
        <v>3</v>
      </c>
      <c r="K504" s="22">
        <f>VLOOKUP($A504,[1]maaltijden!$A$1:$IV$65536,17,FALSE)</f>
        <v>1</v>
      </c>
      <c r="L504" s="22">
        <f>VLOOKUP($A504,[1]maaltijden!$A$1:$IV$65536,20,FALSE)</f>
        <v>600</v>
      </c>
      <c r="M504" s="22">
        <f>VLOOKUP($A504,[1]maaltijden!$A$1:$IV$65536,22,FALSE)</f>
        <v>600</v>
      </c>
      <c r="N504" s="135"/>
      <c r="O504" s="50">
        <v>65107900</v>
      </c>
      <c r="P504" s="19">
        <v>0</v>
      </c>
      <c r="Q504" s="20">
        <v>1</v>
      </c>
      <c r="R504" s="21">
        <v>0</v>
      </c>
      <c r="S504" s="19">
        <v>0</v>
      </c>
      <c r="T504" s="20">
        <v>1</v>
      </c>
      <c r="U504" s="19">
        <v>0</v>
      </c>
      <c r="V504" s="20">
        <v>1</v>
      </c>
      <c r="W504" s="20">
        <v>1</v>
      </c>
      <c r="X504" s="20">
        <v>1</v>
      </c>
      <c r="Y504" s="20">
        <v>1</v>
      </c>
      <c r="Z504" s="20">
        <v>0</v>
      </c>
      <c r="AA504" s="20">
        <v>0</v>
      </c>
      <c r="AB504" s="49">
        <v>0</v>
      </c>
      <c r="AC504" s="49">
        <v>0</v>
      </c>
      <c r="AD504" s="49">
        <v>0</v>
      </c>
      <c r="AE504" s="49">
        <v>0</v>
      </c>
      <c r="AF504" s="49">
        <v>0</v>
      </c>
      <c r="AG504" s="161">
        <v>0</v>
      </c>
      <c r="AH504" s="162">
        <v>1</v>
      </c>
      <c r="AI504" s="162">
        <v>0</v>
      </c>
      <c r="AJ504" s="162">
        <v>0</v>
      </c>
      <c r="AK504" s="162">
        <v>0</v>
      </c>
      <c r="AL504" s="163">
        <v>0</v>
      </c>
      <c r="AM504" s="19">
        <v>0</v>
      </c>
      <c r="AN504" s="20" t="str">
        <f>IFERROR(INDEX([2]lijnopstellingsfiche!$AP$1:$AP$65536,MATCH(A504,[2]lijnopstellingsfiche!$AQ$1:$AQ$65536,0)),"")</f>
        <v>-</v>
      </c>
      <c r="AO504" s="20">
        <v>0</v>
      </c>
      <c r="AP504" s="20">
        <v>0</v>
      </c>
      <c r="AQ504" s="20">
        <v>2</v>
      </c>
      <c r="AR504" s="20">
        <v>0</v>
      </c>
      <c r="AS504" s="20">
        <v>0</v>
      </c>
      <c r="AT504" s="20">
        <v>0</v>
      </c>
      <c r="AU504" s="20">
        <v>0</v>
      </c>
      <c r="AV504" s="23">
        <v>0</v>
      </c>
      <c r="AW504" s="108">
        <v>0</v>
      </c>
      <c r="AX504" s="108">
        <v>0</v>
      </c>
      <c r="AY504" s="108">
        <v>0</v>
      </c>
      <c r="AZ504" s="108">
        <v>0</v>
      </c>
      <c r="BA504" s="114">
        <v>1</v>
      </c>
      <c r="BB504" s="20">
        <v>0</v>
      </c>
      <c r="BC504" s="113">
        <v>0</v>
      </c>
      <c r="BD504" s="200" t="str">
        <f>VLOOKUP($A504,'[3]allergenen 6nr'!$A$1:$O$1310,3,FALSE)</f>
        <v>X</v>
      </c>
      <c r="BE504" s="201" t="str">
        <f>VLOOKUP($A504,'[3]allergenen 6nr'!$A$1:$O$1310,4,FALSE)</f>
        <v>X</v>
      </c>
      <c r="BF504" s="201" t="str">
        <f>VLOOKUP($A504,'[3]allergenen 6nr'!$A$1:$O$1310,5,FALSE)</f>
        <v>+</v>
      </c>
      <c r="BG504" s="201" t="str">
        <f>VLOOKUP($A504,'[3]allergenen 6nr'!$A$1:$O$1310,6,FALSE)</f>
        <v>X</v>
      </c>
      <c r="BH504" s="201" t="str">
        <f>VLOOKUP($A504,'[3]allergenen 6nr'!$A$1:$O$1310,7,FALSE)</f>
        <v>+</v>
      </c>
      <c r="BI504" s="201" t="str">
        <f>VLOOKUP($A504,'[3]allergenen 6nr'!$A$1:$O$1310,8,FALSE)</f>
        <v>+</v>
      </c>
      <c r="BJ504" s="201" t="str">
        <f>VLOOKUP($A504,'[3]allergenen 6nr'!$A$1:$O$1310,9,FALSE)</f>
        <v>X</v>
      </c>
      <c r="BK504" s="201" t="str">
        <f>VLOOKUP($A504,'[3]allergenen 6nr'!$A$1:$O$1310,10,FALSE)</f>
        <v>X</v>
      </c>
      <c r="BL504" s="201" t="str">
        <f>VLOOKUP($A504,'[3]allergenen 6nr'!$A$1:$O$1310,11,FALSE)</f>
        <v>X</v>
      </c>
      <c r="BM504" s="201" t="str">
        <f>VLOOKUP($A504,'[3]allergenen 6nr'!$A$1:$O$1310,12,FALSE)</f>
        <v>X</v>
      </c>
      <c r="BN504" s="201" t="str">
        <f>VLOOKUP($A504,'[3]allergenen 6nr'!$A$1:$O$1310,13,FALSE)</f>
        <v>+</v>
      </c>
      <c r="BO504" s="201" t="str">
        <f>VLOOKUP($A504,'[3]allergenen 6nr'!$A$1:$O$1310,14,FALSE)</f>
        <v>X</v>
      </c>
      <c r="BP504" s="202" t="str">
        <f>VLOOKUP($A504,'[3]allergenen 6nr'!$A$1:$O$1310,15,FALSE)</f>
        <v>X</v>
      </c>
    </row>
    <row r="505" spans="1:68" x14ac:dyDescent="0.2">
      <c r="A505" s="89">
        <v>65107900</v>
      </c>
      <c r="B505" s="53" t="str">
        <f>VLOOKUP($A505,[1]maaltijden!$A$1:$IV$65536,4,FALSE)</f>
        <v>DMB BOOMSTAMMETJE SCHIJFJES ZACHTE PAPRIKASAUS 2KG</v>
      </c>
      <c r="C505" s="46" t="str">
        <f>VLOOKUP($A505,[1]maaltijden!$A$1:$IV$65536,7,FALSE)</f>
        <v>C2325-1C</v>
      </c>
      <c r="D505" s="22" t="str">
        <f>VLOOKUP($A505,[1]maaltijden!$A$1:$IV$65536,10,FALSE)</f>
        <v>NVT</v>
      </c>
      <c r="E505" s="22" t="str">
        <f>VLOOKUP($A505,[1]maaltijden!$A$1:$IV$65536,13,FALSE)</f>
        <v>BULK HO</v>
      </c>
      <c r="F505" s="20">
        <f t="shared" si="7"/>
        <v>0</v>
      </c>
      <c r="G505" s="20" t="str">
        <f>VLOOKUP($A505,[1]maaltijden!$A$1:$IV$65536,27,FALSE)</f>
        <v>! ! !</v>
      </c>
      <c r="H505" s="22">
        <f>VLOOKUP($A505,[1]maaltijden!$A$1:$IV$65536,21,FALSE)</f>
        <v>5</v>
      </c>
      <c r="I505" s="22">
        <f>VLOOKUP($A505,[1]maaltijden!$A$1:$IV$65536,21,FALSE)</f>
        <v>5</v>
      </c>
      <c r="J505" s="22">
        <f>VLOOKUP($A505,[1]maaltijden!$A$1:$IV$65536,18,FALSE)</f>
        <v>3</v>
      </c>
      <c r="K505" s="22">
        <f>VLOOKUP($A505,[1]maaltijden!$A$1:$IV$65536,17,FALSE)</f>
        <v>1</v>
      </c>
      <c r="L505" s="22">
        <f>VLOOKUP($A505,[1]maaltijden!$A$1:$IV$65536,20,FALSE)</f>
        <v>600</v>
      </c>
      <c r="M505" s="22">
        <f>VLOOKUP($A505,[1]maaltijden!$A$1:$IV$65536,22,FALSE)</f>
        <v>600</v>
      </c>
      <c r="N505" s="135"/>
      <c r="O505" s="50">
        <v>65107800</v>
      </c>
      <c r="P505" s="19">
        <v>0</v>
      </c>
      <c r="Q505" s="20">
        <v>1</v>
      </c>
      <c r="R505" s="21">
        <v>0</v>
      </c>
      <c r="S505" s="19">
        <v>0</v>
      </c>
      <c r="T505" s="20">
        <v>1</v>
      </c>
      <c r="U505" s="19">
        <v>0</v>
      </c>
      <c r="V505" s="20">
        <v>1</v>
      </c>
      <c r="W505" s="20">
        <v>1</v>
      </c>
      <c r="X505" s="20">
        <v>1</v>
      </c>
      <c r="Y505" s="20">
        <v>1</v>
      </c>
      <c r="Z505" s="20">
        <v>0</v>
      </c>
      <c r="AA505" s="20">
        <v>0</v>
      </c>
      <c r="AB505" s="49">
        <v>0</v>
      </c>
      <c r="AC505" s="49">
        <v>0</v>
      </c>
      <c r="AD505" s="49">
        <v>0</v>
      </c>
      <c r="AE505" s="49">
        <v>0</v>
      </c>
      <c r="AF505" s="49">
        <v>0</v>
      </c>
      <c r="AG505" s="161">
        <v>0</v>
      </c>
      <c r="AH505" s="162">
        <v>1</v>
      </c>
      <c r="AI505" s="162">
        <v>0</v>
      </c>
      <c r="AJ505" s="162">
        <v>0</v>
      </c>
      <c r="AK505" s="162">
        <v>0</v>
      </c>
      <c r="AL505" s="163">
        <v>0</v>
      </c>
      <c r="AM505" s="19">
        <v>0</v>
      </c>
      <c r="AN505" s="20">
        <f>IFERROR(INDEX([2]lijnopstellingsfiche!$AP$1:$AP$65536,MATCH(A505,[2]lijnopstellingsfiche!$AQ$1:$AQ$65536,0)),"")</f>
        <v>4</v>
      </c>
      <c r="AO505" s="20">
        <v>0</v>
      </c>
      <c r="AP505" s="20">
        <v>0</v>
      </c>
      <c r="AQ505" s="20">
        <v>2</v>
      </c>
      <c r="AR505" s="20">
        <v>0</v>
      </c>
      <c r="AS505" s="20">
        <v>0</v>
      </c>
      <c r="AT505" s="20">
        <v>0</v>
      </c>
      <c r="AU505" s="20">
        <v>0</v>
      </c>
      <c r="AV505" s="23">
        <v>0</v>
      </c>
      <c r="AW505" s="108">
        <v>0</v>
      </c>
      <c r="AX505" s="108">
        <v>0</v>
      </c>
      <c r="AY505" s="108">
        <v>0</v>
      </c>
      <c r="AZ505" s="108">
        <v>0</v>
      </c>
      <c r="BA505" s="114">
        <v>1</v>
      </c>
      <c r="BB505" s="20">
        <v>0</v>
      </c>
      <c r="BC505" s="113">
        <v>0</v>
      </c>
      <c r="BD505" s="200" t="str">
        <f>VLOOKUP($A505,'[3]allergenen 6nr'!$A$1:$O$1310,3,FALSE)</f>
        <v>X</v>
      </c>
      <c r="BE505" s="201" t="str">
        <f>VLOOKUP($A505,'[3]allergenen 6nr'!$A$1:$O$1310,4,FALSE)</f>
        <v>X</v>
      </c>
      <c r="BF505" s="201" t="str">
        <f>VLOOKUP($A505,'[3]allergenen 6nr'!$A$1:$O$1310,5,FALSE)</f>
        <v>+</v>
      </c>
      <c r="BG505" s="201" t="str">
        <f>VLOOKUP($A505,'[3]allergenen 6nr'!$A$1:$O$1310,6,FALSE)</f>
        <v>X</v>
      </c>
      <c r="BH505" s="201" t="str">
        <f>VLOOKUP($A505,'[3]allergenen 6nr'!$A$1:$O$1310,7,FALSE)</f>
        <v>+</v>
      </c>
      <c r="BI505" s="201" t="str">
        <f>VLOOKUP($A505,'[3]allergenen 6nr'!$A$1:$O$1310,8,FALSE)</f>
        <v>+</v>
      </c>
      <c r="BJ505" s="201" t="str">
        <f>VLOOKUP($A505,'[3]allergenen 6nr'!$A$1:$O$1310,9,FALSE)</f>
        <v>X</v>
      </c>
      <c r="BK505" s="201" t="str">
        <f>VLOOKUP($A505,'[3]allergenen 6nr'!$A$1:$O$1310,10,FALSE)</f>
        <v>X</v>
      </c>
      <c r="BL505" s="201" t="str">
        <f>VLOOKUP($A505,'[3]allergenen 6nr'!$A$1:$O$1310,11,FALSE)</f>
        <v>X</v>
      </c>
      <c r="BM505" s="201" t="str">
        <f>VLOOKUP($A505,'[3]allergenen 6nr'!$A$1:$O$1310,12,FALSE)</f>
        <v>X</v>
      </c>
      <c r="BN505" s="201" t="str">
        <f>VLOOKUP($A505,'[3]allergenen 6nr'!$A$1:$O$1310,13,FALSE)</f>
        <v>+</v>
      </c>
      <c r="BO505" s="201" t="str">
        <f>VLOOKUP($A505,'[3]allergenen 6nr'!$A$1:$O$1310,14,FALSE)</f>
        <v>X</v>
      </c>
      <c r="BP505" s="202" t="str">
        <f>VLOOKUP($A505,'[3]allergenen 6nr'!$A$1:$O$1310,15,FALSE)</f>
        <v>X</v>
      </c>
    </row>
    <row r="506" spans="1:68" x14ac:dyDescent="0.2">
      <c r="A506" s="89">
        <v>65108100</v>
      </c>
      <c r="B506" s="53" t="str">
        <f>VLOOKUP($A506,[1]maaltijden!$A$1:$IV$65536,4,FALSE)</f>
        <v>DMB BALLETJES KLEIN TOMATENSAUS 2,4KG</v>
      </c>
      <c r="C506" s="46" t="str">
        <f>VLOOKUP($A506,[1]maaltijden!$A$1:$IV$65536,7,FALSE)</f>
        <v>C2325-1C</v>
      </c>
      <c r="D506" s="22" t="str">
        <f>VLOOKUP($A506,[1]maaltijden!$A$1:$IV$65536,10,FALSE)</f>
        <v>NVT</v>
      </c>
      <c r="E506" s="22" t="str">
        <f>VLOOKUP($A506,[1]maaltijden!$A$1:$IV$65536,13,FALSE)</f>
        <v>BULK HO</v>
      </c>
      <c r="F506" s="20">
        <f t="shared" si="7"/>
        <v>0</v>
      </c>
      <c r="G506" s="20" t="str">
        <f>VLOOKUP($A506,[1]maaltijden!$A$1:$IV$65536,27,FALSE)</f>
        <v>! ! !</v>
      </c>
      <c r="H506" s="22">
        <f>VLOOKUP($A506,[1]maaltijden!$A$1:$IV$65536,21,FALSE)</f>
        <v>5</v>
      </c>
      <c r="I506" s="22">
        <f>VLOOKUP($A506,[1]maaltijden!$A$1:$IV$65536,21,FALSE)</f>
        <v>5</v>
      </c>
      <c r="J506" s="22">
        <f>VLOOKUP($A506,[1]maaltijden!$A$1:$IV$65536,18,FALSE)</f>
        <v>3</v>
      </c>
      <c r="K506" s="22">
        <f>VLOOKUP($A506,[1]maaltijden!$A$1:$IV$65536,17,FALSE)</f>
        <v>1</v>
      </c>
      <c r="L506" s="22">
        <f>VLOOKUP($A506,[1]maaltijden!$A$1:$IV$65536,20,FALSE)</f>
        <v>500</v>
      </c>
      <c r="M506" s="22">
        <f>VLOOKUP($A506,[1]maaltijden!$A$1:$IV$65536,22,FALSE)</f>
        <v>500</v>
      </c>
      <c r="N506" s="135"/>
      <c r="O506" s="50">
        <v>0</v>
      </c>
      <c r="P506" s="19">
        <v>0</v>
      </c>
      <c r="Q506" s="20">
        <v>1</v>
      </c>
      <c r="R506" s="21">
        <v>0</v>
      </c>
      <c r="S506" s="19">
        <v>0</v>
      </c>
      <c r="T506" s="20">
        <v>1</v>
      </c>
      <c r="U506" s="19">
        <v>1</v>
      </c>
      <c r="V506" s="20">
        <v>1</v>
      </c>
      <c r="W506" s="20">
        <v>1</v>
      </c>
      <c r="X506" s="20">
        <v>1</v>
      </c>
      <c r="Y506" s="20">
        <v>1</v>
      </c>
      <c r="Z506" s="20">
        <v>0</v>
      </c>
      <c r="AA506" s="20">
        <v>0</v>
      </c>
      <c r="AB506" s="49">
        <v>0</v>
      </c>
      <c r="AC506" s="49">
        <v>0</v>
      </c>
      <c r="AD506" s="49">
        <v>0</v>
      </c>
      <c r="AE506" s="49">
        <v>0</v>
      </c>
      <c r="AF506" s="49">
        <v>0</v>
      </c>
      <c r="AG506" s="173">
        <v>0</v>
      </c>
      <c r="AH506" s="174">
        <v>1</v>
      </c>
      <c r="AI506" s="174">
        <v>0</v>
      </c>
      <c r="AJ506" s="174">
        <v>0</v>
      </c>
      <c r="AK506" s="174">
        <v>0</v>
      </c>
      <c r="AL506" s="175">
        <v>0</v>
      </c>
      <c r="AM506" s="19">
        <v>0</v>
      </c>
      <c r="AN506" s="20">
        <f>IFERROR(INDEX([2]lijnopstellingsfiche!$AP$1:$AP$65536,MATCH(A506,[2]lijnopstellingsfiche!$AQ$1:$AQ$65536,0)),"")</f>
        <v>4</v>
      </c>
      <c r="AO506" s="20">
        <v>0</v>
      </c>
      <c r="AP506" s="20">
        <v>0</v>
      </c>
      <c r="AQ506" s="20">
        <v>2</v>
      </c>
      <c r="AR506" s="20">
        <v>0</v>
      </c>
      <c r="AS506" s="20">
        <v>0</v>
      </c>
      <c r="AT506" s="20">
        <v>0</v>
      </c>
      <c r="AU506" s="20">
        <v>0</v>
      </c>
      <c r="AV506" s="23">
        <v>0</v>
      </c>
      <c r="AW506" s="108">
        <v>0</v>
      </c>
      <c r="AX506" s="108">
        <v>0</v>
      </c>
      <c r="AY506" s="108">
        <v>0</v>
      </c>
      <c r="AZ506" s="108">
        <v>0</v>
      </c>
      <c r="BA506" s="114">
        <v>1</v>
      </c>
      <c r="BB506" s="20">
        <v>0</v>
      </c>
      <c r="BC506" s="113">
        <v>0</v>
      </c>
      <c r="BD506" s="200" t="str">
        <f>VLOOKUP($A506,'[3]allergenen 6nr'!$A$1:$O$1310,3,FALSE)</f>
        <v>-</v>
      </c>
      <c r="BE506" s="201" t="str">
        <f>VLOOKUP($A506,'[3]allergenen 6nr'!$A$1:$O$1310,4,FALSE)</f>
        <v>X</v>
      </c>
      <c r="BF506" s="201" t="str">
        <f>VLOOKUP($A506,'[3]allergenen 6nr'!$A$1:$O$1310,5,FALSE)</f>
        <v>X</v>
      </c>
      <c r="BG506" s="201" t="str">
        <f>VLOOKUP($A506,'[3]allergenen 6nr'!$A$1:$O$1310,6,FALSE)</f>
        <v>-</v>
      </c>
      <c r="BH506" s="201" t="str">
        <f>VLOOKUP($A506,'[3]allergenen 6nr'!$A$1:$O$1310,7,FALSE)</f>
        <v>X</v>
      </c>
      <c r="BI506" s="201" t="str">
        <f>VLOOKUP($A506,'[3]allergenen 6nr'!$A$1:$O$1310,8,FALSE)</f>
        <v>X</v>
      </c>
      <c r="BJ506" s="201" t="str">
        <f>VLOOKUP($A506,'[3]allergenen 6nr'!$A$1:$O$1310,9,FALSE)</f>
        <v>X</v>
      </c>
      <c r="BK506" s="201" t="str">
        <f>VLOOKUP($A506,'[3]allergenen 6nr'!$A$1:$O$1310,10,FALSE)</f>
        <v>X</v>
      </c>
      <c r="BL506" s="201" t="str">
        <f>VLOOKUP($A506,'[3]allergenen 6nr'!$A$1:$O$1310,11,FALSE)</f>
        <v>+</v>
      </c>
      <c r="BM506" s="201" t="str">
        <f>VLOOKUP($A506,'[3]allergenen 6nr'!$A$1:$O$1310,12,FALSE)</f>
        <v>-</v>
      </c>
      <c r="BN506" s="201" t="str">
        <f>VLOOKUP($A506,'[3]allergenen 6nr'!$A$1:$O$1310,13,FALSE)</f>
        <v>X</v>
      </c>
      <c r="BO506" s="201" t="str">
        <f>VLOOKUP($A506,'[3]allergenen 6nr'!$A$1:$O$1310,14,FALSE)</f>
        <v>X</v>
      </c>
      <c r="BP506" s="202" t="str">
        <f>VLOOKUP($A506,'[3]allergenen 6nr'!$A$1:$O$1310,15,FALSE)</f>
        <v>-</v>
      </c>
    </row>
    <row r="507" spans="1:68" x14ac:dyDescent="0.2">
      <c r="A507" s="89">
        <v>65108200</v>
      </c>
      <c r="B507" s="53" t="str">
        <f>VLOOKUP($A507,[1]maaltijden!$A$1:$IV$65536,4,FALSE)</f>
        <v>DMB RUNDSHAMBURGER BRAADJUS 2KG</v>
      </c>
      <c r="C507" s="46" t="str">
        <f>VLOOKUP($A507,[1]maaltijden!$A$1:$IV$65536,7,FALSE)</f>
        <v>C2325-1C</v>
      </c>
      <c r="D507" s="22" t="str">
        <f>VLOOKUP($A507,[1]maaltijden!$A$1:$IV$65536,10,FALSE)</f>
        <v>NVT</v>
      </c>
      <c r="E507" s="22" t="str">
        <f>VLOOKUP($A507,[1]maaltijden!$A$1:$IV$65536,13,FALSE)</f>
        <v>BULK HO</v>
      </c>
      <c r="F507" s="20">
        <f t="shared" si="7"/>
        <v>0</v>
      </c>
      <c r="G507" s="20" t="str">
        <f>VLOOKUP($A507,[1]maaltijden!$A$1:$IV$65536,27,FALSE)</f>
        <v>-</v>
      </c>
      <c r="H507" s="22">
        <f>VLOOKUP($A507,[1]maaltijden!$A$1:$IV$65536,21,FALSE)</f>
        <v>6</v>
      </c>
      <c r="I507" s="22">
        <f>VLOOKUP($A507,[1]maaltijden!$A$1:$IV$65536,21,FALSE)</f>
        <v>6</v>
      </c>
      <c r="J507" s="22">
        <f>VLOOKUP($A507,[1]maaltijden!$A$1:$IV$65536,18,FALSE)</f>
        <v>3</v>
      </c>
      <c r="K507" s="22">
        <f>VLOOKUP($A507,[1]maaltijden!$A$1:$IV$65536,17,FALSE)</f>
        <v>1</v>
      </c>
      <c r="L507" s="22">
        <f>VLOOKUP($A507,[1]maaltijden!$A$1:$IV$65536,20,FALSE)</f>
        <v>600</v>
      </c>
      <c r="M507" s="22">
        <f>VLOOKUP($A507,[1]maaltijden!$A$1:$IV$65536,22,FALSE)</f>
        <v>600</v>
      </c>
      <c r="N507" s="135"/>
      <c r="O507" s="50">
        <v>65108300</v>
      </c>
      <c r="P507" s="19">
        <v>0</v>
      </c>
      <c r="Q507" s="20">
        <v>1</v>
      </c>
      <c r="R507" s="21">
        <v>0</v>
      </c>
      <c r="S507" s="19">
        <v>0</v>
      </c>
      <c r="T507" s="20">
        <v>1</v>
      </c>
      <c r="U507" s="19">
        <v>0</v>
      </c>
      <c r="V507" s="20">
        <v>1</v>
      </c>
      <c r="W507" s="20">
        <v>1</v>
      </c>
      <c r="X507" s="20">
        <v>1</v>
      </c>
      <c r="Y507" s="20">
        <v>1</v>
      </c>
      <c r="Z507" s="20">
        <v>0</v>
      </c>
      <c r="AA507" s="20">
        <v>0</v>
      </c>
      <c r="AB507" s="49">
        <v>0</v>
      </c>
      <c r="AC507" s="49"/>
      <c r="AD507" s="49">
        <v>0</v>
      </c>
      <c r="AE507" s="49">
        <v>1</v>
      </c>
      <c r="AF507" s="49">
        <v>0</v>
      </c>
      <c r="AG507" s="173">
        <v>0</v>
      </c>
      <c r="AH507" s="174">
        <v>1</v>
      </c>
      <c r="AI507" s="174">
        <v>0</v>
      </c>
      <c r="AJ507" s="174">
        <v>0</v>
      </c>
      <c r="AK507" s="174">
        <v>0</v>
      </c>
      <c r="AL507" s="175">
        <v>0</v>
      </c>
      <c r="AM507" s="19">
        <v>0</v>
      </c>
      <c r="AN507" s="20" t="str">
        <f>IFERROR(INDEX([2]lijnopstellingsfiche!$AP$1:$AP$65536,MATCH(A507,[2]lijnopstellingsfiche!$AQ$1:$AQ$65536,0)),"")</f>
        <v>-</v>
      </c>
      <c r="AO507" s="11">
        <v>0</v>
      </c>
      <c r="AP507" s="20">
        <v>0</v>
      </c>
      <c r="AQ507" s="20">
        <v>2</v>
      </c>
      <c r="AR507" s="20">
        <v>0</v>
      </c>
      <c r="AS507" s="20">
        <v>0</v>
      </c>
      <c r="AT507" s="20">
        <v>0</v>
      </c>
      <c r="AU507" s="20">
        <v>0</v>
      </c>
      <c r="AV507" s="23">
        <v>0</v>
      </c>
      <c r="AW507" s="108">
        <v>0</v>
      </c>
      <c r="AX507" s="108">
        <v>0</v>
      </c>
      <c r="AY507" s="108">
        <v>0</v>
      </c>
      <c r="AZ507" s="108">
        <v>0</v>
      </c>
      <c r="BA507" s="114">
        <v>1</v>
      </c>
      <c r="BB507" s="20">
        <v>0</v>
      </c>
      <c r="BC507" s="113">
        <v>0</v>
      </c>
      <c r="BD507" s="200" t="str">
        <f>VLOOKUP($A507,'[3]allergenen 6nr'!$A$1:$O$1310,3,FALSE)</f>
        <v>-</v>
      </c>
      <c r="BE507" s="201" t="str">
        <f>VLOOKUP($A507,'[3]allergenen 6nr'!$A$1:$O$1310,4,FALSE)</f>
        <v>X</v>
      </c>
      <c r="BF507" s="201" t="str">
        <f>VLOOKUP($A507,'[3]allergenen 6nr'!$A$1:$O$1310,5,FALSE)</f>
        <v>X</v>
      </c>
      <c r="BG507" s="201" t="str">
        <f>VLOOKUP($A507,'[3]allergenen 6nr'!$A$1:$O$1310,6,FALSE)</f>
        <v>-</v>
      </c>
      <c r="BH507" s="201" t="str">
        <f>VLOOKUP($A507,'[3]allergenen 6nr'!$A$1:$O$1310,7,FALSE)</f>
        <v>X</v>
      </c>
      <c r="BI507" s="201" t="str">
        <f>VLOOKUP($A507,'[3]allergenen 6nr'!$A$1:$O$1310,8,FALSE)</f>
        <v>X</v>
      </c>
      <c r="BJ507" s="201" t="str">
        <f>VLOOKUP($A507,'[3]allergenen 6nr'!$A$1:$O$1310,9,FALSE)</f>
        <v>X</v>
      </c>
      <c r="BK507" s="201" t="str">
        <f>VLOOKUP($A507,'[3]allergenen 6nr'!$A$1:$O$1310,10,FALSE)</f>
        <v>X</v>
      </c>
      <c r="BL507" s="201" t="str">
        <f>VLOOKUP($A507,'[3]allergenen 6nr'!$A$1:$O$1310,11,FALSE)</f>
        <v>X</v>
      </c>
      <c r="BM507" s="201" t="str">
        <f>VLOOKUP($A507,'[3]allergenen 6nr'!$A$1:$O$1310,12,FALSE)</f>
        <v>-</v>
      </c>
      <c r="BN507" s="201" t="str">
        <f>VLOOKUP($A507,'[3]allergenen 6nr'!$A$1:$O$1310,13,FALSE)</f>
        <v>X</v>
      </c>
      <c r="BO507" s="201" t="str">
        <f>VLOOKUP($A507,'[3]allergenen 6nr'!$A$1:$O$1310,14,FALSE)</f>
        <v>X</v>
      </c>
      <c r="BP507" s="202" t="str">
        <f>VLOOKUP($A507,'[3]allergenen 6nr'!$A$1:$O$1310,15,FALSE)</f>
        <v>X</v>
      </c>
    </row>
    <row r="508" spans="1:68" x14ac:dyDescent="0.2">
      <c r="A508" s="89">
        <v>65108300</v>
      </c>
      <c r="B508" s="53" t="str">
        <f>VLOOKUP($A508,[1]maaltijden!$A$1:$IV$65536,4,FALSE)</f>
        <v>DMB RUNDSHAMBURGER GESNEDEN BRAADJUS 2KG</v>
      </c>
      <c r="C508" s="46" t="str">
        <f>VLOOKUP($A508,[1]maaltijden!$A$1:$IV$65536,7,FALSE)</f>
        <v>C2325-1C</v>
      </c>
      <c r="D508" s="22" t="str">
        <f>VLOOKUP($A508,[1]maaltijden!$A$1:$IV$65536,10,FALSE)</f>
        <v>NVT</v>
      </c>
      <c r="E508" s="22" t="str">
        <f>VLOOKUP($A508,[1]maaltijden!$A$1:$IV$65536,13,FALSE)</f>
        <v>BULK HO</v>
      </c>
      <c r="F508" s="20">
        <f t="shared" si="7"/>
        <v>0</v>
      </c>
      <c r="G508" s="20" t="str">
        <f>VLOOKUP($A508,[1]maaltijden!$A$1:$IV$65536,27,FALSE)</f>
        <v>-</v>
      </c>
      <c r="H508" s="22">
        <f>VLOOKUP($A508,[1]maaltijden!$A$1:$IV$65536,21,FALSE)</f>
        <v>6</v>
      </c>
      <c r="I508" s="22">
        <f>VLOOKUP($A508,[1]maaltijden!$A$1:$IV$65536,21,FALSE)</f>
        <v>6</v>
      </c>
      <c r="J508" s="22">
        <f>VLOOKUP($A508,[1]maaltijden!$A$1:$IV$65536,18,FALSE)</f>
        <v>3</v>
      </c>
      <c r="K508" s="22">
        <f>VLOOKUP($A508,[1]maaltijden!$A$1:$IV$65536,17,FALSE)</f>
        <v>1</v>
      </c>
      <c r="L508" s="22">
        <f>VLOOKUP($A508,[1]maaltijden!$A$1:$IV$65536,20,FALSE)</f>
        <v>600</v>
      </c>
      <c r="M508" s="22">
        <f>VLOOKUP($A508,[1]maaltijden!$A$1:$IV$65536,22,FALSE)</f>
        <v>600</v>
      </c>
      <c r="N508" s="135"/>
      <c r="O508" s="59">
        <v>65108200</v>
      </c>
      <c r="P508" s="19">
        <v>0</v>
      </c>
      <c r="Q508" s="20">
        <v>1</v>
      </c>
      <c r="R508" s="21">
        <v>0</v>
      </c>
      <c r="S508" s="19">
        <v>0</v>
      </c>
      <c r="T508" s="20">
        <v>1</v>
      </c>
      <c r="U508" s="19">
        <v>0</v>
      </c>
      <c r="V508" s="20">
        <v>1</v>
      </c>
      <c r="W508" s="20">
        <v>1</v>
      </c>
      <c r="X508" s="20">
        <v>1</v>
      </c>
      <c r="Y508" s="20">
        <v>1</v>
      </c>
      <c r="Z508" s="20">
        <v>0</v>
      </c>
      <c r="AA508" s="20">
        <v>0</v>
      </c>
      <c r="AB508" s="49">
        <v>0</v>
      </c>
      <c r="AC508" s="49">
        <v>0</v>
      </c>
      <c r="AD508" s="49">
        <v>0</v>
      </c>
      <c r="AE508" s="49">
        <v>1</v>
      </c>
      <c r="AF508" s="49">
        <v>0</v>
      </c>
      <c r="AG508" s="173">
        <v>0</v>
      </c>
      <c r="AH508" s="174">
        <v>1</v>
      </c>
      <c r="AI508" s="174">
        <v>0</v>
      </c>
      <c r="AJ508" s="174">
        <v>0</v>
      </c>
      <c r="AK508" s="174">
        <v>0</v>
      </c>
      <c r="AL508" s="175">
        <v>0</v>
      </c>
      <c r="AM508" s="19">
        <v>0</v>
      </c>
      <c r="AN508" s="20">
        <f>IFERROR(INDEX([2]lijnopstellingsfiche!$AP$1:$AP$65536,MATCH(A508,[2]lijnopstellingsfiche!$AQ$1:$AQ$65536,0)),"")</f>
        <v>4</v>
      </c>
      <c r="AO508" s="20">
        <v>0</v>
      </c>
      <c r="AP508" s="20">
        <v>0</v>
      </c>
      <c r="AQ508" s="20">
        <v>2</v>
      </c>
      <c r="AR508" s="20">
        <v>0</v>
      </c>
      <c r="AS508" s="20">
        <v>0</v>
      </c>
      <c r="AT508" s="20">
        <v>0</v>
      </c>
      <c r="AU508" s="20">
        <v>0</v>
      </c>
      <c r="AV508" s="23">
        <v>0</v>
      </c>
      <c r="AW508" s="108">
        <v>0</v>
      </c>
      <c r="AX508" s="108">
        <v>0</v>
      </c>
      <c r="AY508" s="108">
        <v>0</v>
      </c>
      <c r="AZ508" s="108">
        <v>0</v>
      </c>
      <c r="BA508" s="114">
        <v>1</v>
      </c>
      <c r="BB508" s="20">
        <v>0</v>
      </c>
      <c r="BC508" s="113">
        <v>0</v>
      </c>
      <c r="BD508" s="200" t="str">
        <f>VLOOKUP($A508,'[3]allergenen 6nr'!$A$1:$O$1310,3,FALSE)</f>
        <v>-</v>
      </c>
      <c r="BE508" s="201" t="str">
        <f>VLOOKUP($A508,'[3]allergenen 6nr'!$A$1:$O$1310,4,FALSE)</f>
        <v>X</v>
      </c>
      <c r="BF508" s="201" t="str">
        <f>VLOOKUP($A508,'[3]allergenen 6nr'!$A$1:$O$1310,5,FALSE)</f>
        <v>X</v>
      </c>
      <c r="BG508" s="201" t="str">
        <f>VLOOKUP($A508,'[3]allergenen 6nr'!$A$1:$O$1310,6,FALSE)</f>
        <v>-</v>
      </c>
      <c r="BH508" s="201" t="str">
        <f>VLOOKUP($A508,'[3]allergenen 6nr'!$A$1:$O$1310,7,FALSE)</f>
        <v>X</v>
      </c>
      <c r="BI508" s="201" t="str">
        <f>VLOOKUP($A508,'[3]allergenen 6nr'!$A$1:$O$1310,8,FALSE)</f>
        <v>X</v>
      </c>
      <c r="BJ508" s="201" t="str">
        <f>VLOOKUP($A508,'[3]allergenen 6nr'!$A$1:$O$1310,9,FALSE)</f>
        <v>X</v>
      </c>
      <c r="BK508" s="201" t="str">
        <f>VLOOKUP($A508,'[3]allergenen 6nr'!$A$1:$O$1310,10,FALSE)</f>
        <v>X</v>
      </c>
      <c r="BL508" s="201" t="str">
        <f>VLOOKUP($A508,'[3]allergenen 6nr'!$A$1:$O$1310,11,FALSE)</f>
        <v>X</v>
      </c>
      <c r="BM508" s="201" t="str">
        <f>VLOOKUP($A508,'[3]allergenen 6nr'!$A$1:$O$1310,12,FALSE)</f>
        <v>-</v>
      </c>
      <c r="BN508" s="201" t="str">
        <f>VLOOKUP($A508,'[3]allergenen 6nr'!$A$1:$O$1310,13,FALSE)</f>
        <v>X</v>
      </c>
      <c r="BO508" s="201" t="str">
        <f>VLOOKUP($A508,'[3]allergenen 6nr'!$A$1:$O$1310,14,FALSE)</f>
        <v>X</v>
      </c>
      <c r="BP508" s="202" t="str">
        <f>VLOOKUP($A508,'[3]allergenen 6nr'!$A$1:$O$1310,15,FALSE)</f>
        <v>X</v>
      </c>
    </row>
    <row r="509" spans="1:68" x14ac:dyDescent="0.2">
      <c r="A509" s="89">
        <v>65108400</v>
      </c>
      <c r="B509" s="53" t="str">
        <f>VLOOKUP($A509,[1]maaltijden!$A$1:$IV$65536,4,FALSE)</f>
        <v>DMB BOERENBRAADWORST AJUINSAUS 2KG</v>
      </c>
      <c r="C509" s="46" t="str">
        <f>VLOOKUP($A509,[1]maaltijden!$A$1:$IV$65536,7,FALSE)</f>
        <v>C2325-1C</v>
      </c>
      <c r="D509" s="22" t="str">
        <f>VLOOKUP($A509,[1]maaltijden!$A$1:$IV$65536,10,FALSE)</f>
        <v>NVT</v>
      </c>
      <c r="E509" s="22" t="str">
        <f>VLOOKUP($A509,[1]maaltijden!$A$1:$IV$65536,13,FALSE)</f>
        <v>BULK HO</v>
      </c>
      <c r="F509" s="20">
        <f t="shared" si="7"/>
        <v>0</v>
      </c>
      <c r="G509" s="20" t="str">
        <f>VLOOKUP($A509,[1]maaltijden!$A$1:$IV$65536,27,FALSE)</f>
        <v>! !</v>
      </c>
      <c r="H509" s="22">
        <f>VLOOKUP($A509,[1]maaltijden!$A$1:$IV$65536,21,FALSE)</f>
        <v>6</v>
      </c>
      <c r="I509" s="22">
        <f>VLOOKUP($A509,[1]maaltijden!$A$1:$IV$65536,21,FALSE)</f>
        <v>6</v>
      </c>
      <c r="J509" s="22">
        <f>VLOOKUP($A509,[1]maaltijden!$A$1:$IV$65536,18,FALSE)</f>
        <v>3</v>
      </c>
      <c r="K509" s="22">
        <f>VLOOKUP($A509,[1]maaltijden!$A$1:$IV$65536,17,FALSE)</f>
        <v>1</v>
      </c>
      <c r="L509" s="22">
        <f>VLOOKUP($A509,[1]maaltijden!$A$1:$IV$65536,20,FALSE)</f>
        <v>600</v>
      </c>
      <c r="M509" s="22">
        <f>VLOOKUP($A509,[1]maaltijden!$A$1:$IV$65536,22,FALSE)</f>
        <v>600</v>
      </c>
      <c r="N509" s="135"/>
      <c r="O509" s="59">
        <v>65108500</v>
      </c>
      <c r="P509" s="19">
        <v>0</v>
      </c>
      <c r="Q509" s="20">
        <v>1</v>
      </c>
      <c r="R509" s="21">
        <v>0</v>
      </c>
      <c r="S509" s="19">
        <v>0</v>
      </c>
      <c r="T509" s="20">
        <v>1</v>
      </c>
      <c r="U509" s="19">
        <v>0</v>
      </c>
      <c r="V509" s="20">
        <v>1</v>
      </c>
      <c r="W509" s="20">
        <v>1</v>
      </c>
      <c r="X509" s="20">
        <v>1</v>
      </c>
      <c r="Y509" s="20">
        <v>1</v>
      </c>
      <c r="Z509" s="20">
        <v>0</v>
      </c>
      <c r="AA509" s="20">
        <v>0</v>
      </c>
      <c r="AB509" s="49">
        <v>0</v>
      </c>
      <c r="AC509" s="49">
        <v>0</v>
      </c>
      <c r="AD509" s="49">
        <v>0</v>
      </c>
      <c r="AE509" s="49">
        <v>1</v>
      </c>
      <c r="AF509" s="49">
        <v>0</v>
      </c>
      <c r="AG509" s="173">
        <v>0</v>
      </c>
      <c r="AH509" s="174">
        <v>1</v>
      </c>
      <c r="AI509" s="174">
        <v>0</v>
      </c>
      <c r="AJ509" s="174">
        <v>0</v>
      </c>
      <c r="AK509" s="174">
        <v>0</v>
      </c>
      <c r="AL509" s="175">
        <v>0</v>
      </c>
      <c r="AM509" s="19">
        <v>0</v>
      </c>
      <c r="AN509" s="20" t="str">
        <f>IFERROR(INDEX([2]lijnopstellingsfiche!$AP$1:$AP$65536,MATCH(A509,[2]lijnopstellingsfiche!$AQ$1:$AQ$65536,0)),"")</f>
        <v>-</v>
      </c>
      <c r="AO509" s="20">
        <v>0</v>
      </c>
      <c r="AP509" s="20">
        <v>0</v>
      </c>
      <c r="AQ509" s="20">
        <v>2</v>
      </c>
      <c r="AR509" s="20">
        <v>0</v>
      </c>
      <c r="AS509" s="20">
        <v>0</v>
      </c>
      <c r="AT509" s="20">
        <v>0</v>
      </c>
      <c r="AU509" s="20">
        <v>0</v>
      </c>
      <c r="AV509" s="23">
        <v>0</v>
      </c>
      <c r="AW509" s="108">
        <v>0</v>
      </c>
      <c r="AX509" s="108">
        <v>0</v>
      </c>
      <c r="AY509" s="108">
        <v>0</v>
      </c>
      <c r="AZ509" s="108">
        <v>0</v>
      </c>
      <c r="BA509" s="114">
        <v>1</v>
      </c>
      <c r="BB509" s="20">
        <v>0</v>
      </c>
      <c r="BC509" s="113">
        <v>0</v>
      </c>
      <c r="BD509" s="200" t="str">
        <f>VLOOKUP($A509,'[3]allergenen 6nr'!$A$1:$O$1310,3,FALSE)</f>
        <v>-</v>
      </c>
      <c r="BE509" s="201" t="str">
        <f>VLOOKUP($A509,'[3]allergenen 6nr'!$A$1:$O$1310,4,FALSE)</f>
        <v>X</v>
      </c>
      <c r="BF509" s="201" t="str">
        <f>VLOOKUP($A509,'[3]allergenen 6nr'!$A$1:$O$1310,5,FALSE)</f>
        <v>+</v>
      </c>
      <c r="BG509" s="201" t="str">
        <f>VLOOKUP($A509,'[3]allergenen 6nr'!$A$1:$O$1310,6,FALSE)</f>
        <v>X</v>
      </c>
      <c r="BH509" s="201" t="str">
        <f>VLOOKUP($A509,'[3]allergenen 6nr'!$A$1:$O$1310,7,FALSE)</f>
        <v>X</v>
      </c>
      <c r="BI509" s="201" t="str">
        <f>VLOOKUP($A509,'[3]allergenen 6nr'!$A$1:$O$1310,8,FALSE)</f>
        <v>X</v>
      </c>
      <c r="BJ509" s="201" t="str">
        <f>VLOOKUP($A509,'[3]allergenen 6nr'!$A$1:$O$1310,9,FALSE)</f>
        <v>X</v>
      </c>
      <c r="BK509" s="201" t="str">
        <f>VLOOKUP($A509,'[3]allergenen 6nr'!$A$1:$O$1310,10,FALSE)</f>
        <v>X</v>
      </c>
      <c r="BL509" s="201" t="str">
        <f>VLOOKUP($A509,'[3]allergenen 6nr'!$A$1:$O$1310,11,FALSE)</f>
        <v>X</v>
      </c>
      <c r="BM509" s="201" t="str">
        <f>VLOOKUP($A509,'[3]allergenen 6nr'!$A$1:$O$1310,12,FALSE)</f>
        <v>-</v>
      </c>
      <c r="BN509" s="201" t="str">
        <f>VLOOKUP($A509,'[3]allergenen 6nr'!$A$1:$O$1310,13,FALSE)</f>
        <v>X</v>
      </c>
      <c r="BO509" s="201" t="str">
        <f>VLOOKUP($A509,'[3]allergenen 6nr'!$A$1:$O$1310,14,FALSE)</f>
        <v>X</v>
      </c>
      <c r="BP509" s="202" t="str">
        <f>VLOOKUP($A509,'[3]allergenen 6nr'!$A$1:$O$1310,15,FALSE)</f>
        <v>X</v>
      </c>
    </row>
    <row r="510" spans="1:68" x14ac:dyDescent="0.2">
      <c r="A510" s="89">
        <v>65108500</v>
      </c>
      <c r="B510" s="53" t="str">
        <f>VLOOKUP($A510,[1]maaltijden!$A$1:$IV$65536,4,FALSE)</f>
        <v>DMB BOERENBRAADWORST SCHIJFJES AJUINSAUS 2KG</v>
      </c>
      <c r="C510" s="46" t="str">
        <f>VLOOKUP($A510,[1]maaltijden!$A$1:$IV$65536,7,FALSE)</f>
        <v>C2325-1C</v>
      </c>
      <c r="D510" s="22" t="str">
        <f>VLOOKUP($A510,[1]maaltijden!$A$1:$IV$65536,10,FALSE)</f>
        <v>NVT</v>
      </c>
      <c r="E510" s="22" t="str">
        <f>VLOOKUP($A510,[1]maaltijden!$A$1:$IV$65536,13,FALSE)</f>
        <v>BULK HO</v>
      </c>
      <c r="F510" s="20">
        <f t="shared" si="7"/>
        <v>0</v>
      </c>
      <c r="G510" s="20" t="str">
        <f>VLOOKUP($A510,[1]maaltijden!$A$1:$IV$65536,27,FALSE)</f>
        <v>! !</v>
      </c>
      <c r="H510" s="22">
        <f>VLOOKUP($A510,[1]maaltijden!$A$1:$IV$65536,21,FALSE)</f>
        <v>6</v>
      </c>
      <c r="I510" s="22">
        <f>VLOOKUP($A510,[1]maaltijden!$A$1:$IV$65536,21,FALSE)</f>
        <v>6</v>
      </c>
      <c r="J510" s="22">
        <f>VLOOKUP($A510,[1]maaltijden!$A$1:$IV$65536,18,FALSE)</f>
        <v>3</v>
      </c>
      <c r="K510" s="22">
        <f>VLOOKUP($A510,[1]maaltijden!$A$1:$IV$65536,17,FALSE)</f>
        <v>1</v>
      </c>
      <c r="L510" s="22">
        <f>VLOOKUP($A510,[1]maaltijden!$A$1:$IV$65536,20,FALSE)</f>
        <v>600</v>
      </c>
      <c r="M510" s="22">
        <f>VLOOKUP($A510,[1]maaltijden!$A$1:$IV$65536,22,FALSE)</f>
        <v>600</v>
      </c>
      <c r="N510" s="135"/>
      <c r="O510" s="50">
        <v>65108400</v>
      </c>
      <c r="P510" s="19">
        <v>0</v>
      </c>
      <c r="Q510" s="20">
        <v>1</v>
      </c>
      <c r="R510" s="21">
        <v>0</v>
      </c>
      <c r="S510" s="19">
        <v>0</v>
      </c>
      <c r="T510" s="20">
        <v>1</v>
      </c>
      <c r="U510" s="19">
        <v>0</v>
      </c>
      <c r="V510" s="20">
        <v>1</v>
      </c>
      <c r="W510" s="20">
        <v>1</v>
      </c>
      <c r="X510" s="20">
        <v>1</v>
      </c>
      <c r="Y510" s="20">
        <v>1</v>
      </c>
      <c r="Z510" s="20">
        <v>0</v>
      </c>
      <c r="AA510" s="20">
        <v>0</v>
      </c>
      <c r="AB510" s="49">
        <v>0</v>
      </c>
      <c r="AC510" s="49">
        <v>0</v>
      </c>
      <c r="AD510" s="49">
        <v>0</v>
      </c>
      <c r="AE510" s="49">
        <v>1</v>
      </c>
      <c r="AF510" s="49">
        <v>0</v>
      </c>
      <c r="AG510" s="173">
        <v>0</v>
      </c>
      <c r="AH510" s="174">
        <v>1</v>
      </c>
      <c r="AI510" s="174"/>
      <c r="AJ510" s="174">
        <v>0</v>
      </c>
      <c r="AK510" s="174">
        <v>0</v>
      </c>
      <c r="AL510" s="175">
        <v>0</v>
      </c>
      <c r="AM510" s="19">
        <v>0</v>
      </c>
      <c r="AN510" s="20">
        <f>IFERROR(INDEX([2]lijnopstellingsfiche!$AP$1:$AP$65536,MATCH(A510,[2]lijnopstellingsfiche!$AQ$1:$AQ$65536,0)),"")</f>
        <v>4</v>
      </c>
      <c r="AO510" s="20">
        <v>0</v>
      </c>
      <c r="AP510" s="20">
        <v>0</v>
      </c>
      <c r="AQ510" s="20">
        <v>2</v>
      </c>
      <c r="AR510" s="20">
        <v>0</v>
      </c>
      <c r="AS510" s="20">
        <v>0</v>
      </c>
      <c r="AT510" s="20">
        <v>0</v>
      </c>
      <c r="AU510" s="20">
        <v>0</v>
      </c>
      <c r="AV510" s="23">
        <v>0</v>
      </c>
      <c r="AW510" s="108">
        <v>0</v>
      </c>
      <c r="AX510" s="108">
        <v>0</v>
      </c>
      <c r="AY510" s="108">
        <v>0</v>
      </c>
      <c r="AZ510" s="108">
        <v>0</v>
      </c>
      <c r="BA510" s="114">
        <v>1</v>
      </c>
      <c r="BB510" s="20">
        <v>0</v>
      </c>
      <c r="BC510" s="113">
        <v>0</v>
      </c>
      <c r="BD510" s="200" t="str">
        <f>VLOOKUP($A510,'[3]allergenen 6nr'!$A$1:$O$1310,3,FALSE)</f>
        <v>-</v>
      </c>
      <c r="BE510" s="201" t="str">
        <f>VLOOKUP($A510,'[3]allergenen 6nr'!$A$1:$O$1310,4,FALSE)</f>
        <v>X</v>
      </c>
      <c r="BF510" s="201" t="str">
        <f>VLOOKUP($A510,'[3]allergenen 6nr'!$A$1:$O$1310,5,FALSE)</f>
        <v>+</v>
      </c>
      <c r="BG510" s="201" t="str">
        <f>VLOOKUP($A510,'[3]allergenen 6nr'!$A$1:$O$1310,6,FALSE)</f>
        <v>X</v>
      </c>
      <c r="BH510" s="201" t="str">
        <f>VLOOKUP($A510,'[3]allergenen 6nr'!$A$1:$O$1310,7,FALSE)</f>
        <v>X</v>
      </c>
      <c r="BI510" s="201" t="str">
        <f>VLOOKUP($A510,'[3]allergenen 6nr'!$A$1:$O$1310,8,FALSE)</f>
        <v>X</v>
      </c>
      <c r="BJ510" s="201" t="str">
        <f>VLOOKUP($A510,'[3]allergenen 6nr'!$A$1:$O$1310,9,FALSE)</f>
        <v>X</v>
      </c>
      <c r="BK510" s="201" t="str">
        <f>VLOOKUP($A510,'[3]allergenen 6nr'!$A$1:$O$1310,10,FALSE)</f>
        <v>X</v>
      </c>
      <c r="BL510" s="201" t="str">
        <f>VLOOKUP($A510,'[3]allergenen 6nr'!$A$1:$O$1310,11,FALSE)</f>
        <v>X</v>
      </c>
      <c r="BM510" s="201" t="str">
        <f>VLOOKUP($A510,'[3]allergenen 6nr'!$A$1:$O$1310,12,FALSE)</f>
        <v>-</v>
      </c>
      <c r="BN510" s="201" t="str">
        <f>VLOOKUP($A510,'[3]allergenen 6nr'!$A$1:$O$1310,13,FALSE)</f>
        <v>X</v>
      </c>
      <c r="BO510" s="201" t="str">
        <f>VLOOKUP($A510,'[3]allergenen 6nr'!$A$1:$O$1310,14,FALSE)</f>
        <v>X</v>
      </c>
      <c r="BP510" s="202" t="str">
        <f>VLOOKUP($A510,'[3]allergenen 6nr'!$A$1:$O$1310,15,FALSE)</f>
        <v>X</v>
      </c>
    </row>
    <row r="511" spans="1:68" x14ac:dyDescent="0.2">
      <c r="A511" s="89">
        <v>65110600</v>
      </c>
      <c r="B511" s="53" t="str">
        <f>VLOOKUP($A511,[1]maaltijden!$A$1:$IV$65536,4,FALSE)</f>
        <v>DMB VEGETARISCHE BALLETJES ITALIAANSE SAUS 2,4KG</v>
      </c>
      <c r="C511" s="46" t="str">
        <f>VLOOKUP($A511,[1]maaltijden!$A$1:$IV$65536,7,FALSE)</f>
        <v>C2325-1C</v>
      </c>
      <c r="D511" s="22" t="str">
        <f>VLOOKUP($A511,[1]maaltijden!$A$1:$IV$65536,10,FALSE)</f>
        <v>NVT</v>
      </c>
      <c r="E511" s="22" t="str">
        <f>VLOOKUP($A511,[1]maaltijden!$A$1:$IV$65536,13,FALSE)</f>
        <v>BULK HO</v>
      </c>
      <c r="F511" s="20">
        <f t="shared" si="7"/>
        <v>0</v>
      </c>
      <c r="G511" s="20" t="str">
        <f>VLOOKUP($A511,[1]maaltijden!$A$1:$IV$65536,27,FALSE)</f>
        <v>! ! !</v>
      </c>
      <c r="H511" s="22">
        <f>VLOOKUP($A511,[1]maaltijden!$A$1:$IV$65536,21,FALSE)</f>
        <v>4</v>
      </c>
      <c r="I511" s="22">
        <f>VLOOKUP($A511,[1]maaltijden!$A$1:$IV$65536,21,FALSE)</f>
        <v>4</v>
      </c>
      <c r="J511" s="22">
        <f>VLOOKUP($A511,[1]maaltijden!$A$1:$IV$65536,18,FALSE)</f>
        <v>3</v>
      </c>
      <c r="K511" s="22">
        <f>VLOOKUP($A511,[1]maaltijden!$A$1:$IV$65536,17,FALSE)</f>
        <v>1</v>
      </c>
      <c r="L511" s="22">
        <f>VLOOKUP($A511,[1]maaltijden!$A$1:$IV$65536,20,FALSE)</f>
        <v>500</v>
      </c>
      <c r="M511" s="22">
        <f>VLOOKUP($A511,[1]maaltijden!$A$1:$IV$65536,22,FALSE)</f>
        <v>500</v>
      </c>
      <c r="N511" s="135"/>
      <c r="O511" s="50">
        <v>0</v>
      </c>
      <c r="P511" s="19">
        <v>0</v>
      </c>
      <c r="Q511" s="20">
        <v>1</v>
      </c>
      <c r="R511" s="21">
        <v>0</v>
      </c>
      <c r="S511" s="19">
        <v>0</v>
      </c>
      <c r="T511" s="20">
        <v>1</v>
      </c>
      <c r="U511" s="19">
        <v>1</v>
      </c>
      <c r="V511" s="20">
        <v>1</v>
      </c>
      <c r="W511" s="20">
        <v>1</v>
      </c>
      <c r="X511" s="20">
        <v>1</v>
      </c>
      <c r="Y511" s="20">
        <v>1</v>
      </c>
      <c r="Z511" s="20">
        <v>0</v>
      </c>
      <c r="AA511" s="20">
        <v>0</v>
      </c>
      <c r="AB511" s="49">
        <v>0</v>
      </c>
      <c r="AC511" s="49">
        <v>0</v>
      </c>
      <c r="AD511" s="49">
        <v>0</v>
      </c>
      <c r="AE511" s="49">
        <v>0</v>
      </c>
      <c r="AF511" s="49">
        <v>0</v>
      </c>
      <c r="AG511" s="184">
        <v>0</v>
      </c>
      <c r="AH511" s="182">
        <v>1</v>
      </c>
      <c r="AI511" s="182">
        <v>0</v>
      </c>
      <c r="AJ511" s="182">
        <v>0</v>
      </c>
      <c r="AK511" s="182">
        <v>0</v>
      </c>
      <c r="AL511" s="183">
        <v>0</v>
      </c>
      <c r="AM511" s="19">
        <v>0</v>
      </c>
      <c r="AN511" s="20">
        <f>IFERROR(INDEX([2]lijnopstellingsfiche!$AP$1:$AP$65536,MATCH(A511,[2]lijnopstellingsfiche!$AQ$1:$AQ$65536,0)),"")</f>
        <v>1</v>
      </c>
      <c r="AO511" s="20">
        <v>0</v>
      </c>
      <c r="AP511" s="20">
        <v>0</v>
      </c>
      <c r="AQ511" s="20">
        <v>2</v>
      </c>
      <c r="AR511" s="20">
        <v>0</v>
      </c>
      <c r="AS511" s="20">
        <v>0</v>
      </c>
      <c r="AT511" s="20">
        <v>1</v>
      </c>
      <c r="AU511" s="20">
        <v>0</v>
      </c>
      <c r="AV511" s="23">
        <v>0</v>
      </c>
      <c r="AW511" s="108">
        <v>0</v>
      </c>
      <c r="AX511" s="108">
        <v>0</v>
      </c>
      <c r="AY511" s="108">
        <v>0</v>
      </c>
      <c r="AZ511" s="108">
        <v>0</v>
      </c>
      <c r="BA511" s="114">
        <v>1</v>
      </c>
      <c r="BB511" s="20">
        <v>0</v>
      </c>
      <c r="BC511" s="113">
        <v>0</v>
      </c>
      <c r="BD511" s="200" t="str">
        <f>VLOOKUP($A511,'[3]allergenen 6nr'!$A$1:$O$1310,3,FALSE)</f>
        <v>-</v>
      </c>
      <c r="BE511" s="201" t="str">
        <f>VLOOKUP($A511,'[3]allergenen 6nr'!$A$1:$O$1310,4,FALSE)</f>
        <v>-</v>
      </c>
      <c r="BF511" s="201" t="str">
        <f>VLOOKUP($A511,'[3]allergenen 6nr'!$A$1:$O$1310,5,FALSE)</f>
        <v>+</v>
      </c>
      <c r="BG511" s="201" t="str">
        <f>VLOOKUP($A511,'[3]allergenen 6nr'!$A$1:$O$1310,6,FALSE)</f>
        <v>X</v>
      </c>
      <c r="BH511" s="201" t="str">
        <f>VLOOKUP($A511,'[3]allergenen 6nr'!$A$1:$O$1310,7,FALSE)</f>
        <v>X</v>
      </c>
      <c r="BI511" s="201" t="str">
        <f>VLOOKUP($A511,'[3]allergenen 6nr'!$A$1:$O$1310,8,FALSE)</f>
        <v>X</v>
      </c>
      <c r="BJ511" s="201" t="str">
        <f>VLOOKUP($A511,'[3]allergenen 6nr'!$A$1:$O$1310,9,FALSE)</f>
        <v>-</v>
      </c>
      <c r="BK511" s="201" t="str">
        <f>VLOOKUP($A511,'[3]allergenen 6nr'!$A$1:$O$1310,10,FALSE)</f>
        <v>X</v>
      </c>
      <c r="BL511" s="201" t="str">
        <f>VLOOKUP($A511,'[3]allergenen 6nr'!$A$1:$O$1310,11,FALSE)</f>
        <v>X</v>
      </c>
      <c r="BM511" s="201" t="str">
        <f>VLOOKUP($A511,'[3]allergenen 6nr'!$A$1:$O$1310,12,FALSE)</f>
        <v>-</v>
      </c>
      <c r="BN511" s="201" t="str">
        <f>VLOOKUP($A511,'[3]allergenen 6nr'!$A$1:$O$1310,13,FALSE)</f>
        <v>X</v>
      </c>
      <c r="BO511" s="201" t="str">
        <f>VLOOKUP($A511,'[3]allergenen 6nr'!$A$1:$O$1310,14,FALSE)</f>
        <v>X</v>
      </c>
      <c r="BP511" s="202" t="str">
        <f>VLOOKUP($A511,'[3]allergenen 6nr'!$A$1:$O$1310,15,FALSE)</f>
        <v>-</v>
      </c>
    </row>
    <row r="512" spans="1:68" x14ac:dyDescent="0.2">
      <c r="A512" s="126">
        <v>65120100</v>
      </c>
      <c r="B512" s="53" t="str">
        <f>VLOOKUP($A512,[1]maaltijden!$A$1:$IV$65536,4,FALSE)</f>
        <v>DMB APPELMOES 1,8KG</v>
      </c>
      <c r="C512" s="46" t="str">
        <f>VLOOKUP($A512,[1]maaltijden!$A$1:$IV$65536,7,FALSE)</f>
        <v>C2325-1C</v>
      </c>
      <c r="D512" s="22" t="str">
        <f>VLOOKUP($A512,[1]maaltijden!$A$1:$IV$65536,10,FALSE)</f>
        <v>NVT</v>
      </c>
      <c r="E512" s="22" t="str">
        <f>VLOOKUP($A512,[1]maaltijden!$A$1:$IV$65536,13,FALSE)</f>
        <v>BULK HO</v>
      </c>
      <c r="F512" s="20">
        <f t="shared" si="7"/>
        <v>0</v>
      </c>
      <c r="G512" s="20" t="str">
        <f>VLOOKUP($A512,[1]maaltijden!$A$1:$IV$65536,27,FALSE)</f>
        <v>-</v>
      </c>
      <c r="H512" s="22">
        <f>VLOOKUP($A512,[1]maaltijden!$A$1:$IV$65536,21,FALSE)</f>
        <v>2</v>
      </c>
      <c r="I512" s="22">
        <f>VLOOKUP($A512,[1]maaltijden!$A$1:$IV$65536,21,FALSE)</f>
        <v>2</v>
      </c>
      <c r="J512" s="22">
        <f>VLOOKUP($A512,[1]maaltijden!$A$1:$IV$65536,18,FALSE)</f>
        <v>3</v>
      </c>
      <c r="K512" s="22">
        <f>VLOOKUP($A512,[1]maaltijden!$A$1:$IV$65536,17,FALSE)</f>
        <v>1</v>
      </c>
      <c r="L512" s="22">
        <f>VLOOKUP($A512,[1]maaltijden!$A$1:$IV$65536,20,FALSE)</f>
        <v>725</v>
      </c>
      <c r="M512" s="22">
        <f>VLOOKUP($A512,[1]maaltijden!$A$1:$IV$65536,22,FALSE)</f>
        <v>725</v>
      </c>
      <c r="N512" s="135"/>
      <c r="O512" s="50">
        <v>0</v>
      </c>
      <c r="P512" s="19">
        <v>0</v>
      </c>
      <c r="Q512" s="20">
        <v>1</v>
      </c>
      <c r="R512" s="21">
        <v>0</v>
      </c>
      <c r="S512" s="19">
        <v>0</v>
      </c>
      <c r="T512" s="20">
        <v>1</v>
      </c>
      <c r="U512" s="19">
        <v>1</v>
      </c>
      <c r="V512" s="20">
        <v>1</v>
      </c>
      <c r="W512" s="20">
        <v>1</v>
      </c>
      <c r="X512" s="20">
        <v>1</v>
      </c>
      <c r="Y512" s="20">
        <v>1</v>
      </c>
      <c r="Z512" s="20">
        <v>0</v>
      </c>
      <c r="AA512" s="20">
        <v>0</v>
      </c>
      <c r="AB512" s="49">
        <v>0</v>
      </c>
      <c r="AC512" s="49">
        <v>0</v>
      </c>
      <c r="AD512" s="49">
        <v>0</v>
      </c>
      <c r="AE512" s="49">
        <v>0</v>
      </c>
      <c r="AF512" s="49">
        <v>0</v>
      </c>
      <c r="AG512" s="185">
        <v>0</v>
      </c>
      <c r="AH512" s="186"/>
      <c r="AI512" s="186"/>
      <c r="AJ512" s="186"/>
      <c r="AK512" s="186"/>
      <c r="AL512" s="187"/>
      <c r="AM512" s="19">
        <v>0</v>
      </c>
      <c r="AN512" s="20" t="str">
        <f>IFERROR(INDEX([2]lijnopstellingsfiche!$AP$1:$AP$65536,MATCH(A512,[2]lijnopstellingsfiche!$AQ$1:$AQ$65536,0)),"")</f>
        <v>-</v>
      </c>
      <c r="AO512" s="20">
        <v>0</v>
      </c>
      <c r="AP512" s="20">
        <v>0</v>
      </c>
      <c r="AQ512" s="20">
        <v>0</v>
      </c>
      <c r="AR512" s="20">
        <v>2</v>
      </c>
      <c r="AS512" s="20">
        <v>0</v>
      </c>
      <c r="AT512" s="20">
        <v>0</v>
      </c>
      <c r="AU512" s="20">
        <v>0</v>
      </c>
      <c r="AV512" s="23">
        <v>0</v>
      </c>
      <c r="AW512" s="108">
        <v>0</v>
      </c>
      <c r="AX512" s="108">
        <v>0</v>
      </c>
      <c r="AY512" s="108">
        <v>0</v>
      </c>
      <c r="AZ512" s="108">
        <v>0</v>
      </c>
      <c r="BA512" s="114">
        <v>1</v>
      </c>
      <c r="BB512" s="20">
        <v>0</v>
      </c>
      <c r="BC512" s="113">
        <v>0</v>
      </c>
      <c r="BD512" s="200"/>
      <c r="BE512" s="201"/>
      <c r="BF512" s="201"/>
      <c r="BG512" s="201"/>
      <c r="BH512" s="201"/>
      <c r="BI512" s="201"/>
      <c r="BJ512" s="201"/>
      <c r="BK512" s="201"/>
      <c r="BL512" s="201"/>
      <c r="BM512" s="201"/>
      <c r="BN512" s="201"/>
      <c r="BO512" s="201"/>
      <c r="BP512" s="202"/>
    </row>
    <row r="513" spans="1:68" x14ac:dyDescent="0.2">
      <c r="A513" s="89">
        <v>65120200</v>
      </c>
      <c r="B513" s="53" t="str">
        <f>VLOOKUP($A513,[1]maaltijden!$A$1:$IV$65536,4,FALSE)</f>
        <v>DMB BLOEMKOOL KAASSAUS 1,8KG</v>
      </c>
      <c r="C513" s="46" t="str">
        <f>VLOOKUP($A513,[1]maaltijden!$A$1:$IV$65536,7,FALSE)</f>
        <v>C2325-1C</v>
      </c>
      <c r="D513" s="22" t="str">
        <f>VLOOKUP($A513,[1]maaltijden!$A$1:$IV$65536,10,FALSE)</f>
        <v>NVT</v>
      </c>
      <c r="E513" s="22" t="str">
        <f>VLOOKUP($A513,[1]maaltijden!$A$1:$IV$65536,13,FALSE)</f>
        <v>BULK HO</v>
      </c>
      <c r="F513" s="20">
        <f t="shared" si="7"/>
        <v>0</v>
      </c>
      <c r="G513" s="20" t="str">
        <f>VLOOKUP($A513,[1]maaltijden!$A$1:$IV$65536,27,FALSE)</f>
        <v>! !</v>
      </c>
      <c r="H513" s="22">
        <f>VLOOKUP($A513,[1]maaltijden!$A$1:$IV$65536,21,FALSE)</f>
        <v>5</v>
      </c>
      <c r="I513" s="22">
        <f>VLOOKUP($A513,[1]maaltijden!$A$1:$IV$65536,21,FALSE)</f>
        <v>5</v>
      </c>
      <c r="J513" s="22">
        <f>VLOOKUP($A513,[1]maaltijden!$A$1:$IV$65536,18,FALSE)</f>
        <v>3</v>
      </c>
      <c r="K513" s="22">
        <f>VLOOKUP($A513,[1]maaltijden!$A$1:$IV$65536,17,FALSE)</f>
        <v>1</v>
      </c>
      <c r="L513" s="22">
        <f>VLOOKUP($A513,[1]maaltijden!$A$1:$IV$65536,20,FALSE)</f>
        <v>700</v>
      </c>
      <c r="M513" s="22">
        <f>VLOOKUP($A513,[1]maaltijden!$A$1:$IV$65536,22,FALSE)</f>
        <v>700</v>
      </c>
      <c r="N513" s="135"/>
      <c r="O513" s="50">
        <v>0</v>
      </c>
      <c r="P513" s="19">
        <v>0</v>
      </c>
      <c r="Q513" s="20">
        <v>1</v>
      </c>
      <c r="R513" s="21">
        <v>0</v>
      </c>
      <c r="S513" s="19">
        <v>0</v>
      </c>
      <c r="T513" s="20">
        <v>1</v>
      </c>
      <c r="U513" s="19">
        <v>1</v>
      </c>
      <c r="V513" s="20">
        <v>1</v>
      </c>
      <c r="W513" s="20">
        <v>1</v>
      </c>
      <c r="X513" s="20">
        <v>1</v>
      </c>
      <c r="Y513" s="20">
        <v>1</v>
      </c>
      <c r="Z513" s="20">
        <v>0</v>
      </c>
      <c r="AA513" s="20">
        <v>0</v>
      </c>
      <c r="AB513" s="49">
        <v>0</v>
      </c>
      <c r="AC513" s="49">
        <v>0</v>
      </c>
      <c r="AD513" s="49">
        <v>0</v>
      </c>
      <c r="AE513" s="49">
        <v>0</v>
      </c>
      <c r="AF513" s="49">
        <v>0</v>
      </c>
      <c r="AG513" s="161">
        <v>0</v>
      </c>
      <c r="AH513" s="162">
        <v>1</v>
      </c>
      <c r="AI513" s="162">
        <v>0</v>
      </c>
      <c r="AJ513" s="162">
        <v>0</v>
      </c>
      <c r="AK513" s="162">
        <v>0</v>
      </c>
      <c r="AL513" s="163">
        <v>0</v>
      </c>
      <c r="AM513" s="19">
        <v>0</v>
      </c>
      <c r="AN513" s="20">
        <f>IFERROR(INDEX([2]lijnopstellingsfiche!$AP$1:$AP$65536,MATCH(A513,[2]lijnopstellingsfiche!$AQ$1:$AQ$65536,0)),"")</f>
        <v>4</v>
      </c>
      <c r="AO513" s="20">
        <v>0</v>
      </c>
      <c r="AP513" s="20">
        <v>0</v>
      </c>
      <c r="AQ513" s="20">
        <v>2</v>
      </c>
      <c r="AR513" s="20">
        <v>0</v>
      </c>
      <c r="AS513" s="20">
        <v>0</v>
      </c>
      <c r="AT513" s="20">
        <v>0</v>
      </c>
      <c r="AU513" s="20">
        <v>0</v>
      </c>
      <c r="AV513" s="23">
        <v>0</v>
      </c>
      <c r="AW513" s="108">
        <v>0</v>
      </c>
      <c r="AX513" s="108">
        <v>0</v>
      </c>
      <c r="AY513" s="108">
        <v>0</v>
      </c>
      <c r="AZ513" s="108">
        <v>0</v>
      </c>
      <c r="BA513" s="114">
        <v>1</v>
      </c>
      <c r="BB513" s="20">
        <v>0</v>
      </c>
      <c r="BC513" s="113">
        <v>0</v>
      </c>
      <c r="BD513" s="200" t="str">
        <f>VLOOKUP($A513,'[3]allergenen 6nr'!$A$1:$O$1310,3,FALSE)</f>
        <v>-</v>
      </c>
      <c r="BE513" s="201" t="str">
        <f>VLOOKUP($A513,'[3]allergenen 6nr'!$A$1:$O$1310,4,FALSE)</f>
        <v>-</v>
      </c>
      <c r="BF513" s="201" t="str">
        <f>VLOOKUP($A513,'[3]allergenen 6nr'!$A$1:$O$1310,5,FALSE)</f>
        <v>+</v>
      </c>
      <c r="BG513" s="201" t="str">
        <f>VLOOKUP($A513,'[3]allergenen 6nr'!$A$1:$O$1310,6,FALSE)</f>
        <v>X</v>
      </c>
      <c r="BH513" s="201" t="str">
        <f>VLOOKUP($A513,'[3]allergenen 6nr'!$A$1:$O$1310,7,FALSE)</f>
        <v>+</v>
      </c>
      <c r="BI513" s="201" t="str">
        <f>VLOOKUP($A513,'[3]allergenen 6nr'!$A$1:$O$1310,8,FALSE)</f>
        <v>X</v>
      </c>
      <c r="BJ513" s="201" t="str">
        <f>VLOOKUP($A513,'[3]allergenen 6nr'!$A$1:$O$1310,9,FALSE)</f>
        <v>-</v>
      </c>
      <c r="BK513" s="201" t="str">
        <f>VLOOKUP($A513,'[3]allergenen 6nr'!$A$1:$O$1310,10,FALSE)</f>
        <v>-</v>
      </c>
      <c r="BL513" s="201" t="str">
        <f>VLOOKUP($A513,'[3]allergenen 6nr'!$A$1:$O$1310,11,FALSE)</f>
        <v>-</v>
      </c>
      <c r="BM513" s="201" t="str">
        <f>VLOOKUP($A513,'[3]allergenen 6nr'!$A$1:$O$1310,12,FALSE)</f>
        <v>-</v>
      </c>
      <c r="BN513" s="201" t="str">
        <f>VLOOKUP($A513,'[3]allergenen 6nr'!$A$1:$O$1310,13,FALSE)</f>
        <v>X</v>
      </c>
      <c r="BO513" s="201" t="str">
        <f>VLOOKUP($A513,'[3]allergenen 6nr'!$A$1:$O$1310,14,FALSE)</f>
        <v>-</v>
      </c>
      <c r="BP513" s="202" t="str">
        <f>VLOOKUP($A513,'[3]allergenen 6nr'!$A$1:$O$1310,15,FALSE)</f>
        <v>-</v>
      </c>
    </row>
    <row r="514" spans="1:68" x14ac:dyDescent="0.2">
      <c r="A514" s="89">
        <v>65120400</v>
      </c>
      <c r="B514" s="53" t="str">
        <f>VLOOKUP($A514,[1]maaltijden!$A$1:$IV$65536,4,FALSE)</f>
        <v>DMB GESTOOFDE PREI 1,8KG</v>
      </c>
      <c r="C514" s="46" t="str">
        <f>VLOOKUP($A514,[1]maaltijden!$A$1:$IV$65536,7,FALSE)</f>
        <v>C2325-1C</v>
      </c>
      <c r="D514" s="22" t="str">
        <f>VLOOKUP($A514,[1]maaltijden!$A$1:$IV$65536,10,FALSE)</f>
        <v>NVT</v>
      </c>
      <c r="E514" s="22" t="str">
        <f>VLOOKUP($A514,[1]maaltijden!$A$1:$IV$65536,13,FALSE)</f>
        <v>BULK HO</v>
      </c>
      <c r="F514" s="20">
        <f t="shared" si="7"/>
        <v>0</v>
      </c>
      <c r="G514" s="20" t="str">
        <f>VLOOKUP($A514,[1]maaltijden!$A$1:$IV$65536,27,FALSE)</f>
        <v>! !</v>
      </c>
      <c r="H514" s="22">
        <f>VLOOKUP($A514,[1]maaltijden!$A$1:$IV$65536,21,FALSE)</f>
        <v>2</v>
      </c>
      <c r="I514" s="22">
        <f>VLOOKUP($A514,[1]maaltijden!$A$1:$IV$65536,21,FALSE)</f>
        <v>2</v>
      </c>
      <c r="J514" s="22">
        <f>VLOOKUP($A514,[1]maaltijden!$A$1:$IV$65536,18,FALSE)</f>
        <v>3</v>
      </c>
      <c r="K514" s="22">
        <f>VLOOKUP($A514,[1]maaltijden!$A$1:$IV$65536,17,FALSE)</f>
        <v>1</v>
      </c>
      <c r="L514" s="22">
        <f>VLOOKUP($A514,[1]maaltijden!$A$1:$IV$65536,20,FALSE)</f>
        <v>700</v>
      </c>
      <c r="M514" s="22">
        <f>VLOOKUP($A514,[1]maaltijden!$A$1:$IV$65536,22,FALSE)</f>
        <v>700</v>
      </c>
      <c r="N514" s="135"/>
      <c r="O514" s="50">
        <v>0</v>
      </c>
      <c r="P514" s="19">
        <v>0</v>
      </c>
      <c r="Q514" s="20">
        <v>1</v>
      </c>
      <c r="R514" s="21">
        <v>0</v>
      </c>
      <c r="S514" s="19">
        <v>0</v>
      </c>
      <c r="T514" s="20">
        <v>1</v>
      </c>
      <c r="U514" s="19">
        <v>1</v>
      </c>
      <c r="V514" s="20">
        <v>1</v>
      </c>
      <c r="W514" s="20">
        <v>1</v>
      </c>
      <c r="X514" s="20">
        <v>1</v>
      </c>
      <c r="Y514" s="20">
        <v>1</v>
      </c>
      <c r="Z514" s="20">
        <v>0</v>
      </c>
      <c r="AA514" s="20">
        <v>0</v>
      </c>
      <c r="AB514" s="49">
        <v>1</v>
      </c>
      <c r="AC514" s="49">
        <v>0</v>
      </c>
      <c r="AD514" s="49">
        <v>0</v>
      </c>
      <c r="AE514" s="49">
        <v>0</v>
      </c>
      <c r="AF514" s="49">
        <v>0</v>
      </c>
      <c r="AG514" s="173">
        <v>0</v>
      </c>
      <c r="AH514" s="174">
        <v>0</v>
      </c>
      <c r="AI514" s="182">
        <v>1</v>
      </c>
      <c r="AJ514" s="174">
        <v>0</v>
      </c>
      <c r="AK514" s="174">
        <v>0</v>
      </c>
      <c r="AL514" s="175">
        <v>0</v>
      </c>
      <c r="AM514" s="19">
        <v>0</v>
      </c>
      <c r="AN514" s="20" t="str">
        <f>IFERROR(INDEX([2]lijnopstellingsfiche!$AP$1:$AP$65536,MATCH(A514,[2]lijnopstellingsfiche!$AQ$1:$AQ$65536,0)),"")</f>
        <v>-</v>
      </c>
      <c r="AO514" s="20">
        <v>0</v>
      </c>
      <c r="AP514" s="20">
        <v>0</v>
      </c>
      <c r="AQ514" s="20">
        <v>2</v>
      </c>
      <c r="AR514" s="20">
        <v>0</v>
      </c>
      <c r="AS514" s="20">
        <v>0</v>
      </c>
      <c r="AT514" s="20">
        <v>0</v>
      </c>
      <c r="AU514" s="20">
        <v>0</v>
      </c>
      <c r="AV514" s="23">
        <v>0</v>
      </c>
      <c r="AW514" s="108">
        <v>0</v>
      </c>
      <c r="AX514" s="108">
        <v>0</v>
      </c>
      <c r="AY514" s="108">
        <v>0</v>
      </c>
      <c r="AZ514" s="108">
        <v>0</v>
      </c>
      <c r="BA514" s="114">
        <v>1</v>
      </c>
      <c r="BB514" s="20">
        <v>0</v>
      </c>
      <c r="BC514" s="113">
        <v>0</v>
      </c>
      <c r="BD514" s="200" t="str">
        <f>VLOOKUP($A514,'[3]allergenen 6nr'!$A$1:$O$1310,3,FALSE)</f>
        <v>-</v>
      </c>
      <c r="BE514" s="201" t="str">
        <f>VLOOKUP($A514,'[3]allergenen 6nr'!$A$1:$O$1310,4,FALSE)</f>
        <v>-</v>
      </c>
      <c r="BF514" s="201" t="str">
        <f>VLOOKUP($A514,'[3]allergenen 6nr'!$A$1:$O$1310,5,FALSE)</f>
        <v>-</v>
      </c>
      <c r="BG514" s="201" t="str">
        <f>VLOOKUP($A514,'[3]allergenen 6nr'!$A$1:$O$1310,6,FALSE)</f>
        <v>-</v>
      </c>
      <c r="BH514" s="201" t="str">
        <f>VLOOKUP($A514,'[3]allergenen 6nr'!$A$1:$O$1310,7,FALSE)</f>
        <v>+</v>
      </c>
      <c r="BI514" s="201" t="str">
        <f>VLOOKUP($A514,'[3]allergenen 6nr'!$A$1:$O$1310,8,FALSE)</f>
        <v>-</v>
      </c>
      <c r="BJ514" s="201" t="str">
        <f>VLOOKUP($A514,'[3]allergenen 6nr'!$A$1:$O$1310,9,FALSE)</f>
        <v>-</v>
      </c>
      <c r="BK514" s="201" t="str">
        <f>VLOOKUP($A514,'[3]allergenen 6nr'!$A$1:$O$1310,10,FALSE)</f>
        <v>-</v>
      </c>
      <c r="BL514" s="201" t="str">
        <f>VLOOKUP($A514,'[3]allergenen 6nr'!$A$1:$O$1310,11,FALSE)</f>
        <v>-</v>
      </c>
      <c r="BM514" s="201" t="str">
        <f>VLOOKUP($A514,'[3]allergenen 6nr'!$A$1:$O$1310,12,FALSE)</f>
        <v>-</v>
      </c>
      <c r="BN514" s="201" t="str">
        <f>VLOOKUP($A514,'[3]allergenen 6nr'!$A$1:$O$1310,13,FALSE)</f>
        <v>-</v>
      </c>
      <c r="BO514" s="201" t="str">
        <f>VLOOKUP($A514,'[3]allergenen 6nr'!$A$1:$O$1310,14,FALSE)</f>
        <v>-</v>
      </c>
      <c r="BP514" s="202" t="str">
        <f>VLOOKUP($A514,'[3]allergenen 6nr'!$A$1:$O$1310,15,FALSE)</f>
        <v>-</v>
      </c>
    </row>
    <row r="515" spans="1:68" x14ac:dyDescent="0.2">
      <c r="A515" s="126">
        <v>65120600</v>
      </c>
      <c r="B515" s="53" t="str">
        <f>VLOOKUP($A515,[1]maaltijden!$A$1:$IV$65536,4,FALSE)</f>
        <v>DMB SPINAZIE IN ROOM 1,8KG</v>
      </c>
      <c r="C515" s="46" t="str">
        <f>VLOOKUP($A515,[1]maaltijden!$A$1:$IV$65536,7,FALSE)</f>
        <v>C2325-1C</v>
      </c>
      <c r="D515" s="22" t="str">
        <f>VLOOKUP($A515,[1]maaltijden!$A$1:$IV$65536,10,FALSE)</f>
        <v>NVT</v>
      </c>
      <c r="E515" s="22" t="str">
        <f>VLOOKUP($A515,[1]maaltijden!$A$1:$IV$65536,13,FALSE)</f>
        <v>BULK HO</v>
      </c>
      <c r="F515" s="20">
        <f t="shared" si="7"/>
        <v>0</v>
      </c>
      <c r="G515" s="20" t="str">
        <f>VLOOKUP($A515,[1]maaltijden!$A$1:$IV$65536,27,FALSE)</f>
        <v>! !</v>
      </c>
      <c r="H515" s="22">
        <f>VLOOKUP($A515,[1]maaltijden!$A$1:$IV$65536,21,FALSE)</f>
        <v>6</v>
      </c>
      <c r="I515" s="22">
        <f>VLOOKUP($A515,[1]maaltijden!$A$1:$IV$65536,21,FALSE)</f>
        <v>6</v>
      </c>
      <c r="J515" s="22">
        <f>VLOOKUP($A515,[1]maaltijden!$A$1:$IV$65536,18,FALSE)</f>
        <v>3</v>
      </c>
      <c r="K515" s="22">
        <f>VLOOKUP($A515,[1]maaltijden!$A$1:$IV$65536,17,FALSE)</f>
        <v>0</v>
      </c>
      <c r="L515" s="22">
        <f>VLOOKUP($A515,[1]maaltijden!$A$1:$IV$65536,20,FALSE)</f>
        <v>725</v>
      </c>
      <c r="M515" s="22">
        <f>VLOOKUP($A515,[1]maaltijden!$A$1:$IV$65536,22,FALSE)</f>
        <v>725</v>
      </c>
      <c r="N515" s="135"/>
      <c r="O515" s="50">
        <v>0</v>
      </c>
      <c r="P515" s="19">
        <v>0</v>
      </c>
      <c r="Q515" s="20">
        <v>1</v>
      </c>
      <c r="R515" s="21">
        <v>0</v>
      </c>
      <c r="S515" s="19">
        <v>0</v>
      </c>
      <c r="T515" s="20">
        <v>1</v>
      </c>
      <c r="U515" s="19">
        <v>1</v>
      </c>
      <c r="V515" s="20">
        <v>1</v>
      </c>
      <c r="W515" s="20">
        <v>1</v>
      </c>
      <c r="X515" s="20">
        <v>1</v>
      </c>
      <c r="Y515" s="20">
        <v>1</v>
      </c>
      <c r="Z515" s="20">
        <v>0</v>
      </c>
      <c r="AA515" s="20">
        <v>0</v>
      </c>
      <c r="AB515" s="49">
        <v>0</v>
      </c>
      <c r="AC515" s="49">
        <v>0</v>
      </c>
      <c r="AD515" s="49">
        <v>0</v>
      </c>
      <c r="AE515" s="49">
        <v>0</v>
      </c>
      <c r="AF515" s="49">
        <v>0</v>
      </c>
      <c r="AG515" s="185">
        <v>0</v>
      </c>
      <c r="AH515" s="186"/>
      <c r="AI515" s="186"/>
      <c r="AJ515" s="186"/>
      <c r="AK515" s="186"/>
      <c r="AL515" s="187"/>
      <c r="AM515" s="19">
        <v>0</v>
      </c>
      <c r="AN515" s="20">
        <f>IFERROR(INDEX([2]lijnopstellingsfiche!$AP$1:$AP$65536,MATCH(A515,[2]lijnopstellingsfiche!$AQ$1:$AQ$65536,0)),"")</f>
        <v>4</v>
      </c>
      <c r="AO515" s="20">
        <v>0</v>
      </c>
      <c r="AP515" s="20">
        <v>0</v>
      </c>
      <c r="AQ515" s="20">
        <v>0</v>
      </c>
      <c r="AR515" s="20">
        <v>0</v>
      </c>
      <c r="AS515" s="20">
        <v>0</v>
      </c>
      <c r="AT515" s="20">
        <v>0</v>
      </c>
      <c r="AU515" s="20">
        <v>0</v>
      </c>
      <c r="AV515" s="23">
        <v>0</v>
      </c>
      <c r="AW515" s="108">
        <v>0</v>
      </c>
      <c r="AX515" s="108">
        <v>0</v>
      </c>
      <c r="AY515" s="108">
        <v>0</v>
      </c>
      <c r="AZ515" s="108">
        <v>0</v>
      </c>
      <c r="BA515" s="114">
        <v>1</v>
      </c>
      <c r="BB515" s="20">
        <v>0</v>
      </c>
      <c r="BC515" s="113">
        <v>0</v>
      </c>
      <c r="BD515" s="200"/>
      <c r="BE515" s="201"/>
      <c r="BF515" s="201"/>
      <c r="BG515" s="201"/>
      <c r="BH515" s="201"/>
      <c r="BI515" s="201"/>
      <c r="BJ515" s="201"/>
      <c r="BK515" s="201"/>
      <c r="BL515" s="201"/>
      <c r="BM515" s="201"/>
      <c r="BN515" s="201"/>
      <c r="BO515" s="201"/>
      <c r="BP515" s="202"/>
    </row>
    <row r="516" spans="1:68" x14ac:dyDescent="0.2">
      <c r="A516" s="89">
        <v>65120700</v>
      </c>
      <c r="B516" s="53" t="str">
        <f>VLOOKUP($A516,[1]maaltijden!$A$1:$IV$65536,4,FALSE)</f>
        <v>DMB WITTE KOOL IN SAUS 1,8KG</v>
      </c>
      <c r="C516" s="46" t="str">
        <f>VLOOKUP($A516,[1]maaltijden!$A$1:$IV$65536,7,FALSE)</f>
        <v>C2325-1C</v>
      </c>
      <c r="D516" s="22" t="str">
        <f>VLOOKUP($A516,[1]maaltijden!$A$1:$IV$65536,10,FALSE)</f>
        <v>NVT</v>
      </c>
      <c r="E516" s="22" t="str">
        <f>VLOOKUP($A516,[1]maaltijden!$A$1:$IV$65536,13,FALSE)</f>
        <v>BULK HO</v>
      </c>
      <c r="F516" s="20">
        <f t="shared" si="7"/>
        <v>0</v>
      </c>
      <c r="G516" s="20" t="str">
        <f>VLOOKUP($A516,[1]maaltijden!$A$1:$IV$65536,27,FALSE)</f>
        <v>! !</v>
      </c>
      <c r="H516" s="22">
        <f>VLOOKUP($A516,[1]maaltijden!$A$1:$IV$65536,21,FALSE)</f>
        <v>2</v>
      </c>
      <c r="I516" s="22">
        <f>VLOOKUP($A516,[1]maaltijden!$A$1:$IV$65536,21,FALSE)</f>
        <v>2</v>
      </c>
      <c r="J516" s="22">
        <f>VLOOKUP($A516,[1]maaltijden!$A$1:$IV$65536,18,FALSE)</f>
        <v>3</v>
      </c>
      <c r="K516" s="22">
        <f>VLOOKUP($A516,[1]maaltijden!$A$1:$IV$65536,17,FALSE)</f>
        <v>1</v>
      </c>
      <c r="L516" s="22">
        <f>VLOOKUP($A516,[1]maaltijden!$A$1:$IV$65536,20,FALSE)</f>
        <v>700</v>
      </c>
      <c r="M516" s="22">
        <f>VLOOKUP($A516,[1]maaltijden!$A$1:$IV$65536,22,FALSE)</f>
        <v>700</v>
      </c>
      <c r="N516" s="135"/>
      <c r="O516" s="50">
        <v>0</v>
      </c>
      <c r="P516" s="19">
        <v>0</v>
      </c>
      <c r="Q516" s="20">
        <v>1</v>
      </c>
      <c r="R516" s="21">
        <v>0</v>
      </c>
      <c r="S516" s="19">
        <v>0</v>
      </c>
      <c r="T516" s="20">
        <v>1</v>
      </c>
      <c r="U516" s="19">
        <v>1</v>
      </c>
      <c r="V516" s="20">
        <v>1</v>
      </c>
      <c r="W516" s="20">
        <v>1</v>
      </c>
      <c r="X516" s="20">
        <v>1</v>
      </c>
      <c r="Y516" s="20">
        <v>1</v>
      </c>
      <c r="Z516" s="20">
        <v>0</v>
      </c>
      <c r="AA516" s="20">
        <v>0</v>
      </c>
      <c r="AB516" s="49">
        <v>1</v>
      </c>
      <c r="AC516" s="49">
        <v>0</v>
      </c>
      <c r="AD516" s="49">
        <v>1</v>
      </c>
      <c r="AE516" s="49">
        <v>0</v>
      </c>
      <c r="AF516" s="49">
        <v>0</v>
      </c>
      <c r="AG516" s="184">
        <v>0</v>
      </c>
      <c r="AH516" s="182">
        <v>0</v>
      </c>
      <c r="AI516" s="182">
        <v>1</v>
      </c>
      <c r="AJ516" s="182">
        <v>0</v>
      </c>
      <c r="AK516" s="182">
        <v>0</v>
      </c>
      <c r="AL516" s="183">
        <v>0</v>
      </c>
      <c r="AM516" s="19">
        <v>0</v>
      </c>
      <c r="AN516" s="20" t="str">
        <f>IFERROR(INDEX([2]lijnopstellingsfiche!$AP$1:$AP$65536,MATCH(A516,[2]lijnopstellingsfiche!$AQ$1:$AQ$65536,0)),"")</f>
        <v>-</v>
      </c>
      <c r="AO516" s="20">
        <v>0</v>
      </c>
      <c r="AP516" s="20">
        <v>0</v>
      </c>
      <c r="AQ516" s="20">
        <v>2</v>
      </c>
      <c r="AR516" s="20">
        <v>0</v>
      </c>
      <c r="AS516" s="20">
        <v>0</v>
      </c>
      <c r="AT516" s="20">
        <v>0</v>
      </c>
      <c r="AU516" s="20">
        <v>0</v>
      </c>
      <c r="AV516" s="23">
        <v>0</v>
      </c>
      <c r="AW516" s="108">
        <v>0</v>
      </c>
      <c r="AX516" s="108">
        <v>0</v>
      </c>
      <c r="AY516" s="108">
        <v>0</v>
      </c>
      <c r="AZ516" s="108">
        <v>0</v>
      </c>
      <c r="BA516" s="114">
        <v>1</v>
      </c>
      <c r="BB516" s="20">
        <v>0</v>
      </c>
      <c r="BC516" s="113">
        <v>0</v>
      </c>
      <c r="BD516" s="200" t="str">
        <f>VLOOKUP($A516,'[3]allergenen 6nr'!$A$1:$O$1310,3,FALSE)</f>
        <v>-</v>
      </c>
      <c r="BE516" s="201" t="str">
        <f>VLOOKUP($A516,'[3]allergenen 6nr'!$A$1:$O$1310,4,FALSE)</f>
        <v>-</v>
      </c>
      <c r="BF516" s="201" t="str">
        <f>VLOOKUP($A516,'[3]allergenen 6nr'!$A$1:$O$1310,5,FALSE)</f>
        <v>+</v>
      </c>
      <c r="BG516" s="201" t="str">
        <f>VLOOKUP($A516,'[3]allergenen 6nr'!$A$1:$O$1310,6,FALSE)</f>
        <v>X</v>
      </c>
      <c r="BH516" s="201" t="str">
        <f>VLOOKUP($A516,'[3]allergenen 6nr'!$A$1:$O$1310,7,FALSE)</f>
        <v>+</v>
      </c>
      <c r="BI516" s="201" t="str">
        <f>VLOOKUP($A516,'[3]allergenen 6nr'!$A$1:$O$1310,8,FALSE)</f>
        <v>X</v>
      </c>
      <c r="BJ516" s="201" t="str">
        <f>VLOOKUP($A516,'[3]allergenen 6nr'!$A$1:$O$1310,9,FALSE)</f>
        <v>-</v>
      </c>
      <c r="BK516" s="201" t="str">
        <f>VLOOKUP($A516,'[3]allergenen 6nr'!$A$1:$O$1310,10,FALSE)</f>
        <v>-</v>
      </c>
      <c r="BL516" s="201" t="str">
        <f>VLOOKUP($A516,'[3]allergenen 6nr'!$A$1:$O$1310,11,FALSE)</f>
        <v>-</v>
      </c>
      <c r="BM516" s="201" t="str">
        <f>VLOOKUP($A516,'[3]allergenen 6nr'!$A$1:$O$1310,12,FALSE)</f>
        <v>-</v>
      </c>
      <c r="BN516" s="201" t="str">
        <f>VLOOKUP($A516,'[3]allergenen 6nr'!$A$1:$O$1310,13,FALSE)</f>
        <v>X</v>
      </c>
      <c r="BO516" s="201" t="str">
        <f>VLOOKUP($A516,'[3]allergenen 6nr'!$A$1:$O$1310,14,FALSE)</f>
        <v>-</v>
      </c>
      <c r="BP516" s="202" t="str">
        <f>VLOOKUP($A516,'[3]allergenen 6nr'!$A$1:$O$1310,15,FALSE)</f>
        <v>-</v>
      </c>
    </row>
    <row r="517" spans="1:68" x14ac:dyDescent="0.2">
      <c r="A517" s="126">
        <v>65125000</v>
      </c>
      <c r="B517" s="53" t="str">
        <f>VLOOKUP($A517,[1]maaltijden!$A$1:$IV$65536,4,FALSE)</f>
        <v>DMB ERWTEN 1,8KG</v>
      </c>
      <c r="C517" s="46" t="str">
        <f>VLOOKUP($A517,[1]maaltijden!$A$1:$IV$65536,7,FALSE)</f>
        <v>C2325-1C</v>
      </c>
      <c r="D517" s="22" t="str">
        <f>VLOOKUP($A517,[1]maaltijden!$A$1:$IV$65536,10,FALSE)</f>
        <v>NVT</v>
      </c>
      <c r="E517" s="22" t="str">
        <f>VLOOKUP($A517,[1]maaltijden!$A$1:$IV$65536,13,FALSE)</f>
        <v>BULK HO</v>
      </c>
      <c r="F517" s="20">
        <f t="shared" ref="F517:F571" si="8">IF($D517="Bedrukte folie 470x300",1,0)</f>
        <v>0</v>
      </c>
      <c r="G517" s="20" t="str">
        <f>VLOOKUP($A517,[1]maaltijden!$A$1:$IV$65536,27,FALSE)</f>
        <v>-</v>
      </c>
      <c r="H517" s="22">
        <f>VLOOKUP($A517,[1]maaltijden!$A$1:$IV$65536,21,FALSE)</f>
        <v>5</v>
      </c>
      <c r="I517" s="22">
        <f>VLOOKUP($A517,[1]maaltijden!$A$1:$IV$65536,21,FALSE)</f>
        <v>5</v>
      </c>
      <c r="J517" s="22">
        <f>VLOOKUP($A517,[1]maaltijden!$A$1:$IV$65536,18,FALSE)</f>
        <v>3</v>
      </c>
      <c r="K517" s="22">
        <f>VLOOKUP($A517,[1]maaltijden!$A$1:$IV$65536,17,FALSE)</f>
        <v>1</v>
      </c>
      <c r="L517" s="22">
        <f>VLOOKUP($A517,[1]maaltijden!$A$1:$IV$65536,20,FALSE)</f>
        <v>725</v>
      </c>
      <c r="M517" s="22">
        <f>VLOOKUP($A517,[1]maaltijden!$A$1:$IV$65536,22,FALSE)</f>
        <v>725</v>
      </c>
      <c r="N517" s="135"/>
      <c r="O517" s="50">
        <v>0</v>
      </c>
      <c r="P517" s="19">
        <v>0</v>
      </c>
      <c r="Q517" s="20">
        <v>1</v>
      </c>
      <c r="R517" s="21">
        <v>0</v>
      </c>
      <c r="S517" s="19">
        <v>0</v>
      </c>
      <c r="T517" s="20">
        <v>1</v>
      </c>
      <c r="U517" s="19">
        <v>1</v>
      </c>
      <c r="V517" s="20">
        <v>1</v>
      </c>
      <c r="W517" s="20">
        <v>1</v>
      </c>
      <c r="X517" s="20">
        <v>1</v>
      </c>
      <c r="Y517" s="20">
        <v>1</v>
      </c>
      <c r="Z517" s="20">
        <v>0</v>
      </c>
      <c r="AA517" s="20">
        <v>0</v>
      </c>
      <c r="AB517" s="49">
        <v>0</v>
      </c>
      <c r="AC517" s="49">
        <v>0</v>
      </c>
      <c r="AD517" s="49">
        <v>0</v>
      </c>
      <c r="AE517" s="49">
        <v>0</v>
      </c>
      <c r="AF517" s="49">
        <v>0</v>
      </c>
      <c r="AG517" s="185">
        <v>0</v>
      </c>
      <c r="AH517" s="186"/>
      <c r="AI517" s="186"/>
      <c r="AJ517" s="186"/>
      <c r="AK517" s="186"/>
      <c r="AL517" s="187"/>
      <c r="AM517" s="19">
        <v>0</v>
      </c>
      <c r="AN517" s="20">
        <f>IFERROR(INDEX([2]lijnopstellingsfiche!$AP$1:$AP$65536,MATCH(A517,[2]lijnopstellingsfiche!$AQ$1:$AQ$65536,0)),"")</f>
        <v>4</v>
      </c>
      <c r="AO517" s="20">
        <v>0</v>
      </c>
      <c r="AP517" s="20">
        <v>0</v>
      </c>
      <c r="AQ517" s="20">
        <v>0</v>
      </c>
      <c r="AR517" s="20">
        <v>0</v>
      </c>
      <c r="AS517" s="20">
        <v>0</v>
      </c>
      <c r="AT517" s="20">
        <v>0</v>
      </c>
      <c r="AU517" s="20">
        <v>0</v>
      </c>
      <c r="AV517" s="23">
        <v>0</v>
      </c>
      <c r="AW517" s="108">
        <v>0</v>
      </c>
      <c r="AX517" s="108">
        <v>0</v>
      </c>
      <c r="AY517" s="108">
        <v>0</v>
      </c>
      <c r="AZ517" s="108">
        <v>0</v>
      </c>
      <c r="BA517" s="114">
        <v>1</v>
      </c>
      <c r="BB517" s="20">
        <v>0</v>
      </c>
      <c r="BC517" s="113">
        <v>0</v>
      </c>
      <c r="BD517" s="200" t="str">
        <f>VLOOKUP($A517,'[3]allergenen 6nr'!$A$1:$O$1310,3,FALSE)</f>
        <v>-</v>
      </c>
      <c r="BE517" s="201" t="str">
        <f>VLOOKUP($A517,'[3]allergenen 6nr'!$A$1:$O$1310,4,FALSE)</f>
        <v>-</v>
      </c>
      <c r="BF517" s="201" t="str">
        <f>VLOOKUP($A517,'[3]allergenen 6nr'!$A$1:$O$1310,5,FALSE)</f>
        <v>-</v>
      </c>
      <c r="BG517" s="201" t="str">
        <f>VLOOKUP($A517,'[3]allergenen 6nr'!$A$1:$O$1310,6,FALSE)</f>
        <v>-</v>
      </c>
      <c r="BH517" s="201" t="str">
        <f>VLOOKUP($A517,'[3]allergenen 6nr'!$A$1:$O$1310,7,FALSE)</f>
        <v>-</v>
      </c>
      <c r="BI517" s="201" t="str">
        <f>VLOOKUP($A517,'[3]allergenen 6nr'!$A$1:$O$1310,8,FALSE)</f>
        <v>-</v>
      </c>
      <c r="BJ517" s="201" t="str">
        <f>VLOOKUP($A517,'[3]allergenen 6nr'!$A$1:$O$1310,9,FALSE)</f>
        <v>-</v>
      </c>
      <c r="BK517" s="201" t="str">
        <f>VLOOKUP($A517,'[3]allergenen 6nr'!$A$1:$O$1310,10,FALSE)</f>
        <v>-</v>
      </c>
      <c r="BL517" s="201" t="str">
        <f>VLOOKUP($A517,'[3]allergenen 6nr'!$A$1:$O$1310,11,FALSE)</f>
        <v>-</v>
      </c>
      <c r="BM517" s="201" t="str">
        <f>VLOOKUP($A517,'[3]allergenen 6nr'!$A$1:$O$1310,12,FALSE)</f>
        <v>-</v>
      </c>
      <c r="BN517" s="201" t="str">
        <f>VLOOKUP($A517,'[3]allergenen 6nr'!$A$1:$O$1310,13,FALSE)</f>
        <v>-</v>
      </c>
      <c r="BO517" s="201" t="str">
        <f>VLOOKUP($A517,'[3]allergenen 6nr'!$A$1:$O$1310,14,FALSE)</f>
        <v>-</v>
      </c>
      <c r="BP517" s="202" t="str">
        <f>VLOOKUP($A517,'[3]allergenen 6nr'!$A$1:$O$1310,15,FALSE)</f>
        <v>-</v>
      </c>
    </row>
    <row r="518" spans="1:68" x14ac:dyDescent="0.2">
      <c r="A518" s="126">
        <v>65125200</v>
      </c>
      <c r="B518" s="53" t="str">
        <f>VLOOKUP($A518,[1]maaltijden!$A$1:$IV$65536,4,FALSE)</f>
        <v>DMB WORTELSCHIJFJES 1,8KG</v>
      </c>
      <c r="C518" s="46" t="str">
        <f>VLOOKUP($A518,[1]maaltijden!$A$1:$IV$65536,7,FALSE)</f>
        <v>C2325-1C</v>
      </c>
      <c r="D518" s="22" t="str">
        <f>VLOOKUP($A518,[1]maaltijden!$A$1:$IV$65536,10,FALSE)</f>
        <v>NVT</v>
      </c>
      <c r="E518" s="22" t="str">
        <f>VLOOKUP($A518,[1]maaltijden!$A$1:$IV$65536,13,FALSE)</f>
        <v>BULK HO</v>
      </c>
      <c r="F518" s="20">
        <f t="shared" si="8"/>
        <v>0</v>
      </c>
      <c r="G518" s="20" t="str">
        <f>VLOOKUP($A518,[1]maaltijden!$A$1:$IV$65536,27,FALSE)</f>
        <v>-</v>
      </c>
      <c r="H518" s="22">
        <f>VLOOKUP($A518,[1]maaltijden!$A$1:$IV$65536,21,FALSE)</f>
        <v>5</v>
      </c>
      <c r="I518" s="22">
        <f>VLOOKUP($A518,[1]maaltijden!$A$1:$IV$65536,21,FALSE)</f>
        <v>5</v>
      </c>
      <c r="J518" s="22">
        <f>VLOOKUP($A518,[1]maaltijden!$A$1:$IV$65536,18,FALSE)</f>
        <v>3</v>
      </c>
      <c r="K518" s="22">
        <f>VLOOKUP($A518,[1]maaltijden!$A$1:$IV$65536,17,FALSE)</f>
        <v>1</v>
      </c>
      <c r="L518" s="22">
        <f>VLOOKUP($A518,[1]maaltijden!$A$1:$IV$65536,20,FALSE)</f>
        <v>725</v>
      </c>
      <c r="M518" s="22">
        <f>VLOOKUP($A518,[1]maaltijden!$A$1:$IV$65536,22,FALSE)</f>
        <v>725</v>
      </c>
      <c r="N518" s="135"/>
      <c r="O518" s="50">
        <v>0</v>
      </c>
      <c r="P518" s="19">
        <v>0</v>
      </c>
      <c r="Q518" s="20">
        <v>1</v>
      </c>
      <c r="R518" s="21">
        <v>0</v>
      </c>
      <c r="S518" s="19">
        <v>0</v>
      </c>
      <c r="T518" s="20">
        <v>1</v>
      </c>
      <c r="U518" s="19">
        <v>1</v>
      </c>
      <c r="V518" s="20">
        <v>1</v>
      </c>
      <c r="W518" s="20">
        <v>1</v>
      </c>
      <c r="X518" s="20">
        <v>1</v>
      </c>
      <c r="Y518" s="20">
        <v>1</v>
      </c>
      <c r="Z518" s="20">
        <v>0</v>
      </c>
      <c r="AA518" s="20">
        <v>0</v>
      </c>
      <c r="AB518" s="49">
        <v>0</v>
      </c>
      <c r="AC518" s="49">
        <v>0</v>
      </c>
      <c r="AD518" s="49">
        <v>0</v>
      </c>
      <c r="AE518" s="49">
        <v>0</v>
      </c>
      <c r="AF518" s="49">
        <v>0</v>
      </c>
      <c r="AG518" s="185">
        <v>0</v>
      </c>
      <c r="AH518" s="186"/>
      <c r="AI518" s="186"/>
      <c r="AJ518" s="186"/>
      <c r="AK518" s="186"/>
      <c r="AL518" s="187"/>
      <c r="AM518" s="19">
        <v>0</v>
      </c>
      <c r="AN518" s="20">
        <f>IFERROR(INDEX([2]lijnopstellingsfiche!$AP$1:$AP$65536,MATCH(A518,[2]lijnopstellingsfiche!$AQ$1:$AQ$65536,0)),"")</f>
        <v>4</v>
      </c>
      <c r="AO518" s="20">
        <v>0</v>
      </c>
      <c r="AP518" s="20">
        <v>0</v>
      </c>
      <c r="AQ518" s="20">
        <v>0</v>
      </c>
      <c r="AR518" s="20">
        <v>0</v>
      </c>
      <c r="AS518" s="20">
        <v>0</v>
      </c>
      <c r="AT518" s="20">
        <v>0</v>
      </c>
      <c r="AU518" s="20">
        <v>0</v>
      </c>
      <c r="AV518" s="23">
        <v>0</v>
      </c>
      <c r="AW518" s="108">
        <v>0</v>
      </c>
      <c r="AX518" s="108">
        <v>0</v>
      </c>
      <c r="AY518" s="108">
        <v>0</v>
      </c>
      <c r="AZ518" s="108">
        <v>0</v>
      </c>
      <c r="BA518" s="114">
        <v>1</v>
      </c>
      <c r="BB518" s="20">
        <v>0</v>
      </c>
      <c r="BC518" s="113">
        <v>0</v>
      </c>
      <c r="BD518" s="200" t="str">
        <f>VLOOKUP($A518,'[3]allergenen 6nr'!$A$1:$O$1310,3,FALSE)</f>
        <v>-</v>
      </c>
      <c r="BE518" s="201" t="str">
        <f>VLOOKUP($A518,'[3]allergenen 6nr'!$A$1:$O$1310,4,FALSE)</f>
        <v>-</v>
      </c>
      <c r="BF518" s="201" t="str">
        <f>VLOOKUP($A518,'[3]allergenen 6nr'!$A$1:$O$1310,5,FALSE)</f>
        <v>-</v>
      </c>
      <c r="BG518" s="201" t="str">
        <f>VLOOKUP($A518,'[3]allergenen 6nr'!$A$1:$O$1310,6,FALSE)</f>
        <v>-</v>
      </c>
      <c r="BH518" s="201" t="str">
        <f>VLOOKUP($A518,'[3]allergenen 6nr'!$A$1:$O$1310,7,FALSE)</f>
        <v>-</v>
      </c>
      <c r="BI518" s="201" t="str">
        <f>VLOOKUP($A518,'[3]allergenen 6nr'!$A$1:$O$1310,8,FALSE)</f>
        <v>-</v>
      </c>
      <c r="BJ518" s="201" t="str">
        <f>VLOOKUP($A518,'[3]allergenen 6nr'!$A$1:$O$1310,9,FALSE)</f>
        <v>-</v>
      </c>
      <c r="BK518" s="201" t="str">
        <f>VLOOKUP($A518,'[3]allergenen 6nr'!$A$1:$O$1310,10,FALSE)</f>
        <v>-</v>
      </c>
      <c r="BL518" s="201" t="str">
        <f>VLOOKUP($A518,'[3]allergenen 6nr'!$A$1:$O$1310,11,FALSE)</f>
        <v>-</v>
      </c>
      <c r="BM518" s="201" t="str">
        <f>VLOOKUP($A518,'[3]allergenen 6nr'!$A$1:$O$1310,12,FALSE)</f>
        <v>-</v>
      </c>
      <c r="BN518" s="201" t="str">
        <f>VLOOKUP($A518,'[3]allergenen 6nr'!$A$1:$O$1310,13,FALSE)</f>
        <v>-</v>
      </c>
      <c r="BO518" s="201" t="str">
        <f>VLOOKUP($A518,'[3]allergenen 6nr'!$A$1:$O$1310,14,FALSE)</f>
        <v>-</v>
      </c>
      <c r="BP518" s="202" t="str">
        <f>VLOOKUP($A518,'[3]allergenen 6nr'!$A$1:$O$1310,15,FALSE)</f>
        <v>-</v>
      </c>
    </row>
    <row r="519" spans="1:68" x14ac:dyDescent="0.2">
      <c r="A519" s="126">
        <v>65125400</v>
      </c>
      <c r="B519" s="53" t="str">
        <f>VLOOKUP($A519,[1]maaltijden!$A$1:$IV$65536,4,FALSE)</f>
        <v>DMB FIJNE GROENE BOONTJES 1,6KG</v>
      </c>
      <c r="C519" s="46" t="str">
        <f>VLOOKUP($A519,[1]maaltijden!$A$1:$IV$65536,7,FALSE)</f>
        <v>C2325-1C</v>
      </c>
      <c r="D519" s="22" t="str">
        <f>VLOOKUP($A519,[1]maaltijden!$A$1:$IV$65536,10,FALSE)</f>
        <v>NVT</v>
      </c>
      <c r="E519" s="22" t="str">
        <f>VLOOKUP($A519,[1]maaltijden!$A$1:$IV$65536,13,FALSE)</f>
        <v>BULK HO</v>
      </c>
      <c r="F519" s="20">
        <f t="shared" si="8"/>
        <v>0</v>
      </c>
      <c r="G519" s="20" t="str">
        <f>VLOOKUP($A519,[1]maaltijden!$A$1:$IV$65536,27,FALSE)</f>
        <v>-</v>
      </c>
      <c r="H519" s="22">
        <f>VLOOKUP($A519,[1]maaltijden!$A$1:$IV$65536,21,FALSE)</f>
        <v>6</v>
      </c>
      <c r="I519" s="22">
        <f>VLOOKUP($A519,[1]maaltijden!$A$1:$IV$65536,21,FALSE)</f>
        <v>6</v>
      </c>
      <c r="J519" s="22">
        <f>VLOOKUP($A519,[1]maaltijden!$A$1:$IV$65536,18,FALSE)</f>
        <v>3</v>
      </c>
      <c r="K519" s="22">
        <f>VLOOKUP($A519,[1]maaltijden!$A$1:$IV$65536,17,FALSE)</f>
        <v>1</v>
      </c>
      <c r="L519" s="22">
        <f>VLOOKUP($A519,[1]maaltijden!$A$1:$IV$65536,20,FALSE)</f>
        <v>800</v>
      </c>
      <c r="M519" s="22">
        <f>VLOOKUP($A519,[1]maaltijden!$A$1:$IV$65536,22,FALSE)</f>
        <v>800</v>
      </c>
      <c r="N519" s="135"/>
      <c r="O519" s="50">
        <v>0</v>
      </c>
      <c r="P519" s="19">
        <v>0</v>
      </c>
      <c r="Q519" s="20">
        <v>1</v>
      </c>
      <c r="R519" s="21">
        <v>0</v>
      </c>
      <c r="S519" s="19">
        <v>0</v>
      </c>
      <c r="T519" s="20">
        <v>1</v>
      </c>
      <c r="U519" s="19">
        <v>1</v>
      </c>
      <c r="V519" s="20">
        <v>1</v>
      </c>
      <c r="W519" s="20">
        <v>1</v>
      </c>
      <c r="X519" s="20">
        <v>1</v>
      </c>
      <c r="Y519" s="20">
        <v>1</v>
      </c>
      <c r="Z519" s="20">
        <v>0</v>
      </c>
      <c r="AA519" s="20">
        <v>0</v>
      </c>
      <c r="AB519" s="49">
        <v>0</v>
      </c>
      <c r="AC519" s="49">
        <v>0</v>
      </c>
      <c r="AD519" s="49">
        <v>0</v>
      </c>
      <c r="AE519" s="49">
        <v>0</v>
      </c>
      <c r="AF519" s="49">
        <v>0</v>
      </c>
      <c r="AG519" s="185">
        <v>0</v>
      </c>
      <c r="AH519" s="186"/>
      <c r="AI519" s="186"/>
      <c r="AJ519" s="186"/>
      <c r="AK519" s="186"/>
      <c r="AL519" s="187"/>
      <c r="AM519" s="19">
        <v>0</v>
      </c>
      <c r="AN519" s="20">
        <f>IFERROR(INDEX([2]lijnopstellingsfiche!$AP$1:$AP$65536,MATCH(A519,[2]lijnopstellingsfiche!$AQ$1:$AQ$65536,0)),"")</f>
        <v>3</v>
      </c>
      <c r="AO519" s="20">
        <v>0</v>
      </c>
      <c r="AP519" s="20">
        <v>0</v>
      </c>
      <c r="AQ519" s="20">
        <v>0</v>
      </c>
      <c r="AR519" s="20">
        <v>0</v>
      </c>
      <c r="AS519" s="20">
        <v>0</v>
      </c>
      <c r="AT519" s="20">
        <v>0</v>
      </c>
      <c r="AU519" s="20">
        <v>0</v>
      </c>
      <c r="AV519" s="23">
        <v>0</v>
      </c>
      <c r="AW519" s="108">
        <v>0</v>
      </c>
      <c r="AX519" s="108">
        <v>0</v>
      </c>
      <c r="AY519" s="108">
        <v>0</v>
      </c>
      <c r="AZ519" s="108">
        <v>0</v>
      </c>
      <c r="BA519" s="114">
        <v>1</v>
      </c>
      <c r="BB519" s="20">
        <v>0</v>
      </c>
      <c r="BC519" s="113">
        <v>0</v>
      </c>
      <c r="BD519" s="200" t="str">
        <f>VLOOKUP($A519,'[3]allergenen 6nr'!$A$1:$O$1310,3,FALSE)</f>
        <v>-</v>
      </c>
      <c r="BE519" s="201" t="str">
        <f>VLOOKUP($A519,'[3]allergenen 6nr'!$A$1:$O$1310,4,FALSE)</f>
        <v>-</v>
      </c>
      <c r="BF519" s="201" t="str">
        <f>VLOOKUP($A519,'[3]allergenen 6nr'!$A$1:$O$1310,5,FALSE)</f>
        <v>-</v>
      </c>
      <c r="BG519" s="201" t="str">
        <f>VLOOKUP($A519,'[3]allergenen 6nr'!$A$1:$O$1310,6,FALSE)</f>
        <v>-</v>
      </c>
      <c r="BH519" s="201" t="str">
        <f>VLOOKUP($A519,'[3]allergenen 6nr'!$A$1:$O$1310,7,FALSE)</f>
        <v>-</v>
      </c>
      <c r="BI519" s="201" t="str">
        <f>VLOOKUP($A519,'[3]allergenen 6nr'!$A$1:$O$1310,8,FALSE)</f>
        <v>-</v>
      </c>
      <c r="BJ519" s="201" t="str">
        <f>VLOOKUP($A519,'[3]allergenen 6nr'!$A$1:$O$1310,9,FALSE)</f>
        <v>-</v>
      </c>
      <c r="BK519" s="201" t="str">
        <f>VLOOKUP($A519,'[3]allergenen 6nr'!$A$1:$O$1310,10,FALSE)</f>
        <v>-</v>
      </c>
      <c r="BL519" s="201" t="str">
        <f>VLOOKUP($A519,'[3]allergenen 6nr'!$A$1:$O$1310,11,FALSE)</f>
        <v>-</v>
      </c>
      <c r="BM519" s="201" t="str">
        <f>VLOOKUP($A519,'[3]allergenen 6nr'!$A$1:$O$1310,12,FALSE)</f>
        <v>-</v>
      </c>
      <c r="BN519" s="201" t="str">
        <f>VLOOKUP($A519,'[3]allergenen 6nr'!$A$1:$O$1310,13,FALSE)</f>
        <v>-</v>
      </c>
      <c r="BO519" s="201" t="str">
        <f>VLOOKUP($A519,'[3]allergenen 6nr'!$A$1:$O$1310,14,FALSE)</f>
        <v>-</v>
      </c>
      <c r="BP519" s="202" t="str">
        <f>VLOOKUP($A519,'[3]allergenen 6nr'!$A$1:$O$1310,15,FALSE)</f>
        <v>-</v>
      </c>
    </row>
    <row r="520" spans="1:68" x14ac:dyDescent="0.2">
      <c r="A520" s="89">
        <v>65125700</v>
      </c>
      <c r="B520" s="53" t="str">
        <f>VLOOKUP($A520,[1]maaltijden!$A$1:$IV$65536,4,FALSE)</f>
        <v>DMB RODE KOOL APPELTJES 1,8KG</v>
      </c>
      <c r="C520" s="46" t="str">
        <f>VLOOKUP($A520,[1]maaltijden!$A$1:$IV$65536,7,FALSE)</f>
        <v>C2325-1C</v>
      </c>
      <c r="D520" s="22" t="str">
        <f>VLOOKUP($A520,[1]maaltijden!$A$1:$IV$65536,10,FALSE)</f>
        <v>NVT</v>
      </c>
      <c r="E520" s="22" t="str">
        <f>VLOOKUP($A520,[1]maaltijden!$A$1:$IV$65536,13,FALSE)</f>
        <v>BULK HO</v>
      </c>
      <c r="F520" s="20">
        <f t="shared" si="8"/>
        <v>0</v>
      </c>
      <c r="G520" s="20" t="str">
        <f>VLOOKUP($A520,[1]maaltijden!$A$1:$IV$65536,27,FALSE)</f>
        <v>-</v>
      </c>
      <c r="H520" s="22">
        <f>VLOOKUP($A520,[1]maaltijden!$A$1:$IV$65536,21,FALSE)</f>
        <v>2</v>
      </c>
      <c r="I520" s="22">
        <f>VLOOKUP($A520,[1]maaltijden!$A$1:$IV$65536,21,FALSE)</f>
        <v>2</v>
      </c>
      <c r="J520" s="22">
        <f>VLOOKUP($A520,[1]maaltijden!$A$1:$IV$65536,18,FALSE)</f>
        <v>3</v>
      </c>
      <c r="K520" s="22">
        <f>VLOOKUP($A520,[1]maaltijden!$A$1:$IV$65536,17,FALSE)</f>
        <v>1</v>
      </c>
      <c r="L520" s="22">
        <f>VLOOKUP($A520,[1]maaltijden!$A$1:$IV$65536,20,FALSE)</f>
        <v>700</v>
      </c>
      <c r="M520" s="22">
        <f>VLOOKUP($A520,[1]maaltijden!$A$1:$IV$65536,22,FALSE)</f>
        <v>700</v>
      </c>
      <c r="N520" s="135"/>
      <c r="O520" s="50">
        <v>0</v>
      </c>
      <c r="P520" s="19">
        <v>0</v>
      </c>
      <c r="Q520" s="20">
        <v>1</v>
      </c>
      <c r="R520" s="21">
        <v>0</v>
      </c>
      <c r="S520" s="19">
        <v>0</v>
      </c>
      <c r="T520" s="20">
        <v>1</v>
      </c>
      <c r="U520" s="19">
        <v>1</v>
      </c>
      <c r="V520" s="20">
        <v>1</v>
      </c>
      <c r="W520" s="20">
        <v>1</v>
      </c>
      <c r="X520" s="20">
        <v>1</v>
      </c>
      <c r="Y520" s="20">
        <v>1</v>
      </c>
      <c r="Z520" s="20">
        <v>0</v>
      </c>
      <c r="AA520" s="20">
        <v>0</v>
      </c>
      <c r="AB520" s="49">
        <v>1</v>
      </c>
      <c r="AC520" s="49">
        <v>0</v>
      </c>
      <c r="AD520" s="49">
        <v>0</v>
      </c>
      <c r="AE520" s="49">
        <v>0</v>
      </c>
      <c r="AF520" s="49">
        <v>0</v>
      </c>
      <c r="AG520" s="173">
        <v>0</v>
      </c>
      <c r="AH520" s="174">
        <v>0</v>
      </c>
      <c r="AI520" s="182">
        <v>1</v>
      </c>
      <c r="AJ520" s="174">
        <v>0</v>
      </c>
      <c r="AK520" s="174">
        <v>0</v>
      </c>
      <c r="AL520" s="175">
        <v>0</v>
      </c>
      <c r="AM520" s="19">
        <v>0</v>
      </c>
      <c r="AN520" s="20" t="str">
        <f>IFERROR(INDEX([2]lijnopstellingsfiche!$AP$1:$AP$65536,MATCH(A520,[2]lijnopstellingsfiche!$AQ$1:$AQ$65536,0)),"")</f>
        <v>-</v>
      </c>
      <c r="AO520" s="20">
        <v>0</v>
      </c>
      <c r="AP520" s="20">
        <v>0</v>
      </c>
      <c r="AQ520" s="20">
        <v>2</v>
      </c>
      <c r="AR520" s="20">
        <v>0</v>
      </c>
      <c r="AS520" s="20">
        <v>0</v>
      </c>
      <c r="AT520" s="20">
        <v>0</v>
      </c>
      <c r="AU520" s="20">
        <v>0</v>
      </c>
      <c r="AV520" s="23">
        <v>0</v>
      </c>
      <c r="AW520" s="108">
        <v>0</v>
      </c>
      <c r="AX520" s="108">
        <v>0</v>
      </c>
      <c r="AY520" s="108">
        <v>0</v>
      </c>
      <c r="AZ520" s="108">
        <v>0</v>
      </c>
      <c r="BA520" s="114">
        <v>1</v>
      </c>
      <c r="BB520" s="20">
        <v>0</v>
      </c>
      <c r="BC520" s="113">
        <v>0</v>
      </c>
      <c r="BD520" s="200" t="str">
        <f>VLOOKUP($A520,'[3]allergenen 6nr'!$A$1:$O$1310,3,FALSE)</f>
        <v>-</v>
      </c>
      <c r="BE520" s="201" t="str">
        <f>VLOOKUP($A520,'[3]allergenen 6nr'!$A$1:$O$1310,4,FALSE)</f>
        <v>-</v>
      </c>
      <c r="BF520" s="201" t="str">
        <f>VLOOKUP($A520,'[3]allergenen 6nr'!$A$1:$O$1310,5,FALSE)</f>
        <v>-</v>
      </c>
      <c r="BG520" s="201" t="str">
        <f>VLOOKUP($A520,'[3]allergenen 6nr'!$A$1:$O$1310,6,FALSE)</f>
        <v>-</v>
      </c>
      <c r="BH520" s="201" t="str">
        <f>VLOOKUP($A520,'[3]allergenen 6nr'!$A$1:$O$1310,7,FALSE)</f>
        <v>-</v>
      </c>
      <c r="BI520" s="201" t="str">
        <f>VLOOKUP($A520,'[3]allergenen 6nr'!$A$1:$O$1310,8,FALSE)</f>
        <v>-</v>
      </c>
      <c r="BJ520" s="201" t="str">
        <f>VLOOKUP($A520,'[3]allergenen 6nr'!$A$1:$O$1310,9,FALSE)</f>
        <v>-</v>
      </c>
      <c r="BK520" s="201" t="str">
        <f>VLOOKUP($A520,'[3]allergenen 6nr'!$A$1:$O$1310,10,FALSE)</f>
        <v>-</v>
      </c>
      <c r="BL520" s="201" t="str">
        <f>VLOOKUP($A520,'[3]allergenen 6nr'!$A$1:$O$1310,11,FALSE)</f>
        <v>-</v>
      </c>
      <c r="BM520" s="201" t="str">
        <f>VLOOKUP($A520,'[3]allergenen 6nr'!$A$1:$O$1310,12,FALSE)</f>
        <v>-</v>
      </c>
      <c r="BN520" s="201" t="str">
        <f>VLOOKUP($A520,'[3]allergenen 6nr'!$A$1:$O$1310,13,FALSE)</f>
        <v>-</v>
      </c>
      <c r="BO520" s="201" t="str">
        <f>VLOOKUP($A520,'[3]allergenen 6nr'!$A$1:$O$1310,14,FALSE)</f>
        <v>-</v>
      </c>
      <c r="BP520" s="202" t="str">
        <f>VLOOKUP($A520,'[3]allergenen 6nr'!$A$1:$O$1310,15,FALSE)</f>
        <v>-</v>
      </c>
    </row>
    <row r="521" spans="1:68" x14ac:dyDescent="0.2">
      <c r="A521" s="126">
        <v>65125900</v>
      </c>
      <c r="B521" s="53" t="str">
        <f>VLOOKUP($A521,[1]maaltijden!$A$1:$IV$65536,4,FALSE)</f>
        <v>DMB GROENTENKRANS WORTELEN ERWTEN SPERZIEBONEN 1,8KG</v>
      </c>
      <c r="C521" s="46" t="str">
        <f>VLOOKUP($A521,[1]maaltijden!$A$1:$IV$65536,7,FALSE)</f>
        <v>C2325-1C</v>
      </c>
      <c r="D521" s="22" t="str">
        <f>VLOOKUP($A521,[1]maaltijden!$A$1:$IV$65536,10,FALSE)</f>
        <v>NVT</v>
      </c>
      <c r="E521" s="22" t="str">
        <f>VLOOKUP($A521,[1]maaltijden!$A$1:$IV$65536,13,FALSE)</f>
        <v>BULK HO</v>
      </c>
      <c r="F521" s="20">
        <f t="shared" si="8"/>
        <v>0</v>
      </c>
      <c r="G521" s="20" t="str">
        <f>VLOOKUP($A521,[1]maaltijden!$A$1:$IV$65536,27,FALSE)</f>
        <v>-</v>
      </c>
      <c r="H521" s="22">
        <f>VLOOKUP($A521,[1]maaltijden!$A$1:$IV$65536,21,FALSE)</f>
        <v>5</v>
      </c>
      <c r="I521" s="22">
        <f>VLOOKUP($A521,[1]maaltijden!$A$1:$IV$65536,21,FALSE)</f>
        <v>5</v>
      </c>
      <c r="J521" s="22">
        <f>VLOOKUP($A521,[1]maaltijden!$A$1:$IV$65536,18,FALSE)</f>
        <v>3</v>
      </c>
      <c r="K521" s="22">
        <f>VLOOKUP($A521,[1]maaltijden!$A$1:$IV$65536,17,FALSE)</f>
        <v>1</v>
      </c>
      <c r="L521" s="22">
        <f>VLOOKUP($A521,[1]maaltijden!$A$1:$IV$65536,20,FALSE)</f>
        <v>725</v>
      </c>
      <c r="M521" s="22">
        <f>VLOOKUP($A521,[1]maaltijden!$A$1:$IV$65536,22,FALSE)</f>
        <v>725</v>
      </c>
      <c r="N521" s="135"/>
      <c r="O521" s="50">
        <v>0</v>
      </c>
      <c r="P521" s="19">
        <v>0</v>
      </c>
      <c r="Q521" s="20">
        <v>1</v>
      </c>
      <c r="R521" s="21">
        <v>0</v>
      </c>
      <c r="S521" s="19">
        <v>0</v>
      </c>
      <c r="T521" s="20">
        <v>1</v>
      </c>
      <c r="U521" s="19">
        <v>1</v>
      </c>
      <c r="V521" s="20">
        <v>1</v>
      </c>
      <c r="W521" s="20">
        <v>1</v>
      </c>
      <c r="X521" s="20">
        <v>1</v>
      </c>
      <c r="Y521" s="20">
        <v>1</v>
      </c>
      <c r="Z521" s="20">
        <v>0</v>
      </c>
      <c r="AA521" s="20">
        <v>0</v>
      </c>
      <c r="AB521" s="49">
        <v>0</v>
      </c>
      <c r="AC521" s="49">
        <v>0</v>
      </c>
      <c r="AD521" s="49">
        <v>0</v>
      </c>
      <c r="AE521" s="49">
        <v>0</v>
      </c>
      <c r="AF521" s="49">
        <v>0</v>
      </c>
      <c r="AG521" s="185">
        <v>0</v>
      </c>
      <c r="AH521" s="186"/>
      <c r="AI521" s="186"/>
      <c r="AJ521" s="186"/>
      <c r="AK521" s="186"/>
      <c r="AL521" s="187"/>
      <c r="AM521" s="19">
        <v>0</v>
      </c>
      <c r="AN521" s="20">
        <f>IFERROR(INDEX([2]lijnopstellingsfiche!$AP$1:$AP$65536,MATCH(A521,[2]lijnopstellingsfiche!$AQ$1:$AQ$65536,0)),"")</f>
        <v>4</v>
      </c>
      <c r="AO521" s="20">
        <v>0</v>
      </c>
      <c r="AP521" s="20">
        <v>0</v>
      </c>
      <c r="AQ521" s="20">
        <v>0</v>
      </c>
      <c r="AR521" s="20">
        <v>0</v>
      </c>
      <c r="AS521" s="20">
        <v>0</v>
      </c>
      <c r="AT521" s="20">
        <v>0</v>
      </c>
      <c r="AU521" s="20">
        <v>0</v>
      </c>
      <c r="AV521" s="23">
        <v>0</v>
      </c>
      <c r="AW521" s="108">
        <v>0</v>
      </c>
      <c r="AX521" s="108">
        <v>0</v>
      </c>
      <c r="AY521" s="108">
        <v>0</v>
      </c>
      <c r="AZ521" s="108">
        <v>0</v>
      </c>
      <c r="BA521" s="114">
        <v>1</v>
      </c>
      <c r="BB521" s="20">
        <v>0</v>
      </c>
      <c r="BC521" s="113">
        <v>0</v>
      </c>
      <c r="BD521" s="200" t="str">
        <f>VLOOKUP($A521,'[3]allergenen 6nr'!$A$1:$O$1310,3,FALSE)</f>
        <v>-</v>
      </c>
      <c r="BE521" s="201" t="str">
        <f>VLOOKUP($A521,'[3]allergenen 6nr'!$A$1:$O$1310,4,FALSE)</f>
        <v>-</v>
      </c>
      <c r="BF521" s="201" t="str">
        <f>VLOOKUP($A521,'[3]allergenen 6nr'!$A$1:$O$1310,5,FALSE)</f>
        <v>-</v>
      </c>
      <c r="BG521" s="201" t="str">
        <f>VLOOKUP($A521,'[3]allergenen 6nr'!$A$1:$O$1310,6,FALSE)</f>
        <v>-</v>
      </c>
      <c r="BH521" s="201" t="str">
        <f>VLOOKUP($A521,'[3]allergenen 6nr'!$A$1:$O$1310,7,FALSE)</f>
        <v>-</v>
      </c>
      <c r="BI521" s="201" t="str">
        <f>VLOOKUP($A521,'[3]allergenen 6nr'!$A$1:$O$1310,8,FALSE)</f>
        <v>-</v>
      </c>
      <c r="BJ521" s="201" t="str">
        <f>VLOOKUP($A521,'[3]allergenen 6nr'!$A$1:$O$1310,9,FALSE)</f>
        <v>-</v>
      </c>
      <c r="BK521" s="201" t="str">
        <f>VLOOKUP($A521,'[3]allergenen 6nr'!$A$1:$O$1310,10,FALSE)</f>
        <v>-</v>
      </c>
      <c r="BL521" s="201" t="str">
        <f>VLOOKUP($A521,'[3]allergenen 6nr'!$A$1:$O$1310,11,FALSE)</f>
        <v>-</v>
      </c>
      <c r="BM521" s="201" t="str">
        <f>VLOOKUP($A521,'[3]allergenen 6nr'!$A$1:$O$1310,12,FALSE)</f>
        <v>-</v>
      </c>
      <c r="BN521" s="201" t="str">
        <f>VLOOKUP($A521,'[3]allergenen 6nr'!$A$1:$O$1310,13,FALSE)</f>
        <v>-</v>
      </c>
      <c r="BO521" s="201" t="str">
        <f>VLOOKUP($A521,'[3]allergenen 6nr'!$A$1:$O$1310,14,FALSE)</f>
        <v>-</v>
      </c>
      <c r="BP521" s="202" t="str">
        <f>VLOOKUP($A521,'[3]allergenen 6nr'!$A$1:$O$1310,15,FALSE)</f>
        <v>-</v>
      </c>
    </row>
    <row r="522" spans="1:68" x14ac:dyDescent="0.2">
      <c r="A522" s="126">
        <v>65126100</v>
      </c>
      <c r="B522" s="53" t="str">
        <f>VLOOKUP($A522,[1]maaltijden!$A$1:$IV$65536,4,FALSE)</f>
        <v>DMB WORTELMIX MET COURGETTE 1,8KG</v>
      </c>
      <c r="C522" s="46" t="str">
        <f>VLOOKUP($A522,[1]maaltijden!$A$1:$IV$65536,7,FALSE)</f>
        <v>C2325-1C</v>
      </c>
      <c r="D522" s="22" t="str">
        <f>VLOOKUP($A522,[1]maaltijden!$A$1:$IV$65536,10,FALSE)</f>
        <v>NVT</v>
      </c>
      <c r="E522" s="22" t="str">
        <f>VLOOKUP($A522,[1]maaltijden!$A$1:$IV$65536,13,FALSE)</f>
        <v>BULK HO</v>
      </c>
      <c r="F522" s="20">
        <f t="shared" si="8"/>
        <v>0</v>
      </c>
      <c r="G522" s="20" t="str">
        <f>VLOOKUP($A522,[1]maaltijden!$A$1:$IV$65536,27,FALSE)</f>
        <v>-</v>
      </c>
      <c r="H522" s="22">
        <f>VLOOKUP($A522,[1]maaltijden!$A$1:$IV$65536,21,FALSE)</f>
        <v>5</v>
      </c>
      <c r="I522" s="22">
        <f>VLOOKUP($A522,[1]maaltijden!$A$1:$IV$65536,21,FALSE)</f>
        <v>5</v>
      </c>
      <c r="J522" s="22">
        <f>VLOOKUP($A522,[1]maaltijden!$A$1:$IV$65536,18,FALSE)</f>
        <v>3</v>
      </c>
      <c r="K522" s="22">
        <f>VLOOKUP($A522,[1]maaltijden!$A$1:$IV$65536,17,FALSE)</f>
        <v>1</v>
      </c>
      <c r="L522" s="22">
        <f>VLOOKUP($A522,[1]maaltijden!$A$1:$IV$65536,20,FALSE)</f>
        <v>725</v>
      </c>
      <c r="M522" s="22">
        <f>VLOOKUP($A522,[1]maaltijden!$A$1:$IV$65536,22,FALSE)</f>
        <v>725</v>
      </c>
      <c r="N522" s="135"/>
      <c r="O522" s="50" t="s">
        <v>532</v>
      </c>
      <c r="P522" s="19">
        <v>0</v>
      </c>
      <c r="Q522" s="20">
        <v>1</v>
      </c>
      <c r="R522" s="21">
        <v>0</v>
      </c>
      <c r="S522" s="19">
        <v>0</v>
      </c>
      <c r="T522" s="20">
        <v>1</v>
      </c>
      <c r="U522" s="19">
        <v>1</v>
      </c>
      <c r="V522" s="20">
        <v>1</v>
      </c>
      <c r="W522" s="20">
        <v>1</v>
      </c>
      <c r="X522" s="20">
        <v>1</v>
      </c>
      <c r="Y522" s="20">
        <v>1</v>
      </c>
      <c r="Z522" s="20">
        <v>0</v>
      </c>
      <c r="AA522" s="20">
        <v>0</v>
      </c>
      <c r="AB522" s="49">
        <v>0</v>
      </c>
      <c r="AC522" s="49">
        <v>0</v>
      </c>
      <c r="AD522" s="49">
        <v>0</v>
      </c>
      <c r="AE522" s="49">
        <v>0</v>
      </c>
      <c r="AF522" s="49">
        <v>0</v>
      </c>
      <c r="AG522" s="185">
        <v>0</v>
      </c>
      <c r="AH522" s="186"/>
      <c r="AI522" s="186"/>
      <c r="AJ522" s="186"/>
      <c r="AK522" s="186"/>
      <c r="AL522" s="187"/>
      <c r="AM522" s="19">
        <v>0</v>
      </c>
      <c r="AN522" s="20">
        <f>IFERROR(INDEX([2]lijnopstellingsfiche!$AP$1:$AP$65536,MATCH(A522,[2]lijnopstellingsfiche!$AQ$1:$AQ$65536,0)),"")</f>
        <v>3</v>
      </c>
      <c r="AO522" s="20">
        <v>0</v>
      </c>
      <c r="AP522" s="20">
        <v>0</v>
      </c>
      <c r="AQ522" s="20">
        <v>0</v>
      </c>
      <c r="AR522" s="20">
        <v>0</v>
      </c>
      <c r="AS522" s="20">
        <v>0</v>
      </c>
      <c r="AT522" s="20">
        <v>0</v>
      </c>
      <c r="AU522" s="20">
        <v>0</v>
      </c>
      <c r="AV522" s="23">
        <v>0</v>
      </c>
      <c r="AW522" s="108">
        <v>0</v>
      </c>
      <c r="AX522" s="108">
        <v>0</v>
      </c>
      <c r="AY522" s="108">
        <v>0</v>
      </c>
      <c r="AZ522" s="108">
        <v>0</v>
      </c>
      <c r="BA522" s="114">
        <v>1</v>
      </c>
      <c r="BB522" s="20">
        <v>0</v>
      </c>
      <c r="BC522" s="113">
        <v>0</v>
      </c>
      <c r="BD522" s="200" t="str">
        <f>VLOOKUP($A522,'[3]allergenen 6nr'!$A$1:$O$1310,3,FALSE)</f>
        <v>-</v>
      </c>
      <c r="BE522" s="201" t="str">
        <f>VLOOKUP($A522,'[3]allergenen 6nr'!$A$1:$O$1310,4,FALSE)</f>
        <v>-</v>
      </c>
      <c r="BF522" s="201" t="str">
        <f>VLOOKUP($A522,'[3]allergenen 6nr'!$A$1:$O$1310,5,FALSE)</f>
        <v>-</v>
      </c>
      <c r="BG522" s="201" t="str">
        <f>VLOOKUP($A522,'[3]allergenen 6nr'!$A$1:$O$1310,6,FALSE)</f>
        <v>-</v>
      </c>
      <c r="BH522" s="201" t="str">
        <f>VLOOKUP($A522,'[3]allergenen 6nr'!$A$1:$O$1310,7,FALSE)</f>
        <v>-</v>
      </c>
      <c r="BI522" s="201" t="str">
        <f>VLOOKUP($A522,'[3]allergenen 6nr'!$A$1:$O$1310,8,FALSE)</f>
        <v>-</v>
      </c>
      <c r="BJ522" s="201" t="str">
        <f>VLOOKUP($A522,'[3]allergenen 6nr'!$A$1:$O$1310,9,FALSE)</f>
        <v>-</v>
      </c>
      <c r="BK522" s="201" t="str">
        <f>VLOOKUP($A522,'[3]allergenen 6nr'!$A$1:$O$1310,10,FALSE)</f>
        <v>-</v>
      </c>
      <c r="BL522" s="201" t="str">
        <f>VLOOKUP($A522,'[3]allergenen 6nr'!$A$1:$O$1310,11,FALSE)</f>
        <v>-</v>
      </c>
      <c r="BM522" s="201" t="str">
        <f>VLOOKUP($A522,'[3]allergenen 6nr'!$A$1:$O$1310,12,FALSE)</f>
        <v>-</v>
      </c>
      <c r="BN522" s="201" t="str">
        <f>VLOOKUP($A522,'[3]allergenen 6nr'!$A$1:$O$1310,13,FALSE)</f>
        <v>-</v>
      </c>
      <c r="BO522" s="201" t="str">
        <f>VLOOKUP($A522,'[3]allergenen 6nr'!$A$1:$O$1310,14,FALSE)</f>
        <v>-</v>
      </c>
      <c r="BP522" s="202" t="str">
        <f>VLOOKUP($A522,'[3]allergenen 6nr'!$A$1:$O$1310,15,FALSE)</f>
        <v>-</v>
      </c>
    </row>
    <row r="523" spans="1:68" x14ac:dyDescent="0.2">
      <c r="A523" s="126">
        <v>65126400</v>
      </c>
      <c r="B523" s="53" t="str">
        <f>VLOOKUP($A523,[1]maaltijden!$A$1:$IV$65536,4,FALSE)</f>
        <v>DMB GROENE GROENTEMIX 1,8KG</v>
      </c>
      <c r="C523" s="46" t="str">
        <f>VLOOKUP($A523,[1]maaltijden!$A$1:$IV$65536,7,FALSE)</f>
        <v>C2325-1C</v>
      </c>
      <c r="D523" s="22" t="str">
        <f>VLOOKUP($A523,[1]maaltijden!$A$1:$IV$65536,10,FALSE)</f>
        <v>NVT</v>
      </c>
      <c r="E523" s="22" t="str">
        <f>VLOOKUP($A523,[1]maaltijden!$A$1:$IV$65536,13,FALSE)</f>
        <v>BULK HO</v>
      </c>
      <c r="F523" s="20">
        <f t="shared" si="8"/>
        <v>0</v>
      </c>
      <c r="G523" s="20" t="str">
        <f>VLOOKUP($A523,[1]maaltijden!$A$1:$IV$65536,27,FALSE)</f>
        <v>-</v>
      </c>
      <c r="H523" s="22">
        <f>VLOOKUP($A523,[1]maaltijden!$A$1:$IV$65536,21,FALSE)</f>
        <v>5</v>
      </c>
      <c r="I523" s="22">
        <f>VLOOKUP($A523,[1]maaltijden!$A$1:$IV$65536,21,FALSE)</f>
        <v>5</v>
      </c>
      <c r="J523" s="22">
        <f>VLOOKUP($A523,[1]maaltijden!$A$1:$IV$65536,18,FALSE)</f>
        <v>3</v>
      </c>
      <c r="K523" s="22">
        <f>VLOOKUP($A523,[1]maaltijden!$A$1:$IV$65536,17,FALSE)</f>
        <v>1</v>
      </c>
      <c r="L523" s="22">
        <f>VLOOKUP($A523,[1]maaltijden!$A$1:$IV$65536,20,FALSE)</f>
        <v>725</v>
      </c>
      <c r="M523" s="22">
        <f>VLOOKUP($A523,[1]maaltijden!$A$1:$IV$65536,22,FALSE)</f>
        <v>725</v>
      </c>
      <c r="N523" s="135"/>
      <c r="O523" s="50">
        <v>0</v>
      </c>
      <c r="P523" s="19">
        <v>0</v>
      </c>
      <c r="Q523" s="20">
        <v>1</v>
      </c>
      <c r="R523" s="21">
        <v>0</v>
      </c>
      <c r="S523" s="19">
        <v>0</v>
      </c>
      <c r="T523" s="20">
        <v>1</v>
      </c>
      <c r="U523" s="19">
        <v>1</v>
      </c>
      <c r="V523" s="20">
        <v>1</v>
      </c>
      <c r="W523" s="20">
        <v>1</v>
      </c>
      <c r="X523" s="20">
        <v>1</v>
      </c>
      <c r="Y523" s="20">
        <v>1</v>
      </c>
      <c r="Z523" s="20">
        <v>0</v>
      </c>
      <c r="AA523" s="20">
        <v>0</v>
      </c>
      <c r="AB523" s="49">
        <v>0</v>
      </c>
      <c r="AC523" s="49">
        <v>0</v>
      </c>
      <c r="AD523" s="49">
        <v>0</v>
      </c>
      <c r="AE523" s="49">
        <v>0</v>
      </c>
      <c r="AF523" s="49">
        <v>0</v>
      </c>
      <c r="AG523" s="185">
        <v>0</v>
      </c>
      <c r="AH523" s="186"/>
      <c r="AI523" s="186"/>
      <c r="AJ523" s="186"/>
      <c r="AK523" s="186"/>
      <c r="AL523" s="187"/>
      <c r="AM523" s="19">
        <v>0</v>
      </c>
      <c r="AN523" s="20">
        <f>IFERROR(INDEX([2]lijnopstellingsfiche!$AP$1:$AP$65536,MATCH(A523,[2]lijnopstellingsfiche!$AQ$1:$AQ$65536,0)),"")</f>
        <v>4</v>
      </c>
      <c r="AO523" s="20">
        <v>0</v>
      </c>
      <c r="AP523" s="20">
        <v>0</v>
      </c>
      <c r="AQ523" s="20">
        <v>0</v>
      </c>
      <c r="AR523" s="20">
        <v>0</v>
      </c>
      <c r="AS523" s="20">
        <v>0</v>
      </c>
      <c r="AT523" s="20">
        <v>0</v>
      </c>
      <c r="AU523" s="20">
        <v>0</v>
      </c>
      <c r="AV523" s="23">
        <v>0</v>
      </c>
      <c r="AW523" s="108">
        <v>0</v>
      </c>
      <c r="AX523" s="108">
        <v>0</v>
      </c>
      <c r="AY523" s="108">
        <v>0</v>
      </c>
      <c r="AZ523" s="108">
        <v>0</v>
      </c>
      <c r="BA523" s="114">
        <v>1</v>
      </c>
      <c r="BB523" s="20">
        <v>0</v>
      </c>
      <c r="BC523" s="113">
        <v>0</v>
      </c>
      <c r="BD523" s="200" t="e">
        <f>VLOOKUP($A523,'[3]allergenen 6nr'!$A$1:$O$1310,3,FALSE)</f>
        <v>#N/A</v>
      </c>
      <c r="BE523" s="201" t="e">
        <f>VLOOKUP($A523,'[3]allergenen 6nr'!$A$1:$O$1310,4,FALSE)</f>
        <v>#N/A</v>
      </c>
      <c r="BF523" s="201" t="e">
        <f>VLOOKUP($A523,'[3]allergenen 6nr'!$A$1:$O$1310,5,FALSE)</f>
        <v>#N/A</v>
      </c>
      <c r="BG523" s="201" t="e">
        <f>VLOOKUP($A523,'[3]allergenen 6nr'!$A$1:$O$1310,6,FALSE)</f>
        <v>#N/A</v>
      </c>
      <c r="BH523" s="201" t="e">
        <f>VLOOKUP($A523,'[3]allergenen 6nr'!$A$1:$O$1310,7,FALSE)</f>
        <v>#N/A</v>
      </c>
      <c r="BI523" s="201" t="e">
        <f>VLOOKUP($A523,'[3]allergenen 6nr'!$A$1:$O$1310,8,FALSE)</f>
        <v>#N/A</v>
      </c>
      <c r="BJ523" s="201" t="e">
        <f>VLOOKUP($A523,'[3]allergenen 6nr'!$A$1:$O$1310,9,FALSE)</f>
        <v>#N/A</v>
      </c>
      <c r="BK523" s="201" t="e">
        <f>VLOOKUP($A523,'[3]allergenen 6nr'!$A$1:$O$1310,10,FALSE)</f>
        <v>#N/A</v>
      </c>
      <c r="BL523" s="201" t="e">
        <f>VLOOKUP($A523,'[3]allergenen 6nr'!$A$1:$O$1310,11,FALSE)</f>
        <v>#N/A</v>
      </c>
      <c r="BM523" s="201" t="e">
        <f>VLOOKUP($A523,'[3]allergenen 6nr'!$A$1:$O$1310,12,FALSE)</f>
        <v>#N/A</v>
      </c>
      <c r="BN523" s="201" t="e">
        <f>VLOOKUP($A523,'[3]allergenen 6nr'!$A$1:$O$1310,13,FALSE)</f>
        <v>#N/A</v>
      </c>
      <c r="BO523" s="201" t="e">
        <f>VLOOKUP($A523,'[3]allergenen 6nr'!$A$1:$O$1310,14,FALSE)</f>
        <v>#N/A</v>
      </c>
      <c r="BP523" s="202" t="e">
        <f>VLOOKUP($A523,'[3]allergenen 6nr'!$A$1:$O$1310,15,FALSE)</f>
        <v>#N/A</v>
      </c>
    </row>
    <row r="524" spans="1:68" x14ac:dyDescent="0.2">
      <c r="A524" s="126">
        <v>65126500</v>
      </c>
      <c r="B524" s="53" t="str">
        <f>VLOOKUP($A524,[1]maaltijden!$A$1:$IV$65536,4,FALSE)</f>
        <v>DMB BROCCOLI  1,4KG</v>
      </c>
      <c r="C524" s="46" t="str">
        <f>VLOOKUP($A524,[1]maaltijden!$A$1:$IV$65536,7,FALSE)</f>
        <v>C2325-1C</v>
      </c>
      <c r="D524" s="22" t="str">
        <f>VLOOKUP($A524,[1]maaltijden!$A$1:$IV$65536,10,FALSE)</f>
        <v>NVT</v>
      </c>
      <c r="E524" s="22" t="str">
        <f>VLOOKUP($A524,[1]maaltijden!$A$1:$IV$65536,13,FALSE)</f>
        <v>BULK HO</v>
      </c>
      <c r="F524" s="20">
        <f t="shared" si="8"/>
        <v>0</v>
      </c>
      <c r="G524" s="20" t="str">
        <f>VLOOKUP($A524,[1]maaltijden!$A$1:$IV$65536,27,FALSE)</f>
        <v>-</v>
      </c>
      <c r="H524" s="22">
        <f>VLOOKUP($A524,[1]maaltijden!$A$1:$IV$65536,21,FALSE)</f>
        <v>6</v>
      </c>
      <c r="I524" s="22">
        <f>VLOOKUP($A524,[1]maaltijden!$A$1:$IV$65536,21,FALSE)</f>
        <v>6</v>
      </c>
      <c r="J524" s="22">
        <f>VLOOKUP($A524,[1]maaltijden!$A$1:$IV$65536,18,FALSE)</f>
        <v>3</v>
      </c>
      <c r="K524" s="22">
        <f>VLOOKUP($A524,[1]maaltijden!$A$1:$IV$65536,17,FALSE)</f>
        <v>1</v>
      </c>
      <c r="L524" s="22">
        <f>VLOOKUP($A524,[1]maaltijden!$A$1:$IV$65536,20,FALSE)</f>
        <v>1000</v>
      </c>
      <c r="M524" s="22">
        <f>VLOOKUP($A524,[1]maaltijden!$A$1:$IV$65536,22,FALSE)</f>
        <v>1000</v>
      </c>
      <c r="N524" s="135"/>
      <c r="O524" s="50">
        <v>0</v>
      </c>
      <c r="P524" s="19">
        <v>0</v>
      </c>
      <c r="Q524" s="20">
        <v>1</v>
      </c>
      <c r="R524" s="21">
        <v>0</v>
      </c>
      <c r="S524" s="19">
        <v>0</v>
      </c>
      <c r="T524" s="20">
        <v>1</v>
      </c>
      <c r="U524" s="19">
        <v>1</v>
      </c>
      <c r="V524" s="20">
        <v>1</v>
      </c>
      <c r="W524" s="20">
        <v>1</v>
      </c>
      <c r="X524" s="20">
        <v>1</v>
      </c>
      <c r="Y524" s="20">
        <v>1</v>
      </c>
      <c r="Z524" s="20">
        <v>0</v>
      </c>
      <c r="AA524" s="20">
        <v>0</v>
      </c>
      <c r="AB524" s="49">
        <v>0</v>
      </c>
      <c r="AC524" s="49">
        <v>0</v>
      </c>
      <c r="AD524" s="49">
        <v>0</v>
      </c>
      <c r="AE524" s="49">
        <v>0</v>
      </c>
      <c r="AF524" s="49">
        <v>0</v>
      </c>
      <c r="AG524" s="185">
        <v>0</v>
      </c>
      <c r="AH524" s="186"/>
      <c r="AI524" s="186"/>
      <c r="AJ524" s="186"/>
      <c r="AK524" s="186"/>
      <c r="AL524" s="187"/>
      <c r="AM524" s="19">
        <v>0</v>
      </c>
      <c r="AN524" s="20">
        <f>IFERROR(INDEX([2]lijnopstellingsfiche!$AP$1:$AP$65536,MATCH(A524,[2]lijnopstellingsfiche!$AQ$1:$AQ$65536,0)),"")</f>
        <v>4</v>
      </c>
      <c r="AO524" s="20">
        <v>0</v>
      </c>
      <c r="AP524" s="20">
        <v>0</v>
      </c>
      <c r="AQ524" s="20">
        <v>0</v>
      </c>
      <c r="AR524" s="20">
        <v>0</v>
      </c>
      <c r="AS524" s="20">
        <v>0</v>
      </c>
      <c r="AT524" s="20">
        <v>0</v>
      </c>
      <c r="AU524" s="20">
        <v>0</v>
      </c>
      <c r="AV524" s="23">
        <v>0</v>
      </c>
      <c r="AW524" s="108">
        <v>0</v>
      </c>
      <c r="AX524" s="108">
        <v>0</v>
      </c>
      <c r="AY524" s="108">
        <v>0</v>
      </c>
      <c r="AZ524" s="108">
        <v>0</v>
      </c>
      <c r="BA524" s="114">
        <v>1</v>
      </c>
      <c r="BB524" s="20">
        <v>0</v>
      </c>
      <c r="BC524" s="113">
        <v>0</v>
      </c>
      <c r="BD524" s="200"/>
      <c r="BE524" s="201"/>
      <c r="BF524" s="201"/>
      <c r="BG524" s="201"/>
      <c r="BH524" s="201"/>
      <c r="BI524" s="201"/>
      <c r="BJ524" s="201"/>
      <c r="BK524" s="201"/>
      <c r="BL524" s="201"/>
      <c r="BM524" s="201"/>
      <c r="BN524" s="201"/>
      <c r="BO524" s="201"/>
      <c r="BP524" s="202"/>
    </row>
    <row r="525" spans="1:68" x14ac:dyDescent="0.2">
      <c r="A525" s="89">
        <v>65130000</v>
      </c>
      <c r="B525" s="53" t="str">
        <f>VLOOKUP($A525,[1]maaltijden!$A$1:$IV$65536,4,FALSE)</f>
        <v>DMB GRATIN DAUPHINOIS 1,8KG</v>
      </c>
      <c r="C525" s="46" t="str">
        <f>VLOOKUP($A525,[1]maaltijden!$A$1:$IV$65536,7,FALSE)</f>
        <v>C2325-1C</v>
      </c>
      <c r="D525" s="22" t="str">
        <f>VLOOKUP($A525,[1]maaltijden!$A$1:$IV$65536,10,FALSE)</f>
        <v>NVT</v>
      </c>
      <c r="E525" s="22" t="str">
        <f>VLOOKUP($A525,[1]maaltijden!$A$1:$IV$65536,13,FALSE)</f>
        <v>BULK HO</v>
      </c>
      <c r="F525" s="20">
        <f t="shared" si="8"/>
        <v>0</v>
      </c>
      <c r="G525" s="20" t="str">
        <f>VLOOKUP($A525,[1]maaltijden!$A$1:$IV$65536,27,FALSE)</f>
        <v>! !</v>
      </c>
      <c r="H525" s="22">
        <f>VLOOKUP($A525,[1]maaltijden!$A$1:$IV$65536,21,FALSE)</f>
        <v>3</v>
      </c>
      <c r="I525" s="22">
        <f>VLOOKUP($A525,[1]maaltijden!$A$1:$IV$65536,21,FALSE)</f>
        <v>3</v>
      </c>
      <c r="J525" s="22">
        <f>VLOOKUP($A525,[1]maaltijden!$A$1:$IV$65536,18,FALSE)</f>
        <v>3</v>
      </c>
      <c r="K525" s="22">
        <f>VLOOKUP($A525,[1]maaltijden!$A$1:$IV$65536,17,FALSE)</f>
        <v>1</v>
      </c>
      <c r="L525" s="22">
        <f>VLOOKUP($A525,[1]maaltijden!$A$1:$IV$65536,20,FALSE)</f>
        <v>700</v>
      </c>
      <c r="M525" s="22">
        <f>VLOOKUP($A525,[1]maaltijden!$A$1:$IV$65536,22,FALSE)</f>
        <v>700</v>
      </c>
      <c r="N525" s="135"/>
      <c r="O525" s="50">
        <v>0</v>
      </c>
      <c r="P525" s="19">
        <v>0</v>
      </c>
      <c r="Q525" s="20">
        <v>1</v>
      </c>
      <c r="R525" s="21">
        <v>0</v>
      </c>
      <c r="S525" s="19">
        <v>0</v>
      </c>
      <c r="T525" s="20">
        <v>1</v>
      </c>
      <c r="U525" s="19">
        <v>1</v>
      </c>
      <c r="V525" s="20">
        <v>1</v>
      </c>
      <c r="W525" s="20">
        <v>1</v>
      </c>
      <c r="X525" s="20">
        <v>1</v>
      </c>
      <c r="Y525" s="20">
        <v>1</v>
      </c>
      <c r="Z525" s="20">
        <v>0</v>
      </c>
      <c r="AA525" s="20">
        <v>0</v>
      </c>
      <c r="AB525" s="49">
        <v>0</v>
      </c>
      <c r="AC525" s="49">
        <v>0</v>
      </c>
      <c r="AD525" s="49">
        <v>0</v>
      </c>
      <c r="AE525" s="49">
        <v>0</v>
      </c>
      <c r="AF525" s="49">
        <v>0</v>
      </c>
      <c r="AG525" s="173">
        <v>0</v>
      </c>
      <c r="AH525" s="182">
        <v>1</v>
      </c>
      <c r="AI525" s="174">
        <v>0</v>
      </c>
      <c r="AJ525" s="174">
        <v>0</v>
      </c>
      <c r="AK525" s="174">
        <v>0</v>
      </c>
      <c r="AL525" s="175">
        <v>0</v>
      </c>
      <c r="AM525" s="19">
        <v>0</v>
      </c>
      <c r="AN525" s="20">
        <f>IFERROR(INDEX([2]lijnopstellingsfiche!$AP$1:$AP$65536,MATCH(A525,[2]lijnopstellingsfiche!$AQ$1:$AQ$65536,0)),"")</f>
        <v>1</v>
      </c>
      <c r="AO525" s="20">
        <v>0</v>
      </c>
      <c r="AP525" s="20">
        <v>1</v>
      </c>
      <c r="AQ525" s="20">
        <v>2</v>
      </c>
      <c r="AR525" s="20">
        <v>0</v>
      </c>
      <c r="AS525" s="20">
        <v>0</v>
      </c>
      <c r="AT525" s="20">
        <v>1</v>
      </c>
      <c r="AU525" s="20">
        <v>0</v>
      </c>
      <c r="AV525" s="23">
        <v>0</v>
      </c>
      <c r="AW525" s="108">
        <v>0</v>
      </c>
      <c r="AX525" s="108">
        <v>0</v>
      </c>
      <c r="AY525" s="108">
        <v>0</v>
      </c>
      <c r="AZ525" s="108">
        <v>0</v>
      </c>
      <c r="BA525" s="114">
        <v>1</v>
      </c>
      <c r="BB525" s="20">
        <v>0</v>
      </c>
      <c r="BC525" s="113">
        <v>0</v>
      </c>
      <c r="BD525" s="200" t="str">
        <f>VLOOKUP($A525,'[3]allergenen 6nr'!$A$1:$O$1310,3,FALSE)</f>
        <v>-</v>
      </c>
      <c r="BE525" s="201" t="str">
        <f>VLOOKUP($A525,'[3]allergenen 6nr'!$A$1:$O$1310,4,FALSE)</f>
        <v>-</v>
      </c>
      <c r="BF525" s="201" t="str">
        <f>VLOOKUP($A525,'[3]allergenen 6nr'!$A$1:$O$1310,5,FALSE)</f>
        <v>+</v>
      </c>
      <c r="BG525" s="201" t="str">
        <f>VLOOKUP($A525,'[3]allergenen 6nr'!$A$1:$O$1310,6,FALSE)</f>
        <v>X</v>
      </c>
      <c r="BH525" s="201" t="str">
        <f>VLOOKUP($A525,'[3]allergenen 6nr'!$A$1:$O$1310,7,FALSE)</f>
        <v>+</v>
      </c>
      <c r="BI525" s="201" t="str">
        <f>VLOOKUP($A525,'[3]allergenen 6nr'!$A$1:$O$1310,8,FALSE)</f>
        <v>X</v>
      </c>
      <c r="BJ525" s="201" t="str">
        <f>VLOOKUP($A525,'[3]allergenen 6nr'!$A$1:$O$1310,9,FALSE)</f>
        <v>-</v>
      </c>
      <c r="BK525" s="201" t="str">
        <f>VLOOKUP($A525,'[3]allergenen 6nr'!$A$1:$O$1310,10,FALSE)</f>
        <v>-</v>
      </c>
      <c r="BL525" s="201" t="str">
        <f>VLOOKUP($A525,'[3]allergenen 6nr'!$A$1:$O$1310,11,FALSE)</f>
        <v>-</v>
      </c>
      <c r="BM525" s="201" t="str">
        <f>VLOOKUP($A525,'[3]allergenen 6nr'!$A$1:$O$1310,12,FALSE)</f>
        <v>-</v>
      </c>
      <c r="BN525" s="201" t="str">
        <f>VLOOKUP($A525,'[3]allergenen 6nr'!$A$1:$O$1310,13,FALSE)</f>
        <v>X</v>
      </c>
      <c r="BO525" s="201" t="str">
        <f>VLOOKUP($A525,'[3]allergenen 6nr'!$A$1:$O$1310,14,FALSE)</f>
        <v>-</v>
      </c>
      <c r="BP525" s="202" t="str">
        <f>VLOOKUP($A525,'[3]allergenen 6nr'!$A$1:$O$1310,15,FALSE)</f>
        <v>-</v>
      </c>
    </row>
    <row r="526" spans="1:68" x14ac:dyDescent="0.2">
      <c r="A526" s="89">
        <v>65130200</v>
      </c>
      <c r="B526" s="53" t="str">
        <f>VLOOKUP($A526,[1]maaltijden!$A$1:$IV$65536,4,FALSE)</f>
        <v>DMB PUREE 2,25 KG</v>
      </c>
      <c r="C526" s="46" t="str">
        <f>VLOOKUP($A526,[1]maaltijden!$A$1:$IV$65536,7,FALSE)</f>
        <v>C2325-1C</v>
      </c>
      <c r="D526" s="22" t="str">
        <f>VLOOKUP($A526,[1]maaltijden!$A$1:$IV$65536,10,FALSE)</f>
        <v>NVT</v>
      </c>
      <c r="E526" s="22" t="str">
        <f>VLOOKUP($A526,[1]maaltijden!$A$1:$IV$65536,13,FALSE)</f>
        <v>BULK HO</v>
      </c>
      <c r="F526" s="20">
        <f t="shared" si="8"/>
        <v>0</v>
      </c>
      <c r="G526" s="20" t="str">
        <f>VLOOKUP($A526,[1]maaltijden!$A$1:$IV$65536,27,FALSE)</f>
        <v>! !</v>
      </c>
      <c r="H526" s="22">
        <f>VLOOKUP($A526,[1]maaltijden!$A$1:$IV$65536,21,FALSE)</f>
        <v>2</v>
      </c>
      <c r="I526" s="22">
        <f>VLOOKUP($A526,[1]maaltijden!$A$1:$IV$65536,21,FALSE)</f>
        <v>2</v>
      </c>
      <c r="J526" s="22">
        <f>VLOOKUP($A526,[1]maaltijden!$A$1:$IV$65536,18,FALSE)</f>
        <v>3</v>
      </c>
      <c r="K526" s="22">
        <f>VLOOKUP($A526,[1]maaltijden!$A$1:$IV$65536,17,FALSE)</f>
        <v>1</v>
      </c>
      <c r="L526" s="22">
        <f>VLOOKUP($A526,[1]maaltijden!$A$1:$IV$65536,20,FALSE)</f>
        <v>550</v>
      </c>
      <c r="M526" s="22">
        <f>VLOOKUP($A526,[1]maaltijden!$A$1:$IV$65536,22,FALSE)</f>
        <v>550</v>
      </c>
      <c r="N526" s="135"/>
      <c r="O526" s="50">
        <v>0</v>
      </c>
      <c r="P526" s="19">
        <v>0</v>
      </c>
      <c r="Q526" s="20">
        <v>1</v>
      </c>
      <c r="R526" s="21">
        <v>0</v>
      </c>
      <c r="S526" s="19">
        <v>0</v>
      </c>
      <c r="T526" s="20">
        <v>1</v>
      </c>
      <c r="U526" s="19">
        <v>1</v>
      </c>
      <c r="V526" s="20">
        <v>1</v>
      </c>
      <c r="W526" s="20">
        <v>1</v>
      </c>
      <c r="X526" s="20">
        <v>1</v>
      </c>
      <c r="Y526" s="20">
        <v>1</v>
      </c>
      <c r="Z526" s="20">
        <v>0</v>
      </c>
      <c r="AA526" s="20">
        <v>0</v>
      </c>
      <c r="AB526" s="49">
        <v>0</v>
      </c>
      <c r="AC526" s="49">
        <v>1</v>
      </c>
      <c r="AD526" s="49">
        <v>1</v>
      </c>
      <c r="AE526" s="49">
        <v>0</v>
      </c>
      <c r="AF526" s="49">
        <v>0</v>
      </c>
      <c r="AG526" s="173">
        <v>0</v>
      </c>
      <c r="AH526" s="182">
        <v>2</v>
      </c>
      <c r="AI526" s="188">
        <v>0</v>
      </c>
      <c r="AJ526" s="174">
        <v>0</v>
      </c>
      <c r="AK526" s="174">
        <v>0</v>
      </c>
      <c r="AL526" s="175">
        <v>0</v>
      </c>
      <c r="AM526" s="19">
        <v>0</v>
      </c>
      <c r="AN526" s="20">
        <f>IFERROR(INDEX([2]lijnopstellingsfiche!$AP$1:$AP$65536,MATCH(A526,[2]lijnopstellingsfiche!$AQ$1:$AQ$65536,0)),"")</f>
        <v>1</v>
      </c>
      <c r="AO526" s="20">
        <v>0</v>
      </c>
      <c r="AP526" s="20">
        <v>0</v>
      </c>
      <c r="AQ526" s="20">
        <v>0</v>
      </c>
      <c r="AR526" s="20">
        <v>2</v>
      </c>
      <c r="AS526" s="20">
        <v>0</v>
      </c>
      <c r="AT526" s="20">
        <v>0</v>
      </c>
      <c r="AU526" s="20">
        <v>0</v>
      </c>
      <c r="AV526" s="23">
        <v>0</v>
      </c>
      <c r="AW526" s="108">
        <v>0</v>
      </c>
      <c r="AX526" s="108">
        <v>0</v>
      </c>
      <c r="AY526" s="108">
        <v>0</v>
      </c>
      <c r="AZ526" s="108">
        <v>0</v>
      </c>
      <c r="BA526" s="114">
        <v>1</v>
      </c>
      <c r="BB526" s="20">
        <v>0</v>
      </c>
      <c r="BC526" s="113">
        <v>0</v>
      </c>
      <c r="BD526" s="200" t="str">
        <f>VLOOKUP($A526,'[3]allergenen 6nr'!$A$1:$O$1310,3,FALSE)</f>
        <v>-</v>
      </c>
      <c r="BE526" s="201" t="str">
        <f>VLOOKUP($A526,'[3]allergenen 6nr'!$A$1:$O$1310,4,FALSE)</f>
        <v>+</v>
      </c>
      <c r="BF526" s="201" t="str">
        <f>VLOOKUP($A526,'[3]allergenen 6nr'!$A$1:$O$1310,5,FALSE)</f>
        <v>-</v>
      </c>
      <c r="BG526" s="201" t="str">
        <f>VLOOKUP($A526,'[3]allergenen 6nr'!$A$1:$O$1310,6,FALSE)</f>
        <v>-</v>
      </c>
      <c r="BH526" s="201" t="str">
        <f>VLOOKUP($A526,'[3]allergenen 6nr'!$A$1:$O$1310,7,FALSE)</f>
        <v>+</v>
      </c>
      <c r="BI526" s="201" t="str">
        <f>VLOOKUP($A526,'[3]allergenen 6nr'!$A$1:$O$1310,8,FALSE)</f>
        <v>-</v>
      </c>
      <c r="BJ526" s="201" t="str">
        <f>VLOOKUP($A526,'[3]allergenen 6nr'!$A$1:$O$1310,9,FALSE)</f>
        <v>-</v>
      </c>
      <c r="BK526" s="201" t="str">
        <f>VLOOKUP($A526,'[3]allergenen 6nr'!$A$1:$O$1310,10,FALSE)</f>
        <v>-</v>
      </c>
      <c r="BL526" s="201" t="str">
        <f>VLOOKUP($A526,'[3]allergenen 6nr'!$A$1:$O$1310,11,FALSE)</f>
        <v>-</v>
      </c>
      <c r="BM526" s="201" t="str">
        <f>VLOOKUP($A526,'[3]allergenen 6nr'!$A$1:$O$1310,12,FALSE)</f>
        <v>-</v>
      </c>
      <c r="BN526" s="201" t="str">
        <f>VLOOKUP($A526,'[3]allergenen 6nr'!$A$1:$O$1310,13,FALSE)</f>
        <v>-</v>
      </c>
      <c r="BO526" s="201" t="str">
        <f>VLOOKUP($A526,'[3]allergenen 6nr'!$A$1:$O$1310,14,FALSE)</f>
        <v>-</v>
      </c>
      <c r="BP526" s="202" t="str">
        <f>VLOOKUP($A526,'[3]allergenen 6nr'!$A$1:$O$1310,15,FALSE)</f>
        <v>-</v>
      </c>
    </row>
    <row r="527" spans="1:68" x14ac:dyDescent="0.2">
      <c r="A527" s="89">
        <v>65130300</v>
      </c>
      <c r="B527" s="53" t="str">
        <f>VLOOKUP($A527,[1]maaltijden!$A$1:$IV$65536,4,FALSE)</f>
        <v>DMB WORTELSTAMPPOT 2,25KG</v>
      </c>
      <c r="C527" s="46" t="str">
        <f>VLOOKUP($A527,[1]maaltijden!$A$1:$IV$65536,7,FALSE)</f>
        <v>C2325-1C</v>
      </c>
      <c r="D527" s="22" t="str">
        <f>VLOOKUP($A527,[1]maaltijden!$A$1:$IV$65536,10,FALSE)</f>
        <v>NVT</v>
      </c>
      <c r="E527" s="22" t="str">
        <f>VLOOKUP($A527,[1]maaltijden!$A$1:$IV$65536,13,FALSE)</f>
        <v>BULK HO</v>
      </c>
      <c r="F527" s="20">
        <f t="shared" si="8"/>
        <v>0</v>
      </c>
      <c r="G527" s="20" t="str">
        <f>VLOOKUP($A527,[1]maaltijden!$A$1:$IV$65536,27,FALSE)</f>
        <v>! !</v>
      </c>
      <c r="H527" s="22">
        <f>VLOOKUP($A527,[1]maaltijden!$A$1:$IV$65536,21,FALSE)</f>
        <v>3</v>
      </c>
      <c r="I527" s="22">
        <f>VLOOKUP($A527,[1]maaltijden!$A$1:$IV$65536,21,FALSE)</f>
        <v>3</v>
      </c>
      <c r="J527" s="22">
        <f>VLOOKUP($A527,[1]maaltijden!$A$1:$IV$65536,18,FALSE)</f>
        <v>3</v>
      </c>
      <c r="K527" s="22">
        <f>VLOOKUP($A527,[1]maaltijden!$A$1:$IV$65536,17,FALSE)</f>
        <v>2</v>
      </c>
      <c r="L527" s="22">
        <f>VLOOKUP($A527,[1]maaltijden!$A$1:$IV$65536,20,FALSE)</f>
        <v>550</v>
      </c>
      <c r="M527" s="22">
        <f>VLOOKUP($A527,[1]maaltijden!$A$1:$IV$65536,22,FALSE)</f>
        <v>550</v>
      </c>
      <c r="N527" s="135"/>
      <c r="O527" s="50">
        <v>0</v>
      </c>
      <c r="P527" s="19">
        <v>0</v>
      </c>
      <c r="Q527" s="20">
        <v>1</v>
      </c>
      <c r="R527" s="21">
        <v>0</v>
      </c>
      <c r="S527" s="19">
        <v>0</v>
      </c>
      <c r="T527" s="20">
        <v>1</v>
      </c>
      <c r="U527" s="19">
        <v>1</v>
      </c>
      <c r="V527" s="20">
        <v>1</v>
      </c>
      <c r="W527" s="20">
        <v>1</v>
      </c>
      <c r="X527" s="20">
        <v>1</v>
      </c>
      <c r="Y527" s="20">
        <v>1</v>
      </c>
      <c r="Z527" s="20">
        <v>0</v>
      </c>
      <c r="AA527" s="20">
        <v>0</v>
      </c>
      <c r="AB527" s="49">
        <v>0</v>
      </c>
      <c r="AC527" s="49">
        <v>1</v>
      </c>
      <c r="AD527" s="49">
        <v>1</v>
      </c>
      <c r="AE527" s="49">
        <v>0</v>
      </c>
      <c r="AF527" s="49">
        <v>0</v>
      </c>
      <c r="AG527" s="173">
        <v>0</v>
      </c>
      <c r="AH527" s="182">
        <v>2</v>
      </c>
      <c r="AI527" s="188">
        <v>0</v>
      </c>
      <c r="AJ527" s="174">
        <v>0</v>
      </c>
      <c r="AK527" s="174">
        <v>0</v>
      </c>
      <c r="AL527" s="175">
        <v>0</v>
      </c>
      <c r="AM527" s="19">
        <v>0</v>
      </c>
      <c r="AN527" s="20">
        <f>IFERROR(INDEX([2]lijnopstellingsfiche!$AP$1:$AP$65536,MATCH(A527,[2]lijnopstellingsfiche!$AQ$1:$AQ$65536,0)),"")</f>
        <v>1</v>
      </c>
      <c r="AO527" s="20">
        <v>0</v>
      </c>
      <c r="AP527" s="20">
        <v>0</v>
      </c>
      <c r="AQ527" s="20">
        <v>0</v>
      </c>
      <c r="AR527" s="20">
        <v>2</v>
      </c>
      <c r="AS527" s="20">
        <v>0</v>
      </c>
      <c r="AT527" s="20">
        <v>0</v>
      </c>
      <c r="AU527" s="20">
        <v>0</v>
      </c>
      <c r="AV527" s="23">
        <v>0</v>
      </c>
      <c r="AW527" s="108">
        <v>0</v>
      </c>
      <c r="AX527" s="108">
        <v>0</v>
      </c>
      <c r="AY527" s="108">
        <v>0</v>
      </c>
      <c r="AZ527" s="108">
        <v>0</v>
      </c>
      <c r="BA527" s="114">
        <v>1</v>
      </c>
      <c r="BB527" s="20">
        <v>0</v>
      </c>
      <c r="BC527" s="113">
        <v>0</v>
      </c>
      <c r="BD527" s="200" t="str">
        <f>VLOOKUP($A527,'[3]allergenen 6nr'!$A$1:$O$1310,3,FALSE)</f>
        <v>-</v>
      </c>
      <c r="BE527" s="201" t="str">
        <f>VLOOKUP($A527,'[3]allergenen 6nr'!$A$1:$O$1310,4,FALSE)</f>
        <v>-</v>
      </c>
      <c r="BF527" s="201" t="str">
        <f>VLOOKUP($A527,'[3]allergenen 6nr'!$A$1:$O$1310,5,FALSE)</f>
        <v>-</v>
      </c>
      <c r="BG527" s="201" t="str">
        <f>VLOOKUP($A527,'[3]allergenen 6nr'!$A$1:$O$1310,6,FALSE)</f>
        <v>-</v>
      </c>
      <c r="BH527" s="201" t="str">
        <f>VLOOKUP($A527,'[3]allergenen 6nr'!$A$1:$O$1310,7,FALSE)</f>
        <v>+</v>
      </c>
      <c r="BI527" s="201" t="str">
        <f>VLOOKUP($A527,'[3]allergenen 6nr'!$A$1:$O$1310,8,FALSE)</f>
        <v>-</v>
      </c>
      <c r="BJ527" s="201" t="str">
        <f>VLOOKUP($A527,'[3]allergenen 6nr'!$A$1:$O$1310,9,FALSE)</f>
        <v>-</v>
      </c>
      <c r="BK527" s="201" t="str">
        <f>VLOOKUP($A527,'[3]allergenen 6nr'!$A$1:$O$1310,10,FALSE)</f>
        <v>-</v>
      </c>
      <c r="BL527" s="201" t="str">
        <f>VLOOKUP($A527,'[3]allergenen 6nr'!$A$1:$O$1310,11,FALSE)</f>
        <v>-</v>
      </c>
      <c r="BM527" s="201" t="str">
        <f>VLOOKUP($A527,'[3]allergenen 6nr'!$A$1:$O$1310,12,FALSE)</f>
        <v>-</v>
      </c>
      <c r="BN527" s="201" t="str">
        <f>VLOOKUP($A527,'[3]allergenen 6nr'!$A$1:$O$1310,13,FALSE)</f>
        <v>-</v>
      </c>
      <c r="BO527" s="201" t="str">
        <f>VLOOKUP($A527,'[3]allergenen 6nr'!$A$1:$O$1310,14,FALSE)</f>
        <v>-</v>
      </c>
      <c r="BP527" s="202" t="str">
        <f>VLOOKUP($A527,'[3]allergenen 6nr'!$A$1:$O$1310,15,FALSE)</f>
        <v>-</v>
      </c>
    </row>
    <row r="528" spans="1:68" x14ac:dyDescent="0.2">
      <c r="A528" s="89">
        <v>65130400</v>
      </c>
      <c r="B528" s="53" t="str">
        <f>VLOOKUP($A528,[1]maaltijden!$A$1:$IV$65536,4,FALSE)</f>
        <v>DMB SPINAZIESTAMPPOT 2,25KG</v>
      </c>
      <c r="C528" s="46" t="str">
        <f>VLOOKUP($A528,[1]maaltijden!$A$1:$IV$65536,7,FALSE)</f>
        <v>C2325-1C</v>
      </c>
      <c r="D528" s="22" t="str">
        <f>VLOOKUP($A528,[1]maaltijden!$A$1:$IV$65536,10,FALSE)</f>
        <v>NVT</v>
      </c>
      <c r="E528" s="22" t="str">
        <f>VLOOKUP($A528,[1]maaltijden!$A$1:$IV$65536,13,FALSE)</f>
        <v>BULK HO</v>
      </c>
      <c r="F528" s="20">
        <f t="shared" si="8"/>
        <v>0</v>
      </c>
      <c r="G528" s="20" t="str">
        <f>VLOOKUP($A528,[1]maaltijden!$A$1:$IV$65536,27,FALSE)</f>
        <v>! !</v>
      </c>
      <c r="H528" s="22">
        <f>VLOOKUP($A528,[1]maaltijden!$A$1:$IV$65536,21,FALSE)</f>
        <v>3</v>
      </c>
      <c r="I528" s="22">
        <f>VLOOKUP($A528,[1]maaltijden!$A$1:$IV$65536,21,FALSE)</f>
        <v>3</v>
      </c>
      <c r="J528" s="22">
        <f>VLOOKUP($A528,[1]maaltijden!$A$1:$IV$65536,18,FALSE)</f>
        <v>3</v>
      </c>
      <c r="K528" s="22">
        <f>VLOOKUP($A528,[1]maaltijden!$A$1:$IV$65536,17,FALSE)</f>
        <v>2</v>
      </c>
      <c r="L528" s="22">
        <f>VLOOKUP($A528,[1]maaltijden!$A$1:$IV$65536,20,FALSE)</f>
        <v>550</v>
      </c>
      <c r="M528" s="22">
        <f>VLOOKUP($A528,[1]maaltijden!$A$1:$IV$65536,22,FALSE)</f>
        <v>550</v>
      </c>
      <c r="N528" s="135"/>
      <c r="O528" s="50">
        <v>0</v>
      </c>
      <c r="P528" s="19">
        <v>0</v>
      </c>
      <c r="Q528" s="20">
        <v>1</v>
      </c>
      <c r="R528" s="21">
        <v>0</v>
      </c>
      <c r="S528" s="19">
        <v>0</v>
      </c>
      <c r="T528" s="20">
        <v>1</v>
      </c>
      <c r="U528" s="19">
        <v>1</v>
      </c>
      <c r="V528" s="20">
        <v>1</v>
      </c>
      <c r="W528" s="20">
        <v>1</v>
      </c>
      <c r="X528" s="20">
        <v>1</v>
      </c>
      <c r="Y528" s="20">
        <v>1</v>
      </c>
      <c r="Z528" s="20">
        <v>0</v>
      </c>
      <c r="AA528" s="20">
        <v>0</v>
      </c>
      <c r="AB528" s="49">
        <v>0</v>
      </c>
      <c r="AC528" s="49">
        <v>1</v>
      </c>
      <c r="AD528" s="49">
        <v>1</v>
      </c>
      <c r="AE528" s="49">
        <v>0</v>
      </c>
      <c r="AF528" s="49">
        <v>0</v>
      </c>
      <c r="AG528" s="173">
        <v>0</v>
      </c>
      <c r="AH528" s="182">
        <v>2</v>
      </c>
      <c r="AI528" s="188">
        <v>0</v>
      </c>
      <c r="AJ528" s="174">
        <v>0</v>
      </c>
      <c r="AK528" s="174">
        <v>0</v>
      </c>
      <c r="AL528" s="175">
        <v>0</v>
      </c>
      <c r="AM528" s="19">
        <v>0</v>
      </c>
      <c r="AN528" s="20">
        <f>IFERROR(INDEX([2]lijnopstellingsfiche!$AP$1:$AP$65536,MATCH(A528,[2]lijnopstellingsfiche!$AQ$1:$AQ$65536,0)),"")</f>
        <v>1</v>
      </c>
      <c r="AO528" s="20">
        <v>0</v>
      </c>
      <c r="AP528" s="20">
        <v>0</v>
      </c>
      <c r="AQ528" s="20">
        <v>0</v>
      </c>
      <c r="AR528" s="20">
        <v>2</v>
      </c>
      <c r="AS528" s="20">
        <v>0</v>
      </c>
      <c r="AT528" s="20">
        <v>0</v>
      </c>
      <c r="AU528" s="20">
        <v>0</v>
      </c>
      <c r="AV528" s="23">
        <v>0</v>
      </c>
      <c r="AW528" s="108">
        <v>0</v>
      </c>
      <c r="AX528" s="108">
        <v>0</v>
      </c>
      <c r="AY528" s="108">
        <v>0</v>
      </c>
      <c r="AZ528" s="108">
        <v>0</v>
      </c>
      <c r="BA528" s="114">
        <v>1</v>
      </c>
      <c r="BB528" s="20">
        <v>0</v>
      </c>
      <c r="BC528" s="113">
        <v>0</v>
      </c>
      <c r="BD528" s="200" t="str">
        <f>VLOOKUP($A528,'[3]allergenen 6nr'!$A$1:$O$1310,3,FALSE)</f>
        <v>-</v>
      </c>
      <c r="BE528" s="201" t="str">
        <f>VLOOKUP($A528,'[3]allergenen 6nr'!$A$1:$O$1310,4,FALSE)</f>
        <v>-</v>
      </c>
      <c r="BF528" s="201" t="str">
        <f>VLOOKUP($A528,'[3]allergenen 6nr'!$A$1:$O$1310,5,FALSE)</f>
        <v>-</v>
      </c>
      <c r="BG528" s="201" t="str">
        <f>VLOOKUP($A528,'[3]allergenen 6nr'!$A$1:$O$1310,6,FALSE)</f>
        <v>-</v>
      </c>
      <c r="BH528" s="201" t="str">
        <f>VLOOKUP($A528,'[3]allergenen 6nr'!$A$1:$O$1310,7,FALSE)</f>
        <v>+</v>
      </c>
      <c r="BI528" s="201" t="str">
        <f>VLOOKUP($A528,'[3]allergenen 6nr'!$A$1:$O$1310,8,FALSE)</f>
        <v>-</v>
      </c>
      <c r="BJ528" s="201" t="str">
        <f>VLOOKUP($A528,'[3]allergenen 6nr'!$A$1:$O$1310,9,FALSE)</f>
        <v>-</v>
      </c>
      <c r="BK528" s="201" t="str">
        <f>VLOOKUP($A528,'[3]allergenen 6nr'!$A$1:$O$1310,10,FALSE)</f>
        <v>-</v>
      </c>
      <c r="BL528" s="201" t="str">
        <f>VLOOKUP($A528,'[3]allergenen 6nr'!$A$1:$O$1310,11,FALSE)</f>
        <v>-</v>
      </c>
      <c r="BM528" s="201" t="str">
        <f>VLOOKUP($A528,'[3]allergenen 6nr'!$A$1:$O$1310,12,FALSE)</f>
        <v>-</v>
      </c>
      <c r="BN528" s="201" t="str">
        <f>VLOOKUP($A528,'[3]allergenen 6nr'!$A$1:$O$1310,13,FALSE)</f>
        <v>-</v>
      </c>
      <c r="BO528" s="201" t="str">
        <f>VLOOKUP($A528,'[3]allergenen 6nr'!$A$1:$O$1310,14,FALSE)</f>
        <v>-</v>
      </c>
      <c r="BP528" s="202" t="str">
        <f>VLOOKUP($A528,'[3]allergenen 6nr'!$A$1:$O$1310,15,FALSE)</f>
        <v>-</v>
      </c>
    </row>
    <row r="529" spans="1:68" x14ac:dyDescent="0.2">
      <c r="A529" s="89">
        <v>65130500</v>
      </c>
      <c r="B529" s="53" t="str">
        <f>VLOOKUP($A529,[1]maaltijden!$A$1:$IV$65536,4,FALSE)</f>
        <v>DMB BROCCOLISTAMPPOT 2,25KG</v>
      </c>
      <c r="C529" s="46" t="str">
        <f>VLOOKUP($A529,[1]maaltijden!$A$1:$IV$65536,7,FALSE)</f>
        <v>C2325-1C</v>
      </c>
      <c r="D529" s="22" t="str">
        <f>VLOOKUP($A529,[1]maaltijden!$A$1:$IV$65536,10,FALSE)</f>
        <v>NVT</v>
      </c>
      <c r="E529" s="22" t="str">
        <f>VLOOKUP($A529,[1]maaltijden!$A$1:$IV$65536,13,FALSE)</f>
        <v>BULK HO</v>
      </c>
      <c r="F529" s="20">
        <f t="shared" si="8"/>
        <v>0</v>
      </c>
      <c r="G529" s="20" t="str">
        <f>VLOOKUP($A529,[1]maaltijden!$A$1:$IV$65536,27,FALSE)</f>
        <v>! !</v>
      </c>
      <c r="H529" s="22">
        <f>VLOOKUP($A529,[1]maaltijden!$A$1:$IV$65536,21,FALSE)</f>
        <v>3</v>
      </c>
      <c r="I529" s="22">
        <f>VLOOKUP($A529,[1]maaltijden!$A$1:$IV$65536,21,FALSE)</f>
        <v>3</v>
      </c>
      <c r="J529" s="22">
        <f>VLOOKUP($A529,[1]maaltijden!$A$1:$IV$65536,18,FALSE)</f>
        <v>3</v>
      </c>
      <c r="K529" s="22">
        <f>VLOOKUP($A529,[1]maaltijden!$A$1:$IV$65536,17,FALSE)</f>
        <v>1</v>
      </c>
      <c r="L529" s="22">
        <f>VLOOKUP($A529,[1]maaltijden!$A$1:$IV$65536,20,FALSE)</f>
        <v>550</v>
      </c>
      <c r="M529" s="22">
        <f>VLOOKUP($A529,[1]maaltijden!$A$1:$IV$65536,22,FALSE)</f>
        <v>550</v>
      </c>
      <c r="N529" s="135"/>
      <c r="O529" s="50">
        <v>0</v>
      </c>
      <c r="P529" s="19">
        <v>0</v>
      </c>
      <c r="Q529" s="20">
        <v>1</v>
      </c>
      <c r="R529" s="21">
        <v>0</v>
      </c>
      <c r="S529" s="19">
        <v>0</v>
      </c>
      <c r="T529" s="20">
        <v>1</v>
      </c>
      <c r="U529" s="19">
        <v>1</v>
      </c>
      <c r="V529" s="20">
        <v>1</v>
      </c>
      <c r="W529" s="20">
        <v>1</v>
      </c>
      <c r="X529" s="20">
        <v>1</v>
      </c>
      <c r="Y529" s="20">
        <v>1</v>
      </c>
      <c r="Z529" s="20">
        <v>0</v>
      </c>
      <c r="AA529" s="20">
        <v>0</v>
      </c>
      <c r="AB529" s="49">
        <v>0</v>
      </c>
      <c r="AC529" s="49">
        <v>1</v>
      </c>
      <c r="AD529" s="49">
        <v>1</v>
      </c>
      <c r="AE529" s="49">
        <v>0</v>
      </c>
      <c r="AF529" s="49">
        <v>0</v>
      </c>
      <c r="AG529" s="173">
        <v>0</v>
      </c>
      <c r="AH529" s="182">
        <v>2</v>
      </c>
      <c r="AI529" s="188">
        <v>0</v>
      </c>
      <c r="AJ529" s="174">
        <v>0</v>
      </c>
      <c r="AK529" s="174">
        <v>0</v>
      </c>
      <c r="AL529" s="175">
        <v>0</v>
      </c>
      <c r="AM529" s="19">
        <v>0</v>
      </c>
      <c r="AN529" s="20">
        <f>IFERROR(INDEX([2]lijnopstellingsfiche!$AP$1:$AP$65536,MATCH(A529,[2]lijnopstellingsfiche!$AQ$1:$AQ$65536,0)),"")</f>
        <v>1</v>
      </c>
      <c r="AO529" s="20">
        <v>0</v>
      </c>
      <c r="AP529" s="20">
        <v>0</v>
      </c>
      <c r="AQ529" s="20">
        <v>0</v>
      </c>
      <c r="AR529" s="20">
        <v>2</v>
      </c>
      <c r="AS529" s="20">
        <v>0</v>
      </c>
      <c r="AT529" s="20">
        <v>0</v>
      </c>
      <c r="AU529" s="20">
        <v>0</v>
      </c>
      <c r="AV529" s="23">
        <v>0</v>
      </c>
      <c r="AW529" s="108">
        <v>0</v>
      </c>
      <c r="AX529" s="108">
        <v>0</v>
      </c>
      <c r="AY529" s="108">
        <v>0</v>
      </c>
      <c r="AZ529" s="108">
        <v>0</v>
      </c>
      <c r="BA529" s="114">
        <v>1</v>
      </c>
      <c r="BB529" s="20">
        <v>0</v>
      </c>
      <c r="BC529" s="113">
        <v>0</v>
      </c>
      <c r="BD529" s="200" t="str">
        <f>VLOOKUP($A529,'[3]allergenen 6nr'!$A$1:$O$1310,3,FALSE)</f>
        <v>-</v>
      </c>
      <c r="BE529" s="201" t="str">
        <f>VLOOKUP($A529,'[3]allergenen 6nr'!$A$1:$O$1310,4,FALSE)</f>
        <v>-</v>
      </c>
      <c r="BF529" s="201" t="str">
        <f>VLOOKUP($A529,'[3]allergenen 6nr'!$A$1:$O$1310,5,FALSE)</f>
        <v>-</v>
      </c>
      <c r="BG529" s="201" t="str">
        <f>VLOOKUP($A529,'[3]allergenen 6nr'!$A$1:$O$1310,6,FALSE)</f>
        <v>-</v>
      </c>
      <c r="BH529" s="201" t="str">
        <f>VLOOKUP($A529,'[3]allergenen 6nr'!$A$1:$O$1310,7,FALSE)</f>
        <v>+</v>
      </c>
      <c r="BI529" s="201" t="str">
        <f>VLOOKUP($A529,'[3]allergenen 6nr'!$A$1:$O$1310,8,FALSE)</f>
        <v>-</v>
      </c>
      <c r="BJ529" s="201" t="str">
        <f>VLOOKUP($A529,'[3]allergenen 6nr'!$A$1:$O$1310,9,FALSE)</f>
        <v>-</v>
      </c>
      <c r="BK529" s="201" t="str">
        <f>VLOOKUP($A529,'[3]allergenen 6nr'!$A$1:$O$1310,10,FALSE)</f>
        <v>-</v>
      </c>
      <c r="BL529" s="201" t="str">
        <f>VLOOKUP($A529,'[3]allergenen 6nr'!$A$1:$O$1310,11,FALSE)</f>
        <v>-</v>
      </c>
      <c r="BM529" s="201" t="str">
        <f>VLOOKUP($A529,'[3]allergenen 6nr'!$A$1:$O$1310,12,FALSE)</f>
        <v>-</v>
      </c>
      <c r="BN529" s="201" t="str">
        <f>VLOOKUP($A529,'[3]allergenen 6nr'!$A$1:$O$1310,13,FALSE)</f>
        <v>-</v>
      </c>
      <c r="BO529" s="201" t="str">
        <f>VLOOKUP($A529,'[3]allergenen 6nr'!$A$1:$O$1310,14,FALSE)</f>
        <v>-</v>
      </c>
      <c r="BP529" s="202" t="str">
        <f>VLOOKUP($A529,'[3]allergenen 6nr'!$A$1:$O$1310,15,FALSE)</f>
        <v>-</v>
      </c>
    </row>
    <row r="530" spans="1:68" x14ac:dyDescent="0.2">
      <c r="A530" s="89">
        <v>65130600</v>
      </c>
      <c r="B530" s="53" t="str">
        <f>VLOOKUP($A530,[1]maaltijden!$A$1:$IV$65536,4,FALSE)</f>
        <v>DMB PUREE SOJAMELK 2,25KG</v>
      </c>
      <c r="C530" s="46" t="str">
        <f>VLOOKUP($A530,[1]maaltijden!$A$1:$IV$65536,7,FALSE)</f>
        <v>C2325-1C</v>
      </c>
      <c r="D530" s="22" t="str">
        <f>VLOOKUP($A530,[1]maaltijden!$A$1:$IV$65536,10,FALSE)</f>
        <v>NVT</v>
      </c>
      <c r="E530" s="22" t="str">
        <f>VLOOKUP($A530,[1]maaltijden!$A$1:$IV$65536,13,FALSE)</f>
        <v>BULK HO</v>
      </c>
      <c r="F530" s="20">
        <f t="shared" si="8"/>
        <v>0</v>
      </c>
      <c r="G530" s="20" t="str">
        <f>VLOOKUP($A530,[1]maaltijden!$A$1:$IV$65536,27,FALSE)</f>
        <v>! ! !</v>
      </c>
      <c r="H530" s="22">
        <f>VLOOKUP($A530,[1]maaltijden!$A$1:$IV$65536,21,FALSE)</f>
        <v>3</v>
      </c>
      <c r="I530" s="22">
        <f>VLOOKUP($A530,[1]maaltijden!$A$1:$IV$65536,21,FALSE)</f>
        <v>3</v>
      </c>
      <c r="J530" s="22">
        <f>VLOOKUP($A530,[1]maaltijden!$A$1:$IV$65536,18,FALSE)</f>
        <v>3</v>
      </c>
      <c r="K530" s="22">
        <f>VLOOKUP($A530,[1]maaltijden!$A$1:$IV$65536,17,FALSE)</f>
        <v>2</v>
      </c>
      <c r="L530" s="22">
        <f>VLOOKUP($A530,[1]maaltijden!$A$1:$IV$65536,20,FALSE)</f>
        <v>550</v>
      </c>
      <c r="M530" s="22">
        <f>VLOOKUP($A530,[1]maaltijden!$A$1:$IV$65536,22,FALSE)</f>
        <v>550</v>
      </c>
      <c r="N530" s="135"/>
      <c r="O530" s="50">
        <v>0</v>
      </c>
      <c r="P530" s="19">
        <v>0</v>
      </c>
      <c r="Q530" s="20">
        <v>1</v>
      </c>
      <c r="R530" s="21">
        <v>0</v>
      </c>
      <c r="S530" s="19">
        <v>0</v>
      </c>
      <c r="T530" s="20">
        <v>1</v>
      </c>
      <c r="U530" s="19">
        <v>1</v>
      </c>
      <c r="V530" s="20">
        <v>1</v>
      </c>
      <c r="W530" s="20">
        <v>1</v>
      </c>
      <c r="X530" s="20">
        <v>1</v>
      </c>
      <c r="Y530" s="20">
        <v>1</v>
      </c>
      <c r="Z530" s="20">
        <v>0</v>
      </c>
      <c r="AA530" s="20">
        <v>0</v>
      </c>
      <c r="AB530" s="49">
        <v>0</v>
      </c>
      <c r="AC530" s="49">
        <v>1</v>
      </c>
      <c r="AD530" s="49">
        <v>1</v>
      </c>
      <c r="AE530" s="49">
        <v>0</v>
      </c>
      <c r="AF530" s="49">
        <v>0</v>
      </c>
      <c r="AG530" s="173">
        <v>0</v>
      </c>
      <c r="AH530" s="182">
        <v>2</v>
      </c>
      <c r="AI530" s="188">
        <v>0</v>
      </c>
      <c r="AJ530" s="174">
        <v>0</v>
      </c>
      <c r="AK530" s="174">
        <v>0</v>
      </c>
      <c r="AL530" s="175">
        <v>0</v>
      </c>
      <c r="AM530" s="19">
        <v>0</v>
      </c>
      <c r="AN530" s="20">
        <f>IFERROR(INDEX([2]lijnopstellingsfiche!$AP$1:$AP$65536,MATCH(A530,[2]lijnopstellingsfiche!$AQ$1:$AQ$65536,0)),"")</f>
        <v>1</v>
      </c>
      <c r="AO530" s="20">
        <v>0</v>
      </c>
      <c r="AP530" s="20">
        <v>0</v>
      </c>
      <c r="AQ530" s="20">
        <v>0</v>
      </c>
      <c r="AR530" s="20">
        <v>2</v>
      </c>
      <c r="AS530" s="20">
        <v>0</v>
      </c>
      <c r="AT530" s="20">
        <v>0</v>
      </c>
      <c r="AU530" s="20">
        <v>0</v>
      </c>
      <c r="AV530" s="23">
        <v>0</v>
      </c>
      <c r="AW530" s="108">
        <v>0</v>
      </c>
      <c r="AX530" s="108">
        <v>0</v>
      </c>
      <c r="AY530" s="108">
        <v>0</v>
      </c>
      <c r="AZ530" s="108">
        <v>0</v>
      </c>
      <c r="BA530" s="114">
        <v>1</v>
      </c>
      <c r="BB530" s="20">
        <v>0</v>
      </c>
      <c r="BC530" s="113">
        <v>0</v>
      </c>
      <c r="BD530" s="200" t="str">
        <f>VLOOKUP($A530,'[3]allergenen 6nr'!$A$1:$O$1310,3,FALSE)</f>
        <v>-</v>
      </c>
      <c r="BE530" s="201" t="str">
        <f>VLOOKUP($A530,'[3]allergenen 6nr'!$A$1:$O$1310,4,FALSE)</f>
        <v>-</v>
      </c>
      <c r="BF530" s="201" t="str">
        <f>VLOOKUP($A530,'[3]allergenen 6nr'!$A$1:$O$1310,5,FALSE)</f>
        <v>-</v>
      </c>
      <c r="BG530" s="201" t="str">
        <f>VLOOKUP($A530,'[3]allergenen 6nr'!$A$1:$O$1310,6,FALSE)</f>
        <v>-</v>
      </c>
      <c r="BH530" s="201" t="str">
        <f>VLOOKUP($A530,'[3]allergenen 6nr'!$A$1:$O$1310,7,FALSE)</f>
        <v>-</v>
      </c>
      <c r="BI530" s="201" t="str">
        <f>VLOOKUP($A530,'[3]allergenen 6nr'!$A$1:$O$1310,8,FALSE)</f>
        <v>-</v>
      </c>
      <c r="BJ530" s="201" t="str">
        <f>VLOOKUP($A530,'[3]allergenen 6nr'!$A$1:$O$1310,9,FALSE)</f>
        <v>-</v>
      </c>
      <c r="BK530" s="201" t="str">
        <f>VLOOKUP($A530,'[3]allergenen 6nr'!$A$1:$O$1310,10,FALSE)</f>
        <v>-</v>
      </c>
      <c r="BL530" s="201" t="str">
        <f>VLOOKUP($A530,'[3]allergenen 6nr'!$A$1:$O$1310,11,FALSE)</f>
        <v>-</v>
      </c>
      <c r="BM530" s="201" t="str">
        <f>VLOOKUP($A530,'[3]allergenen 6nr'!$A$1:$O$1310,12,FALSE)</f>
        <v>-</v>
      </c>
      <c r="BN530" s="201" t="str">
        <f>VLOOKUP($A530,'[3]allergenen 6nr'!$A$1:$O$1310,13,FALSE)</f>
        <v>+</v>
      </c>
      <c r="BO530" s="201" t="str">
        <f>VLOOKUP($A530,'[3]allergenen 6nr'!$A$1:$O$1310,14,FALSE)</f>
        <v>-</v>
      </c>
      <c r="BP530" s="202" t="str">
        <f>VLOOKUP($A530,'[3]allergenen 6nr'!$A$1:$O$1310,15,FALSE)</f>
        <v>-</v>
      </c>
    </row>
    <row r="531" spans="1:68" x14ac:dyDescent="0.2">
      <c r="A531" s="89">
        <v>65130700</v>
      </c>
      <c r="B531" s="53" t="str">
        <f>VLOOKUP($A531,[1]maaltijden!$A$1:$IV$65536,4,FALSE)</f>
        <v>DMB HUTSEPOT 2,25KG</v>
      </c>
      <c r="C531" s="46" t="str">
        <f>VLOOKUP($A531,[1]maaltijden!$A$1:$IV$65536,7,FALSE)</f>
        <v>C2325-1C</v>
      </c>
      <c r="D531" s="22" t="str">
        <f>VLOOKUP($A531,[1]maaltijden!$A$1:$IV$65536,10,FALSE)</f>
        <v>NVT</v>
      </c>
      <c r="E531" s="22" t="str">
        <f>VLOOKUP($A531,[1]maaltijden!$A$1:$IV$65536,13,FALSE)</f>
        <v>BULK HO</v>
      </c>
      <c r="F531" s="20">
        <f t="shared" si="8"/>
        <v>0</v>
      </c>
      <c r="G531" s="20" t="str">
        <f>VLOOKUP($A531,[1]maaltijden!$A$1:$IV$65536,27,FALSE)</f>
        <v>! ! !</v>
      </c>
      <c r="H531" s="22">
        <f>VLOOKUP($A531,[1]maaltijden!$A$1:$IV$65536,21,FALSE)</f>
        <v>2</v>
      </c>
      <c r="I531" s="22">
        <f>VLOOKUP($A531,[1]maaltijden!$A$1:$IV$65536,21,FALSE)</f>
        <v>2</v>
      </c>
      <c r="J531" s="22">
        <f>VLOOKUP($A531,[1]maaltijden!$A$1:$IV$65536,18,FALSE)</f>
        <v>3</v>
      </c>
      <c r="K531" s="22">
        <f>VLOOKUP($A531,[1]maaltijden!$A$1:$IV$65536,17,FALSE)</f>
        <v>1</v>
      </c>
      <c r="L531" s="22">
        <f>VLOOKUP($A531,[1]maaltijden!$A$1:$IV$65536,20,FALSE)</f>
        <v>550</v>
      </c>
      <c r="M531" s="22">
        <f>VLOOKUP($A531,[1]maaltijden!$A$1:$IV$65536,22,FALSE)</f>
        <v>550</v>
      </c>
      <c r="N531" s="135"/>
      <c r="O531" s="50">
        <v>0</v>
      </c>
      <c r="P531" s="19">
        <v>0</v>
      </c>
      <c r="Q531" s="20">
        <v>1</v>
      </c>
      <c r="R531" s="21">
        <v>0</v>
      </c>
      <c r="S531" s="19">
        <v>0</v>
      </c>
      <c r="T531" s="20">
        <v>1</v>
      </c>
      <c r="U531" s="19">
        <v>1</v>
      </c>
      <c r="V531" s="20">
        <v>1</v>
      </c>
      <c r="W531" s="20">
        <v>1</v>
      </c>
      <c r="X531" s="20">
        <v>1</v>
      </c>
      <c r="Y531" s="20">
        <v>1</v>
      </c>
      <c r="Z531" s="20">
        <v>0</v>
      </c>
      <c r="AA531" s="20">
        <v>0</v>
      </c>
      <c r="AB531" s="49">
        <v>0</v>
      </c>
      <c r="AC531" s="49">
        <v>0</v>
      </c>
      <c r="AD531" s="49">
        <v>0</v>
      </c>
      <c r="AE531" s="49">
        <v>0</v>
      </c>
      <c r="AF531" s="49">
        <v>0</v>
      </c>
      <c r="AG531" s="184">
        <v>0</v>
      </c>
      <c r="AH531" s="182">
        <v>1</v>
      </c>
      <c r="AI531" s="182">
        <v>0</v>
      </c>
      <c r="AJ531" s="182">
        <v>0</v>
      </c>
      <c r="AK531" s="182">
        <v>0</v>
      </c>
      <c r="AL531" s="183">
        <v>0</v>
      </c>
      <c r="AM531" s="19">
        <v>0</v>
      </c>
      <c r="AN531" s="20" t="str">
        <f>IFERROR(INDEX([2]lijnopstellingsfiche!$AP$1:$AP$65536,MATCH(A531,[2]lijnopstellingsfiche!$AQ$1:$AQ$65536,0)),"")</f>
        <v>-</v>
      </c>
      <c r="AO531" s="20">
        <v>0</v>
      </c>
      <c r="AP531" s="20">
        <v>0</v>
      </c>
      <c r="AQ531" s="20">
        <v>2</v>
      </c>
      <c r="AR531" s="20">
        <v>0</v>
      </c>
      <c r="AS531" s="20">
        <v>0</v>
      </c>
      <c r="AT531" s="20">
        <v>0</v>
      </c>
      <c r="AU531" s="20">
        <v>0</v>
      </c>
      <c r="AV531" s="23">
        <v>0</v>
      </c>
      <c r="AW531" s="108">
        <v>0</v>
      </c>
      <c r="AX531" s="108">
        <v>0</v>
      </c>
      <c r="AY531" s="108">
        <v>0</v>
      </c>
      <c r="AZ531" s="108">
        <v>0</v>
      </c>
      <c r="BA531" s="114">
        <v>1</v>
      </c>
      <c r="BB531" s="20">
        <v>0</v>
      </c>
      <c r="BC531" s="113">
        <v>0</v>
      </c>
      <c r="BD531" s="200" t="str">
        <f>VLOOKUP($A531,'[3]allergenen 6nr'!$A$1:$O$1310,3,FALSE)</f>
        <v>-</v>
      </c>
      <c r="BE531" s="201" t="str">
        <f>VLOOKUP($A531,'[3]allergenen 6nr'!$A$1:$O$1310,4,FALSE)</f>
        <v>-</v>
      </c>
      <c r="BF531" s="201" t="str">
        <f>VLOOKUP($A531,'[3]allergenen 6nr'!$A$1:$O$1310,5,FALSE)</f>
        <v>-</v>
      </c>
      <c r="BG531" s="201" t="str">
        <f>VLOOKUP($A531,'[3]allergenen 6nr'!$A$1:$O$1310,6,FALSE)</f>
        <v>-</v>
      </c>
      <c r="BH531" s="201" t="str">
        <f>VLOOKUP($A531,'[3]allergenen 6nr'!$A$1:$O$1310,7,FALSE)</f>
        <v>-</v>
      </c>
      <c r="BI531" s="201" t="str">
        <f>VLOOKUP($A531,'[3]allergenen 6nr'!$A$1:$O$1310,8,FALSE)</f>
        <v>-</v>
      </c>
      <c r="BJ531" s="201" t="str">
        <f>VLOOKUP($A531,'[3]allergenen 6nr'!$A$1:$O$1310,9,FALSE)</f>
        <v>-</v>
      </c>
      <c r="BK531" s="201" t="str">
        <f>VLOOKUP($A531,'[3]allergenen 6nr'!$A$1:$O$1310,10,FALSE)</f>
        <v>-</v>
      </c>
      <c r="BL531" s="201" t="str">
        <f>VLOOKUP($A531,'[3]allergenen 6nr'!$A$1:$O$1310,11,FALSE)</f>
        <v>+</v>
      </c>
      <c r="BM531" s="201" t="str">
        <f>VLOOKUP($A531,'[3]allergenen 6nr'!$A$1:$O$1310,12,FALSE)</f>
        <v>-</v>
      </c>
      <c r="BN531" s="201" t="str">
        <f>VLOOKUP($A531,'[3]allergenen 6nr'!$A$1:$O$1310,13,FALSE)</f>
        <v>-</v>
      </c>
      <c r="BO531" s="201" t="str">
        <f>VLOOKUP($A531,'[3]allergenen 6nr'!$A$1:$O$1310,14,FALSE)</f>
        <v>-</v>
      </c>
      <c r="BP531" s="202" t="str">
        <f>VLOOKUP($A531,'[3]allergenen 6nr'!$A$1:$O$1310,15,FALSE)</f>
        <v>-</v>
      </c>
    </row>
    <row r="532" spans="1:68" x14ac:dyDescent="0.2">
      <c r="A532" s="89">
        <v>65131100</v>
      </c>
      <c r="B532" s="53" t="str">
        <f>VLOOKUP($A532,[1]maaltijden!$A$1:$IV$65536,4,FALSE)</f>
        <v>DMB KOOKAARDAPPELEN 1,8KG</v>
      </c>
      <c r="C532" s="46" t="str">
        <f>VLOOKUP($A532,[1]maaltijden!$A$1:$IV$65536,7,FALSE)</f>
        <v>C2325-1C</v>
      </c>
      <c r="D532" s="22" t="str">
        <f>VLOOKUP($A532,[1]maaltijden!$A$1:$IV$65536,10,FALSE)</f>
        <v>NVT</v>
      </c>
      <c r="E532" s="22" t="str">
        <f>VLOOKUP($A532,[1]maaltijden!$A$1:$IV$65536,13,FALSE)</f>
        <v>BULK HO</v>
      </c>
      <c r="F532" s="20">
        <f t="shared" si="8"/>
        <v>0</v>
      </c>
      <c r="G532" s="20" t="str">
        <f>VLOOKUP($A532,[1]maaltijden!$A$1:$IV$65536,27,FALSE)</f>
        <v>-</v>
      </c>
      <c r="H532" s="22">
        <f>VLOOKUP($A532,[1]maaltijden!$A$1:$IV$65536,21,FALSE)</f>
        <v>5</v>
      </c>
      <c r="I532" s="22">
        <f>VLOOKUP($A532,[1]maaltijden!$A$1:$IV$65536,21,FALSE)</f>
        <v>5</v>
      </c>
      <c r="J532" s="22">
        <f>VLOOKUP($A532,[1]maaltijden!$A$1:$IV$65536,18,FALSE)</f>
        <v>3</v>
      </c>
      <c r="K532" s="22">
        <f>VLOOKUP($A532,[1]maaltijden!$A$1:$IV$65536,17,FALSE)</f>
        <v>1</v>
      </c>
      <c r="L532" s="22">
        <f>VLOOKUP($A532,[1]maaltijden!$A$1:$IV$65536,20,FALSE)</f>
        <v>725</v>
      </c>
      <c r="M532" s="22">
        <f>VLOOKUP($A532,[1]maaltijden!$A$1:$IV$65536,22,FALSE)</f>
        <v>725</v>
      </c>
      <c r="N532" s="135"/>
      <c r="O532" s="50">
        <v>0</v>
      </c>
      <c r="P532" s="19">
        <v>0</v>
      </c>
      <c r="Q532" s="20">
        <v>1</v>
      </c>
      <c r="R532" s="21">
        <v>0</v>
      </c>
      <c r="S532" s="19">
        <v>0</v>
      </c>
      <c r="T532" s="20">
        <v>1</v>
      </c>
      <c r="U532" s="19">
        <v>1</v>
      </c>
      <c r="V532" s="20">
        <v>1</v>
      </c>
      <c r="W532" s="20">
        <v>1</v>
      </c>
      <c r="X532" s="20">
        <v>1</v>
      </c>
      <c r="Y532" s="20">
        <v>1</v>
      </c>
      <c r="Z532" s="20">
        <v>0</v>
      </c>
      <c r="AA532" s="20">
        <v>0</v>
      </c>
      <c r="AB532" s="49">
        <v>0</v>
      </c>
      <c r="AC532" s="49">
        <v>0</v>
      </c>
      <c r="AD532" s="49">
        <v>0</v>
      </c>
      <c r="AE532" s="49">
        <v>0</v>
      </c>
      <c r="AF532" s="49">
        <v>0</v>
      </c>
      <c r="AG532" s="173">
        <v>0</v>
      </c>
      <c r="AH532" s="174">
        <v>0</v>
      </c>
      <c r="AI532" s="174">
        <v>0</v>
      </c>
      <c r="AJ532" s="174">
        <v>0</v>
      </c>
      <c r="AK532" s="174">
        <v>0</v>
      </c>
      <c r="AL532" s="175">
        <v>0</v>
      </c>
      <c r="AM532" s="19">
        <v>0</v>
      </c>
      <c r="AN532" s="20">
        <f>IFERROR(INDEX([2]lijnopstellingsfiche!$AP$1:$AP$65536,MATCH(A532,[2]lijnopstellingsfiche!$AQ$1:$AQ$65536,0)),"")</f>
        <v>4</v>
      </c>
      <c r="AO532" s="20">
        <v>0</v>
      </c>
      <c r="AP532" s="20">
        <v>0</v>
      </c>
      <c r="AQ532" s="20">
        <v>0</v>
      </c>
      <c r="AR532" s="20">
        <v>0</v>
      </c>
      <c r="AS532" s="20">
        <v>0</v>
      </c>
      <c r="AT532" s="20">
        <v>0</v>
      </c>
      <c r="AU532" s="20">
        <v>0</v>
      </c>
      <c r="AV532" s="23">
        <v>0</v>
      </c>
      <c r="AW532" s="108">
        <v>0</v>
      </c>
      <c r="AX532" s="108">
        <v>0</v>
      </c>
      <c r="AY532" s="108">
        <v>0</v>
      </c>
      <c r="AZ532" s="108">
        <v>0</v>
      </c>
      <c r="BA532" s="114">
        <v>1</v>
      </c>
      <c r="BB532" s="20">
        <v>0</v>
      </c>
      <c r="BC532" s="113">
        <v>0</v>
      </c>
      <c r="BD532" s="200"/>
      <c r="BE532" s="201"/>
      <c r="BF532" s="201"/>
      <c r="BG532" s="201"/>
      <c r="BH532" s="201"/>
      <c r="BI532" s="201"/>
      <c r="BJ532" s="201"/>
      <c r="BK532" s="201"/>
      <c r="BL532" s="201"/>
      <c r="BM532" s="201"/>
      <c r="BN532" s="201"/>
      <c r="BO532" s="201"/>
      <c r="BP532" s="202"/>
    </row>
    <row r="533" spans="1:68" x14ac:dyDescent="0.2">
      <c r="A533" s="126">
        <v>65131300</v>
      </c>
      <c r="B533" s="53" t="str">
        <f>VLOOKUP($A533,[1]maaltijden!$A$1:$IV$65536,4,FALSE)</f>
        <v>DMB AARDAPPELKUBUS GEKRUID 1,8KG</v>
      </c>
      <c r="C533" s="46" t="str">
        <f>VLOOKUP($A533,[1]maaltijden!$A$1:$IV$65536,7,FALSE)</f>
        <v>C2325-1C</v>
      </c>
      <c r="D533" s="22" t="str">
        <f>VLOOKUP($A533,[1]maaltijden!$A$1:$IV$65536,10,FALSE)</f>
        <v>NVT</v>
      </c>
      <c r="E533" s="22" t="str">
        <f>VLOOKUP($A533,[1]maaltijden!$A$1:$IV$65536,13,FALSE)</f>
        <v>BULK HO</v>
      </c>
      <c r="F533" s="20">
        <f t="shared" si="8"/>
        <v>0</v>
      </c>
      <c r="G533" s="20" t="str">
        <f>VLOOKUP($A533,[1]maaltijden!$A$1:$IV$65536,27,FALSE)</f>
        <v>-</v>
      </c>
      <c r="H533" s="22">
        <f>VLOOKUP($A533,[1]maaltijden!$A$1:$IV$65536,21,FALSE)</f>
        <v>5</v>
      </c>
      <c r="I533" s="22">
        <f>VLOOKUP($A533,[1]maaltijden!$A$1:$IV$65536,21,FALSE)</f>
        <v>5</v>
      </c>
      <c r="J533" s="22">
        <f>VLOOKUP($A533,[1]maaltijden!$A$1:$IV$65536,18,FALSE)</f>
        <v>3</v>
      </c>
      <c r="K533" s="22">
        <f>VLOOKUP($A533,[1]maaltijden!$A$1:$IV$65536,17,FALSE)</f>
        <v>0</v>
      </c>
      <c r="L533" s="22">
        <f>VLOOKUP($A533,[1]maaltijden!$A$1:$IV$65536,20,FALSE)</f>
        <v>725</v>
      </c>
      <c r="M533" s="22">
        <f>VLOOKUP($A533,[1]maaltijden!$A$1:$IV$65536,22,FALSE)</f>
        <v>725</v>
      </c>
      <c r="N533" s="135"/>
      <c r="O533" s="50">
        <v>0</v>
      </c>
      <c r="P533" s="19">
        <v>0</v>
      </c>
      <c r="Q533" s="20">
        <v>1</v>
      </c>
      <c r="R533" s="21">
        <v>0</v>
      </c>
      <c r="S533" s="19">
        <v>0</v>
      </c>
      <c r="T533" s="20">
        <v>1</v>
      </c>
      <c r="U533" s="19">
        <v>1</v>
      </c>
      <c r="V533" s="20">
        <v>1</v>
      </c>
      <c r="W533" s="20">
        <v>1</v>
      </c>
      <c r="X533" s="20">
        <v>1</v>
      </c>
      <c r="Y533" s="20">
        <v>1</v>
      </c>
      <c r="Z533" s="20">
        <v>0</v>
      </c>
      <c r="AA533" s="20">
        <v>0</v>
      </c>
      <c r="AB533" s="49">
        <v>0</v>
      </c>
      <c r="AC533" s="49">
        <v>0</v>
      </c>
      <c r="AD533" s="49">
        <v>0</v>
      </c>
      <c r="AE533" s="49">
        <v>0</v>
      </c>
      <c r="AF533" s="49">
        <v>0</v>
      </c>
      <c r="AG533" s="19">
        <v>0</v>
      </c>
      <c r="AH533" s="20"/>
      <c r="AI533" s="20"/>
      <c r="AJ533" s="20"/>
      <c r="AK533" s="20"/>
      <c r="AL533" s="21"/>
      <c r="AM533" s="19">
        <v>0</v>
      </c>
      <c r="AN533" s="20">
        <f>IFERROR(INDEX([2]lijnopstellingsfiche!$AP$1:$AP$65536,MATCH(A533,[2]lijnopstellingsfiche!$AQ$1:$AQ$65536,0)),"")</f>
        <v>4</v>
      </c>
      <c r="AO533" s="20">
        <v>0</v>
      </c>
      <c r="AP533" s="20">
        <v>0</v>
      </c>
      <c r="AQ533" s="20">
        <v>0</v>
      </c>
      <c r="AR533" s="20">
        <v>0</v>
      </c>
      <c r="AS533" s="20">
        <v>0</v>
      </c>
      <c r="AT533" s="20">
        <v>0</v>
      </c>
      <c r="AU533" s="20">
        <v>0</v>
      </c>
      <c r="AV533" s="23">
        <v>0</v>
      </c>
      <c r="AW533" s="108">
        <v>0</v>
      </c>
      <c r="AX533" s="108">
        <v>0</v>
      </c>
      <c r="AY533" s="108">
        <v>0</v>
      </c>
      <c r="AZ533" s="108">
        <v>0</v>
      </c>
      <c r="BA533" s="114">
        <v>1</v>
      </c>
      <c r="BB533" s="20">
        <v>0</v>
      </c>
      <c r="BC533" s="113">
        <v>0</v>
      </c>
      <c r="BD533" s="200"/>
      <c r="BE533" s="201"/>
      <c r="BF533" s="201"/>
      <c r="BG533" s="201"/>
      <c r="BH533" s="201"/>
      <c r="BI533" s="201"/>
      <c r="BJ533" s="201"/>
      <c r="BK533" s="201"/>
      <c r="BL533" s="201"/>
      <c r="BM533" s="201"/>
      <c r="BN533" s="201"/>
      <c r="BO533" s="201"/>
      <c r="BP533" s="202"/>
    </row>
    <row r="534" spans="1:68" x14ac:dyDescent="0.2">
      <c r="A534" s="89">
        <v>65132600</v>
      </c>
      <c r="B534" s="53" t="str">
        <f>VLOOKUP($A534,[1]maaltijden!$A$1:$IV$65536,4,FALSE)</f>
        <v>DMB SPAGHETTI 1,5KG</v>
      </c>
      <c r="C534" s="46" t="str">
        <f>VLOOKUP($A534,[1]maaltijden!$A$1:$IV$65536,7,FALSE)</f>
        <v>C2325-1C</v>
      </c>
      <c r="D534" s="22" t="str">
        <f>VLOOKUP($A534,[1]maaltijden!$A$1:$IV$65536,10,FALSE)</f>
        <v>NVT</v>
      </c>
      <c r="E534" s="22" t="str">
        <f>VLOOKUP($A534,[1]maaltijden!$A$1:$IV$65536,13,FALSE)</f>
        <v>BULK HO</v>
      </c>
      <c r="F534" s="20">
        <f t="shared" si="8"/>
        <v>0</v>
      </c>
      <c r="G534" s="20" t="str">
        <f>VLOOKUP($A534,[1]maaltijden!$A$1:$IV$65536,27,FALSE)</f>
        <v>! !</v>
      </c>
      <c r="H534" s="22">
        <f>VLOOKUP($A534,[1]maaltijden!$A$1:$IV$65536,21,FALSE)</f>
        <v>6</v>
      </c>
      <c r="I534" s="22">
        <f>VLOOKUP($A534,[1]maaltijden!$A$1:$IV$65536,21,FALSE)</f>
        <v>6</v>
      </c>
      <c r="J534" s="22">
        <f>VLOOKUP($A534,[1]maaltijden!$A$1:$IV$65536,18,FALSE)</f>
        <v>3</v>
      </c>
      <c r="K534" s="22">
        <f>VLOOKUP($A534,[1]maaltijden!$A$1:$IV$65536,17,FALSE)</f>
        <v>2</v>
      </c>
      <c r="L534" s="22">
        <f>VLOOKUP($A534,[1]maaltijden!$A$1:$IV$65536,20,FALSE)</f>
        <v>850</v>
      </c>
      <c r="M534" s="22">
        <f>VLOOKUP($A534,[1]maaltijden!$A$1:$IV$65536,22,FALSE)</f>
        <v>850</v>
      </c>
      <c r="N534" s="135"/>
      <c r="O534" s="50">
        <v>0</v>
      </c>
      <c r="P534" s="19">
        <v>0</v>
      </c>
      <c r="Q534" s="20">
        <v>1</v>
      </c>
      <c r="R534" s="21">
        <v>0</v>
      </c>
      <c r="S534" s="19">
        <v>0</v>
      </c>
      <c r="T534" s="20">
        <v>1</v>
      </c>
      <c r="U534" s="19">
        <v>1</v>
      </c>
      <c r="V534" s="20">
        <v>1</v>
      </c>
      <c r="W534" s="20">
        <v>1</v>
      </c>
      <c r="X534" s="20">
        <v>1</v>
      </c>
      <c r="Y534" s="20">
        <v>1</v>
      </c>
      <c r="Z534" s="20">
        <v>0</v>
      </c>
      <c r="AA534" s="20">
        <v>0</v>
      </c>
      <c r="AB534" s="49">
        <v>1</v>
      </c>
      <c r="AC534" s="49">
        <v>0</v>
      </c>
      <c r="AD534" s="49">
        <v>0</v>
      </c>
      <c r="AE534" s="49">
        <v>1</v>
      </c>
      <c r="AF534" s="49">
        <v>1</v>
      </c>
      <c r="AG534" s="161">
        <v>1</v>
      </c>
      <c r="AH534" s="162">
        <v>0</v>
      </c>
      <c r="AI534" s="162">
        <v>0</v>
      </c>
      <c r="AJ534" s="162">
        <v>0</v>
      </c>
      <c r="AK534" s="162">
        <v>0</v>
      </c>
      <c r="AL534" s="163">
        <v>0</v>
      </c>
      <c r="AM534" s="19">
        <v>0</v>
      </c>
      <c r="AN534" s="20">
        <f>IFERROR(INDEX([2]lijnopstellingsfiche!$AP$1:$AP$65536,MATCH(A534,[2]lijnopstellingsfiche!$AQ$1:$AQ$65536,0)),"")</f>
        <v>4</v>
      </c>
      <c r="AO534" s="20">
        <v>0</v>
      </c>
      <c r="AP534" s="20">
        <v>0</v>
      </c>
      <c r="AQ534" s="20">
        <v>0</v>
      </c>
      <c r="AR534" s="20">
        <v>0</v>
      </c>
      <c r="AS534" s="20">
        <v>0</v>
      </c>
      <c r="AT534" s="20">
        <v>0</v>
      </c>
      <c r="AU534" s="20">
        <v>0</v>
      </c>
      <c r="AV534" s="23">
        <v>0</v>
      </c>
      <c r="AW534" s="108">
        <v>0</v>
      </c>
      <c r="AX534" s="108">
        <v>0</v>
      </c>
      <c r="AY534" s="108">
        <v>0</v>
      </c>
      <c r="AZ534" s="108">
        <v>0</v>
      </c>
      <c r="BA534" s="114">
        <v>1</v>
      </c>
      <c r="BB534" s="20">
        <v>0</v>
      </c>
      <c r="BC534" s="113">
        <v>0</v>
      </c>
      <c r="BD534" s="200" t="str">
        <f>VLOOKUP($A534,'[3]allergenen 6nr'!$A$1:$O$1310,3,FALSE)</f>
        <v>-</v>
      </c>
      <c r="BE534" s="201" t="str">
        <f>VLOOKUP($A534,'[3]allergenen 6nr'!$A$1:$O$1310,4,FALSE)</f>
        <v>X</v>
      </c>
      <c r="BF534" s="201" t="str">
        <f>VLOOKUP($A534,'[3]allergenen 6nr'!$A$1:$O$1310,5,FALSE)</f>
        <v>+</v>
      </c>
      <c r="BG534" s="201" t="str">
        <f>VLOOKUP($A534,'[3]allergenen 6nr'!$A$1:$O$1310,6,FALSE)</f>
        <v>X</v>
      </c>
      <c r="BH534" s="201" t="str">
        <f>VLOOKUP($A534,'[3]allergenen 6nr'!$A$1:$O$1310,7,FALSE)</f>
        <v>-</v>
      </c>
      <c r="BI534" s="201" t="str">
        <f>VLOOKUP($A534,'[3]allergenen 6nr'!$A$1:$O$1310,8,FALSE)</f>
        <v>X</v>
      </c>
      <c r="BJ534" s="201" t="str">
        <f>VLOOKUP($A534,'[3]allergenen 6nr'!$A$1:$O$1310,9,FALSE)</f>
        <v>-</v>
      </c>
      <c r="BK534" s="201" t="str">
        <f>VLOOKUP($A534,'[3]allergenen 6nr'!$A$1:$O$1310,10,FALSE)</f>
        <v>-</v>
      </c>
      <c r="BL534" s="201" t="str">
        <f>VLOOKUP($A534,'[3]allergenen 6nr'!$A$1:$O$1310,11,FALSE)</f>
        <v>-</v>
      </c>
      <c r="BM534" s="201" t="str">
        <f>VLOOKUP($A534,'[3]allergenen 6nr'!$A$1:$O$1310,12,FALSE)</f>
        <v>-</v>
      </c>
      <c r="BN534" s="201" t="str">
        <f>VLOOKUP($A534,'[3]allergenen 6nr'!$A$1:$O$1310,13,FALSE)</f>
        <v>X</v>
      </c>
      <c r="BO534" s="201" t="str">
        <f>VLOOKUP($A534,'[3]allergenen 6nr'!$A$1:$O$1310,14,FALSE)</f>
        <v>-</v>
      </c>
      <c r="BP534" s="202" t="str">
        <f>VLOOKUP($A534,'[3]allergenen 6nr'!$A$1:$O$1310,15,FALSE)</f>
        <v>-</v>
      </c>
    </row>
    <row r="535" spans="1:68" x14ac:dyDescent="0.2">
      <c r="A535" s="89">
        <v>65132700</v>
      </c>
      <c r="B535" s="53" t="str">
        <f>VLOOKUP($A535,[1]maaltijden!$A$1:$IV$65536,4,FALSE)</f>
        <v>DMB MACARONI 1,5KG</v>
      </c>
      <c r="C535" s="46" t="str">
        <f>VLOOKUP($A535,[1]maaltijden!$A$1:$IV$65536,7,FALSE)</f>
        <v>C2325-1C</v>
      </c>
      <c r="D535" s="22" t="str">
        <f>VLOOKUP($A535,[1]maaltijden!$A$1:$IV$65536,10,FALSE)</f>
        <v>NVT</v>
      </c>
      <c r="E535" s="22" t="str">
        <f>VLOOKUP($A535,[1]maaltijden!$A$1:$IV$65536,13,FALSE)</f>
        <v>BULK HO</v>
      </c>
      <c r="F535" s="20">
        <f t="shared" si="8"/>
        <v>0</v>
      </c>
      <c r="G535" s="20" t="str">
        <f>VLOOKUP($A535,[1]maaltijden!$A$1:$IV$65536,27,FALSE)</f>
        <v>! !</v>
      </c>
      <c r="H535" s="22">
        <f>VLOOKUP($A535,[1]maaltijden!$A$1:$IV$65536,21,FALSE)</f>
        <v>5</v>
      </c>
      <c r="I535" s="22">
        <f>VLOOKUP($A535,[1]maaltijden!$A$1:$IV$65536,21,FALSE)</f>
        <v>5</v>
      </c>
      <c r="J535" s="22">
        <f>VLOOKUP($A535,[1]maaltijden!$A$1:$IV$65536,18,FALSE)</f>
        <v>3</v>
      </c>
      <c r="K535" s="22">
        <f>VLOOKUP($A535,[1]maaltijden!$A$1:$IV$65536,17,FALSE)</f>
        <v>1</v>
      </c>
      <c r="L535" s="22">
        <f>VLOOKUP($A535,[1]maaltijden!$A$1:$IV$65536,20,FALSE)</f>
        <v>850</v>
      </c>
      <c r="M535" s="22">
        <f>VLOOKUP($A535,[1]maaltijden!$A$1:$IV$65536,22,FALSE)</f>
        <v>850</v>
      </c>
      <c r="N535" s="135"/>
      <c r="O535" s="50"/>
      <c r="P535" s="19">
        <v>0</v>
      </c>
      <c r="Q535" s="20">
        <v>1</v>
      </c>
      <c r="R535" s="21">
        <v>0</v>
      </c>
      <c r="S535" s="19">
        <v>0</v>
      </c>
      <c r="T535" s="20">
        <v>1</v>
      </c>
      <c r="U535" s="19">
        <v>1</v>
      </c>
      <c r="V535" s="20">
        <v>1</v>
      </c>
      <c r="W535" s="20">
        <v>1</v>
      </c>
      <c r="X535" s="20">
        <v>1</v>
      </c>
      <c r="Y535" s="20">
        <v>1</v>
      </c>
      <c r="Z535" s="20">
        <v>0</v>
      </c>
      <c r="AA535" s="20">
        <v>0</v>
      </c>
      <c r="AB535" s="49">
        <v>1</v>
      </c>
      <c r="AC535" s="49">
        <v>0</v>
      </c>
      <c r="AD535" s="49">
        <v>0</v>
      </c>
      <c r="AE535" s="49">
        <v>1</v>
      </c>
      <c r="AF535" s="49">
        <v>1</v>
      </c>
      <c r="AG535" s="161">
        <v>1</v>
      </c>
      <c r="AH535" s="162">
        <v>0</v>
      </c>
      <c r="AI535" s="162">
        <v>0</v>
      </c>
      <c r="AJ535" s="162">
        <v>0</v>
      </c>
      <c r="AK535" s="162">
        <v>0</v>
      </c>
      <c r="AL535" s="163">
        <v>0</v>
      </c>
      <c r="AM535" s="19">
        <v>0</v>
      </c>
      <c r="AN535" s="20">
        <f>IFERROR(INDEX([2]lijnopstellingsfiche!$AP$1:$AP$65536,MATCH(A535,[2]lijnopstellingsfiche!$AQ$1:$AQ$65536,0)),"")</f>
        <v>4</v>
      </c>
      <c r="AO535" s="20">
        <v>0</v>
      </c>
      <c r="AP535" s="20">
        <v>0</v>
      </c>
      <c r="AQ535" s="20">
        <v>0</v>
      </c>
      <c r="AR535" s="20">
        <v>0</v>
      </c>
      <c r="AS535" s="20">
        <v>0</v>
      </c>
      <c r="AT535" s="20">
        <v>0</v>
      </c>
      <c r="AU535" s="20">
        <v>0</v>
      </c>
      <c r="AV535" s="23">
        <v>0</v>
      </c>
      <c r="AW535" s="108">
        <v>0</v>
      </c>
      <c r="AX535" s="108">
        <v>0</v>
      </c>
      <c r="AY535" s="108">
        <v>0</v>
      </c>
      <c r="AZ535" s="108">
        <v>0</v>
      </c>
      <c r="BA535" s="114">
        <v>1</v>
      </c>
      <c r="BB535" s="20">
        <v>0</v>
      </c>
      <c r="BC535" s="113">
        <v>0</v>
      </c>
      <c r="BD535" s="200" t="str">
        <f>VLOOKUP($A535,'[3]allergenen 6nr'!$A$1:$O$1310,3,FALSE)</f>
        <v>-</v>
      </c>
      <c r="BE535" s="201" t="str">
        <f>VLOOKUP($A535,'[3]allergenen 6nr'!$A$1:$O$1310,4,FALSE)</f>
        <v>X</v>
      </c>
      <c r="BF535" s="201" t="str">
        <f>VLOOKUP($A535,'[3]allergenen 6nr'!$A$1:$O$1310,5,FALSE)</f>
        <v>+</v>
      </c>
      <c r="BG535" s="201" t="str">
        <f>VLOOKUP($A535,'[3]allergenen 6nr'!$A$1:$O$1310,6,FALSE)</f>
        <v>X</v>
      </c>
      <c r="BH535" s="201" t="str">
        <f>VLOOKUP($A535,'[3]allergenen 6nr'!$A$1:$O$1310,7,FALSE)</f>
        <v>-</v>
      </c>
      <c r="BI535" s="201" t="str">
        <f>VLOOKUP($A535,'[3]allergenen 6nr'!$A$1:$O$1310,8,FALSE)</f>
        <v>X</v>
      </c>
      <c r="BJ535" s="201" t="str">
        <f>VLOOKUP($A535,'[3]allergenen 6nr'!$A$1:$O$1310,9,FALSE)</f>
        <v>-</v>
      </c>
      <c r="BK535" s="201" t="str">
        <f>VLOOKUP($A535,'[3]allergenen 6nr'!$A$1:$O$1310,10,FALSE)</f>
        <v>-</v>
      </c>
      <c r="BL535" s="201" t="str">
        <f>VLOOKUP($A535,'[3]allergenen 6nr'!$A$1:$O$1310,11,FALSE)</f>
        <v>-</v>
      </c>
      <c r="BM535" s="201" t="str">
        <f>VLOOKUP($A535,'[3]allergenen 6nr'!$A$1:$O$1310,12,FALSE)</f>
        <v>-</v>
      </c>
      <c r="BN535" s="201" t="str">
        <f>VLOOKUP($A535,'[3]allergenen 6nr'!$A$1:$O$1310,13,FALSE)</f>
        <v>X</v>
      </c>
      <c r="BO535" s="201" t="str">
        <f>VLOOKUP($A535,'[3]allergenen 6nr'!$A$1:$O$1310,14,FALSE)</f>
        <v>-</v>
      </c>
      <c r="BP535" s="202" t="str">
        <f>VLOOKUP($A535,'[3]allergenen 6nr'!$A$1:$O$1310,15,FALSE)</f>
        <v>-</v>
      </c>
    </row>
    <row r="536" spans="1:68" x14ac:dyDescent="0.2">
      <c r="A536" s="89">
        <v>65132800</v>
      </c>
      <c r="B536" s="53" t="str">
        <f>VLOOKUP($A536,[1]maaltijden!$A$1:$IV$65536,4,FALSE)</f>
        <v>DMB PENNE 1,5KG</v>
      </c>
      <c r="C536" s="46" t="str">
        <f>VLOOKUP($A536,[1]maaltijden!$A$1:$IV$65536,7,FALSE)</f>
        <v>C2325-1C</v>
      </c>
      <c r="D536" s="22" t="str">
        <f>VLOOKUP($A536,[1]maaltijden!$A$1:$IV$65536,10,FALSE)</f>
        <v>NVT</v>
      </c>
      <c r="E536" s="22" t="str">
        <f>VLOOKUP($A536,[1]maaltijden!$A$1:$IV$65536,13,FALSE)</f>
        <v>BULK HO</v>
      </c>
      <c r="F536" s="20">
        <f t="shared" si="8"/>
        <v>0</v>
      </c>
      <c r="G536" s="20" t="str">
        <f>VLOOKUP($A536,[1]maaltijden!$A$1:$IV$65536,27,FALSE)</f>
        <v>! !</v>
      </c>
      <c r="H536" s="22">
        <f>VLOOKUP($A536,[1]maaltijden!$A$1:$IV$65536,21,FALSE)</f>
        <v>5</v>
      </c>
      <c r="I536" s="22">
        <f>VLOOKUP($A536,[1]maaltijden!$A$1:$IV$65536,21,FALSE)</f>
        <v>5</v>
      </c>
      <c r="J536" s="22">
        <f>VLOOKUP($A536,[1]maaltijden!$A$1:$IV$65536,18,FALSE)</f>
        <v>3</v>
      </c>
      <c r="K536" s="22">
        <f>VLOOKUP($A536,[1]maaltijden!$A$1:$IV$65536,17,FALSE)</f>
        <v>1</v>
      </c>
      <c r="L536" s="22">
        <f>VLOOKUP($A536,[1]maaltijden!$A$1:$IV$65536,20,FALSE)</f>
        <v>850</v>
      </c>
      <c r="M536" s="22">
        <f>VLOOKUP($A536,[1]maaltijden!$A$1:$IV$65536,22,FALSE)</f>
        <v>850</v>
      </c>
      <c r="N536" s="135"/>
      <c r="O536" s="50"/>
      <c r="P536" s="19">
        <v>0</v>
      </c>
      <c r="Q536" s="20">
        <v>1</v>
      </c>
      <c r="R536" s="21">
        <v>0</v>
      </c>
      <c r="S536" s="19">
        <v>0</v>
      </c>
      <c r="T536" s="20">
        <v>1</v>
      </c>
      <c r="U536" s="19">
        <v>1</v>
      </c>
      <c r="V536" s="20">
        <v>1</v>
      </c>
      <c r="W536" s="20">
        <v>1</v>
      </c>
      <c r="X536" s="20">
        <v>1</v>
      </c>
      <c r="Y536" s="20">
        <v>1</v>
      </c>
      <c r="Z536" s="20">
        <v>0</v>
      </c>
      <c r="AA536" s="20">
        <v>0</v>
      </c>
      <c r="AB536" s="49">
        <v>1</v>
      </c>
      <c r="AC536" s="49">
        <v>0</v>
      </c>
      <c r="AD536" s="49">
        <v>0</v>
      </c>
      <c r="AE536" s="49">
        <v>1</v>
      </c>
      <c r="AF536" s="49">
        <v>1</v>
      </c>
      <c r="AG536" s="161">
        <v>1</v>
      </c>
      <c r="AH536" s="162">
        <v>0</v>
      </c>
      <c r="AI536" s="162">
        <v>0</v>
      </c>
      <c r="AJ536" s="162">
        <v>0</v>
      </c>
      <c r="AK536" s="162">
        <v>0</v>
      </c>
      <c r="AL536" s="163">
        <v>0</v>
      </c>
      <c r="AM536" s="19">
        <v>0</v>
      </c>
      <c r="AN536" s="20">
        <f>IFERROR(INDEX([2]lijnopstellingsfiche!$AP$1:$AP$65536,MATCH(A536,[2]lijnopstellingsfiche!$AQ$1:$AQ$65536,0)),"")</f>
        <v>4</v>
      </c>
      <c r="AO536" s="20">
        <v>0</v>
      </c>
      <c r="AP536" s="20">
        <v>0</v>
      </c>
      <c r="AQ536" s="20">
        <v>0</v>
      </c>
      <c r="AR536" s="20">
        <v>0</v>
      </c>
      <c r="AS536" s="20">
        <v>0</v>
      </c>
      <c r="AT536" s="20">
        <v>0</v>
      </c>
      <c r="AU536" s="20">
        <v>0</v>
      </c>
      <c r="AV536" s="23">
        <v>0</v>
      </c>
      <c r="AW536" s="108">
        <v>0</v>
      </c>
      <c r="AX536" s="108">
        <v>0</v>
      </c>
      <c r="AY536" s="108">
        <v>0</v>
      </c>
      <c r="AZ536" s="108">
        <v>0</v>
      </c>
      <c r="BA536" s="114">
        <v>1</v>
      </c>
      <c r="BB536" s="20">
        <v>0</v>
      </c>
      <c r="BC536" s="113">
        <v>0</v>
      </c>
      <c r="BD536" s="200" t="e">
        <f>VLOOKUP($A536,'[3]allergenen 6nr'!$A$1:$O$1310,3,FALSE)</f>
        <v>#N/A</v>
      </c>
      <c r="BE536" s="201" t="e">
        <f>VLOOKUP($A536,'[3]allergenen 6nr'!$A$1:$O$1310,4,FALSE)</f>
        <v>#N/A</v>
      </c>
      <c r="BF536" s="201" t="e">
        <f>VLOOKUP($A536,'[3]allergenen 6nr'!$A$1:$O$1310,5,FALSE)</f>
        <v>#N/A</v>
      </c>
      <c r="BG536" s="201" t="e">
        <f>VLOOKUP($A536,'[3]allergenen 6nr'!$A$1:$O$1310,6,FALSE)</f>
        <v>#N/A</v>
      </c>
      <c r="BH536" s="201" t="e">
        <f>VLOOKUP($A536,'[3]allergenen 6nr'!$A$1:$O$1310,7,FALSE)</f>
        <v>#N/A</v>
      </c>
      <c r="BI536" s="201" t="e">
        <f>VLOOKUP($A536,'[3]allergenen 6nr'!$A$1:$O$1310,8,FALSE)</f>
        <v>#N/A</v>
      </c>
      <c r="BJ536" s="201" t="e">
        <f>VLOOKUP($A536,'[3]allergenen 6nr'!$A$1:$O$1310,9,FALSE)</f>
        <v>#N/A</v>
      </c>
      <c r="BK536" s="201" t="e">
        <f>VLOOKUP($A536,'[3]allergenen 6nr'!$A$1:$O$1310,10,FALSE)</f>
        <v>#N/A</v>
      </c>
      <c r="BL536" s="201" t="e">
        <f>VLOOKUP($A536,'[3]allergenen 6nr'!$A$1:$O$1310,11,FALSE)</f>
        <v>#N/A</v>
      </c>
      <c r="BM536" s="201" t="e">
        <f>VLOOKUP($A536,'[3]allergenen 6nr'!$A$1:$O$1310,12,FALSE)</f>
        <v>#N/A</v>
      </c>
      <c r="BN536" s="201" t="e">
        <f>VLOOKUP($A536,'[3]allergenen 6nr'!$A$1:$O$1310,13,FALSE)</f>
        <v>#N/A</v>
      </c>
      <c r="BO536" s="201" t="e">
        <f>VLOOKUP($A536,'[3]allergenen 6nr'!$A$1:$O$1310,14,FALSE)</f>
        <v>#N/A</v>
      </c>
      <c r="BP536" s="202" t="e">
        <f>VLOOKUP($A536,'[3]allergenen 6nr'!$A$1:$O$1310,15,FALSE)</f>
        <v>#N/A</v>
      </c>
    </row>
    <row r="537" spans="1:68" x14ac:dyDescent="0.2">
      <c r="A537" s="89">
        <v>65132900</v>
      </c>
      <c r="B537" s="53" t="str">
        <f>VLOOKUP($A537,[1]maaltijden!$A$1:$IV$65536,4,FALSE)</f>
        <v>DMB SPIRELLI 1,5KG</v>
      </c>
      <c r="C537" s="46" t="str">
        <f>VLOOKUP($A537,[1]maaltijden!$A$1:$IV$65536,7,FALSE)</f>
        <v>C2325-1C</v>
      </c>
      <c r="D537" s="22" t="str">
        <f>VLOOKUP($A537,[1]maaltijden!$A$1:$IV$65536,10,FALSE)</f>
        <v>NVT</v>
      </c>
      <c r="E537" s="22" t="str">
        <f>VLOOKUP($A537,[1]maaltijden!$A$1:$IV$65536,13,FALSE)</f>
        <v>BULK HO</v>
      </c>
      <c r="F537" s="20">
        <f t="shared" si="8"/>
        <v>0</v>
      </c>
      <c r="G537" s="20" t="str">
        <f>VLOOKUP($A537,[1]maaltijden!$A$1:$IV$65536,27,FALSE)</f>
        <v>! !</v>
      </c>
      <c r="H537" s="22">
        <f>VLOOKUP($A537,[1]maaltijden!$A$1:$IV$65536,21,FALSE)</f>
        <v>5</v>
      </c>
      <c r="I537" s="22">
        <f>VLOOKUP($A537,[1]maaltijden!$A$1:$IV$65536,21,FALSE)</f>
        <v>5</v>
      </c>
      <c r="J537" s="22">
        <f>VLOOKUP($A537,[1]maaltijden!$A$1:$IV$65536,18,FALSE)</f>
        <v>3</v>
      </c>
      <c r="K537" s="22">
        <f>VLOOKUP($A537,[1]maaltijden!$A$1:$IV$65536,17,FALSE)</f>
        <v>1</v>
      </c>
      <c r="L537" s="22">
        <f>VLOOKUP($A537,[1]maaltijden!$A$1:$IV$65536,20,FALSE)</f>
        <v>850</v>
      </c>
      <c r="M537" s="22">
        <f>VLOOKUP($A537,[1]maaltijden!$A$1:$IV$65536,22,FALSE)</f>
        <v>850</v>
      </c>
      <c r="N537" s="135"/>
      <c r="O537" s="50"/>
      <c r="P537" s="19">
        <v>0</v>
      </c>
      <c r="Q537" s="20">
        <v>1</v>
      </c>
      <c r="R537" s="21">
        <v>0</v>
      </c>
      <c r="S537" s="19">
        <v>0</v>
      </c>
      <c r="T537" s="20">
        <v>1</v>
      </c>
      <c r="U537" s="19">
        <v>1</v>
      </c>
      <c r="V537" s="51">
        <v>1</v>
      </c>
      <c r="W537" s="20">
        <v>1</v>
      </c>
      <c r="X537" s="20">
        <v>1</v>
      </c>
      <c r="Y537" s="20">
        <v>1</v>
      </c>
      <c r="Z537" s="20">
        <v>0</v>
      </c>
      <c r="AA537" s="20">
        <v>0</v>
      </c>
      <c r="AB537" s="49">
        <v>1</v>
      </c>
      <c r="AC537" s="49">
        <v>0</v>
      </c>
      <c r="AD537" s="49">
        <v>0</v>
      </c>
      <c r="AE537" s="49">
        <v>1</v>
      </c>
      <c r="AF537" s="49">
        <v>1</v>
      </c>
      <c r="AG537" s="161">
        <v>1</v>
      </c>
      <c r="AH537" s="162">
        <v>0</v>
      </c>
      <c r="AI537" s="162">
        <v>0</v>
      </c>
      <c r="AJ537" s="162">
        <v>0</v>
      </c>
      <c r="AK537" s="162">
        <v>0</v>
      </c>
      <c r="AL537" s="163">
        <v>0</v>
      </c>
      <c r="AM537" s="19">
        <v>0</v>
      </c>
      <c r="AN537" s="20">
        <f>IFERROR(INDEX([2]lijnopstellingsfiche!$AP$1:$AP$65536,MATCH(A537,[2]lijnopstellingsfiche!$AQ$1:$AQ$65536,0)),"")</f>
        <v>4</v>
      </c>
      <c r="AO537" s="20">
        <v>0</v>
      </c>
      <c r="AP537" s="20">
        <v>0</v>
      </c>
      <c r="AQ537" s="20">
        <v>0</v>
      </c>
      <c r="AR537" s="20">
        <v>0</v>
      </c>
      <c r="AS537" s="20">
        <v>0</v>
      </c>
      <c r="AT537" s="20">
        <v>0</v>
      </c>
      <c r="AU537" s="20">
        <v>0</v>
      </c>
      <c r="AV537" s="23">
        <v>0</v>
      </c>
      <c r="AW537" s="108">
        <v>0</v>
      </c>
      <c r="AX537" s="108">
        <v>0</v>
      </c>
      <c r="AY537" s="108">
        <v>0</v>
      </c>
      <c r="AZ537" s="108">
        <v>0</v>
      </c>
      <c r="BA537" s="114">
        <v>1</v>
      </c>
      <c r="BB537" s="20">
        <v>0</v>
      </c>
      <c r="BC537" s="113">
        <v>0</v>
      </c>
      <c r="BD537" s="200" t="str">
        <f>VLOOKUP($A537,'[3]allergenen 6nr'!$A$1:$O$1310,3,FALSE)</f>
        <v>-</v>
      </c>
      <c r="BE537" s="201" t="str">
        <f>VLOOKUP($A537,'[3]allergenen 6nr'!$A$1:$O$1310,4,FALSE)</f>
        <v>+</v>
      </c>
      <c r="BF537" s="201" t="str">
        <f>VLOOKUP($A537,'[3]allergenen 6nr'!$A$1:$O$1310,5,FALSE)</f>
        <v>+</v>
      </c>
      <c r="BG537" s="201" t="str">
        <f>VLOOKUP($A537,'[3]allergenen 6nr'!$A$1:$O$1310,6,FALSE)</f>
        <v>X</v>
      </c>
      <c r="BH537" s="201" t="str">
        <f>VLOOKUP($A537,'[3]allergenen 6nr'!$A$1:$O$1310,7,FALSE)</f>
        <v>-</v>
      </c>
      <c r="BI537" s="201" t="str">
        <f>VLOOKUP($A537,'[3]allergenen 6nr'!$A$1:$O$1310,8,FALSE)</f>
        <v>X</v>
      </c>
      <c r="BJ537" s="201" t="str">
        <f>VLOOKUP($A537,'[3]allergenen 6nr'!$A$1:$O$1310,9,FALSE)</f>
        <v>-</v>
      </c>
      <c r="BK537" s="201" t="str">
        <f>VLOOKUP($A537,'[3]allergenen 6nr'!$A$1:$O$1310,10,FALSE)</f>
        <v>-</v>
      </c>
      <c r="BL537" s="201" t="str">
        <f>VLOOKUP($A537,'[3]allergenen 6nr'!$A$1:$O$1310,11,FALSE)</f>
        <v>-</v>
      </c>
      <c r="BM537" s="201" t="str">
        <f>VLOOKUP($A537,'[3]allergenen 6nr'!$A$1:$O$1310,12,FALSE)</f>
        <v>-</v>
      </c>
      <c r="BN537" s="201" t="str">
        <f>VLOOKUP($A537,'[3]allergenen 6nr'!$A$1:$O$1310,13,FALSE)</f>
        <v>X</v>
      </c>
      <c r="BO537" s="201" t="str">
        <f>VLOOKUP($A537,'[3]allergenen 6nr'!$A$1:$O$1310,14,FALSE)</f>
        <v>-</v>
      </c>
      <c r="BP537" s="202" t="str">
        <f>VLOOKUP($A537,'[3]allergenen 6nr'!$A$1:$O$1310,15,FALSE)</f>
        <v>-</v>
      </c>
    </row>
    <row r="538" spans="1:68" x14ac:dyDescent="0.2">
      <c r="A538" s="89">
        <v>65133000</v>
      </c>
      <c r="B538" s="53" t="str">
        <f>VLOOKUP($A538,[1]maaltijden!$A$1:$IV$65536,4,FALSE)</f>
        <v>DMB PENNE VOLKOREN 1,5KG</v>
      </c>
      <c r="C538" s="46" t="str">
        <f>VLOOKUP($A538,[1]maaltijden!$A$1:$IV$65536,7,FALSE)</f>
        <v>C2325-1C</v>
      </c>
      <c r="D538" s="22" t="str">
        <f>VLOOKUP($A538,[1]maaltijden!$A$1:$IV$65536,10,FALSE)</f>
        <v>NVT</v>
      </c>
      <c r="E538" s="22" t="str">
        <f>VLOOKUP($A538,[1]maaltijden!$A$1:$IV$65536,13,FALSE)</f>
        <v>BULK HO</v>
      </c>
      <c r="F538" s="20">
        <f t="shared" si="8"/>
        <v>0</v>
      </c>
      <c r="G538" s="20" t="str">
        <f>VLOOKUP($A538,[1]maaltijden!$A$1:$IV$65536,27,FALSE)</f>
        <v>! !</v>
      </c>
      <c r="H538" s="22">
        <f>VLOOKUP($A538,[1]maaltijden!$A$1:$IV$65536,21,FALSE)</f>
        <v>5</v>
      </c>
      <c r="I538" s="22">
        <f>VLOOKUP($A538,[1]maaltijden!$A$1:$IV$65536,21,FALSE)</f>
        <v>5</v>
      </c>
      <c r="J538" s="22">
        <f>VLOOKUP($A538,[1]maaltijden!$A$1:$IV$65536,18,FALSE)</f>
        <v>3</v>
      </c>
      <c r="K538" s="22">
        <f>VLOOKUP($A538,[1]maaltijden!$A$1:$IV$65536,17,FALSE)</f>
        <v>1</v>
      </c>
      <c r="L538" s="22">
        <f>VLOOKUP($A538,[1]maaltijden!$A$1:$IV$65536,20,FALSE)</f>
        <v>850</v>
      </c>
      <c r="M538" s="22">
        <f>VLOOKUP($A538,[1]maaltijden!$A$1:$IV$65536,22,FALSE)</f>
        <v>850</v>
      </c>
      <c r="N538" s="135"/>
      <c r="O538" s="50"/>
      <c r="P538" s="19">
        <v>0</v>
      </c>
      <c r="Q538" s="20">
        <v>1</v>
      </c>
      <c r="R538" s="21">
        <v>0</v>
      </c>
      <c r="S538" s="19">
        <v>0</v>
      </c>
      <c r="T538" s="20">
        <v>1</v>
      </c>
      <c r="U538" s="19">
        <v>1</v>
      </c>
      <c r="V538" s="20">
        <v>1</v>
      </c>
      <c r="W538" s="20">
        <v>1</v>
      </c>
      <c r="X538" s="20">
        <v>1</v>
      </c>
      <c r="Y538" s="20">
        <v>1</v>
      </c>
      <c r="Z538" s="20">
        <v>0</v>
      </c>
      <c r="AA538" s="20">
        <v>0</v>
      </c>
      <c r="AB538" s="49">
        <v>1</v>
      </c>
      <c r="AC538" s="49">
        <v>0</v>
      </c>
      <c r="AD538" s="49">
        <v>0</v>
      </c>
      <c r="AE538" s="49">
        <v>1</v>
      </c>
      <c r="AF538" s="49">
        <v>1</v>
      </c>
      <c r="AG538" s="161">
        <v>1</v>
      </c>
      <c r="AH538" s="162">
        <v>0</v>
      </c>
      <c r="AI538" s="162">
        <v>0</v>
      </c>
      <c r="AJ538" s="162">
        <v>0</v>
      </c>
      <c r="AK538" s="162">
        <v>0</v>
      </c>
      <c r="AL538" s="163">
        <v>0</v>
      </c>
      <c r="AM538" s="19">
        <v>0</v>
      </c>
      <c r="AN538" s="20">
        <f>IFERROR(INDEX([2]lijnopstellingsfiche!$AP$1:$AP$65536,MATCH(A538,[2]lijnopstellingsfiche!$AQ$1:$AQ$65536,0)),"")</f>
        <v>4</v>
      </c>
      <c r="AO538" s="20">
        <v>0</v>
      </c>
      <c r="AP538" s="20">
        <v>0</v>
      </c>
      <c r="AQ538" s="20">
        <v>0</v>
      </c>
      <c r="AR538" s="20">
        <v>0</v>
      </c>
      <c r="AS538" s="20">
        <v>0</v>
      </c>
      <c r="AT538" s="20">
        <v>0</v>
      </c>
      <c r="AU538" s="20">
        <v>0</v>
      </c>
      <c r="AV538" s="23">
        <v>0</v>
      </c>
      <c r="AW538" s="108">
        <v>0</v>
      </c>
      <c r="AX538" s="108">
        <v>0</v>
      </c>
      <c r="AY538" s="108">
        <v>0</v>
      </c>
      <c r="AZ538" s="108">
        <v>0</v>
      </c>
      <c r="BA538" s="114">
        <v>1</v>
      </c>
      <c r="BB538" s="20">
        <v>0</v>
      </c>
      <c r="BC538" s="113">
        <v>0</v>
      </c>
      <c r="BD538" s="200" t="str">
        <f>VLOOKUP($A538,'[3]allergenen 6nr'!$A$1:$O$1310,3,FALSE)</f>
        <v>-</v>
      </c>
      <c r="BE538" s="201" t="str">
        <f>VLOOKUP($A538,'[3]allergenen 6nr'!$A$1:$O$1310,4,FALSE)</f>
        <v>X</v>
      </c>
      <c r="BF538" s="201" t="str">
        <f>VLOOKUP($A538,'[3]allergenen 6nr'!$A$1:$O$1310,5,FALSE)</f>
        <v>+</v>
      </c>
      <c r="BG538" s="201" t="str">
        <f>VLOOKUP($A538,'[3]allergenen 6nr'!$A$1:$O$1310,6,FALSE)</f>
        <v>X</v>
      </c>
      <c r="BH538" s="201" t="str">
        <f>VLOOKUP($A538,'[3]allergenen 6nr'!$A$1:$O$1310,7,FALSE)</f>
        <v>-</v>
      </c>
      <c r="BI538" s="201" t="str">
        <f>VLOOKUP($A538,'[3]allergenen 6nr'!$A$1:$O$1310,8,FALSE)</f>
        <v>X</v>
      </c>
      <c r="BJ538" s="201" t="str">
        <f>VLOOKUP($A538,'[3]allergenen 6nr'!$A$1:$O$1310,9,FALSE)</f>
        <v>-</v>
      </c>
      <c r="BK538" s="201" t="str">
        <f>VLOOKUP($A538,'[3]allergenen 6nr'!$A$1:$O$1310,10,FALSE)</f>
        <v>-</v>
      </c>
      <c r="BL538" s="201" t="str">
        <f>VLOOKUP($A538,'[3]allergenen 6nr'!$A$1:$O$1310,11,FALSE)</f>
        <v>-</v>
      </c>
      <c r="BM538" s="201" t="str">
        <f>VLOOKUP($A538,'[3]allergenen 6nr'!$A$1:$O$1310,12,FALSE)</f>
        <v>-</v>
      </c>
      <c r="BN538" s="201" t="str">
        <f>VLOOKUP($A538,'[3]allergenen 6nr'!$A$1:$O$1310,13,FALSE)</f>
        <v>X</v>
      </c>
      <c r="BO538" s="201" t="str">
        <f>VLOOKUP($A538,'[3]allergenen 6nr'!$A$1:$O$1310,14,FALSE)</f>
        <v>-</v>
      </c>
      <c r="BP538" s="202" t="str">
        <f>VLOOKUP($A538,'[3]allergenen 6nr'!$A$1:$O$1310,15,FALSE)</f>
        <v>-</v>
      </c>
    </row>
    <row r="539" spans="1:68" x14ac:dyDescent="0.2">
      <c r="A539" s="195">
        <v>65133200</v>
      </c>
      <c r="B539" s="53" t="str">
        <f>VLOOKUP($A539,[1]maaltijden!$A$1:$IV$65536,4,FALSE)</f>
        <v>DMB LASAGNETTI 1,2KG</v>
      </c>
      <c r="C539" s="46" t="str">
        <f>VLOOKUP($A539,[1]maaltijden!$A$1:$IV$65536,7,FALSE)</f>
        <v>C2325-1C</v>
      </c>
      <c r="D539" s="22" t="str">
        <f>VLOOKUP($A539,[1]maaltijden!$A$1:$IV$65536,10,FALSE)</f>
        <v>NVT</v>
      </c>
      <c r="E539" s="22" t="str">
        <f>VLOOKUP($A539,[1]maaltijden!$A$1:$IV$65536,13,FALSE)</f>
        <v>BULK HO</v>
      </c>
      <c r="F539" s="20">
        <f t="shared" si="8"/>
        <v>0</v>
      </c>
      <c r="G539" s="20" t="str">
        <f>VLOOKUP($A539,[1]maaltijden!$A$1:$IV$65536,27,FALSE)</f>
        <v>! !</v>
      </c>
      <c r="H539" s="22">
        <f>VLOOKUP($A539,[1]maaltijden!$A$1:$IV$65536,21,FALSE)</f>
        <v>6</v>
      </c>
      <c r="I539" s="22">
        <f>VLOOKUP($A539,[1]maaltijden!$A$1:$IV$65536,21,FALSE)</f>
        <v>6</v>
      </c>
      <c r="J539" s="22">
        <f>VLOOKUP($A539,[1]maaltijden!$A$1:$IV$65536,18,FALSE)</f>
        <v>3</v>
      </c>
      <c r="K539" s="22">
        <f>VLOOKUP($A539,[1]maaltijden!$A$1:$IV$65536,17,FALSE)</f>
        <v>1</v>
      </c>
      <c r="L539" s="22">
        <f>VLOOKUP($A539,[1]maaltijden!$A$1:$IV$65536,20,FALSE)</f>
        <v>1000</v>
      </c>
      <c r="M539" s="22">
        <f>VLOOKUP($A539,[1]maaltijden!$A$1:$IV$65536,22,FALSE)</f>
        <v>1000</v>
      </c>
      <c r="N539" s="135"/>
      <c r="O539" s="50"/>
      <c r="P539" s="19">
        <v>0</v>
      </c>
      <c r="Q539" s="20">
        <v>1</v>
      </c>
      <c r="R539" s="21">
        <v>0</v>
      </c>
      <c r="S539" s="19">
        <v>0</v>
      </c>
      <c r="T539" s="20">
        <v>1</v>
      </c>
      <c r="U539" s="19">
        <v>1</v>
      </c>
      <c r="V539" s="20">
        <v>1</v>
      </c>
      <c r="W539" s="20">
        <v>1</v>
      </c>
      <c r="X539" s="20">
        <v>1</v>
      </c>
      <c r="Y539" s="20">
        <v>1</v>
      </c>
      <c r="Z539" s="20">
        <v>0</v>
      </c>
      <c r="AA539" s="20">
        <v>0</v>
      </c>
      <c r="AB539" s="49">
        <v>1</v>
      </c>
      <c r="AC539" s="49">
        <v>0</v>
      </c>
      <c r="AD539" s="49">
        <v>0</v>
      </c>
      <c r="AE539" s="49">
        <v>1</v>
      </c>
      <c r="AF539" s="49">
        <v>1</v>
      </c>
      <c r="AG539" s="161">
        <v>1</v>
      </c>
      <c r="AH539" s="162">
        <v>0</v>
      </c>
      <c r="AI539" s="162">
        <v>0</v>
      </c>
      <c r="AJ539" s="162">
        <v>0</v>
      </c>
      <c r="AK539" s="162">
        <v>0</v>
      </c>
      <c r="AL539" s="163">
        <v>0</v>
      </c>
      <c r="AM539" s="19">
        <v>0</v>
      </c>
      <c r="AN539" s="20">
        <f>IFERROR(INDEX([2]lijnopstellingsfiche!$AP$1:$AP$65536,MATCH(A539,[2]lijnopstellingsfiche!$AQ$1:$AQ$65536,0)),"")</f>
        <v>4</v>
      </c>
      <c r="AO539" s="20">
        <v>0</v>
      </c>
      <c r="AP539" s="20">
        <v>0</v>
      </c>
      <c r="AQ539" s="20">
        <v>0</v>
      </c>
      <c r="AR539" s="20">
        <v>0</v>
      </c>
      <c r="AS539" s="20">
        <v>0</v>
      </c>
      <c r="AT539" s="20">
        <v>0</v>
      </c>
      <c r="AU539" s="20">
        <v>0</v>
      </c>
      <c r="AV539" s="23">
        <v>0</v>
      </c>
      <c r="AW539" s="108">
        <v>0</v>
      </c>
      <c r="AX539" s="108">
        <v>0</v>
      </c>
      <c r="AY539" s="108">
        <v>0</v>
      </c>
      <c r="AZ539" s="108">
        <v>0</v>
      </c>
      <c r="BA539" s="114">
        <v>1</v>
      </c>
      <c r="BB539" s="20">
        <v>0</v>
      </c>
      <c r="BC539" s="113">
        <v>0</v>
      </c>
      <c r="BD539" s="200" t="str">
        <f>VLOOKUP($A539,'[3]allergenen 6nr'!$A$1:$O$1310,3,FALSE)</f>
        <v>-</v>
      </c>
      <c r="BE539" s="201" t="str">
        <f>VLOOKUP($A539,'[3]allergenen 6nr'!$A$1:$O$1310,4,FALSE)</f>
        <v>X</v>
      </c>
      <c r="BF539" s="201" t="str">
        <f>VLOOKUP($A539,'[3]allergenen 6nr'!$A$1:$O$1310,5,FALSE)</f>
        <v>+</v>
      </c>
      <c r="BG539" s="201" t="str">
        <f>VLOOKUP($A539,'[3]allergenen 6nr'!$A$1:$O$1310,6,FALSE)</f>
        <v>X</v>
      </c>
      <c r="BH539" s="201" t="str">
        <f>VLOOKUP($A539,'[3]allergenen 6nr'!$A$1:$O$1310,7,FALSE)</f>
        <v>-</v>
      </c>
      <c r="BI539" s="201" t="str">
        <f>VLOOKUP($A539,'[3]allergenen 6nr'!$A$1:$O$1310,8,FALSE)</f>
        <v>X</v>
      </c>
      <c r="BJ539" s="201" t="str">
        <f>VLOOKUP($A539,'[3]allergenen 6nr'!$A$1:$O$1310,9,FALSE)</f>
        <v>-</v>
      </c>
      <c r="BK539" s="201" t="str">
        <f>VLOOKUP($A539,'[3]allergenen 6nr'!$A$1:$O$1310,10,FALSE)</f>
        <v>-</v>
      </c>
      <c r="BL539" s="201" t="str">
        <f>VLOOKUP($A539,'[3]allergenen 6nr'!$A$1:$O$1310,11,FALSE)</f>
        <v>-</v>
      </c>
      <c r="BM539" s="201" t="str">
        <f>VLOOKUP($A539,'[3]allergenen 6nr'!$A$1:$O$1310,12,FALSE)</f>
        <v>-</v>
      </c>
      <c r="BN539" s="201" t="str">
        <f>VLOOKUP($A539,'[3]allergenen 6nr'!$A$1:$O$1310,13,FALSE)</f>
        <v>X</v>
      </c>
      <c r="BO539" s="201" t="str">
        <f>VLOOKUP($A539,'[3]allergenen 6nr'!$A$1:$O$1310,14,FALSE)</f>
        <v>-</v>
      </c>
      <c r="BP539" s="202" t="str">
        <f>VLOOKUP($A539,'[3]allergenen 6nr'!$A$1:$O$1310,15,FALSE)</f>
        <v>-</v>
      </c>
    </row>
    <row r="540" spans="1:68" x14ac:dyDescent="0.2">
      <c r="A540" s="89">
        <v>65134000</v>
      </c>
      <c r="B540" s="53" t="str">
        <f>VLOOKUP($A540,[1]maaltijden!$A$1:$IV$65536,4,FALSE)</f>
        <v>DMB RIJST 1,8KG</v>
      </c>
      <c r="C540" s="46" t="str">
        <f>VLOOKUP($A540,[1]maaltijden!$A$1:$IV$65536,7,FALSE)</f>
        <v>C2325-1C</v>
      </c>
      <c r="D540" s="22" t="str">
        <f>VLOOKUP($A540,[1]maaltijden!$A$1:$IV$65536,10,FALSE)</f>
        <v>NVT</v>
      </c>
      <c r="E540" s="22" t="str">
        <f>VLOOKUP($A540,[1]maaltijden!$A$1:$IV$65536,13,FALSE)</f>
        <v>BULK HO</v>
      </c>
      <c r="F540" s="20">
        <f t="shared" si="8"/>
        <v>0</v>
      </c>
      <c r="G540" s="20" t="str">
        <f>VLOOKUP($A540,[1]maaltijden!$A$1:$IV$65536,27,FALSE)</f>
        <v>-</v>
      </c>
      <c r="H540" s="22">
        <f>VLOOKUP($A540,[1]maaltijden!$A$1:$IV$65536,21,FALSE)</f>
        <v>5</v>
      </c>
      <c r="I540" s="22">
        <f>VLOOKUP($A540,[1]maaltijden!$A$1:$IV$65536,21,FALSE)</f>
        <v>5</v>
      </c>
      <c r="J540" s="22">
        <f>VLOOKUP($A540,[1]maaltijden!$A$1:$IV$65536,18,FALSE)</f>
        <v>3</v>
      </c>
      <c r="K540" s="22">
        <f>VLOOKUP($A540,[1]maaltijden!$A$1:$IV$65536,17,FALSE)</f>
        <v>1</v>
      </c>
      <c r="L540" s="22">
        <f>VLOOKUP($A540,[1]maaltijden!$A$1:$IV$65536,20,FALSE)</f>
        <v>700</v>
      </c>
      <c r="M540" s="22">
        <f>VLOOKUP($A540,[1]maaltijden!$A$1:$IV$65536,22,FALSE)</f>
        <v>700</v>
      </c>
      <c r="N540" s="135"/>
      <c r="O540" s="50">
        <v>0</v>
      </c>
      <c r="P540" s="19">
        <v>0</v>
      </c>
      <c r="Q540" s="20">
        <v>1</v>
      </c>
      <c r="R540" s="21">
        <v>0</v>
      </c>
      <c r="S540" s="19">
        <v>0</v>
      </c>
      <c r="T540" s="20">
        <v>1</v>
      </c>
      <c r="U540" s="19">
        <v>1</v>
      </c>
      <c r="V540" s="20">
        <v>1</v>
      </c>
      <c r="W540" s="20">
        <v>1</v>
      </c>
      <c r="X540" s="20">
        <v>1</v>
      </c>
      <c r="Y540" s="20">
        <v>1</v>
      </c>
      <c r="Z540" s="20">
        <v>0</v>
      </c>
      <c r="AA540" s="20">
        <v>0</v>
      </c>
      <c r="AB540" s="49">
        <v>0</v>
      </c>
      <c r="AC540" s="49">
        <v>0</v>
      </c>
      <c r="AD540" s="49">
        <v>0</v>
      </c>
      <c r="AE540" s="49">
        <v>0</v>
      </c>
      <c r="AF540" s="49">
        <v>0</v>
      </c>
      <c r="AG540" s="161">
        <v>1</v>
      </c>
      <c r="AH540" s="162">
        <v>0</v>
      </c>
      <c r="AI540" s="162">
        <v>0</v>
      </c>
      <c r="AJ540" s="174">
        <v>1</v>
      </c>
      <c r="AK540" s="162">
        <v>0</v>
      </c>
      <c r="AL540" s="163">
        <v>0</v>
      </c>
      <c r="AM540" s="19">
        <v>0</v>
      </c>
      <c r="AN540" s="20">
        <f>IFERROR(INDEX([2]lijnopstellingsfiche!$AP$1:$AP$65536,MATCH(A540,[2]lijnopstellingsfiche!$AQ$1:$AQ$65536,0)),"")</f>
        <v>4</v>
      </c>
      <c r="AO540" s="20">
        <v>0</v>
      </c>
      <c r="AP540" s="20">
        <v>0</v>
      </c>
      <c r="AQ540" s="20">
        <v>0</v>
      </c>
      <c r="AR540" s="20">
        <v>0</v>
      </c>
      <c r="AS540" s="20">
        <v>0</v>
      </c>
      <c r="AT540" s="20">
        <v>0</v>
      </c>
      <c r="AU540" s="20">
        <v>0</v>
      </c>
      <c r="AV540" s="23">
        <v>0</v>
      </c>
      <c r="AW540" s="108">
        <v>0</v>
      </c>
      <c r="AX540" s="108">
        <v>0</v>
      </c>
      <c r="AY540" s="108">
        <v>0</v>
      </c>
      <c r="AZ540" s="108">
        <v>0</v>
      </c>
      <c r="BA540" s="114">
        <v>1</v>
      </c>
      <c r="BB540" s="20">
        <v>0</v>
      </c>
      <c r="BC540" s="113">
        <v>0</v>
      </c>
      <c r="BD540" s="200" t="str">
        <f>VLOOKUP($A540,'[3]allergenen 6nr'!$A$1:$O$1310,3,FALSE)</f>
        <v>-</v>
      </c>
      <c r="BE540" s="201" t="str">
        <f>VLOOKUP($A540,'[3]allergenen 6nr'!$A$1:$O$1310,4,FALSE)</f>
        <v>-</v>
      </c>
      <c r="BF540" s="201" t="str">
        <f>VLOOKUP($A540,'[3]allergenen 6nr'!$A$1:$O$1310,5,FALSE)</f>
        <v>-</v>
      </c>
      <c r="BG540" s="201" t="str">
        <f>VLOOKUP($A540,'[3]allergenen 6nr'!$A$1:$O$1310,6,FALSE)</f>
        <v>-</v>
      </c>
      <c r="BH540" s="201" t="str">
        <f>VLOOKUP($A540,'[3]allergenen 6nr'!$A$1:$O$1310,7,FALSE)</f>
        <v>-</v>
      </c>
      <c r="BI540" s="201" t="str">
        <f>VLOOKUP($A540,'[3]allergenen 6nr'!$A$1:$O$1310,8,FALSE)</f>
        <v>-</v>
      </c>
      <c r="BJ540" s="201" t="str">
        <f>VLOOKUP($A540,'[3]allergenen 6nr'!$A$1:$O$1310,9,FALSE)</f>
        <v>-</v>
      </c>
      <c r="BK540" s="201" t="str">
        <f>VLOOKUP($A540,'[3]allergenen 6nr'!$A$1:$O$1310,10,FALSE)</f>
        <v>-</v>
      </c>
      <c r="BL540" s="201" t="str">
        <f>VLOOKUP($A540,'[3]allergenen 6nr'!$A$1:$O$1310,11,FALSE)</f>
        <v>-</v>
      </c>
      <c r="BM540" s="201" t="str">
        <f>VLOOKUP($A540,'[3]allergenen 6nr'!$A$1:$O$1310,12,FALSE)</f>
        <v>-</v>
      </c>
      <c r="BN540" s="201" t="str">
        <f>VLOOKUP($A540,'[3]allergenen 6nr'!$A$1:$O$1310,13,FALSE)</f>
        <v>-</v>
      </c>
      <c r="BO540" s="201" t="str">
        <f>VLOOKUP($A540,'[3]allergenen 6nr'!$A$1:$O$1310,14,FALSE)</f>
        <v>-</v>
      </c>
      <c r="BP540" s="202" t="str">
        <f>VLOOKUP($A540,'[3]allergenen 6nr'!$A$1:$O$1310,15,FALSE)</f>
        <v>-</v>
      </c>
    </row>
    <row r="541" spans="1:68" x14ac:dyDescent="0.2">
      <c r="A541" s="89">
        <v>65140200</v>
      </c>
      <c r="B541" s="53" t="str">
        <f>VLOOKUP($A541,[1]maaltijden!$A$1:$IV$65536,4,FALSE)</f>
        <v>DMB KALKOENSCHNITZEL 1,1KG</v>
      </c>
      <c r="C541" s="46" t="str">
        <f>VLOOKUP($A541,[1]maaltijden!$A$1:$IV$65536,7,FALSE)</f>
        <v>C2325-1C</v>
      </c>
      <c r="D541" s="22" t="str">
        <f>VLOOKUP($A541,[1]maaltijden!$A$1:$IV$65536,10,FALSE)</f>
        <v>NVT</v>
      </c>
      <c r="E541" s="22" t="str">
        <f>VLOOKUP($A541,[1]maaltijden!$A$1:$IV$65536,13,FALSE)</f>
        <v>BULK HO</v>
      </c>
      <c r="F541" s="20">
        <f t="shared" si="8"/>
        <v>0</v>
      </c>
      <c r="G541" s="20" t="str">
        <f>VLOOKUP($A541,[1]maaltijden!$A$1:$IV$65536,27,FALSE)</f>
        <v>! !</v>
      </c>
      <c r="H541" s="22">
        <f>VLOOKUP($A541,[1]maaltijden!$A$1:$IV$65536,21,FALSE)</f>
        <v>6</v>
      </c>
      <c r="I541" s="22">
        <f>VLOOKUP($A541,[1]maaltijden!$A$1:$IV$65536,21,FALSE)</f>
        <v>6</v>
      </c>
      <c r="J541" s="22">
        <f>VLOOKUP($A541,[1]maaltijden!$A$1:$IV$65536,18,FALSE)</f>
        <v>3</v>
      </c>
      <c r="K541" s="22">
        <f>VLOOKUP($A541,[1]maaltijden!$A$1:$IV$65536,17,FALSE)</f>
        <v>0</v>
      </c>
      <c r="L541" s="22">
        <f>VLOOKUP($A541,[1]maaltijden!$A$1:$IV$65536,20,FALSE)</f>
        <v>1000</v>
      </c>
      <c r="M541" s="22">
        <f>VLOOKUP($A541,[1]maaltijden!$A$1:$IV$65536,22,FALSE)</f>
        <v>1000</v>
      </c>
      <c r="N541" s="135"/>
      <c r="O541" s="50">
        <v>0</v>
      </c>
      <c r="P541" s="19">
        <v>0</v>
      </c>
      <c r="Q541" s="20">
        <v>1</v>
      </c>
      <c r="R541" s="21">
        <v>0</v>
      </c>
      <c r="S541" s="19">
        <v>0</v>
      </c>
      <c r="T541" s="20">
        <v>1</v>
      </c>
      <c r="U541" s="19">
        <v>1</v>
      </c>
      <c r="V541" s="20">
        <v>1</v>
      </c>
      <c r="W541" s="20">
        <v>1</v>
      </c>
      <c r="X541" s="20">
        <v>1</v>
      </c>
      <c r="Y541" s="20">
        <v>1</v>
      </c>
      <c r="Z541" s="20">
        <v>0</v>
      </c>
      <c r="AA541" s="20">
        <v>0</v>
      </c>
      <c r="AB541" s="49">
        <v>0</v>
      </c>
      <c r="AC541" s="49">
        <v>0</v>
      </c>
      <c r="AD541" s="49">
        <v>0</v>
      </c>
      <c r="AE541" s="49">
        <v>0</v>
      </c>
      <c r="AF541" s="49">
        <v>0</v>
      </c>
      <c r="AG541" s="173">
        <v>0</v>
      </c>
      <c r="AH541" s="174">
        <v>0</v>
      </c>
      <c r="AI541" s="174">
        <v>0</v>
      </c>
      <c r="AJ541" s="174">
        <v>0</v>
      </c>
      <c r="AK541" s="174">
        <v>0</v>
      </c>
      <c r="AL541" s="175">
        <v>0</v>
      </c>
      <c r="AM541" s="19">
        <v>0</v>
      </c>
      <c r="AN541" s="20" t="str">
        <f>IFERROR(INDEX([2]lijnopstellingsfiche!$AP$1:$AP$65536,MATCH(A541,[2]lijnopstellingsfiche!$AQ$1:$AQ$65536,0)),"")</f>
        <v/>
      </c>
      <c r="AO541" s="20">
        <v>0</v>
      </c>
      <c r="AP541" s="20">
        <v>0</v>
      </c>
      <c r="AQ541" s="20">
        <v>0</v>
      </c>
      <c r="AR541" s="20">
        <v>0</v>
      </c>
      <c r="AS541" s="20">
        <v>0</v>
      </c>
      <c r="AT541" s="20">
        <v>0</v>
      </c>
      <c r="AU541" s="20">
        <v>0</v>
      </c>
      <c r="AV541" s="23">
        <v>0</v>
      </c>
      <c r="AW541" s="108">
        <v>0</v>
      </c>
      <c r="AX541" s="108">
        <v>0</v>
      </c>
      <c r="AY541" s="108">
        <v>0</v>
      </c>
      <c r="AZ541" s="108">
        <v>0</v>
      </c>
      <c r="BA541" s="114">
        <v>1</v>
      </c>
      <c r="BB541" s="20">
        <v>0</v>
      </c>
      <c r="BC541" s="113">
        <v>0</v>
      </c>
      <c r="BD541" s="200"/>
      <c r="BE541" s="201"/>
      <c r="BF541" s="201"/>
      <c r="BG541" s="201"/>
      <c r="BH541" s="201"/>
      <c r="BI541" s="201"/>
      <c r="BJ541" s="201"/>
      <c r="BK541" s="201"/>
      <c r="BL541" s="201"/>
      <c r="BM541" s="201"/>
      <c r="BN541" s="201"/>
      <c r="BO541" s="201"/>
      <c r="BP541" s="202"/>
    </row>
    <row r="542" spans="1:68" x14ac:dyDescent="0.2">
      <c r="A542" s="89">
        <v>65140600</v>
      </c>
      <c r="B542" s="53" t="str">
        <f>VLOOKUP($A542,[1]maaltijden!$A$1:$IV$65536,4,FALSE)</f>
        <v>DMB CORDON BLEU 1,1KG</v>
      </c>
      <c r="C542" s="46" t="str">
        <f>VLOOKUP($A542,[1]maaltijden!$A$1:$IV$65536,7,FALSE)</f>
        <v>C2325-1C</v>
      </c>
      <c r="D542" s="22" t="str">
        <f>VLOOKUP($A542,[1]maaltijden!$A$1:$IV$65536,10,FALSE)</f>
        <v>NVT</v>
      </c>
      <c r="E542" s="22" t="str">
        <f>VLOOKUP($A542,[1]maaltijden!$A$1:$IV$65536,13,FALSE)</f>
        <v>BULK HO</v>
      </c>
      <c r="F542" s="20">
        <f t="shared" si="8"/>
        <v>0</v>
      </c>
      <c r="G542" s="20" t="str">
        <f>VLOOKUP($A542,[1]maaltijden!$A$1:$IV$65536,27,FALSE)</f>
        <v>! ! !</v>
      </c>
      <c r="H542" s="22">
        <f>VLOOKUP($A542,[1]maaltijden!$A$1:$IV$65536,21,FALSE)</f>
        <v>5</v>
      </c>
      <c r="I542" s="22">
        <f>VLOOKUP($A542,[1]maaltijden!$A$1:$IV$65536,21,FALSE)</f>
        <v>5</v>
      </c>
      <c r="J542" s="22">
        <f>VLOOKUP($A542,[1]maaltijden!$A$1:$IV$65536,18,FALSE)</f>
        <v>3</v>
      </c>
      <c r="K542" s="22">
        <f>VLOOKUP($A542,[1]maaltijden!$A$1:$IV$65536,17,FALSE)</f>
        <v>0</v>
      </c>
      <c r="L542" s="22">
        <f>VLOOKUP($A542,[1]maaltijden!$A$1:$IV$65536,20,FALSE)</f>
        <v>1000</v>
      </c>
      <c r="M542" s="22">
        <f>VLOOKUP($A542,[1]maaltijden!$A$1:$IV$65536,22,FALSE)</f>
        <v>1000</v>
      </c>
      <c r="N542" s="135"/>
      <c r="O542" s="50">
        <v>0</v>
      </c>
      <c r="P542" s="19">
        <v>0</v>
      </c>
      <c r="Q542" s="20">
        <v>1</v>
      </c>
      <c r="R542" s="21">
        <v>0</v>
      </c>
      <c r="S542" s="19">
        <v>0</v>
      </c>
      <c r="T542" s="20">
        <v>1</v>
      </c>
      <c r="U542" s="19">
        <v>1</v>
      </c>
      <c r="V542" s="20">
        <v>1</v>
      </c>
      <c r="W542" s="20">
        <v>1</v>
      </c>
      <c r="X542" s="20">
        <v>1</v>
      </c>
      <c r="Y542" s="20">
        <v>1</v>
      </c>
      <c r="Z542" s="20">
        <v>0</v>
      </c>
      <c r="AA542" s="20">
        <v>0</v>
      </c>
      <c r="AB542" s="49">
        <v>0</v>
      </c>
      <c r="AC542" s="49">
        <v>0</v>
      </c>
      <c r="AD542" s="49">
        <v>0</v>
      </c>
      <c r="AE542" s="49">
        <v>0</v>
      </c>
      <c r="AF542" s="49">
        <v>0</v>
      </c>
      <c r="AG542" s="173">
        <v>0</v>
      </c>
      <c r="AH542" s="174">
        <v>0</v>
      </c>
      <c r="AI542" s="174">
        <v>0</v>
      </c>
      <c r="AJ542" s="174">
        <v>0</v>
      </c>
      <c r="AK542" s="174">
        <v>0</v>
      </c>
      <c r="AL542" s="175">
        <v>0</v>
      </c>
      <c r="AM542" s="19">
        <v>0</v>
      </c>
      <c r="AN542" s="20" t="str">
        <f>IFERROR(INDEX([2]lijnopstellingsfiche!$AP$1:$AP$65536,MATCH(A542,[2]lijnopstellingsfiche!$AQ$1:$AQ$65536,0)),"")</f>
        <v>-</v>
      </c>
      <c r="AO542" s="20">
        <v>0</v>
      </c>
      <c r="AP542" s="20">
        <v>0</v>
      </c>
      <c r="AQ542" s="20">
        <v>0</v>
      </c>
      <c r="AR542" s="20">
        <v>0</v>
      </c>
      <c r="AS542" s="20">
        <v>0</v>
      </c>
      <c r="AT542" s="20">
        <v>0</v>
      </c>
      <c r="AU542" s="20">
        <v>0</v>
      </c>
      <c r="AV542" s="23">
        <v>0</v>
      </c>
      <c r="AW542" s="108">
        <v>0</v>
      </c>
      <c r="AX542" s="108">
        <v>0</v>
      </c>
      <c r="AY542" s="108">
        <v>0</v>
      </c>
      <c r="AZ542" s="108">
        <v>0</v>
      </c>
      <c r="BA542" s="114">
        <v>1</v>
      </c>
      <c r="BB542" s="20">
        <v>0</v>
      </c>
      <c r="BC542" s="113">
        <v>0</v>
      </c>
      <c r="BD542" s="200"/>
      <c r="BE542" s="201"/>
      <c r="BF542" s="201"/>
      <c r="BG542" s="201"/>
      <c r="BH542" s="201"/>
      <c r="BI542" s="201"/>
      <c r="BJ542" s="201"/>
      <c r="BK542" s="201"/>
      <c r="BL542" s="201"/>
      <c r="BM542" s="201"/>
      <c r="BN542" s="201"/>
      <c r="BO542" s="201"/>
      <c r="BP542" s="202"/>
    </row>
    <row r="543" spans="1:68" x14ac:dyDescent="0.2">
      <c r="A543" s="89">
        <v>65141100</v>
      </c>
      <c r="B543" s="53" t="str">
        <f>VLOOKUP($A543,[1]maaltijden!$A$1:$IV$65536,4,FALSE)</f>
        <v>DMB VISSTICK 1,26KG</v>
      </c>
      <c r="C543" s="46" t="str">
        <f>VLOOKUP($A543,[1]maaltijden!$A$1:$IV$65536,7,FALSE)</f>
        <v>C2325-1C</v>
      </c>
      <c r="D543" s="22" t="str">
        <f>VLOOKUP($A543,[1]maaltijden!$A$1:$IV$65536,10,FALSE)</f>
        <v>NVT</v>
      </c>
      <c r="E543" s="22" t="str">
        <f>VLOOKUP($A543,[1]maaltijden!$A$1:$IV$65536,13,FALSE)</f>
        <v>BULK HO</v>
      </c>
      <c r="F543" s="20">
        <f t="shared" si="8"/>
        <v>0</v>
      </c>
      <c r="G543" s="20" t="str">
        <f>VLOOKUP($A543,[1]maaltijden!$A$1:$IV$65536,27,FALSE)</f>
        <v>! ! ! !</v>
      </c>
      <c r="H543" s="22">
        <f>VLOOKUP($A543,[1]maaltijden!$A$1:$IV$65536,21,FALSE)</f>
        <v>5</v>
      </c>
      <c r="I543" s="22">
        <f>VLOOKUP($A543,[1]maaltijden!$A$1:$IV$65536,21,FALSE)</f>
        <v>5</v>
      </c>
      <c r="J543" s="22">
        <f>VLOOKUP($A543,[1]maaltijden!$A$1:$IV$65536,18,FALSE)</f>
        <v>3</v>
      </c>
      <c r="K543" s="22">
        <f>VLOOKUP($A543,[1]maaltijden!$A$1:$IV$65536,17,FALSE)</f>
        <v>0</v>
      </c>
      <c r="L543" s="22">
        <f>VLOOKUP($A543,[1]maaltijden!$A$1:$IV$65536,20,FALSE)</f>
        <v>1000</v>
      </c>
      <c r="M543" s="22">
        <f>VLOOKUP($A543,[1]maaltijden!$A$1:$IV$65536,22,FALSE)</f>
        <v>1000</v>
      </c>
      <c r="N543" s="135"/>
      <c r="O543" s="50">
        <v>0</v>
      </c>
      <c r="P543" s="19">
        <v>0</v>
      </c>
      <c r="Q543" s="20">
        <v>1</v>
      </c>
      <c r="R543" s="21">
        <v>0</v>
      </c>
      <c r="S543" s="19">
        <v>0</v>
      </c>
      <c r="T543" s="20">
        <v>1</v>
      </c>
      <c r="U543" s="19">
        <v>1</v>
      </c>
      <c r="V543" s="20">
        <v>1</v>
      </c>
      <c r="W543" s="20">
        <v>1</v>
      </c>
      <c r="X543" s="20">
        <v>1</v>
      </c>
      <c r="Y543" s="20">
        <v>1</v>
      </c>
      <c r="Z543" s="20">
        <v>0</v>
      </c>
      <c r="AA543" s="20">
        <v>0</v>
      </c>
      <c r="AB543" s="49">
        <v>0</v>
      </c>
      <c r="AC543" s="49">
        <v>0</v>
      </c>
      <c r="AD543" s="49">
        <v>0</v>
      </c>
      <c r="AE543" s="49">
        <v>0</v>
      </c>
      <c r="AF543" s="49">
        <v>0</v>
      </c>
      <c r="AG543" s="173">
        <v>0</v>
      </c>
      <c r="AH543" s="174">
        <v>0</v>
      </c>
      <c r="AI543" s="174">
        <v>0</v>
      </c>
      <c r="AJ543" s="174">
        <v>0</v>
      </c>
      <c r="AK543" s="174">
        <v>0</v>
      </c>
      <c r="AL543" s="175">
        <v>0</v>
      </c>
      <c r="AM543" s="19">
        <v>0</v>
      </c>
      <c r="AN543" s="20">
        <f>IFERROR(INDEX([2]lijnopstellingsfiche!$AP$1:$AP$65536,MATCH(A543,[2]lijnopstellingsfiche!$AQ$1:$AQ$65536,0)),"")</f>
        <v>4</v>
      </c>
      <c r="AO543" s="20">
        <v>0</v>
      </c>
      <c r="AP543" s="20">
        <v>0</v>
      </c>
      <c r="AQ543" s="20">
        <v>0</v>
      </c>
      <c r="AR543" s="20">
        <v>0</v>
      </c>
      <c r="AS543" s="20">
        <v>0</v>
      </c>
      <c r="AT543" s="20">
        <v>0</v>
      </c>
      <c r="AU543" s="20">
        <v>0</v>
      </c>
      <c r="AV543" s="23">
        <v>0</v>
      </c>
      <c r="AW543" s="108">
        <v>0</v>
      </c>
      <c r="AX543" s="108">
        <v>0</v>
      </c>
      <c r="AY543" s="108">
        <v>0</v>
      </c>
      <c r="AZ543" s="108">
        <v>0</v>
      </c>
      <c r="BA543" s="114">
        <v>1</v>
      </c>
      <c r="BB543" s="20">
        <v>0</v>
      </c>
      <c r="BC543" s="113">
        <v>0</v>
      </c>
      <c r="BD543" s="200"/>
      <c r="BE543" s="201"/>
      <c r="BF543" s="201"/>
      <c r="BG543" s="201"/>
      <c r="BH543" s="201"/>
      <c r="BI543" s="201"/>
      <c r="BJ543" s="201"/>
      <c r="BK543" s="201"/>
      <c r="BL543" s="201"/>
      <c r="BM543" s="201"/>
      <c r="BN543" s="201"/>
      <c r="BO543" s="201"/>
      <c r="BP543" s="202"/>
    </row>
    <row r="544" spans="1:68" x14ac:dyDescent="0.2">
      <c r="A544" s="89">
        <v>65141200</v>
      </c>
      <c r="B544" s="53" t="str">
        <f>VLOOKUP($A544,[1]maaltijden!$A$1:$IV$65536,4,FALSE)</f>
        <v>DMB CURRYBALLETJES 1,08KG</v>
      </c>
      <c r="C544" s="46" t="str">
        <f>VLOOKUP($A544,[1]maaltijden!$A$1:$IV$65536,7,FALSE)</f>
        <v>C2325-1C</v>
      </c>
      <c r="D544" s="22" t="str">
        <f>VLOOKUP($A544,[1]maaltijden!$A$1:$IV$65536,10,FALSE)</f>
        <v>NVT</v>
      </c>
      <c r="E544" s="22" t="str">
        <f>VLOOKUP($A544,[1]maaltijden!$A$1:$IV$65536,13,FALSE)</f>
        <v>BULK HO</v>
      </c>
      <c r="F544" s="20">
        <f t="shared" si="8"/>
        <v>0</v>
      </c>
      <c r="G544" s="20" t="str">
        <f>VLOOKUP($A544,[1]maaltijden!$A$1:$IV$65536,27,FALSE)</f>
        <v>! ! !</v>
      </c>
      <c r="H544" s="22">
        <f>VLOOKUP($A544,[1]maaltijden!$A$1:$IV$65536,21,FALSE)</f>
        <v>5</v>
      </c>
      <c r="I544" s="22">
        <f>VLOOKUP($A544,[1]maaltijden!$A$1:$IV$65536,21,FALSE)</f>
        <v>5</v>
      </c>
      <c r="J544" s="22">
        <f>VLOOKUP($A544,[1]maaltijden!$A$1:$IV$65536,18,FALSE)</f>
        <v>3</v>
      </c>
      <c r="K544" s="22">
        <f>VLOOKUP($A544,[1]maaltijden!$A$1:$IV$65536,17,FALSE)</f>
        <v>0</v>
      </c>
      <c r="L544" s="22">
        <f>VLOOKUP($A544,[1]maaltijden!$A$1:$IV$65536,20,FALSE)</f>
        <v>1000</v>
      </c>
      <c r="M544" s="22">
        <f>VLOOKUP($A544,[1]maaltijden!$A$1:$IV$65536,22,FALSE)</f>
        <v>1000</v>
      </c>
      <c r="N544" s="135"/>
      <c r="O544" s="50">
        <v>0</v>
      </c>
      <c r="P544" s="19">
        <v>0</v>
      </c>
      <c r="Q544" s="20">
        <v>1</v>
      </c>
      <c r="R544" s="21">
        <v>0</v>
      </c>
      <c r="S544" s="19">
        <v>0</v>
      </c>
      <c r="T544" s="20">
        <v>1</v>
      </c>
      <c r="U544" s="19">
        <v>0</v>
      </c>
      <c r="V544" s="20">
        <v>0</v>
      </c>
      <c r="W544" s="20">
        <v>0</v>
      </c>
      <c r="X544" s="20">
        <v>0</v>
      </c>
      <c r="Y544" s="20">
        <v>0</v>
      </c>
      <c r="Z544" s="20">
        <v>0</v>
      </c>
      <c r="AA544" s="20">
        <v>0</v>
      </c>
      <c r="AB544" s="49">
        <v>0</v>
      </c>
      <c r="AC544" s="49">
        <v>0</v>
      </c>
      <c r="AD544" s="49">
        <v>0</v>
      </c>
      <c r="AE544" s="49">
        <v>1</v>
      </c>
      <c r="AF544" s="49">
        <v>0</v>
      </c>
      <c r="AG544" s="173">
        <v>0</v>
      </c>
      <c r="AH544" s="174">
        <v>0</v>
      </c>
      <c r="AI544" s="174">
        <v>0</v>
      </c>
      <c r="AJ544" s="174">
        <v>0</v>
      </c>
      <c r="AK544" s="174">
        <v>0</v>
      </c>
      <c r="AL544" s="175">
        <v>0</v>
      </c>
      <c r="AM544" s="19">
        <v>0</v>
      </c>
      <c r="AN544" s="20">
        <f>IFERROR(INDEX([2]lijnopstellingsfiche!$AP$1:$AP$65536,MATCH(A544,[2]lijnopstellingsfiche!$AQ$1:$AQ$65536,0)),"")</f>
        <v>4</v>
      </c>
      <c r="AO544" s="20">
        <v>0</v>
      </c>
      <c r="AP544" s="20">
        <v>0</v>
      </c>
      <c r="AQ544" s="20">
        <v>0</v>
      </c>
      <c r="AR544" s="20">
        <v>0</v>
      </c>
      <c r="AS544" s="20">
        <v>0</v>
      </c>
      <c r="AT544" s="20">
        <v>0</v>
      </c>
      <c r="AU544" s="20">
        <v>0</v>
      </c>
      <c r="AV544" s="23">
        <v>0</v>
      </c>
      <c r="AW544" s="108">
        <v>0</v>
      </c>
      <c r="AX544" s="108">
        <v>0</v>
      </c>
      <c r="AY544" s="108">
        <v>0</v>
      </c>
      <c r="AZ544" s="108">
        <v>0</v>
      </c>
      <c r="BA544" s="114">
        <v>1</v>
      </c>
      <c r="BB544" s="20">
        <v>0</v>
      </c>
      <c r="BC544" s="113">
        <v>0</v>
      </c>
      <c r="BD544" s="200"/>
      <c r="BE544" s="201"/>
      <c r="BF544" s="201"/>
      <c r="BG544" s="201"/>
      <c r="BH544" s="201"/>
      <c r="BI544" s="201"/>
      <c r="BJ544" s="201"/>
      <c r="BK544" s="201"/>
      <c r="BL544" s="201"/>
      <c r="BM544" s="201"/>
      <c r="BN544" s="201"/>
      <c r="BO544" s="201"/>
      <c r="BP544" s="202"/>
    </row>
    <row r="545" spans="1:68" x14ac:dyDescent="0.2">
      <c r="A545" s="89">
        <v>65150000</v>
      </c>
      <c r="B545" s="53" t="str">
        <f>VLOOKUP($A545,[1]maaltijden!$A$1:$IV$65536,4,FALSE)</f>
        <v>DMB BOLOGNAISESAUS 2,22KG</v>
      </c>
      <c r="C545" s="46" t="str">
        <f>VLOOKUP($A545,[1]maaltijden!$A$1:$IV$65536,7,FALSE)</f>
        <v>C2325-1C</v>
      </c>
      <c r="D545" s="22" t="str">
        <f>VLOOKUP($A545,[1]maaltijden!$A$1:$IV$65536,10,FALSE)</f>
        <v>NVT</v>
      </c>
      <c r="E545" s="22" t="str">
        <f>VLOOKUP($A545,[1]maaltijden!$A$1:$IV$65536,13,FALSE)</f>
        <v>BULK HO</v>
      </c>
      <c r="F545" s="20">
        <f t="shared" si="8"/>
        <v>0</v>
      </c>
      <c r="G545" s="20" t="str">
        <f>VLOOKUP($A545,[1]maaltijden!$A$1:$IV$65536,27,FALSE)</f>
        <v>! ! !</v>
      </c>
      <c r="H545" s="22">
        <f>VLOOKUP($A545,[1]maaltijden!$A$1:$IV$65536,21,FALSE)</f>
        <v>2</v>
      </c>
      <c r="I545" s="22">
        <f>VLOOKUP($A545,[1]maaltijden!$A$1:$IV$65536,21,FALSE)</f>
        <v>2</v>
      </c>
      <c r="J545" s="22">
        <f>VLOOKUP($A545,[1]maaltijden!$A$1:$IV$65536,18,FALSE)</f>
        <v>3</v>
      </c>
      <c r="K545" s="22">
        <f>VLOOKUP($A545,[1]maaltijden!$A$1:$IV$65536,17,FALSE)</f>
        <v>1</v>
      </c>
      <c r="L545" s="22">
        <f>VLOOKUP($A545,[1]maaltijden!$A$1:$IV$65536,20,FALSE)</f>
        <v>550</v>
      </c>
      <c r="M545" s="22">
        <f>VLOOKUP($A545,[1]maaltijden!$A$1:$IV$65536,22,FALSE)</f>
        <v>550</v>
      </c>
      <c r="N545" s="135"/>
      <c r="O545" s="50">
        <v>0</v>
      </c>
      <c r="P545" s="19">
        <v>0</v>
      </c>
      <c r="Q545" s="20">
        <v>1</v>
      </c>
      <c r="R545" s="21">
        <v>0</v>
      </c>
      <c r="S545" s="19">
        <v>0</v>
      </c>
      <c r="T545" s="20">
        <v>1</v>
      </c>
      <c r="U545" s="19">
        <v>0</v>
      </c>
      <c r="V545" s="20">
        <v>1</v>
      </c>
      <c r="W545" s="11">
        <v>1</v>
      </c>
      <c r="X545" s="20">
        <v>1</v>
      </c>
      <c r="Y545" s="20">
        <v>1</v>
      </c>
      <c r="Z545" s="20">
        <v>0</v>
      </c>
      <c r="AA545" s="20">
        <v>0</v>
      </c>
      <c r="AB545" s="49">
        <v>0</v>
      </c>
      <c r="AC545" s="49">
        <v>0</v>
      </c>
      <c r="AD545" s="49">
        <v>0</v>
      </c>
      <c r="AE545" s="49">
        <v>0</v>
      </c>
      <c r="AF545" s="49">
        <v>0</v>
      </c>
      <c r="AG545" s="173">
        <v>0</v>
      </c>
      <c r="AH545" s="182">
        <v>2</v>
      </c>
      <c r="AI545" s="174">
        <v>0</v>
      </c>
      <c r="AJ545" s="174">
        <v>0</v>
      </c>
      <c r="AK545" s="174">
        <v>0</v>
      </c>
      <c r="AL545" s="175">
        <v>0</v>
      </c>
      <c r="AM545" s="19">
        <v>0</v>
      </c>
      <c r="AN545" s="20" t="str">
        <f>IFERROR(INDEX([2]lijnopstellingsfiche!$AP$1:$AP$65536,MATCH(A545,[2]lijnopstellingsfiche!$AQ$1:$AQ$65536,0)),"")</f>
        <v>-</v>
      </c>
      <c r="AO545" s="20">
        <v>0</v>
      </c>
      <c r="AP545" s="20">
        <v>0</v>
      </c>
      <c r="AQ545" s="20">
        <v>3</v>
      </c>
      <c r="AR545" s="20">
        <v>0</v>
      </c>
      <c r="AS545" s="20">
        <v>0</v>
      </c>
      <c r="AT545" s="20">
        <v>0</v>
      </c>
      <c r="AU545" s="20">
        <v>0</v>
      </c>
      <c r="AV545" s="23">
        <v>0</v>
      </c>
      <c r="AW545" s="108">
        <v>0</v>
      </c>
      <c r="AX545" s="108">
        <v>0</v>
      </c>
      <c r="AY545" s="108">
        <v>0</v>
      </c>
      <c r="AZ545" s="108">
        <v>0</v>
      </c>
      <c r="BA545" s="114">
        <v>1</v>
      </c>
      <c r="BB545" s="20">
        <v>0</v>
      </c>
      <c r="BC545" s="113">
        <v>0</v>
      </c>
      <c r="BD545" s="200" t="str">
        <f>VLOOKUP($A545,'[3]allergenen 6nr'!$A$1:$O$1310,3,FALSE)</f>
        <v>-</v>
      </c>
      <c r="BE545" s="201" t="str">
        <f>VLOOKUP($A545,'[3]allergenen 6nr'!$A$1:$O$1310,4,FALSE)</f>
        <v>-</v>
      </c>
      <c r="BF545" s="201" t="str">
        <f>VLOOKUP($A545,'[3]allergenen 6nr'!$A$1:$O$1310,5,FALSE)</f>
        <v>-</v>
      </c>
      <c r="BG545" s="201" t="str">
        <f>VLOOKUP($A545,'[3]allergenen 6nr'!$A$1:$O$1310,6,FALSE)</f>
        <v>-</v>
      </c>
      <c r="BH545" s="201" t="str">
        <f>VLOOKUP($A545,'[3]allergenen 6nr'!$A$1:$O$1310,7,FALSE)</f>
        <v>-</v>
      </c>
      <c r="BI545" s="201" t="str">
        <f>VLOOKUP($A545,'[3]allergenen 6nr'!$A$1:$O$1310,8,FALSE)</f>
        <v>-</v>
      </c>
      <c r="BJ545" s="201" t="str">
        <f>VLOOKUP($A545,'[3]allergenen 6nr'!$A$1:$O$1310,9,FALSE)</f>
        <v>-</v>
      </c>
      <c r="BK545" s="201" t="str">
        <f>VLOOKUP($A545,'[3]allergenen 6nr'!$A$1:$O$1310,10,FALSE)</f>
        <v>-</v>
      </c>
      <c r="BL545" s="201" t="str">
        <f>VLOOKUP($A545,'[3]allergenen 6nr'!$A$1:$O$1310,11,FALSE)</f>
        <v>+</v>
      </c>
      <c r="BM545" s="201" t="str">
        <f>VLOOKUP($A545,'[3]allergenen 6nr'!$A$1:$O$1310,12,FALSE)</f>
        <v>-</v>
      </c>
      <c r="BN545" s="201" t="str">
        <f>VLOOKUP($A545,'[3]allergenen 6nr'!$A$1:$O$1310,13,FALSE)</f>
        <v>-</v>
      </c>
      <c r="BO545" s="201" t="str">
        <f>VLOOKUP($A545,'[3]allergenen 6nr'!$A$1:$O$1310,14,FALSE)</f>
        <v>-</v>
      </c>
      <c r="BP545" s="202" t="str">
        <f>VLOOKUP($A545,'[3]allergenen 6nr'!$A$1:$O$1310,15,FALSE)</f>
        <v>-</v>
      </c>
    </row>
    <row r="546" spans="1:68" x14ac:dyDescent="0.2">
      <c r="A546" s="89">
        <v>65150100</v>
      </c>
      <c r="B546" s="53" t="str">
        <f>VLOOKUP($A546,[1]maaltijden!$A$1:$IV$65536,4,FALSE)</f>
        <v>DMB HAM KAASSAUS 2,22KG</v>
      </c>
      <c r="C546" s="46" t="str">
        <f>VLOOKUP($A546,[1]maaltijden!$A$1:$IV$65536,7,FALSE)</f>
        <v>C2325-1C</v>
      </c>
      <c r="D546" s="22" t="str">
        <f>VLOOKUP($A546,[1]maaltijden!$A$1:$IV$65536,10,FALSE)</f>
        <v>NVT</v>
      </c>
      <c r="E546" s="22" t="str">
        <f>VLOOKUP($A546,[1]maaltijden!$A$1:$IV$65536,13,FALSE)</f>
        <v>BULK HO</v>
      </c>
      <c r="F546" s="20">
        <f t="shared" si="8"/>
        <v>0</v>
      </c>
      <c r="G546" s="20" t="str">
        <f>VLOOKUP($A546,[1]maaltijden!$A$1:$IV$65536,27,FALSE)</f>
        <v>! ! !</v>
      </c>
      <c r="H546" s="22">
        <f>VLOOKUP($A546,[1]maaltijden!$A$1:$IV$65536,21,FALSE)</f>
        <v>2</v>
      </c>
      <c r="I546" s="22">
        <f>VLOOKUP($A546,[1]maaltijden!$A$1:$IV$65536,21,FALSE)</f>
        <v>2</v>
      </c>
      <c r="J546" s="22">
        <f>VLOOKUP($A546,[1]maaltijden!$A$1:$IV$65536,18,FALSE)</f>
        <v>3</v>
      </c>
      <c r="K546" s="22">
        <f>VLOOKUP($A546,[1]maaltijden!$A$1:$IV$65536,17,FALSE)</f>
        <v>1</v>
      </c>
      <c r="L546" s="22">
        <f>VLOOKUP($A546,[1]maaltijden!$A$1:$IV$65536,20,FALSE)</f>
        <v>550</v>
      </c>
      <c r="M546" s="22">
        <f>VLOOKUP($A546,[1]maaltijden!$A$1:$IV$65536,22,FALSE)</f>
        <v>550</v>
      </c>
      <c r="N546" s="135"/>
      <c r="O546" s="50"/>
      <c r="P546" s="19">
        <v>0</v>
      </c>
      <c r="Q546" s="20">
        <v>1</v>
      </c>
      <c r="R546" s="21">
        <v>0</v>
      </c>
      <c r="S546" s="19">
        <v>0</v>
      </c>
      <c r="T546" s="20">
        <v>1</v>
      </c>
      <c r="U546" s="19">
        <v>1</v>
      </c>
      <c r="V546" s="20">
        <v>1</v>
      </c>
      <c r="W546" s="20">
        <v>1</v>
      </c>
      <c r="X546" s="20">
        <v>1</v>
      </c>
      <c r="Y546" s="20">
        <v>1</v>
      </c>
      <c r="Z546" s="20">
        <v>0</v>
      </c>
      <c r="AA546" s="20">
        <v>0</v>
      </c>
      <c r="AB546" s="49">
        <v>0</v>
      </c>
      <c r="AC546" s="49">
        <v>0</v>
      </c>
      <c r="AD546" s="49">
        <v>0</v>
      </c>
      <c r="AE546" s="49">
        <v>0</v>
      </c>
      <c r="AF546" s="49">
        <v>0</v>
      </c>
      <c r="AG546" s="173">
        <v>0</v>
      </c>
      <c r="AH546" s="182">
        <v>2</v>
      </c>
      <c r="AI546" s="174">
        <v>0</v>
      </c>
      <c r="AJ546" s="174">
        <v>0</v>
      </c>
      <c r="AK546" s="174">
        <v>0</v>
      </c>
      <c r="AL546" s="175">
        <v>0</v>
      </c>
      <c r="AM546" s="19">
        <v>0</v>
      </c>
      <c r="AN546" s="20" t="str">
        <f>IFERROR(INDEX([2]lijnopstellingsfiche!$AP$1:$AP$65536,MATCH(A546,[2]lijnopstellingsfiche!$AQ$1:$AQ$65536,0)),"")</f>
        <v>-</v>
      </c>
      <c r="AO546" s="20">
        <v>0</v>
      </c>
      <c r="AP546" s="20">
        <v>0</v>
      </c>
      <c r="AQ546" s="20">
        <v>3</v>
      </c>
      <c r="AR546" s="20">
        <v>0</v>
      </c>
      <c r="AS546" s="20">
        <v>0</v>
      </c>
      <c r="AT546" s="20">
        <v>0</v>
      </c>
      <c r="AU546" s="20">
        <v>0</v>
      </c>
      <c r="AV546" s="23">
        <v>0</v>
      </c>
      <c r="AW546" s="108">
        <v>0</v>
      </c>
      <c r="AX546" s="108">
        <v>0</v>
      </c>
      <c r="AY546" s="108">
        <v>0</v>
      </c>
      <c r="AZ546" s="108">
        <v>0</v>
      </c>
      <c r="BA546" s="114">
        <v>1</v>
      </c>
      <c r="BB546" s="20">
        <v>0</v>
      </c>
      <c r="BC546" s="113">
        <v>0</v>
      </c>
      <c r="BD546" s="200" t="str">
        <f>VLOOKUP($A546,'[3]allergenen 6nr'!$A$1:$O$1310,3,FALSE)</f>
        <v>-</v>
      </c>
      <c r="BE546" s="201" t="str">
        <f>VLOOKUP($A546,'[3]allergenen 6nr'!$A$1:$O$1310,4,FALSE)</f>
        <v>-</v>
      </c>
      <c r="BF546" s="201" t="str">
        <f>VLOOKUP($A546,'[3]allergenen 6nr'!$A$1:$O$1310,5,FALSE)</f>
        <v>+</v>
      </c>
      <c r="BG546" s="201" t="str">
        <f>VLOOKUP($A546,'[3]allergenen 6nr'!$A$1:$O$1310,6,FALSE)</f>
        <v>-</v>
      </c>
      <c r="BH546" s="201" t="str">
        <f>VLOOKUP($A546,'[3]allergenen 6nr'!$A$1:$O$1310,7,FALSE)</f>
        <v>+</v>
      </c>
      <c r="BI546" s="201" t="str">
        <f>VLOOKUP($A546,'[3]allergenen 6nr'!$A$1:$O$1310,8,FALSE)</f>
        <v>-</v>
      </c>
      <c r="BJ546" s="201" t="str">
        <f>VLOOKUP($A546,'[3]allergenen 6nr'!$A$1:$O$1310,9,FALSE)</f>
        <v>-</v>
      </c>
      <c r="BK546" s="201" t="str">
        <f>VLOOKUP($A546,'[3]allergenen 6nr'!$A$1:$O$1310,10,FALSE)</f>
        <v>-</v>
      </c>
      <c r="BL546" s="201" t="str">
        <f>VLOOKUP($A546,'[3]allergenen 6nr'!$A$1:$O$1310,11,FALSE)</f>
        <v>+</v>
      </c>
      <c r="BM546" s="201" t="str">
        <f>VLOOKUP($A546,'[3]allergenen 6nr'!$A$1:$O$1310,12,FALSE)</f>
        <v>-</v>
      </c>
      <c r="BN546" s="201" t="str">
        <f>VLOOKUP($A546,'[3]allergenen 6nr'!$A$1:$O$1310,13,FALSE)</f>
        <v>-</v>
      </c>
      <c r="BO546" s="201" t="str">
        <f>VLOOKUP($A546,'[3]allergenen 6nr'!$A$1:$O$1310,14,FALSE)</f>
        <v>-</v>
      </c>
      <c r="BP546" s="202" t="str">
        <f>VLOOKUP($A546,'[3]allergenen 6nr'!$A$1:$O$1310,15,FALSE)</f>
        <v>-</v>
      </c>
    </row>
    <row r="547" spans="1:68" x14ac:dyDescent="0.2">
      <c r="A547" s="89">
        <v>65150200</v>
      </c>
      <c r="B547" s="53" t="str">
        <f>VLOOKUP($A547,[1]maaltijden!$A$1:$IV$65536,4,FALSE)</f>
        <v>DMB CARBONARA 2,22KG</v>
      </c>
      <c r="C547" s="46" t="str">
        <f>VLOOKUP($A547,[1]maaltijden!$A$1:$IV$65536,7,FALSE)</f>
        <v>C2325-1C</v>
      </c>
      <c r="D547" s="22" t="str">
        <f>VLOOKUP($A547,[1]maaltijden!$A$1:$IV$65536,10,FALSE)</f>
        <v>NVT</v>
      </c>
      <c r="E547" s="22" t="str">
        <f>VLOOKUP($A547,[1]maaltijden!$A$1:$IV$65536,13,FALSE)</f>
        <v>BULK HO</v>
      </c>
      <c r="F547" s="20">
        <f t="shared" si="8"/>
        <v>0</v>
      </c>
      <c r="G547" s="20" t="str">
        <f>VLOOKUP($A547,[1]maaltijden!$A$1:$IV$65536,27,FALSE)</f>
        <v>! !</v>
      </c>
      <c r="H547" s="22">
        <f>VLOOKUP($A547,[1]maaltijden!$A$1:$IV$65536,21,FALSE)</f>
        <v>2</v>
      </c>
      <c r="I547" s="22">
        <f>VLOOKUP($A547,[1]maaltijden!$A$1:$IV$65536,21,FALSE)</f>
        <v>2</v>
      </c>
      <c r="J547" s="22">
        <f>VLOOKUP($A547,[1]maaltijden!$A$1:$IV$65536,18,FALSE)</f>
        <v>3</v>
      </c>
      <c r="K547" s="22">
        <f>VLOOKUP($A547,[1]maaltijden!$A$1:$IV$65536,17,FALSE)</f>
        <v>1</v>
      </c>
      <c r="L547" s="22">
        <f>VLOOKUP($A547,[1]maaltijden!$A$1:$IV$65536,20,FALSE)</f>
        <v>550</v>
      </c>
      <c r="M547" s="22">
        <f>VLOOKUP($A547,[1]maaltijden!$A$1:$IV$65536,22,FALSE)</f>
        <v>550</v>
      </c>
      <c r="N547" s="135"/>
      <c r="O547" s="50"/>
      <c r="P547" s="19">
        <v>0</v>
      </c>
      <c r="Q547" s="20">
        <v>1</v>
      </c>
      <c r="R547" s="21">
        <v>0</v>
      </c>
      <c r="S547" s="19">
        <v>0</v>
      </c>
      <c r="T547" s="20">
        <v>1</v>
      </c>
      <c r="U547" s="19">
        <v>1</v>
      </c>
      <c r="V547" s="20">
        <v>1</v>
      </c>
      <c r="W547" s="20">
        <v>1</v>
      </c>
      <c r="X547" s="20">
        <v>1</v>
      </c>
      <c r="Y547" s="20">
        <v>1</v>
      </c>
      <c r="Z547" s="20">
        <v>0</v>
      </c>
      <c r="AA547" s="20">
        <v>0</v>
      </c>
      <c r="AB547" s="49">
        <v>0</v>
      </c>
      <c r="AC547" s="49">
        <v>0</v>
      </c>
      <c r="AD547" s="49">
        <v>0</v>
      </c>
      <c r="AE547" s="49">
        <v>0</v>
      </c>
      <c r="AF547" s="49">
        <v>0</v>
      </c>
      <c r="AG547" s="173">
        <v>0</v>
      </c>
      <c r="AH547" s="182">
        <v>2</v>
      </c>
      <c r="AI547" s="174">
        <v>0</v>
      </c>
      <c r="AJ547" s="174">
        <v>0</v>
      </c>
      <c r="AK547" s="174">
        <v>0</v>
      </c>
      <c r="AL547" s="175">
        <v>0</v>
      </c>
      <c r="AM547" s="19">
        <v>0</v>
      </c>
      <c r="AN547" s="20" t="str">
        <f>IFERROR(INDEX([2]lijnopstellingsfiche!$AP$1:$AP$65536,MATCH(A547,[2]lijnopstellingsfiche!$AQ$1:$AQ$65536,0)),"")</f>
        <v>-</v>
      </c>
      <c r="AO547" s="20">
        <v>0</v>
      </c>
      <c r="AP547" s="20">
        <v>0</v>
      </c>
      <c r="AQ547" s="20">
        <v>3</v>
      </c>
      <c r="AR547" s="20">
        <v>0</v>
      </c>
      <c r="AS547" s="20">
        <v>0</v>
      </c>
      <c r="AT547" s="20">
        <v>0</v>
      </c>
      <c r="AU547" s="20">
        <v>0</v>
      </c>
      <c r="AV547" s="23">
        <v>0</v>
      </c>
      <c r="AW547" s="108">
        <v>0</v>
      </c>
      <c r="AX547" s="108">
        <v>0</v>
      </c>
      <c r="AY547" s="108">
        <v>0</v>
      </c>
      <c r="AZ547" s="108">
        <v>0</v>
      </c>
      <c r="BA547" s="114">
        <v>1</v>
      </c>
      <c r="BB547" s="20">
        <v>0</v>
      </c>
      <c r="BC547" s="113">
        <v>0</v>
      </c>
      <c r="BD547" s="200" t="str">
        <f>VLOOKUP($A547,'[3]allergenen 6nr'!$A$1:$O$1310,3,FALSE)</f>
        <v>-</v>
      </c>
      <c r="BE547" s="201" t="str">
        <f>VLOOKUP($A547,'[3]allergenen 6nr'!$A$1:$O$1310,4,FALSE)</f>
        <v>-</v>
      </c>
      <c r="BF547" s="201" t="str">
        <f>VLOOKUP($A547,'[3]allergenen 6nr'!$A$1:$O$1310,5,FALSE)</f>
        <v>-</v>
      </c>
      <c r="BG547" s="201" t="str">
        <f>VLOOKUP($A547,'[3]allergenen 6nr'!$A$1:$O$1310,6,FALSE)</f>
        <v>-</v>
      </c>
      <c r="BH547" s="201" t="str">
        <f>VLOOKUP($A547,'[3]allergenen 6nr'!$A$1:$O$1310,7,FALSE)</f>
        <v>+</v>
      </c>
      <c r="BI547" s="201" t="str">
        <f>VLOOKUP($A547,'[3]allergenen 6nr'!$A$1:$O$1310,8,FALSE)</f>
        <v>-</v>
      </c>
      <c r="BJ547" s="201" t="str">
        <f>VLOOKUP($A547,'[3]allergenen 6nr'!$A$1:$O$1310,9,FALSE)</f>
        <v>-</v>
      </c>
      <c r="BK547" s="201" t="str">
        <f>VLOOKUP($A547,'[3]allergenen 6nr'!$A$1:$O$1310,10,FALSE)</f>
        <v>-</v>
      </c>
      <c r="BL547" s="201" t="str">
        <f>VLOOKUP($A547,'[3]allergenen 6nr'!$A$1:$O$1310,11,FALSE)</f>
        <v>-</v>
      </c>
      <c r="BM547" s="201" t="str">
        <f>VLOOKUP($A547,'[3]allergenen 6nr'!$A$1:$O$1310,12,FALSE)</f>
        <v>-</v>
      </c>
      <c r="BN547" s="201" t="str">
        <f>VLOOKUP($A547,'[3]allergenen 6nr'!$A$1:$O$1310,13,FALSE)</f>
        <v>-</v>
      </c>
      <c r="BO547" s="201" t="str">
        <f>VLOOKUP($A547,'[3]allergenen 6nr'!$A$1:$O$1310,14,FALSE)</f>
        <v>-</v>
      </c>
      <c r="BP547" s="202" t="str">
        <f>VLOOKUP($A547,'[3]allergenen 6nr'!$A$1:$O$1310,15,FALSE)</f>
        <v>-</v>
      </c>
    </row>
    <row r="548" spans="1:68" x14ac:dyDescent="0.2">
      <c r="A548" s="89">
        <v>65150700</v>
      </c>
      <c r="B548" s="53" t="str">
        <f>VLOOKUP($A548,[1]maaltijden!$A$1:$IV$65536,4,FALSE)</f>
        <v>DMB KIP TOMAATMOZZARELLASAUS 2,22KG</v>
      </c>
      <c r="C548" s="46" t="str">
        <f>VLOOKUP($A548,[1]maaltijden!$A$1:$IV$65536,7,FALSE)</f>
        <v>C2325-1C</v>
      </c>
      <c r="D548" s="22" t="str">
        <f>VLOOKUP($A548,[1]maaltijden!$A$1:$IV$65536,10,FALSE)</f>
        <v>NVT</v>
      </c>
      <c r="E548" s="22" t="str">
        <f>VLOOKUP($A548,[1]maaltijden!$A$1:$IV$65536,13,FALSE)</f>
        <v>BULK HO</v>
      </c>
      <c r="F548" s="20">
        <f t="shared" si="8"/>
        <v>0</v>
      </c>
      <c r="G548" s="20" t="str">
        <f>VLOOKUP($A548,[1]maaltijden!$A$1:$IV$65536,27,FALSE)</f>
        <v>! ! !</v>
      </c>
      <c r="H548" s="22">
        <f>VLOOKUP($A548,[1]maaltijden!$A$1:$IV$65536,21,FALSE)</f>
        <v>2</v>
      </c>
      <c r="I548" s="22">
        <f>VLOOKUP($A548,[1]maaltijden!$A$1:$IV$65536,21,FALSE)</f>
        <v>2</v>
      </c>
      <c r="J548" s="22">
        <f>VLOOKUP($A548,[1]maaltijden!$A$1:$IV$65536,18,FALSE)</f>
        <v>3</v>
      </c>
      <c r="K548" s="22">
        <f>VLOOKUP($A548,[1]maaltijden!$A$1:$IV$65536,17,FALSE)</f>
        <v>1</v>
      </c>
      <c r="L548" s="22">
        <f>VLOOKUP($A548,[1]maaltijden!$A$1:$IV$65536,20,FALSE)</f>
        <v>550</v>
      </c>
      <c r="M548" s="22">
        <f>VLOOKUP($A548,[1]maaltijden!$A$1:$IV$65536,22,FALSE)</f>
        <v>550</v>
      </c>
      <c r="N548" s="135"/>
      <c r="O548" s="50"/>
      <c r="P548" s="19">
        <v>0</v>
      </c>
      <c r="Q548" s="20">
        <v>1</v>
      </c>
      <c r="R548" s="21">
        <v>0</v>
      </c>
      <c r="S548" s="19">
        <v>0</v>
      </c>
      <c r="T548" s="20">
        <v>1</v>
      </c>
      <c r="U548" s="19">
        <v>1</v>
      </c>
      <c r="V548" s="20">
        <v>1</v>
      </c>
      <c r="W548" s="20">
        <v>1</v>
      </c>
      <c r="X548" s="20">
        <v>1</v>
      </c>
      <c r="Y548" s="20">
        <v>1</v>
      </c>
      <c r="Z548" s="20">
        <v>0</v>
      </c>
      <c r="AA548" s="20">
        <v>0</v>
      </c>
      <c r="AB548" s="49">
        <v>0</v>
      </c>
      <c r="AC548" s="49">
        <v>0</v>
      </c>
      <c r="AD548" s="49">
        <v>0</v>
      </c>
      <c r="AE548" s="49">
        <v>0</v>
      </c>
      <c r="AF548" s="49">
        <v>0</v>
      </c>
      <c r="AG548" s="173">
        <v>0</v>
      </c>
      <c r="AH548" s="182">
        <v>2</v>
      </c>
      <c r="AI548" s="174">
        <v>0</v>
      </c>
      <c r="AJ548" s="174">
        <v>0</v>
      </c>
      <c r="AK548" s="174">
        <v>0</v>
      </c>
      <c r="AL548" s="175">
        <v>0</v>
      </c>
      <c r="AM548" s="19">
        <v>0</v>
      </c>
      <c r="AN548" s="20" t="str">
        <f>IFERROR(INDEX([2]lijnopstellingsfiche!$AP$1:$AP$65536,MATCH(A548,[2]lijnopstellingsfiche!$AQ$1:$AQ$65536,0)),"")</f>
        <v>-</v>
      </c>
      <c r="AO548" s="20">
        <v>0</v>
      </c>
      <c r="AP548" s="20">
        <v>0</v>
      </c>
      <c r="AQ548" s="20">
        <v>3</v>
      </c>
      <c r="AR548" s="20">
        <v>0</v>
      </c>
      <c r="AS548" s="20">
        <v>0</v>
      </c>
      <c r="AT548" s="20">
        <v>0</v>
      </c>
      <c r="AU548" s="20">
        <v>0</v>
      </c>
      <c r="AV548" s="23">
        <v>0</v>
      </c>
      <c r="AW548" s="108">
        <v>0</v>
      </c>
      <c r="AX548" s="108">
        <v>0</v>
      </c>
      <c r="AY548" s="108">
        <v>0</v>
      </c>
      <c r="AZ548" s="108">
        <v>0</v>
      </c>
      <c r="BA548" s="114">
        <v>1</v>
      </c>
      <c r="BB548" s="20">
        <v>0</v>
      </c>
      <c r="BC548" s="113">
        <v>0</v>
      </c>
      <c r="BD548" s="200" t="str">
        <f>VLOOKUP($A548,'[3]allergenen 6nr'!$A$1:$O$1310,3,FALSE)</f>
        <v>-</v>
      </c>
      <c r="BE548" s="201" t="str">
        <f>VLOOKUP($A548,'[3]allergenen 6nr'!$A$1:$O$1310,4,FALSE)</f>
        <v>-</v>
      </c>
      <c r="BF548" s="201" t="str">
        <f>VLOOKUP($A548,'[3]allergenen 6nr'!$A$1:$O$1310,5,FALSE)</f>
        <v>+</v>
      </c>
      <c r="BG548" s="201" t="str">
        <f>VLOOKUP($A548,'[3]allergenen 6nr'!$A$1:$O$1310,6,FALSE)</f>
        <v>X</v>
      </c>
      <c r="BH548" s="201" t="str">
        <f>VLOOKUP($A548,'[3]allergenen 6nr'!$A$1:$O$1310,7,FALSE)</f>
        <v>+</v>
      </c>
      <c r="BI548" s="201" t="str">
        <f>VLOOKUP($A548,'[3]allergenen 6nr'!$A$1:$O$1310,8,FALSE)</f>
        <v>X</v>
      </c>
      <c r="BJ548" s="201" t="str">
        <f>VLOOKUP($A548,'[3]allergenen 6nr'!$A$1:$O$1310,9,FALSE)</f>
        <v>-</v>
      </c>
      <c r="BK548" s="201" t="str">
        <f>VLOOKUP($A548,'[3]allergenen 6nr'!$A$1:$O$1310,10,FALSE)</f>
        <v>-</v>
      </c>
      <c r="BL548" s="201" t="str">
        <f>VLOOKUP($A548,'[3]allergenen 6nr'!$A$1:$O$1310,11,FALSE)</f>
        <v>+</v>
      </c>
      <c r="BM548" s="201" t="str">
        <f>VLOOKUP($A548,'[3]allergenen 6nr'!$A$1:$O$1310,12,FALSE)</f>
        <v>-</v>
      </c>
      <c r="BN548" s="201" t="str">
        <f>VLOOKUP($A548,'[3]allergenen 6nr'!$A$1:$O$1310,13,FALSE)</f>
        <v>X</v>
      </c>
      <c r="BO548" s="201" t="str">
        <f>VLOOKUP($A548,'[3]allergenen 6nr'!$A$1:$O$1310,14,FALSE)</f>
        <v>-</v>
      </c>
      <c r="BP548" s="202" t="str">
        <f>VLOOKUP($A548,'[3]allergenen 6nr'!$A$1:$O$1310,15,FALSE)</f>
        <v>-</v>
      </c>
    </row>
    <row r="549" spans="1:68" x14ac:dyDescent="0.2">
      <c r="A549" s="89">
        <v>65150900</v>
      </c>
      <c r="B549" s="53" t="str">
        <f>VLOOKUP($A549,[1]maaltijden!$A$1:$IV$65536,4,FALSE)</f>
        <v>DMB TOMATENSAUS MET HAM EN GROENTJES</v>
      </c>
      <c r="C549" s="46" t="str">
        <f>VLOOKUP($A549,[1]maaltijden!$A$1:$IV$65536,7,FALSE)</f>
        <v>C2325-1C</v>
      </c>
      <c r="D549" s="22" t="str">
        <f>VLOOKUP($A549,[1]maaltijden!$A$1:$IV$65536,10,FALSE)</f>
        <v>NVT</v>
      </c>
      <c r="E549" s="22" t="str">
        <f>VLOOKUP($A549,[1]maaltijden!$A$1:$IV$65536,13,FALSE)</f>
        <v>BULK HO</v>
      </c>
      <c r="F549" s="20">
        <f t="shared" si="8"/>
        <v>0</v>
      </c>
      <c r="G549" s="20" t="str">
        <f>VLOOKUP($A549,[1]maaltijden!$A$1:$IV$65536,27,FALSE)</f>
        <v>-</v>
      </c>
      <c r="H549" s="22">
        <f>VLOOKUP($A549,[1]maaltijden!$A$1:$IV$65536,21,FALSE)</f>
        <v>2</v>
      </c>
      <c r="I549" s="22">
        <f>VLOOKUP($A549,[1]maaltijden!$A$1:$IV$65536,21,FALSE)</f>
        <v>2</v>
      </c>
      <c r="J549" s="22">
        <f>VLOOKUP($A549,[1]maaltijden!$A$1:$IV$65536,18,FALSE)</f>
        <v>3</v>
      </c>
      <c r="K549" s="22">
        <f>VLOOKUP($A549,[1]maaltijden!$A$1:$IV$65536,17,FALSE)</f>
        <v>1</v>
      </c>
      <c r="L549" s="22">
        <f>VLOOKUP($A549,[1]maaltijden!$A$1:$IV$65536,20,FALSE)</f>
        <v>550</v>
      </c>
      <c r="M549" s="22">
        <f>VLOOKUP($A549,[1]maaltijden!$A$1:$IV$65536,22,FALSE)</f>
        <v>550</v>
      </c>
      <c r="N549" s="135"/>
      <c r="O549" s="50"/>
      <c r="P549" s="19">
        <v>0</v>
      </c>
      <c r="Q549" s="20">
        <v>1</v>
      </c>
      <c r="R549" s="21">
        <v>0</v>
      </c>
      <c r="S549" s="19">
        <v>0</v>
      </c>
      <c r="T549" s="20">
        <v>1</v>
      </c>
      <c r="U549" s="19">
        <v>1</v>
      </c>
      <c r="V549" s="20">
        <v>1</v>
      </c>
      <c r="W549" s="20">
        <v>1</v>
      </c>
      <c r="X549" s="20">
        <v>1</v>
      </c>
      <c r="Y549" s="20">
        <v>1</v>
      </c>
      <c r="Z549" s="20">
        <v>0</v>
      </c>
      <c r="AA549" s="20">
        <v>0</v>
      </c>
      <c r="AB549" s="49">
        <v>0</v>
      </c>
      <c r="AC549" s="49">
        <v>0</v>
      </c>
      <c r="AD549" s="49">
        <v>0</v>
      </c>
      <c r="AE549" s="49">
        <v>0</v>
      </c>
      <c r="AF549" s="49">
        <v>0</v>
      </c>
      <c r="AG549" s="173">
        <v>0</v>
      </c>
      <c r="AH549" s="182">
        <v>2</v>
      </c>
      <c r="AI549" s="174">
        <v>0</v>
      </c>
      <c r="AJ549" s="174">
        <v>0</v>
      </c>
      <c r="AK549" s="174">
        <v>0</v>
      </c>
      <c r="AL549" s="175">
        <v>0</v>
      </c>
      <c r="AM549" s="19">
        <v>0</v>
      </c>
      <c r="AN549" s="20" t="str">
        <f>IFERROR(INDEX([2]lijnopstellingsfiche!$AP$1:$AP$65536,MATCH(A549,[2]lijnopstellingsfiche!$AQ$1:$AQ$65536,0)),"")</f>
        <v>-</v>
      </c>
      <c r="AO549" s="20">
        <v>0</v>
      </c>
      <c r="AP549" s="20">
        <v>0</v>
      </c>
      <c r="AQ549" s="20">
        <v>3</v>
      </c>
      <c r="AR549" s="20">
        <v>0</v>
      </c>
      <c r="AS549" s="20">
        <v>0</v>
      </c>
      <c r="AT549" s="20">
        <v>0</v>
      </c>
      <c r="AU549" s="20">
        <v>0</v>
      </c>
      <c r="AV549" s="23">
        <v>0</v>
      </c>
      <c r="AW549" s="108">
        <v>0</v>
      </c>
      <c r="AX549" s="108">
        <v>0</v>
      </c>
      <c r="AY549" s="108">
        <v>0</v>
      </c>
      <c r="AZ549" s="108">
        <v>0</v>
      </c>
      <c r="BA549" s="114">
        <v>1</v>
      </c>
      <c r="BB549" s="20">
        <v>0</v>
      </c>
      <c r="BC549" s="113">
        <v>0</v>
      </c>
      <c r="BD549" s="200" t="str">
        <f>VLOOKUP($A549,'[3]allergenen 6nr'!$A$1:$O$1310,3,FALSE)</f>
        <v>-</v>
      </c>
      <c r="BE549" s="201" t="str">
        <f>VLOOKUP($A549,'[3]allergenen 6nr'!$A$1:$O$1310,4,FALSE)</f>
        <v>-</v>
      </c>
      <c r="BF549" s="201" t="str">
        <f>VLOOKUP($A549,'[3]allergenen 6nr'!$A$1:$O$1310,5,FALSE)</f>
        <v>-</v>
      </c>
      <c r="BG549" s="201" t="str">
        <f>VLOOKUP($A549,'[3]allergenen 6nr'!$A$1:$O$1310,6,FALSE)</f>
        <v>-</v>
      </c>
      <c r="BH549" s="201" t="str">
        <f>VLOOKUP($A549,'[3]allergenen 6nr'!$A$1:$O$1310,7,FALSE)</f>
        <v>-</v>
      </c>
      <c r="BI549" s="201" t="str">
        <f>VLOOKUP($A549,'[3]allergenen 6nr'!$A$1:$O$1310,8,FALSE)</f>
        <v>-</v>
      </c>
      <c r="BJ549" s="201" t="str">
        <f>VLOOKUP($A549,'[3]allergenen 6nr'!$A$1:$O$1310,9,FALSE)</f>
        <v>-</v>
      </c>
      <c r="BK549" s="201" t="str">
        <f>VLOOKUP($A549,'[3]allergenen 6nr'!$A$1:$O$1310,10,FALSE)</f>
        <v>-</v>
      </c>
      <c r="BL549" s="201" t="str">
        <f>VLOOKUP($A549,'[3]allergenen 6nr'!$A$1:$O$1310,11,FALSE)</f>
        <v>-</v>
      </c>
      <c r="BM549" s="201" t="str">
        <f>VLOOKUP($A549,'[3]allergenen 6nr'!$A$1:$O$1310,12,FALSE)</f>
        <v>-</v>
      </c>
      <c r="BN549" s="201" t="str">
        <f>VLOOKUP($A549,'[3]allergenen 6nr'!$A$1:$O$1310,13,FALSE)</f>
        <v>-</v>
      </c>
      <c r="BO549" s="201" t="str">
        <f>VLOOKUP($A549,'[3]allergenen 6nr'!$A$1:$O$1310,14,FALSE)</f>
        <v>-</v>
      </c>
      <c r="BP549" s="202" t="str">
        <f>VLOOKUP($A549,'[3]allergenen 6nr'!$A$1:$O$1310,15,FALSE)</f>
        <v>-</v>
      </c>
    </row>
    <row r="550" spans="1:68" x14ac:dyDescent="0.2">
      <c r="A550" s="89">
        <v>65151200</v>
      </c>
      <c r="B550" s="53" t="str">
        <f>VLOOKUP($A550,[1]maaltijden!$A$1:$IV$65536,4,FALSE)</f>
        <v>DMB BOLOGNAISESAUS VEGETARISCH 2,22KG</v>
      </c>
      <c r="C550" s="46" t="str">
        <f>VLOOKUP($A550,[1]maaltijden!$A$1:$IV$65536,7,FALSE)</f>
        <v>C2325-1C</v>
      </c>
      <c r="D550" s="22" t="str">
        <f>VLOOKUP($A550,[1]maaltijden!$A$1:$IV$65536,10,FALSE)</f>
        <v>NVT</v>
      </c>
      <c r="E550" s="22" t="str">
        <f>VLOOKUP($A550,[1]maaltijden!$A$1:$IV$65536,13,FALSE)</f>
        <v>BULK HO</v>
      </c>
      <c r="F550" s="20">
        <f t="shared" si="8"/>
        <v>0</v>
      </c>
      <c r="G550" s="20" t="str">
        <f>VLOOKUP($A550,[1]maaltijden!$A$1:$IV$65536,27,FALSE)</f>
        <v>! ! !</v>
      </c>
      <c r="H550" s="22">
        <f>VLOOKUP($A550,[1]maaltijden!$A$1:$IV$65536,21,FALSE)</f>
        <v>2</v>
      </c>
      <c r="I550" s="22">
        <f>VLOOKUP($A550,[1]maaltijden!$A$1:$IV$65536,21,FALSE)</f>
        <v>2</v>
      </c>
      <c r="J550" s="22">
        <f>VLOOKUP($A550,[1]maaltijden!$A$1:$IV$65536,18,FALSE)</f>
        <v>3</v>
      </c>
      <c r="K550" s="22">
        <f>VLOOKUP($A550,[1]maaltijden!$A$1:$IV$65536,17,FALSE)</f>
        <v>1</v>
      </c>
      <c r="L550" s="22">
        <f>VLOOKUP($A550,[1]maaltijden!$A$1:$IV$65536,20,FALSE)</f>
        <v>550</v>
      </c>
      <c r="M550" s="22">
        <f>VLOOKUP($A550,[1]maaltijden!$A$1:$IV$65536,22,FALSE)</f>
        <v>550</v>
      </c>
      <c r="N550" s="135"/>
      <c r="O550" s="50"/>
      <c r="P550" s="19">
        <v>0</v>
      </c>
      <c r="Q550" s="20">
        <v>1</v>
      </c>
      <c r="R550" s="21">
        <v>0</v>
      </c>
      <c r="S550" s="19">
        <v>0</v>
      </c>
      <c r="T550" s="20">
        <v>1</v>
      </c>
      <c r="U550" s="19">
        <v>1</v>
      </c>
      <c r="V550" s="20">
        <v>1</v>
      </c>
      <c r="W550" s="20">
        <v>1</v>
      </c>
      <c r="X550" s="20">
        <v>1</v>
      </c>
      <c r="Y550" s="20">
        <v>1</v>
      </c>
      <c r="Z550" s="20">
        <v>0</v>
      </c>
      <c r="AA550" s="20">
        <v>0</v>
      </c>
      <c r="AB550" s="49">
        <v>0</v>
      </c>
      <c r="AC550" s="49">
        <v>0</v>
      </c>
      <c r="AD550" s="49">
        <v>0</v>
      </c>
      <c r="AE550" s="49">
        <v>0</v>
      </c>
      <c r="AF550" s="49">
        <v>0</v>
      </c>
      <c r="AG550" s="173">
        <v>0</v>
      </c>
      <c r="AH550" s="182">
        <v>2</v>
      </c>
      <c r="AI550" s="174">
        <v>0</v>
      </c>
      <c r="AJ550" s="174">
        <v>0</v>
      </c>
      <c r="AK550" s="174">
        <v>0</v>
      </c>
      <c r="AL550" s="175">
        <v>0</v>
      </c>
      <c r="AM550" s="19">
        <v>0</v>
      </c>
      <c r="AN550" s="20" t="str">
        <f>IFERROR(INDEX([2]lijnopstellingsfiche!$AP$1:$AP$65536,MATCH(A550,[2]lijnopstellingsfiche!$AQ$1:$AQ$65536,0)),"")</f>
        <v>-</v>
      </c>
      <c r="AO550" s="20">
        <v>0</v>
      </c>
      <c r="AP550" s="20">
        <v>0</v>
      </c>
      <c r="AQ550" s="20">
        <v>3</v>
      </c>
      <c r="AR550" s="20">
        <v>0</v>
      </c>
      <c r="AS550" s="20">
        <v>0</v>
      </c>
      <c r="AT550" s="20">
        <v>0</v>
      </c>
      <c r="AU550" s="20">
        <v>0</v>
      </c>
      <c r="AV550" s="23">
        <v>0</v>
      </c>
      <c r="AW550" s="108">
        <v>0</v>
      </c>
      <c r="AX550" s="108">
        <v>0</v>
      </c>
      <c r="AY550" s="108">
        <v>0</v>
      </c>
      <c r="AZ550" s="108">
        <v>0</v>
      </c>
      <c r="BA550" s="114">
        <v>1</v>
      </c>
      <c r="BB550" s="20">
        <v>0</v>
      </c>
      <c r="BC550" s="113">
        <v>0</v>
      </c>
      <c r="BD550" s="200" t="str">
        <f>VLOOKUP($A550,'[3]allergenen 6nr'!$A$1:$O$1310,3,FALSE)</f>
        <v>-</v>
      </c>
      <c r="BE550" s="201" t="str">
        <f>VLOOKUP($A550,'[3]allergenen 6nr'!$A$1:$O$1310,4,FALSE)</f>
        <v>X</v>
      </c>
      <c r="BF550" s="201" t="str">
        <f>VLOOKUP($A550,'[3]allergenen 6nr'!$A$1:$O$1310,5,FALSE)</f>
        <v>+</v>
      </c>
      <c r="BG550" s="201" t="str">
        <f>VLOOKUP($A550,'[3]allergenen 6nr'!$A$1:$O$1310,6,FALSE)</f>
        <v>-</v>
      </c>
      <c r="BH550" s="201" t="str">
        <f>VLOOKUP($A550,'[3]allergenen 6nr'!$A$1:$O$1310,7,FALSE)</f>
        <v>X</v>
      </c>
      <c r="BI550" s="201" t="str">
        <f>VLOOKUP($A550,'[3]allergenen 6nr'!$A$1:$O$1310,8,FALSE)</f>
        <v>X</v>
      </c>
      <c r="BJ550" s="201" t="str">
        <f>VLOOKUP($A550,'[3]allergenen 6nr'!$A$1:$O$1310,9,FALSE)</f>
        <v>-</v>
      </c>
      <c r="BK550" s="201" t="str">
        <f>VLOOKUP($A550,'[3]allergenen 6nr'!$A$1:$O$1310,10,FALSE)</f>
        <v>X</v>
      </c>
      <c r="BL550" s="201" t="str">
        <f>VLOOKUP($A550,'[3]allergenen 6nr'!$A$1:$O$1310,11,FALSE)</f>
        <v>+</v>
      </c>
      <c r="BM550" s="201" t="str">
        <f>VLOOKUP($A550,'[3]allergenen 6nr'!$A$1:$O$1310,12,FALSE)</f>
        <v>-</v>
      </c>
      <c r="BN550" s="201" t="str">
        <f>VLOOKUP($A550,'[3]allergenen 6nr'!$A$1:$O$1310,13,FALSE)</f>
        <v>+</v>
      </c>
      <c r="BO550" s="201" t="str">
        <f>VLOOKUP($A550,'[3]allergenen 6nr'!$A$1:$O$1310,14,FALSE)</f>
        <v>X</v>
      </c>
      <c r="BP550" s="202" t="str">
        <f>VLOOKUP($A550,'[3]allergenen 6nr'!$A$1:$O$1310,15,FALSE)</f>
        <v>-</v>
      </c>
    </row>
    <row r="551" spans="1:68" x14ac:dyDescent="0.2">
      <c r="A551" s="89">
        <v>65151300</v>
      </c>
      <c r="B551" s="53" t="str">
        <f>VLOOKUP($A551,[1]maaltijden!$A$1:$IV$65536,4,FALSE)</f>
        <v>DMB KIP ALFREDOSAUS MET BROCCOLI 2,22KG</v>
      </c>
      <c r="C551" s="46" t="str">
        <f>VLOOKUP($A551,[1]maaltijden!$A$1:$IV$65536,7,FALSE)</f>
        <v>C2325-1C</v>
      </c>
      <c r="D551" s="22" t="str">
        <f>VLOOKUP($A551,[1]maaltijden!$A$1:$IV$65536,10,FALSE)</f>
        <v>NVT</v>
      </c>
      <c r="E551" s="22" t="str">
        <f>VLOOKUP($A551,[1]maaltijden!$A$1:$IV$65536,13,FALSE)</f>
        <v>BULK HO</v>
      </c>
      <c r="F551" s="20">
        <f t="shared" si="8"/>
        <v>0</v>
      </c>
      <c r="G551" s="20" t="str">
        <f>VLOOKUP($A551,[1]maaltijden!$A$1:$IV$65536,27,FALSE)</f>
        <v>! !</v>
      </c>
      <c r="H551" s="22">
        <f>VLOOKUP($A551,[1]maaltijden!$A$1:$IV$65536,21,FALSE)</f>
        <v>3</v>
      </c>
      <c r="I551" s="22">
        <f>VLOOKUP($A551,[1]maaltijden!$A$1:$IV$65536,21,FALSE)</f>
        <v>3</v>
      </c>
      <c r="J551" s="22">
        <f>VLOOKUP($A551,[1]maaltijden!$A$1:$IV$65536,18,FALSE)</f>
        <v>3</v>
      </c>
      <c r="K551" s="22">
        <f>VLOOKUP($A551,[1]maaltijden!$A$1:$IV$65536,17,FALSE)</f>
        <v>1</v>
      </c>
      <c r="L551" s="22">
        <f>VLOOKUP($A551,[1]maaltijden!$A$1:$IV$65536,20,FALSE)</f>
        <v>550</v>
      </c>
      <c r="M551" s="22">
        <f>VLOOKUP($A551,[1]maaltijden!$A$1:$IV$65536,22,FALSE)</f>
        <v>550</v>
      </c>
      <c r="N551" s="135"/>
      <c r="O551" s="50"/>
      <c r="P551" s="19">
        <v>0</v>
      </c>
      <c r="Q551" s="20">
        <v>1</v>
      </c>
      <c r="R551" s="21">
        <v>0</v>
      </c>
      <c r="S551" s="19">
        <v>0</v>
      </c>
      <c r="T551" s="20">
        <v>1</v>
      </c>
      <c r="U551" s="19">
        <v>1</v>
      </c>
      <c r="V551" s="20">
        <v>1</v>
      </c>
      <c r="W551" s="20">
        <v>1</v>
      </c>
      <c r="X551" s="20">
        <v>1</v>
      </c>
      <c r="Y551" s="20">
        <v>1</v>
      </c>
      <c r="Z551" s="20">
        <v>0</v>
      </c>
      <c r="AA551" s="20">
        <v>0</v>
      </c>
      <c r="AB551" s="49">
        <v>0</v>
      </c>
      <c r="AC551" s="49">
        <v>0</v>
      </c>
      <c r="AD551" s="49">
        <v>0</v>
      </c>
      <c r="AE551" s="49">
        <v>0</v>
      </c>
      <c r="AF551" s="49">
        <v>0</v>
      </c>
      <c r="AG551" s="173">
        <v>0</v>
      </c>
      <c r="AH551" s="182">
        <v>2</v>
      </c>
      <c r="AI551" s="174">
        <v>0</v>
      </c>
      <c r="AJ551" s="174">
        <v>0</v>
      </c>
      <c r="AK551" s="174">
        <v>0</v>
      </c>
      <c r="AL551" s="175">
        <v>0</v>
      </c>
      <c r="AM551" s="19">
        <v>0</v>
      </c>
      <c r="AN551" s="20">
        <f>IFERROR(INDEX([2]lijnopstellingsfiche!$AP$1:$AP$65536,MATCH(A551,[2]lijnopstellingsfiche!$AQ$1:$AQ$65536,0)),"")</f>
        <v>1</v>
      </c>
      <c r="AO551" s="20">
        <v>0</v>
      </c>
      <c r="AP551" s="20">
        <v>0</v>
      </c>
      <c r="AQ551" s="20">
        <v>2</v>
      </c>
      <c r="AR551" s="20">
        <v>0</v>
      </c>
      <c r="AS551" s="20">
        <v>0</v>
      </c>
      <c r="AT551" s="20">
        <v>1</v>
      </c>
      <c r="AU551" s="20">
        <v>0</v>
      </c>
      <c r="AV551" s="23">
        <v>0</v>
      </c>
      <c r="AW551" s="108">
        <v>0</v>
      </c>
      <c r="AX551" s="108">
        <v>0</v>
      </c>
      <c r="AY551" s="108">
        <v>0</v>
      </c>
      <c r="AZ551" s="108">
        <v>0</v>
      </c>
      <c r="BA551" s="114">
        <v>1</v>
      </c>
      <c r="BB551" s="20">
        <v>0</v>
      </c>
      <c r="BC551" s="113">
        <v>0</v>
      </c>
      <c r="BD551" s="200" t="str">
        <f>VLOOKUP($A551,'[3]allergenen 6nr'!$A$1:$O$1310,3,FALSE)</f>
        <v>-</v>
      </c>
      <c r="BE551" s="201" t="str">
        <f>VLOOKUP($A551,'[3]allergenen 6nr'!$A$1:$O$1310,4,FALSE)</f>
        <v>-</v>
      </c>
      <c r="BF551" s="201" t="str">
        <f>VLOOKUP($A551,'[3]allergenen 6nr'!$A$1:$O$1310,5,FALSE)</f>
        <v>+</v>
      </c>
      <c r="BG551" s="201" t="str">
        <f>VLOOKUP($A551,'[3]allergenen 6nr'!$A$1:$O$1310,6,FALSE)</f>
        <v>X</v>
      </c>
      <c r="BH551" s="201" t="str">
        <f>VLOOKUP($A551,'[3]allergenen 6nr'!$A$1:$O$1310,7,FALSE)</f>
        <v>+</v>
      </c>
      <c r="BI551" s="201" t="str">
        <f>VLOOKUP($A551,'[3]allergenen 6nr'!$A$1:$O$1310,8,FALSE)</f>
        <v>X</v>
      </c>
      <c r="BJ551" s="201" t="str">
        <f>VLOOKUP($A551,'[3]allergenen 6nr'!$A$1:$O$1310,9,FALSE)</f>
        <v>-</v>
      </c>
      <c r="BK551" s="201" t="str">
        <f>VLOOKUP($A551,'[3]allergenen 6nr'!$A$1:$O$1310,10,FALSE)</f>
        <v>-</v>
      </c>
      <c r="BL551" s="201" t="str">
        <f>VLOOKUP($A551,'[3]allergenen 6nr'!$A$1:$O$1310,11,FALSE)</f>
        <v>-</v>
      </c>
      <c r="BM551" s="201" t="str">
        <f>VLOOKUP($A551,'[3]allergenen 6nr'!$A$1:$O$1310,12,FALSE)</f>
        <v>-</v>
      </c>
      <c r="BN551" s="201" t="str">
        <f>VLOOKUP($A551,'[3]allergenen 6nr'!$A$1:$O$1310,13,FALSE)</f>
        <v>X</v>
      </c>
      <c r="BO551" s="201" t="str">
        <f>VLOOKUP($A551,'[3]allergenen 6nr'!$A$1:$O$1310,14,FALSE)</f>
        <v>-</v>
      </c>
      <c r="BP551" s="202" t="str">
        <f>VLOOKUP($A551,'[3]allergenen 6nr'!$A$1:$O$1310,15,FALSE)</f>
        <v>-</v>
      </c>
    </row>
    <row r="552" spans="1:68" x14ac:dyDescent="0.2">
      <c r="A552" s="89">
        <v>65151500</v>
      </c>
      <c r="B552" s="53" t="str">
        <f>VLOOKUP($A552,[1]maaltijden!$A$1:$IV$65536,4,FALSE)</f>
        <v>DMB LASAGNE BOLOGNAISE 2,2KG</v>
      </c>
      <c r="C552" s="46" t="str">
        <f>VLOOKUP($A552,[1]maaltijden!$A$1:$IV$65536,7,FALSE)</f>
        <v>C2325-1C</v>
      </c>
      <c r="D552" s="22" t="str">
        <f>VLOOKUP($A552,[1]maaltijden!$A$1:$IV$65536,10,FALSE)</f>
        <v>NVT</v>
      </c>
      <c r="E552" s="22" t="str">
        <f>VLOOKUP($A552,[1]maaltijden!$A$1:$IV$65536,13,FALSE)</f>
        <v>BULK HO</v>
      </c>
      <c r="F552" s="20">
        <f t="shared" si="8"/>
        <v>0</v>
      </c>
      <c r="G552" s="20" t="str">
        <f>VLOOKUP($A552,[1]maaltijden!$A$1:$IV$65536,27,FALSE)</f>
        <v>! ! !</v>
      </c>
      <c r="H552" s="22">
        <f>VLOOKUP($A552,[1]maaltijden!$A$1:$IV$65536,21,FALSE)</f>
        <v>7</v>
      </c>
      <c r="I552" s="22">
        <f>VLOOKUP($A552,[1]maaltijden!$A$1:$IV$65536,21,FALSE)</f>
        <v>7</v>
      </c>
      <c r="J552" s="22">
        <f>VLOOKUP($A552,[1]maaltijden!$A$1:$IV$65536,18,FALSE)</f>
        <v>3</v>
      </c>
      <c r="K552" s="22">
        <f>VLOOKUP($A552,[1]maaltijden!$A$1:$IV$65536,17,FALSE)</f>
        <v>2</v>
      </c>
      <c r="L552" s="22">
        <f>VLOOKUP($A552,[1]maaltijden!$A$1:$IV$65536,20,FALSE)</f>
        <v>550</v>
      </c>
      <c r="M552" s="22">
        <f>VLOOKUP($A552,[1]maaltijden!$A$1:$IV$65536,22,FALSE)</f>
        <v>550</v>
      </c>
      <c r="N552" s="135"/>
      <c r="O552" s="50"/>
      <c r="P552" s="19">
        <v>0</v>
      </c>
      <c r="Q552" s="20">
        <v>1</v>
      </c>
      <c r="R552" s="21">
        <v>0</v>
      </c>
      <c r="S552" s="19">
        <v>0</v>
      </c>
      <c r="T552" s="20">
        <v>1</v>
      </c>
      <c r="U552" s="19">
        <v>0</v>
      </c>
      <c r="V552" s="20">
        <v>1</v>
      </c>
      <c r="W552" s="20">
        <v>1</v>
      </c>
      <c r="X552" s="20">
        <v>1</v>
      </c>
      <c r="Y552" s="20">
        <v>1</v>
      </c>
      <c r="Z552" s="20">
        <v>0</v>
      </c>
      <c r="AA552" s="20">
        <v>0</v>
      </c>
      <c r="AB552" s="49">
        <v>0</v>
      </c>
      <c r="AC552" s="49">
        <v>0</v>
      </c>
      <c r="AD552" s="49">
        <v>0</v>
      </c>
      <c r="AE552" s="49">
        <v>1</v>
      </c>
      <c r="AF552" s="49">
        <v>0</v>
      </c>
      <c r="AG552" s="173">
        <v>0</v>
      </c>
      <c r="AH552" s="182">
        <v>2</v>
      </c>
      <c r="AI552" s="174">
        <v>0</v>
      </c>
      <c r="AJ552" s="174">
        <v>0</v>
      </c>
      <c r="AK552" s="174">
        <v>0</v>
      </c>
      <c r="AL552" s="175">
        <v>0</v>
      </c>
      <c r="AM552" s="19">
        <v>0</v>
      </c>
      <c r="AN552" s="20" t="str">
        <f>IFERROR(INDEX([2]lijnopstellingsfiche!$AP$1:$AP$65536,MATCH(A552,[2]lijnopstellingsfiche!$AQ$1:$AQ$65536,0)),"")</f>
        <v>-</v>
      </c>
      <c r="AO552" s="20">
        <v>0</v>
      </c>
      <c r="AP552" s="20">
        <v>1</v>
      </c>
      <c r="AQ552" s="20">
        <v>4</v>
      </c>
      <c r="AR552" s="20">
        <v>2</v>
      </c>
      <c r="AS552" s="20">
        <v>0</v>
      </c>
      <c r="AT552" s="20">
        <v>0</v>
      </c>
      <c r="AU552" s="20">
        <v>0</v>
      </c>
      <c r="AV552" s="23">
        <v>0</v>
      </c>
      <c r="AW552" s="108">
        <v>0</v>
      </c>
      <c r="AX552" s="108">
        <v>0</v>
      </c>
      <c r="AY552" s="108">
        <v>0</v>
      </c>
      <c r="AZ552" s="108">
        <v>0</v>
      </c>
      <c r="BA552" s="114">
        <v>1</v>
      </c>
      <c r="BB552" s="20">
        <v>0</v>
      </c>
      <c r="BC552" s="113">
        <v>0</v>
      </c>
      <c r="BD552" s="200" t="str">
        <f>VLOOKUP($A552,'[3]allergenen 6nr'!$A$1:$O$1310,3,FALSE)</f>
        <v>-</v>
      </c>
      <c r="BE552" s="201" t="str">
        <f>VLOOKUP($A552,'[3]allergenen 6nr'!$A$1:$O$1310,4,FALSE)</f>
        <v>+</v>
      </c>
      <c r="BF552" s="201" t="str">
        <f>VLOOKUP($A552,'[3]allergenen 6nr'!$A$1:$O$1310,5,FALSE)</f>
        <v>+</v>
      </c>
      <c r="BG552" s="201" t="str">
        <f>VLOOKUP($A552,'[3]allergenen 6nr'!$A$1:$O$1310,6,FALSE)</f>
        <v>-</v>
      </c>
      <c r="BH552" s="201" t="str">
        <f>VLOOKUP($A552,'[3]allergenen 6nr'!$A$1:$O$1310,7,FALSE)</f>
        <v>+</v>
      </c>
      <c r="BI552" s="201" t="str">
        <f>VLOOKUP($A552,'[3]allergenen 6nr'!$A$1:$O$1310,8,FALSE)</f>
        <v>-</v>
      </c>
      <c r="BJ552" s="201" t="str">
        <f>VLOOKUP($A552,'[3]allergenen 6nr'!$A$1:$O$1310,9,FALSE)</f>
        <v>-</v>
      </c>
      <c r="BK552" s="201" t="str">
        <f>VLOOKUP($A552,'[3]allergenen 6nr'!$A$1:$O$1310,10,FALSE)</f>
        <v>-</v>
      </c>
      <c r="BL552" s="201" t="str">
        <f>VLOOKUP($A552,'[3]allergenen 6nr'!$A$1:$O$1310,11,FALSE)</f>
        <v>+</v>
      </c>
      <c r="BM552" s="201" t="str">
        <f>VLOOKUP($A552,'[3]allergenen 6nr'!$A$1:$O$1310,12,FALSE)</f>
        <v>-</v>
      </c>
      <c r="BN552" s="201" t="str">
        <f>VLOOKUP($A552,'[3]allergenen 6nr'!$A$1:$O$1310,13,FALSE)</f>
        <v>-</v>
      </c>
      <c r="BO552" s="201" t="str">
        <f>VLOOKUP($A552,'[3]allergenen 6nr'!$A$1:$O$1310,14,FALSE)</f>
        <v>-</v>
      </c>
      <c r="BP552" s="202" t="str">
        <f>VLOOKUP($A552,'[3]allergenen 6nr'!$A$1:$O$1310,15,FALSE)</f>
        <v>X</v>
      </c>
    </row>
    <row r="553" spans="1:68" x14ac:dyDescent="0.2">
      <c r="A553" s="54">
        <v>65151600</v>
      </c>
      <c r="B553" s="53" t="str">
        <f>VLOOKUP($A553,[1]maaltijden!$A$1:$IV$65536,4,FALSE)</f>
        <v>DMB LASAGNE VEGETARISCHE BOLOGNAISE 2,2KG</v>
      </c>
      <c r="C553" s="46" t="str">
        <f>VLOOKUP($A553,[1]maaltijden!$A$1:$IV$65536,7,FALSE)</f>
        <v>C2325-1C</v>
      </c>
      <c r="D553" s="22" t="str">
        <f>VLOOKUP($A553,[1]maaltijden!$A$1:$IV$65536,10,FALSE)</f>
        <v>NVT</v>
      </c>
      <c r="E553" s="22" t="str">
        <f>VLOOKUP($A553,[1]maaltijden!$A$1:$IV$65536,13,FALSE)</f>
        <v>BULK HO</v>
      </c>
      <c r="F553" s="20">
        <f t="shared" si="8"/>
        <v>0</v>
      </c>
      <c r="G553" s="20" t="str">
        <f>VLOOKUP($A553,[1]maaltijden!$A$1:$IV$65536,27,FALSE)</f>
        <v>! ! !</v>
      </c>
      <c r="H553" s="22">
        <f>VLOOKUP($A553,[1]maaltijden!$A$1:$IV$65536,21,FALSE)</f>
        <v>6</v>
      </c>
      <c r="I553" s="22">
        <f>VLOOKUP($A553,[1]maaltijden!$A$1:$IV$65536,21,FALSE)</f>
        <v>6</v>
      </c>
      <c r="J553" s="22">
        <f>VLOOKUP($A553,[1]maaltijden!$A$1:$IV$65536,18,FALSE)</f>
        <v>3</v>
      </c>
      <c r="K553" s="22">
        <f>VLOOKUP($A553,[1]maaltijden!$A$1:$IV$65536,17,FALSE)</f>
        <v>2</v>
      </c>
      <c r="L553" s="22">
        <f>VLOOKUP($A553,[1]maaltijden!$A$1:$IV$65536,20,FALSE)</f>
        <v>550</v>
      </c>
      <c r="M553" s="22">
        <f>VLOOKUP($A553,[1]maaltijden!$A$1:$IV$65536,22,FALSE)</f>
        <v>550</v>
      </c>
      <c r="N553" s="135"/>
      <c r="O553" s="50"/>
      <c r="P553" s="19">
        <v>0</v>
      </c>
      <c r="Q553" s="20">
        <v>1</v>
      </c>
      <c r="R553" s="21">
        <v>0</v>
      </c>
      <c r="S553" s="19"/>
      <c r="T553" s="20"/>
      <c r="U553" s="19"/>
      <c r="V553" s="20"/>
      <c r="W553" s="20"/>
      <c r="X553" s="20"/>
      <c r="Y553" s="20"/>
      <c r="Z553" s="20"/>
      <c r="AA553" s="20"/>
      <c r="AB553" s="49"/>
      <c r="AC553" s="49"/>
      <c r="AD553" s="49"/>
      <c r="AE553" s="49"/>
      <c r="AF553" s="49"/>
      <c r="AG553" s="161">
        <v>0</v>
      </c>
      <c r="AH553" s="168">
        <v>2</v>
      </c>
      <c r="AI553" s="20"/>
      <c r="AJ553" s="20"/>
      <c r="AK553" s="20"/>
      <c r="AL553" s="21"/>
      <c r="AM553" s="19">
        <v>0</v>
      </c>
      <c r="AN553" s="20" t="str">
        <f>IFERROR(INDEX([2]lijnopstellingsfiche!$AP$1:$AP$65536,MATCH(A553,[2]lijnopstellingsfiche!$AQ$1:$AQ$65536,0)),"")</f>
        <v>-</v>
      </c>
      <c r="AO553" s="20">
        <v>0</v>
      </c>
      <c r="AP553" s="20">
        <v>1</v>
      </c>
      <c r="AQ553" s="20">
        <v>4</v>
      </c>
      <c r="AR553" s="20">
        <v>2</v>
      </c>
      <c r="AS553" s="20"/>
      <c r="AT553" s="20">
        <v>0</v>
      </c>
      <c r="AU553" s="20">
        <v>0</v>
      </c>
      <c r="AV553" s="23">
        <v>0</v>
      </c>
      <c r="AW553" s="108">
        <v>0</v>
      </c>
      <c r="AX553" s="108">
        <v>0</v>
      </c>
      <c r="AY553" s="108">
        <v>0</v>
      </c>
      <c r="AZ553" s="108">
        <v>0</v>
      </c>
      <c r="BA553" s="114">
        <v>1</v>
      </c>
      <c r="BB553" s="20">
        <v>0</v>
      </c>
      <c r="BC553" s="113">
        <v>0</v>
      </c>
      <c r="BD553" s="200" t="str">
        <f>VLOOKUP($A553,'[3]allergenen 6nr'!$A$1:$O$1310,3,FALSE)</f>
        <v>-</v>
      </c>
      <c r="BE553" s="201" t="str">
        <f>VLOOKUP($A553,'[3]allergenen 6nr'!$A$1:$O$1310,4,FALSE)</f>
        <v>+</v>
      </c>
      <c r="BF553" s="201" t="str">
        <f>VLOOKUP($A553,'[3]allergenen 6nr'!$A$1:$O$1310,5,FALSE)</f>
        <v>+</v>
      </c>
      <c r="BG553" s="201" t="str">
        <f>VLOOKUP($A553,'[3]allergenen 6nr'!$A$1:$O$1310,6,FALSE)</f>
        <v>-</v>
      </c>
      <c r="BH553" s="201" t="str">
        <f>VLOOKUP($A553,'[3]allergenen 6nr'!$A$1:$O$1310,7,FALSE)</f>
        <v>+</v>
      </c>
      <c r="BI553" s="201" t="str">
        <f>VLOOKUP($A553,'[3]allergenen 6nr'!$A$1:$O$1310,8,FALSE)</f>
        <v>X</v>
      </c>
      <c r="BJ553" s="201" t="str">
        <f>VLOOKUP($A553,'[3]allergenen 6nr'!$A$1:$O$1310,9,FALSE)</f>
        <v>-</v>
      </c>
      <c r="BK553" s="201" t="str">
        <f>VLOOKUP($A553,'[3]allergenen 6nr'!$A$1:$O$1310,10,FALSE)</f>
        <v>X</v>
      </c>
      <c r="BL553" s="201" t="str">
        <f>VLOOKUP($A553,'[3]allergenen 6nr'!$A$1:$O$1310,11,FALSE)</f>
        <v>+</v>
      </c>
      <c r="BM553" s="201" t="str">
        <f>VLOOKUP($A553,'[3]allergenen 6nr'!$A$1:$O$1310,12,FALSE)</f>
        <v>-</v>
      </c>
      <c r="BN553" s="201" t="str">
        <f>VLOOKUP($A553,'[3]allergenen 6nr'!$A$1:$O$1310,13,FALSE)</f>
        <v>+</v>
      </c>
      <c r="BO553" s="201" t="str">
        <f>VLOOKUP($A553,'[3]allergenen 6nr'!$A$1:$O$1310,14,FALSE)</f>
        <v>X</v>
      </c>
      <c r="BP553" s="202" t="str">
        <f>VLOOKUP($A553,'[3]allergenen 6nr'!$A$1:$O$1310,15,FALSE)</f>
        <v>X</v>
      </c>
    </row>
    <row r="554" spans="1:68" x14ac:dyDescent="0.2">
      <c r="A554" s="126">
        <v>65420000</v>
      </c>
      <c r="B554" s="53" t="str">
        <f>VLOOKUP($A554,[1]maaltijden!$A$1:$IV$65536,4,FALSE)</f>
        <v>DAESANG VEGAN TOFU RISOTTO BIBIMBAP 350G</v>
      </c>
      <c r="C554" s="46" t="str">
        <f>VLOOKUP($A554,[1]maaltijden!$A$1:$IV$65536,7,FALSE)</f>
        <v>UK-57</v>
      </c>
      <c r="D554" s="22" t="str">
        <f>VLOOKUP($A554,[1]maaltijden!$A$1:$IV$65536,10,FALSE)</f>
        <v>H34</v>
      </c>
      <c r="E554" s="22" t="str">
        <f>VLOOKUP($A554,[1]maaltijden!$A$1:$IV$65536,13,FALSE)</f>
        <v>H34x6</v>
      </c>
      <c r="F554" s="20">
        <f t="shared" si="8"/>
        <v>0</v>
      </c>
      <c r="G554" s="20" t="str">
        <f>VLOOKUP($A554,[1]maaltijden!$A$1:$IV$65536,27,FALSE)</f>
        <v>! ! ! ! !</v>
      </c>
      <c r="H554" s="22">
        <f>VLOOKUP($A554,[1]maaltijden!$A$1:$IV$65536,21,FALSE)</f>
        <v>4</v>
      </c>
      <c r="I554" s="22">
        <f>VLOOKUP($A554,[1]maaltijden!$A$1:$IV$65536,21,FALSE)</f>
        <v>4</v>
      </c>
      <c r="J554" s="22">
        <f>VLOOKUP($A554,[1]maaltijden!$A$1:$IV$65536,18,FALSE)</f>
        <v>4</v>
      </c>
      <c r="K554" s="22">
        <f>VLOOKUP($A554,[1]maaltijden!$A$1:$IV$65536,17,FALSE)</f>
        <v>2</v>
      </c>
      <c r="L554" s="22">
        <f>VLOOKUP($A554,[1]maaltijden!$A$1:$IV$65536,20,FALSE)</f>
        <v>2500</v>
      </c>
      <c r="M554" s="22">
        <f>VLOOKUP($A554,[1]maaltijden!$A$1:$IV$65536,22,FALSE)</f>
        <v>2500</v>
      </c>
      <c r="N554" s="135"/>
      <c r="O554" s="50"/>
      <c r="P554" s="19">
        <v>1</v>
      </c>
      <c r="Q554" s="20">
        <v>1</v>
      </c>
      <c r="R554" s="21">
        <v>0</v>
      </c>
      <c r="S554" s="19">
        <v>1</v>
      </c>
      <c r="T554" s="20">
        <v>1</v>
      </c>
      <c r="U554" s="19">
        <v>1</v>
      </c>
      <c r="V554" s="20">
        <v>1</v>
      </c>
      <c r="W554" s="20">
        <v>1</v>
      </c>
      <c r="X554" s="20">
        <v>1</v>
      </c>
      <c r="Y554" s="20">
        <v>1</v>
      </c>
      <c r="Z554" s="20">
        <v>0</v>
      </c>
      <c r="AA554" s="20">
        <v>0</v>
      </c>
      <c r="AB554" s="49">
        <v>0</v>
      </c>
      <c r="AC554" s="49">
        <v>0</v>
      </c>
      <c r="AD554" s="49">
        <v>0</v>
      </c>
      <c r="AE554" s="49">
        <v>0</v>
      </c>
      <c r="AF554" s="49">
        <v>0</v>
      </c>
      <c r="AG554" s="161">
        <v>1</v>
      </c>
      <c r="AH554" s="168">
        <v>1</v>
      </c>
      <c r="AI554" s="20"/>
      <c r="AJ554" s="20"/>
      <c r="AK554" s="20"/>
      <c r="AL554" s="21"/>
      <c r="AM554" s="19">
        <v>1</v>
      </c>
      <c r="AN554" s="20">
        <f>IFERROR(INDEX([2]lijnopstellingsfiche!$AP$1:$AP$65536,MATCH(A554,[2]lijnopstellingsfiche!$AQ$1:$AQ$65536,0)),"")</f>
        <v>1</v>
      </c>
      <c r="AO554" s="20">
        <v>0</v>
      </c>
      <c r="AP554" s="20">
        <v>0</v>
      </c>
      <c r="AQ554" s="20">
        <v>1</v>
      </c>
      <c r="AR554" s="20">
        <v>0</v>
      </c>
      <c r="AS554" s="20"/>
      <c r="AT554" s="20">
        <v>1</v>
      </c>
      <c r="AU554" s="20">
        <v>0</v>
      </c>
      <c r="AV554" s="23">
        <v>0</v>
      </c>
      <c r="AW554" s="108">
        <v>1</v>
      </c>
      <c r="AX554" s="108">
        <v>0</v>
      </c>
      <c r="AY554" s="108">
        <v>1</v>
      </c>
      <c r="AZ554" s="108"/>
      <c r="BA554" s="114">
        <v>1</v>
      </c>
      <c r="BB554" s="20">
        <v>1</v>
      </c>
      <c r="BC554" s="113">
        <v>0</v>
      </c>
      <c r="BD554" s="200" t="str">
        <f>VLOOKUP($A554,'[3]allergenen 6nr'!$A$1:$O$1310,3,FALSE)</f>
        <v>-</v>
      </c>
      <c r="BE554" s="201" t="str">
        <f>VLOOKUP($A554,'[3]allergenen 6nr'!$A$1:$O$1310,4,FALSE)</f>
        <v>-</v>
      </c>
      <c r="BF554" s="201" t="str">
        <f>VLOOKUP($A554,'[3]allergenen 6nr'!$A$1:$O$1310,5,FALSE)</f>
        <v>X</v>
      </c>
      <c r="BG554" s="201" t="str">
        <f>VLOOKUP($A554,'[3]allergenen 6nr'!$A$1:$O$1310,6,FALSE)</f>
        <v>-</v>
      </c>
      <c r="BH554" s="201" t="str">
        <f>VLOOKUP($A554,'[3]allergenen 6nr'!$A$1:$O$1310,7,FALSE)</f>
        <v>-</v>
      </c>
      <c r="BI554" s="201" t="str">
        <f>VLOOKUP($A554,'[3]allergenen 6nr'!$A$1:$O$1310,8,FALSE)</f>
        <v>-</v>
      </c>
      <c r="BJ554" s="201" t="str">
        <f>VLOOKUP($A554,'[3]allergenen 6nr'!$A$1:$O$1310,9,FALSE)</f>
        <v>-</v>
      </c>
      <c r="BK554" s="201" t="str">
        <f>VLOOKUP($A554,'[3]allergenen 6nr'!$A$1:$O$1310,10,FALSE)</f>
        <v>-</v>
      </c>
      <c r="BL554" s="201" t="str">
        <f>VLOOKUP($A554,'[3]allergenen 6nr'!$A$1:$O$1310,11,FALSE)</f>
        <v>-</v>
      </c>
      <c r="BM554" s="201" t="str">
        <f>VLOOKUP($A554,'[3]allergenen 6nr'!$A$1:$O$1310,12,FALSE)</f>
        <v>+</v>
      </c>
      <c r="BN554" s="201" t="str">
        <f>VLOOKUP($A554,'[3]allergenen 6nr'!$A$1:$O$1310,13,FALSE)</f>
        <v>+</v>
      </c>
      <c r="BO554" s="201" t="str">
        <f>VLOOKUP($A554,'[3]allergenen 6nr'!$A$1:$O$1310,14,FALSE)</f>
        <v>-</v>
      </c>
      <c r="BP554" s="202" t="str">
        <f>VLOOKUP($A554,'[3]allergenen 6nr'!$A$1:$O$1310,15,FALSE)</f>
        <v>-</v>
      </c>
    </row>
    <row r="555" spans="1:68" x14ac:dyDescent="0.2">
      <c r="A555" s="126">
        <v>65420100</v>
      </c>
      <c r="B555" s="53" t="str">
        <f>VLOOKUP($A555,[1]maaltijden!$A$1:$IV$65536,4,FALSE)</f>
        <v>DAESANG RISOTTO BULGOGI SAUS MET GEHAKT 350G</v>
      </c>
      <c r="C555" s="46" t="str">
        <f>VLOOKUP($A555,[1]maaltijden!$A$1:$IV$65536,7,FALSE)</f>
        <v>UK-57</v>
      </c>
      <c r="D555" s="22" t="str">
        <f>VLOOKUP($A555,[1]maaltijden!$A$1:$IV$65536,10,FALSE)</f>
        <v>H34</v>
      </c>
      <c r="E555" s="22" t="str">
        <f>VLOOKUP($A555,[1]maaltijden!$A$1:$IV$65536,13,FALSE)</f>
        <v>H34x6</v>
      </c>
      <c r="F555" s="20">
        <f t="shared" si="8"/>
        <v>0</v>
      </c>
      <c r="G555" s="20" t="str">
        <f>VLOOKUP($A555,[1]maaltijden!$A$1:$IV$65536,27,FALSE)</f>
        <v>! ! ! ! !</v>
      </c>
      <c r="H555" s="22">
        <f>VLOOKUP($A555,[1]maaltijden!$A$1:$IV$65536,21,FALSE)</f>
        <v>3</v>
      </c>
      <c r="I555" s="22">
        <f>VLOOKUP($A555,[1]maaltijden!$A$1:$IV$65536,21,FALSE)</f>
        <v>3</v>
      </c>
      <c r="J555" s="22">
        <f>VLOOKUP($A555,[1]maaltijden!$A$1:$IV$65536,18,FALSE)</f>
        <v>4</v>
      </c>
      <c r="K555" s="22">
        <f>VLOOKUP($A555,[1]maaltijden!$A$1:$IV$65536,17,FALSE)</f>
        <v>2</v>
      </c>
      <c r="L555" s="22">
        <f>VLOOKUP($A555,[1]maaltijden!$A$1:$IV$65536,20,FALSE)</f>
        <v>2500</v>
      </c>
      <c r="M555" s="22">
        <f>VLOOKUP($A555,[1]maaltijden!$A$1:$IV$65536,22,FALSE)</f>
        <v>2500</v>
      </c>
      <c r="N555" s="135"/>
      <c r="O555" s="50"/>
      <c r="P555" s="19">
        <v>1</v>
      </c>
      <c r="Q555" s="20">
        <v>1</v>
      </c>
      <c r="R555" s="21">
        <v>0</v>
      </c>
      <c r="S555" s="19">
        <v>1</v>
      </c>
      <c r="T555" s="20">
        <v>1</v>
      </c>
      <c r="U555" s="19">
        <v>0</v>
      </c>
      <c r="V555" s="20">
        <v>1</v>
      </c>
      <c r="W555" s="20">
        <v>1</v>
      </c>
      <c r="X555" s="20">
        <v>1</v>
      </c>
      <c r="Y555" s="20">
        <v>1</v>
      </c>
      <c r="Z555" s="20">
        <v>0</v>
      </c>
      <c r="AA555" s="20">
        <v>0</v>
      </c>
      <c r="AB555" s="49">
        <v>0</v>
      </c>
      <c r="AC555" s="49">
        <v>0</v>
      </c>
      <c r="AD555" s="49">
        <v>0</v>
      </c>
      <c r="AE555" s="49">
        <v>0</v>
      </c>
      <c r="AF555" s="49">
        <v>0</v>
      </c>
      <c r="AG555" s="161">
        <v>1</v>
      </c>
      <c r="AH555" s="168">
        <v>1</v>
      </c>
      <c r="AI555" s="20"/>
      <c r="AJ555" s="20"/>
      <c r="AK555" s="20"/>
      <c r="AL555" s="21"/>
      <c r="AM555" s="19">
        <v>1</v>
      </c>
      <c r="AN555" s="20" t="str">
        <f>IFERROR(INDEX([2]lijnopstellingsfiche!$AP$1:$AP$65536,MATCH(A555,[2]lijnopstellingsfiche!$AQ$1:$AQ$65536,0)),"")</f>
        <v>-</v>
      </c>
      <c r="AO555" s="20">
        <v>0</v>
      </c>
      <c r="AP555" s="20">
        <v>0</v>
      </c>
      <c r="AQ555" s="20">
        <v>1</v>
      </c>
      <c r="AR555" s="20">
        <v>0</v>
      </c>
      <c r="AS555" s="20"/>
      <c r="AT555" s="20">
        <v>0</v>
      </c>
      <c r="AU555" s="20">
        <v>0</v>
      </c>
      <c r="AV555" s="23">
        <v>0</v>
      </c>
      <c r="AW555" s="108">
        <v>1</v>
      </c>
      <c r="AX555" s="108">
        <v>0</v>
      </c>
      <c r="AY555" s="108">
        <v>1</v>
      </c>
      <c r="AZ555" s="108"/>
      <c r="BA555" s="114">
        <v>1</v>
      </c>
      <c r="BB555" s="20">
        <v>1</v>
      </c>
      <c r="BC555" s="113">
        <v>0</v>
      </c>
      <c r="BD555" s="200" t="str">
        <f>VLOOKUP($A555,'[3]allergenen 6nr'!$A$1:$O$1310,3,FALSE)</f>
        <v>-</v>
      </c>
      <c r="BE555" s="201" t="str">
        <f>VLOOKUP($A555,'[3]allergenen 6nr'!$A$1:$O$1310,4,FALSE)</f>
        <v>-</v>
      </c>
      <c r="BF555" s="201" t="str">
        <f>VLOOKUP($A555,'[3]allergenen 6nr'!$A$1:$O$1310,5,FALSE)</f>
        <v>-</v>
      </c>
      <c r="BG555" s="201" t="str">
        <f>VLOOKUP($A555,'[3]allergenen 6nr'!$A$1:$O$1310,6,FALSE)</f>
        <v>-</v>
      </c>
      <c r="BH555" s="201" t="str">
        <f>VLOOKUP($A555,'[3]allergenen 6nr'!$A$1:$O$1310,7,FALSE)</f>
        <v>-</v>
      </c>
      <c r="BI555" s="201" t="str">
        <f>VLOOKUP($A555,'[3]allergenen 6nr'!$A$1:$O$1310,8,FALSE)</f>
        <v>-</v>
      </c>
      <c r="BJ555" s="201" t="str">
        <f>VLOOKUP($A555,'[3]allergenen 6nr'!$A$1:$O$1310,9,FALSE)</f>
        <v>-</v>
      </c>
      <c r="BK555" s="201" t="str">
        <f>VLOOKUP($A555,'[3]allergenen 6nr'!$A$1:$O$1310,10,FALSE)</f>
        <v>-</v>
      </c>
      <c r="BL555" s="201" t="str">
        <f>VLOOKUP($A555,'[3]allergenen 6nr'!$A$1:$O$1310,11,FALSE)</f>
        <v>-</v>
      </c>
      <c r="BM555" s="201" t="str">
        <f>VLOOKUP($A555,'[3]allergenen 6nr'!$A$1:$O$1310,12,FALSE)</f>
        <v>+</v>
      </c>
      <c r="BN555" s="201" t="str">
        <f>VLOOKUP($A555,'[3]allergenen 6nr'!$A$1:$O$1310,13,FALSE)</f>
        <v>+</v>
      </c>
      <c r="BO555" s="201" t="str">
        <f>VLOOKUP($A555,'[3]allergenen 6nr'!$A$1:$O$1310,14,FALSE)</f>
        <v>-</v>
      </c>
      <c r="BP555" s="202" t="str">
        <f>VLOOKUP($A555,'[3]allergenen 6nr'!$A$1:$O$1310,15,FALSE)</f>
        <v>-</v>
      </c>
    </row>
    <row r="556" spans="1:68" x14ac:dyDescent="0.2">
      <c r="A556" s="126">
        <v>65420200</v>
      </c>
      <c r="B556" s="53" t="str">
        <f>VLOOKUP($A556,[1]maaltijden!$A$1:$IV$65536,4,FALSE)</f>
        <v>DAESANG VEGAN RISOTTO KIMCHISAUS 350G</v>
      </c>
      <c r="C556" s="46" t="str">
        <f>VLOOKUP($A556,[1]maaltijden!$A$1:$IV$65536,7,FALSE)</f>
        <v>UK-57</v>
      </c>
      <c r="D556" s="22" t="str">
        <f>VLOOKUP($A556,[1]maaltijden!$A$1:$IV$65536,10,FALSE)</f>
        <v>H34</v>
      </c>
      <c r="E556" s="22" t="str">
        <f>VLOOKUP($A556,[1]maaltijden!$A$1:$IV$65536,13,FALSE)</f>
        <v>H34x6</v>
      </c>
      <c r="F556" s="20">
        <f t="shared" si="8"/>
        <v>0</v>
      </c>
      <c r="G556" s="20" t="str">
        <f>VLOOKUP($A556,[1]maaltijden!$A$1:$IV$65536,27,FALSE)</f>
        <v>! ! ! ! !</v>
      </c>
      <c r="H556" s="22">
        <f>VLOOKUP($A556,[1]maaltijden!$A$1:$IV$65536,21,FALSE)</f>
        <v>3</v>
      </c>
      <c r="I556" s="22">
        <f>VLOOKUP($A556,[1]maaltijden!$A$1:$IV$65536,21,FALSE)</f>
        <v>3</v>
      </c>
      <c r="J556" s="22">
        <f>VLOOKUP($A556,[1]maaltijden!$A$1:$IV$65536,18,FALSE)</f>
        <v>4</v>
      </c>
      <c r="K556" s="22">
        <f>VLOOKUP($A556,[1]maaltijden!$A$1:$IV$65536,17,FALSE)</f>
        <v>2</v>
      </c>
      <c r="L556" s="22">
        <f>VLOOKUP($A556,[1]maaltijden!$A$1:$IV$65536,20,FALSE)</f>
        <v>2500</v>
      </c>
      <c r="M556" s="22">
        <f>VLOOKUP($A556,[1]maaltijden!$A$1:$IV$65536,22,FALSE)</f>
        <v>2500</v>
      </c>
      <c r="N556" s="135"/>
      <c r="O556" s="50"/>
      <c r="P556" s="19">
        <v>1</v>
      </c>
      <c r="Q556" s="20">
        <v>1</v>
      </c>
      <c r="R556" s="21">
        <v>0</v>
      </c>
      <c r="S556" s="19">
        <v>1</v>
      </c>
      <c r="T556" s="20">
        <v>1</v>
      </c>
      <c r="U556" s="19">
        <v>0</v>
      </c>
      <c r="V556" s="20">
        <v>1</v>
      </c>
      <c r="W556" s="20">
        <v>1</v>
      </c>
      <c r="X556" s="20">
        <v>1</v>
      </c>
      <c r="Y556" s="20">
        <v>1</v>
      </c>
      <c r="Z556" s="20">
        <v>0</v>
      </c>
      <c r="AA556" s="20">
        <v>0</v>
      </c>
      <c r="AB556" s="49">
        <v>0</v>
      </c>
      <c r="AC556" s="49">
        <v>0</v>
      </c>
      <c r="AD556" s="49">
        <v>0</v>
      </c>
      <c r="AE556" s="49">
        <v>0</v>
      </c>
      <c r="AF556" s="49">
        <v>0</v>
      </c>
      <c r="AG556" s="161">
        <v>1</v>
      </c>
      <c r="AH556" s="168">
        <v>1</v>
      </c>
      <c r="AI556" s="20"/>
      <c r="AJ556" s="20"/>
      <c r="AK556" s="20"/>
      <c r="AL556" s="21"/>
      <c r="AM556" s="19">
        <v>1</v>
      </c>
      <c r="AN556" s="20" t="str">
        <f>IFERROR(INDEX([2]lijnopstellingsfiche!$AP$1:$AP$65536,MATCH(A556,[2]lijnopstellingsfiche!$AQ$1:$AQ$65536,0)),"")</f>
        <v>-</v>
      </c>
      <c r="AO556" s="20">
        <v>0</v>
      </c>
      <c r="AP556" s="20">
        <v>0</v>
      </c>
      <c r="AQ556" s="20">
        <v>1</v>
      </c>
      <c r="AR556" s="20">
        <v>0</v>
      </c>
      <c r="AS556" s="20"/>
      <c r="AT556" s="20">
        <v>0</v>
      </c>
      <c r="AU556" s="20">
        <v>0</v>
      </c>
      <c r="AV556" s="23">
        <v>0</v>
      </c>
      <c r="AW556" s="108">
        <v>1</v>
      </c>
      <c r="AX556" s="108">
        <v>0</v>
      </c>
      <c r="AY556" s="108">
        <v>1</v>
      </c>
      <c r="AZ556" s="108"/>
      <c r="BA556" s="114">
        <v>1</v>
      </c>
      <c r="BB556" s="20">
        <v>1</v>
      </c>
      <c r="BC556" s="113">
        <v>0</v>
      </c>
      <c r="BD556" s="200" t="str">
        <f>VLOOKUP($A556,'[3]allergenen 6nr'!$A$1:$O$1310,3,FALSE)</f>
        <v>-</v>
      </c>
      <c r="BE556" s="201" t="str">
        <f>VLOOKUP($A556,'[3]allergenen 6nr'!$A$1:$O$1310,4,FALSE)</f>
        <v>-</v>
      </c>
      <c r="BF556" s="201" t="str">
        <f>VLOOKUP($A556,'[3]allergenen 6nr'!$A$1:$O$1310,5,FALSE)</f>
        <v>X</v>
      </c>
      <c r="BG556" s="201" t="str">
        <f>VLOOKUP($A556,'[3]allergenen 6nr'!$A$1:$O$1310,6,FALSE)</f>
        <v>-</v>
      </c>
      <c r="BH556" s="201" t="str">
        <f>VLOOKUP($A556,'[3]allergenen 6nr'!$A$1:$O$1310,7,FALSE)</f>
        <v>-</v>
      </c>
      <c r="BI556" s="201" t="str">
        <f>VLOOKUP($A556,'[3]allergenen 6nr'!$A$1:$O$1310,8,FALSE)</f>
        <v>-</v>
      </c>
      <c r="BJ556" s="201" t="str">
        <f>VLOOKUP($A556,'[3]allergenen 6nr'!$A$1:$O$1310,9,FALSE)</f>
        <v>-</v>
      </c>
      <c r="BK556" s="201" t="str">
        <f>VLOOKUP($A556,'[3]allergenen 6nr'!$A$1:$O$1310,10,FALSE)</f>
        <v>-</v>
      </c>
      <c r="BL556" s="201" t="str">
        <f>VLOOKUP($A556,'[3]allergenen 6nr'!$A$1:$O$1310,11,FALSE)</f>
        <v>-</v>
      </c>
      <c r="BM556" s="201" t="str">
        <f>VLOOKUP($A556,'[3]allergenen 6nr'!$A$1:$O$1310,12,FALSE)</f>
        <v>+</v>
      </c>
      <c r="BN556" s="201" t="str">
        <f>VLOOKUP($A556,'[3]allergenen 6nr'!$A$1:$O$1310,13,FALSE)</f>
        <v>X</v>
      </c>
      <c r="BO556" s="201" t="str">
        <f>VLOOKUP($A556,'[3]allergenen 6nr'!$A$1:$O$1310,14,FALSE)</f>
        <v>X</v>
      </c>
      <c r="BP556" s="202" t="str">
        <f>VLOOKUP($A556,'[3]allergenen 6nr'!$A$1:$O$1310,15,FALSE)</f>
        <v>-</v>
      </c>
    </row>
    <row r="557" spans="1:68" x14ac:dyDescent="0.2">
      <c r="A557" s="54">
        <v>65430000</v>
      </c>
      <c r="B557" s="53" t="str">
        <f>VLOOKUP($A557,[1]maaltijden!$A$1:$IV$65536,4,FALSE)</f>
        <v>BOF DE BE KIP SATE RIJSTMIX BROCC PAPR WORTEL 450G</v>
      </c>
      <c r="C557" s="46" t="str">
        <f>VLOOKUP($A557,[1]maaltijden!$A$1:$IV$65536,7,FALSE)</f>
        <v>UK-57</v>
      </c>
      <c r="D557" s="22" t="str">
        <f>VLOOKUP($A557,[1]maaltijden!$A$1:$IV$65536,10,FALSE)</f>
        <v>H34</v>
      </c>
      <c r="E557" s="22" t="str">
        <f>VLOOKUP($A557,[1]maaltijden!$A$1:$IV$65536,13,FALSE)</f>
        <v>H34x6</v>
      </c>
      <c r="F557" s="20">
        <f t="shared" si="8"/>
        <v>0</v>
      </c>
      <c r="G557" s="20" t="str">
        <f>VLOOKUP($A557,[1]maaltijden!$A$1:$IV$65536,27,FALSE)</f>
        <v>X</v>
      </c>
      <c r="H557" s="22">
        <f>VLOOKUP($A557,[1]maaltijden!$A$1:$IV$65536,21,FALSE)</f>
        <v>6</v>
      </c>
      <c r="I557" s="22">
        <f>VLOOKUP($A557,[1]maaltijden!$A$1:$IV$65536,21,FALSE)</f>
        <v>6</v>
      </c>
      <c r="J557" s="22">
        <f>VLOOKUP($A557,[1]maaltijden!$A$1:$IV$65536,18,FALSE)</f>
        <v>3</v>
      </c>
      <c r="K557" s="22">
        <f>VLOOKUP($A557,[1]maaltijden!$A$1:$IV$65536,17,FALSE)</f>
        <v>3</v>
      </c>
      <c r="L557" s="22">
        <f>VLOOKUP($A557,[1]maaltijden!$A$1:$IV$65536,20,FALSE)</f>
        <v>2200</v>
      </c>
      <c r="M557" s="22">
        <f>VLOOKUP($A557,[1]maaltijden!$A$1:$IV$65536,22,FALSE)</f>
        <v>2200</v>
      </c>
      <c r="N557" s="135"/>
      <c r="O557" s="50"/>
      <c r="P557" s="19">
        <v>1</v>
      </c>
      <c r="Q557" s="20">
        <v>2</v>
      </c>
      <c r="R557" s="21">
        <v>0</v>
      </c>
      <c r="S557" s="19"/>
      <c r="T557" s="20"/>
      <c r="U557" s="19"/>
      <c r="V557" s="20"/>
      <c r="W557" s="20"/>
      <c r="X557" s="20"/>
      <c r="Y557" s="20"/>
      <c r="Z557" s="20"/>
      <c r="AA557" s="20"/>
      <c r="AB557" s="49"/>
      <c r="AC557" s="49"/>
      <c r="AD557" s="49"/>
      <c r="AE557" s="49"/>
      <c r="AF557" s="49"/>
      <c r="AG557" s="161">
        <v>1</v>
      </c>
      <c r="AH557" s="168">
        <v>1</v>
      </c>
      <c r="AI557" s="168">
        <v>1</v>
      </c>
      <c r="AJ557" s="20"/>
      <c r="AK557" s="20"/>
      <c r="AL557" s="21"/>
      <c r="AM557" s="19">
        <v>1</v>
      </c>
      <c r="AN557" s="20">
        <f>IFERROR(INDEX([2]lijnopstellingsfiche!$AP$1:$AP$65536,MATCH(A557,[2]lijnopstellingsfiche!$AQ$1:$AQ$65536,0)),"")</f>
        <v>2</v>
      </c>
      <c r="AO557" s="20">
        <v>0</v>
      </c>
      <c r="AP557" s="20">
        <v>0</v>
      </c>
      <c r="AQ557" s="20">
        <v>1</v>
      </c>
      <c r="AR557" s="20">
        <v>0</v>
      </c>
      <c r="AS557" s="20"/>
      <c r="AT557" s="20">
        <v>1</v>
      </c>
      <c r="AU557" s="20">
        <v>0</v>
      </c>
      <c r="AV557" s="23">
        <v>0</v>
      </c>
      <c r="AW557" s="108"/>
      <c r="AX557" s="108"/>
      <c r="AY557" s="108"/>
      <c r="AZ557" s="108"/>
      <c r="BA557" s="114"/>
      <c r="BB557" s="20">
        <v>0</v>
      </c>
      <c r="BC557" s="113"/>
      <c r="BD557" s="200" t="str">
        <f>VLOOKUP($A557,'[3]allergenen 6nr'!$A$1:$O$1310,3,FALSE)</f>
        <v>+</v>
      </c>
      <c r="BE557" s="201" t="str">
        <f>VLOOKUP($A557,'[3]allergenen 6nr'!$A$1:$O$1310,4,FALSE)</f>
        <v>-</v>
      </c>
      <c r="BF557" s="201" t="str">
        <f>VLOOKUP($A557,'[3]allergenen 6nr'!$A$1:$O$1310,5,FALSE)</f>
        <v>-</v>
      </c>
      <c r="BG557" s="201" t="str">
        <f>VLOOKUP($A557,'[3]allergenen 6nr'!$A$1:$O$1310,6,FALSE)</f>
        <v>-</v>
      </c>
      <c r="BH557" s="201" t="str">
        <f>VLOOKUP($A557,'[3]allergenen 6nr'!$A$1:$O$1310,7,FALSE)</f>
        <v>-</v>
      </c>
      <c r="BI557" s="201" t="str">
        <f>VLOOKUP($A557,'[3]allergenen 6nr'!$A$1:$O$1310,8,FALSE)</f>
        <v>-</v>
      </c>
      <c r="BJ557" s="201" t="str">
        <f>VLOOKUP($A557,'[3]allergenen 6nr'!$A$1:$O$1310,9,FALSE)</f>
        <v>+</v>
      </c>
      <c r="BK557" s="201" t="str">
        <f>VLOOKUP($A557,'[3]allergenen 6nr'!$A$1:$O$1310,10,FALSE)</f>
        <v>-</v>
      </c>
      <c r="BL557" s="201" t="str">
        <f>VLOOKUP($A557,'[3]allergenen 6nr'!$A$1:$O$1310,11,FALSE)</f>
        <v>-</v>
      </c>
      <c r="BM557" s="201" t="str">
        <f>VLOOKUP($A557,'[3]allergenen 6nr'!$A$1:$O$1310,12,FALSE)</f>
        <v>-</v>
      </c>
      <c r="BN557" s="201" t="str">
        <f>VLOOKUP($A557,'[3]allergenen 6nr'!$A$1:$O$1310,13,FALSE)</f>
        <v>+</v>
      </c>
      <c r="BO557" s="201" t="str">
        <f>VLOOKUP($A557,'[3]allergenen 6nr'!$A$1:$O$1310,14,FALSE)</f>
        <v>-</v>
      </c>
      <c r="BP557" s="202" t="str">
        <f>VLOOKUP($A557,'[3]allergenen 6nr'!$A$1:$O$1310,15,FALSE)</f>
        <v>-</v>
      </c>
    </row>
    <row r="558" spans="1:68" x14ac:dyDescent="0.2">
      <c r="A558" s="54">
        <v>65430100</v>
      </c>
      <c r="B558" s="53" t="str">
        <f>VLOOKUP($A558,[1]maaltijden!$A$1:$IV$65536,4,FALSE)</f>
        <v>BOF DE BE KIP KOREAANS BBQ ATJAR GROENTEMIX NOODL450G</v>
      </c>
      <c r="C558" s="46" t="str">
        <f>VLOOKUP($A558,[1]maaltijden!$A$1:$IV$65536,7,FALSE)</f>
        <v>UK-57</v>
      </c>
      <c r="D558" s="22" t="str">
        <f>VLOOKUP($A558,[1]maaltijden!$A$1:$IV$65536,10,FALSE)</f>
        <v>H34</v>
      </c>
      <c r="E558" s="22" t="str">
        <f>VLOOKUP($A558,[1]maaltijden!$A$1:$IV$65536,13,FALSE)</f>
        <v>H34x6</v>
      </c>
      <c r="F558" s="20">
        <f t="shared" si="8"/>
        <v>0</v>
      </c>
      <c r="G558" s="20" t="str">
        <f>VLOOKUP($A558,[1]maaltijden!$A$1:$IV$65536,27,FALSE)</f>
        <v>! ! ! ! !</v>
      </c>
      <c r="H558" s="22">
        <f>VLOOKUP($A558,[1]maaltijden!$A$1:$IV$65536,21,FALSE)</f>
        <v>6</v>
      </c>
      <c r="I558" s="22">
        <f>VLOOKUP($A558,[1]maaltijden!$A$1:$IV$65536,21,FALSE)</f>
        <v>6</v>
      </c>
      <c r="J558" s="22">
        <f>VLOOKUP($A558,[1]maaltijden!$A$1:$IV$65536,18,FALSE)</f>
        <v>2</v>
      </c>
      <c r="K558" s="22">
        <f>VLOOKUP($A558,[1]maaltijden!$A$1:$IV$65536,17,FALSE)</f>
        <v>3</v>
      </c>
      <c r="L558" s="22">
        <f>VLOOKUP($A558,[1]maaltijden!$A$1:$IV$65536,20,FALSE)</f>
        <v>2200</v>
      </c>
      <c r="M558" s="22">
        <f>VLOOKUP($A558,[1]maaltijden!$A$1:$IV$65536,22,FALSE)</f>
        <v>2200</v>
      </c>
      <c r="N558" s="135"/>
      <c r="O558" s="50"/>
      <c r="P558" s="19">
        <v>1</v>
      </c>
      <c r="Q558" s="20">
        <v>2</v>
      </c>
      <c r="R558" s="21">
        <v>0</v>
      </c>
      <c r="S558" s="19"/>
      <c r="T558" s="20"/>
      <c r="U558" s="19"/>
      <c r="V558" s="20"/>
      <c r="W558" s="20"/>
      <c r="X558" s="20"/>
      <c r="Y558" s="20"/>
      <c r="Z558" s="20"/>
      <c r="AA558" s="20"/>
      <c r="AB558" s="49"/>
      <c r="AC558" s="49"/>
      <c r="AD558" s="49"/>
      <c r="AE558" s="49"/>
      <c r="AF558" s="49"/>
      <c r="AG558" s="167">
        <v>1</v>
      </c>
      <c r="AH558" s="168">
        <v>1</v>
      </c>
      <c r="AI558" s="168">
        <v>1</v>
      </c>
      <c r="AJ558" s="20"/>
      <c r="AK558" s="20"/>
      <c r="AL558" s="21"/>
      <c r="AM558" s="19">
        <v>1</v>
      </c>
      <c r="AN558" s="20">
        <f>IFERROR(INDEX([2]lijnopstellingsfiche!$AP$1:$AP$65536,MATCH(A558,[2]lijnopstellingsfiche!$AQ$1:$AQ$65536,0)),"")</f>
        <v>2</v>
      </c>
      <c r="AO558" s="20">
        <v>0</v>
      </c>
      <c r="AP558" s="20">
        <v>0</v>
      </c>
      <c r="AQ558" s="20">
        <v>1</v>
      </c>
      <c r="AR558" s="20">
        <v>0</v>
      </c>
      <c r="AS558" s="20"/>
      <c r="AT558" s="20">
        <v>1</v>
      </c>
      <c r="AU558" s="20">
        <v>0</v>
      </c>
      <c r="AV558" s="23">
        <v>0</v>
      </c>
      <c r="AW558" s="108"/>
      <c r="AX558" s="108"/>
      <c r="AY558" s="108"/>
      <c r="AZ558" s="108"/>
      <c r="BA558" s="114"/>
      <c r="BB558" s="20">
        <v>0</v>
      </c>
      <c r="BC558" s="113"/>
      <c r="BD558" s="200" t="e">
        <f>VLOOKUP($A558,'[3]allergenen 6nr'!$A$1:$O$1310,3,FALSE)</f>
        <v>#N/A</v>
      </c>
      <c r="BE558" s="201" t="e">
        <f>VLOOKUP($A558,'[3]allergenen 6nr'!$A$1:$O$1310,4,FALSE)</f>
        <v>#N/A</v>
      </c>
      <c r="BF558" s="201" t="e">
        <f>VLOOKUP($A558,'[3]allergenen 6nr'!$A$1:$O$1310,5,FALSE)</f>
        <v>#N/A</v>
      </c>
      <c r="BG558" s="201" t="e">
        <f>VLOOKUP($A558,'[3]allergenen 6nr'!$A$1:$O$1310,6,FALSE)</f>
        <v>#N/A</v>
      </c>
      <c r="BH558" s="201" t="e">
        <f>VLOOKUP($A558,'[3]allergenen 6nr'!$A$1:$O$1310,7,FALSE)</f>
        <v>#N/A</v>
      </c>
      <c r="BI558" s="201" t="e">
        <f>VLOOKUP($A558,'[3]allergenen 6nr'!$A$1:$O$1310,8,FALSE)</f>
        <v>#N/A</v>
      </c>
      <c r="BJ558" s="201" t="e">
        <f>VLOOKUP($A558,'[3]allergenen 6nr'!$A$1:$O$1310,9,FALSE)</f>
        <v>#N/A</v>
      </c>
      <c r="BK558" s="201" t="e">
        <f>VLOOKUP($A558,'[3]allergenen 6nr'!$A$1:$O$1310,10,FALSE)</f>
        <v>#N/A</v>
      </c>
      <c r="BL558" s="201" t="e">
        <f>VLOOKUP($A558,'[3]allergenen 6nr'!$A$1:$O$1310,11,FALSE)</f>
        <v>#N/A</v>
      </c>
      <c r="BM558" s="201" t="e">
        <f>VLOOKUP($A558,'[3]allergenen 6nr'!$A$1:$O$1310,12,FALSE)</f>
        <v>#N/A</v>
      </c>
      <c r="BN558" s="201" t="e">
        <f>VLOOKUP($A558,'[3]allergenen 6nr'!$A$1:$O$1310,13,FALSE)</f>
        <v>#N/A</v>
      </c>
      <c r="BO558" s="201" t="e">
        <f>VLOOKUP($A558,'[3]allergenen 6nr'!$A$1:$O$1310,14,FALSE)</f>
        <v>#N/A</v>
      </c>
      <c r="BP558" s="202" t="e">
        <f>VLOOKUP($A558,'[3]allergenen 6nr'!$A$1:$O$1310,15,FALSE)</f>
        <v>#N/A</v>
      </c>
    </row>
    <row r="559" spans="1:68" x14ac:dyDescent="0.2">
      <c r="A559" s="54">
        <v>65430200</v>
      </c>
      <c r="B559" s="53" t="str">
        <f>VLOOKUP($A559,[1]maaltijden!$A$1:$IV$65536,4,FALSE)</f>
        <v>BOF DE BE SCAMPI ASC LIMOEN KOKOS NOODLE 450G</v>
      </c>
      <c r="C559" s="46" t="str">
        <f>VLOOKUP($A559,[1]maaltijden!$A$1:$IV$65536,7,FALSE)</f>
        <v>UK-57</v>
      </c>
      <c r="D559" s="22" t="str">
        <f>VLOOKUP($A559,[1]maaltijden!$A$1:$IV$65536,10,FALSE)</f>
        <v>H34</v>
      </c>
      <c r="E559" s="22" t="str">
        <f>VLOOKUP($A559,[1]maaltijden!$A$1:$IV$65536,13,FALSE)</f>
        <v>H34x6</v>
      </c>
      <c r="F559" s="20">
        <f t="shared" si="8"/>
        <v>0</v>
      </c>
      <c r="G559" s="20" t="str">
        <f>VLOOKUP($A559,[1]maaltijden!$A$1:$IV$65536,27,FALSE)</f>
        <v>! ! ! !</v>
      </c>
      <c r="H559" s="22">
        <f>VLOOKUP($A559,[1]maaltijden!$A$1:$IV$65536,21,FALSE)</f>
        <v>7</v>
      </c>
      <c r="I559" s="22">
        <f>VLOOKUP($A559,[1]maaltijden!$A$1:$IV$65536,21,FALSE)</f>
        <v>7</v>
      </c>
      <c r="J559" s="22">
        <f>VLOOKUP($A559,[1]maaltijden!$A$1:$IV$65536,18,FALSE)</f>
        <v>2</v>
      </c>
      <c r="K559" s="22">
        <f>VLOOKUP($A559,[1]maaltijden!$A$1:$IV$65536,17,FALSE)</f>
        <v>3</v>
      </c>
      <c r="L559" s="22">
        <f>VLOOKUP($A559,[1]maaltijden!$A$1:$IV$65536,20,FALSE)</f>
        <v>2500</v>
      </c>
      <c r="M559" s="22">
        <f>VLOOKUP($A559,[1]maaltijden!$A$1:$IV$65536,22,FALSE)</f>
        <v>2500</v>
      </c>
      <c r="N559" s="135"/>
      <c r="O559" s="50"/>
      <c r="P559" s="19">
        <v>1</v>
      </c>
      <c r="Q559" s="20">
        <v>2</v>
      </c>
      <c r="R559" s="21">
        <v>0</v>
      </c>
      <c r="S559" s="19"/>
      <c r="T559" s="20"/>
      <c r="U559" s="19"/>
      <c r="V559" s="20"/>
      <c r="W559" s="20"/>
      <c r="X559" s="20"/>
      <c r="Y559" s="20"/>
      <c r="Z559" s="20"/>
      <c r="AA559" s="20"/>
      <c r="AB559" s="49"/>
      <c r="AC559" s="49"/>
      <c r="AD559" s="49"/>
      <c r="AE559" s="49"/>
      <c r="AF559" s="49"/>
      <c r="AG559" s="167">
        <v>1</v>
      </c>
      <c r="AH559" s="168">
        <v>1</v>
      </c>
      <c r="AI559" s="20"/>
      <c r="AJ559" s="20"/>
      <c r="AK559" s="20"/>
      <c r="AL559" s="21"/>
      <c r="AM559" s="19">
        <v>1</v>
      </c>
      <c r="AN559" s="20">
        <f>IFERROR(INDEX([2]lijnopstellingsfiche!$AP$1:$AP$65536,MATCH(A559,[2]lijnopstellingsfiche!$AQ$1:$AQ$65536,0)),"")</f>
        <v>2</v>
      </c>
      <c r="AO559" s="20">
        <v>0</v>
      </c>
      <c r="AP559" s="20">
        <v>0</v>
      </c>
      <c r="AQ559" s="20">
        <v>2</v>
      </c>
      <c r="AR559" s="20">
        <v>0</v>
      </c>
      <c r="AS559" s="20"/>
      <c r="AT559" s="20">
        <v>1</v>
      </c>
      <c r="AU559" s="20">
        <v>0</v>
      </c>
      <c r="AV559" s="23">
        <v>0</v>
      </c>
      <c r="AW559" s="108"/>
      <c r="AX559" s="108"/>
      <c r="AY559" s="108"/>
      <c r="AZ559" s="108"/>
      <c r="BA559" s="114"/>
      <c r="BB559" s="20">
        <v>0</v>
      </c>
      <c r="BC559" s="113"/>
      <c r="BD559" s="200" t="e">
        <f>VLOOKUP($A559,'[3]allergenen 6nr'!$A$1:$O$1310,3,FALSE)</f>
        <v>#N/A</v>
      </c>
      <c r="BE559" s="201" t="e">
        <f>VLOOKUP($A559,'[3]allergenen 6nr'!$A$1:$O$1310,4,FALSE)</f>
        <v>#N/A</v>
      </c>
      <c r="BF559" s="201" t="e">
        <f>VLOOKUP($A559,'[3]allergenen 6nr'!$A$1:$O$1310,5,FALSE)</f>
        <v>#N/A</v>
      </c>
      <c r="BG559" s="201" t="e">
        <f>VLOOKUP($A559,'[3]allergenen 6nr'!$A$1:$O$1310,6,FALSE)</f>
        <v>#N/A</v>
      </c>
      <c r="BH559" s="201" t="e">
        <f>VLOOKUP($A559,'[3]allergenen 6nr'!$A$1:$O$1310,7,FALSE)</f>
        <v>#N/A</v>
      </c>
      <c r="BI559" s="201" t="e">
        <f>VLOOKUP($A559,'[3]allergenen 6nr'!$A$1:$O$1310,8,FALSE)</f>
        <v>#N/A</v>
      </c>
      <c r="BJ559" s="201" t="e">
        <f>VLOOKUP($A559,'[3]allergenen 6nr'!$A$1:$O$1310,9,FALSE)</f>
        <v>#N/A</v>
      </c>
      <c r="BK559" s="201" t="e">
        <f>VLOOKUP($A559,'[3]allergenen 6nr'!$A$1:$O$1310,10,FALSE)</f>
        <v>#N/A</v>
      </c>
      <c r="BL559" s="201" t="e">
        <f>VLOOKUP($A559,'[3]allergenen 6nr'!$A$1:$O$1310,11,FALSE)</f>
        <v>#N/A</v>
      </c>
      <c r="BM559" s="201" t="e">
        <f>VLOOKUP($A559,'[3]allergenen 6nr'!$A$1:$O$1310,12,FALSE)</f>
        <v>#N/A</v>
      </c>
      <c r="BN559" s="201" t="e">
        <f>VLOOKUP($A559,'[3]allergenen 6nr'!$A$1:$O$1310,13,FALSE)</f>
        <v>#N/A</v>
      </c>
      <c r="BO559" s="201" t="e">
        <f>VLOOKUP($A559,'[3]allergenen 6nr'!$A$1:$O$1310,14,FALSE)</f>
        <v>#N/A</v>
      </c>
      <c r="BP559" s="202" t="e">
        <f>VLOOKUP($A559,'[3]allergenen 6nr'!$A$1:$O$1310,15,FALSE)</f>
        <v>#N/A</v>
      </c>
    </row>
    <row r="560" spans="1:68" x14ac:dyDescent="0.2">
      <c r="A560" s="54">
        <v>65701500</v>
      </c>
      <c r="B560" s="53" t="str">
        <f>VLOOKUP($A560,[1]maaltijden!$A$1:$IV$65536,4,FALSE)</f>
        <v xml:space="preserve">ALDI BE KABELJAUW MSC NOORSE SAUS 2X225G (VR MIXED KARTON) </v>
      </c>
      <c r="C560" s="46" t="str">
        <f>VLOOKUP($A560,[1]maaltijden!$A$1:$IV$65536,7,FALSE)</f>
        <v>40370400 zacht</v>
      </c>
      <c r="D560" s="22" t="str">
        <f>VLOOKUP($A560,[1]maaltijden!$A$1:$IV$65536,10,FALSE)</f>
        <v>H8</v>
      </c>
      <c r="E560" s="22" t="str">
        <f>VLOOKUP($A560,[1]maaltijden!$A$1:$IV$65536,13,FALSE)</f>
        <v>H8X24</v>
      </c>
      <c r="F560" s="20">
        <f t="shared" si="8"/>
        <v>0</v>
      </c>
      <c r="G560" s="20" t="str">
        <f>VLOOKUP($A560,[1]maaltijden!$A$1:$IV$65536,27,FALSE)</f>
        <v>! ! ! !</v>
      </c>
      <c r="H560" s="22">
        <f>VLOOKUP($A560,[1]maaltijden!$A$1:$IV$65536,21,FALSE)</f>
        <v>5</v>
      </c>
      <c r="I560" s="22">
        <f>VLOOKUP($A560,[1]maaltijden!$A$1:$IV$65536,21,FALSE)</f>
        <v>5</v>
      </c>
      <c r="J560" s="22">
        <f>VLOOKUP($A560,[1]maaltijden!$A$1:$IV$65536,18,FALSE)</f>
        <v>3</v>
      </c>
      <c r="K560" s="22">
        <f>VLOOKUP($A560,[1]maaltijden!$A$1:$IV$65536,17,FALSE)</f>
        <v>1</v>
      </c>
      <c r="L560" s="22">
        <f>VLOOKUP($A560,[1]maaltijden!$A$1:$IV$65536,20,FALSE)</f>
        <v>2300</v>
      </c>
      <c r="M560" s="22">
        <f>VLOOKUP($A560,[1]maaltijden!$A$1:$IV$65536,22,FALSE)</f>
        <v>2300</v>
      </c>
      <c r="N560" s="135"/>
      <c r="O560" s="50"/>
      <c r="P560" s="19">
        <v>0</v>
      </c>
      <c r="Q560" s="20">
        <v>0</v>
      </c>
      <c r="R560" s="21">
        <v>1</v>
      </c>
      <c r="S560" s="19">
        <v>0</v>
      </c>
      <c r="T560" s="20">
        <v>1</v>
      </c>
      <c r="U560" s="19">
        <v>0</v>
      </c>
      <c r="V560" s="20">
        <v>1</v>
      </c>
      <c r="W560" s="20">
        <v>1</v>
      </c>
      <c r="X560" s="20">
        <v>1</v>
      </c>
      <c r="Y560" s="20">
        <v>1</v>
      </c>
      <c r="Z560" s="20">
        <v>0</v>
      </c>
      <c r="AA560" s="20">
        <v>1</v>
      </c>
      <c r="AB560" s="49">
        <v>0</v>
      </c>
      <c r="AC560" s="49">
        <v>0</v>
      </c>
      <c r="AD560" s="49">
        <v>0</v>
      </c>
      <c r="AE560" s="49">
        <v>0</v>
      </c>
      <c r="AF560" s="49">
        <v>1</v>
      </c>
      <c r="AG560" s="161">
        <v>0</v>
      </c>
      <c r="AH560" s="168">
        <v>1</v>
      </c>
      <c r="AI560" s="20"/>
      <c r="AJ560" s="20"/>
      <c r="AK560" s="20"/>
      <c r="AL560" s="21"/>
      <c r="AM560" s="19">
        <v>0</v>
      </c>
      <c r="AN560" s="20" t="str">
        <f>IFERROR(INDEX([2]lijnopstellingsfiche!$AP$1:$AP$65536,MATCH(A560,[2]lijnopstellingsfiche!$AQ$1:$AQ$65536,0)),"")</f>
        <v>-</v>
      </c>
      <c r="AO560" s="20">
        <v>0</v>
      </c>
      <c r="AP560" s="20">
        <v>0</v>
      </c>
      <c r="AQ560" s="20">
        <v>0</v>
      </c>
      <c r="AR560" s="20">
        <v>0</v>
      </c>
      <c r="AS560" s="20"/>
      <c r="AT560" s="20">
        <v>0</v>
      </c>
      <c r="AU560" s="20">
        <v>0</v>
      </c>
      <c r="AV560" s="23">
        <v>1</v>
      </c>
      <c r="AW560" s="108"/>
      <c r="AX560" s="108"/>
      <c r="AY560" s="108"/>
      <c r="AZ560" s="108"/>
      <c r="BA560" s="114"/>
      <c r="BB560" s="20">
        <v>0</v>
      </c>
      <c r="BC560" s="113"/>
      <c r="BD560" s="200" t="str">
        <f>VLOOKUP($A560,'[3]allergenen 6nr'!$A$1:$O$1310,3,FALSE)</f>
        <v>-</v>
      </c>
      <c r="BE560" s="201" t="str">
        <f>VLOOKUP($A560,'[3]allergenen 6nr'!$A$1:$O$1310,4,FALSE)</f>
        <v>-</v>
      </c>
      <c r="BF560" s="201" t="str">
        <f>VLOOKUP($A560,'[3]allergenen 6nr'!$A$1:$O$1310,5,FALSE)</f>
        <v>+</v>
      </c>
      <c r="BG560" s="201" t="str">
        <f>VLOOKUP($A560,'[3]allergenen 6nr'!$A$1:$O$1310,6,FALSE)</f>
        <v>X</v>
      </c>
      <c r="BH560" s="201" t="str">
        <f>VLOOKUP($A560,'[3]allergenen 6nr'!$A$1:$O$1310,7,FALSE)</f>
        <v>+</v>
      </c>
      <c r="BI560" s="201" t="str">
        <f>VLOOKUP($A560,'[3]allergenen 6nr'!$A$1:$O$1310,8,FALSE)</f>
        <v>+</v>
      </c>
      <c r="BJ560" s="201" t="str">
        <f>VLOOKUP($A560,'[3]allergenen 6nr'!$A$1:$O$1310,9,FALSE)</f>
        <v>-</v>
      </c>
      <c r="BK560" s="201" t="str">
        <f>VLOOKUP($A560,'[3]allergenen 6nr'!$A$1:$O$1310,10,FALSE)</f>
        <v>+</v>
      </c>
      <c r="BL560" s="201" t="str">
        <f>VLOOKUP($A560,'[3]allergenen 6nr'!$A$1:$O$1310,11,FALSE)</f>
        <v>+</v>
      </c>
      <c r="BM560" s="201" t="str">
        <f>VLOOKUP($A560,'[3]allergenen 6nr'!$A$1:$O$1310,12,FALSE)</f>
        <v>-</v>
      </c>
      <c r="BN560" s="201" t="str">
        <f>VLOOKUP($A560,'[3]allergenen 6nr'!$A$1:$O$1310,13,FALSE)</f>
        <v>X</v>
      </c>
      <c r="BO560" s="201" t="str">
        <f>VLOOKUP($A560,'[3]allergenen 6nr'!$A$1:$O$1310,14,FALSE)</f>
        <v>+</v>
      </c>
      <c r="BP560" s="202" t="str">
        <f>VLOOKUP($A560,'[3]allergenen 6nr'!$A$1:$O$1310,15,FALSE)</f>
        <v>X</v>
      </c>
    </row>
    <row r="561" spans="1:68" x14ac:dyDescent="0.2">
      <c r="A561" s="54">
        <v>65704400</v>
      </c>
      <c r="B561" s="53" t="str">
        <f>VLOOKUP($A561,[1]maaltijden!$A$1:$IV$65536,4,FALSE)</f>
        <v xml:space="preserve">ALDI BE ZALM MSC FIJNE GROENTENSAUS 2X225G (VR MIXED KARTON) </v>
      </c>
      <c r="C561" s="46" t="str">
        <f>VLOOKUP($A561,[1]maaltijden!$A$1:$IV$65536,7,FALSE)</f>
        <v>40370400 zacht</v>
      </c>
      <c r="D561" s="22" t="str">
        <f>VLOOKUP($A561,[1]maaltijden!$A$1:$IV$65536,10,FALSE)</f>
        <v>H8</v>
      </c>
      <c r="E561" s="22" t="str">
        <f>VLOOKUP($A561,[1]maaltijden!$A$1:$IV$65536,13,FALSE)</f>
        <v>H8X24</v>
      </c>
      <c r="F561" s="20">
        <f t="shared" si="8"/>
        <v>0</v>
      </c>
      <c r="G561" s="20" t="str">
        <f>VLOOKUP($A561,[1]maaltijden!$A$1:$IV$65536,27,FALSE)</f>
        <v>! ! ! !</v>
      </c>
      <c r="H561" s="22">
        <f>VLOOKUP($A561,[1]maaltijden!$A$1:$IV$65536,21,FALSE)</f>
        <v>5</v>
      </c>
      <c r="I561" s="22">
        <f>VLOOKUP($A561,[1]maaltijden!$A$1:$IV$65536,21,FALSE)</f>
        <v>5</v>
      </c>
      <c r="J561" s="22">
        <f>VLOOKUP($A561,[1]maaltijden!$A$1:$IV$65536,18,FALSE)</f>
        <v>3</v>
      </c>
      <c r="K561" s="22">
        <f>VLOOKUP($A561,[1]maaltijden!$A$1:$IV$65536,17,FALSE)</f>
        <v>1</v>
      </c>
      <c r="L561" s="22">
        <f>VLOOKUP($A561,[1]maaltijden!$A$1:$IV$65536,20,FALSE)</f>
        <v>2300</v>
      </c>
      <c r="M561" s="22">
        <f>VLOOKUP($A561,[1]maaltijden!$A$1:$IV$65536,22,FALSE)</f>
        <v>2300</v>
      </c>
      <c r="N561" s="135"/>
      <c r="O561" s="50"/>
      <c r="P561" s="19">
        <v>0</v>
      </c>
      <c r="Q561" s="20">
        <v>0</v>
      </c>
      <c r="R561" s="21">
        <v>1</v>
      </c>
      <c r="S561" s="19">
        <v>0</v>
      </c>
      <c r="T561" s="20">
        <v>1</v>
      </c>
      <c r="U561" s="19">
        <v>1</v>
      </c>
      <c r="V561" s="20">
        <v>1</v>
      </c>
      <c r="W561" s="20">
        <v>1</v>
      </c>
      <c r="X561" s="20">
        <v>1</v>
      </c>
      <c r="Y561" s="20">
        <v>1</v>
      </c>
      <c r="Z561" s="20">
        <v>0</v>
      </c>
      <c r="AA561" s="20">
        <v>1</v>
      </c>
      <c r="AB561" s="49">
        <v>0</v>
      </c>
      <c r="AC561" s="49">
        <v>0</v>
      </c>
      <c r="AD561" s="49">
        <v>0</v>
      </c>
      <c r="AE561" s="49">
        <v>0</v>
      </c>
      <c r="AF561" s="49">
        <v>1</v>
      </c>
      <c r="AG561" s="161">
        <v>0</v>
      </c>
      <c r="AH561" s="168">
        <v>1</v>
      </c>
      <c r="AI561" s="20"/>
      <c r="AJ561" s="20"/>
      <c r="AK561" s="20"/>
      <c r="AL561" s="21"/>
      <c r="AM561" s="19">
        <v>0</v>
      </c>
      <c r="AN561" s="20" t="str">
        <f>IFERROR(INDEX([2]lijnopstellingsfiche!$AP$1:$AP$65536,MATCH(A561,[2]lijnopstellingsfiche!$AQ$1:$AQ$65536,0)),"")</f>
        <v>-</v>
      </c>
      <c r="AO561" s="20">
        <v>0</v>
      </c>
      <c r="AP561" s="20">
        <v>0</v>
      </c>
      <c r="AQ561" s="20">
        <v>0</v>
      </c>
      <c r="AR561" s="20">
        <v>0</v>
      </c>
      <c r="AS561" s="20"/>
      <c r="AT561" s="20">
        <v>0</v>
      </c>
      <c r="AU561" s="20">
        <v>0</v>
      </c>
      <c r="AV561" s="23">
        <v>1</v>
      </c>
      <c r="AW561" s="108"/>
      <c r="AX561" s="108"/>
      <c r="AY561" s="108"/>
      <c r="AZ561" s="108"/>
      <c r="BA561" s="114"/>
      <c r="BB561" s="20">
        <v>0</v>
      </c>
      <c r="BC561" s="113"/>
      <c r="BD561" s="200" t="str">
        <f>VLOOKUP($A561,'[3]allergenen 6nr'!$A$1:$O$1310,3,FALSE)</f>
        <v>-</v>
      </c>
      <c r="BE561" s="201" t="str">
        <f>VLOOKUP($A561,'[3]allergenen 6nr'!$A$1:$O$1310,4,FALSE)</f>
        <v>-</v>
      </c>
      <c r="BF561" s="201" t="str">
        <f>VLOOKUP($A561,'[3]allergenen 6nr'!$A$1:$O$1310,5,FALSE)</f>
        <v>+</v>
      </c>
      <c r="BG561" s="201" t="str">
        <f>VLOOKUP($A561,'[3]allergenen 6nr'!$A$1:$O$1310,6,FALSE)</f>
        <v>X</v>
      </c>
      <c r="BH561" s="201" t="str">
        <f>VLOOKUP($A561,'[3]allergenen 6nr'!$A$1:$O$1310,7,FALSE)</f>
        <v>+</v>
      </c>
      <c r="BI561" s="201" t="str">
        <f>VLOOKUP($A561,'[3]allergenen 6nr'!$A$1:$O$1310,8,FALSE)</f>
        <v>X</v>
      </c>
      <c r="BJ561" s="201" t="str">
        <f>VLOOKUP($A561,'[3]allergenen 6nr'!$A$1:$O$1310,9,FALSE)</f>
        <v>-</v>
      </c>
      <c r="BK561" s="201" t="str">
        <f>VLOOKUP($A561,'[3]allergenen 6nr'!$A$1:$O$1310,10,FALSE)</f>
        <v>X</v>
      </c>
      <c r="BL561" s="201" t="str">
        <f>VLOOKUP($A561,'[3]allergenen 6nr'!$A$1:$O$1310,11,FALSE)</f>
        <v>+</v>
      </c>
      <c r="BM561" s="201" t="str">
        <f>VLOOKUP($A561,'[3]allergenen 6nr'!$A$1:$O$1310,12,FALSE)</f>
        <v>-</v>
      </c>
      <c r="BN561" s="201" t="str">
        <f>VLOOKUP($A561,'[3]allergenen 6nr'!$A$1:$O$1310,13,FALSE)</f>
        <v>X</v>
      </c>
      <c r="BO561" s="201" t="str">
        <f>VLOOKUP($A561,'[3]allergenen 6nr'!$A$1:$O$1310,14,FALSE)</f>
        <v>+</v>
      </c>
      <c r="BP561" s="202" t="str">
        <f>VLOOKUP($A561,'[3]allergenen 6nr'!$A$1:$O$1310,15,FALSE)</f>
        <v>X</v>
      </c>
    </row>
    <row r="562" spans="1:68" x14ac:dyDescent="0.2">
      <c r="A562" s="54">
        <v>65704500</v>
      </c>
      <c r="B562" s="53" t="str">
        <f>VLOOKUP($A562,[1]maaltijden!$A$1:$IV$65536,4,FALSE)</f>
        <v xml:space="preserve">ALDI BE ZALM MSC SPINAZIESAUS 2X225G (VR MIXED KARTON) </v>
      </c>
      <c r="C562" s="46" t="str">
        <f>VLOOKUP($A562,[1]maaltijden!$A$1:$IV$65536,7,FALSE)</f>
        <v>40370400 zacht</v>
      </c>
      <c r="D562" s="22" t="str">
        <f>VLOOKUP($A562,[1]maaltijden!$A$1:$IV$65536,10,FALSE)</f>
        <v>H8</v>
      </c>
      <c r="E562" s="22" t="str">
        <f>VLOOKUP($A562,[1]maaltijden!$A$1:$IV$65536,13,FALSE)</f>
        <v>H8X24</v>
      </c>
      <c r="F562" s="20">
        <f t="shared" si="8"/>
        <v>0</v>
      </c>
      <c r="G562" s="20" t="str">
        <f>VLOOKUP($A562,[1]maaltijden!$A$1:$IV$65536,27,FALSE)</f>
        <v>! ! ! !</v>
      </c>
      <c r="H562" s="22">
        <f>VLOOKUP($A562,[1]maaltijden!$A$1:$IV$65536,21,FALSE)</f>
        <v>5</v>
      </c>
      <c r="I562" s="22">
        <f>VLOOKUP($A562,[1]maaltijden!$A$1:$IV$65536,21,FALSE)</f>
        <v>5</v>
      </c>
      <c r="J562" s="22">
        <f>VLOOKUP($A562,[1]maaltijden!$A$1:$IV$65536,18,FALSE)</f>
        <v>3</v>
      </c>
      <c r="K562" s="22">
        <f>VLOOKUP($A562,[1]maaltijden!$A$1:$IV$65536,17,FALSE)</f>
        <v>1</v>
      </c>
      <c r="L562" s="22">
        <f>VLOOKUP($A562,[1]maaltijden!$A$1:$IV$65536,20,FALSE)</f>
        <v>2300</v>
      </c>
      <c r="M562" s="22">
        <f>VLOOKUP($A562,[1]maaltijden!$A$1:$IV$65536,22,FALSE)</f>
        <v>2300</v>
      </c>
      <c r="N562" s="135"/>
      <c r="O562" s="50"/>
      <c r="P562" s="19">
        <v>0</v>
      </c>
      <c r="Q562" s="20">
        <v>0</v>
      </c>
      <c r="R562" s="21">
        <v>1</v>
      </c>
      <c r="S562" s="19">
        <v>0</v>
      </c>
      <c r="T562" s="20">
        <v>1</v>
      </c>
      <c r="U562" s="19">
        <v>1</v>
      </c>
      <c r="V562" s="20">
        <v>1</v>
      </c>
      <c r="W562" s="20">
        <v>1</v>
      </c>
      <c r="X562" s="20">
        <v>1</v>
      </c>
      <c r="Y562" s="20">
        <v>1</v>
      </c>
      <c r="Z562" s="20">
        <v>0</v>
      </c>
      <c r="AA562" s="20">
        <v>1</v>
      </c>
      <c r="AB562" s="49">
        <v>0</v>
      </c>
      <c r="AC562" s="49">
        <v>0</v>
      </c>
      <c r="AD562" s="49">
        <v>0</v>
      </c>
      <c r="AE562" s="49">
        <v>0</v>
      </c>
      <c r="AF562" s="49">
        <v>1</v>
      </c>
      <c r="AG562" s="161">
        <v>0</v>
      </c>
      <c r="AH562" s="168">
        <v>1</v>
      </c>
      <c r="AI562" s="20"/>
      <c r="AJ562" s="20"/>
      <c r="AK562" s="20"/>
      <c r="AL562" s="21"/>
      <c r="AM562" s="19">
        <v>0</v>
      </c>
      <c r="AN562" s="20" t="str">
        <f>IFERROR(INDEX([2]lijnopstellingsfiche!$AP$1:$AP$65536,MATCH(A562,[2]lijnopstellingsfiche!$AQ$1:$AQ$65536,0)),"")</f>
        <v>-</v>
      </c>
      <c r="AO562" s="20">
        <v>0</v>
      </c>
      <c r="AP562" s="20">
        <v>0</v>
      </c>
      <c r="AQ562" s="20">
        <v>0</v>
      </c>
      <c r="AR562" s="20">
        <v>0</v>
      </c>
      <c r="AS562" s="20"/>
      <c r="AT562" s="20">
        <v>0</v>
      </c>
      <c r="AU562" s="20">
        <v>0</v>
      </c>
      <c r="AV562" s="23">
        <v>1</v>
      </c>
      <c r="AW562" s="108"/>
      <c r="AX562" s="108"/>
      <c r="AY562" s="108"/>
      <c r="AZ562" s="108"/>
      <c r="BA562" s="114"/>
      <c r="BB562" s="20">
        <v>0</v>
      </c>
      <c r="BC562" s="113"/>
      <c r="BD562" s="200" t="str">
        <f>VLOOKUP($A562,'[3]allergenen 6nr'!$A$1:$O$1310,3,FALSE)</f>
        <v>-</v>
      </c>
      <c r="BE562" s="201" t="str">
        <f>VLOOKUP($A562,'[3]allergenen 6nr'!$A$1:$O$1310,4,FALSE)</f>
        <v>-</v>
      </c>
      <c r="BF562" s="201" t="str">
        <f>VLOOKUP($A562,'[3]allergenen 6nr'!$A$1:$O$1310,5,FALSE)</f>
        <v>+</v>
      </c>
      <c r="BG562" s="201" t="str">
        <f>VLOOKUP($A562,'[3]allergenen 6nr'!$A$1:$O$1310,6,FALSE)</f>
        <v>X</v>
      </c>
      <c r="BH562" s="201" t="str">
        <f>VLOOKUP($A562,'[3]allergenen 6nr'!$A$1:$O$1310,7,FALSE)</f>
        <v>+</v>
      </c>
      <c r="BI562" s="201" t="str">
        <f>VLOOKUP($A562,'[3]allergenen 6nr'!$A$1:$O$1310,8,FALSE)</f>
        <v>X</v>
      </c>
      <c r="BJ562" s="201" t="str">
        <f>VLOOKUP($A562,'[3]allergenen 6nr'!$A$1:$O$1310,9,FALSE)</f>
        <v>-</v>
      </c>
      <c r="BK562" s="201" t="str">
        <f>VLOOKUP($A562,'[3]allergenen 6nr'!$A$1:$O$1310,10,FALSE)</f>
        <v>X</v>
      </c>
      <c r="BL562" s="201" t="str">
        <f>VLOOKUP($A562,'[3]allergenen 6nr'!$A$1:$O$1310,11,FALSE)</f>
        <v>+</v>
      </c>
      <c r="BM562" s="201" t="str">
        <f>VLOOKUP($A562,'[3]allergenen 6nr'!$A$1:$O$1310,12,FALSE)</f>
        <v>-</v>
      </c>
      <c r="BN562" s="201" t="str">
        <f>VLOOKUP($A562,'[3]allergenen 6nr'!$A$1:$O$1310,13,FALSE)</f>
        <v>X</v>
      </c>
      <c r="BO562" s="201" t="str">
        <f>VLOOKUP($A562,'[3]allergenen 6nr'!$A$1:$O$1310,14,FALSE)</f>
        <v>+</v>
      </c>
      <c r="BP562" s="202" t="str">
        <f>VLOOKUP($A562,'[3]allergenen 6nr'!$A$1:$O$1310,15,FALSE)</f>
        <v>X</v>
      </c>
    </row>
    <row r="563" spans="1:68" x14ac:dyDescent="0.2">
      <c r="A563" s="54">
        <v>65704600</v>
      </c>
      <c r="B563" s="53" t="str">
        <f>VLOOKUP($A563,[1]maaltijden!$A$1:$IV$65536,4,FALSE)</f>
        <v xml:space="preserve">ALDI BE ZALM MSC BEARNAISESAUS 2X225G (VR MIXED KARTON) </v>
      </c>
      <c r="C563" s="46" t="str">
        <f>VLOOKUP($A563,[1]maaltijden!$A$1:$IV$65536,7,FALSE)</f>
        <v>40370400 zacht</v>
      </c>
      <c r="D563" s="22" t="str">
        <f>VLOOKUP($A563,[1]maaltijden!$A$1:$IV$65536,10,FALSE)</f>
        <v>H8</v>
      </c>
      <c r="E563" s="22" t="str">
        <f>VLOOKUP($A563,[1]maaltijden!$A$1:$IV$65536,13,FALSE)</f>
        <v>H8X24</v>
      </c>
      <c r="F563" s="20">
        <f t="shared" si="8"/>
        <v>0</v>
      </c>
      <c r="G563" s="20" t="str">
        <f>VLOOKUP($A563,[1]maaltijden!$A$1:$IV$65536,27,FALSE)</f>
        <v>! ! ! !</v>
      </c>
      <c r="H563" s="22">
        <f>VLOOKUP($A563,[1]maaltijden!$A$1:$IV$65536,21,FALSE)</f>
        <v>5</v>
      </c>
      <c r="I563" s="22">
        <f>VLOOKUP($A563,[1]maaltijden!$A$1:$IV$65536,21,FALSE)</f>
        <v>5</v>
      </c>
      <c r="J563" s="22">
        <f>VLOOKUP($A563,[1]maaltijden!$A$1:$IV$65536,18,FALSE)</f>
        <v>3</v>
      </c>
      <c r="K563" s="22">
        <f>VLOOKUP($A563,[1]maaltijden!$A$1:$IV$65536,17,FALSE)</f>
        <v>1</v>
      </c>
      <c r="L563" s="22">
        <f>VLOOKUP($A563,[1]maaltijden!$A$1:$IV$65536,20,FALSE)</f>
        <v>2300</v>
      </c>
      <c r="M563" s="22">
        <f>VLOOKUP($A563,[1]maaltijden!$A$1:$IV$65536,22,FALSE)</f>
        <v>2300</v>
      </c>
      <c r="N563" s="135"/>
      <c r="O563" s="50"/>
      <c r="P563" s="19">
        <v>0</v>
      </c>
      <c r="Q563" s="20">
        <v>0</v>
      </c>
      <c r="R563" s="21">
        <v>1</v>
      </c>
      <c r="S563" s="19">
        <v>0</v>
      </c>
      <c r="T563" s="20">
        <v>1</v>
      </c>
      <c r="U563" s="19">
        <v>1</v>
      </c>
      <c r="V563" s="20">
        <v>1</v>
      </c>
      <c r="W563" s="20">
        <v>1</v>
      </c>
      <c r="X563" s="20">
        <v>1</v>
      </c>
      <c r="Y563" s="20">
        <v>1</v>
      </c>
      <c r="Z563" s="20">
        <v>0</v>
      </c>
      <c r="AA563" s="20">
        <v>1</v>
      </c>
      <c r="AB563" s="49">
        <v>0</v>
      </c>
      <c r="AC563" s="49">
        <v>0</v>
      </c>
      <c r="AD563" s="49">
        <v>0</v>
      </c>
      <c r="AE563" s="49">
        <v>0</v>
      </c>
      <c r="AF563" s="49">
        <v>1</v>
      </c>
      <c r="AG563" s="161">
        <v>0</v>
      </c>
      <c r="AH563" s="168">
        <v>1</v>
      </c>
      <c r="AI563" s="20"/>
      <c r="AJ563" s="20"/>
      <c r="AK563" s="20"/>
      <c r="AL563" s="21"/>
      <c r="AM563" s="19">
        <v>0</v>
      </c>
      <c r="AN563" s="20" t="str">
        <f>IFERROR(INDEX([2]lijnopstellingsfiche!$AP$1:$AP$65536,MATCH(A563,[2]lijnopstellingsfiche!$AQ$1:$AQ$65536,0)),"")</f>
        <v>-</v>
      </c>
      <c r="AO563" s="20">
        <v>0</v>
      </c>
      <c r="AP563" s="20">
        <v>0</v>
      </c>
      <c r="AQ563" s="20">
        <v>0</v>
      </c>
      <c r="AR563" s="20">
        <v>0</v>
      </c>
      <c r="AS563" s="20"/>
      <c r="AT563" s="20">
        <v>0</v>
      </c>
      <c r="AU563" s="20">
        <v>0</v>
      </c>
      <c r="AV563" s="23">
        <v>1</v>
      </c>
      <c r="AW563" s="108"/>
      <c r="AX563" s="108"/>
      <c r="AY563" s="108"/>
      <c r="AZ563" s="108"/>
      <c r="BA563" s="114"/>
      <c r="BB563" s="20">
        <v>0</v>
      </c>
      <c r="BC563" s="113"/>
      <c r="BD563" s="200" t="str">
        <f>VLOOKUP($A563,'[3]allergenen 6nr'!$A$1:$O$1310,3,FALSE)</f>
        <v>-</v>
      </c>
      <c r="BE563" s="201" t="str">
        <f>VLOOKUP($A563,'[3]allergenen 6nr'!$A$1:$O$1310,4,FALSE)</f>
        <v>-</v>
      </c>
      <c r="BF563" s="201" t="str">
        <f>VLOOKUP($A563,'[3]allergenen 6nr'!$A$1:$O$1310,5,FALSE)</f>
        <v>+</v>
      </c>
      <c r="BG563" s="201" t="str">
        <f>VLOOKUP($A563,'[3]allergenen 6nr'!$A$1:$O$1310,6,FALSE)</f>
        <v>X</v>
      </c>
      <c r="BH563" s="201" t="str">
        <f>VLOOKUP($A563,'[3]allergenen 6nr'!$A$1:$O$1310,7,FALSE)</f>
        <v>+</v>
      </c>
      <c r="BI563" s="201" t="str">
        <f>VLOOKUP($A563,'[3]allergenen 6nr'!$A$1:$O$1310,8,FALSE)</f>
        <v>X</v>
      </c>
      <c r="BJ563" s="201" t="str">
        <f>VLOOKUP($A563,'[3]allergenen 6nr'!$A$1:$O$1310,9,FALSE)</f>
        <v>-</v>
      </c>
      <c r="BK563" s="201" t="str">
        <f>VLOOKUP($A563,'[3]allergenen 6nr'!$A$1:$O$1310,10,FALSE)</f>
        <v>X</v>
      </c>
      <c r="BL563" s="201" t="str">
        <f>VLOOKUP($A563,'[3]allergenen 6nr'!$A$1:$O$1310,11,FALSE)</f>
        <v>+</v>
      </c>
      <c r="BM563" s="201" t="str">
        <f>VLOOKUP($A563,'[3]allergenen 6nr'!$A$1:$O$1310,12,FALSE)</f>
        <v>-</v>
      </c>
      <c r="BN563" s="201" t="str">
        <f>VLOOKUP($A563,'[3]allergenen 6nr'!$A$1:$O$1310,13,FALSE)</f>
        <v>X</v>
      </c>
      <c r="BO563" s="201" t="str">
        <f>VLOOKUP($A563,'[3]allergenen 6nr'!$A$1:$O$1310,14,FALSE)</f>
        <v>+</v>
      </c>
      <c r="BP563" s="202" t="str">
        <f>VLOOKUP($A563,'[3]allergenen 6nr'!$A$1:$O$1310,15,FALSE)</f>
        <v>X</v>
      </c>
    </row>
    <row r="564" spans="1:68" x14ac:dyDescent="0.2">
      <c r="A564" s="54">
        <v>65704800</v>
      </c>
      <c r="B564" s="53" t="str">
        <f>VLOOKUP($A564,[1]maaltijden!$A$1:$IV$65536,4,FALSE)</f>
        <v>ALDI FR ZALM MSC PREISAUS 2X200G (VR MIXED KARTON)</v>
      </c>
      <c r="C564" s="46" t="str">
        <f>VLOOKUP($A564,[1]maaltijden!$A$1:$IV$65536,7,FALSE)</f>
        <v>40370400 zacht</v>
      </c>
      <c r="D564" s="22" t="str">
        <f>VLOOKUP($A564,[1]maaltijden!$A$1:$IV$65536,10,FALSE)</f>
        <v>H8</v>
      </c>
      <c r="E564" s="22" t="str">
        <f>VLOOKUP($A564,[1]maaltijden!$A$1:$IV$65536,13,FALSE)</f>
        <v>H8X24</v>
      </c>
      <c r="F564" s="20">
        <f t="shared" si="8"/>
        <v>0</v>
      </c>
      <c r="G564" s="20" t="str">
        <f>VLOOKUP($A564,[1]maaltijden!$A$1:$IV$65536,27,FALSE)</f>
        <v>! ! ! !</v>
      </c>
      <c r="H564" s="22">
        <f>VLOOKUP($A564,[1]maaltijden!$A$1:$IV$65536,21,FALSE)</f>
        <v>5</v>
      </c>
      <c r="I564" s="22">
        <f>VLOOKUP($A564,[1]maaltijden!$A$1:$IV$65536,21,FALSE)</f>
        <v>5</v>
      </c>
      <c r="J564" s="22">
        <f>VLOOKUP($A564,[1]maaltijden!$A$1:$IV$65536,18,FALSE)</f>
        <v>3</v>
      </c>
      <c r="K564" s="22">
        <f>VLOOKUP($A564,[1]maaltijden!$A$1:$IV$65536,17,FALSE)</f>
        <v>1</v>
      </c>
      <c r="L564" s="22">
        <f>VLOOKUP($A564,[1]maaltijden!$A$1:$IV$65536,20,FALSE)</f>
        <v>2300</v>
      </c>
      <c r="M564" s="22">
        <f>VLOOKUP($A564,[1]maaltijden!$A$1:$IV$65536,22,FALSE)</f>
        <v>2300</v>
      </c>
      <c r="N564" s="135"/>
      <c r="O564" s="50"/>
      <c r="P564" s="19">
        <v>0</v>
      </c>
      <c r="Q564" s="20">
        <v>0</v>
      </c>
      <c r="R564" s="21">
        <v>1</v>
      </c>
      <c r="S564" s="19">
        <v>0</v>
      </c>
      <c r="T564" s="20">
        <v>1</v>
      </c>
      <c r="U564" s="19">
        <v>1</v>
      </c>
      <c r="V564" s="20">
        <v>1</v>
      </c>
      <c r="W564" s="20">
        <v>1</v>
      </c>
      <c r="X564" s="20">
        <v>1</v>
      </c>
      <c r="Y564" s="20">
        <v>1</v>
      </c>
      <c r="Z564" s="20">
        <v>0</v>
      </c>
      <c r="AA564" s="20">
        <v>1</v>
      </c>
      <c r="AB564" s="49">
        <v>0</v>
      </c>
      <c r="AC564" s="49">
        <v>0</v>
      </c>
      <c r="AD564" s="49">
        <v>0</v>
      </c>
      <c r="AE564" s="49">
        <v>0</v>
      </c>
      <c r="AF564" s="49">
        <v>1</v>
      </c>
      <c r="AG564" s="161">
        <v>0</v>
      </c>
      <c r="AH564" s="168">
        <v>1</v>
      </c>
      <c r="AI564" s="20"/>
      <c r="AJ564" s="20"/>
      <c r="AK564" s="20"/>
      <c r="AL564" s="21"/>
      <c r="AM564" s="19">
        <v>0</v>
      </c>
      <c r="AN564" s="20" t="str">
        <f>IFERROR(INDEX([2]lijnopstellingsfiche!$AP$1:$AP$65536,MATCH(A564,[2]lijnopstellingsfiche!$AQ$1:$AQ$65536,0)),"")</f>
        <v>-</v>
      </c>
      <c r="AO564" s="20">
        <v>0</v>
      </c>
      <c r="AP564" s="20">
        <v>0</v>
      </c>
      <c r="AQ564" s="20">
        <v>0</v>
      </c>
      <c r="AR564" s="20">
        <v>0</v>
      </c>
      <c r="AS564" s="20"/>
      <c r="AT564" s="20">
        <v>0</v>
      </c>
      <c r="AU564" s="20">
        <v>0</v>
      </c>
      <c r="AV564" s="23">
        <v>1</v>
      </c>
      <c r="AW564" s="108"/>
      <c r="AX564" s="108"/>
      <c r="AY564" s="108"/>
      <c r="AZ564" s="108"/>
      <c r="BA564" s="114"/>
      <c r="BB564" s="20">
        <v>0</v>
      </c>
      <c r="BC564" s="113"/>
      <c r="BD564" s="200" t="str">
        <f>VLOOKUP($A564,'[3]allergenen 6nr'!$A$1:$O$1310,3,FALSE)</f>
        <v>-</v>
      </c>
      <c r="BE564" s="201" t="str">
        <f>VLOOKUP($A564,'[3]allergenen 6nr'!$A$1:$O$1310,4,FALSE)</f>
        <v>-</v>
      </c>
      <c r="BF564" s="201" t="str">
        <f>VLOOKUP($A564,'[3]allergenen 6nr'!$A$1:$O$1310,5,FALSE)</f>
        <v>+</v>
      </c>
      <c r="BG564" s="201" t="str">
        <f>VLOOKUP($A564,'[3]allergenen 6nr'!$A$1:$O$1310,6,FALSE)</f>
        <v>X</v>
      </c>
      <c r="BH564" s="201" t="str">
        <f>VLOOKUP($A564,'[3]allergenen 6nr'!$A$1:$O$1310,7,FALSE)</f>
        <v>+</v>
      </c>
      <c r="BI564" s="201" t="str">
        <f>VLOOKUP($A564,'[3]allergenen 6nr'!$A$1:$O$1310,8,FALSE)</f>
        <v>X</v>
      </c>
      <c r="BJ564" s="201" t="str">
        <f>VLOOKUP($A564,'[3]allergenen 6nr'!$A$1:$O$1310,9,FALSE)</f>
        <v>-</v>
      </c>
      <c r="BK564" s="201" t="str">
        <f>VLOOKUP($A564,'[3]allergenen 6nr'!$A$1:$O$1310,10,FALSE)</f>
        <v>X</v>
      </c>
      <c r="BL564" s="201" t="str">
        <f>VLOOKUP($A564,'[3]allergenen 6nr'!$A$1:$O$1310,11,FALSE)</f>
        <v>-</v>
      </c>
      <c r="BM564" s="201" t="str">
        <f>VLOOKUP($A564,'[3]allergenen 6nr'!$A$1:$O$1310,12,FALSE)</f>
        <v>-</v>
      </c>
      <c r="BN564" s="201" t="str">
        <f>VLOOKUP($A564,'[3]allergenen 6nr'!$A$1:$O$1310,13,FALSE)</f>
        <v>X</v>
      </c>
      <c r="BO564" s="201" t="str">
        <f>VLOOKUP($A564,'[3]allergenen 6nr'!$A$1:$O$1310,14,FALSE)</f>
        <v>+</v>
      </c>
      <c r="BP564" s="202" t="str">
        <f>VLOOKUP($A564,'[3]allergenen 6nr'!$A$1:$O$1310,15,FALSE)</f>
        <v>X</v>
      </c>
    </row>
    <row r="565" spans="1:68" x14ac:dyDescent="0.2">
      <c r="A565" s="54">
        <v>65704900</v>
      </c>
      <c r="B565" s="53" t="str">
        <f>VLOOKUP($A565,[1]maaltijden!$A$1:$IV$65536,4,FALSE)</f>
        <v>ALDI FR ZALM MSC ZURINGSAUS 2X200G (VR MIXED KARTON)</v>
      </c>
      <c r="C565" s="46" t="str">
        <f>VLOOKUP($A565,[1]maaltijden!$A$1:$IV$65536,7,FALSE)</f>
        <v>40370400 zacht</v>
      </c>
      <c r="D565" s="22" t="str">
        <f>VLOOKUP($A565,[1]maaltijden!$A$1:$IV$65536,10,FALSE)</f>
        <v>H8</v>
      </c>
      <c r="E565" s="22" t="str">
        <f>VLOOKUP($A565,[1]maaltijden!$A$1:$IV$65536,13,FALSE)</f>
        <v>H8X24</v>
      </c>
      <c r="F565" s="20">
        <f t="shared" si="8"/>
        <v>0</v>
      </c>
      <c r="G565" s="20" t="str">
        <f>VLOOKUP($A565,[1]maaltijden!$A$1:$IV$65536,27,FALSE)</f>
        <v>! ! ! !</v>
      </c>
      <c r="H565" s="22">
        <f>VLOOKUP($A565,[1]maaltijden!$A$1:$IV$65536,21,FALSE)</f>
        <v>5</v>
      </c>
      <c r="I565" s="22">
        <f>VLOOKUP($A565,[1]maaltijden!$A$1:$IV$65536,21,FALSE)</f>
        <v>5</v>
      </c>
      <c r="J565" s="22">
        <f>VLOOKUP($A565,[1]maaltijden!$A$1:$IV$65536,18,FALSE)</f>
        <v>3</v>
      </c>
      <c r="K565" s="22">
        <f>VLOOKUP($A565,[1]maaltijden!$A$1:$IV$65536,17,FALSE)</f>
        <v>1</v>
      </c>
      <c r="L565" s="22">
        <f>VLOOKUP($A565,[1]maaltijden!$A$1:$IV$65536,20,FALSE)</f>
        <v>2300</v>
      </c>
      <c r="M565" s="22">
        <f>VLOOKUP($A565,[1]maaltijden!$A$1:$IV$65536,22,FALSE)</f>
        <v>2300</v>
      </c>
      <c r="N565" s="135"/>
      <c r="O565" s="50"/>
      <c r="P565" s="19">
        <v>0</v>
      </c>
      <c r="Q565" s="20">
        <v>0</v>
      </c>
      <c r="R565" s="21">
        <v>1</v>
      </c>
      <c r="S565" s="19">
        <v>0</v>
      </c>
      <c r="T565" s="20">
        <v>1</v>
      </c>
      <c r="U565" s="19">
        <v>1</v>
      </c>
      <c r="V565" s="20">
        <v>1</v>
      </c>
      <c r="W565" s="20">
        <v>1</v>
      </c>
      <c r="X565" s="20">
        <v>1</v>
      </c>
      <c r="Y565" s="20">
        <v>1</v>
      </c>
      <c r="Z565" s="20">
        <v>0</v>
      </c>
      <c r="AA565" s="20">
        <v>1</v>
      </c>
      <c r="AB565" s="49">
        <v>0</v>
      </c>
      <c r="AC565" s="49">
        <v>0</v>
      </c>
      <c r="AD565" s="49">
        <v>0</v>
      </c>
      <c r="AE565" s="49">
        <v>0</v>
      </c>
      <c r="AF565" s="49">
        <v>1</v>
      </c>
      <c r="AG565" s="161">
        <v>0</v>
      </c>
      <c r="AH565" s="168">
        <v>1</v>
      </c>
      <c r="AI565" s="20"/>
      <c r="AJ565" s="20"/>
      <c r="AK565" s="20"/>
      <c r="AL565" s="21"/>
      <c r="AM565" s="19">
        <v>0</v>
      </c>
      <c r="AN565" s="20" t="str">
        <f>IFERROR(INDEX([2]lijnopstellingsfiche!$AP$1:$AP$65536,MATCH(A565,[2]lijnopstellingsfiche!$AQ$1:$AQ$65536,0)),"")</f>
        <v>-</v>
      </c>
      <c r="AO565" s="20">
        <v>0</v>
      </c>
      <c r="AP565" s="20">
        <v>0</v>
      </c>
      <c r="AQ565" s="20">
        <v>0</v>
      </c>
      <c r="AR565" s="20">
        <v>0</v>
      </c>
      <c r="AS565" s="20"/>
      <c r="AT565" s="20">
        <v>0</v>
      </c>
      <c r="AU565" s="20">
        <v>0</v>
      </c>
      <c r="AV565" s="23">
        <v>1</v>
      </c>
      <c r="AW565" s="108"/>
      <c r="AX565" s="108"/>
      <c r="AY565" s="108"/>
      <c r="AZ565" s="108"/>
      <c r="BA565" s="114"/>
      <c r="BB565" s="20">
        <v>0</v>
      </c>
      <c r="BC565" s="113"/>
      <c r="BD565" s="200" t="str">
        <f>VLOOKUP($A565,'[3]allergenen 6nr'!$A$1:$O$1310,3,FALSE)</f>
        <v>-</v>
      </c>
      <c r="BE565" s="201" t="str">
        <f>VLOOKUP($A565,'[3]allergenen 6nr'!$A$1:$O$1310,4,FALSE)</f>
        <v>-</v>
      </c>
      <c r="BF565" s="201" t="str">
        <f>VLOOKUP($A565,'[3]allergenen 6nr'!$A$1:$O$1310,5,FALSE)</f>
        <v>-</v>
      </c>
      <c r="BG565" s="201" t="str">
        <f>VLOOKUP($A565,'[3]allergenen 6nr'!$A$1:$O$1310,6,FALSE)</f>
        <v>-</v>
      </c>
      <c r="BH565" s="201" t="str">
        <f>VLOOKUP($A565,'[3]allergenen 6nr'!$A$1:$O$1310,7,FALSE)</f>
        <v>+</v>
      </c>
      <c r="BI565" s="201" t="str">
        <f>VLOOKUP($A565,'[3]allergenen 6nr'!$A$1:$O$1310,8,FALSE)</f>
        <v>-</v>
      </c>
      <c r="BJ565" s="201" t="str">
        <f>VLOOKUP($A565,'[3]allergenen 6nr'!$A$1:$O$1310,9,FALSE)</f>
        <v>-</v>
      </c>
      <c r="BK565" s="201" t="str">
        <f>VLOOKUP($A565,'[3]allergenen 6nr'!$A$1:$O$1310,10,FALSE)</f>
        <v>-</v>
      </c>
      <c r="BL565" s="201" t="str">
        <f>VLOOKUP($A565,'[3]allergenen 6nr'!$A$1:$O$1310,11,FALSE)</f>
        <v>-</v>
      </c>
      <c r="BM565" s="201" t="str">
        <f>VLOOKUP($A565,'[3]allergenen 6nr'!$A$1:$O$1310,12,FALSE)</f>
        <v>-</v>
      </c>
      <c r="BN565" s="201" t="str">
        <f>VLOOKUP($A565,'[3]allergenen 6nr'!$A$1:$O$1310,13,FALSE)</f>
        <v>-</v>
      </c>
      <c r="BO565" s="201" t="str">
        <f>VLOOKUP($A565,'[3]allergenen 6nr'!$A$1:$O$1310,14,FALSE)</f>
        <v>+</v>
      </c>
      <c r="BP565" s="202" t="str">
        <f>VLOOKUP($A565,'[3]allergenen 6nr'!$A$1:$O$1310,15,FALSE)</f>
        <v>-</v>
      </c>
    </row>
    <row r="566" spans="1:68" x14ac:dyDescent="0.2">
      <c r="A566" s="54">
        <v>65705000</v>
      </c>
      <c r="B566" s="53" t="str">
        <f>VLOOKUP($A566,[1]maaltijden!$A$1:$IV$65536,4,FALSE)</f>
        <v>ALDI FR ZALM MSC BOTERSAUS 2X200G (VR MIXED KARTON)</v>
      </c>
      <c r="C566" s="46" t="str">
        <f>VLOOKUP($A566,[1]maaltijden!$A$1:$IV$65536,7,FALSE)</f>
        <v>40370400 zacht</v>
      </c>
      <c r="D566" s="22" t="str">
        <f>VLOOKUP($A566,[1]maaltijden!$A$1:$IV$65536,10,FALSE)</f>
        <v>H8</v>
      </c>
      <c r="E566" s="22" t="str">
        <f>VLOOKUP($A566,[1]maaltijden!$A$1:$IV$65536,13,FALSE)</f>
        <v>H8X24</v>
      </c>
      <c r="F566" s="20">
        <f t="shared" si="8"/>
        <v>0</v>
      </c>
      <c r="G566" s="20" t="str">
        <f>VLOOKUP($A566,[1]maaltijden!$A$1:$IV$65536,27,FALSE)</f>
        <v>! ! ! !</v>
      </c>
      <c r="H566" s="22">
        <f>VLOOKUP($A566,[1]maaltijden!$A$1:$IV$65536,21,FALSE)</f>
        <v>5</v>
      </c>
      <c r="I566" s="22">
        <f>VLOOKUP($A566,[1]maaltijden!$A$1:$IV$65536,21,FALSE)</f>
        <v>5</v>
      </c>
      <c r="J566" s="22">
        <f>VLOOKUP($A566,[1]maaltijden!$A$1:$IV$65536,18,FALSE)</f>
        <v>3</v>
      </c>
      <c r="K566" s="22">
        <f>VLOOKUP($A566,[1]maaltijden!$A$1:$IV$65536,17,FALSE)</f>
        <v>1</v>
      </c>
      <c r="L566" s="22">
        <f>VLOOKUP($A566,[1]maaltijden!$A$1:$IV$65536,20,FALSE)</f>
        <v>2300</v>
      </c>
      <c r="M566" s="22">
        <f>VLOOKUP($A566,[1]maaltijden!$A$1:$IV$65536,22,FALSE)</f>
        <v>2300</v>
      </c>
      <c r="N566" s="135"/>
      <c r="O566" s="50"/>
      <c r="P566" s="19">
        <v>0</v>
      </c>
      <c r="Q566" s="20">
        <v>0</v>
      </c>
      <c r="R566" s="21">
        <v>1</v>
      </c>
      <c r="S566" s="19">
        <v>0</v>
      </c>
      <c r="T566" s="20">
        <v>1</v>
      </c>
      <c r="U566" s="19">
        <v>1</v>
      </c>
      <c r="V566" s="20">
        <v>1</v>
      </c>
      <c r="W566" s="20">
        <v>1</v>
      </c>
      <c r="X566" s="20">
        <v>1</v>
      </c>
      <c r="Y566" s="20">
        <v>1</v>
      </c>
      <c r="Z566" s="20">
        <v>0</v>
      </c>
      <c r="AA566" s="20">
        <v>1</v>
      </c>
      <c r="AB566" s="49">
        <v>0</v>
      </c>
      <c r="AC566" s="49">
        <v>0</v>
      </c>
      <c r="AD566" s="49">
        <v>0</v>
      </c>
      <c r="AE566" s="49">
        <v>0</v>
      </c>
      <c r="AF566" s="49">
        <v>1</v>
      </c>
      <c r="AG566" s="161">
        <v>0</v>
      </c>
      <c r="AH566" s="168">
        <v>1</v>
      </c>
      <c r="AI566" s="20"/>
      <c r="AJ566" s="20"/>
      <c r="AK566" s="20"/>
      <c r="AL566" s="21"/>
      <c r="AM566" s="19">
        <v>0</v>
      </c>
      <c r="AN566" s="20" t="str">
        <f>IFERROR(INDEX([2]lijnopstellingsfiche!$AP$1:$AP$65536,MATCH(A566,[2]lijnopstellingsfiche!$AQ$1:$AQ$65536,0)),"")</f>
        <v>-</v>
      </c>
      <c r="AO566" s="20">
        <v>0</v>
      </c>
      <c r="AP566" s="20">
        <v>0</v>
      </c>
      <c r="AQ566" s="20">
        <v>0</v>
      </c>
      <c r="AR566" s="20">
        <v>0</v>
      </c>
      <c r="AS566" s="20"/>
      <c r="AT566" s="20">
        <v>0</v>
      </c>
      <c r="AU566" s="20">
        <v>0</v>
      </c>
      <c r="AV566" s="23">
        <v>1</v>
      </c>
      <c r="AW566" s="108"/>
      <c r="AX566" s="108"/>
      <c r="AY566" s="108"/>
      <c r="AZ566" s="108"/>
      <c r="BA566" s="114"/>
      <c r="BB566" s="20">
        <v>0</v>
      </c>
      <c r="BC566" s="113"/>
      <c r="BD566" s="200" t="str">
        <f>VLOOKUP($A566,'[3]allergenen 6nr'!$A$1:$O$1310,3,FALSE)</f>
        <v>-</v>
      </c>
      <c r="BE566" s="201" t="str">
        <f>VLOOKUP($A566,'[3]allergenen 6nr'!$A$1:$O$1310,4,FALSE)</f>
        <v>-</v>
      </c>
      <c r="BF566" s="201" t="str">
        <f>VLOOKUP($A566,'[3]allergenen 6nr'!$A$1:$O$1310,5,FALSE)</f>
        <v>+</v>
      </c>
      <c r="BG566" s="201" t="str">
        <f>VLOOKUP($A566,'[3]allergenen 6nr'!$A$1:$O$1310,6,FALSE)</f>
        <v>-</v>
      </c>
      <c r="BH566" s="201" t="str">
        <f>VLOOKUP($A566,'[3]allergenen 6nr'!$A$1:$O$1310,7,FALSE)</f>
        <v>+</v>
      </c>
      <c r="BI566" s="201" t="str">
        <f>VLOOKUP($A566,'[3]allergenen 6nr'!$A$1:$O$1310,8,FALSE)</f>
        <v>-</v>
      </c>
      <c r="BJ566" s="201" t="str">
        <f>VLOOKUP($A566,'[3]allergenen 6nr'!$A$1:$O$1310,9,FALSE)</f>
        <v>-</v>
      </c>
      <c r="BK566" s="201" t="str">
        <f>VLOOKUP($A566,'[3]allergenen 6nr'!$A$1:$O$1310,10,FALSE)</f>
        <v>X</v>
      </c>
      <c r="BL566" s="201" t="str">
        <f>VLOOKUP($A566,'[3]allergenen 6nr'!$A$1:$O$1310,11,FALSE)</f>
        <v>-</v>
      </c>
      <c r="BM566" s="201" t="str">
        <f>VLOOKUP($A566,'[3]allergenen 6nr'!$A$1:$O$1310,12,FALSE)</f>
        <v>-</v>
      </c>
      <c r="BN566" s="201" t="str">
        <f>VLOOKUP($A566,'[3]allergenen 6nr'!$A$1:$O$1310,13,FALSE)</f>
        <v>X</v>
      </c>
      <c r="BO566" s="201" t="str">
        <f>VLOOKUP($A566,'[3]allergenen 6nr'!$A$1:$O$1310,14,FALSE)</f>
        <v>+</v>
      </c>
      <c r="BP566" s="202" t="str">
        <f>VLOOKUP($A566,'[3]allergenen 6nr'!$A$1:$O$1310,15,FALSE)</f>
        <v>X</v>
      </c>
    </row>
    <row r="567" spans="1:68" x14ac:dyDescent="0.2">
      <c r="A567" s="54">
        <v>65705100</v>
      </c>
      <c r="B567" s="53" t="str">
        <f>VLOOKUP($A567,[1]maaltijden!$A$1:$IV$65536,4,FALSE)</f>
        <v>ALDI BE KABELJ MSC HOLLANDAISE 2X225G(MIXED KARTON)</v>
      </c>
      <c r="C567" s="46" t="str">
        <f>VLOOKUP($A567,[1]maaltijden!$A$1:$IV$65536,7,FALSE)</f>
        <v>40370400 zacht</v>
      </c>
      <c r="D567" s="22" t="str">
        <f>VLOOKUP($A567,[1]maaltijden!$A$1:$IV$65536,10,FALSE)</f>
        <v>H8</v>
      </c>
      <c r="E567" s="22" t="str">
        <f>VLOOKUP($A567,[1]maaltijden!$A$1:$IV$65536,13,FALSE)</f>
        <v>H8X24</v>
      </c>
      <c r="F567" s="20">
        <f t="shared" si="8"/>
        <v>0</v>
      </c>
      <c r="G567" s="20" t="str">
        <f>VLOOKUP($A567,[1]maaltijden!$A$1:$IV$65536,27,FALSE)</f>
        <v>! ! ! !</v>
      </c>
      <c r="H567" s="22">
        <f>VLOOKUP($A567,[1]maaltijden!$A$1:$IV$65536,21,FALSE)</f>
        <v>5</v>
      </c>
      <c r="I567" s="22">
        <f>VLOOKUP($A567,[1]maaltijden!$A$1:$IV$65536,21,FALSE)</f>
        <v>5</v>
      </c>
      <c r="J567" s="22">
        <f>VLOOKUP($A567,[1]maaltijden!$A$1:$IV$65536,18,FALSE)</f>
        <v>3</v>
      </c>
      <c r="K567" s="22">
        <f>VLOOKUP($A567,[1]maaltijden!$A$1:$IV$65536,17,FALSE)</f>
        <v>1</v>
      </c>
      <c r="L567" s="22">
        <f>VLOOKUP($A567,[1]maaltijden!$A$1:$IV$65536,20,FALSE)</f>
        <v>2300</v>
      </c>
      <c r="M567" s="22">
        <f>VLOOKUP($A567,[1]maaltijden!$A$1:$IV$65536,22,FALSE)</f>
        <v>2300</v>
      </c>
      <c r="N567" s="135"/>
      <c r="O567" s="50"/>
      <c r="P567" s="19">
        <v>0</v>
      </c>
      <c r="Q567" s="20">
        <v>0</v>
      </c>
      <c r="R567" s="21">
        <v>1</v>
      </c>
      <c r="S567" s="19">
        <v>0</v>
      </c>
      <c r="T567" s="20">
        <v>1</v>
      </c>
      <c r="U567" s="19">
        <v>1</v>
      </c>
      <c r="V567" s="20">
        <v>1</v>
      </c>
      <c r="W567" s="20">
        <v>1</v>
      </c>
      <c r="X567" s="20">
        <v>1</v>
      </c>
      <c r="Y567" s="20">
        <v>1</v>
      </c>
      <c r="Z567" s="20">
        <v>0</v>
      </c>
      <c r="AA567" s="20">
        <v>1</v>
      </c>
      <c r="AB567" s="49">
        <v>0</v>
      </c>
      <c r="AC567" s="49">
        <v>0</v>
      </c>
      <c r="AD567" s="49">
        <v>0</v>
      </c>
      <c r="AE567" s="49">
        <v>0</v>
      </c>
      <c r="AF567" s="49">
        <v>1</v>
      </c>
      <c r="AG567" s="161">
        <v>0</v>
      </c>
      <c r="AH567" s="168">
        <v>1</v>
      </c>
      <c r="AI567" s="20"/>
      <c r="AJ567" s="20"/>
      <c r="AK567" s="20"/>
      <c r="AL567" s="21"/>
      <c r="AM567" s="19">
        <v>0</v>
      </c>
      <c r="AN567" s="20" t="str">
        <f>IFERROR(INDEX([2]lijnopstellingsfiche!$AP$1:$AP$65536,MATCH(A567,[2]lijnopstellingsfiche!$AQ$1:$AQ$65536,0)),"")</f>
        <v>-</v>
      </c>
      <c r="AO567" s="20">
        <v>0</v>
      </c>
      <c r="AP567" s="20">
        <v>0</v>
      </c>
      <c r="AQ567" s="20">
        <v>0</v>
      </c>
      <c r="AR567" s="20">
        <v>0</v>
      </c>
      <c r="AS567" s="20"/>
      <c r="AT567" s="20">
        <v>0</v>
      </c>
      <c r="AU567" s="20">
        <v>0</v>
      </c>
      <c r="AV567" s="23">
        <v>1</v>
      </c>
      <c r="AW567" s="108"/>
      <c r="AX567" s="108"/>
      <c r="AY567" s="108"/>
      <c r="AZ567" s="108"/>
      <c r="BA567" s="114"/>
      <c r="BB567" s="20">
        <v>0</v>
      </c>
      <c r="BC567" s="113"/>
      <c r="BD567" s="200" t="str">
        <f>VLOOKUP($A567,'[3]allergenen 6nr'!$A$1:$O$1310,3,FALSE)</f>
        <v>-</v>
      </c>
      <c r="BE567" s="201" t="str">
        <f>VLOOKUP($A567,'[3]allergenen 6nr'!$A$1:$O$1310,4,FALSE)</f>
        <v>-</v>
      </c>
      <c r="BF567" s="201" t="str">
        <f>VLOOKUP($A567,'[3]allergenen 6nr'!$A$1:$O$1310,5,FALSE)</f>
        <v>+</v>
      </c>
      <c r="BG567" s="201" t="str">
        <f>VLOOKUP($A567,'[3]allergenen 6nr'!$A$1:$O$1310,6,FALSE)</f>
        <v>X</v>
      </c>
      <c r="BH567" s="201" t="str">
        <f>VLOOKUP($A567,'[3]allergenen 6nr'!$A$1:$O$1310,7,FALSE)</f>
        <v>+</v>
      </c>
      <c r="BI567" s="201" t="str">
        <f>VLOOKUP($A567,'[3]allergenen 6nr'!$A$1:$O$1310,8,FALSE)</f>
        <v>X</v>
      </c>
      <c r="BJ567" s="201" t="str">
        <f>VLOOKUP($A567,'[3]allergenen 6nr'!$A$1:$O$1310,9,FALSE)</f>
        <v>-</v>
      </c>
      <c r="BK567" s="201" t="str">
        <f>VLOOKUP($A567,'[3]allergenen 6nr'!$A$1:$O$1310,10,FALSE)</f>
        <v>-</v>
      </c>
      <c r="BL567" s="201" t="str">
        <f>VLOOKUP($A567,'[3]allergenen 6nr'!$A$1:$O$1310,11,FALSE)</f>
        <v>+</v>
      </c>
      <c r="BM567" s="201" t="str">
        <f>VLOOKUP($A567,'[3]allergenen 6nr'!$A$1:$O$1310,12,FALSE)</f>
        <v>-</v>
      </c>
      <c r="BN567" s="201" t="str">
        <f>VLOOKUP($A567,'[3]allergenen 6nr'!$A$1:$O$1310,13,FALSE)</f>
        <v>X</v>
      </c>
      <c r="BO567" s="201" t="str">
        <f>VLOOKUP($A567,'[3]allergenen 6nr'!$A$1:$O$1310,14,FALSE)</f>
        <v>+</v>
      </c>
      <c r="BP567" s="202" t="str">
        <f>VLOOKUP($A567,'[3]allergenen 6nr'!$A$1:$O$1310,15,FALSE)</f>
        <v>-</v>
      </c>
    </row>
    <row r="568" spans="1:68" x14ac:dyDescent="0.2">
      <c r="A568" s="54">
        <v>65706000</v>
      </c>
      <c r="B568" s="53" t="str">
        <f>VLOOKUP($A568,[1]maaltijden!$A$1:$IV$65536,4,FALSE)</f>
        <v>ALDI BE ZALM MSC BEARNAISE 2X225G (MIXED)</v>
      </c>
      <c r="C568" s="46" t="str">
        <f>VLOOKUP($A568,[1]maaltijden!$A$1:$IV$65536,7,FALSE)</f>
        <v>40370400 zacht</v>
      </c>
      <c r="D568" s="22" t="str">
        <f>VLOOKUP($A568,[1]maaltijden!$A$1:$IV$65536,10,FALSE)</f>
        <v>H8</v>
      </c>
      <c r="E568" s="22" t="str">
        <f>VLOOKUP($A568,[1]maaltijden!$A$1:$IV$65536,13,FALSE)</f>
        <v>H8X24</v>
      </c>
      <c r="F568" s="20">
        <f t="shared" si="8"/>
        <v>0</v>
      </c>
      <c r="G568" s="20" t="str">
        <f>VLOOKUP($A568,[1]maaltijden!$A$1:$IV$65536,27,FALSE)</f>
        <v>! ! ! !</v>
      </c>
      <c r="H568" s="22">
        <f>VLOOKUP($A568,[1]maaltijden!$A$1:$IV$65536,21,FALSE)</f>
        <v>5</v>
      </c>
      <c r="I568" s="22">
        <f>VLOOKUP($A568,[1]maaltijden!$A$1:$IV$65536,21,FALSE)</f>
        <v>5</v>
      </c>
      <c r="J568" s="22">
        <f>VLOOKUP($A568,[1]maaltijden!$A$1:$IV$65536,18,FALSE)</f>
        <v>3</v>
      </c>
      <c r="K568" s="22">
        <f>VLOOKUP($A568,[1]maaltijden!$A$1:$IV$65536,17,FALSE)</f>
        <v>1</v>
      </c>
      <c r="L568" s="22">
        <f>VLOOKUP($A568,[1]maaltijden!$A$1:$IV$65536,20,FALSE)</f>
        <v>2300</v>
      </c>
      <c r="M568" s="22">
        <f>VLOOKUP($A568,[1]maaltijden!$A$1:$IV$65536,22,FALSE)</f>
        <v>2300</v>
      </c>
      <c r="N568" s="135"/>
      <c r="O568" s="50"/>
      <c r="P568" s="19">
        <v>0</v>
      </c>
      <c r="Q568" s="20">
        <v>0</v>
      </c>
      <c r="R568" s="21">
        <v>1</v>
      </c>
      <c r="S568" s="19">
        <v>0</v>
      </c>
      <c r="T568" s="20">
        <v>1</v>
      </c>
      <c r="U568" s="19">
        <v>1</v>
      </c>
      <c r="V568" s="20">
        <v>1</v>
      </c>
      <c r="W568" s="20">
        <v>1</v>
      </c>
      <c r="X568" s="20">
        <v>1</v>
      </c>
      <c r="Y568" s="20">
        <v>1</v>
      </c>
      <c r="Z568" s="20">
        <v>0</v>
      </c>
      <c r="AA568" s="20">
        <v>1</v>
      </c>
      <c r="AB568" s="49">
        <v>0</v>
      </c>
      <c r="AC568" s="49">
        <v>0</v>
      </c>
      <c r="AD568" s="49">
        <v>0</v>
      </c>
      <c r="AE568" s="49">
        <v>0</v>
      </c>
      <c r="AF568" s="49">
        <v>1</v>
      </c>
      <c r="AG568" s="161">
        <v>0</v>
      </c>
      <c r="AH568" s="168">
        <v>1</v>
      </c>
      <c r="AI568" s="20"/>
      <c r="AJ568" s="20"/>
      <c r="AK568" s="20"/>
      <c r="AL568" s="21"/>
      <c r="AM568" s="19">
        <v>0</v>
      </c>
      <c r="AN568" s="20" t="str">
        <f>IFERROR(INDEX([2]lijnopstellingsfiche!$AP$1:$AP$65536,MATCH(A568,[2]lijnopstellingsfiche!$AQ$1:$AQ$65536,0)),"")</f>
        <v>-</v>
      </c>
      <c r="AO568" s="20">
        <v>0</v>
      </c>
      <c r="AP568" s="20">
        <v>0</v>
      </c>
      <c r="AQ568" s="20">
        <v>0</v>
      </c>
      <c r="AR568" s="20">
        <v>0</v>
      </c>
      <c r="AS568" s="20"/>
      <c r="AT568" s="20">
        <v>0</v>
      </c>
      <c r="AU568" s="20">
        <v>0</v>
      </c>
      <c r="AV568" s="23">
        <v>1</v>
      </c>
      <c r="AW568" s="108">
        <v>0</v>
      </c>
      <c r="AX568" s="108">
        <v>0</v>
      </c>
      <c r="AY568" s="108">
        <v>0</v>
      </c>
      <c r="AZ568" s="108"/>
      <c r="BA568" s="114">
        <v>1</v>
      </c>
      <c r="BB568" s="20">
        <v>0</v>
      </c>
      <c r="BC568" s="113">
        <v>0</v>
      </c>
      <c r="BD568" s="200" t="e">
        <f>VLOOKUP($A568,'[3]allergenen 6nr'!$A$1:$O$1310,3,FALSE)</f>
        <v>#N/A</v>
      </c>
      <c r="BE568" s="201" t="e">
        <f>VLOOKUP($A568,'[3]allergenen 6nr'!$A$1:$O$1310,4,FALSE)</f>
        <v>#N/A</v>
      </c>
      <c r="BF568" s="201" t="e">
        <f>VLOOKUP($A568,'[3]allergenen 6nr'!$A$1:$O$1310,5,FALSE)</f>
        <v>#N/A</v>
      </c>
      <c r="BG568" s="201" t="e">
        <f>VLOOKUP($A568,'[3]allergenen 6nr'!$A$1:$O$1310,6,FALSE)</f>
        <v>#N/A</v>
      </c>
      <c r="BH568" s="201" t="e">
        <f>VLOOKUP($A568,'[3]allergenen 6nr'!$A$1:$O$1310,7,FALSE)</f>
        <v>#N/A</v>
      </c>
      <c r="BI568" s="201" t="e">
        <f>VLOOKUP($A568,'[3]allergenen 6nr'!$A$1:$O$1310,8,FALSE)</f>
        <v>#N/A</v>
      </c>
      <c r="BJ568" s="201" t="e">
        <f>VLOOKUP($A568,'[3]allergenen 6nr'!$A$1:$O$1310,9,FALSE)</f>
        <v>#N/A</v>
      </c>
      <c r="BK568" s="201" t="e">
        <f>VLOOKUP($A568,'[3]allergenen 6nr'!$A$1:$O$1310,10,FALSE)</f>
        <v>#N/A</v>
      </c>
      <c r="BL568" s="201" t="e">
        <f>VLOOKUP($A568,'[3]allergenen 6nr'!$A$1:$O$1310,11,FALSE)</f>
        <v>#N/A</v>
      </c>
      <c r="BM568" s="201" t="e">
        <f>VLOOKUP($A568,'[3]allergenen 6nr'!$A$1:$O$1310,12,FALSE)</f>
        <v>#N/A</v>
      </c>
      <c r="BN568" s="201" t="e">
        <f>VLOOKUP($A568,'[3]allergenen 6nr'!$A$1:$O$1310,13,FALSE)</f>
        <v>#N/A</v>
      </c>
      <c r="BO568" s="201" t="e">
        <f>VLOOKUP($A568,'[3]allergenen 6nr'!$A$1:$O$1310,14,FALSE)</f>
        <v>#N/A</v>
      </c>
      <c r="BP568" s="202" t="e">
        <f>VLOOKUP($A568,'[3]allergenen 6nr'!$A$1:$O$1310,15,FALSE)</f>
        <v>#N/A</v>
      </c>
    </row>
    <row r="569" spans="1:68" x14ac:dyDescent="0.2">
      <c r="A569" s="54">
        <v>65706100</v>
      </c>
      <c r="B569" s="53" t="str">
        <f>VLOOKUP($A569,[1]maaltijden!$A$1:$IV$65536,4,FALSE)</f>
        <v>ALDI BE ZALM MSC PROVENCAALS 2X225G (MIXED)</v>
      </c>
      <c r="C569" s="46" t="str">
        <f>VLOOKUP($A569,[1]maaltijden!$A$1:$IV$65536,7,FALSE)</f>
        <v>40370400 zacht</v>
      </c>
      <c r="D569" s="22" t="str">
        <f>VLOOKUP($A569,[1]maaltijden!$A$1:$IV$65536,10,FALSE)</f>
        <v>H8</v>
      </c>
      <c r="E569" s="22" t="str">
        <f>VLOOKUP($A569,[1]maaltijden!$A$1:$IV$65536,13,FALSE)</f>
        <v>H8X24</v>
      </c>
      <c r="F569" s="20">
        <f t="shared" si="8"/>
        <v>0</v>
      </c>
      <c r="G569" s="20" t="str">
        <f>VLOOKUP($A569,[1]maaltijden!$A$1:$IV$65536,27,FALSE)</f>
        <v>! ! ! !</v>
      </c>
      <c r="H569" s="22">
        <f>VLOOKUP($A569,[1]maaltijden!$A$1:$IV$65536,21,FALSE)</f>
        <v>5</v>
      </c>
      <c r="I569" s="22">
        <f>VLOOKUP($A569,[1]maaltijden!$A$1:$IV$65536,21,FALSE)</f>
        <v>5</v>
      </c>
      <c r="J569" s="22">
        <f>VLOOKUP($A569,[1]maaltijden!$A$1:$IV$65536,18,FALSE)</f>
        <v>3</v>
      </c>
      <c r="K569" s="22">
        <f>VLOOKUP($A569,[1]maaltijden!$A$1:$IV$65536,17,FALSE)</f>
        <v>1</v>
      </c>
      <c r="L569" s="22">
        <f>VLOOKUP($A569,[1]maaltijden!$A$1:$IV$65536,20,FALSE)</f>
        <v>2300</v>
      </c>
      <c r="M569" s="22">
        <f>VLOOKUP($A569,[1]maaltijden!$A$1:$IV$65536,22,FALSE)</f>
        <v>2300</v>
      </c>
      <c r="N569" s="135"/>
      <c r="O569" s="50"/>
      <c r="P569" s="19">
        <v>0</v>
      </c>
      <c r="Q569" s="20">
        <v>0</v>
      </c>
      <c r="R569" s="21">
        <v>1</v>
      </c>
      <c r="S569" s="19">
        <v>0</v>
      </c>
      <c r="T569" s="20">
        <v>1</v>
      </c>
      <c r="U569" s="19">
        <v>1</v>
      </c>
      <c r="V569" s="20">
        <v>1</v>
      </c>
      <c r="W569" s="20">
        <v>1</v>
      </c>
      <c r="X569" s="20">
        <v>1</v>
      </c>
      <c r="Y569" s="20">
        <v>1</v>
      </c>
      <c r="Z569" s="20">
        <v>0</v>
      </c>
      <c r="AA569" s="20">
        <v>1</v>
      </c>
      <c r="AB569" s="49">
        <v>0</v>
      </c>
      <c r="AC569" s="49">
        <v>0</v>
      </c>
      <c r="AD569" s="49">
        <v>0</v>
      </c>
      <c r="AE569" s="49">
        <v>0</v>
      </c>
      <c r="AF569" s="49">
        <v>1</v>
      </c>
      <c r="AG569" s="161">
        <v>0</v>
      </c>
      <c r="AH569" s="168">
        <v>1</v>
      </c>
      <c r="AI569" s="20"/>
      <c r="AJ569" s="20"/>
      <c r="AK569" s="20"/>
      <c r="AL569" s="21"/>
      <c r="AM569" s="19">
        <v>0</v>
      </c>
      <c r="AN569" s="20" t="str">
        <f>IFERROR(INDEX([2]lijnopstellingsfiche!$AP$1:$AP$65536,MATCH(A569,[2]lijnopstellingsfiche!$AQ$1:$AQ$65536,0)),"")</f>
        <v/>
      </c>
      <c r="AO569" s="20">
        <v>0</v>
      </c>
      <c r="AP569" s="20">
        <v>0</v>
      </c>
      <c r="AQ569" s="20">
        <v>0</v>
      </c>
      <c r="AR569" s="20">
        <v>0</v>
      </c>
      <c r="AS569" s="20"/>
      <c r="AT569" s="20">
        <v>0</v>
      </c>
      <c r="AU569" s="20">
        <v>0</v>
      </c>
      <c r="AV569" s="23">
        <v>1</v>
      </c>
      <c r="AW569" s="108">
        <v>0</v>
      </c>
      <c r="AX569" s="108">
        <v>0</v>
      </c>
      <c r="AY569" s="108">
        <v>0</v>
      </c>
      <c r="AZ569" s="108"/>
      <c r="BA569" s="114">
        <v>1</v>
      </c>
      <c r="BB569" s="20">
        <v>0</v>
      </c>
      <c r="BC569" s="113">
        <v>0</v>
      </c>
      <c r="BD569" s="200" t="e">
        <f>VLOOKUP($A569,'[3]allergenen 6nr'!$A$1:$O$1310,3,FALSE)</f>
        <v>#N/A</v>
      </c>
      <c r="BE569" s="201" t="e">
        <f>VLOOKUP($A569,'[3]allergenen 6nr'!$A$1:$O$1310,4,FALSE)</f>
        <v>#N/A</v>
      </c>
      <c r="BF569" s="201" t="e">
        <f>VLOOKUP($A569,'[3]allergenen 6nr'!$A$1:$O$1310,5,FALSE)</f>
        <v>#N/A</v>
      </c>
      <c r="BG569" s="201" t="e">
        <f>VLOOKUP($A569,'[3]allergenen 6nr'!$A$1:$O$1310,6,FALSE)</f>
        <v>#N/A</v>
      </c>
      <c r="BH569" s="201" t="e">
        <f>VLOOKUP($A569,'[3]allergenen 6nr'!$A$1:$O$1310,7,FALSE)</f>
        <v>#N/A</v>
      </c>
      <c r="BI569" s="201" t="e">
        <f>VLOOKUP($A569,'[3]allergenen 6nr'!$A$1:$O$1310,8,FALSE)</f>
        <v>#N/A</v>
      </c>
      <c r="BJ569" s="201" t="e">
        <f>VLOOKUP($A569,'[3]allergenen 6nr'!$A$1:$O$1310,9,FALSE)</f>
        <v>#N/A</v>
      </c>
      <c r="BK569" s="201" t="e">
        <f>VLOOKUP($A569,'[3]allergenen 6nr'!$A$1:$O$1310,10,FALSE)</f>
        <v>#N/A</v>
      </c>
      <c r="BL569" s="201" t="e">
        <f>VLOOKUP($A569,'[3]allergenen 6nr'!$A$1:$O$1310,11,FALSE)</f>
        <v>#N/A</v>
      </c>
      <c r="BM569" s="201" t="e">
        <f>VLOOKUP($A569,'[3]allergenen 6nr'!$A$1:$O$1310,12,FALSE)</f>
        <v>#N/A</v>
      </c>
      <c r="BN569" s="201" t="e">
        <f>VLOOKUP($A569,'[3]allergenen 6nr'!$A$1:$O$1310,13,FALSE)</f>
        <v>#N/A</v>
      </c>
      <c r="BO569" s="201" t="e">
        <f>VLOOKUP($A569,'[3]allergenen 6nr'!$A$1:$O$1310,14,FALSE)</f>
        <v>#N/A</v>
      </c>
      <c r="BP569" s="202" t="e">
        <f>VLOOKUP($A569,'[3]allergenen 6nr'!$A$1:$O$1310,15,FALSE)</f>
        <v>#N/A</v>
      </c>
    </row>
    <row r="570" spans="1:68" x14ac:dyDescent="0.2">
      <c r="A570" s="54">
        <v>65706200</v>
      </c>
      <c r="B570" s="53" t="str">
        <f>VLOOKUP($A570,[1]maaltijden!$A$1:$IV$65536,4,FALSE)</f>
        <v>ALDI BE ZALM MSC VERMOUTHSAUS 2X225G (MIXED)</v>
      </c>
      <c r="C570" s="46" t="str">
        <f>VLOOKUP($A570,[1]maaltijden!$A$1:$IV$65536,7,FALSE)</f>
        <v>40370400 zacht</v>
      </c>
      <c r="D570" s="22" t="str">
        <f>VLOOKUP($A570,[1]maaltijden!$A$1:$IV$65536,10,FALSE)</f>
        <v>H8</v>
      </c>
      <c r="E570" s="22" t="str">
        <f>VLOOKUP($A570,[1]maaltijden!$A$1:$IV$65536,13,FALSE)</f>
        <v>H8X24</v>
      </c>
      <c r="F570" s="20">
        <f t="shared" si="8"/>
        <v>0</v>
      </c>
      <c r="G570" s="20" t="str">
        <f>VLOOKUP($A570,[1]maaltijden!$A$1:$IV$65536,27,FALSE)</f>
        <v>! ! ! !</v>
      </c>
      <c r="H570" s="22">
        <f>VLOOKUP($A570,[1]maaltijden!$A$1:$IV$65536,21,FALSE)</f>
        <v>5</v>
      </c>
      <c r="I570" s="22">
        <f>VLOOKUP($A570,[1]maaltijden!$A$1:$IV$65536,21,FALSE)</f>
        <v>5</v>
      </c>
      <c r="J570" s="22">
        <f>VLOOKUP($A570,[1]maaltijden!$A$1:$IV$65536,18,FALSE)</f>
        <v>3</v>
      </c>
      <c r="K570" s="22">
        <f>VLOOKUP($A570,[1]maaltijden!$A$1:$IV$65536,17,FALSE)</f>
        <v>1</v>
      </c>
      <c r="L570" s="22">
        <f>VLOOKUP($A570,[1]maaltijden!$A$1:$IV$65536,20,FALSE)</f>
        <v>2300</v>
      </c>
      <c r="M570" s="22">
        <f>VLOOKUP($A570,[1]maaltijden!$A$1:$IV$65536,22,FALSE)</f>
        <v>2300</v>
      </c>
      <c r="N570" s="135"/>
      <c r="O570" s="50"/>
      <c r="P570" s="19">
        <v>0</v>
      </c>
      <c r="Q570" s="20">
        <v>0</v>
      </c>
      <c r="R570" s="21">
        <v>1</v>
      </c>
      <c r="S570" s="19">
        <v>0</v>
      </c>
      <c r="T570" s="20">
        <v>1</v>
      </c>
      <c r="U570" s="19">
        <v>1</v>
      </c>
      <c r="V570" s="20">
        <v>1</v>
      </c>
      <c r="W570" s="20">
        <v>1</v>
      </c>
      <c r="X570" s="20">
        <v>1</v>
      </c>
      <c r="Y570" s="20">
        <v>1</v>
      </c>
      <c r="Z570" s="20">
        <v>0</v>
      </c>
      <c r="AA570" s="20">
        <v>1</v>
      </c>
      <c r="AB570" s="49">
        <v>0</v>
      </c>
      <c r="AC570" s="49">
        <v>0</v>
      </c>
      <c r="AD570" s="49">
        <v>0</v>
      </c>
      <c r="AE570" s="49">
        <v>0</v>
      </c>
      <c r="AF570" s="49">
        <v>1</v>
      </c>
      <c r="AG570" s="161">
        <v>0</v>
      </c>
      <c r="AH570" s="168">
        <v>1</v>
      </c>
      <c r="AI570" s="20"/>
      <c r="AJ570" s="20"/>
      <c r="AK570" s="20"/>
      <c r="AL570" s="21"/>
      <c r="AM570" s="19">
        <v>0</v>
      </c>
      <c r="AN570" s="20" t="str">
        <f>IFERROR(INDEX([2]lijnopstellingsfiche!$AP$1:$AP$65536,MATCH(A570,[2]lijnopstellingsfiche!$AQ$1:$AQ$65536,0)),"")</f>
        <v>-</v>
      </c>
      <c r="AO570" s="20">
        <v>0</v>
      </c>
      <c r="AP570" s="20">
        <v>0</v>
      </c>
      <c r="AQ570" s="20">
        <v>0</v>
      </c>
      <c r="AR570" s="20">
        <v>0</v>
      </c>
      <c r="AS570" s="20"/>
      <c r="AT570" s="20">
        <v>0</v>
      </c>
      <c r="AU570" s="20">
        <v>0</v>
      </c>
      <c r="AV570" s="23">
        <v>1</v>
      </c>
      <c r="AW570" s="108">
        <v>0</v>
      </c>
      <c r="AX570" s="108">
        <v>0</v>
      </c>
      <c r="AY570" s="108">
        <v>0</v>
      </c>
      <c r="AZ570" s="108"/>
      <c r="BA570" s="114">
        <v>1</v>
      </c>
      <c r="BB570" s="20">
        <v>0</v>
      </c>
      <c r="BC570" s="113">
        <v>0</v>
      </c>
      <c r="BD570" s="200" t="e">
        <f>VLOOKUP($A570,'[3]allergenen 6nr'!$A$1:$O$1310,3,FALSE)</f>
        <v>#N/A</v>
      </c>
      <c r="BE570" s="201" t="e">
        <f>VLOOKUP($A570,'[3]allergenen 6nr'!$A$1:$O$1310,4,FALSE)</f>
        <v>#N/A</v>
      </c>
      <c r="BF570" s="201" t="e">
        <f>VLOOKUP($A570,'[3]allergenen 6nr'!$A$1:$O$1310,5,FALSE)</f>
        <v>#N/A</v>
      </c>
      <c r="BG570" s="201" t="e">
        <f>VLOOKUP($A570,'[3]allergenen 6nr'!$A$1:$O$1310,6,FALSE)</f>
        <v>#N/A</v>
      </c>
      <c r="BH570" s="201" t="e">
        <f>VLOOKUP($A570,'[3]allergenen 6nr'!$A$1:$O$1310,7,FALSE)</f>
        <v>#N/A</v>
      </c>
      <c r="BI570" s="201" t="e">
        <f>VLOOKUP($A570,'[3]allergenen 6nr'!$A$1:$O$1310,8,FALSE)</f>
        <v>#N/A</v>
      </c>
      <c r="BJ570" s="201" t="e">
        <f>VLOOKUP($A570,'[3]allergenen 6nr'!$A$1:$O$1310,9,FALSE)</f>
        <v>#N/A</v>
      </c>
      <c r="BK570" s="201" t="e">
        <f>VLOOKUP($A570,'[3]allergenen 6nr'!$A$1:$O$1310,10,FALSE)</f>
        <v>#N/A</v>
      </c>
      <c r="BL570" s="201" t="e">
        <f>VLOOKUP($A570,'[3]allergenen 6nr'!$A$1:$O$1310,11,FALSE)</f>
        <v>#N/A</v>
      </c>
      <c r="BM570" s="201" t="e">
        <f>VLOOKUP($A570,'[3]allergenen 6nr'!$A$1:$O$1310,12,FALSE)</f>
        <v>#N/A</v>
      </c>
      <c r="BN570" s="201" t="e">
        <f>VLOOKUP($A570,'[3]allergenen 6nr'!$A$1:$O$1310,13,FALSE)</f>
        <v>#N/A</v>
      </c>
      <c r="BO570" s="201" t="e">
        <f>VLOOKUP($A570,'[3]allergenen 6nr'!$A$1:$O$1310,14,FALSE)</f>
        <v>#N/A</v>
      </c>
      <c r="BP570" s="202" t="e">
        <f>VLOOKUP($A570,'[3]allergenen 6nr'!$A$1:$O$1310,15,FALSE)</f>
        <v>#N/A</v>
      </c>
    </row>
    <row r="571" spans="1:68" x14ac:dyDescent="0.2">
      <c r="A571" s="126">
        <v>66000100</v>
      </c>
      <c r="B571" s="53" t="str">
        <f>VLOOKUP($A571,[1]maaltijden!$A$1:$IV$65536,4,FALSE)</f>
        <v>BOF DE GEHAKTSCHOTEL AARDAPPEL PAPRIKA 2X400G</v>
      </c>
      <c r="C571" s="46" t="str">
        <f>VLOOKUP($A571,[1]maaltijden!$A$1:$IV$65536,7,FALSE)</f>
        <v>40370400 zacht</v>
      </c>
      <c r="D571" s="22" t="str">
        <f>VLOOKUP($A571,[1]maaltijden!$A$1:$IV$65536,10,FALSE)</f>
        <v>Bedrukte folie 470x300</v>
      </c>
      <c r="E571" s="22" t="str">
        <f>VLOOKUP($A571,[1]maaltijden!$A$1:$IV$65536,13,FALSE)</f>
        <v xml:space="preserve">Z8x20 </v>
      </c>
      <c r="F571" s="20">
        <f t="shared" si="8"/>
        <v>1</v>
      </c>
      <c r="G571" s="20" t="str">
        <f>VLOOKUP($A571,[1]maaltijden!$A$1:$IV$65536,27,FALSE)</f>
        <v>-</v>
      </c>
      <c r="H571" s="22">
        <f>VLOOKUP($A571,[1]maaltijden!$A$1:$IV$65536,21,FALSE)</f>
        <v>6</v>
      </c>
      <c r="I571" s="22">
        <f>VLOOKUP($A571,[1]maaltijden!$A$1:$IV$65536,21,FALSE)</f>
        <v>6</v>
      </c>
      <c r="J571" s="22">
        <f>VLOOKUP($A571,[1]maaltijden!$A$1:$IV$65536,18,FALSE)</f>
        <v>6</v>
      </c>
      <c r="K571" s="22">
        <f>VLOOKUP($A571,[1]maaltijden!$A$1:$IV$65536,17,FALSE)</f>
        <v>1</v>
      </c>
      <c r="L571" s="22">
        <f>VLOOKUP($A571,[1]maaltijden!$A$1:$IV$65536,20,FALSE)</f>
        <v>1150</v>
      </c>
      <c r="M571" s="22">
        <f>VLOOKUP($A571,[1]maaltijden!$A$1:$IV$65536,22,FALSE)</f>
        <v>1150</v>
      </c>
      <c r="N571" s="135"/>
      <c r="O571" s="50"/>
      <c r="P571" s="19">
        <v>0</v>
      </c>
      <c r="Q571" s="20">
        <v>0</v>
      </c>
      <c r="R571" s="21">
        <v>1</v>
      </c>
      <c r="S571" s="19">
        <v>0</v>
      </c>
      <c r="T571" s="20">
        <v>1</v>
      </c>
      <c r="U571" s="19">
        <v>0</v>
      </c>
      <c r="V571" s="20">
        <v>1</v>
      </c>
      <c r="W571" s="20">
        <v>1</v>
      </c>
      <c r="X571" s="20">
        <v>1</v>
      </c>
      <c r="Y571" s="20">
        <v>1</v>
      </c>
      <c r="Z571" s="20">
        <v>0</v>
      </c>
      <c r="AA571" s="20">
        <v>0</v>
      </c>
      <c r="AB571" s="49">
        <v>0</v>
      </c>
      <c r="AC571" s="49">
        <v>0</v>
      </c>
      <c r="AD571" s="49">
        <v>0</v>
      </c>
      <c r="AE571" s="49">
        <v>0</v>
      </c>
      <c r="AF571" s="49">
        <v>0</v>
      </c>
      <c r="AG571" s="161">
        <v>0</v>
      </c>
      <c r="AH571" s="168">
        <v>2</v>
      </c>
      <c r="AI571" s="20"/>
      <c r="AJ571" s="20"/>
      <c r="AK571" s="20"/>
      <c r="AL571" s="21"/>
      <c r="AM571" s="19">
        <v>0</v>
      </c>
      <c r="AN571" s="20" t="str">
        <f>IFERROR(INDEX([2]lijnopstellingsfiche!$AP$1:$AP$65536,MATCH(A571,[2]lijnopstellingsfiche!$AQ$1:$AQ$65536,0)),"")</f>
        <v>-</v>
      </c>
      <c r="AO571" s="20">
        <v>0</v>
      </c>
      <c r="AP571" s="20">
        <v>0</v>
      </c>
      <c r="AQ571" s="20">
        <v>0</v>
      </c>
      <c r="AR571" s="20">
        <v>0</v>
      </c>
      <c r="AS571" s="20"/>
      <c r="AT571" s="20">
        <v>0</v>
      </c>
      <c r="AU571" s="20">
        <v>0</v>
      </c>
      <c r="AV571" s="23">
        <v>1</v>
      </c>
      <c r="AW571" s="108">
        <v>0</v>
      </c>
      <c r="AX571" s="108">
        <v>0</v>
      </c>
      <c r="AY571" s="108">
        <v>0</v>
      </c>
      <c r="AZ571" s="108"/>
      <c r="BA571" s="114">
        <v>1</v>
      </c>
      <c r="BB571" s="20">
        <v>0</v>
      </c>
      <c r="BC571" s="113">
        <v>1</v>
      </c>
      <c r="BD571" s="200" t="str">
        <f>VLOOKUP($A571,'[3]allergenen 6nr'!$A$1:$O$1310,3,FALSE)</f>
        <v>-</v>
      </c>
      <c r="BE571" s="201" t="str">
        <f>VLOOKUP($A571,'[3]allergenen 6nr'!$A$1:$O$1310,4,FALSE)</f>
        <v>-</v>
      </c>
      <c r="BF571" s="201" t="str">
        <f>VLOOKUP($A571,'[3]allergenen 6nr'!$A$1:$O$1310,5,FALSE)</f>
        <v>-</v>
      </c>
      <c r="BG571" s="201" t="str">
        <f>VLOOKUP($A571,'[3]allergenen 6nr'!$A$1:$O$1310,6,FALSE)</f>
        <v>-</v>
      </c>
      <c r="BH571" s="201" t="str">
        <f>VLOOKUP($A571,'[3]allergenen 6nr'!$A$1:$O$1310,7,FALSE)</f>
        <v>-</v>
      </c>
      <c r="BI571" s="201" t="str">
        <f>VLOOKUP($A571,'[3]allergenen 6nr'!$A$1:$O$1310,8,FALSE)</f>
        <v>-</v>
      </c>
      <c r="BJ571" s="201" t="str">
        <f>VLOOKUP($A571,'[3]allergenen 6nr'!$A$1:$O$1310,9,FALSE)</f>
        <v>-</v>
      </c>
      <c r="BK571" s="201" t="str">
        <f>VLOOKUP($A571,'[3]allergenen 6nr'!$A$1:$O$1310,10,FALSE)</f>
        <v>-</v>
      </c>
      <c r="BL571" s="201" t="str">
        <f>VLOOKUP($A571,'[3]allergenen 6nr'!$A$1:$O$1310,11,FALSE)</f>
        <v>-</v>
      </c>
      <c r="BM571" s="201" t="str">
        <f>VLOOKUP($A571,'[3]allergenen 6nr'!$A$1:$O$1310,12,FALSE)</f>
        <v>-</v>
      </c>
      <c r="BN571" s="201" t="str">
        <f>VLOOKUP($A571,'[3]allergenen 6nr'!$A$1:$O$1310,13,FALSE)</f>
        <v>-</v>
      </c>
      <c r="BO571" s="201" t="str">
        <f>VLOOKUP($A571,'[3]allergenen 6nr'!$A$1:$O$1310,14,FALSE)</f>
        <v>-</v>
      </c>
      <c r="BP571" s="202" t="str">
        <f>VLOOKUP($A571,'[3]allergenen 6nr'!$A$1:$O$1310,15,FALSE)</f>
        <v>-</v>
      </c>
    </row>
    <row r="572" spans="1:68" x14ac:dyDescent="0.2">
      <c r="A572" s="126">
        <v>66000200</v>
      </c>
      <c r="B572" s="53" t="str">
        <f>VLOOKUP($A572,[1]maaltijden!$A$1:$IV$65536,4,FALSE)</f>
        <v>BOF DE FR RATATOUILLE GEGRILDE GROENTEN 2x400G</v>
      </c>
      <c r="C572" s="46" t="str">
        <f>VLOOKUP($A572,[1]maaltijden!$A$1:$IV$65536,7,FALSE)</f>
        <v>40370400 zacht</v>
      </c>
      <c r="D572" s="22" t="str">
        <f>VLOOKUP($A572,[1]maaltijden!$A$1:$IV$65536,10,FALSE)</f>
        <v>Bedrukte folie 470x300</v>
      </c>
      <c r="E572" s="22" t="str">
        <f>VLOOKUP($A572,[1]maaltijden!$A$1:$IV$65536,13,FALSE)</f>
        <v xml:space="preserve">Z8x20 </v>
      </c>
      <c r="F572" s="20">
        <v>1</v>
      </c>
      <c r="G572" s="20" t="str">
        <f>VLOOKUP($A572,[1]maaltijden!$A$1:$IV$65536,27,FALSE)</f>
        <v>-</v>
      </c>
      <c r="H572" s="22">
        <f>VLOOKUP($A572,[1]maaltijden!$A$1:$IV$65536,21,FALSE)</f>
        <v>3</v>
      </c>
      <c r="I572" s="22">
        <f>VLOOKUP($A572,[1]maaltijden!$A$1:$IV$65536,21,FALSE)</f>
        <v>3</v>
      </c>
      <c r="J572" s="22">
        <f>VLOOKUP($A572,[1]maaltijden!$A$1:$IV$65536,18,FALSE)</f>
        <v>6</v>
      </c>
      <c r="K572" s="22">
        <f>VLOOKUP($A572,[1]maaltijden!$A$1:$IV$65536,17,FALSE)</f>
        <v>1</v>
      </c>
      <c r="L572" s="22">
        <f>VLOOKUP($A572,[1]maaltijden!$A$1:$IV$65536,20,FALSE)</f>
        <v>1150</v>
      </c>
      <c r="M572" s="22">
        <f>VLOOKUP($A572,[1]maaltijden!$A$1:$IV$65536,22,FALSE)</f>
        <v>1150</v>
      </c>
      <c r="N572" s="135"/>
      <c r="O572" s="50"/>
      <c r="P572" s="19">
        <v>0</v>
      </c>
      <c r="Q572" s="20">
        <v>0</v>
      </c>
      <c r="R572" s="21">
        <v>1</v>
      </c>
      <c r="S572" s="19">
        <v>0</v>
      </c>
      <c r="T572" s="20">
        <v>1</v>
      </c>
      <c r="U572" s="19">
        <v>1</v>
      </c>
      <c r="V572" s="20">
        <v>1</v>
      </c>
      <c r="W572" s="20">
        <v>1</v>
      </c>
      <c r="X572" s="20">
        <v>1</v>
      </c>
      <c r="Y572" s="20">
        <v>1</v>
      </c>
      <c r="Z572" s="20">
        <v>0</v>
      </c>
      <c r="AA572" s="20">
        <v>0</v>
      </c>
      <c r="AB572" s="49">
        <v>0</v>
      </c>
      <c r="AC572" s="49">
        <v>0</v>
      </c>
      <c r="AD572" s="49">
        <v>0</v>
      </c>
      <c r="AE572" s="49">
        <v>0</v>
      </c>
      <c r="AF572" s="49">
        <v>0</v>
      </c>
      <c r="AG572" s="161">
        <v>0</v>
      </c>
      <c r="AH572" s="20"/>
      <c r="AI572" s="168">
        <v>2</v>
      </c>
      <c r="AJ572" s="20"/>
      <c r="AK572" s="20"/>
      <c r="AL572" s="21"/>
      <c r="AM572" s="19">
        <v>0</v>
      </c>
      <c r="AN572" s="20" t="str">
        <f>IFERROR(INDEX([2]lijnopstellingsfiche!$AP$1:$AP$65536,MATCH(A572,[2]lijnopstellingsfiche!$AQ$1:$AQ$65536,0)),"")</f>
        <v>-</v>
      </c>
      <c r="AO572" s="20">
        <v>0</v>
      </c>
      <c r="AP572" s="20">
        <v>0</v>
      </c>
      <c r="AQ572" s="20">
        <v>0</v>
      </c>
      <c r="AR572" s="20">
        <v>0</v>
      </c>
      <c r="AS572" s="20"/>
      <c r="AT572" s="20">
        <v>0</v>
      </c>
      <c r="AU572" s="20">
        <v>0</v>
      </c>
      <c r="AV572" s="23">
        <v>1</v>
      </c>
      <c r="AW572" s="108">
        <v>0</v>
      </c>
      <c r="AX572" s="108">
        <v>0</v>
      </c>
      <c r="AY572" s="108">
        <v>0</v>
      </c>
      <c r="AZ572" s="108"/>
      <c r="BA572" s="114">
        <v>1</v>
      </c>
      <c r="BB572" s="20">
        <v>0</v>
      </c>
      <c r="BC572" s="113">
        <v>1</v>
      </c>
      <c r="BD572" s="200" t="str">
        <f>VLOOKUP($A572,'[3]allergenen 6nr'!$A$1:$O$1310,3,FALSE)</f>
        <v>-</v>
      </c>
      <c r="BE572" s="201" t="str">
        <f>VLOOKUP($A572,'[3]allergenen 6nr'!$A$1:$O$1310,4,FALSE)</f>
        <v>-</v>
      </c>
      <c r="BF572" s="201" t="str">
        <f>VLOOKUP($A572,'[3]allergenen 6nr'!$A$1:$O$1310,5,FALSE)</f>
        <v>-</v>
      </c>
      <c r="BG572" s="201" t="str">
        <f>VLOOKUP($A572,'[3]allergenen 6nr'!$A$1:$O$1310,6,FALSE)</f>
        <v>-</v>
      </c>
      <c r="BH572" s="201" t="str">
        <f>VLOOKUP($A572,'[3]allergenen 6nr'!$A$1:$O$1310,7,FALSE)</f>
        <v>-</v>
      </c>
      <c r="BI572" s="201" t="str">
        <f>VLOOKUP($A572,'[3]allergenen 6nr'!$A$1:$O$1310,8,FALSE)</f>
        <v>-</v>
      </c>
      <c r="BJ572" s="201" t="str">
        <f>VLOOKUP($A572,'[3]allergenen 6nr'!$A$1:$O$1310,9,FALSE)</f>
        <v>-</v>
      </c>
      <c r="BK572" s="201" t="str">
        <f>VLOOKUP($A572,'[3]allergenen 6nr'!$A$1:$O$1310,10,FALSE)</f>
        <v>-</v>
      </c>
      <c r="BL572" s="201" t="str">
        <f>VLOOKUP($A572,'[3]allergenen 6nr'!$A$1:$O$1310,11,FALSE)</f>
        <v>-</v>
      </c>
      <c r="BM572" s="201" t="str">
        <f>VLOOKUP($A572,'[3]allergenen 6nr'!$A$1:$O$1310,12,FALSE)</f>
        <v>-</v>
      </c>
      <c r="BN572" s="201" t="str">
        <f>VLOOKUP($A572,'[3]allergenen 6nr'!$A$1:$O$1310,13,FALSE)</f>
        <v>-</v>
      </c>
      <c r="BO572" s="201" t="str">
        <f>VLOOKUP($A572,'[3]allergenen 6nr'!$A$1:$O$1310,14,FALSE)</f>
        <v>-</v>
      </c>
      <c r="BP572" s="202" t="str">
        <f>VLOOKUP($A572,'[3]allergenen 6nr'!$A$1:$O$1310,15,FALSE)</f>
        <v>-</v>
      </c>
    </row>
    <row r="573" spans="1:68" x14ac:dyDescent="0.2">
      <c r="A573" s="54">
        <v>66200100</v>
      </c>
      <c r="B573" s="53" t="str">
        <f>VLOOKUP($A573,[1]maaltijden!$A$1:$IV$65536,4,FALSE)</f>
        <v>BOF DE KIPFILET PAPRIKAROOMSAUS 2X250G</v>
      </c>
      <c r="C573" s="46" t="str">
        <f>VLOOKUP($A573,[1]maaltijden!$A$1:$IV$65536,7,FALSE)</f>
        <v>40370400 zacht</v>
      </c>
      <c r="D573" s="22" t="str">
        <f>VLOOKUP($A573,[1]maaltijden!$A$1:$IV$65536,10,FALSE)</f>
        <v>Bedrukte folie 420x240</v>
      </c>
      <c r="E573" s="22" t="str">
        <f>VLOOKUP($A573,[1]maaltijden!$A$1:$IV$65536,13,FALSE)</f>
        <v xml:space="preserve">Z8x20 </v>
      </c>
      <c r="F573" s="20">
        <v>1</v>
      </c>
      <c r="G573" s="20" t="str">
        <f>VLOOKUP($A573,[1]maaltijden!$A$1:$IV$65536,27,FALSE)</f>
        <v>! !</v>
      </c>
      <c r="H573" s="22">
        <f>VLOOKUP($A573,[1]maaltijden!$A$1:$IV$65536,21,FALSE)</f>
        <v>5</v>
      </c>
      <c r="I573" s="22">
        <f>VLOOKUP($A573,[1]maaltijden!$A$1:$IV$65536,21,FALSE)</f>
        <v>5</v>
      </c>
      <c r="J573" s="22">
        <f>VLOOKUP($A573,[1]maaltijden!$A$1:$IV$65536,18,FALSE)</f>
        <v>6</v>
      </c>
      <c r="K573" s="22">
        <f>VLOOKUP($A573,[1]maaltijden!$A$1:$IV$65536,17,FALSE)</f>
        <v>1</v>
      </c>
      <c r="L573" s="22">
        <f>VLOOKUP($A573,[1]maaltijden!$A$1:$IV$65536,20,FALSE)</f>
        <v>2300</v>
      </c>
      <c r="M573" s="22">
        <f>VLOOKUP($A573,[1]maaltijden!$A$1:$IV$65536,22,FALSE)</f>
        <v>2300</v>
      </c>
      <c r="N573" s="135"/>
      <c r="O573" s="50"/>
      <c r="P573" s="19">
        <v>0</v>
      </c>
      <c r="Q573" s="20">
        <v>0</v>
      </c>
      <c r="R573" s="21">
        <v>1</v>
      </c>
      <c r="S573" s="19">
        <v>0</v>
      </c>
      <c r="T573" s="20">
        <v>1</v>
      </c>
      <c r="U573" s="19">
        <v>1</v>
      </c>
      <c r="V573" s="20">
        <v>1</v>
      </c>
      <c r="W573" s="20">
        <v>1</v>
      </c>
      <c r="X573" s="20">
        <v>1</v>
      </c>
      <c r="Y573" s="20">
        <v>1</v>
      </c>
      <c r="Z573" s="20">
        <v>0</v>
      </c>
      <c r="AA573" s="20">
        <v>0</v>
      </c>
      <c r="AB573" s="49">
        <v>0</v>
      </c>
      <c r="AC573" s="49">
        <v>0</v>
      </c>
      <c r="AD573" s="49">
        <v>0</v>
      </c>
      <c r="AE573" s="49">
        <v>0</v>
      </c>
      <c r="AF573" s="49">
        <v>0</v>
      </c>
      <c r="AG573" s="161">
        <v>0</v>
      </c>
      <c r="AH573" s="168">
        <v>2</v>
      </c>
      <c r="AI573" s="20"/>
      <c r="AJ573" s="20"/>
      <c r="AK573" s="20"/>
      <c r="AL573" s="21"/>
      <c r="AM573" s="19">
        <v>0</v>
      </c>
      <c r="AN573" s="20" t="str">
        <f>IFERROR(INDEX([2]lijnopstellingsfiche!$AP$1:$AP$65536,MATCH(A573,[2]lijnopstellingsfiche!$AQ$1:$AQ$65536,0)),"")</f>
        <v>-</v>
      </c>
      <c r="AO573" s="20">
        <v>0</v>
      </c>
      <c r="AP573" s="20">
        <v>0</v>
      </c>
      <c r="AQ573" s="20">
        <v>0</v>
      </c>
      <c r="AR573" s="20">
        <v>0</v>
      </c>
      <c r="AS573" s="20"/>
      <c r="AT573" s="20">
        <v>0</v>
      </c>
      <c r="AU573" s="20">
        <v>0</v>
      </c>
      <c r="AV573" s="23">
        <v>1</v>
      </c>
      <c r="AW573" s="108">
        <v>0</v>
      </c>
      <c r="AX573" s="108">
        <v>0</v>
      </c>
      <c r="AY573" s="108">
        <v>0</v>
      </c>
      <c r="AZ573" s="108"/>
      <c r="BA573" s="114">
        <v>1</v>
      </c>
      <c r="BB573" s="20">
        <v>0</v>
      </c>
      <c r="BC573" s="113">
        <v>1</v>
      </c>
      <c r="BD573" s="200" t="str">
        <f>VLOOKUP($A573,'[3]allergenen 6nr'!$A$1:$O$1310,3,FALSE)</f>
        <v>-</v>
      </c>
      <c r="BE573" s="201" t="str">
        <f>VLOOKUP($A573,'[3]allergenen 6nr'!$A$1:$O$1310,4,FALSE)</f>
        <v>X</v>
      </c>
      <c r="BF573" s="201" t="str">
        <f>VLOOKUP($A573,'[3]allergenen 6nr'!$A$1:$O$1310,5,FALSE)</f>
        <v>-</v>
      </c>
      <c r="BG573" s="201" t="str">
        <f>VLOOKUP($A573,'[3]allergenen 6nr'!$A$1:$O$1310,6,FALSE)</f>
        <v>-</v>
      </c>
      <c r="BH573" s="201" t="str">
        <f>VLOOKUP($A573,'[3]allergenen 6nr'!$A$1:$O$1310,7,FALSE)</f>
        <v>+</v>
      </c>
      <c r="BI573" s="201" t="str">
        <f>VLOOKUP($A573,'[3]allergenen 6nr'!$A$1:$O$1310,8,FALSE)</f>
        <v>-</v>
      </c>
      <c r="BJ573" s="201" t="str">
        <f>VLOOKUP($A573,'[3]allergenen 6nr'!$A$1:$O$1310,9,FALSE)</f>
        <v>-</v>
      </c>
      <c r="BK573" s="201" t="str">
        <f>VLOOKUP($A573,'[3]allergenen 6nr'!$A$1:$O$1310,10,FALSE)</f>
        <v>-</v>
      </c>
      <c r="BL573" s="201" t="str">
        <f>VLOOKUP($A573,'[3]allergenen 6nr'!$A$1:$O$1310,11,FALSE)</f>
        <v>-</v>
      </c>
      <c r="BM573" s="201" t="str">
        <f>VLOOKUP($A573,'[3]allergenen 6nr'!$A$1:$O$1310,12,FALSE)</f>
        <v>-</v>
      </c>
      <c r="BN573" s="201" t="str">
        <f>VLOOKUP($A573,'[3]allergenen 6nr'!$A$1:$O$1310,13,FALSE)</f>
        <v>-</v>
      </c>
      <c r="BO573" s="201" t="str">
        <f>VLOOKUP($A573,'[3]allergenen 6nr'!$A$1:$O$1310,14,FALSE)</f>
        <v>-</v>
      </c>
      <c r="BP573" s="202" t="str">
        <f>VLOOKUP($A573,'[3]allergenen 6nr'!$A$1:$O$1310,15,FALSE)</f>
        <v>-</v>
      </c>
    </row>
    <row r="574" spans="1:68" x14ac:dyDescent="0.2">
      <c r="A574" s="54">
        <v>66700000</v>
      </c>
      <c r="B574" s="53" t="str">
        <f>VLOOKUP($A574,[1]maaltijden!$A$1:$IV$65536,4,FALSE)</f>
        <v>LIDL DE ZALM ASC DILLE RIJST 400G(VR MIXED KARTON)</v>
      </c>
      <c r="C574" s="46" t="str">
        <f>VLOOKUP($A574,[1]maaltijden!$A$1:$IV$65536,7,FALSE)</f>
        <v>UK59 KRAFT</v>
      </c>
      <c r="D574" s="22" t="str">
        <f>VLOOKUP($A574,[1]maaltijden!$A$1:$IV$65536,10,FALSE)</f>
        <v>H23</v>
      </c>
      <c r="E574" s="22" t="str">
        <f>VLOOKUP($A574,[1]maaltijden!$A$1:$IV$65536,13,FALSE)</f>
        <v>H11X24</v>
      </c>
      <c r="F574" s="20">
        <v>1</v>
      </c>
      <c r="G574" s="20" t="str">
        <f>VLOOKUP($A574,[1]maaltijden!$A$1:$IV$65536,27,FALSE)</f>
        <v>! ! ! !</v>
      </c>
      <c r="H574" s="22">
        <f>VLOOKUP($A574,[1]maaltijden!$A$1:$IV$65536,21,FALSE)</f>
        <v>6</v>
      </c>
      <c r="I574" s="22">
        <f>VLOOKUP($A574,[1]maaltijden!$A$1:$IV$65536,21,FALSE)</f>
        <v>6</v>
      </c>
      <c r="J574" s="22">
        <f>VLOOKUP($A574,[1]maaltijden!$A$1:$IV$65536,18,FALSE)</f>
        <v>2</v>
      </c>
      <c r="K574" s="22">
        <f>VLOOKUP($A574,[1]maaltijden!$A$1:$IV$65536,17,FALSE)</f>
        <v>3</v>
      </c>
      <c r="L574" s="22">
        <f>VLOOKUP($A574,[1]maaltijden!$A$1:$IV$65536,20,FALSE)</f>
        <v>3500</v>
      </c>
      <c r="M574" s="22">
        <f>VLOOKUP($A574,[1]maaltijden!$A$1:$IV$65536,22,FALSE)</f>
        <v>3500</v>
      </c>
      <c r="N574" s="135"/>
      <c r="O574" s="50"/>
      <c r="P574" s="19">
        <v>1</v>
      </c>
      <c r="Q574" s="20">
        <v>2</v>
      </c>
      <c r="R574" s="21">
        <v>0</v>
      </c>
      <c r="S574" s="19">
        <v>1</v>
      </c>
      <c r="T574" s="20">
        <v>1</v>
      </c>
      <c r="U574" s="19"/>
      <c r="V574" s="20"/>
      <c r="W574" s="20"/>
      <c r="X574" s="20"/>
      <c r="Y574" s="20"/>
      <c r="Z574" s="20"/>
      <c r="AA574" s="20"/>
      <c r="AB574" s="49"/>
      <c r="AC574" s="49"/>
      <c r="AD574" s="49"/>
      <c r="AE574" s="49"/>
      <c r="AF574" s="49"/>
      <c r="AG574" s="161">
        <v>1</v>
      </c>
      <c r="AH574" s="168">
        <v>1</v>
      </c>
      <c r="AI574" s="20"/>
      <c r="AJ574" s="20"/>
      <c r="AK574" s="20"/>
      <c r="AL574" s="21"/>
      <c r="AM574" s="19">
        <v>1</v>
      </c>
      <c r="AN574" s="20" t="str">
        <f>IFERROR(INDEX([2]lijnopstellingsfiche!$AP$1:$AP$65536,MATCH(A574,[2]lijnopstellingsfiche!$AQ$1:$AQ$65536,0)),"")</f>
        <v>-</v>
      </c>
      <c r="AO574" s="20">
        <v>0</v>
      </c>
      <c r="AP574" s="20">
        <v>0</v>
      </c>
      <c r="AQ574" s="20">
        <v>2</v>
      </c>
      <c r="AR574" s="20">
        <v>0</v>
      </c>
      <c r="AS574" s="20"/>
      <c r="AT574" s="20">
        <v>0</v>
      </c>
      <c r="AU574" s="20">
        <v>0</v>
      </c>
      <c r="AV574" s="23">
        <v>0</v>
      </c>
      <c r="AW574" s="108"/>
      <c r="AX574" s="108"/>
      <c r="AY574" s="108"/>
      <c r="AZ574" s="108"/>
      <c r="BA574" s="114"/>
      <c r="BB574" s="20"/>
      <c r="BC574" s="113"/>
      <c r="BD574" s="200" t="str">
        <f>VLOOKUP($A574,'[3]allergenen 6nr'!$A$1:$O$1310,3,FALSE)</f>
        <v>-</v>
      </c>
      <c r="BE574" s="201" t="str">
        <f>VLOOKUP($A574,'[3]allergenen 6nr'!$A$1:$O$1310,4,FALSE)</f>
        <v>-</v>
      </c>
      <c r="BF574" s="201" t="str">
        <f>VLOOKUP($A574,'[3]allergenen 6nr'!$A$1:$O$1310,5,FALSE)</f>
        <v>+</v>
      </c>
      <c r="BG574" s="201" t="str">
        <f>VLOOKUP($A574,'[3]allergenen 6nr'!$A$1:$O$1310,6,FALSE)</f>
        <v>-</v>
      </c>
      <c r="BH574" s="201" t="str">
        <f>VLOOKUP($A574,'[3]allergenen 6nr'!$A$1:$O$1310,7,FALSE)</f>
        <v>+</v>
      </c>
      <c r="BI574" s="201" t="str">
        <f>VLOOKUP($A574,'[3]allergenen 6nr'!$A$1:$O$1310,8,FALSE)</f>
        <v>-</v>
      </c>
      <c r="BJ574" s="201" t="str">
        <f>VLOOKUP($A574,'[3]allergenen 6nr'!$A$1:$O$1310,9,FALSE)</f>
        <v>-</v>
      </c>
      <c r="BK574" s="201" t="str">
        <f>VLOOKUP($A574,'[3]allergenen 6nr'!$A$1:$O$1310,10,FALSE)</f>
        <v>X</v>
      </c>
      <c r="BL574" s="201" t="str">
        <f>VLOOKUP($A574,'[3]allergenen 6nr'!$A$1:$O$1310,11,FALSE)</f>
        <v>+</v>
      </c>
      <c r="BM574" s="201" t="str">
        <f>VLOOKUP($A574,'[3]allergenen 6nr'!$A$1:$O$1310,12,FALSE)</f>
        <v>-</v>
      </c>
      <c r="BN574" s="201" t="str">
        <f>VLOOKUP($A574,'[3]allergenen 6nr'!$A$1:$O$1310,13,FALSE)</f>
        <v>X</v>
      </c>
      <c r="BO574" s="201" t="str">
        <f>VLOOKUP($A574,'[3]allergenen 6nr'!$A$1:$O$1310,14,FALSE)</f>
        <v>+</v>
      </c>
      <c r="BP574" s="202" t="str">
        <f>VLOOKUP($A574,'[3]allergenen 6nr'!$A$1:$O$1310,15,FALSE)</f>
        <v>X</v>
      </c>
    </row>
    <row r="575" spans="1:68" x14ac:dyDescent="0.2">
      <c r="A575" s="54">
        <v>66700100</v>
      </c>
      <c r="B575" s="53" t="str">
        <f>VLOOKUP($A575,[1]maaltijden!$A$1:$IV$65536,4,FALSE)</f>
        <v>LIDL DE KABELJ MSC MOSTERD STAMPPOT 400G(VR MIXED KARTON)</v>
      </c>
      <c r="C575" s="46" t="str">
        <f>VLOOKUP($A575,[1]maaltijden!$A$1:$IV$65536,7,FALSE)</f>
        <v>UK59 KRAFT</v>
      </c>
      <c r="D575" s="22" t="str">
        <f>VLOOKUP($A575,[1]maaltijden!$A$1:$IV$65536,10,FALSE)</f>
        <v>H23</v>
      </c>
      <c r="E575" s="22" t="str">
        <f>VLOOKUP($A575,[1]maaltijden!$A$1:$IV$65536,13,FALSE)</f>
        <v>H11X24</v>
      </c>
      <c r="F575" s="20">
        <v>1</v>
      </c>
      <c r="G575" s="20" t="str">
        <f>VLOOKUP($A575,[1]maaltijden!$A$1:$IV$65536,27,FALSE)</f>
        <v>! ! ! !</v>
      </c>
      <c r="H575" s="22">
        <f>VLOOKUP($A575,[1]maaltijden!$A$1:$IV$65536,21,FALSE)</f>
        <v>4</v>
      </c>
      <c r="I575" s="22">
        <f>VLOOKUP($A575,[1]maaltijden!$A$1:$IV$65536,21,FALSE)</f>
        <v>4</v>
      </c>
      <c r="J575" s="22">
        <f>VLOOKUP($A575,[1]maaltijden!$A$1:$IV$65536,18,FALSE)</f>
        <v>2</v>
      </c>
      <c r="K575" s="22">
        <f>VLOOKUP($A575,[1]maaltijden!$A$1:$IV$65536,17,FALSE)</f>
        <v>2</v>
      </c>
      <c r="L575" s="22">
        <f>VLOOKUP($A575,[1]maaltijden!$A$1:$IV$65536,20,FALSE)</f>
        <v>3500</v>
      </c>
      <c r="M575" s="22">
        <f>VLOOKUP($A575,[1]maaltijden!$A$1:$IV$65536,22,FALSE)</f>
        <v>3500</v>
      </c>
      <c r="N575" s="135"/>
      <c r="O575" s="50"/>
      <c r="P575" s="19">
        <v>1</v>
      </c>
      <c r="Q575" s="20">
        <v>2</v>
      </c>
      <c r="R575" s="21">
        <v>0</v>
      </c>
      <c r="S575" s="19">
        <v>1</v>
      </c>
      <c r="T575" s="20">
        <v>1</v>
      </c>
      <c r="U575" s="19"/>
      <c r="V575" s="20"/>
      <c r="W575" s="20"/>
      <c r="X575" s="20"/>
      <c r="Y575" s="20"/>
      <c r="Z575" s="20"/>
      <c r="AA575" s="20"/>
      <c r="AB575" s="49"/>
      <c r="AC575" s="49"/>
      <c r="AD575" s="49"/>
      <c r="AE575" s="49"/>
      <c r="AF575" s="49"/>
      <c r="AG575" s="161">
        <v>0</v>
      </c>
      <c r="AH575" s="168">
        <v>2</v>
      </c>
      <c r="AI575" s="168">
        <v>1</v>
      </c>
      <c r="AJ575" s="20"/>
      <c r="AK575" s="20"/>
      <c r="AL575" s="21"/>
      <c r="AM575" s="19">
        <v>0</v>
      </c>
      <c r="AN575" s="20" t="str">
        <f>IFERROR(INDEX([2]lijnopstellingsfiche!$AP$1:$AP$65536,MATCH(A575,[2]lijnopstellingsfiche!$AQ$1:$AQ$65536,0)),"")</f>
        <v>-</v>
      </c>
      <c r="AO575" s="20">
        <v>0</v>
      </c>
      <c r="AP575" s="20">
        <v>0</v>
      </c>
      <c r="AQ575" s="20">
        <v>2</v>
      </c>
      <c r="AR575" s="20">
        <v>2</v>
      </c>
      <c r="AS575" s="20"/>
      <c r="AT575" s="20">
        <v>0</v>
      </c>
      <c r="AU575" s="20">
        <v>0</v>
      </c>
      <c r="AV575" s="23">
        <v>0</v>
      </c>
      <c r="AW575" s="108"/>
      <c r="AX575" s="108"/>
      <c r="AY575" s="108"/>
      <c r="AZ575" s="108"/>
      <c r="BA575" s="114"/>
      <c r="BB575" s="20"/>
      <c r="BC575" s="113"/>
      <c r="BD575" s="200" t="str">
        <f>VLOOKUP($A575,'[3]allergenen 6nr'!$A$1:$O$1310,3,FALSE)</f>
        <v>-</v>
      </c>
      <c r="BE575" s="201" t="str">
        <f>VLOOKUP($A575,'[3]allergenen 6nr'!$A$1:$O$1310,4,FALSE)</f>
        <v>-</v>
      </c>
      <c r="BF575" s="201" t="str">
        <f>VLOOKUP($A575,'[3]allergenen 6nr'!$A$1:$O$1310,5,FALSE)</f>
        <v>+</v>
      </c>
      <c r="BG575" s="201" t="str">
        <f>VLOOKUP($A575,'[3]allergenen 6nr'!$A$1:$O$1310,6,FALSE)</f>
        <v>-</v>
      </c>
      <c r="BH575" s="201" t="str">
        <f>VLOOKUP($A575,'[3]allergenen 6nr'!$A$1:$O$1310,7,FALSE)</f>
        <v>+</v>
      </c>
      <c r="BI575" s="201" t="str">
        <f>VLOOKUP($A575,'[3]allergenen 6nr'!$A$1:$O$1310,8,FALSE)</f>
        <v>+</v>
      </c>
      <c r="BJ575" s="201" t="str">
        <f>VLOOKUP($A575,'[3]allergenen 6nr'!$A$1:$O$1310,9,FALSE)</f>
        <v>-</v>
      </c>
      <c r="BK575" s="201" t="str">
        <f>VLOOKUP($A575,'[3]allergenen 6nr'!$A$1:$O$1310,10,FALSE)</f>
        <v>X</v>
      </c>
      <c r="BL575" s="201" t="str">
        <f>VLOOKUP($A575,'[3]allergenen 6nr'!$A$1:$O$1310,11,FALSE)</f>
        <v>+</v>
      </c>
      <c r="BM575" s="201" t="str">
        <f>VLOOKUP($A575,'[3]allergenen 6nr'!$A$1:$O$1310,12,FALSE)</f>
        <v>-</v>
      </c>
      <c r="BN575" s="201" t="str">
        <f>VLOOKUP($A575,'[3]allergenen 6nr'!$A$1:$O$1310,13,FALSE)</f>
        <v>X</v>
      </c>
      <c r="BO575" s="201" t="str">
        <f>VLOOKUP($A575,'[3]allergenen 6nr'!$A$1:$O$1310,14,FALSE)</f>
        <v>+</v>
      </c>
      <c r="BP575" s="202" t="str">
        <f>VLOOKUP($A575,'[3]allergenen 6nr'!$A$1:$O$1310,15,FALSE)</f>
        <v>X</v>
      </c>
    </row>
    <row r="576" spans="1:68" x14ac:dyDescent="0.2">
      <c r="A576" s="54">
        <v>66700200</v>
      </c>
      <c r="B576" s="53" t="str">
        <f>VLOOKUP($A576,[1]maaltijden!$A$1:$IV$65536,4,FALSE)</f>
        <v>LIDL DE BALLETJES ZWEEDSE SAUS PUREE 400G(VR MIXED KARTON)</v>
      </c>
      <c r="C576" s="46" t="str">
        <f>VLOOKUP($A576,[1]maaltijden!$A$1:$IV$65536,7,FALSE)</f>
        <v>UK59 KRAFT</v>
      </c>
      <c r="D576" s="22" t="str">
        <f>VLOOKUP($A576,[1]maaltijden!$A$1:$IV$65536,10,FALSE)</f>
        <v>H23</v>
      </c>
      <c r="E576" s="22" t="str">
        <f>VLOOKUP($A576,[1]maaltijden!$A$1:$IV$65536,13,FALSE)</f>
        <v>H11X24</v>
      </c>
      <c r="F576" s="20">
        <v>1</v>
      </c>
      <c r="G576" s="20" t="str">
        <f>VLOOKUP($A576,[1]maaltijden!$A$1:$IV$65536,27,FALSE)</f>
        <v>! !</v>
      </c>
      <c r="H576" s="22">
        <f>VLOOKUP($A576,[1]maaltijden!$A$1:$IV$65536,21,FALSE)</f>
        <v>3</v>
      </c>
      <c r="I576" s="22">
        <f>VLOOKUP($A576,[1]maaltijden!$A$1:$IV$65536,21,FALSE)</f>
        <v>3</v>
      </c>
      <c r="J576" s="22">
        <f>VLOOKUP($A576,[1]maaltijden!$A$1:$IV$65536,18,FALSE)</f>
        <v>2</v>
      </c>
      <c r="K576" s="22">
        <f>VLOOKUP($A576,[1]maaltijden!$A$1:$IV$65536,17,FALSE)</f>
        <v>2</v>
      </c>
      <c r="L576" s="22">
        <f>VLOOKUP($A576,[1]maaltijden!$A$1:$IV$65536,20,FALSE)</f>
        <v>3500</v>
      </c>
      <c r="M576" s="22">
        <f>VLOOKUP($A576,[1]maaltijden!$A$1:$IV$65536,22,FALSE)</f>
        <v>3500</v>
      </c>
      <c r="N576" s="135"/>
      <c r="O576" s="50"/>
      <c r="P576" s="19">
        <v>1</v>
      </c>
      <c r="Q576" s="20">
        <v>2</v>
      </c>
      <c r="R576" s="21">
        <v>0</v>
      </c>
      <c r="S576" s="19">
        <v>1</v>
      </c>
      <c r="T576" s="20">
        <v>1</v>
      </c>
      <c r="U576" s="19"/>
      <c r="V576" s="20"/>
      <c r="W576" s="20"/>
      <c r="X576" s="20"/>
      <c r="Y576" s="20"/>
      <c r="Z576" s="20"/>
      <c r="AA576" s="20"/>
      <c r="AB576" s="49"/>
      <c r="AC576" s="49"/>
      <c r="AD576" s="49"/>
      <c r="AE576" s="49"/>
      <c r="AF576" s="49"/>
      <c r="AG576" s="161">
        <v>0</v>
      </c>
      <c r="AH576" s="168">
        <v>2</v>
      </c>
      <c r="AI576" s="20"/>
      <c r="AJ576" s="20"/>
      <c r="AK576" s="20"/>
      <c r="AL576" s="21"/>
      <c r="AM576" s="19">
        <v>0</v>
      </c>
      <c r="AN576" s="20" t="str">
        <f>IFERROR(INDEX([2]lijnopstellingsfiche!$AP$1:$AP$65536,MATCH(A576,[2]lijnopstellingsfiche!$AQ$1:$AQ$65536,0)),"")</f>
        <v>-</v>
      </c>
      <c r="AO576" s="20">
        <v>0</v>
      </c>
      <c r="AP576" s="20">
        <v>0</v>
      </c>
      <c r="AQ576" s="20">
        <v>2</v>
      </c>
      <c r="AR576" s="20">
        <v>2</v>
      </c>
      <c r="AS576" s="20">
        <v>1</v>
      </c>
      <c r="AT576" s="20">
        <v>0</v>
      </c>
      <c r="AU576" s="20">
        <v>0</v>
      </c>
      <c r="AV576" s="23">
        <v>0</v>
      </c>
      <c r="AW576" s="108"/>
      <c r="AX576" s="108"/>
      <c r="AY576" s="108"/>
      <c r="AZ576" s="108"/>
      <c r="BA576" s="114"/>
      <c r="BB576" s="20"/>
      <c r="BC576" s="113"/>
      <c r="BD576" s="200" t="str">
        <f>VLOOKUP($A576,'[3]allergenen 6nr'!$A$1:$O$1310,3,FALSE)</f>
        <v>-</v>
      </c>
      <c r="BE576" s="201" t="str">
        <f>VLOOKUP($A576,'[3]allergenen 6nr'!$A$1:$O$1310,4,FALSE)</f>
        <v>X</v>
      </c>
      <c r="BF576" s="201" t="str">
        <f>VLOOKUP($A576,'[3]allergenen 6nr'!$A$1:$O$1310,5,FALSE)</f>
        <v>+</v>
      </c>
      <c r="BG576" s="201" t="str">
        <f>VLOOKUP($A576,'[3]allergenen 6nr'!$A$1:$O$1310,6,FALSE)</f>
        <v>-</v>
      </c>
      <c r="BH576" s="201" t="str">
        <f>VLOOKUP($A576,'[3]allergenen 6nr'!$A$1:$O$1310,7,FALSE)</f>
        <v>+</v>
      </c>
      <c r="BI576" s="201" t="str">
        <f>VLOOKUP($A576,'[3]allergenen 6nr'!$A$1:$O$1310,8,FALSE)</f>
        <v>X</v>
      </c>
      <c r="BJ576" s="201" t="str">
        <f>VLOOKUP($A576,'[3]allergenen 6nr'!$A$1:$O$1310,9,FALSE)</f>
        <v>X</v>
      </c>
      <c r="BK576" s="201" t="str">
        <f>VLOOKUP($A576,'[3]allergenen 6nr'!$A$1:$O$1310,10,FALSE)</f>
        <v>X</v>
      </c>
      <c r="BL576" s="201" t="str">
        <f>VLOOKUP($A576,'[3]allergenen 6nr'!$A$1:$O$1310,11,FALSE)</f>
        <v>X</v>
      </c>
      <c r="BM576" s="201" t="str">
        <f>VLOOKUP($A576,'[3]allergenen 6nr'!$A$1:$O$1310,12,FALSE)</f>
        <v>-</v>
      </c>
      <c r="BN576" s="201" t="str">
        <f>VLOOKUP($A576,'[3]allergenen 6nr'!$A$1:$O$1310,13,FALSE)</f>
        <v>X</v>
      </c>
      <c r="BO576" s="201" t="str">
        <f>VLOOKUP($A576,'[3]allergenen 6nr'!$A$1:$O$1310,14,FALSE)</f>
        <v>X</v>
      </c>
      <c r="BP576" s="202" t="str">
        <f>VLOOKUP($A576,'[3]allergenen 6nr'!$A$1:$O$1310,15,FALSE)</f>
        <v>X</v>
      </c>
    </row>
    <row r="577" spans="1:68" x14ac:dyDescent="0.2">
      <c r="A577" s="54">
        <v>66700300</v>
      </c>
      <c r="B577" s="53" t="str">
        <f>VLOOKUP($A577,[1]maaltijden!$A$1:$IV$65536,4,FALSE)</f>
        <v>LIDL DE RISOTTO KIP CHAMPIGNON 400G(VR MIXED KARTON)</v>
      </c>
      <c r="C577" s="46" t="str">
        <f>VLOOKUP($A577,[1]maaltijden!$A$1:$IV$65536,7,FALSE)</f>
        <v>UK59 KRAFT</v>
      </c>
      <c r="D577" s="22" t="str">
        <f>VLOOKUP($A577,[1]maaltijden!$A$1:$IV$65536,10,FALSE)</f>
        <v>H23</v>
      </c>
      <c r="E577" s="22" t="str">
        <f>VLOOKUP($A577,[1]maaltijden!$A$1:$IV$65536,13,FALSE)</f>
        <v>H11X24</v>
      </c>
      <c r="F577" s="20">
        <v>1</v>
      </c>
      <c r="G577" s="20" t="str">
        <f>VLOOKUP($A577,[1]maaltijden!$A$1:$IV$65536,27,FALSE)</f>
        <v>! !</v>
      </c>
      <c r="H577" s="22">
        <f>VLOOKUP($A577,[1]maaltijden!$A$1:$IV$65536,21,FALSE)</f>
        <v>3</v>
      </c>
      <c r="I577" s="22">
        <f>VLOOKUP($A577,[1]maaltijden!$A$1:$IV$65536,21,FALSE)</f>
        <v>3</v>
      </c>
      <c r="J577" s="22">
        <f>VLOOKUP($A577,[1]maaltijden!$A$1:$IV$65536,18,FALSE)</f>
        <v>2</v>
      </c>
      <c r="K577" s="22">
        <f>VLOOKUP($A577,[1]maaltijden!$A$1:$IV$65536,17,FALSE)</f>
        <v>3</v>
      </c>
      <c r="L577" s="22">
        <f>VLOOKUP($A577,[1]maaltijden!$A$1:$IV$65536,20,FALSE)</f>
        <v>3500</v>
      </c>
      <c r="M577" s="22">
        <f>VLOOKUP($A577,[1]maaltijden!$A$1:$IV$65536,22,FALSE)</f>
        <v>3500</v>
      </c>
      <c r="N577" s="135"/>
      <c r="O577" s="50"/>
      <c r="P577" s="19">
        <v>1</v>
      </c>
      <c r="Q577" s="20">
        <v>2</v>
      </c>
      <c r="R577" s="21">
        <v>0</v>
      </c>
      <c r="S577" s="19">
        <v>1</v>
      </c>
      <c r="T577" s="20">
        <v>1</v>
      </c>
      <c r="U577" s="19"/>
      <c r="V577" s="20"/>
      <c r="W577" s="20"/>
      <c r="X577" s="20"/>
      <c r="Y577" s="20"/>
      <c r="Z577" s="20"/>
      <c r="AA577" s="20"/>
      <c r="AB577" s="49"/>
      <c r="AC577" s="49"/>
      <c r="AD577" s="49"/>
      <c r="AE577" s="49"/>
      <c r="AF577" s="49"/>
      <c r="AG577" s="161">
        <v>1</v>
      </c>
      <c r="AH577" s="168">
        <v>1</v>
      </c>
      <c r="AI577" s="168">
        <v>1</v>
      </c>
      <c r="AJ577" s="20"/>
      <c r="AK577" s="20"/>
      <c r="AL577" s="21"/>
      <c r="AM577" s="19">
        <v>1</v>
      </c>
      <c r="AN577" s="20" t="str">
        <f>IFERROR(INDEX([2]lijnopstellingsfiche!$AP$1:$AP$65536,MATCH(A577,[2]lijnopstellingsfiche!$AQ$1:$AQ$65536,0)),"")</f>
        <v>-</v>
      </c>
      <c r="AO577" s="20">
        <v>0</v>
      </c>
      <c r="AP577" s="20">
        <v>1</v>
      </c>
      <c r="AQ577" s="20">
        <v>2</v>
      </c>
      <c r="AR577" s="20">
        <v>0</v>
      </c>
      <c r="AS577" s="20">
        <v>1</v>
      </c>
      <c r="AT577" s="20">
        <v>0</v>
      </c>
      <c r="AU577" s="20">
        <v>0</v>
      </c>
      <c r="AV577" s="23">
        <v>0</v>
      </c>
      <c r="AW577" s="108"/>
      <c r="AX577" s="108"/>
      <c r="AY577" s="108"/>
      <c r="AZ577" s="108"/>
      <c r="BA577" s="114"/>
      <c r="BB577" s="20"/>
      <c r="BC577" s="113"/>
      <c r="BD577" s="200" t="str">
        <f>VLOOKUP($A577,'[3]allergenen 6nr'!$A$1:$O$1310,3,FALSE)</f>
        <v>-</v>
      </c>
      <c r="BE577" s="201" t="str">
        <f>VLOOKUP($A577,'[3]allergenen 6nr'!$A$1:$O$1310,4,FALSE)</f>
        <v>-</v>
      </c>
      <c r="BF577" s="201" t="str">
        <f>VLOOKUP($A577,'[3]allergenen 6nr'!$A$1:$O$1310,5,FALSE)</f>
        <v>X</v>
      </c>
      <c r="BG577" s="201" t="str">
        <f>VLOOKUP($A577,'[3]allergenen 6nr'!$A$1:$O$1310,6,FALSE)</f>
        <v>-</v>
      </c>
      <c r="BH577" s="201" t="str">
        <f>VLOOKUP($A577,'[3]allergenen 6nr'!$A$1:$O$1310,7,FALSE)</f>
        <v>+</v>
      </c>
      <c r="BI577" s="201" t="str">
        <f>VLOOKUP($A577,'[3]allergenen 6nr'!$A$1:$O$1310,8,FALSE)</f>
        <v>X</v>
      </c>
      <c r="BJ577" s="201" t="str">
        <f>VLOOKUP($A577,'[3]allergenen 6nr'!$A$1:$O$1310,9,FALSE)</f>
        <v>-</v>
      </c>
      <c r="BK577" s="201" t="str">
        <f>VLOOKUP($A577,'[3]allergenen 6nr'!$A$1:$O$1310,10,FALSE)</f>
        <v>-</v>
      </c>
      <c r="BL577" s="201" t="str">
        <f>VLOOKUP($A577,'[3]allergenen 6nr'!$A$1:$O$1310,11,FALSE)</f>
        <v>X</v>
      </c>
      <c r="BM577" s="201" t="str">
        <f>VLOOKUP($A577,'[3]allergenen 6nr'!$A$1:$O$1310,12,FALSE)</f>
        <v>-</v>
      </c>
      <c r="BN577" s="201" t="str">
        <f>VLOOKUP($A577,'[3]allergenen 6nr'!$A$1:$O$1310,13,FALSE)</f>
        <v>-</v>
      </c>
      <c r="BO577" s="201" t="str">
        <f>VLOOKUP($A577,'[3]allergenen 6nr'!$A$1:$O$1310,14,FALSE)</f>
        <v>-</v>
      </c>
      <c r="BP577" s="202" t="str">
        <f>VLOOKUP($A577,'[3]allergenen 6nr'!$A$1:$O$1310,15,FALSE)</f>
        <v>-</v>
      </c>
    </row>
    <row r="578" spans="1:68" x14ac:dyDescent="0.2">
      <c r="A578" s="54">
        <v>66700400</v>
      </c>
      <c r="B578" s="53" t="str">
        <f>VLOOKUP($A578,[1]maaltijden!$A$1:$IV$65536,4,FALSE)</f>
        <v>LIDL DE KIP HONING MANGO AARDAPSCHIJF 400G(VR MIXED KARTON)</v>
      </c>
      <c r="C578" s="46" t="str">
        <f>VLOOKUP($A578,[1]maaltijden!$A$1:$IV$65536,7,FALSE)</f>
        <v>UK59 KRAFT</v>
      </c>
      <c r="D578" s="22" t="str">
        <f>VLOOKUP($A578,[1]maaltijden!$A$1:$IV$65536,10,FALSE)</f>
        <v>H23</v>
      </c>
      <c r="E578" s="22" t="str">
        <f>VLOOKUP($A578,[1]maaltijden!$A$1:$IV$65536,13,FALSE)</f>
        <v>H11X24</v>
      </c>
      <c r="F578" s="20">
        <v>1</v>
      </c>
      <c r="G578" s="20" t="str">
        <f>VLOOKUP($A578,[1]maaltijden!$A$1:$IV$65536,27,FALSE)</f>
        <v>! !</v>
      </c>
      <c r="H578" s="22">
        <f>VLOOKUP($A578,[1]maaltijden!$A$1:$IV$65536,21,FALSE)</f>
        <v>4</v>
      </c>
      <c r="I578" s="22">
        <f>VLOOKUP($A578,[1]maaltijden!$A$1:$IV$65536,21,FALSE)</f>
        <v>4</v>
      </c>
      <c r="J578" s="22">
        <f>VLOOKUP($A578,[1]maaltijden!$A$1:$IV$65536,18,FALSE)</f>
        <v>2</v>
      </c>
      <c r="K578" s="22">
        <f>VLOOKUP($A578,[1]maaltijden!$A$1:$IV$65536,17,FALSE)</f>
        <v>2</v>
      </c>
      <c r="L578" s="22">
        <f>VLOOKUP($A578,[1]maaltijden!$A$1:$IV$65536,20,FALSE)</f>
        <v>3500</v>
      </c>
      <c r="M578" s="22">
        <f>VLOOKUP($A578,[1]maaltijden!$A$1:$IV$65536,22,FALSE)</f>
        <v>3500</v>
      </c>
      <c r="N578" s="135"/>
      <c r="O578" s="50"/>
      <c r="P578" s="19">
        <v>1</v>
      </c>
      <c r="Q578" s="20">
        <v>2</v>
      </c>
      <c r="R578" s="21">
        <v>0</v>
      </c>
      <c r="S578" s="19">
        <v>1</v>
      </c>
      <c r="T578" s="20">
        <v>1</v>
      </c>
      <c r="U578" s="19"/>
      <c r="V578" s="20"/>
      <c r="W578" s="20"/>
      <c r="X578" s="20"/>
      <c r="Y578" s="20"/>
      <c r="Z578" s="20"/>
      <c r="AA578" s="20"/>
      <c r="AB578" s="49"/>
      <c r="AC578" s="49"/>
      <c r="AD578" s="49"/>
      <c r="AE578" s="49"/>
      <c r="AF578" s="49"/>
      <c r="AG578" s="161">
        <v>0</v>
      </c>
      <c r="AH578" s="20"/>
      <c r="AI578" s="168">
        <v>1</v>
      </c>
      <c r="AJ578" s="20"/>
      <c r="AK578" s="20"/>
      <c r="AL578" s="21"/>
      <c r="AM578" s="19">
        <v>0</v>
      </c>
      <c r="AN578" s="20" t="str">
        <f>IFERROR(INDEX([2]lijnopstellingsfiche!$AP$1:$AP$65536,MATCH(A578,[2]lijnopstellingsfiche!$AQ$1:$AQ$65536,0)),"")</f>
        <v>-</v>
      </c>
      <c r="AO578" s="20">
        <v>0</v>
      </c>
      <c r="AP578" s="20">
        <v>0</v>
      </c>
      <c r="AQ578" s="20">
        <v>2</v>
      </c>
      <c r="AR578" s="20">
        <v>0</v>
      </c>
      <c r="AS578" s="20">
        <v>1</v>
      </c>
      <c r="AT578" s="20">
        <v>0</v>
      </c>
      <c r="AU578" s="20">
        <v>0</v>
      </c>
      <c r="AV578" s="23">
        <v>0</v>
      </c>
      <c r="AW578" s="108"/>
      <c r="AX578" s="108"/>
      <c r="AY578" s="108"/>
      <c r="AZ578" s="108"/>
      <c r="BA578" s="114"/>
      <c r="BB578" s="20"/>
      <c r="BC578" s="113"/>
      <c r="BD578" s="200" t="str">
        <f>VLOOKUP($A578,'[3]allergenen 6nr'!$A$1:$O$1310,3,FALSE)</f>
        <v>-</v>
      </c>
      <c r="BE578" s="201" t="str">
        <f>VLOOKUP($A578,'[3]allergenen 6nr'!$A$1:$O$1310,4,FALSE)</f>
        <v>-</v>
      </c>
      <c r="BF578" s="201" t="str">
        <f>VLOOKUP($A578,'[3]allergenen 6nr'!$A$1:$O$1310,5,FALSE)</f>
        <v>X</v>
      </c>
      <c r="BG578" s="201" t="str">
        <f>VLOOKUP($A578,'[3]allergenen 6nr'!$A$1:$O$1310,6,FALSE)</f>
        <v>-</v>
      </c>
      <c r="BH578" s="201" t="str">
        <f>VLOOKUP($A578,'[3]allergenen 6nr'!$A$1:$O$1310,7,FALSE)</f>
        <v>+</v>
      </c>
      <c r="BI578" s="201" t="str">
        <f>VLOOKUP($A578,'[3]allergenen 6nr'!$A$1:$O$1310,8,FALSE)</f>
        <v>X</v>
      </c>
      <c r="BJ578" s="201" t="str">
        <f>VLOOKUP($A578,'[3]allergenen 6nr'!$A$1:$O$1310,9,FALSE)</f>
        <v>-</v>
      </c>
      <c r="BK578" s="201" t="str">
        <f>VLOOKUP($A578,'[3]allergenen 6nr'!$A$1:$O$1310,10,FALSE)</f>
        <v>-</v>
      </c>
      <c r="BL578" s="201" t="str">
        <f>VLOOKUP($A578,'[3]allergenen 6nr'!$A$1:$O$1310,11,FALSE)</f>
        <v>X</v>
      </c>
      <c r="BM578" s="201" t="str">
        <f>VLOOKUP($A578,'[3]allergenen 6nr'!$A$1:$O$1310,12,FALSE)</f>
        <v>-</v>
      </c>
      <c r="BN578" s="201" t="str">
        <f>VLOOKUP($A578,'[3]allergenen 6nr'!$A$1:$O$1310,13,FALSE)</f>
        <v>-</v>
      </c>
      <c r="BO578" s="201" t="str">
        <f>VLOOKUP($A578,'[3]allergenen 6nr'!$A$1:$O$1310,14,FALSE)</f>
        <v>-</v>
      </c>
      <c r="BP578" s="202" t="str">
        <f>VLOOKUP($A578,'[3]allergenen 6nr'!$A$1:$O$1310,15,FALSE)</f>
        <v>-</v>
      </c>
    </row>
    <row r="579" spans="1:68" x14ac:dyDescent="0.2">
      <c r="A579" s="54">
        <v>66700500</v>
      </c>
      <c r="B579" s="53" t="str">
        <f>VLOOKUP($A579,[1]maaltijden!$A$1:$IV$65536,4,FALSE)</f>
        <v>LIDL DE KIP INDISCHE CURRY RIJST 400G(VR MIXED KARTON)</v>
      </c>
      <c r="C579" s="46" t="str">
        <f>VLOOKUP($A579,[1]maaltijden!$A$1:$IV$65536,7,FALSE)</f>
        <v>UK59 KRAFT</v>
      </c>
      <c r="D579" s="22" t="str">
        <f>VLOOKUP($A579,[1]maaltijden!$A$1:$IV$65536,10,FALSE)</f>
        <v>H23</v>
      </c>
      <c r="E579" s="22" t="str">
        <f>VLOOKUP($A579,[1]maaltijden!$A$1:$IV$65536,13,FALSE)</f>
        <v>H11X24</v>
      </c>
      <c r="F579" s="20">
        <v>1</v>
      </c>
      <c r="G579" s="20" t="str">
        <f>VLOOKUP($A579,[1]maaltijden!$A$1:$IV$65536,27,FALSE)</f>
        <v>! !</v>
      </c>
      <c r="H579" s="22">
        <f>VLOOKUP($A579,[1]maaltijden!$A$1:$IV$65536,21,FALSE)</f>
        <v>3</v>
      </c>
      <c r="I579" s="22">
        <f>VLOOKUP($A579,[1]maaltijden!$A$1:$IV$65536,21,FALSE)</f>
        <v>3</v>
      </c>
      <c r="J579" s="22">
        <f>VLOOKUP($A579,[1]maaltijden!$A$1:$IV$65536,18,FALSE)</f>
        <v>2</v>
      </c>
      <c r="K579" s="22">
        <f>VLOOKUP($A579,[1]maaltijden!$A$1:$IV$65536,17,FALSE)</f>
        <v>2</v>
      </c>
      <c r="L579" s="22">
        <f>VLOOKUP($A579,[1]maaltijden!$A$1:$IV$65536,20,FALSE)</f>
        <v>3500</v>
      </c>
      <c r="M579" s="22">
        <f>VLOOKUP($A579,[1]maaltijden!$A$1:$IV$65536,22,FALSE)</f>
        <v>3500</v>
      </c>
      <c r="N579" s="135"/>
      <c r="O579" s="50"/>
      <c r="P579" s="19">
        <v>1</v>
      </c>
      <c r="Q579" s="20">
        <v>2</v>
      </c>
      <c r="R579" s="21">
        <v>0</v>
      </c>
      <c r="S579" s="19">
        <v>1</v>
      </c>
      <c r="T579" s="20">
        <v>1</v>
      </c>
      <c r="U579" s="19"/>
      <c r="V579" s="20"/>
      <c r="W579" s="20"/>
      <c r="X579" s="20"/>
      <c r="Y579" s="20"/>
      <c r="Z579" s="20"/>
      <c r="AA579" s="20"/>
      <c r="AB579" s="49"/>
      <c r="AC579" s="49"/>
      <c r="AD579" s="49"/>
      <c r="AE579" s="49"/>
      <c r="AF579" s="49"/>
      <c r="AG579" s="161">
        <v>1</v>
      </c>
      <c r="AH579" s="168">
        <v>1</v>
      </c>
      <c r="AI579" s="20"/>
      <c r="AJ579" s="20"/>
      <c r="AK579" s="20"/>
      <c r="AL579" s="21"/>
      <c r="AM579" s="19">
        <v>1</v>
      </c>
      <c r="AN579" s="20" t="str">
        <f>IFERROR(INDEX([2]lijnopstellingsfiche!$AP$1:$AP$65536,MATCH(A579,[2]lijnopstellingsfiche!$AQ$1:$AQ$65536,0)),"")</f>
        <v>-</v>
      </c>
      <c r="AO579" s="20">
        <v>0</v>
      </c>
      <c r="AP579" s="20">
        <v>1</v>
      </c>
      <c r="AQ579" s="20">
        <v>2</v>
      </c>
      <c r="AR579" s="20">
        <v>0</v>
      </c>
      <c r="AS579" s="20">
        <v>1</v>
      </c>
      <c r="AT579" s="20">
        <v>0</v>
      </c>
      <c r="AU579" s="20">
        <v>0</v>
      </c>
      <c r="AV579" s="23">
        <v>0</v>
      </c>
      <c r="AW579" s="108"/>
      <c r="AX579" s="108"/>
      <c r="AY579" s="108"/>
      <c r="AZ579" s="108"/>
      <c r="BA579" s="114"/>
      <c r="BB579" s="20"/>
      <c r="BC579" s="113"/>
      <c r="BD579" s="200" t="str">
        <f>VLOOKUP($A579,'[3]allergenen 6nr'!$A$1:$O$1310,3,FALSE)</f>
        <v>-</v>
      </c>
      <c r="BE579" s="201" t="str">
        <f>VLOOKUP($A579,'[3]allergenen 6nr'!$A$1:$O$1310,4,FALSE)</f>
        <v>-</v>
      </c>
      <c r="BF579" s="201" t="str">
        <f>VLOOKUP($A579,'[3]allergenen 6nr'!$A$1:$O$1310,5,FALSE)</f>
        <v>-</v>
      </c>
      <c r="BG579" s="201" t="str">
        <f>VLOOKUP($A579,'[3]allergenen 6nr'!$A$1:$O$1310,6,FALSE)</f>
        <v>-</v>
      </c>
      <c r="BH579" s="201" t="str">
        <f>VLOOKUP($A579,'[3]allergenen 6nr'!$A$1:$O$1310,7,FALSE)</f>
        <v>+</v>
      </c>
      <c r="BI579" s="201" t="str">
        <f>VLOOKUP($A579,'[3]allergenen 6nr'!$A$1:$O$1310,8,FALSE)</f>
        <v>-</v>
      </c>
      <c r="BJ579" s="201" t="str">
        <f>VLOOKUP($A579,'[3]allergenen 6nr'!$A$1:$O$1310,9,FALSE)</f>
        <v>-</v>
      </c>
      <c r="BK579" s="201" t="str">
        <f>VLOOKUP($A579,'[3]allergenen 6nr'!$A$1:$O$1310,10,FALSE)</f>
        <v>-</v>
      </c>
      <c r="BL579" s="201" t="str">
        <f>VLOOKUP($A579,'[3]allergenen 6nr'!$A$1:$O$1310,11,FALSE)</f>
        <v>-</v>
      </c>
      <c r="BM579" s="201" t="str">
        <f>VLOOKUP($A579,'[3]allergenen 6nr'!$A$1:$O$1310,12,FALSE)</f>
        <v>-</v>
      </c>
      <c r="BN579" s="201" t="str">
        <f>VLOOKUP($A579,'[3]allergenen 6nr'!$A$1:$O$1310,13,FALSE)</f>
        <v>-</v>
      </c>
      <c r="BO579" s="201" t="str">
        <f>VLOOKUP($A579,'[3]allergenen 6nr'!$A$1:$O$1310,14,FALSE)</f>
        <v>-</v>
      </c>
      <c r="BP579" s="202" t="str">
        <f>VLOOKUP($A579,'[3]allergenen 6nr'!$A$1:$O$1310,15,FALSE)</f>
        <v>-</v>
      </c>
    </row>
    <row r="580" spans="1:68" x14ac:dyDescent="0.2">
      <c r="A580" s="54">
        <v>66700800</v>
      </c>
      <c r="B580" s="53" t="str">
        <f>VLOOKUP($A580,[1]maaltijden!$A$1:$IV$65536,4,FALSE)</f>
        <v>LIDL DE KIP PAPRIKA SPATZLE 400G(VR MIXED KARTON)</v>
      </c>
      <c r="C580" s="46" t="str">
        <f>VLOOKUP($A580,[1]maaltijden!$A$1:$IV$65536,7,FALSE)</f>
        <v>UK59 KRAFT</v>
      </c>
      <c r="D580" s="22" t="str">
        <f>VLOOKUP($A580,[1]maaltijden!$A$1:$IV$65536,10,FALSE)</f>
        <v>H23</v>
      </c>
      <c r="E580" s="22" t="str">
        <f>VLOOKUP($A580,[1]maaltijden!$A$1:$IV$65536,13,FALSE)</f>
        <v>H11X24</v>
      </c>
      <c r="F580" s="20">
        <v>1</v>
      </c>
      <c r="G580" s="20" t="str">
        <f>VLOOKUP($A580,[1]maaltijden!$A$1:$IV$65536,27,FALSE)</f>
        <v>! !</v>
      </c>
      <c r="H580" s="22">
        <f>VLOOKUP($A580,[1]maaltijden!$A$1:$IV$65536,21,FALSE)</f>
        <v>3</v>
      </c>
      <c r="I580" s="22">
        <f>VLOOKUP($A580,[1]maaltijden!$A$1:$IV$65536,21,FALSE)</f>
        <v>3</v>
      </c>
      <c r="J580" s="22">
        <f>VLOOKUP($A580,[1]maaltijden!$A$1:$IV$65536,18,FALSE)</f>
        <v>2</v>
      </c>
      <c r="K580" s="22">
        <f>VLOOKUP($A580,[1]maaltijden!$A$1:$IV$65536,17,FALSE)</f>
        <v>2</v>
      </c>
      <c r="L580" s="22">
        <f>VLOOKUP($A580,[1]maaltijden!$A$1:$IV$65536,20,FALSE)</f>
        <v>3200</v>
      </c>
      <c r="M580" s="22">
        <f>VLOOKUP($A580,[1]maaltijden!$A$1:$IV$65536,22,FALSE)</f>
        <v>3200</v>
      </c>
      <c r="N580" s="135"/>
      <c r="O580" s="50"/>
      <c r="P580" s="19">
        <v>1</v>
      </c>
      <c r="Q580" s="20">
        <v>2</v>
      </c>
      <c r="R580" s="21">
        <v>0</v>
      </c>
      <c r="S580" s="19">
        <v>1</v>
      </c>
      <c r="T580" s="20">
        <v>1</v>
      </c>
      <c r="U580" s="19"/>
      <c r="V580" s="20"/>
      <c r="W580" s="20"/>
      <c r="X580" s="20"/>
      <c r="Y580" s="20"/>
      <c r="Z580" s="20"/>
      <c r="AA580" s="20"/>
      <c r="AB580" s="49"/>
      <c r="AC580" s="49"/>
      <c r="AD580" s="49"/>
      <c r="AE580" s="49"/>
      <c r="AF580" s="49"/>
      <c r="AG580" s="161">
        <v>0</v>
      </c>
      <c r="AH580" s="168">
        <v>1</v>
      </c>
      <c r="AI580" s="20"/>
      <c r="AJ580" s="20"/>
      <c r="AK580" s="20"/>
      <c r="AL580" s="21"/>
      <c r="AM580" s="19">
        <v>1</v>
      </c>
      <c r="AN580" s="20">
        <f>IFERROR(INDEX([2]lijnopstellingsfiche!$AP$1:$AP$65536,MATCH(A580,[2]lijnopstellingsfiche!$AQ$1:$AQ$65536,0)),"")</f>
        <v>1</v>
      </c>
      <c r="AO580" s="20">
        <v>0</v>
      </c>
      <c r="AP580" s="20">
        <v>0</v>
      </c>
      <c r="AQ580" s="20">
        <v>2</v>
      </c>
      <c r="AR580" s="20">
        <v>0</v>
      </c>
      <c r="AS580" s="20">
        <v>1</v>
      </c>
      <c r="AT580" s="20">
        <v>0</v>
      </c>
      <c r="AU580" s="20">
        <v>0</v>
      </c>
      <c r="AV580" s="23">
        <v>0</v>
      </c>
      <c r="AW580" s="108"/>
      <c r="AX580" s="108"/>
      <c r="AY580" s="108"/>
      <c r="AZ580" s="108"/>
      <c r="BA580" s="114"/>
      <c r="BB580" s="20"/>
      <c r="BC580" s="113"/>
      <c r="BD580" s="200" t="str">
        <f>VLOOKUP($A580,'[3]allergenen 6nr'!$A$1:$O$1310,3,FALSE)</f>
        <v>-</v>
      </c>
      <c r="BE580" s="201" t="str">
        <f>VLOOKUP($A580,'[3]allergenen 6nr'!$A$1:$O$1310,4,FALSE)</f>
        <v>+</v>
      </c>
      <c r="BF580" s="201" t="str">
        <f>VLOOKUP($A580,'[3]allergenen 6nr'!$A$1:$O$1310,5,FALSE)</f>
        <v>+</v>
      </c>
      <c r="BG580" s="201" t="str">
        <f>VLOOKUP($A580,'[3]allergenen 6nr'!$A$1:$O$1310,6,FALSE)</f>
        <v>-</v>
      </c>
      <c r="BH580" s="201" t="str">
        <f>VLOOKUP($A580,'[3]allergenen 6nr'!$A$1:$O$1310,7,FALSE)</f>
        <v>+</v>
      </c>
      <c r="BI580" s="201" t="str">
        <f>VLOOKUP($A580,'[3]allergenen 6nr'!$A$1:$O$1310,8,FALSE)</f>
        <v>X</v>
      </c>
      <c r="BJ580" s="201" t="str">
        <f>VLOOKUP($A580,'[3]allergenen 6nr'!$A$1:$O$1310,9,FALSE)</f>
        <v>-</v>
      </c>
      <c r="BK580" s="201" t="str">
        <f>VLOOKUP($A580,'[3]allergenen 6nr'!$A$1:$O$1310,10,FALSE)</f>
        <v>-</v>
      </c>
      <c r="BL580" s="201" t="str">
        <f>VLOOKUP($A580,'[3]allergenen 6nr'!$A$1:$O$1310,11,FALSE)</f>
        <v>X</v>
      </c>
      <c r="BM580" s="201" t="str">
        <f>VLOOKUP($A580,'[3]allergenen 6nr'!$A$1:$O$1310,12,FALSE)</f>
        <v>-</v>
      </c>
      <c r="BN580" s="201" t="str">
        <f>VLOOKUP($A580,'[3]allergenen 6nr'!$A$1:$O$1310,13,FALSE)</f>
        <v>X</v>
      </c>
      <c r="BO580" s="201" t="str">
        <f>VLOOKUP($A580,'[3]allergenen 6nr'!$A$1:$O$1310,14,FALSE)</f>
        <v>-</v>
      </c>
      <c r="BP580" s="202" t="str">
        <f>VLOOKUP($A580,'[3]allergenen 6nr'!$A$1:$O$1310,15,FALSE)</f>
        <v>-</v>
      </c>
    </row>
    <row r="581" spans="1:68" x14ac:dyDescent="0.2">
      <c r="A581" s="54">
        <v>66701200</v>
      </c>
      <c r="B581" s="53" t="str">
        <f>VLOOKUP($A581,[1]maaltijden!$A$1:$IV$65536,4,FALSE)</f>
        <v>LIDL NL HU BG ZALM ASC DILLE RIJST 400G(MIXED)</v>
      </c>
      <c r="C581" s="46" t="str">
        <f>VLOOKUP($A581,[1]maaltijden!$A$1:$IV$65536,7,FALSE)</f>
        <v>UK59 KRAFT</v>
      </c>
      <c r="D581" s="22" t="str">
        <f>VLOOKUP($A581,[1]maaltijden!$A$1:$IV$65536,10,FALSE)</f>
        <v>H23</v>
      </c>
      <c r="E581" s="22" t="str">
        <f>VLOOKUP($A581,[1]maaltijden!$A$1:$IV$65536,13,FALSE)</f>
        <v>H11X24</v>
      </c>
      <c r="F581" s="20">
        <v>1</v>
      </c>
      <c r="G581" s="20" t="str">
        <f>VLOOKUP($A581,[1]maaltijden!$A$1:$IV$65536,27,FALSE)</f>
        <v>! ! ! !</v>
      </c>
      <c r="H581" s="22">
        <f>VLOOKUP($A581,[1]maaltijden!$A$1:$IV$65536,21,FALSE)</f>
        <v>5</v>
      </c>
      <c r="I581" s="22">
        <f>VLOOKUP($A581,[1]maaltijden!$A$1:$IV$65536,21,FALSE)</f>
        <v>5</v>
      </c>
      <c r="J581" s="22">
        <f>VLOOKUP($A581,[1]maaltijden!$A$1:$IV$65536,18,FALSE)</f>
        <v>2</v>
      </c>
      <c r="K581" s="22">
        <f>VLOOKUP($A581,[1]maaltijden!$A$1:$IV$65536,17,FALSE)</f>
        <v>3</v>
      </c>
      <c r="L581" s="22">
        <f>VLOOKUP($A581,[1]maaltijden!$A$1:$IV$65536,20,FALSE)</f>
        <v>3500</v>
      </c>
      <c r="M581" s="22">
        <f>VLOOKUP($A581,[1]maaltijden!$A$1:$IV$65536,22,FALSE)</f>
        <v>3500</v>
      </c>
      <c r="N581" s="135"/>
      <c r="O581" s="50"/>
      <c r="P581" s="19">
        <v>1</v>
      </c>
      <c r="Q581" s="20">
        <v>2</v>
      </c>
      <c r="R581" s="21">
        <v>0</v>
      </c>
      <c r="S581" s="19">
        <v>1</v>
      </c>
      <c r="T581" s="20">
        <v>1</v>
      </c>
      <c r="U581" s="19"/>
      <c r="V581" s="20"/>
      <c r="W581" s="20"/>
      <c r="X581" s="20"/>
      <c r="Y581" s="20"/>
      <c r="Z581" s="20"/>
      <c r="AA581" s="20"/>
      <c r="AB581" s="49"/>
      <c r="AC581" s="49"/>
      <c r="AD581" s="49"/>
      <c r="AE581" s="49"/>
      <c r="AF581" s="49"/>
      <c r="AG581" s="161">
        <v>1</v>
      </c>
      <c r="AH581" s="168">
        <v>1</v>
      </c>
      <c r="AI581" s="20"/>
      <c r="AJ581" s="20"/>
      <c r="AK581" s="20"/>
      <c r="AL581" s="21"/>
      <c r="AM581" s="19">
        <v>1</v>
      </c>
      <c r="AN581" s="20">
        <f>IFERROR(INDEX([2]lijnopstellingsfiche!$AP$1:$AP$65536,MATCH(A581,[2]lijnopstellingsfiche!$AQ$1:$AQ$65536,0)),"")</f>
        <v>1</v>
      </c>
      <c r="AO581" s="20">
        <v>0</v>
      </c>
      <c r="AP581" s="20">
        <v>0</v>
      </c>
      <c r="AQ581" s="20">
        <v>2</v>
      </c>
      <c r="AR581" s="20">
        <v>0</v>
      </c>
      <c r="AS581" s="20">
        <v>0</v>
      </c>
      <c r="AT581" s="20">
        <v>0</v>
      </c>
      <c r="AU581" s="20">
        <v>0</v>
      </c>
      <c r="AV581" s="23">
        <v>0</v>
      </c>
      <c r="AW581" s="108"/>
      <c r="AX581" s="108"/>
      <c r="AY581" s="108"/>
      <c r="AZ581" s="108"/>
      <c r="BA581" s="114"/>
      <c r="BB581" s="20"/>
      <c r="BC581" s="113"/>
      <c r="BD581" s="200" t="str">
        <f>VLOOKUP($A581,'[3]allergenen 6nr'!$A$1:$O$1310,3,FALSE)</f>
        <v>-</v>
      </c>
      <c r="BE581" s="201" t="str">
        <f>VLOOKUP($A581,'[3]allergenen 6nr'!$A$1:$O$1310,4,FALSE)</f>
        <v>-</v>
      </c>
      <c r="BF581" s="201" t="str">
        <f>VLOOKUP($A581,'[3]allergenen 6nr'!$A$1:$O$1310,5,FALSE)</f>
        <v>+</v>
      </c>
      <c r="BG581" s="201" t="str">
        <f>VLOOKUP($A581,'[3]allergenen 6nr'!$A$1:$O$1310,6,FALSE)</f>
        <v>-</v>
      </c>
      <c r="BH581" s="201" t="str">
        <f>VLOOKUP($A581,'[3]allergenen 6nr'!$A$1:$O$1310,7,FALSE)</f>
        <v>+</v>
      </c>
      <c r="BI581" s="201" t="str">
        <f>VLOOKUP($A581,'[3]allergenen 6nr'!$A$1:$O$1310,8,FALSE)</f>
        <v>-</v>
      </c>
      <c r="BJ581" s="201" t="str">
        <f>VLOOKUP($A581,'[3]allergenen 6nr'!$A$1:$O$1310,9,FALSE)</f>
        <v>-</v>
      </c>
      <c r="BK581" s="201" t="str">
        <f>VLOOKUP($A581,'[3]allergenen 6nr'!$A$1:$O$1310,10,FALSE)</f>
        <v>X</v>
      </c>
      <c r="BL581" s="201" t="str">
        <f>VLOOKUP($A581,'[3]allergenen 6nr'!$A$1:$O$1310,11,FALSE)</f>
        <v>+</v>
      </c>
      <c r="BM581" s="201" t="str">
        <f>VLOOKUP($A581,'[3]allergenen 6nr'!$A$1:$O$1310,12,FALSE)</f>
        <v>-</v>
      </c>
      <c r="BN581" s="201" t="str">
        <f>VLOOKUP($A581,'[3]allergenen 6nr'!$A$1:$O$1310,13,FALSE)</f>
        <v>X</v>
      </c>
      <c r="BO581" s="201" t="str">
        <f>VLOOKUP($A581,'[3]allergenen 6nr'!$A$1:$O$1310,14,FALSE)</f>
        <v>+</v>
      </c>
      <c r="BP581" s="202" t="str">
        <f>VLOOKUP($A581,'[3]allergenen 6nr'!$A$1:$O$1310,15,FALSE)</f>
        <v>X</v>
      </c>
    </row>
    <row r="582" spans="1:68" x14ac:dyDescent="0.2">
      <c r="A582" s="54">
        <v>66701300</v>
      </c>
      <c r="B582" s="53" t="str">
        <f>VLOOKUP($A582,[1]maaltijden!$A$1:$IV$65536,4,FALSE)</f>
        <v>LIDL NL HU BG KIP HONING MANGO 400G(MIXED)</v>
      </c>
      <c r="C582" s="46" t="str">
        <f>VLOOKUP($A582,[1]maaltijden!$A$1:$IV$65536,7,FALSE)</f>
        <v>UK59 KRAFT</v>
      </c>
      <c r="D582" s="22" t="str">
        <f>VLOOKUP($A582,[1]maaltijden!$A$1:$IV$65536,10,FALSE)</f>
        <v>H23</v>
      </c>
      <c r="E582" s="22" t="str">
        <f>VLOOKUP($A582,[1]maaltijden!$A$1:$IV$65536,13,FALSE)</f>
        <v>H11X24</v>
      </c>
      <c r="F582" s="20">
        <v>1</v>
      </c>
      <c r="G582" s="20" t="str">
        <f>VLOOKUP($A582,[1]maaltijden!$A$1:$IV$65536,27,FALSE)</f>
        <v>! !</v>
      </c>
      <c r="H582" s="22">
        <f>VLOOKUP($A582,[1]maaltijden!$A$1:$IV$65536,21,FALSE)</f>
        <v>3</v>
      </c>
      <c r="I582" s="22">
        <f>VLOOKUP($A582,[1]maaltijden!$A$1:$IV$65536,21,FALSE)</f>
        <v>3</v>
      </c>
      <c r="J582" s="22">
        <f>VLOOKUP($A582,[1]maaltijden!$A$1:$IV$65536,18,FALSE)</f>
        <v>2</v>
      </c>
      <c r="K582" s="22">
        <f>VLOOKUP($A582,[1]maaltijden!$A$1:$IV$65536,17,FALSE)</f>
        <v>2</v>
      </c>
      <c r="L582" s="22">
        <f>VLOOKUP($A582,[1]maaltijden!$A$1:$IV$65536,20,FALSE)</f>
        <v>3500</v>
      </c>
      <c r="M582" s="22">
        <f>VLOOKUP($A582,[1]maaltijden!$A$1:$IV$65536,22,FALSE)</f>
        <v>3500</v>
      </c>
      <c r="N582" s="135"/>
      <c r="O582" s="50"/>
      <c r="P582" s="19">
        <v>1</v>
      </c>
      <c r="Q582" s="20">
        <v>2</v>
      </c>
      <c r="R582" s="21">
        <v>0</v>
      </c>
      <c r="S582" s="19">
        <v>1</v>
      </c>
      <c r="T582" s="20">
        <v>1</v>
      </c>
      <c r="U582" s="19"/>
      <c r="V582" s="20"/>
      <c r="W582" s="20"/>
      <c r="X582" s="20"/>
      <c r="Y582" s="20"/>
      <c r="Z582" s="20"/>
      <c r="AA582" s="20"/>
      <c r="AB582" s="49"/>
      <c r="AC582" s="49"/>
      <c r="AD582" s="49"/>
      <c r="AE582" s="49"/>
      <c r="AF582" s="49"/>
      <c r="AG582" s="161">
        <v>0</v>
      </c>
      <c r="AH582" s="20"/>
      <c r="AI582" s="168">
        <v>1</v>
      </c>
      <c r="AJ582" s="20"/>
      <c r="AK582" s="20"/>
      <c r="AL582" s="21"/>
      <c r="AM582" s="19">
        <v>0</v>
      </c>
      <c r="AN582" s="20" t="str">
        <f>IFERROR(INDEX([2]lijnopstellingsfiche!$AP$1:$AP$65536,MATCH(A582,[2]lijnopstellingsfiche!$AQ$1:$AQ$65536,0)),"")</f>
        <v>-</v>
      </c>
      <c r="AO582" s="20">
        <v>0</v>
      </c>
      <c r="AP582" s="20">
        <v>0</v>
      </c>
      <c r="AQ582" s="20">
        <v>2</v>
      </c>
      <c r="AR582" s="20">
        <v>0</v>
      </c>
      <c r="AS582" s="20">
        <v>1</v>
      </c>
      <c r="AT582" s="20">
        <v>0</v>
      </c>
      <c r="AU582" s="20">
        <v>0</v>
      </c>
      <c r="AV582" s="23">
        <v>0</v>
      </c>
      <c r="AW582" s="108"/>
      <c r="AX582" s="108"/>
      <c r="AY582" s="108"/>
      <c r="AZ582" s="108"/>
      <c r="BA582" s="114"/>
      <c r="BB582" s="20"/>
      <c r="BC582" s="113"/>
      <c r="BD582" s="200" t="str">
        <f>VLOOKUP($A582,'[3]allergenen 6nr'!$A$1:$O$1310,3,FALSE)</f>
        <v>-</v>
      </c>
      <c r="BE582" s="201" t="str">
        <f>VLOOKUP($A582,'[3]allergenen 6nr'!$A$1:$O$1310,4,FALSE)</f>
        <v>-</v>
      </c>
      <c r="BF582" s="201" t="str">
        <f>VLOOKUP($A582,'[3]allergenen 6nr'!$A$1:$O$1310,5,FALSE)</f>
        <v>X</v>
      </c>
      <c r="BG582" s="201" t="str">
        <f>VLOOKUP($A582,'[3]allergenen 6nr'!$A$1:$O$1310,6,FALSE)</f>
        <v>-</v>
      </c>
      <c r="BH582" s="201" t="str">
        <f>VLOOKUP($A582,'[3]allergenen 6nr'!$A$1:$O$1310,7,FALSE)</f>
        <v>+</v>
      </c>
      <c r="BI582" s="201" t="str">
        <f>VLOOKUP($A582,'[3]allergenen 6nr'!$A$1:$O$1310,8,FALSE)</f>
        <v>X</v>
      </c>
      <c r="BJ582" s="201" t="str">
        <f>VLOOKUP($A582,'[3]allergenen 6nr'!$A$1:$O$1310,9,FALSE)</f>
        <v>-</v>
      </c>
      <c r="BK582" s="201" t="str">
        <f>VLOOKUP($A582,'[3]allergenen 6nr'!$A$1:$O$1310,10,FALSE)</f>
        <v>-</v>
      </c>
      <c r="BL582" s="201" t="str">
        <f>VLOOKUP($A582,'[3]allergenen 6nr'!$A$1:$O$1310,11,FALSE)</f>
        <v>X</v>
      </c>
      <c r="BM582" s="201" t="str">
        <f>VLOOKUP($A582,'[3]allergenen 6nr'!$A$1:$O$1310,12,FALSE)</f>
        <v>-</v>
      </c>
      <c r="BN582" s="201" t="str">
        <f>VLOOKUP($A582,'[3]allergenen 6nr'!$A$1:$O$1310,13,FALSE)</f>
        <v>-</v>
      </c>
      <c r="BO582" s="201" t="str">
        <f>VLOOKUP($A582,'[3]allergenen 6nr'!$A$1:$O$1310,14,FALSE)</f>
        <v>-</v>
      </c>
      <c r="BP582" s="202" t="str">
        <f>VLOOKUP($A582,'[3]allergenen 6nr'!$A$1:$O$1310,15,FALSE)</f>
        <v>-</v>
      </c>
    </row>
    <row r="583" spans="1:68" x14ac:dyDescent="0.2">
      <c r="A583" s="54">
        <v>66801100</v>
      </c>
      <c r="B583" s="53" t="str">
        <f>VLOOKUP($A583,[1]maaltijden!$A$1:$IV$65536,4,FALSE)</f>
        <v>MAMA'S INDISCHE KIP SATE BAMI SAMBALBOONTJES 400G</v>
      </c>
      <c r="C583" s="46" t="str">
        <f>VLOOKUP($A583,[1]maaltijden!$A$1:$IV$65536,7,FALSE)</f>
        <v>NOVATO KRAFT</v>
      </c>
      <c r="D583" s="22" t="str">
        <f>VLOOKUP($A583,[1]maaltijden!$A$1:$IV$65536,10,FALSE)</f>
        <v>H25</v>
      </c>
      <c r="E583" s="22" t="str">
        <f>VLOOKUP($A583,[1]maaltijden!$A$1:$IV$65536,13,FALSE)</f>
        <v>Shrink H25 x 5</v>
      </c>
      <c r="F583" s="20">
        <v>0</v>
      </c>
      <c r="G583" s="20" t="str">
        <f>VLOOKUP($A583,[1]maaltijden!$A$1:$IV$65536,27,FALSE)</f>
        <v>X</v>
      </c>
      <c r="H583" s="22">
        <f>VLOOKUP($A583,[1]maaltijden!$A$1:$IV$65536,21,FALSE)</f>
        <v>7</v>
      </c>
      <c r="I583" s="22">
        <f>VLOOKUP($A583,[1]maaltijden!$A$1:$IV$65536,21,FALSE)</f>
        <v>7</v>
      </c>
      <c r="J583" s="22">
        <f>VLOOKUP($A583,[1]maaltijden!$A$1:$IV$65536,18,FALSE)</f>
        <v>2</v>
      </c>
      <c r="K583" s="22">
        <f>VLOOKUP($A583,[1]maaltijden!$A$1:$IV$65536,17,FALSE)</f>
        <v>3</v>
      </c>
      <c r="L583" s="22">
        <f>VLOOKUP($A583,[1]maaltijden!$A$1:$IV$65536,20,FALSE)</f>
        <v>3500</v>
      </c>
      <c r="M583" s="22">
        <f>VLOOKUP($A583,[1]maaltijden!$A$1:$IV$65536,22,FALSE)</f>
        <v>3500</v>
      </c>
      <c r="N583" s="135"/>
      <c r="O583" s="50">
        <v>0</v>
      </c>
      <c r="P583" s="19">
        <v>1</v>
      </c>
      <c r="Q583" s="20">
        <v>0</v>
      </c>
      <c r="R583" s="21">
        <v>0</v>
      </c>
      <c r="S583" s="19">
        <v>1</v>
      </c>
      <c r="T583" s="20">
        <v>0</v>
      </c>
      <c r="U583" s="19">
        <v>1</v>
      </c>
      <c r="V583" s="20">
        <v>1</v>
      </c>
      <c r="W583" s="20">
        <v>1</v>
      </c>
      <c r="X583" s="20">
        <v>1</v>
      </c>
      <c r="Y583" s="20">
        <v>1</v>
      </c>
      <c r="Z583" s="20">
        <v>0</v>
      </c>
      <c r="AA583" s="20">
        <v>0</v>
      </c>
      <c r="AB583" s="49">
        <v>0</v>
      </c>
      <c r="AC583" s="49">
        <v>1</v>
      </c>
      <c r="AD583" s="49">
        <v>1</v>
      </c>
      <c r="AE583" s="49">
        <v>0</v>
      </c>
      <c r="AF583" s="49">
        <v>0</v>
      </c>
      <c r="AG583" s="161">
        <v>1</v>
      </c>
      <c r="AH583" s="168">
        <v>1</v>
      </c>
      <c r="AI583" s="168">
        <v>1</v>
      </c>
      <c r="AJ583" s="168">
        <v>1</v>
      </c>
      <c r="AK583" s="20"/>
      <c r="AL583" s="21"/>
      <c r="AM583" s="19">
        <v>1</v>
      </c>
      <c r="AN583" s="20">
        <v>0</v>
      </c>
      <c r="AO583" s="20">
        <v>0</v>
      </c>
      <c r="AP583" s="20">
        <v>0</v>
      </c>
      <c r="AQ583" s="20">
        <v>2</v>
      </c>
      <c r="AR583" s="20">
        <v>0</v>
      </c>
      <c r="AS583" s="20">
        <v>1</v>
      </c>
      <c r="AT583" s="20">
        <v>0</v>
      </c>
      <c r="AU583" s="20">
        <v>0</v>
      </c>
      <c r="AV583" s="23">
        <v>0</v>
      </c>
      <c r="AW583" s="108"/>
      <c r="AX583" s="108"/>
      <c r="AY583" s="108"/>
      <c r="AZ583" s="108"/>
      <c r="BA583" s="114"/>
      <c r="BB583" s="20">
        <v>0</v>
      </c>
      <c r="BC583" s="113"/>
      <c r="BD583" s="200" t="str">
        <f>VLOOKUP($A583,'[3]allergenen 6nr'!$A$1:$O$1310,3,FALSE)</f>
        <v>+</v>
      </c>
      <c r="BE583" s="201" t="str">
        <f>VLOOKUP($A583,'[3]allergenen 6nr'!$A$1:$O$1310,4,FALSE)</f>
        <v>+</v>
      </c>
      <c r="BF583" s="201" t="str">
        <f>VLOOKUP($A583,'[3]allergenen 6nr'!$A$1:$O$1310,5,FALSE)</f>
        <v>+</v>
      </c>
      <c r="BG583" s="201" t="str">
        <f>VLOOKUP($A583,'[3]allergenen 6nr'!$A$1:$O$1310,6,FALSE)</f>
        <v>X</v>
      </c>
      <c r="BH583" s="201" t="str">
        <f>VLOOKUP($A583,'[3]allergenen 6nr'!$A$1:$O$1310,7,FALSE)</f>
        <v>-</v>
      </c>
      <c r="BI583" s="201" t="str">
        <f>VLOOKUP($A583,'[3]allergenen 6nr'!$A$1:$O$1310,8,FALSE)</f>
        <v>X</v>
      </c>
      <c r="BJ583" s="201" t="str">
        <f>VLOOKUP($A583,'[3]allergenen 6nr'!$A$1:$O$1310,9,FALSE)</f>
        <v>-</v>
      </c>
      <c r="BK583" s="201" t="str">
        <f>VLOOKUP($A583,'[3]allergenen 6nr'!$A$1:$O$1310,10,FALSE)</f>
        <v>-</v>
      </c>
      <c r="BL583" s="201" t="str">
        <f>VLOOKUP($A583,'[3]allergenen 6nr'!$A$1:$O$1310,11,FALSE)</f>
        <v>+</v>
      </c>
      <c r="BM583" s="201" t="str">
        <f>VLOOKUP($A583,'[3]allergenen 6nr'!$A$1:$O$1310,12,FALSE)</f>
        <v>-</v>
      </c>
      <c r="BN583" s="201" t="str">
        <f>VLOOKUP($A583,'[3]allergenen 6nr'!$A$1:$O$1310,13,FALSE)</f>
        <v>+</v>
      </c>
      <c r="BO583" s="201" t="str">
        <f>VLOOKUP($A583,'[3]allergenen 6nr'!$A$1:$O$1310,14,FALSE)</f>
        <v>-</v>
      </c>
      <c r="BP583" s="202" t="str">
        <f>VLOOKUP($A583,'[3]allergenen 6nr'!$A$1:$O$1310,15,FALSE)</f>
        <v>-</v>
      </c>
    </row>
    <row r="584" spans="1:68" x14ac:dyDescent="0.2">
      <c r="A584" s="54">
        <v>66801200</v>
      </c>
      <c r="B584" s="53" t="str">
        <f>VLOOKUP($A584,[1]maaltijden!$A$1:$IV$65536,4,FALSE)</f>
        <v>MAMA'S BABI PANGANG RIJST SOJABONEN 400G</v>
      </c>
      <c r="C584" s="46" t="str">
        <f>VLOOKUP($A584,[1]maaltijden!$A$1:$IV$65536,7,FALSE)</f>
        <v>NOVATO KRAFT</v>
      </c>
      <c r="D584" s="22" t="str">
        <f>VLOOKUP($A584,[1]maaltijden!$A$1:$IV$65536,10,FALSE)</f>
        <v>H25</v>
      </c>
      <c r="E584" s="22" t="str">
        <f>VLOOKUP($A584,[1]maaltijden!$A$1:$IV$65536,13,FALSE)</f>
        <v>Shrink H25 x 5</v>
      </c>
      <c r="F584" s="20">
        <v>0</v>
      </c>
      <c r="G584" s="20" t="str">
        <f>VLOOKUP($A584,[1]maaltijden!$A$1:$IV$65536,27,FALSE)</f>
        <v>! ! ! ! !</v>
      </c>
      <c r="H584" s="22">
        <f>VLOOKUP($A584,[1]maaltijden!$A$1:$IV$65536,21,FALSE)</f>
        <v>6</v>
      </c>
      <c r="I584" s="22">
        <f>VLOOKUP($A584,[1]maaltijden!$A$1:$IV$65536,21,FALSE)</f>
        <v>6</v>
      </c>
      <c r="J584" s="22">
        <f>VLOOKUP($A584,[1]maaltijden!$A$1:$IV$65536,18,FALSE)</f>
        <v>2</v>
      </c>
      <c r="K584" s="22">
        <f>VLOOKUP($A584,[1]maaltijden!$A$1:$IV$65536,17,FALSE)</f>
        <v>3</v>
      </c>
      <c r="L584" s="22">
        <f>VLOOKUP($A584,[1]maaltijden!$A$1:$IV$65536,20,FALSE)</f>
        <v>3500</v>
      </c>
      <c r="M584" s="22">
        <f>VLOOKUP($A584,[1]maaltijden!$A$1:$IV$65536,22,FALSE)</f>
        <v>3500</v>
      </c>
      <c r="N584" s="135"/>
      <c r="O584" s="50">
        <v>66802300</v>
      </c>
      <c r="P584" s="19">
        <v>1</v>
      </c>
      <c r="Q584" s="20">
        <v>0</v>
      </c>
      <c r="R584" s="21">
        <v>0</v>
      </c>
      <c r="S584" s="19">
        <v>1</v>
      </c>
      <c r="T584" s="20">
        <v>0</v>
      </c>
      <c r="U584" s="19">
        <v>1</v>
      </c>
      <c r="V584" s="20">
        <v>1</v>
      </c>
      <c r="W584" s="20">
        <v>1</v>
      </c>
      <c r="X584" s="20">
        <v>1</v>
      </c>
      <c r="Y584" s="20">
        <v>1</v>
      </c>
      <c r="Z584" s="20">
        <v>0</v>
      </c>
      <c r="AA584" s="20">
        <v>0</v>
      </c>
      <c r="AB584" s="49">
        <v>0</v>
      </c>
      <c r="AC584" s="49">
        <v>0</v>
      </c>
      <c r="AD584" s="49">
        <v>0</v>
      </c>
      <c r="AE584" s="49">
        <v>0</v>
      </c>
      <c r="AF584" s="49">
        <v>0</v>
      </c>
      <c r="AG584" s="161">
        <v>1</v>
      </c>
      <c r="AH584" s="168">
        <v>1</v>
      </c>
      <c r="AI584" s="168">
        <v>1</v>
      </c>
      <c r="AJ584" s="168">
        <v>1</v>
      </c>
      <c r="AK584" s="20"/>
      <c r="AL584" s="21"/>
      <c r="AM584" s="19">
        <v>1</v>
      </c>
      <c r="AN584" s="20">
        <v>0</v>
      </c>
      <c r="AO584" s="20">
        <v>0</v>
      </c>
      <c r="AP584" s="20">
        <v>0</v>
      </c>
      <c r="AQ584" s="20">
        <v>2</v>
      </c>
      <c r="AR584" s="20">
        <v>0</v>
      </c>
      <c r="AS584" s="20">
        <v>1</v>
      </c>
      <c r="AT584" s="20">
        <v>0</v>
      </c>
      <c r="AU584" s="20">
        <v>0</v>
      </c>
      <c r="AV584" s="23">
        <v>0</v>
      </c>
      <c r="AW584" s="108"/>
      <c r="AX584" s="108"/>
      <c r="AY584" s="108"/>
      <c r="AZ584" s="108"/>
      <c r="BA584" s="114"/>
      <c r="BB584" s="20">
        <v>0</v>
      </c>
      <c r="BC584" s="113"/>
      <c r="BD584" s="200" t="str">
        <f>VLOOKUP($A584,'[3]allergenen 6nr'!$A$1:$O$1310,3,FALSE)</f>
        <v>-</v>
      </c>
      <c r="BE584" s="201" t="str">
        <f>VLOOKUP($A584,'[3]allergenen 6nr'!$A$1:$O$1310,4,FALSE)</f>
        <v>X</v>
      </c>
      <c r="BF584" s="201" t="str">
        <f>VLOOKUP($A584,'[3]allergenen 6nr'!$A$1:$O$1310,5,FALSE)</f>
        <v>+</v>
      </c>
      <c r="BG584" s="201" t="str">
        <f>VLOOKUP($A584,'[3]allergenen 6nr'!$A$1:$O$1310,6,FALSE)</f>
        <v>-</v>
      </c>
      <c r="BH584" s="201" t="str">
        <f>VLOOKUP($A584,'[3]allergenen 6nr'!$A$1:$O$1310,7,FALSE)</f>
        <v>X</v>
      </c>
      <c r="BI584" s="201" t="str">
        <f>VLOOKUP($A584,'[3]allergenen 6nr'!$A$1:$O$1310,8,FALSE)</f>
        <v>X</v>
      </c>
      <c r="BJ584" s="201" t="str">
        <f>VLOOKUP($A584,'[3]allergenen 6nr'!$A$1:$O$1310,9,FALSE)</f>
        <v>-</v>
      </c>
      <c r="BK584" s="201" t="str">
        <f>VLOOKUP($A584,'[3]allergenen 6nr'!$A$1:$O$1310,10,FALSE)</f>
        <v>-</v>
      </c>
      <c r="BL584" s="201" t="str">
        <f>VLOOKUP($A584,'[3]allergenen 6nr'!$A$1:$O$1310,11,FALSE)</f>
        <v>+</v>
      </c>
      <c r="BM584" s="201" t="str">
        <f>VLOOKUP($A584,'[3]allergenen 6nr'!$A$1:$O$1310,12,FALSE)</f>
        <v>+</v>
      </c>
      <c r="BN584" s="201" t="str">
        <f>VLOOKUP($A584,'[3]allergenen 6nr'!$A$1:$O$1310,13,FALSE)</f>
        <v>+</v>
      </c>
      <c r="BO584" s="201" t="str">
        <f>VLOOKUP($A584,'[3]allergenen 6nr'!$A$1:$O$1310,14,FALSE)</f>
        <v>-</v>
      </c>
      <c r="BP584" s="202" t="str">
        <f>VLOOKUP($A584,'[3]allergenen 6nr'!$A$1:$O$1310,15,FALSE)</f>
        <v>-</v>
      </c>
    </row>
    <row r="585" spans="1:68" x14ac:dyDescent="0.2">
      <c r="A585" s="54">
        <v>66801300</v>
      </c>
      <c r="B585" s="53" t="str">
        <f>VLOOKUP($A585,[1]maaltijden!$A$1:$IV$65536,4,FALSE)</f>
        <v>MAMA'S KIP MADRAS BASMATI RODE RIJST GROENTEN NL FR D 400G</v>
      </c>
      <c r="C585" s="46" t="str">
        <f>VLOOKUP($A585,[1]maaltijden!$A$1:$IV$65536,7,FALSE)</f>
        <v>NOVATO KRAFT</v>
      </c>
      <c r="D585" s="22" t="str">
        <f>VLOOKUP($A585,[1]maaltijden!$A$1:$IV$65536,10,FALSE)</f>
        <v>H25</v>
      </c>
      <c r="E585" s="22" t="str">
        <f>VLOOKUP($A585,[1]maaltijden!$A$1:$IV$65536,13,FALSE)</f>
        <v>Shrink H25 x 5</v>
      </c>
      <c r="F585" s="20">
        <v>0</v>
      </c>
      <c r="G585" s="20" t="str">
        <f>VLOOKUP($A585,[1]maaltijden!$A$1:$IV$65536,27,FALSE)</f>
        <v>! !</v>
      </c>
      <c r="H585" s="22">
        <f>VLOOKUP($A585,[1]maaltijden!$A$1:$IV$65536,21,FALSE)</f>
        <v>7</v>
      </c>
      <c r="I585" s="22">
        <f>VLOOKUP($A585,[1]maaltijden!$A$1:$IV$65536,21,FALSE)</f>
        <v>7</v>
      </c>
      <c r="J585" s="22">
        <f>VLOOKUP($A585,[1]maaltijden!$A$1:$IV$65536,18,FALSE)</f>
        <v>2</v>
      </c>
      <c r="K585" s="22">
        <f>VLOOKUP($A585,[1]maaltijden!$A$1:$IV$65536,17,FALSE)</f>
        <v>3</v>
      </c>
      <c r="L585" s="22">
        <f>VLOOKUP($A585,[1]maaltijden!$A$1:$IV$65536,20,FALSE)</f>
        <v>3500</v>
      </c>
      <c r="M585" s="22">
        <f>VLOOKUP($A585,[1]maaltijden!$A$1:$IV$65536,22,FALSE)</f>
        <v>3500</v>
      </c>
      <c r="N585" s="135"/>
      <c r="O585" s="50">
        <v>0</v>
      </c>
      <c r="P585" s="19">
        <v>1</v>
      </c>
      <c r="Q585" s="20">
        <v>0</v>
      </c>
      <c r="R585" s="21">
        <v>0</v>
      </c>
      <c r="S585" s="19">
        <v>1</v>
      </c>
      <c r="T585" s="20">
        <v>0</v>
      </c>
      <c r="U585" s="19">
        <v>0</v>
      </c>
      <c r="V585" s="20">
        <v>1</v>
      </c>
      <c r="W585" s="20">
        <v>1</v>
      </c>
      <c r="X585" s="20">
        <v>1</v>
      </c>
      <c r="Y585" s="20">
        <v>1</v>
      </c>
      <c r="Z585" s="20">
        <v>1</v>
      </c>
      <c r="AA585" s="20">
        <v>0</v>
      </c>
      <c r="AB585" s="49">
        <v>1</v>
      </c>
      <c r="AC585" s="49">
        <v>0</v>
      </c>
      <c r="AD585" s="49">
        <v>0</v>
      </c>
      <c r="AE585" s="49">
        <v>0</v>
      </c>
      <c r="AF585" s="49">
        <v>0</v>
      </c>
      <c r="AG585" s="161">
        <v>1</v>
      </c>
      <c r="AH585" s="168">
        <v>1</v>
      </c>
      <c r="AI585" s="168">
        <v>1</v>
      </c>
      <c r="AJ585" s="168">
        <v>1</v>
      </c>
      <c r="AK585" s="20"/>
      <c r="AL585" s="21"/>
      <c r="AM585" s="19">
        <v>1</v>
      </c>
      <c r="AN585" s="20">
        <v>0</v>
      </c>
      <c r="AO585" s="20">
        <v>0</v>
      </c>
      <c r="AP585" s="20">
        <v>0</v>
      </c>
      <c r="AQ585" s="20">
        <v>2</v>
      </c>
      <c r="AR585" s="20">
        <v>0</v>
      </c>
      <c r="AS585" s="20">
        <v>1</v>
      </c>
      <c r="AT585" s="20">
        <v>0</v>
      </c>
      <c r="AU585" s="20">
        <v>0</v>
      </c>
      <c r="AV585" s="23">
        <v>0</v>
      </c>
      <c r="AW585" s="108">
        <v>1</v>
      </c>
      <c r="AX585" s="108">
        <v>1</v>
      </c>
      <c r="AY585" s="108">
        <v>0</v>
      </c>
      <c r="AZ585" s="108"/>
      <c r="BA585" s="114">
        <v>0</v>
      </c>
      <c r="BB585" s="20">
        <v>0</v>
      </c>
      <c r="BC585" s="113">
        <v>0</v>
      </c>
      <c r="BD585" s="200" t="e">
        <f>VLOOKUP($A585,'[3]allergenen 6nr'!$A$1:$O$1310,3,FALSE)</f>
        <v>#N/A</v>
      </c>
      <c r="BE585" s="201" t="e">
        <f>VLOOKUP($A585,'[3]allergenen 6nr'!$A$1:$O$1310,4,FALSE)</f>
        <v>#N/A</v>
      </c>
      <c r="BF585" s="201" t="e">
        <f>VLOOKUP($A585,'[3]allergenen 6nr'!$A$1:$O$1310,5,FALSE)</f>
        <v>#N/A</v>
      </c>
      <c r="BG585" s="201" t="e">
        <f>VLOOKUP($A585,'[3]allergenen 6nr'!$A$1:$O$1310,6,FALSE)</f>
        <v>#N/A</v>
      </c>
      <c r="BH585" s="201" t="e">
        <f>VLOOKUP($A585,'[3]allergenen 6nr'!$A$1:$O$1310,7,FALSE)</f>
        <v>#N/A</v>
      </c>
      <c r="BI585" s="201" t="e">
        <f>VLOOKUP($A585,'[3]allergenen 6nr'!$A$1:$O$1310,8,FALSE)</f>
        <v>#N/A</v>
      </c>
      <c r="BJ585" s="201" t="e">
        <f>VLOOKUP($A585,'[3]allergenen 6nr'!$A$1:$O$1310,9,FALSE)</f>
        <v>#N/A</v>
      </c>
      <c r="BK585" s="201" t="e">
        <f>VLOOKUP($A585,'[3]allergenen 6nr'!$A$1:$O$1310,10,FALSE)</f>
        <v>#N/A</v>
      </c>
      <c r="BL585" s="201" t="e">
        <f>VLOOKUP($A585,'[3]allergenen 6nr'!$A$1:$O$1310,11,FALSE)</f>
        <v>#N/A</v>
      </c>
      <c r="BM585" s="201" t="e">
        <f>VLOOKUP($A585,'[3]allergenen 6nr'!$A$1:$O$1310,12,FALSE)</f>
        <v>#N/A</v>
      </c>
      <c r="BN585" s="201" t="e">
        <f>VLOOKUP($A585,'[3]allergenen 6nr'!$A$1:$O$1310,13,FALSE)</f>
        <v>#N/A</v>
      </c>
      <c r="BO585" s="201" t="e">
        <f>VLOOKUP($A585,'[3]allergenen 6nr'!$A$1:$O$1310,14,FALSE)</f>
        <v>#N/A</v>
      </c>
      <c r="BP585" s="202" t="e">
        <f>VLOOKUP($A585,'[3]allergenen 6nr'!$A$1:$O$1310,15,FALSE)</f>
        <v>#N/A</v>
      </c>
    </row>
    <row r="586" spans="1:68" x14ac:dyDescent="0.2">
      <c r="A586" s="54">
        <v>66801400</v>
      </c>
      <c r="B586" s="53" t="str">
        <f>VLOOKUP($A586,[1]maaltijden!$A$1:$IV$65536,4,FALSE)</f>
        <v>MAMA'S KIP TERIYAKI PANDAN GROENTEMIX 400G</v>
      </c>
      <c r="C586" s="46" t="str">
        <f>VLOOKUP($A586,[1]maaltijden!$A$1:$IV$65536,7,FALSE)</f>
        <v>NOVATO KRAFT</v>
      </c>
      <c r="D586" s="22" t="str">
        <f>VLOOKUP($A586,[1]maaltijden!$A$1:$IV$65536,10,FALSE)</f>
        <v>H25</v>
      </c>
      <c r="E586" s="22" t="str">
        <f>VLOOKUP($A586,[1]maaltijden!$A$1:$IV$65536,13,FALSE)</f>
        <v>Shrink H25 x 5</v>
      </c>
      <c r="F586" s="20">
        <v>0</v>
      </c>
      <c r="G586" s="20" t="str">
        <f>VLOOKUP($A586,[1]maaltijden!$A$1:$IV$65536,27,FALSE)</f>
        <v>! ! ! ! !</v>
      </c>
      <c r="H586" s="22">
        <f>VLOOKUP($A586,[1]maaltijden!$A$1:$IV$65536,21,FALSE)</f>
        <v>6</v>
      </c>
      <c r="I586" s="22">
        <f>VLOOKUP($A586,[1]maaltijden!$A$1:$IV$65536,21,FALSE)</f>
        <v>6</v>
      </c>
      <c r="J586" s="22">
        <f>VLOOKUP($A586,[1]maaltijden!$A$1:$IV$65536,18,FALSE)</f>
        <v>2</v>
      </c>
      <c r="K586" s="22">
        <f>VLOOKUP($A586,[1]maaltijden!$A$1:$IV$65536,17,FALSE)</f>
        <v>3</v>
      </c>
      <c r="L586" s="22">
        <f>VLOOKUP($A586,[1]maaltijden!$A$1:$IV$65536,20,FALSE)</f>
        <v>3500</v>
      </c>
      <c r="M586" s="50">
        <f>VLOOKUP($A586,[1]maaltijden!$A$1:$IV$65536,22,FALSE)</f>
        <v>3500</v>
      </c>
      <c r="N586" s="135"/>
      <c r="O586" s="20">
        <v>66802100</v>
      </c>
      <c r="P586" s="19">
        <v>1</v>
      </c>
      <c r="Q586" s="20">
        <v>0</v>
      </c>
      <c r="R586" s="21">
        <v>0</v>
      </c>
      <c r="S586" s="19">
        <v>1</v>
      </c>
      <c r="T586" s="20">
        <v>0</v>
      </c>
      <c r="U586" s="19">
        <v>1</v>
      </c>
      <c r="V586" s="20">
        <v>1</v>
      </c>
      <c r="W586" s="20">
        <v>1</v>
      </c>
      <c r="X586" s="20">
        <v>1</v>
      </c>
      <c r="Y586" s="20">
        <v>1</v>
      </c>
      <c r="Z586" s="20">
        <v>0</v>
      </c>
      <c r="AA586" s="20">
        <v>0</v>
      </c>
      <c r="AB586" s="49">
        <v>0</v>
      </c>
      <c r="AC586" s="49">
        <v>1</v>
      </c>
      <c r="AD586" s="49">
        <v>0</v>
      </c>
      <c r="AE586" s="49">
        <v>1</v>
      </c>
      <c r="AF586" s="49">
        <v>0</v>
      </c>
      <c r="AG586" s="161">
        <v>1</v>
      </c>
      <c r="AH586" s="168">
        <v>1</v>
      </c>
      <c r="AI586" s="20"/>
      <c r="AJ586" s="168">
        <v>1</v>
      </c>
      <c r="AK586" s="20"/>
      <c r="AL586" s="21"/>
      <c r="AM586" s="19">
        <v>1</v>
      </c>
      <c r="AN586" s="20">
        <v>0</v>
      </c>
      <c r="AO586" s="20">
        <v>0</v>
      </c>
      <c r="AP586" s="20">
        <v>0</v>
      </c>
      <c r="AQ586" s="20">
        <v>2</v>
      </c>
      <c r="AR586" s="20">
        <v>0</v>
      </c>
      <c r="AS586" s="20">
        <v>1</v>
      </c>
      <c r="AT586" s="20">
        <v>0</v>
      </c>
      <c r="AU586" s="20">
        <v>0</v>
      </c>
      <c r="AV586" s="23">
        <v>0</v>
      </c>
      <c r="AW586" s="108"/>
      <c r="AX586" s="108"/>
      <c r="AY586" s="108"/>
      <c r="AZ586" s="108"/>
      <c r="BA586" s="114"/>
      <c r="BB586" s="20">
        <v>0</v>
      </c>
      <c r="BC586" s="113"/>
      <c r="BD586" s="200" t="str">
        <f>VLOOKUP($A586,'[3]allergenen 6nr'!$A$1:$O$1310,3,FALSE)</f>
        <v>-</v>
      </c>
      <c r="BE586" s="201" t="str">
        <f>VLOOKUP($A586,'[3]allergenen 6nr'!$A$1:$O$1310,4,FALSE)</f>
        <v>-</v>
      </c>
      <c r="BF586" s="201" t="str">
        <f>VLOOKUP($A586,'[3]allergenen 6nr'!$A$1:$O$1310,5,FALSE)</f>
        <v>-</v>
      </c>
      <c r="BG586" s="201" t="str">
        <f>VLOOKUP($A586,'[3]allergenen 6nr'!$A$1:$O$1310,6,FALSE)</f>
        <v>-</v>
      </c>
      <c r="BH586" s="201" t="str">
        <f>VLOOKUP($A586,'[3]allergenen 6nr'!$A$1:$O$1310,7,FALSE)</f>
        <v>-</v>
      </c>
      <c r="BI586" s="201" t="str">
        <f>VLOOKUP($A586,'[3]allergenen 6nr'!$A$1:$O$1310,8,FALSE)</f>
        <v>-</v>
      </c>
      <c r="BJ586" s="201" t="str">
        <f>VLOOKUP($A586,'[3]allergenen 6nr'!$A$1:$O$1310,9,FALSE)</f>
        <v>-</v>
      </c>
      <c r="BK586" s="201" t="str">
        <f>VLOOKUP($A586,'[3]allergenen 6nr'!$A$1:$O$1310,10,FALSE)</f>
        <v>-</v>
      </c>
      <c r="BL586" s="201" t="str">
        <f>VLOOKUP($A586,'[3]allergenen 6nr'!$A$1:$O$1310,11,FALSE)</f>
        <v>-</v>
      </c>
      <c r="BM586" s="201" t="str">
        <f>VLOOKUP($A586,'[3]allergenen 6nr'!$A$1:$O$1310,12,FALSE)</f>
        <v>+</v>
      </c>
      <c r="BN586" s="201" t="str">
        <f>VLOOKUP($A586,'[3]allergenen 6nr'!$A$1:$O$1310,13,FALSE)</f>
        <v>+</v>
      </c>
      <c r="BO586" s="201" t="str">
        <f>VLOOKUP($A586,'[3]allergenen 6nr'!$A$1:$O$1310,14,FALSE)</f>
        <v>-</v>
      </c>
      <c r="BP586" s="202" t="str">
        <f>VLOOKUP($A586,'[3]allergenen 6nr'!$A$1:$O$1310,15,FALSE)</f>
        <v>-</v>
      </c>
    </row>
    <row r="587" spans="1:68" x14ac:dyDescent="0.2">
      <c r="A587" s="55">
        <v>66801700</v>
      </c>
      <c r="B587" s="53" t="str">
        <f>VLOOKUP($A587,[1]maaltijden!$A$1:$IV$65536,4,FALSE)</f>
        <v>MAMA'S RISOTTO KIP BOSCHAMPIGNON 400G</v>
      </c>
      <c r="C587" s="46" t="str">
        <f>VLOOKUP($A587,[1]maaltijden!$A$1:$IV$65536,7,FALSE)</f>
        <v>NOVATO KRAFT</v>
      </c>
      <c r="D587" s="22" t="str">
        <f>VLOOKUP($A587,[1]maaltijden!$A$1:$IV$65536,10,FALSE)</f>
        <v>H25</v>
      </c>
      <c r="E587" s="22" t="str">
        <f>VLOOKUP($A587,[1]maaltijden!$A$1:$IV$65536,13,FALSE)</f>
        <v>Shrink H25 x 5</v>
      </c>
      <c r="F587" s="20">
        <v>0</v>
      </c>
      <c r="G587" s="20" t="str">
        <f>VLOOKUP($A587,[1]maaltijden!$A$1:$IV$65536,27,FALSE)</f>
        <v>! !</v>
      </c>
      <c r="H587" s="22">
        <f>VLOOKUP($A587,[1]maaltijden!$A$1:$IV$65536,21,FALSE)</f>
        <v>3</v>
      </c>
      <c r="I587" s="22">
        <f>VLOOKUP($A587,[1]maaltijden!$A$1:$IV$65536,21,FALSE)</f>
        <v>3</v>
      </c>
      <c r="J587" s="22">
        <f>VLOOKUP($A587,[1]maaltijden!$A$1:$IV$65536,18,FALSE)</f>
        <v>2</v>
      </c>
      <c r="K587" s="22">
        <f>VLOOKUP($A587,[1]maaltijden!$A$1:$IV$65536,17,FALSE)</f>
        <v>2</v>
      </c>
      <c r="L587" s="22">
        <f>VLOOKUP($A587,[1]maaltijden!$A$1:$IV$65536,20,FALSE)</f>
        <v>3500</v>
      </c>
      <c r="M587" s="50">
        <f>VLOOKUP($A587,[1]maaltijden!$A$1:$IV$65536,22,FALSE)</f>
        <v>3500</v>
      </c>
      <c r="N587" s="135"/>
      <c r="O587" s="22" t="s">
        <v>235</v>
      </c>
      <c r="P587" s="19">
        <v>1</v>
      </c>
      <c r="Q587" s="20">
        <v>0</v>
      </c>
      <c r="R587" s="21">
        <v>0</v>
      </c>
      <c r="S587" s="19">
        <v>1</v>
      </c>
      <c r="T587" s="20">
        <v>0</v>
      </c>
      <c r="U587" s="19">
        <v>1</v>
      </c>
      <c r="V587" s="20">
        <v>1</v>
      </c>
      <c r="W587" s="20">
        <v>1</v>
      </c>
      <c r="X587" s="20">
        <v>1</v>
      </c>
      <c r="Y587" s="20">
        <v>1</v>
      </c>
      <c r="Z587" s="20">
        <v>0</v>
      </c>
      <c r="AA587" s="20">
        <v>0</v>
      </c>
      <c r="AB587" s="49">
        <v>1</v>
      </c>
      <c r="AC587" s="49">
        <v>1</v>
      </c>
      <c r="AD587" s="49">
        <v>1</v>
      </c>
      <c r="AE587" s="49">
        <v>0</v>
      </c>
      <c r="AF587" s="49">
        <v>0</v>
      </c>
      <c r="AG587" s="161">
        <v>1</v>
      </c>
      <c r="AH587" s="20"/>
      <c r="AI587" s="168">
        <v>1</v>
      </c>
      <c r="AJ587" s="20"/>
      <c r="AK587" s="20"/>
      <c r="AL587" s="21"/>
      <c r="AM587" s="19">
        <v>1</v>
      </c>
      <c r="AN587" s="20">
        <v>0</v>
      </c>
      <c r="AO587" s="20">
        <v>0</v>
      </c>
      <c r="AP587" s="20">
        <v>1</v>
      </c>
      <c r="AQ587" s="20">
        <v>2</v>
      </c>
      <c r="AR587" s="20">
        <v>0</v>
      </c>
      <c r="AS587" s="20">
        <v>1</v>
      </c>
      <c r="AT587" s="20">
        <v>0</v>
      </c>
      <c r="AU587" s="20">
        <v>0</v>
      </c>
      <c r="AV587" s="23">
        <v>0</v>
      </c>
      <c r="AW587" s="108"/>
      <c r="AX587" s="108"/>
      <c r="AY587" s="108"/>
      <c r="AZ587" s="108"/>
      <c r="BA587" s="114"/>
      <c r="BB587" s="20">
        <v>0</v>
      </c>
      <c r="BC587" s="113"/>
      <c r="BD587" s="200" t="str">
        <f>VLOOKUP($A587,'[3]allergenen 6nr'!$A$1:$O$1310,3,FALSE)</f>
        <v>-</v>
      </c>
      <c r="BE587" s="201" t="str">
        <f>VLOOKUP($A587,'[3]allergenen 6nr'!$A$1:$O$1310,4,FALSE)</f>
        <v>-</v>
      </c>
      <c r="BF587" s="201" t="str">
        <f>VLOOKUP($A587,'[3]allergenen 6nr'!$A$1:$O$1310,5,FALSE)</f>
        <v>X</v>
      </c>
      <c r="BG587" s="201" t="str">
        <f>VLOOKUP($A587,'[3]allergenen 6nr'!$A$1:$O$1310,6,FALSE)</f>
        <v>-</v>
      </c>
      <c r="BH587" s="201" t="str">
        <f>VLOOKUP($A587,'[3]allergenen 6nr'!$A$1:$O$1310,7,FALSE)</f>
        <v>+</v>
      </c>
      <c r="BI587" s="201" t="str">
        <f>VLOOKUP($A587,'[3]allergenen 6nr'!$A$1:$O$1310,8,FALSE)</f>
        <v>X</v>
      </c>
      <c r="BJ587" s="201" t="str">
        <f>VLOOKUP($A587,'[3]allergenen 6nr'!$A$1:$O$1310,9,FALSE)</f>
        <v>-</v>
      </c>
      <c r="BK587" s="201" t="str">
        <f>VLOOKUP($A587,'[3]allergenen 6nr'!$A$1:$O$1310,10,FALSE)</f>
        <v>-</v>
      </c>
      <c r="BL587" s="201" t="str">
        <f>VLOOKUP($A587,'[3]allergenen 6nr'!$A$1:$O$1310,11,FALSE)</f>
        <v>X</v>
      </c>
      <c r="BM587" s="201" t="str">
        <f>VLOOKUP($A587,'[3]allergenen 6nr'!$A$1:$O$1310,12,FALSE)</f>
        <v>-</v>
      </c>
      <c r="BN587" s="201" t="str">
        <f>VLOOKUP($A587,'[3]allergenen 6nr'!$A$1:$O$1310,13,FALSE)</f>
        <v>-</v>
      </c>
      <c r="BO587" s="201" t="str">
        <f>VLOOKUP($A587,'[3]allergenen 6nr'!$A$1:$O$1310,14,FALSE)</f>
        <v>-</v>
      </c>
      <c r="BP587" s="202" t="str">
        <f>VLOOKUP($A587,'[3]allergenen 6nr'!$A$1:$O$1310,15,FALSE)</f>
        <v>-</v>
      </c>
    </row>
    <row r="588" spans="1:68" x14ac:dyDescent="0.2">
      <c r="A588" s="54">
        <v>66801800</v>
      </c>
      <c r="B588" s="53" t="str">
        <f>VLOOKUP($A588,[1]maaltijden!$A$1:$IV$65536,4,FALSE)</f>
        <v>MAMA'S KABELJAUW MOSTERDSAUS STAMPPOT 400G</v>
      </c>
      <c r="C588" s="46" t="str">
        <f>VLOOKUP($A588,[1]maaltijden!$A$1:$IV$65536,7,FALSE)</f>
        <v>NOVATO KRAFT</v>
      </c>
      <c r="D588" s="22" t="str">
        <f>VLOOKUP($A588,[1]maaltijden!$A$1:$IV$65536,10,FALSE)</f>
        <v>H25</v>
      </c>
      <c r="E588" s="22" t="str">
        <f>VLOOKUP($A588,[1]maaltijden!$A$1:$IV$65536,13,FALSE)</f>
        <v>Shrink H25 x 5</v>
      </c>
      <c r="F588" s="20">
        <v>0</v>
      </c>
      <c r="G588" s="20" t="str">
        <f>VLOOKUP($A588,[1]maaltijden!$A$1:$IV$65536,27,FALSE)</f>
        <v>! ! ! !</v>
      </c>
      <c r="H588" s="22">
        <f>VLOOKUP($A588,[1]maaltijden!$A$1:$IV$65536,21,FALSE)</f>
        <v>4</v>
      </c>
      <c r="I588" s="22">
        <f>VLOOKUP($A588,[1]maaltijden!$A$1:$IV$65536,21,FALSE)</f>
        <v>4</v>
      </c>
      <c r="J588" s="22">
        <f>VLOOKUP($A588,[1]maaltijden!$A$1:$IV$65536,18,FALSE)</f>
        <v>2</v>
      </c>
      <c r="K588" s="22">
        <f>VLOOKUP($A588,[1]maaltijden!$A$1:$IV$65536,17,FALSE)</f>
        <v>3</v>
      </c>
      <c r="L588" s="22">
        <f>VLOOKUP($A588,[1]maaltijden!$A$1:$IV$65536,20,FALSE)</f>
        <v>3500</v>
      </c>
      <c r="M588" s="50">
        <f>VLOOKUP($A588,[1]maaltijden!$A$1:$IV$65536,22,FALSE)</f>
        <v>3500</v>
      </c>
      <c r="N588" s="135"/>
      <c r="O588" s="22">
        <v>0</v>
      </c>
      <c r="P588" s="19">
        <v>1</v>
      </c>
      <c r="Q588" s="20">
        <v>0</v>
      </c>
      <c r="R588" s="21">
        <v>0</v>
      </c>
      <c r="S588" s="19">
        <v>1</v>
      </c>
      <c r="T588" s="20">
        <v>0</v>
      </c>
      <c r="U588" s="19"/>
      <c r="V588" s="20"/>
      <c r="W588" s="20"/>
      <c r="X588" s="20"/>
      <c r="Y588" s="20"/>
      <c r="Z588" s="20"/>
      <c r="AA588" s="20"/>
      <c r="AB588" s="49"/>
      <c r="AC588" s="49"/>
      <c r="AD588" s="49"/>
      <c r="AE588" s="49"/>
      <c r="AF588" s="49"/>
      <c r="AG588" s="161">
        <v>0</v>
      </c>
      <c r="AH588" s="168">
        <v>2</v>
      </c>
      <c r="AI588" s="168">
        <v>1</v>
      </c>
      <c r="AJ588" s="20"/>
      <c r="AK588" s="20"/>
      <c r="AL588" s="21"/>
      <c r="AM588" s="19">
        <v>0</v>
      </c>
      <c r="AN588" s="20">
        <v>0</v>
      </c>
      <c r="AO588" s="20">
        <v>0</v>
      </c>
      <c r="AP588" s="20">
        <v>0</v>
      </c>
      <c r="AQ588" s="20">
        <v>2</v>
      </c>
      <c r="AR588" s="20">
        <v>2</v>
      </c>
      <c r="AS588" s="20">
        <v>0</v>
      </c>
      <c r="AT588" s="20">
        <v>0</v>
      </c>
      <c r="AU588" s="20">
        <v>0</v>
      </c>
      <c r="AV588" s="23">
        <v>0</v>
      </c>
      <c r="AW588" s="108"/>
      <c r="AX588" s="108"/>
      <c r="AY588" s="108"/>
      <c r="AZ588" s="108"/>
      <c r="BA588" s="114"/>
      <c r="BB588" s="20">
        <v>0</v>
      </c>
      <c r="BC588" s="113"/>
      <c r="BD588" s="200" t="str">
        <f>VLOOKUP($A588,'[3]allergenen 6nr'!$A$1:$O$1310,3,FALSE)</f>
        <v>-</v>
      </c>
      <c r="BE588" s="201" t="str">
        <f>VLOOKUP($A588,'[3]allergenen 6nr'!$A$1:$O$1310,4,FALSE)</f>
        <v>-</v>
      </c>
      <c r="BF588" s="201" t="str">
        <f>VLOOKUP($A588,'[3]allergenen 6nr'!$A$1:$O$1310,5,FALSE)</f>
        <v>+</v>
      </c>
      <c r="BG588" s="201" t="str">
        <f>VLOOKUP($A588,'[3]allergenen 6nr'!$A$1:$O$1310,6,FALSE)</f>
        <v>-</v>
      </c>
      <c r="BH588" s="201" t="str">
        <f>VLOOKUP($A588,'[3]allergenen 6nr'!$A$1:$O$1310,7,FALSE)</f>
        <v>+</v>
      </c>
      <c r="BI588" s="201" t="str">
        <f>VLOOKUP($A588,'[3]allergenen 6nr'!$A$1:$O$1310,8,FALSE)</f>
        <v>+</v>
      </c>
      <c r="BJ588" s="201" t="str">
        <f>VLOOKUP($A588,'[3]allergenen 6nr'!$A$1:$O$1310,9,FALSE)</f>
        <v>-</v>
      </c>
      <c r="BK588" s="201" t="str">
        <f>VLOOKUP($A588,'[3]allergenen 6nr'!$A$1:$O$1310,10,FALSE)</f>
        <v>X</v>
      </c>
      <c r="BL588" s="201" t="str">
        <f>VLOOKUP($A588,'[3]allergenen 6nr'!$A$1:$O$1310,11,FALSE)</f>
        <v>+</v>
      </c>
      <c r="BM588" s="201" t="str">
        <f>VLOOKUP($A588,'[3]allergenen 6nr'!$A$1:$O$1310,12,FALSE)</f>
        <v>-</v>
      </c>
      <c r="BN588" s="201" t="str">
        <f>VLOOKUP($A588,'[3]allergenen 6nr'!$A$1:$O$1310,13,FALSE)</f>
        <v>X</v>
      </c>
      <c r="BO588" s="201" t="str">
        <f>VLOOKUP($A588,'[3]allergenen 6nr'!$A$1:$O$1310,14,FALSE)</f>
        <v>+</v>
      </c>
      <c r="BP588" s="202" t="str">
        <f>VLOOKUP($A588,'[3]allergenen 6nr'!$A$1:$O$1310,15,FALSE)</f>
        <v>X</v>
      </c>
    </row>
    <row r="589" spans="1:68" x14ac:dyDescent="0.2">
      <c r="A589" s="54">
        <v>66802100</v>
      </c>
      <c r="B589" s="53" t="str">
        <f>VLOOKUP($A589,[1]maaltijden!$A$1:$IV$65536,4,FALSE)</f>
        <v>MAMA'S KIP TERIYAKI PANDAN GROENTEMIX NL FR D 400G</v>
      </c>
      <c r="C589" s="46" t="str">
        <f>VLOOKUP($A589,[1]maaltijden!$A$1:$IV$65536,7,FALSE)</f>
        <v>NOVATO KRAFT</v>
      </c>
      <c r="D589" s="22" t="str">
        <f>VLOOKUP($A589,[1]maaltijden!$A$1:$IV$65536,10,FALSE)</f>
        <v>H25</v>
      </c>
      <c r="E589" s="22" t="str">
        <f>VLOOKUP($A589,[1]maaltijden!$A$1:$IV$65536,13,FALSE)</f>
        <v>Shrink H25 x 5</v>
      </c>
      <c r="F589" s="20">
        <v>0</v>
      </c>
      <c r="G589" s="20" t="str">
        <f>VLOOKUP($A589,[1]maaltijden!$A$1:$IV$65536,27,FALSE)</f>
        <v>! ! ! ! !</v>
      </c>
      <c r="H589" s="22">
        <f>VLOOKUP($A589,[1]maaltijden!$A$1:$IV$65536,21,FALSE)</f>
        <v>6</v>
      </c>
      <c r="I589" s="22">
        <f>VLOOKUP($A589,[1]maaltijden!$A$1:$IV$65536,21,FALSE)</f>
        <v>6</v>
      </c>
      <c r="J589" s="22">
        <f>VLOOKUP($A589,[1]maaltijden!$A$1:$IV$65536,18,FALSE)</f>
        <v>2</v>
      </c>
      <c r="K589" s="22">
        <f>VLOOKUP($A589,[1]maaltijden!$A$1:$IV$65536,17,FALSE)</f>
        <v>3</v>
      </c>
      <c r="L589" s="22">
        <f>VLOOKUP($A589,[1]maaltijden!$A$1:$IV$65536,20,FALSE)</f>
        <v>3500</v>
      </c>
      <c r="M589" s="50">
        <f>VLOOKUP($A589,[1]maaltijden!$A$1:$IV$65536,22,FALSE)</f>
        <v>3500</v>
      </c>
      <c r="N589" s="135"/>
      <c r="O589" s="20">
        <v>66801400</v>
      </c>
      <c r="P589" s="19">
        <v>1</v>
      </c>
      <c r="Q589" s="20">
        <v>0</v>
      </c>
      <c r="R589" s="21">
        <v>0</v>
      </c>
      <c r="S589" s="19">
        <v>1</v>
      </c>
      <c r="T589" s="20">
        <v>0</v>
      </c>
      <c r="U589" s="19">
        <v>1</v>
      </c>
      <c r="V589" s="20">
        <v>1</v>
      </c>
      <c r="W589" s="20">
        <v>1</v>
      </c>
      <c r="X589" s="20">
        <v>1</v>
      </c>
      <c r="Y589" s="20">
        <v>1</v>
      </c>
      <c r="Z589" s="20">
        <v>0</v>
      </c>
      <c r="AA589" s="20">
        <v>0</v>
      </c>
      <c r="AB589" s="49">
        <v>1</v>
      </c>
      <c r="AC589" s="49">
        <v>1</v>
      </c>
      <c r="AD589" s="49">
        <v>1</v>
      </c>
      <c r="AE589" s="49">
        <v>0</v>
      </c>
      <c r="AF589" s="49">
        <v>0</v>
      </c>
      <c r="AG589" s="161">
        <v>1</v>
      </c>
      <c r="AH589" s="168">
        <v>1</v>
      </c>
      <c r="AI589" s="20"/>
      <c r="AJ589" s="168">
        <v>1</v>
      </c>
      <c r="AK589" s="20"/>
      <c r="AL589" s="21"/>
      <c r="AM589" s="19">
        <v>1</v>
      </c>
      <c r="AN589" s="20">
        <v>0</v>
      </c>
      <c r="AO589" s="20">
        <v>0</v>
      </c>
      <c r="AP589" s="20">
        <v>0</v>
      </c>
      <c r="AQ589" s="20">
        <v>2</v>
      </c>
      <c r="AR589" s="20">
        <v>0</v>
      </c>
      <c r="AS589" s="20">
        <v>1</v>
      </c>
      <c r="AT589" s="20">
        <v>0</v>
      </c>
      <c r="AU589" s="20">
        <v>0</v>
      </c>
      <c r="AV589" s="23">
        <v>0</v>
      </c>
      <c r="AW589" s="108"/>
      <c r="AX589" s="108"/>
      <c r="AY589" s="108"/>
      <c r="AZ589" s="108"/>
      <c r="BA589" s="114"/>
      <c r="BB589" s="20">
        <v>0</v>
      </c>
      <c r="BC589" s="113"/>
      <c r="BD589" s="200" t="str">
        <f>VLOOKUP($A589,'[3]allergenen 6nr'!$A$1:$O$1310,3,FALSE)</f>
        <v>-</v>
      </c>
      <c r="BE589" s="201" t="str">
        <f>VLOOKUP($A589,'[3]allergenen 6nr'!$A$1:$O$1310,4,FALSE)</f>
        <v>-</v>
      </c>
      <c r="BF589" s="201" t="str">
        <f>VLOOKUP($A589,'[3]allergenen 6nr'!$A$1:$O$1310,5,FALSE)</f>
        <v>-</v>
      </c>
      <c r="BG589" s="201" t="str">
        <f>VLOOKUP($A589,'[3]allergenen 6nr'!$A$1:$O$1310,6,FALSE)</f>
        <v>-</v>
      </c>
      <c r="BH589" s="201" t="str">
        <f>VLOOKUP($A589,'[3]allergenen 6nr'!$A$1:$O$1310,7,FALSE)</f>
        <v>-</v>
      </c>
      <c r="BI589" s="201" t="str">
        <f>VLOOKUP($A589,'[3]allergenen 6nr'!$A$1:$O$1310,8,FALSE)</f>
        <v>-</v>
      </c>
      <c r="BJ589" s="201" t="str">
        <f>VLOOKUP($A589,'[3]allergenen 6nr'!$A$1:$O$1310,9,FALSE)</f>
        <v>-</v>
      </c>
      <c r="BK589" s="201" t="str">
        <f>VLOOKUP($A589,'[3]allergenen 6nr'!$A$1:$O$1310,10,FALSE)</f>
        <v>-</v>
      </c>
      <c r="BL589" s="201" t="str">
        <f>VLOOKUP($A589,'[3]allergenen 6nr'!$A$1:$O$1310,11,FALSE)</f>
        <v>-</v>
      </c>
      <c r="BM589" s="201" t="str">
        <f>VLOOKUP($A589,'[3]allergenen 6nr'!$A$1:$O$1310,12,FALSE)</f>
        <v>+</v>
      </c>
      <c r="BN589" s="201" t="str">
        <f>VLOOKUP($A589,'[3]allergenen 6nr'!$A$1:$O$1310,13,FALSE)</f>
        <v>+</v>
      </c>
      <c r="BO589" s="201" t="str">
        <f>VLOOKUP($A589,'[3]allergenen 6nr'!$A$1:$O$1310,14,FALSE)</f>
        <v>-</v>
      </c>
      <c r="BP589" s="202" t="str">
        <f>VLOOKUP($A589,'[3]allergenen 6nr'!$A$1:$O$1310,15,FALSE)</f>
        <v>-</v>
      </c>
    </row>
    <row r="590" spans="1:68" ht="12" x14ac:dyDescent="0.2">
      <c r="A590" s="54">
        <v>66802200</v>
      </c>
      <c r="B590" s="53" t="str">
        <f>VLOOKUP($A590,[1]maaltijden!$A$1:$IV$65536,4,FALSE)</f>
        <v>MAMA'S RISOTTO KIP BOSCHAMPIGNON NL FR D 400G</v>
      </c>
      <c r="C590" s="46" t="str">
        <f>VLOOKUP($A590,[1]maaltijden!$A$1:$IV$65536,7,FALSE)</f>
        <v>NOVATO KRAFT</v>
      </c>
      <c r="D590" s="22" t="str">
        <f>VLOOKUP($A590,[1]maaltijden!$A$1:$IV$65536,10,FALSE)</f>
        <v>H25</v>
      </c>
      <c r="E590" s="22" t="str">
        <f>VLOOKUP($A590,[1]maaltijden!$A$1:$IV$65536,13,FALSE)</f>
        <v>Shrink H25 x 5</v>
      </c>
      <c r="F590" s="20">
        <v>0</v>
      </c>
      <c r="G590" s="20" t="str">
        <f>VLOOKUP($A590,[1]maaltijden!$A$1:$IV$65536,27,FALSE)</f>
        <v>! !</v>
      </c>
      <c r="H590" s="22">
        <f>VLOOKUP($A590,[1]maaltijden!$A$1:$IV$65536,21,FALSE)</f>
        <v>3</v>
      </c>
      <c r="I590" s="22">
        <f>VLOOKUP($A590,[1]maaltijden!$A$1:$IV$65536,21,FALSE)</f>
        <v>3</v>
      </c>
      <c r="J590" s="22">
        <f>VLOOKUP($A590,[1]maaltijden!$A$1:$IV$65536,18,FALSE)</f>
        <v>2</v>
      </c>
      <c r="K590" s="22">
        <f>VLOOKUP($A590,[1]maaltijden!$A$1:$IV$65536,17,FALSE)</f>
        <v>2</v>
      </c>
      <c r="L590" s="22">
        <f>VLOOKUP($A590,[1]maaltijden!$A$1:$IV$65536,20,FALSE)</f>
        <v>3500</v>
      </c>
      <c r="M590" s="22">
        <f>VLOOKUP($A590,[1]maaltijden!$A$1:$IV$65536,22,FALSE)</f>
        <v>3500</v>
      </c>
      <c r="N590" s="135"/>
      <c r="O590" s="50">
        <v>66801700</v>
      </c>
      <c r="P590" s="19">
        <v>1</v>
      </c>
      <c r="Q590" s="11">
        <v>0</v>
      </c>
      <c r="R590" s="11">
        <v>0</v>
      </c>
      <c r="S590" s="19">
        <v>1</v>
      </c>
      <c r="T590" s="11">
        <v>0</v>
      </c>
      <c r="U590" s="19">
        <v>1</v>
      </c>
      <c r="AF590" s="56"/>
      <c r="AG590" s="161">
        <v>1</v>
      </c>
      <c r="AI590" s="176">
        <v>1</v>
      </c>
      <c r="AM590" s="19">
        <v>1</v>
      </c>
      <c r="AN590" s="20">
        <v>0</v>
      </c>
      <c r="AO590" s="196">
        <v>0</v>
      </c>
      <c r="AP590" s="11">
        <v>1</v>
      </c>
      <c r="AQ590" s="11">
        <v>2</v>
      </c>
      <c r="AR590" s="11">
        <v>0</v>
      </c>
      <c r="AS590" s="11">
        <v>1</v>
      </c>
      <c r="AT590" s="11">
        <v>0</v>
      </c>
      <c r="AU590" s="196">
        <v>0</v>
      </c>
      <c r="AV590" s="23">
        <v>0</v>
      </c>
      <c r="AW590" s="122"/>
      <c r="BB590" s="20">
        <v>0</v>
      </c>
      <c r="BC590" s="113"/>
      <c r="BD590" s="200" t="str">
        <f>VLOOKUP($A590,'[3]allergenen 6nr'!$A$1:$O$1310,3,FALSE)</f>
        <v>-</v>
      </c>
      <c r="BE590" s="201" t="str">
        <f>VLOOKUP($A590,'[3]allergenen 6nr'!$A$1:$O$1310,4,FALSE)</f>
        <v>-</v>
      </c>
      <c r="BF590" s="201" t="str">
        <f>VLOOKUP($A590,'[3]allergenen 6nr'!$A$1:$O$1310,5,FALSE)</f>
        <v>X</v>
      </c>
      <c r="BG590" s="201" t="str">
        <f>VLOOKUP($A590,'[3]allergenen 6nr'!$A$1:$O$1310,6,FALSE)</f>
        <v>-</v>
      </c>
      <c r="BH590" s="201" t="str">
        <f>VLOOKUP($A590,'[3]allergenen 6nr'!$A$1:$O$1310,7,FALSE)</f>
        <v>+</v>
      </c>
      <c r="BI590" s="201" t="str">
        <f>VLOOKUP($A590,'[3]allergenen 6nr'!$A$1:$O$1310,8,FALSE)</f>
        <v>X</v>
      </c>
      <c r="BJ590" s="201" t="str">
        <f>VLOOKUP($A590,'[3]allergenen 6nr'!$A$1:$O$1310,9,FALSE)</f>
        <v>-</v>
      </c>
      <c r="BK590" s="201" t="str">
        <f>VLOOKUP($A590,'[3]allergenen 6nr'!$A$1:$O$1310,10,FALSE)</f>
        <v>-</v>
      </c>
      <c r="BL590" s="201" t="str">
        <f>VLOOKUP($A590,'[3]allergenen 6nr'!$A$1:$O$1310,11,FALSE)</f>
        <v>X</v>
      </c>
      <c r="BM590" s="201" t="str">
        <f>VLOOKUP($A590,'[3]allergenen 6nr'!$A$1:$O$1310,12,FALSE)</f>
        <v>-</v>
      </c>
      <c r="BN590" s="201" t="str">
        <f>VLOOKUP($A590,'[3]allergenen 6nr'!$A$1:$O$1310,13,FALSE)</f>
        <v>-</v>
      </c>
      <c r="BO590" s="201" t="str">
        <f>VLOOKUP($A590,'[3]allergenen 6nr'!$A$1:$O$1310,14,FALSE)</f>
        <v>-</v>
      </c>
      <c r="BP590" s="202" t="str">
        <f>VLOOKUP($A590,'[3]allergenen 6nr'!$A$1:$O$1310,15,FALSE)</f>
        <v>-</v>
      </c>
    </row>
    <row r="591" spans="1:68" x14ac:dyDescent="0.2">
      <c r="A591" s="54">
        <v>66802300</v>
      </c>
      <c r="B591" s="53" t="str">
        <f>VLOOKUP($A591,[1]maaltijden!$A$1:$IV$65536,4,FALSE)</f>
        <v>MAMA'S BABI PANGANG RIJST SOJABONEN NL-FR-D 400G</v>
      </c>
      <c r="C591" s="46" t="str">
        <f>VLOOKUP($A591,[1]maaltijden!$A$1:$IV$65536,7,FALSE)</f>
        <v>NOVATO KRAFT</v>
      </c>
      <c r="D591" s="22" t="str">
        <f>VLOOKUP($A591,[1]maaltijden!$A$1:$IV$65536,10,FALSE)</f>
        <v>H25</v>
      </c>
      <c r="E591" s="22" t="str">
        <f>VLOOKUP($A591,[1]maaltijden!$A$1:$IV$65536,13,FALSE)</f>
        <v>Shrink H25 x 5</v>
      </c>
      <c r="F591" s="20">
        <v>0</v>
      </c>
      <c r="G591" s="20" t="str">
        <f>VLOOKUP($A591,[1]maaltijden!$A$1:$IV$65536,27,FALSE)</f>
        <v>! ! ! ! !</v>
      </c>
      <c r="H591" s="22">
        <f>VLOOKUP($A591,[1]maaltijden!$A$1:$IV$65536,21,FALSE)</f>
        <v>6</v>
      </c>
      <c r="I591" s="22">
        <f>VLOOKUP($A591,[1]maaltijden!$A$1:$IV$65536,21,FALSE)</f>
        <v>6</v>
      </c>
      <c r="J591" s="22">
        <f>VLOOKUP($A591,[1]maaltijden!$A$1:$IV$65536,18,FALSE)</f>
        <v>2</v>
      </c>
      <c r="K591" s="22">
        <f>VLOOKUP($A591,[1]maaltijden!$A$1:$IV$65536,17,FALSE)</f>
        <v>3</v>
      </c>
      <c r="L591" s="22">
        <f>VLOOKUP($A591,[1]maaltijden!$A$1:$IV$65536,20,FALSE)</f>
        <v>3500</v>
      </c>
      <c r="M591" s="22">
        <f>VLOOKUP($A591,[1]maaltijden!$A$1:$IV$65536,22,FALSE)</f>
        <v>3500</v>
      </c>
      <c r="N591" s="135"/>
      <c r="O591" s="50">
        <v>66801200</v>
      </c>
      <c r="P591" s="19">
        <v>1</v>
      </c>
      <c r="Q591" s="20">
        <v>0</v>
      </c>
      <c r="R591" s="21">
        <v>0</v>
      </c>
      <c r="S591" s="19">
        <v>1</v>
      </c>
      <c r="T591" s="20">
        <v>0</v>
      </c>
      <c r="U591" s="19">
        <v>1</v>
      </c>
      <c r="V591" s="20">
        <v>1</v>
      </c>
      <c r="W591" s="20">
        <v>1</v>
      </c>
      <c r="X591" s="20">
        <v>1</v>
      </c>
      <c r="Y591" s="20">
        <v>1</v>
      </c>
      <c r="Z591" s="20">
        <v>0</v>
      </c>
      <c r="AA591" s="20">
        <v>0</v>
      </c>
      <c r="AB591" s="49"/>
      <c r="AC591" s="49"/>
      <c r="AD591" s="49"/>
      <c r="AE591" s="49">
        <v>0</v>
      </c>
      <c r="AF591" s="49"/>
      <c r="AG591" s="161">
        <v>1</v>
      </c>
      <c r="AH591" s="168">
        <v>1</v>
      </c>
      <c r="AI591" s="168">
        <v>1</v>
      </c>
      <c r="AJ591" s="168">
        <v>1</v>
      </c>
      <c r="AK591" s="20"/>
      <c r="AL591" s="21"/>
      <c r="AM591" s="19">
        <v>1</v>
      </c>
      <c r="AN591" s="20">
        <v>0</v>
      </c>
      <c r="AO591" s="20">
        <v>0</v>
      </c>
      <c r="AP591" s="20">
        <v>0</v>
      </c>
      <c r="AQ591" s="20">
        <v>2</v>
      </c>
      <c r="AR591" s="20">
        <v>0</v>
      </c>
      <c r="AS591" s="20">
        <v>1</v>
      </c>
      <c r="AT591" s="20">
        <v>0</v>
      </c>
      <c r="AU591" s="20">
        <v>0</v>
      </c>
      <c r="AV591" s="23">
        <v>0</v>
      </c>
      <c r="AW591" s="108"/>
      <c r="AX591" s="108"/>
      <c r="AY591" s="108"/>
      <c r="AZ591" s="108"/>
      <c r="BA591" s="114"/>
      <c r="BB591" s="20">
        <v>0</v>
      </c>
      <c r="BC591" s="113"/>
      <c r="BD591" s="200" t="str">
        <f>VLOOKUP($A591,'[3]allergenen 6nr'!$A$1:$O$1310,3,FALSE)</f>
        <v>-</v>
      </c>
      <c r="BE591" s="201" t="str">
        <f>VLOOKUP($A591,'[3]allergenen 6nr'!$A$1:$O$1310,4,FALSE)</f>
        <v>X</v>
      </c>
      <c r="BF591" s="201" t="str">
        <f>VLOOKUP($A591,'[3]allergenen 6nr'!$A$1:$O$1310,5,FALSE)</f>
        <v>+</v>
      </c>
      <c r="BG591" s="201" t="str">
        <f>VLOOKUP($A591,'[3]allergenen 6nr'!$A$1:$O$1310,6,FALSE)</f>
        <v>-</v>
      </c>
      <c r="BH591" s="201" t="str">
        <f>VLOOKUP($A591,'[3]allergenen 6nr'!$A$1:$O$1310,7,FALSE)</f>
        <v>X</v>
      </c>
      <c r="BI591" s="201" t="str">
        <f>VLOOKUP($A591,'[3]allergenen 6nr'!$A$1:$O$1310,8,FALSE)</f>
        <v>X</v>
      </c>
      <c r="BJ591" s="201" t="str">
        <f>VLOOKUP($A591,'[3]allergenen 6nr'!$A$1:$O$1310,9,FALSE)</f>
        <v>-</v>
      </c>
      <c r="BK591" s="201" t="str">
        <f>VLOOKUP($A591,'[3]allergenen 6nr'!$A$1:$O$1310,10,FALSE)</f>
        <v>-</v>
      </c>
      <c r="BL591" s="201" t="str">
        <f>VLOOKUP($A591,'[3]allergenen 6nr'!$A$1:$O$1310,11,FALSE)</f>
        <v>+</v>
      </c>
      <c r="BM591" s="201" t="str">
        <f>VLOOKUP($A591,'[3]allergenen 6nr'!$A$1:$O$1310,12,FALSE)</f>
        <v>+</v>
      </c>
      <c r="BN591" s="201" t="str">
        <f>VLOOKUP($A591,'[3]allergenen 6nr'!$A$1:$O$1310,13,FALSE)</f>
        <v>+</v>
      </c>
      <c r="BO591" s="201" t="str">
        <f>VLOOKUP($A591,'[3]allergenen 6nr'!$A$1:$O$1310,14,FALSE)</f>
        <v>-</v>
      </c>
      <c r="BP591" s="202" t="str">
        <f>VLOOKUP($A591,'[3]allergenen 6nr'!$A$1:$O$1310,15,FALSE)</f>
        <v>-</v>
      </c>
    </row>
    <row r="592" spans="1:68" x14ac:dyDescent="0.2">
      <c r="A592" s="54">
        <v>66802400</v>
      </c>
      <c r="B592" s="53" t="str">
        <f>VLOOKUP($A592,[1]maaltijden!$A$1:$IV$65536,4,FALSE)</f>
        <v>MAMA'S LINGUINE ZALM LOOKBOTER GROENTEMIX NL-FR-D 400G</v>
      </c>
      <c r="C592" s="46" t="str">
        <f>VLOOKUP($A592,[1]maaltijden!$A$1:$IV$65536,7,FALSE)</f>
        <v>NOVATO KRAFT</v>
      </c>
      <c r="D592" s="22" t="str">
        <f>VLOOKUP($A592,[1]maaltijden!$A$1:$IV$65536,10,FALSE)</f>
        <v>H25</v>
      </c>
      <c r="E592" s="22" t="str">
        <f>VLOOKUP($A592,[1]maaltijden!$A$1:$IV$65536,13,FALSE)</f>
        <v>Shrink H25 x 5</v>
      </c>
      <c r="F592" s="20">
        <v>0</v>
      </c>
      <c r="G592" s="20" t="str">
        <f>VLOOKUP($A592,[1]maaltijden!$A$1:$IV$65536,27,FALSE)</f>
        <v>! ! ! !</v>
      </c>
      <c r="H592" s="22">
        <f>VLOOKUP($A592,[1]maaltijden!$A$1:$IV$65536,21,FALSE)</f>
        <v>6</v>
      </c>
      <c r="I592" s="22">
        <f>VLOOKUP($A592,[1]maaltijden!$A$1:$IV$65536,21,FALSE)</f>
        <v>6</v>
      </c>
      <c r="J592" s="22">
        <f>VLOOKUP($A592,[1]maaltijden!$A$1:$IV$65536,18,FALSE)</f>
        <v>2</v>
      </c>
      <c r="K592" s="22">
        <f>VLOOKUP($A592,[1]maaltijden!$A$1:$IV$65536,17,FALSE)</f>
        <v>3</v>
      </c>
      <c r="L592" s="22">
        <f>VLOOKUP($A592,[1]maaltijden!$A$1:$IV$65536,20,FALSE)</f>
        <v>3500</v>
      </c>
      <c r="M592" s="22">
        <f>VLOOKUP($A592,[1]maaltijden!$A$1:$IV$65536,22,FALSE)</f>
        <v>3500</v>
      </c>
      <c r="N592" s="135"/>
      <c r="O592" s="50"/>
      <c r="P592" s="19">
        <v>1</v>
      </c>
      <c r="Q592" s="20">
        <v>0</v>
      </c>
      <c r="R592" s="21">
        <v>0</v>
      </c>
      <c r="S592" s="19">
        <v>1</v>
      </c>
      <c r="T592" s="20">
        <v>0</v>
      </c>
      <c r="U592" s="19"/>
      <c r="V592" s="20"/>
      <c r="W592" s="20"/>
      <c r="X592" s="20"/>
      <c r="Y592" s="20"/>
      <c r="Z592" s="20"/>
      <c r="AA592" s="20"/>
      <c r="AB592" s="49"/>
      <c r="AC592" s="49"/>
      <c r="AD592" s="49"/>
      <c r="AE592" s="49"/>
      <c r="AF592" s="49"/>
      <c r="AG592" s="161">
        <v>1</v>
      </c>
      <c r="AH592" s="168">
        <v>1</v>
      </c>
      <c r="AI592" s="20"/>
      <c r="AJ592" s="168">
        <v>1</v>
      </c>
      <c r="AK592" s="20"/>
      <c r="AL592" s="21"/>
      <c r="AM592" s="19">
        <v>1</v>
      </c>
      <c r="AN592" s="20">
        <v>0</v>
      </c>
      <c r="AO592" s="20">
        <v>0</v>
      </c>
      <c r="AP592" s="20">
        <v>0</v>
      </c>
      <c r="AQ592" s="20">
        <v>2</v>
      </c>
      <c r="AR592" s="20">
        <v>0</v>
      </c>
      <c r="AS592" s="20">
        <v>1</v>
      </c>
      <c r="AT592" s="20">
        <v>0</v>
      </c>
      <c r="AU592" s="20">
        <v>0</v>
      </c>
      <c r="AV592" s="23">
        <v>0</v>
      </c>
      <c r="AW592" s="108"/>
      <c r="AX592" s="108"/>
      <c r="AY592" s="108"/>
      <c r="AZ592" s="108"/>
      <c r="BA592" s="114"/>
      <c r="BB592" s="20">
        <v>0</v>
      </c>
      <c r="BC592" s="113"/>
      <c r="BD592" s="200" t="str">
        <f>VLOOKUP($A592,'[3]allergenen 6nr'!$A$1:$O$1310,3,FALSE)</f>
        <v>-</v>
      </c>
      <c r="BE592" s="201" t="str">
        <f>VLOOKUP($A592,'[3]allergenen 6nr'!$A$1:$O$1310,4,FALSE)</f>
        <v>X</v>
      </c>
      <c r="BF592" s="201" t="str">
        <f>VLOOKUP($A592,'[3]allergenen 6nr'!$A$1:$O$1310,5,FALSE)</f>
        <v>+</v>
      </c>
      <c r="BG592" s="201" t="str">
        <f>VLOOKUP($A592,'[3]allergenen 6nr'!$A$1:$O$1310,6,FALSE)</f>
        <v>X</v>
      </c>
      <c r="BH592" s="201" t="str">
        <f>VLOOKUP($A592,'[3]allergenen 6nr'!$A$1:$O$1310,7,FALSE)</f>
        <v>+</v>
      </c>
      <c r="BI592" s="201" t="str">
        <f>VLOOKUP($A592,'[3]allergenen 6nr'!$A$1:$O$1310,8,FALSE)</f>
        <v>X</v>
      </c>
      <c r="BJ592" s="201" t="str">
        <f>VLOOKUP($A592,'[3]allergenen 6nr'!$A$1:$O$1310,9,FALSE)</f>
        <v>-</v>
      </c>
      <c r="BK592" s="201" t="str">
        <f>VLOOKUP($A592,'[3]allergenen 6nr'!$A$1:$O$1310,10,FALSE)</f>
        <v>-</v>
      </c>
      <c r="BL592" s="201" t="str">
        <f>VLOOKUP($A592,'[3]allergenen 6nr'!$A$1:$O$1310,11,FALSE)</f>
        <v>+</v>
      </c>
      <c r="BM592" s="201" t="str">
        <f>VLOOKUP($A592,'[3]allergenen 6nr'!$A$1:$O$1310,12,FALSE)</f>
        <v>-</v>
      </c>
      <c r="BN592" s="201" t="str">
        <f>VLOOKUP($A592,'[3]allergenen 6nr'!$A$1:$O$1310,13,FALSE)</f>
        <v>X</v>
      </c>
      <c r="BO592" s="201" t="str">
        <f>VLOOKUP($A592,'[3]allergenen 6nr'!$A$1:$O$1310,14,FALSE)</f>
        <v>+</v>
      </c>
      <c r="BP592" s="202" t="str">
        <f>VLOOKUP($A592,'[3]allergenen 6nr'!$A$1:$O$1310,15,FALSE)</f>
        <v>-</v>
      </c>
    </row>
    <row r="593" spans="1:68" x14ac:dyDescent="0.2">
      <c r="A593" s="126">
        <v>66802500</v>
      </c>
      <c r="B593" s="53" t="str">
        <f>VLOOKUP($A593,[1]maaltijden!$A$1:$IV$65536,4,FALSE)</f>
        <v>MAMA S MELANZANE TOMATENSAUS GEHAKT NL-FR-D 400G</v>
      </c>
      <c r="C593" s="46" t="str">
        <f>VLOOKUP($A593,[1]maaltijden!$A$1:$IV$65536,7,FALSE)</f>
        <v>NOVATO KRAFT</v>
      </c>
      <c r="D593" s="22" t="str">
        <f>VLOOKUP($A593,[1]maaltijden!$A$1:$IV$65536,10,FALSE)</f>
        <v>H25</v>
      </c>
      <c r="E593" s="22" t="str">
        <f>VLOOKUP($A593,[1]maaltijden!$A$1:$IV$65536,13,FALSE)</f>
        <v>Shrink H25 x 5</v>
      </c>
      <c r="F593" s="20">
        <v>0</v>
      </c>
      <c r="G593" s="20" t="str">
        <f>VLOOKUP($A593,[1]maaltijden!$A$1:$IV$65536,27,FALSE)</f>
        <v>! ! !</v>
      </c>
      <c r="H593" s="22">
        <f>VLOOKUP($A593,[1]maaltijden!$A$1:$IV$65536,21,FALSE)</f>
        <v>4</v>
      </c>
      <c r="I593" s="22">
        <f>VLOOKUP($A593,[1]maaltijden!$A$1:$IV$65536,21,FALSE)</f>
        <v>4</v>
      </c>
      <c r="J593" s="22">
        <f>VLOOKUP($A593,[1]maaltijden!$A$1:$IV$65536,18,FALSE)</f>
        <v>2</v>
      </c>
      <c r="K593" s="22">
        <f>VLOOKUP($A593,[1]maaltijden!$A$1:$IV$65536,17,FALSE)</f>
        <v>2</v>
      </c>
      <c r="L593" s="22">
        <f>VLOOKUP($A593,[1]maaltijden!$A$1:$IV$65536,20,FALSE)</f>
        <v>3500</v>
      </c>
      <c r="M593" s="22">
        <f>VLOOKUP($A593,[1]maaltijden!$A$1:$IV$65536,22,FALSE)</f>
        <v>3500</v>
      </c>
      <c r="N593" s="135"/>
      <c r="O593" s="50">
        <v>0</v>
      </c>
      <c r="P593" s="19">
        <v>1</v>
      </c>
      <c r="Q593" s="20">
        <v>0</v>
      </c>
      <c r="R593" s="21">
        <v>0</v>
      </c>
      <c r="S593" s="19">
        <v>1</v>
      </c>
      <c r="T593" s="20">
        <v>0</v>
      </c>
      <c r="U593" s="19">
        <v>0</v>
      </c>
      <c r="V593" s="20">
        <v>1</v>
      </c>
      <c r="W593" s="20">
        <v>1</v>
      </c>
      <c r="X593" s="20">
        <v>1</v>
      </c>
      <c r="Y593" s="20">
        <v>1</v>
      </c>
      <c r="Z593" s="20">
        <v>0</v>
      </c>
      <c r="AA593" s="20">
        <v>0</v>
      </c>
      <c r="AB593" s="49">
        <v>0</v>
      </c>
      <c r="AC593" s="49">
        <v>0</v>
      </c>
      <c r="AD593" s="49">
        <v>0</v>
      </c>
      <c r="AE593" s="49">
        <v>1</v>
      </c>
      <c r="AF593" s="49">
        <v>0</v>
      </c>
      <c r="AG593" s="161">
        <v>0</v>
      </c>
      <c r="AH593" s="168">
        <v>2</v>
      </c>
      <c r="AI593" s="20"/>
      <c r="AJ593" s="20"/>
      <c r="AK593" s="20"/>
      <c r="AL593" s="21"/>
      <c r="AM593" s="19">
        <v>0</v>
      </c>
      <c r="AN593" s="20">
        <v>0</v>
      </c>
      <c r="AO593" s="20">
        <v>0</v>
      </c>
      <c r="AP593" s="20">
        <v>0</v>
      </c>
      <c r="AQ593" s="20">
        <v>4</v>
      </c>
      <c r="AR593" s="20">
        <v>0</v>
      </c>
      <c r="AS593" s="20">
        <v>1</v>
      </c>
      <c r="AT593" s="20">
        <v>1</v>
      </c>
      <c r="AU593" s="20">
        <v>0</v>
      </c>
      <c r="AV593" s="23">
        <v>0</v>
      </c>
      <c r="AW593" s="108"/>
      <c r="AX593" s="108"/>
      <c r="AY593" s="108"/>
      <c r="AZ593" s="108"/>
      <c r="BA593" s="114"/>
      <c r="BB593" s="20">
        <v>0</v>
      </c>
      <c r="BC593" s="113"/>
      <c r="BD593" s="200" t="str">
        <f>VLOOKUP($A593,'[3]allergenen 6nr'!$A$1:$O$1310,3,FALSE)</f>
        <v>-</v>
      </c>
      <c r="BE593" s="201" t="str">
        <f>VLOOKUP($A593,'[3]allergenen 6nr'!$A$1:$O$1310,4,FALSE)</f>
        <v>-</v>
      </c>
      <c r="BF593" s="201" t="str">
        <f>VLOOKUP($A593,'[3]allergenen 6nr'!$A$1:$O$1310,5,FALSE)</f>
        <v>-</v>
      </c>
      <c r="BG593" s="201" t="str">
        <f>VLOOKUP($A593,'[3]allergenen 6nr'!$A$1:$O$1310,6,FALSE)</f>
        <v>-</v>
      </c>
      <c r="BH593" s="201" t="str">
        <f>VLOOKUP($A593,'[3]allergenen 6nr'!$A$1:$O$1310,7,FALSE)</f>
        <v>+</v>
      </c>
      <c r="BI593" s="201" t="str">
        <f>VLOOKUP($A593,'[3]allergenen 6nr'!$A$1:$O$1310,8,FALSE)</f>
        <v>-</v>
      </c>
      <c r="BJ593" s="201" t="str">
        <f>VLOOKUP($A593,'[3]allergenen 6nr'!$A$1:$O$1310,9,FALSE)</f>
        <v>-</v>
      </c>
      <c r="BK593" s="201" t="str">
        <f>VLOOKUP($A593,'[3]allergenen 6nr'!$A$1:$O$1310,10,FALSE)</f>
        <v>-</v>
      </c>
      <c r="BL593" s="201" t="str">
        <f>VLOOKUP($A593,'[3]allergenen 6nr'!$A$1:$O$1310,11,FALSE)</f>
        <v>+</v>
      </c>
      <c r="BM593" s="201" t="str">
        <f>VLOOKUP($A593,'[3]allergenen 6nr'!$A$1:$O$1310,12,FALSE)</f>
        <v>-</v>
      </c>
      <c r="BN593" s="201" t="str">
        <f>VLOOKUP($A593,'[3]allergenen 6nr'!$A$1:$O$1310,13,FALSE)</f>
        <v>-</v>
      </c>
      <c r="BO593" s="201" t="str">
        <f>VLOOKUP($A593,'[3]allergenen 6nr'!$A$1:$O$1310,14,FALSE)</f>
        <v>-</v>
      </c>
      <c r="BP593" s="202" t="str">
        <f>VLOOKUP($A593,'[3]allergenen 6nr'!$A$1:$O$1310,15,FALSE)</f>
        <v>-</v>
      </c>
    </row>
    <row r="594" spans="1:68" x14ac:dyDescent="0.2">
      <c r="A594" s="89">
        <v>66811300</v>
      </c>
      <c r="B594" s="53" t="str">
        <f>VLOOKUP($A594,[1]maaltijden!$A$1:$IV$65536,4,FALSE)</f>
        <v>FITMEALS EW KIP RIJST TERIYAKI HALAL 425G NL FR D</v>
      </c>
      <c r="C594" s="46" t="str">
        <f>VLOOKUP($A594,[1]maaltijden!$A$1:$IV$65536,7,FALSE)</f>
        <v>NOVATO ZWART</v>
      </c>
      <c r="D594" s="22" t="str">
        <f>VLOOKUP($A594,[1]maaltijden!$A$1:$IV$65536,10,FALSE)</f>
        <v>H25</v>
      </c>
      <c r="E594" s="22" t="str">
        <f>VLOOKUP($A594,[1]maaltijden!$A$1:$IV$65536,13,FALSE)</f>
        <v>Shrink H25 x 5</v>
      </c>
      <c r="F594" s="20">
        <v>0</v>
      </c>
      <c r="G594" s="20" t="str">
        <f>VLOOKUP($A594,[1]maaltijden!$A$1:$IV$65536,27,FALSE)</f>
        <v>! ! ! ! !</v>
      </c>
      <c r="H594" s="22">
        <f>VLOOKUP($A594,[1]maaltijden!$A$1:$IV$65536,21,FALSE)</f>
        <v>7</v>
      </c>
      <c r="I594" s="22">
        <f>VLOOKUP($A594,[1]maaltijden!$A$1:$IV$65536,21,FALSE)</f>
        <v>7</v>
      </c>
      <c r="J594" s="22">
        <f>VLOOKUP($A594,[1]maaltijden!$A$1:$IV$65536,18,FALSE)</f>
        <v>2</v>
      </c>
      <c r="K594" s="22">
        <f>VLOOKUP($A594,[1]maaltijden!$A$1:$IV$65536,17,FALSE)</f>
        <v>2</v>
      </c>
      <c r="L594" s="22">
        <f>VLOOKUP($A594,[1]maaltijden!$A$1:$IV$65536,20,FALSE)</f>
        <v>3500</v>
      </c>
      <c r="M594" s="22">
        <f>VLOOKUP($A594,[1]maaltijden!$A$1:$IV$65536,22,FALSE)</f>
        <v>3500</v>
      </c>
      <c r="N594" s="135"/>
      <c r="O594" s="50">
        <v>0</v>
      </c>
      <c r="P594" s="19">
        <v>1</v>
      </c>
      <c r="Q594" s="20">
        <v>0</v>
      </c>
      <c r="R594" s="21">
        <v>0</v>
      </c>
      <c r="S594" s="19">
        <v>1</v>
      </c>
      <c r="T594" s="20">
        <v>0</v>
      </c>
      <c r="U594" s="19">
        <v>1</v>
      </c>
      <c r="V594" s="20">
        <v>1</v>
      </c>
      <c r="W594" s="20">
        <v>1</v>
      </c>
      <c r="X594" s="20">
        <v>1</v>
      </c>
      <c r="Y594" s="20">
        <v>1</v>
      </c>
      <c r="Z594" s="20">
        <v>0</v>
      </c>
      <c r="AA594" s="20">
        <v>0</v>
      </c>
      <c r="AB594" s="49">
        <v>0</v>
      </c>
      <c r="AC594" s="49">
        <v>0</v>
      </c>
      <c r="AD594" s="49">
        <v>0</v>
      </c>
      <c r="AE594" s="49">
        <v>0</v>
      </c>
      <c r="AF594" s="49">
        <v>0</v>
      </c>
      <c r="AG594" s="161">
        <v>1</v>
      </c>
      <c r="AH594" s="162">
        <v>1</v>
      </c>
      <c r="AI594" s="162">
        <v>0</v>
      </c>
      <c r="AJ594" s="162">
        <v>0</v>
      </c>
      <c r="AK594" s="162">
        <v>0</v>
      </c>
      <c r="AL594" s="163">
        <v>0</v>
      </c>
      <c r="AM594" s="19">
        <v>1</v>
      </c>
      <c r="AN594" s="20">
        <v>0</v>
      </c>
      <c r="AO594" s="20">
        <v>0</v>
      </c>
      <c r="AP594" s="20">
        <v>0</v>
      </c>
      <c r="AQ594" s="20">
        <v>2</v>
      </c>
      <c r="AR594" s="20">
        <v>0</v>
      </c>
      <c r="AS594" s="20">
        <v>1</v>
      </c>
      <c r="AT594" s="20">
        <v>0</v>
      </c>
      <c r="AU594" s="20">
        <v>0</v>
      </c>
      <c r="AV594" s="23">
        <v>0</v>
      </c>
      <c r="AW594" s="108">
        <v>1</v>
      </c>
      <c r="AX594" s="108">
        <v>1</v>
      </c>
      <c r="AY594" s="108">
        <v>0</v>
      </c>
      <c r="AZ594" s="108"/>
      <c r="BA594" s="114">
        <v>0</v>
      </c>
      <c r="BB594" s="20">
        <v>0</v>
      </c>
      <c r="BC594" s="113">
        <v>1</v>
      </c>
      <c r="BD594" s="200" t="str">
        <f>VLOOKUP($A594,'[3]allergenen 6nr'!$A$1:$O$1310,3,FALSE)</f>
        <v>-</v>
      </c>
      <c r="BE594" s="201" t="str">
        <f>VLOOKUP($A594,'[3]allergenen 6nr'!$A$1:$O$1310,4,FALSE)</f>
        <v>-</v>
      </c>
      <c r="BF594" s="201" t="str">
        <f>VLOOKUP($A594,'[3]allergenen 6nr'!$A$1:$O$1310,5,FALSE)</f>
        <v>-</v>
      </c>
      <c r="BG594" s="201" t="str">
        <f>VLOOKUP($A594,'[3]allergenen 6nr'!$A$1:$O$1310,6,FALSE)</f>
        <v>-</v>
      </c>
      <c r="BH594" s="201" t="str">
        <f>VLOOKUP($A594,'[3]allergenen 6nr'!$A$1:$O$1310,7,FALSE)</f>
        <v>-</v>
      </c>
      <c r="BI594" s="201" t="str">
        <f>VLOOKUP($A594,'[3]allergenen 6nr'!$A$1:$O$1310,8,FALSE)</f>
        <v>-</v>
      </c>
      <c r="BJ594" s="201" t="str">
        <f>VLOOKUP($A594,'[3]allergenen 6nr'!$A$1:$O$1310,9,FALSE)</f>
        <v>-</v>
      </c>
      <c r="BK594" s="201" t="str">
        <f>VLOOKUP($A594,'[3]allergenen 6nr'!$A$1:$O$1310,10,FALSE)</f>
        <v>-</v>
      </c>
      <c r="BL594" s="201" t="str">
        <f>VLOOKUP($A594,'[3]allergenen 6nr'!$A$1:$O$1310,11,FALSE)</f>
        <v>-</v>
      </c>
      <c r="BM594" s="201" t="str">
        <f>VLOOKUP($A594,'[3]allergenen 6nr'!$A$1:$O$1310,12,FALSE)</f>
        <v>+</v>
      </c>
      <c r="BN594" s="201" t="str">
        <f>VLOOKUP($A594,'[3]allergenen 6nr'!$A$1:$O$1310,13,FALSE)</f>
        <v>+</v>
      </c>
      <c r="BO594" s="201" t="str">
        <f>VLOOKUP($A594,'[3]allergenen 6nr'!$A$1:$O$1310,14,FALSE)</f>
        <v>-</v>
      </c>
      <c r="BP594" s="202" t="str">
        <f>VLOOKUP($A594,'[3]allergenen 6nr'!$A$1:$O$1310,15,FALSE)</f>
        <v>-</v>
      </c>
    </row>
    <row r="595" spans="1:68" x14ac:dyDescent="0.2">
      <c r="A595" s="89">
        <v>66811400</v>
      </c>
      <c r="B595" s="53" t="str">
        <f>VLOOKUP($A595,[1]maaltijden!$A$1:$IV$65536,4,FALSE)</f>
        <v>FITMEALS EW PULLED KIP CURRY HALAL 425G NL FR D</v>
      </c>
      <c r="C595" s="46" t="str">
        <f>VLOOKUP($A595,[1]maaltijden!$A$1:$IV$65536,7,FALSE)</f>
        <v>NOVATO ZWART</v>
      </c>
      <c r="D595" s="22" t="str">
        <f>VLOOKUP($A595,[1]maaltijden!$A$1:$IV$65536,10,FALSE)</f>
        <v>H25</v>
      </c>
      <c r="E595" s="22" t="str">
        <f>VLOOKUP($A595,[1]maaltijden!$A$1:$IV$65536,13,FALSE)</f>
        <v>Shrink H25 x 5</v>
      </c>
      <c r="F595" s="20">
        <v>0</v>
      </c>
      <c r="G595" s="20" t="str">
        <f>VLOOKUP($A595,[1]maaltijden!$A$1:$IV$65536,27,FALSE)</f>
        <v>! ! !</v>
      </c>
      <c r="H595" s="22">
        <f>VLOOKUP($A595,[1]maaltijden!$A$1:$IV$65536,21,FALSE)</f>
        <v>6</v>
      </c>
      <c r="I595" s="22">
        <f>VLOOKUP($A595,[1]maaltijden!$A$1:$IV$65536,21,FALSE)</f>
        <v>6</v>
      </c>
      <c r="J595" s="22">
        <f>VLOOKUP($A595,[1]maaltijden!$A$1:$IV$65536,18,FALSE)</f>
        <v>2</v>
      </c>
      <c r="K595" s="22">
        <f>VLOOKUP($A595,[1]maaltijden!$A$1:$IV$65536,17,FALSE)</f>
        <v>3</v>
      </c>
      <c r="L595" s="22">
        <f>VLOOKUP($A595,[1]maaltijden!$A$1:$IV$65536,20,FALSE)</f>
        <v>3500</v>
      </c>
      <c r="M595" s="22">
        <f>VLOOKUP($A595,[1]maaltijden!$A$1:$IV$65536,22,FALSE)</f>
        <v>3500</v>
      </c>
      <c r="N595" s="135"/>
      <c r="O595" s="50">
        <v>0</v>
      </c>
      <c r="P595" s="19">
        <v>1</v>
      </c>
      <c r="Q595" s="20">
        <v>0</v>
      </c>
      <c r="R595" s="21">
        <v>0</v>
      </c>
      <c r="S595" s="19">
        <v>1</v>
      </c>
      <c r="T595" s="20">
        <v>0</v>
      </c>
      <c r="U595" s="19">
        <v>1</v>
      </c>
      <c r="V595" s="20">
        <v>1</v>
      </c>
      <c r="W595" s="20">
        <v>1</v>
      </c>
      <c r="X595" s="20">
        <v>1</v>
      </c>
      <c r="Y595" s="20">
        <v>1</v>
      </c>
      <c r="Z595" s="20">
        <v>1</v>
      </c>
      <c r="AA595" s="20">
        <v>0</v>
      </c>
      <c r="AB595" s="49">
        <v>1</v>
      </c>
      <c r="AC595" s="49">
        <v>0</v>
      </c>
      <c r="AD595" s="49">
        <v>0</v>
      </c>
      <c r="AE595" s="49">
        <v>1</v>
      </c>
      <c r="AF595" s="49">
        <v>0</v>
      </c>
      <c r="AG595" s="161">
        <v>1</v>
      </c>
      <c r="AH595" s="162">
        <v>2</v>
      </c>
      <c r="AI595" s="162">
        <v>0</v>
      </c>
      <c r="AJ595" s="162">
        <v>1</v>
      </c>
      <c r="AK595" s="162">
        <v>0</v>
      </c>
      <c r="AL595" s="163">
        <v>0</v>
      </c>
      <c r="AM595" s="19">
        <v>1</v>
      </c>
      <c r="AN595" s="20">
        <v>0</v>
      </c>
      <c r="AO595" s="20">
        <v>0</v>
      </c>
      <c r="AP595" s="20">
        <v>0</v>
      </c>
      <c r="AQ595" s="20">
        <v>2</v>
      </c>
      <c r="AR595" s="20">
        <v>0</v>
      </c>
      <c r="AS595" s="20">
        <v>0</v>
      </c>
      <c r="AT595" s="20">
        <v>0</v>
      </c>
      <c r="AU595" s="20">
        <v>0</v>
      </c>
      <c r="AV595" s="23">
        <v>0</v>
      </c>
      <c r="AW595" s="108">
        <v>1</v>
      </c>
      <c r="AX595" s="108">
        <v>1</v>
      </c>
      <c r="AY595" s="108">
        <v>0</v>
      </c>
      <c r="AZ595" s="108"/>
      <c r="BA595" s="114">
        <v>0</v>
      </c>
      <c r="BB595" s="20">
        <v>0</v>
      </c>
      <c r="BC595" s="113">
        <v>1</v>
      </c>
      <c r="BD595" s="200" t="str">
        <f>VLOOKUP($A595,'[3]allergenen 6nr'!$A$1:$O$1310,3,FALSE)</f>
        <v>X</v>
      </c>
      <c r="BE595" s="201" t="str">
        <f>VLOOKUP($A595,'[3]allergenen 6nr'!$A$1:$O$1310,4,FALSE)</f>
        <v>X</v>
      </c>
      <c r="BF595" s="201" t="str">
        <f>VLOOKUP($A595,'[3]allergenen 6nr'!$A$1:$O$1310,5,FALSE)</f>
        <v>X</v>
      </c>
      <c r="BG595" s="201" t="str">
        <f>VLOOKUP($A595,'[3]allergenen 6nr'!$A$1:$O$1310,6,FALSE)</f>
        <v>X</v>
      </c>
      <c r="BH595" s="201" t="str">
        <f>VLOOKUP($A595,'[3]allergenen 6nr'!$A$1:$O$1310,7,FALSE)</f>
        <v>+</v>
      </c>
      <c r="BI595" s="201" t="str">
        <f>VLOOKUP($A595,'[3]allergenen 6nr'!$A$1:$O$1310,8,FALSE)</f>
        <v>+</v>
      </c>
      <c r="BJ595" s="201" t="str">
        <f>VLOOKUP($A595,'[3]allergenen 6nr'!$A$1:$O$1310,9,FALSE)</f>
        <v>X</v>
      </c>
      <c r="BK595" s="201" t="str">
        <f>VLOOKUP($A595,'[3]allergenen 6nr'!$A$1:$O$1310,10,FALSE)</f>
        <v>X</v>
      </c>
      <c r="BL595" s="201" t="str">
        <f>VLOOKUP($A595,'[3]allergenen 6nr'!$A$1:$O$1310,11,FALSE)</f>
        <v>+</v>
      </c>
      <c r="BM595" s="201" t="str">
        <f>VLOOKUP($A595,'[3]allergenen 6nr'!$A$1:$O$1310,12,FALSE)</f>
        <v>X</v>
      </c>
      <c r="BN595" s="201" t="str">
        <f>VLOOKUP($A595,'[3]allergenen 6nr'!$A$1:$O$1310,13,FALSE)</f>
        <v>X</v>
      </c>
      <c r="BO595" s="201" t="str">
        <f>VLOOKUP($A595,'[3]allergenen 6nr'!$A$1:$O$1310,14,FALSE)</f>
        <v>X</v>
      </c>
      <c r="BP595" s="202" t="str">
        <f>VLOOKUP($A595,'[3]allergenen 6nr'!$A$1:$O$1310,15,FALSE)</f>
        <v>X</v>
      </c>
    </row>
    <row r="596" spans="1:68" x14ac:dyDescent="0.2">
      <c r="A596" s="126">
        <v>66811500</v>
      </c>
      <c r="B596" s="53" t="str">
        <f>VLOOKUP($A596,[1]maaltijden!$A$1:$IV$65536,4,FALSE)</f>
        <v>FITMEALS EW KIP PASTA HALAL 425G NL FR D</v>
      </c>
      <c r="C596" s="46" t="str">
        <f>VLOOKUP($A596,[1]maaltijden!$A$1:$IV$65536,7,FALSE)</f>
        <v>NOVATO ZWART</v>
      </c>
      <c r="D596" s="22" t="str">
        <f>VLOOKUP($A596,[1]maaltijden!$A$1:$IV$65536,10,FALSE)</f>
        <v>H25</v>
      </c>
      <c r="E596" s="22" t="str">
        <f>VLOOKUP($A596,[1]maaltijden!$A$1:$IV$65536,13,FALSE)</f>
        <v>Shrink H25 x 5</v>
      </c>
      <c r="F596" s="20">
        <v>0</v>
      </c>
      <c r="G596" s="20" t="str">
        <f>VLOOKUP($A596,[1]maaltijden!$A$1:$IV$65536,27,FALSE)</f>
        <v>! !</v>
      </c>
      <c r="H596" s="22">
        <f>VLOOKUP($A596,[1]maaltijden!$A$1:$IV$65536,21,FALSE)</f>
        <v>7</v>
      </c>
      <c r="I596" s="22">
        <f>VLOOKUP($A596,[1]maaltijden!$A$1:$IV$65536,21,FALSE)</f>
        <v>7</v>
      </c>
      <c r="J596" s="22">
        <f>VLOOKUP($A596,[1]maaltijden!$A$1:$IV$65536,18,FALSE)</f>
        <v>2</v>
      </c>
      <c r="K596" s="22">
        <f>VLOOKUP($A596,[1]maaltijden!$A$1:$IV$65536,17,FALSE)</f>
        <v>2</v>
      </c>
      <c r="L596" s="22">
        <f>VLOOKUP($A596,[1]maaltijden!$A$1:$IV$65536,20,FALSE)</f>
        <v>3500</v>
      </c>
      <c r="M596" s="22">
        <f>VLOOKUP($A596,[1]maaltijden!$A$1:$IV$65536,22,FALSE)</f>
        <v>3500</v>
      </c>
      <c r="N596" s="135"/>
      <c r="O596" s="50"/>
      <c r="P596" s="19">
        <v>1</v>
      </c>
      <c r="Q596" s="20">
        <v>0</v>
      </c>
      <c r="R596" s="21">
        <v>0</v>
      </c>
      <c r="S596" s="19">
        <v>1</v>
      </c>
      <c r="T596" s="20">
        <v>0</v>
      </c>
      <c r="U596" s="19">
        <v>1</v>
      </c>
      <c r="V596" s="20">
        <v>1</v>
      </c>
      <c r="W596" s="20">
        <v>1</v>
      </c>
      <c r="X596" s="20">
        <v>1</v>
      </c>
      <c r="Y596" s="20">
        <v>1</v>
      </c>
      <c r="Z596" s="20">
        <v>0</v>
      </c>
      <c r="AA596" s="20">
        <v>0</v>
      </c>
      <c r="AB596" s="49">
        <v>0</v>
      </c>
      <c r="AC596" s="49">
        <v>0</v>
      </c>
      <c r="AD596" s="49">
        <v>0</v>
      </c>
      <c r="AE596" s="49">
        <v>0</v>
      </c>
      <c r="AF596" s="49">
        <v>0</v>
      </c>
      <c r="AG596" s="161">
        <v>1</v>
      </c>
      <c r="AH596" s="168">
        <v>1</v>
      </c>
      <c r="AI596" s="20"/>
      <c r="AJ596" s="20"/>
      <c r="AK596" s="20"/>
      <c r="AL596" s="21"/>
      <c r="AM596" s="19">
        <v>1</v>
      </c>
      <c r="AN596" s="20">
        <v>0</v>
      </c>
      <c r="AO596" s="20">
        <v>0</v>
      </c>
      <c r="AP596" s="20">
        <v>0</v>
      </c>
      <c r="AQ596" s="20">
        <v>2</v>
      </c>
      <c r="AR596" s="20">
        <v>0</v>
      </c>
      <c r="AS596" s="20">
        <v>1</v>
      </c>
      <c r="AT596" s="20">
        <v>0</v>
      </c>
      <c r="AU596" s="20">
        <v>0</v>
      </c>
      <c r="AV596" s="23">
        <v>0</v>
      </c>
      <c r="AW596" s="108">
        <v>1</v>
      </c>
      <c r="AX596" s="108">
        <v>1</v>
      </c>
      <c r="AY596" s="108">
        <v>0</v>
      </c>
      <c r="AZ596" s="108"/>
      <c r="BA596" s="114">
        <v>0</v>
      </c>
      <c r="BB596" s="20">
        <v>0</v>
      </c>
      <c r="BC596" s="113">
        <v>1</v>
      </c>
      <c r="BD596" s="200" t="str">
        <f>VLOOKUP($A596,'[3]allergenen 6nr'!$A$1:$O$1310,3,FALSE)</f>
        <v>X</v>
      </c>
      <c r="BE596" s="201" t="str">
        <f>VLOOKUP($A596,'[3]allergenen 6nr'!$A$1:$O$1310,4,FALSE)</f>
        <v>X</v>
      </c>
      <c r="BF596" s="201" t="str">
        <f>VLOOKUP($A596,'[3]allergenen 6nr'!$A$1:$O$1310,5,FALSE)</f>
        <v>+</v>
      </c>
      <c r="BG596" s="201" t="str">
        <f>VLOOKUP($A596,'[3]allergenen 6nr'!$A$1:$O$1310,6,FALSE)</f>
        <v>X</v>
      </c>
      <c r="BH596" s="201" t="str">
        <f>VLOOKUP($A596,'[3]allergenen 6nr'!$A$1:$O$1310,7,FALSE)</f>
        <v>+</v>
      </c>
      <c r="BI596" s="201" t="str">
        <f>VLOOKUP($A596,'[3]allergenen 6nr'!$A$1:$O$1310,8,FALSE)</f>
        <v>X</v>
      </c>
      <c r="BJ596" s="201" t="str">
        <f>VLOOKUP($A596,'[3]allergenen 6nr'!$A$1:$O$1310,9,FALSE)</f>
        <v>X</v>
      </c>
      <c r="BK596" s="201" t="str">
        <f>VLOOKUP($A596,'[3]allergenen 6nr'!$A$1:$O$1310,10,FALSE)</f>
        <v>X</v>
      </c>
      <c r="BL596" s="201" t="str">
        <f>VLOOKUP($A596,'[3]allergenen 6nr'!$A$1:$O$1310,11,FALSE)</f>
        <v>X</v>
      </c>
      <c r="BM596" s="201" t="str">
        <f>VLOOKUP($A596,'[3]allergenen 6nr'!$A$1:$O$1310,12,FALSE)</f>
        <v>X</v>
      </c>
      <c r="BN596" s="201" t="str">
        <f>VLOOKUP($A596,'[3]allergenen 6nr'!$A$1:$O$1310,13,FALSE)</f>
        <v>X</v>
      </c>
      <c r="BO596" s="201" t="str">
        <f>VLOOKUP($A596,'[3]allergenen 6nr'!$A$1:$O$1310,14,FALSE)</f>
        <v>X</v>
      </c>
      <c r="BP596" s="202" t="str">
        <f>VLOOKUP($A596,'[3]allergenen 6nr'!$A$1:$O$1310,15,FALSE)</f>
        <v>X</v>
      </c>
    </row>
    <row r="597" spans="1:68" x14ac:dyDescent="0.2">
      <c r="A597" s="54">
        <v>66811600</v>
      </c>
      <c r="B597" s="53" t="str">
        <f>VLOOKUP($A597,[1]maaltijden!$A$1:$IV$65536,4,FALSE)</f>
        <v xml:space="preserve">FITMEALS EW SPAGHETTI BOLOGNAISE NL FR D  425G </v>
      </c>
      <c r="C597" s="46" t="str">
        <f>VLOOKUP($A597,[1]maaltijden!$A$1:$IV$65536,7,FALSE)</f>
        <v>NOVATO KRAFT</v>
      </c>
      <c r="D597" s="22" t="str">
        <f>VLOOKUP($A597,[1]maaltijden!$A$1:$IV$65536,10,FALSE)</f>
        <v>H25</v>
      </c>
      <c r="E597" s="22" t="str">
        <f>VLOOKUP($A597,[1]maaltijden!$A$1:$IV$65536,13,FALSE)</f>
        <v>Shrink H25 x 5</v>
      </c>
      <c r="F597" s="20">
        <v>0</v>
      </c>
      <c r="G597" s="20" t="str">
        <f>VLOOKUP($A597,[1]maaltijden!$A$1:$IV$65536,27,FALSE)</f>
        <v>! ! !</v>
      </c>
      <c r="H597" s="22">
        <f>VLOOKUP($A597,[1]maaltijden!$A$1:$IV$65536,21,FALSE)</f>
        <v>6</v>
      </c>
      <c r="I597" s="22">
        <f>VLOOKUP($A597,[1]maaltijden!$A$1:$IV$65536,21,FALSE)</f>
        <v>6</v>
      </c>
      <c r="J597" s="22">
        <f>VLOOKUP($A597,[1]maaltijden!$A$1:$IV$65536,18,FALSE)</f>
        <v>2</v>
      </c>
      <c r="K597" s="22">
        <f>VLOOKUP($A597,[1]maaltijden!$A$1:$IV$65536,17,FALSE)</f>
        <v>2</v>
      </c>
      <c r="L597" s="22">
        <f>VLOOKUP($A597,[1]maaltijden!$A$1:$IV$65536,20,FALSE)</f>
        <v>3500</v>
      </c>
      <c r="M597" s="22">
        <f>VLOOKUP($A597,[1]maaltijden!$A$1:$IV$65536,22,FALSE)</f>
        <v>3500</v>
      </c>
      <c r="N597" s="135"/>
      <c r="O597" s="50"/>
      <c r="P597" s="19">
        <v>1</v>
      </c>
      <c r="Q597" s="20">
        <v>0</v>
      </c>
      <c r="R597" s="21">
        <v>0</v>
      </c>
      <c r="S597" s="19">
        <v>1</v>
      </c>
      <c r="T597" s="20">
        <v>0</v>
      </c>
      <c r="U597" s="19"/>
      <c r="V597" s="20"/>
      <c r="W597" s="20"/>
      <c r="X597" s="20"/>
      <c r="Y597" s="20"/>
      <c r="Z597" s="20"/>
      <c r="AA597" s="20"/>
      <c r="AB597" s="49"/>
      <c r="AC597" s="49"/>
      <c r="AD597" s="49"/>
      <c r="AE597" s="49"/>
      <c r="AF597" s="49"/>
      <c r="AG597" s="161">
        <v>1</v>
      </c>
      <c r="AH597" s="168">
        <v>2</v>
      </c>
      <c r="AI597" s="20"/>
      <c r="AJ597" s="20"/>
      <c r="AK597" s="20"/>
      <c r="AL597" s="21"/>
      <c r="AM597" s="19">
        <v>1</v>
      </c>
      <c r="AN597" s="20">
        <v>0</v>
      </c>
      <c r="AO597" s="20">
        <v>0</v>
      </c>
      <c r="AP597" s="20">
        <v>0</v>
      </c>
      <c r="AQ597" s="20">
        <v>2</v>
      </c>
      <c r="AR597" s="20">
        <v>0</v>
      </c>
      <c r="AS597" s="20">
        <v>0</v>
      </c>
      <c r="AT597" s="20">
        <v>0</v>
      </c>
      <c r="AU597" s="20">
        <v>0</v>
      </c>
      <c r="AV597" s="23">
        <v>0</v>
      </c>
      <c r="AW597" s="108">
        <v>1</v>
      </c>
      <c r="AX597" s="108">
        <v>1</v>
      </c>
      <c r="AY597" s="108">
        <v>0</v>
      </c>
      <c r="AZ597" s="108"/>
      <c r="BA597" s="114">
        <v>0</v>
      </c>
      <c r="BB597" s="20">
        <v>0</v>
      </c>
      <c r="BC597" s="113">
        <v>1</v>
      </c>
      <c r="BD597" s="200" t="str">
        <f>VLOOKUP($A597,'[3]allergenen 6nr'!$A$1:$O$1310,3,FALSE)</f>
        <v>-</v>
      </c>
      <c r="BE597" s="201" t="str">
        <f>VLOOKUP($A597,'[3]allergenen 6nr'!$A$1:$O$1310,4,FALSE)</f>
        <v>X</v>
      </c>
      <c r="BF597" s="201" t="str">
        <f>VLOOKUP($A597,'[3]allergenen 6nr'!$A$1:$O$1310,5,FALSE)</f>
        <v>+</v>
      </c>
      <c r="BG597" s="201" t="str">
        <f>VLOOKUP($A597,'[3]allergenen 6nr'!$A$1:$O$1310,6,FALSE)</f>
        <v>X</v>
      </c>
      <c r="BH597" s="201" t="str">
        <f>VLOOKUP($A597,'[3]allergenen 6nr'!$A$1:$O$1310,7,FALSE)</f>
        <v>-</v>
      </c>
      <c r="BI597" s="201" t="str">
        <f>VLOOKUP($A597,'[3]allergenen 6nr'!$A$1:$O$1310,8,FALSE)</f>
        <v>X</v>
      </c>
      <c r="BJ597" s="201" t="str">
        <f>VLOOKUP($A597,'[3]allergenen 6nr'!$A$1:$O$1310,9,FALSE)</f>
        <v>-</v>
      </c>
      <c r="BK597" s="201" t="str">
        <f>VLOOKUP($A597,'[3]allergenen 6nr'!$A$1:$O$1310,10,FALSE)</f>
        <v>-</v>
      </c>
      <c r="BL597" s="201" t="str">
        <f>VLOOKUP($A597,'[3]allergenen 6nr'!$A$1:$O$1310,11,FALSE)</f>
        <v>+</v>
      </c>
      <c r="BM597" s="201" t="str">
        <f>VLOOKUP($A597,'[3]allergenen 6nr'!$A$1:$O$1310,12,FALSE)</f>
        <v>-</v>
      </c>
      <c r="BN597" s="201" t="str">
        <f>VLOOKUP($A597,'[3]allergenen 6nr'!$A$1:$O$1310,13,FALSE)</f>
        <v>X</v>
      </c>
      <c r="BO597" s="201" t="str">
        <f>VLOOKUP($A597,'[3]allergenen 6nr'!$A$1:$O$1310,14,FALSE)</f>
        <v>-</v>
      </c>
      <c r="BP597" s="202" t="str">
        <f>VLOOKUP($A597,'[3]allergenen 6nr'!$A$1:$O$1310,15,FALSE)</f>
        <v>-</v>
      </c>
    </row>
    <row r="598" spans="1:68" x14ac:dyDescent="0.2">
      <c r="A598" s="89">
        <v>66811700</v>
      </c>
      <c r="B598" s="53" t="str">
        <f>VLOOKUP($A598,[1]maaltijden!$A$1:$IV$65536,4,FALSE)</f>
        <v>FITMEALS EW KIP SATE RIJST HALAL 425G NL FR D</v>
      </c>
      <c r="C598" s="46" t="str">
        <f>VLOOKUP($A598,[1]maaltijden!$A$1:$IV$65536,7,FALSE)</f>
        <v>NOVATO ZWART</v>
      </c>
      <c r="D598" s="22" t="str">
        <f>VLOOKUP($A598,[1]maaltijden!$A$1:$IV$65536,10,FALSE)</f>
        <v>H25</v>
      </c>
      <c r="E598" s="22" t="str">
        <f>VLOOKUP($A598,[1]maaltijden!$A$1:$IV$65536,13,FALSE)</f>
        <v>Shrink H25 x 5</v>
      </c>
      <c r="F598" s="20">
        <v>0</v>
      </c>
      <c r="G598" s="20" t="str">
        <f>VLOOKUP($A598,[1]maaltijden!$A$1:$IV$65536,27,FALSE)</f>
        <v>X</v>
      </c>
      <c r="H598" s="22">
        <f>VLOOKUP($A598,[1]maaltijden!$A$1:$IV$65536,21,FALSE)</f>
        <v>7</v>
      </c>
      <c r="I598" s="22">
        <f>VLOOKUP($A598,[1]maaltijden!$A$1:$IV$65536,21,FALSE)</f>
        <v>7</v>
      </c>
      <c r="J598" s="22">
        <f>VLOOKUP($A598,[1]maaltijden!$A$1:$IV$65536,18,FALSE)</f>
        <v>2</v>
      </c>
      <c r="K598" s="22">
        <f>VLOOKUP($A598,[1]maaltijden!$A$1:$IV$65536,17,FALSE)</f>
        <v>3</v>
      </c>
      <c r="L598" s="22">
        <f>VLOOKUP($A598,[1]maaltijden!$A$1:$IV$65536,20,FALSE)</f>
        <v>3500</v>
      </c>
      <c r="M598" s="22">
        <f>VLOOKUP($A598,[1]maaltijden!$A$1:$IV$65536,22,FALSE)</f>
        <v>3500</v>
      </c>
      <c r="N598" s="135"/>
      <c r="O598" s="50"/>
      <c r="P598" s="19">
        <v>1</v>
      </c>
      <c r="Q598" s="20">
        <v>0</v>
      </c>
      <c r="R598" s="21">
        <v>0</v>
      </c>
      <c r="S598" s="19">
        <v>1</v>
      </c>
      <c r="T598" s="20">
        <v>0</v>
      </c>
      <c r="U598" s="19">
        <v>1</v>
      </c>
      <c r="V598" s="20">
        <v>1</v>
      </c>
      <c r="W598" s="20">
        <v>1</v>
      </c>
      <c r="X598" s="20">
        <v>1</v>
      </c>
      <c r="Y598" s="20">
        <v>1</v>
      </c>
      <c r="Z598" s="20">
        <v>0</v>
      </c>
      <c r="AA598" s="20">
        <v>0</v>
      </c>
      <c r="AB598" s="49">
        <v>0</v>
      </c>
      <c r="AC598" s="49">
        <v>1</v>
      </c>
      <c r="AD598" s="49">
        <v>1</v>
      </c>
      <c r="AE598" s="49">
        <v>1</v>
      </c>
      <c r="AF598" s="49">
        <v>0</v>
      </c>
      <c r="AG598" s="161">
        <v>1</v>
      </c>
      <c r="AH598" s="162">
        <v>1</v>
      </c>
      <c r="AI598" s="162">
        <v>0</v>
      </c>
      <c r="AJ598" s="162">
        <v>0</v>
      </c>
      <c r="AK598" s="162">
        <v>0</v>
      </c>
      <c r="AL598" s="163">
        <v>0</v>
      </c>
      <c r="AM598" s="19">
        <v>1</v>
      </c>
      <c r="AN598" s="20">
        <v>0</v>
      </c>
      <c r="AO598" s="20">
        <v>0</v>
      </c>
      <c r="AP598" s="20">
        <v>0</v>
      </c>
      <c r="AQ598" s="20">
        <v>2</v>
      </c>
      <c r="AR598" s="20">
        <v>0</v>
      </c>
      <c r="AS598" s="20">
        <v>1</v>
      </c>
      <c r="AT598" s="20">
        <v>0</v>
      </c>
      <c r="AU598" s="20">
        <v>0</v>
      </c>
      <c r="AV598" s="23">
        <v>0</v>
      </c>
      <c r="AW598" s="108">
        <v>1</v>
      </c>
      <c r="AX598" s="108">
        <v>1</v>
      </c>
      <c r="AY598" s="108">
        <v>0</v>
      </c>
      <c r="AZ598" s="108"/>
      <c r="BA598" s="114">
        <v>0</v>
      </c>
      <c r="BB598" s="20">
        <v>0</v>
      </c>
      <c r="BC598" s="113">
        <v>1</v>
      </c>
      <c r="BD598" s="200" t="str">
        <f>VLOOKUP($A598,'[3]allergenen 6nr'!$A$1:$O$1310,3,FALSE)</f>
        <v>+</v>
      </c>
      <c r="BE598" s="201" t="str">
        <f>VLOOKUP($A598,'[3]allergenen 6nr'!$A$1:$O$1310,4,FALSE)</f>
        <v>-</v>
      </c>
      <c r="BF598" s="201" t="str">
        <f>VLOOKUP($A598,'[3]allergenen 6nr'!$A$1:$O$1310,5,FALSE)</f>
        <v>-</v>
      </c>
      <c r="BG598" s="201" t="str">
        <f>VLOOKUP($A598,'[3]allergenen 6nr'!$A$1:$O$1310,6,FALSE)</f>
        <v>-</v>
      </c>
      <c r="BH598" s="201" t="str">
        <f>VLOOKUP($A598,'[3]allergenen 6nr'!$A$1:$O$1310,7,FALSE)</f>
        <v>-</v>
      </c>
      <c r="BI598" s="201" t="str">
        <f>VLOOKUP($A598,'[3]allergenen 6nr'!$A$1:$O$1310,8,FALSE)</f>
        <v>-</v>
      </c>
      <c r="BJ598" s="201" t="str">
        <f>VLOOKUP($A598,'[3]allergenen 6nr'!$A$1:$O$1310,9,FALSE)</f>
        <v>-</v>
      </c>
      <c r="BK598" s="201" t="str">
        <f>VLOOKUP($A598,'[3]allergenen 6nr'!$A$1:$O$1310,10,FALSE)</f>
        <v>-</v>
      </c>
      <c r="BL598" s="201" t="str">
        <f>VLOOKUP($A598,'[3]allergenen 6nr'!$A$1:$O$1310,11,FALSE)</f>
        <v>X</v>
      </c>
      <c r="BM598" s="201" t="str">
        <f>VLOOKUP($A598,'[3]allergenen 6nr'!$A$1:$O$1310,12,FALSE)</f>
        <v>-</v>
      </c>
      <c r="BN598" s="201" t="str">
        <f>VLOOKUP($A598,'[3]allergenen 6nr'!$A$1:$O$1310,13,FALSE)</f>
        <v>+</v>
      </c>
      <c r="BO598" s="201" t="str">
        <f>VLOOKUP($A598,'[3]allergenen 6nr'!$A$1:$O$1310,14,FALSE)</f>
        <v>-</v>
      </c>
      <c r="BP598" s="202" t="str">
        <f>VLOOKUP($A598,'[3]allergenen 6nr'!$A$1:$O$1310,15,FALSE)</f>
        <v>-</v>
      </c>
    </row>
    <row r="599" spans="1:68" x14ac:dyDescent="0.2">
      <c r="A599" s="126">
        <v>66811800</v>
      </c>
      <c r="B599" s="53" t="str">
        <f>VLOOKUP($A599,[1]maaltijden!$A$1:$IV$65536,4,FALSE)</f>
        <v>FITMEALS EW KIP LINGUINE TERIYAKI HALAL 425G NL FR D</v>
      </c>
      <c r="C599" s="46" t="str">
        <f>VLOOKUP($A599,[1]maaltijden!$A$1:$IV$65536,7,FALSE)</f>
        <v>NOVATO ZWART</v>
      </c>
      <c r="D599" s="22" t="str">
        <f>VLOOKUP($A599,[1]maaltijden!$A$1:$IV$65536,10,FALSE)</f>
        <v>H25</v>
      </c>
      <c r="E599" s="22" t="str">
        <f>VLOOKUP($A599,[1]maaltijden!$A$1:$IV$65536,13,FALSE)</f>
        <v>Shrink H25 x 5</v>
      </c>
      <c r="F599" s="20">
        <v>0</v>
      </c>
      <c r="G599" s="20" t="str">
        <f>VLOOKUP($A599,[1]maaltijden!$A$1:$IV$65536,27,FALSE)</f>
        <v>! ! ! ! !</v>
      </c>
      <c r="H599" s="22">
        <f>VLOOKUP($A599,[1]maaltijden!$A$1:$IV$65536,21,FALSE)</f>
        <v>7</v>
      </c>
      <c r="I599" s="22">
        <f>VLOOKUP($A599,[1]maaltijden!$A$1:$IV$65536,21,FALSE)</f>
        <v>7</v>
      </c>
      <c r="J599" s="22">
        <f>VLOOKUP($A599,[1]maaltijden!$A$1:$IV$65536,18,FALSE)</f>
        <v>2</v>
      </c>
      <c r="K599" s="22">
        <f>VLOOKUP($A599,[1]maaltijden!$A$1:$IV$65536,17,FALSE)</f>
        <v>2</v>
      </c>
      <c r="L599" s="22">
        <f>VLOOKUP($A599,[1]maaltijden!$A$1:$IV$65536,20,FALSE)</f>
        <v>3500</v>
      </c>
      <c r="M599" s="22">
        <f>VLOOKUP($A599,[1]maaltijden!$A$1:$IV$65536,22,FALSE)</f>
        <v>3500</v>
      </c>
      <c r="N599" s="135"/>
      <c r="O599" s="50">
        <v>0</v>
      </c>
      <c r="P599" s="19">
        <v>1</v>
      </c>
      <c r="Q599" s="20">
        <v>0</v>
      </c>
      <c r="R599" s="21">
        <v>0</v>
      </c>
      <c r="S599" s="19">
        <v>1</v>
      </c>
      <c r="T599" s="20">
        <v>0</v>
      </c>
      <c r="U599" s="19">
        <v>1</v>
      </c>
      <c r="V599" s="20">
        <v>1</v>
      </c>
      <c r="W599" s="20">
        <v>1</v>
      </c>
      <c r="X599" s="20">
        <v>1</v>
      </c>
      <c r="Y599" s="20">
        <v>1</v>
      </c>
      <c r="Z599" s="20">
        <v>0</v>
      </c>
      <c r="AA599" s="20">
        <v>0</v>
      </c>
      <c r="AB599" s="49">
        <v>0</v>
      </c>
      <c r="AC599" s="49">
        <v>0</v>
      </c>
      <c r="AD599" s="49">
        <v>0</v>
      </c>
      <c r="AE599" s="49">
        <v>0</v>
      </c>
      <c r="AF599" s="49">
        <v>0</v>
      </c>
      <c r="AG599" s="161">
        <v>1</v>
      </c>
      <c r="AH599" s="168">
        <v>1</v>
      </c>
      <c r="AI599" s="20"/>
      <c r="AJ599" s="20"/>
      <c r="AK599" s="20"/>
      <c r="AL599" s="21"/>
      <c r="AM599" s="19">
        <v>1</v>
      </c>
      <c r="AN599" s="20">
        <v>0</v>
      </c>
      <c r="AO599" s="20">
        <v>0</v>
      </c>
      <c r="AP599" s="20">
        <v>0</v>
      </c>
      <c r="AQ599" s="20">
        <v>2</v>
      </c>
      <c r="AR599" s="20">
        <v>0</v>
      </c>
      <c r="AS599" s="20">
        <v>1</v>
      </c>
      <c r="AT599" s="20">
        <v>0</v>
      </c>
      <c r="AU599" s="20">
        <v>0</v>
      </c>
      <c r="AV599" s="23">
        <v>0</v>
      </c>
      <c r="AW599" s="108">
        <v>1</v>
      </c>
      <c r="AX599" s="108">
        <v>1</v>
      </c>
      <c r="AY599" s="108">
        <v>0</v>
      </c>
      <c r="AZ599" s="108"/>
      <c r="BA599" s="114">
        <v>0</v>
      </c>
      <c r="BB599" s="20">
        <v>0</v>
      </c>
      <c r="BC599" s="113">
        <v>1</v>
      </c>
      <c r="BD599" s="200" t="str">
        <f>VLOOKUP($A599,'[3]allergenen 6nr'!$A$1:$O$1310,3,FALSE)</f>
        <v>-</v>
      </c>
      <c r="BE599" s="201" t="str">
        <f>VLOOKUP($A599,'[3]allergenen 6nr'!$A$1:$O$1310,4,FALSE)</f>
        <v>X</v>
      </c>
      <c r="BF599" s="201" t="str">
        <f>VLOOKUP($A599,'[3]allergenen 6nr'!$A$1:$O$1310,5,FALSE)</f>
        <v>+</v>
      </c>
      <c r="BG599" s="201" t="str">
        <f>VLOOKUP($A599,'[3]allergenen 6nr'!$A$1:$O$1310,6,FALSE)</f>
        <v>X</v>
      </c>
      <c r="BH599" s="201" t="str">
        <f>VLOOKUP($A599,'[3]allergenen 6nr'!$A$1:$O$1310,7,FALSE)</f>
        <v>-</v>
      </c>
      <c r="BI599" s="201" t="str">
        <f>VLOOKUP($A599,'[3]allergenen 6nr'!$A$1:$O$1310,8,FALSE)</f>
        <v>X</v>
      </c>
      <c r="BJ599" s="201" t="str">
        <f>VLOOKUP($A599,'[3]allergenen 6nr'!$A$1:$O$1310,9,FALSE)</f>
        <v>-</v>
      </c>
      <c r="BK599" s="201" t="str">
        <f>VLOOKUP($A599,'[3]allergenen 6nr'!$A$1:$O$1310,10,FALSE)</f>
        <v>-</v>
      </c>
      <c r="BL599" s="201" t="str">
        <f>VLOOKUP($A599,'[3]allergenen 6nr'!$A$1:$O$1310,11,FALSE)</f>
        <v>-</v>
      </c>
      <c r="BM599" s="201" t="str">
        <f>VLOOKUP($A599,'[3]allergenen 6nr'!$A$1:$O$1310,12,FALSE)</f>
        <v>+</v>
      </c>
      <c r="BN599" s="201" t="str">
        <f>VLOOKUP($A599,'[3]allergenen 6nr'!$A$1:$O$1310,13,FALSE)</f>
        <v>+</v>
      </c>
      <c r="BO599" s="201" t="str">
        <f>VLOOKUP($A599,'[3]allergenen 6nr'!$A$1:$O$1310,14,FALSE)</f>
        <v>-</v>
      </c>
      <c r="BP599" s="202" t="str">
        <f>VLOOKUP($A599,'[3]allergenen 6nr'!$A$1:$O$1310,15,FALSE)</f>
        <v>-</v>
      </c>
    </row>
    <row r="600" spans="1:68" x14ac:dyDescent="0.2">
      <c r="A600" s="54">
        <v>66811900</v>
      </c>
      <c r="B600" s="53" t="str">
        <f>VLOOKUP($A600,[1]maaltijden!$A$1:$IV$65536,4,FALSE)</f>
        <v>FITMEALS EW LASAGNE BOLOGNAISE GEGR GROENTEN 425G</v>
      </c>
      <c r="C600" s="46" t="str">
        <f>VLOOKUP($A600,[1]maaltijden!$A$1:$IV$65536,7,FALSE)</f>
        <v>NOVATO KRAFT</v>
      </c>
      <c r="D600" s="22" t="str">
        <f>VLOOKUP($A600,[1]maaltijden!$A$1:$IV$65536,10,FALSE)</f>
        <v>H25</v>
      </c>
      <c r="E600" s="22" t="str">
        <f>VLOOKUP($A600,[1]maaltijden!$A$1:$IV$65536,13,FALSE)</f>
        <v>Shrink H25 x 5</v>
      </c>
      <c r="F600" s="20">
        <v>0</v>
      </c>
      <c r="G600" s="20" t="str">
        <f>VLOOKUP($A600,[1]maaltijden!$A$1:$IV$65536,27,FALSE)</f>
        <v>! ! !</v>
      </c>
      <c r="H600" s="22">
        <f>VLOOKUP($A600,[1]maaltijden!$A$1:$IV$65536,21,FALSE)</f>
        <v>7</v>
      </c>
      <c r="I600" s="22">
        <f>VLOOKUP($A600,[1]maaltijden!$A$1:$IV$65536,21,FALSE)</f>
        <v>7</v>
      </c>
      <c r="J600" s="22">
        <f>VLOOKUP($A600,[1]maaltijden!$A$1:$IV$65536,18,FALSE)</f>
        <v>2</v>
      </c>
      <c r="K600" s="22">
        <f>VLOOKUP($A600,[1]maaltijden!$A$1:$IV$65536,17,FALSE)</f>
        <v>3</v>
      </c>
      <c r="L600" s="22">
        <f>VLOOKUP($A600,[1]maaltijden!$A$1:$IV$65536,20,FALSE)</f>
        <v>3500</v>
      </c>
      <c r="M600" s="22">
        <f>VLOOKUP($A600,[1]maaltijden!$A$1:$IV$65536,22,FALSE)</f>
        <v>3500</v>
      </c>
      <c r="N600" s="135"/>
      <c r="O600" s="50"/>
      <c r="P600" s="19">
        <v>1</v>
      </c>
      <c r="Q600" s="20">
        <v>0</v>
      </c>
      <c r="R600" s="21">
        <v>0</v>
      </c>
      <c r="S600" s="19">
        <v>1</v>
      </c>
      <c r="T600" s="20">
        <v>0</v>
      </c>
      <c r="U600" s="19"/>
      <c r="V600" s="20"/>
      <c r="W600" s="20"/>
      <c r="X600" s="20"/>
      <c r="Y600" s="20"/>
      <c r="Z600" s="20"/>
      <c r="AA600" s="20"/>
      <c r="AB600" s="49"/>
      <c r="AC600" s="49"/>
      <c r="AD600" s="49"/>
      <c r="AE600" s="49"/>
      <c r="AF600" s="49"/>
      <c r="AG600" s="161">
        <v>0</v>
      </c>
      <c r="AH600" s="168">
        <v>2</v>
      </c>
      <c r="AI600" s="20"/>
      <c r="AJ600" s="20"/>
      <c r="AK600" s="20"/>
      <c r="AL600" s="21"/>
      <c r="AM600" s="19">
        <v>0</v>
      </c>
      <c r="AN600" s="20">
        <v>0</v>
      </c>
      <c r="AO600" s="20">
        <v>0</v>
      </c>
      <c r="AP600" s="20">
        <v>1</v>
      </c>
      <c r="AQ600" s="20">
        <v>5</v>
      </c>
      <c r="AR600" s="20">
        <v>1</v>
      </c>
      <c r="AS600" s="20">
        <v>0</v>
      </c>
      <c r="AT600" s="20">
        <v>0</v>
      </c>
      <c r="AU600" s="20">
        <v>0</v>
      </c>
      <c r="AV600" s="23">
        <v>0</v>
      </c>
      <c r="AW600" s="108">
        <v>1</v>
      </c>
      <c r="AX600" s="108">
        <v>1</v>
      </c>
      <c r="AY600" s="108">
        <v>0</v>
      </c>
      <c r="AZ600" s="108"/>
      <c r="BA600" s="114">
        <v>0</v>
      </c>
      <c r="BB600" s="20">
        <v>0</v>
      </c>
      <c r="BC600" s="113">
        <v>1</v>
      </c>
      <c r="BD600" s="200" t="str">
        <f>VLOOKUP($A600,'[3]allergenen 6nr'!$A$1:$O$1310,3,FALSE)</f>
        <v>-</v>
      </c>
      <c r="BE600" s="201" t="str">
        <f>VLOOKUP($A600,'[3]allergenen 6nr'!$A$1:$O$1310,4,FALSE)</f>
        <v>+</v>
      </c>
      <c r="BF600" s="201" t="str">
        <f>VLOOKUP($A600,'[3]allergenen 6nr'!$A$1:$O$1310,5,FALSE)</f>
        <v>+</v>
      </c>
      <c r="BG600" s="201" t="str">
        <f>VLOOKUP($A600,'[3]allergenen 6nr'!$A$1:$O$1310,6,FALSE)</f>
        <v>-</v>
      </c>
      <c r="BH600" s="201" t="str">
        <f>VLOOKUP($A600,'[3]allergenen 6nr'!$A$1:$O$1310,7,FALSE)</f>
        <v>+</v>
      </c>
      <c r="BI600" s="201" t="str">
        <f>VLOOKUP($A600,'[3]allergenen 6nr'!$A$1:$O$1310,8,FALSE)</f>
        <v>-</v>
      </c>
      <c r="BJ600" s="201" t="str">
        <f>VLOOKUP($A600,'[3]allergenen 6nr'!$A$1:$O$1310,9,FALSE)</f>
        <v>-</v>
      </c>
      <c r="BK600" s="201" t="str">
        <f>VLOOKUP($A600,'[3]allergenen 6nr'!$A$1:$O$1310,10,FALSE)</f>
        <v>-</v>
      </c>
      <c r="BL600" s="201" t="str">
        <f>VLOOKUP($A600,'[3]allergenen 6nr'!$A$1:$O$1310,11,FALSE)</f>
        <v>+</v>
      </c>
      <c r="BM600" s="201" t="str">
        <f>VLOOKUP($A600,'[3]allergenen 6nr'!$A$1:$O$1310,12,FALSE)</f>
        <v>-</v>
      </c>
      <c r="BN600" s="201" t="str">
        <f>VLOOKUP($A600,'[3]allergenen 6nr'!$A$1:$O$1310,13,FALSE)</f>
        <v>-</v>
      </c>
      <c r="BO600" s="201" t="str">
        <f>VLOOKUP($A600,'[3]allergenen 6nr'!$A$1:$O$1310,14,FALSE)</f>
        <v>-</v>
      </c>
      <c r="BP600" s="202" t="str">
        <f>VLOOKUP($A600,'[3]allergenen 6nr'!$A$1:$O$1310,15,FALSE)</f>
        <v>X</v>
      </c>
    </row>
    <row r="601" spans="1:68" x14ac:dyDescent="0.2">
      <c r="A601" s="54">
        <v>66812000</v>
      </c>
      <c r="B601" s="53" t="str">
        <f>VLOOKUP($A601,[1]maaltijden!$A$1:$IV$65536,4,FALSE)</f>
        <v>FITMEALS EW CHILI CON CARNE RIJST 425G</v>
      </c>
      <c r="C601" s="46" t="str">
        <f>VLOOKUP($A601,[1]maaltijden!$A$1:$IV$65536,7,FALSE)</f>
        <v>NOVATO KRAFT</v>
      </c>
      <c r="D601" s="22" t="str">
        <f>VLOOKUP($A601,[1]maaltijden!$A$1:$IV$65536,10,FALSE)</f>
        <v>H25</v>
      </c>
      <c r="E601" s="22" t="str">
        <f>VLOOKUP($A601,[1]maaltijden!$A$1:$IV$65536,13,FALSE)</f>
        <v>Shrink H25 x 5</v>
      </c>
      <c r="F601" s="20">
        <v>0</v>
      </c>
      <c r="G601" s="20" t="str">
        <f>VLOOKUP($A601,[1]maaltijden!$A$1:$IV$65536,27,FALSE)</f>
        <v>! !</v>
      </c>
      <c r="H601" s="22">
        <f>VLOOKUP($A601,[1]maaltijden!$A$1:$IV$65536,21,FALSE)</f>
        <v>6</v>
      </c>
      <c r="I601" s="22">
        <f>VLOOKUP($A601,[1]maaltijden!$A$1:$IV$65536,21,FALSE)</f>
        <v>6</v>
      </c>
      <c r="J601" s="22">
        <f>VLOOKUP($A601,[1]maaltijden!$A$1:$IV$65536,18,FALSE)</f>
        <v>2</v>
      </c>
      <c r="K601" s="22">
        <f>VLOOKUP($A601,[1]maaltijden!$A$1:$IV$65536,17,FALSE)</f>
        <v>3</v>
      </c>
      <c r="L601" s="22">
        <f>VLOOKUP($A601,[1]maaltijden!$A$1:$IV$65536,20,FALSE)</f>
        <v>3500</v>
      </c>
      <c r="M601" s="22">
        <f>VLOOKUP($A601,[1]maaltijden!$A$1:$IV$65536,22,FALSE)</f>
        <v>3500</v>
      </c>
      <c r="N601" s="135"/>
      <c r="O601" s="50"/>
      <c r="P601" s="19">
        <v>1</v>
      </c>
      <c r="Q601" s="20">
        <v>0</v>
      </c>
      <c r="R601" s="21">
        <v>0</v>
      </c>
      <c r="S601" s="19">
        <v>1</v>
      </c>
      <c r="T601" s="20">
        <v>0</v>
      </c>
      <c r="U601" s="19"/>
      <c r="V601" s="20"/>
      <c r="W601" s="20"/>
      <c r="X601" s="20"/>
      <c r="Y601" s="20"/>
      <c r="Z601" s="20"/>
      <c r="AA601" s="20"/>
      <c r="AB601" s="49"/>
      <c r="AC601" s="49"/>
      <c r="AD601" s="49"/>
      <c r="AE601" s="49"/>
      <c r="AF601" s="49"/>
      <c r="AG601" s="161">
        <v>1</v>
      </c>
      <c r="AH601" s="168">
        <v>1</v>
      </c>
      <c r="AI601" s="20"/>
      <c r="AJ601" s="20"/>
      <c r="AK601" s="20"/>
      <c r="AL601" s="21"/>
      <c r="AM601" s="19">
        <v>1</v>
      </c>
      <c r="AN601" s="20">
        <v>0</v>
      </c>
      <c r="AO601" s="20">
        <v>0</v>
      </c>
      <c r="AP601" s="20">
        <v>1</v>
      </c>
      <c r="AQ601" s="20">
        <v>2</v>
      </c>
      <c r="AR601" s="20">
        <v>0</v>
      </c>
      <c r="AS601" s="20">
        <v>0</v>
      </c>
      <c r="AT601" s="20">
        <v>0</v>
      </c>
      <c r="AU601" s="20">
        <v>0</v>
      </c>
      <c r="AV601" s="23">
        <v>0</v>
      </c>
      <c r="AW601" s="108">
        <v>1</v>
      </c>
      <c r="AX601" s="108">
        <v>1</v>
      </c>
      <c r="AY601" s="108">
        <v>0</v>
      </c>
      <c r="AZ601" s="108"/>
      <c r="BA601" s="114">
        <v>0</v>
      </c>
      <c r="BB601" s="20">
        <v>0</v>
      </c>
      <c r="BC601" s="113">
        <v>1</v>
      </c>
      <c r="BD601" s="200" t="str">
        <f>VLOOKUP($A601,'[3]allergenen 6nr'!$A$1:$O$1310,3,FALSE)</f>
        <v>-</v>
      </c>
      <c r="BE601" s="201" t="str">
        <f>VLOOKUP($A601,'[3]allergenen 6nr'!$A$1:$O$1310,4,FALSE)</f>
        <v>-</v>
      </c>
      <c r="BF601" s="201" t="str">
        <f>VLOOKUP($A601,'[3]allergenen 6nr'!$A$1:$O$1310,5,FALSE)</f>
        <v>-</v>
      </c>
      <c r="BG601" s="201" t="str">
        <f>VLOOKUP($A601,'[3]allergenen 6nr'!$A$1:$O$1310,6,FALSE)</f>
        <v>-</v>
      </c>
      <c r="BH601" s="201" t="str">
        <f>VLOOKUP($A601,'[3]allergenen 6nr'!$A$1:$O$1310,7,FALSE)</f>
        <v>+</v>
      </c>
      <c r="BI601" s="201" t="str">
        <f>VLOOKUP($A601,'[3]allergenen 6nr'!$A$1:$O$1310,8,FALSE)</f>
        <v>-</v>
      </c>
      <c r="BJ601" s="201" t="str">
        <f>VLOOKUP($A601,'[3]allergenen 6nr'!$A$1:$O$1310,9,FALSE)</f>
        <v>-</v>
      </c>
      <c r="BK601" s="201" t="str">
        <f>VLOOKUP($A601,'[3]allergenen 6nr'!$A$1:$O$1310,10,FALSE)</f>
        <v>-</v>
      </c>
      <c r="BL601" s="201" t="str">
        <f>VLOOKUP($A601,'[3]allergenen 6nr'!$A$1:$O$1310,11,FALSE)</f>
        <v>-</v>
      </c>
      <c r="BM601" s="201" t="str">
        <f>VLOOKUP($A601,'[3]allergenen 6nr'!$A$1:$O$1310,12,FALSE)</f>
        <v>-</v>
      </c>
      <c r="BN601" s="201" t="str">
        <f>VLOOKUP($A601,'[3]allergenen 6nr'!$A$1:$O$1310,13,FALSE)</f>
        <v>-</v>
      </c>
      <c r="BO601" s="201" t="str">
        <f>VLOOKUP($A601,'[3]allergenen 6nr'!$A$1:$O$1310,14,FALSE)</f>
        <v>-</v>
      </c>
      <c r="BP601" s="202" t="str">
        <f>VLOOKUP($A601,'[3]allergenen 6nr'!$A$1:$O$1310,15,FALSE)</f>
        <v>-</v>
      </c>
    </row>
    <row r="602" spans="1:68" x14ac:dyDescent="0.2">
      <c r="A602" s="54">
        <v>66812100</v>
      </c>
      <c r="B602" s="53" t="str">
        <f>VLOOKUP($A602,[1]maaltijden!$A$1:$IV$65536,4,FALSE)</f>
        <v>FITMEALS EW INDISCHE RENDANG RIJSTMIX GROENTEN425G</v>
      </c>
      <c r="C602" s="46" t="str">
        <f>VLOOKUP($A602,[1]maaltijden!$A$1:$IV$65536,7,FALSE)</f>
        <v>NOVATO KRAFT</v>
      </c>
      <c r="D602" s="22" t="str">
        <f>VLOOKUP($A602,[1]maaltijden!$A$1:$IV$65536,10,FALSE)</f>
        <v>H25</v>
      </c>
      <c r="E602" s="22" t="str">
        <f>VLOOKUP($A602,[1]maaltijden!$A$1:$IV$65536,13,FALSE)</f>
        <v>Shrink H25 x 5</v>
      </c>
      <c r="F602" s="20">
        <v>0</v>
      </c>
      <c r="G602" s="20" t="str">
        <f>VLOOKUP($A602,[1]maaltijden!$A$1:$IV$65536,27,FALSE)</f>
        <v>! ! ! ! !</v>
      </c>
      <c r="H602" s="22">
        <f>VLOOKUP($A602,[1]maaltijden!$A$1:$IV$65536,21,FALSE)</f>
        <v>6</v>
      </c>
      <c r="I602" s="22">
        <f>VLOOKUP($A602,[1]maaltijden!$A$1:$IV$65536,21,FALSE)</f>
        <v>6</v>
      </c>
      <c r="J602" s="22">
        <f>VLOOKUP($A602,[1]maaltijden!$A$1:$IV$65536,18,FALSE)</f>
        <v>2</v>
      </c>
      <c r="K602" s="22">
        <f>VLOOKUP($A602,[1]maaltijden!$A$1:$IV$65536,17,FALSE)</f>
        <v>3</v>
      </c>
      <c r="L602" s="22">
        <f>VLOOKUP($A602,[1]maaltijden!$A$1:$IV$65536,20,FALSE)</f>
        <v>3500</v>
      </c>
      <c r="M602" s="22">
        <f>VLOOKUP($A602,[1]maaltijden!$A$1:$IV$65536,22,FALSE)</f>
        <v>3500</v>
      </c>
      <c r="N602" s="135"/>
      <c r="O602" s="50"/>
      <c r="P602" s="19">
        <v>1</v>
      </c>
      <c r="Q602" s="20">
        <v>0</v>
      </c>
      <c r="R602" s="21">
        <v>0</v>
      </c>
      <c r="S602" s="19">
        <v>1</v>
      </c>
      <c r="T602" s="20">
        <v>0</v>
      </c>
      <c r="U602" s="19"/>
      <c r="V602" s="20"/>
      <c r="W602" s="20"/>
      <c r="X602" s="20"/>
      <c r="Y602" s="20"/>
      <c r="Z602" s="20"/>
      <c r="AA602" s="20"/>
      <c r="AB602" s="49"/>
      <c r="AC602" s="49"/>
      <c r="AD602" s="49"/>
      <c r="AE602" s="49"/>
      <c r="AF602" s="49"/>
      <c r="AG602" s="161">
        <v>1</v>
      </c>
      <c r="AH602" s="168">
        <v>1</v>
      </c>
      <c r="AI602" s="20"/>
      <c r="AJ602" s="168">
        <v>1</v>
      </c>
      <c r="AK602" s="20"/>
      <c r="AL602" s="21"/>
      <c r="AM602" s="19">
        <v>1</v>
      </c>
      <c r="AN602" s="20">
        <v>0</v>
      </c>
      <c r="AO602" s="20">
        <v>0</v>
      </c>
      <c r="AP602" s="20">
        <v>0</v>
      </c>
      <c r="AQ602" s="20">
        <v>2</v>
      </c>
      <c r="AR602" s="20">
        <v>0</v>
      </c>
      <c r="AS602" s="20">
        <v>0</v>
      </c>
      <c r="AT602" s="20">
        <v>0</v>
      </c>
      <c r="AU602" s="20">
        <v>0</v>
      </c>
      <c r="AV602" s="23">
        <v>0</v>
      </c>
      <c r="AW602" s="108">
        <v>1</v>
      </c>
      <c r="AX602" s="108">
        <v>1</v>
      </c>
      <c r="AY602" s="108">
        <v>0</v>
      </c>
      <c r="AZ602" s="108"/>
      <c r="BA602" s="114">
        <v>0</v>
      </c>
      <c r="BB602" s="20">
        <v>0</v>
      </c>
      <c r="BC602" s="113">
        <v>1</v>
      </c>
      <c r="BD602" s="200" t="str">
        <f>VLOOKUP($A602,'[3]allergenen 6nr'!$A$1:$O$1310,3,FALSE)</f>
        <v>-</v>
      </c>
      <c r="BE602" s="201" t="str">
        <f>VLOOKUP($A602,'[3]allergenen 6nr'!$A$1:$O$1310,4,FALSE)</f>
        <v>-</v>
      </c>
      <c r="BF602" s="201" t="str">
        <f>VLOOKUP($A602,'[3]allergenen 6nr'!$A$1:$O$1310,5,FALSE)</f>
        <v>X</v>
      </c>
      <c r="BG602" s="201" t="str">
        <f>VLOOKUP($A602,'[3]allergenen 6nr'!$A$1:$O$1310,6,FALSE)</f>
        <v>-</v>
      </c>
      <c r="BH602" s="201" t="str">
        <f>VLOOKUP($A602,'[3]allergenen 6nr'!$A$1:$O$1310,7,FALSE)</f>
        <v>+</v>
      </c>
      <c r="BI602" s="201" t="str">
        <f>VLOOKUP($A602,'[3]allergenen 6nr'!$A$1:$O$1310,8,FALSE)</f>
        <v>-</v>
      </c>
      <c r="BJ602" s="201" t="str">
        <f>VLOOKUP($A602,'[3]allergenen 6nr'!$A$1:$O$1310,9,FALSE)</f>
        <v>+</v>
      </c>
      <c r="BK602" s="201" t="str">
        <f>VLOOKUP($A602,'[3]allergenen 6nr'!$A$1:$O$1310,10,FALSE)</f>
        <v>+</v>
      </c>
      <c r="BL602" s="201" t="str">
        <f>VLOOKUP($A602,'[3]allergenen 6nr'!$A$1:$O$1310,11,FALSE)</f>
        <v>+</v>
      </c>
      <c r="BM602" s="201" t="str">
        <f>VLOOKUP($A602,'[3]allergenen 6nr'!$A$1:$O$1310,12,FALSE)</f>
        <v>-</v>
      </c>
      <c r="BN602" s="201" t="str">
        <f>VLOOKUP($A602,'[3]allergenen 6nr'!$A$1:$O$1310,13,FALSE)</f>
        <v>-</v>
      </c>
      <c r="BO602" s="201" t="str">
        <f>VLOOKUP($A602,'[3]allergenen 6nr'!$A$1:$O$1310,14,FALSE)</f>
        <v>+</v>
      </c>
      <c r="BP602" s="202" t="str">
        <f>VLOOKUP($A602,'[3]allergenen 6nr'!$A$1:$O$1310,15,FALSE)</f>
        <v>+</v>
      </c>
    </row>
    <row r="603" spans="1:68" x14ac:dyDescent="0.2">
      <c r="A603" s="54">
        <v>66812200</v>
      </c>
      <c r="B603" s="53" t="str">
        <f>VLOOKUP($A603,[1]maaltijden!$A$1:$IV$65536,4,FALSE)</f>
        <v>FITMEALS EW KOOLVIS DUGLERE RIJST GR GROENTEN 425G</v>
      </c>
      <c r="C603" s="46" t="str">
        <f>VLOOKUP($A603,[1]maaltijden!$A$1:$IV$65536,7,FALSE)</f>
        <v>NOVATO KRAFT</v>
      </c>
      <c r="D603" s="22" t="str">
        <f>VLOOKUP($A603,[1]maaltijden!$A$1:$IV$65536,10,FALSE)</f>
        <v>H25</v>
      </c>
      <c r="E603" s="22" t="str">
        <f>VLOOKUP($A603,[1]maaltijden!$A$1:$IV$65536,13,FALSE)</f>
        <v>Shrink H25 x 5</v>
      </c>
      <c r="F603" s="20">
        <v>0</v>
      </c>
      <c r="G603" s="20" t="str">
        <f>VLOOKUP($A603,[1]maaltijden!$A$1:$IV$65536,27,FALSE)</f>
        <v>! ! ! !</v>
      </c>
      <c r="H603" s="22">
        <f>VLOOKUP($A603,[1]maaltijden!$A$1:$IV$65536,21,FALSE)</f>
        <v>8</v>
      </c>
      <c r="I603" s="22">
        <f>VLOOKUP($A603,[1]maaltijden!$A$1:$IV$65536,21,FALSE)</f>
        <v>8</v>
      </c>
      <c r="J603" s="22">
        <f>VLOOKUP($A603,[1]maaltijden!$A$1:$IV$65536,18,FALSE)</f>
        <v>2</v>
      </c>
      <c r="K603" s="22">
        <f>VLOOKUP($A603,[1]maaltijden!$A$1:$IV$65536,17,FALSE)</f>
        <v>3</v>
      </c>
      <c r="L603" s="22">
        <f>VLOOKUP($A603,[1]maaltijden!$A$1:$IV$65536,20,FALSE)</f>
        <v>3500</v>
      </c>
      <c r="M603" s="22">
        <f>VLOOKUP($A603,[1]maaltijden!$A$1:$IV$65536,22,FALSE)</f>
        <v>3500</v>
      </c>
      <c r="N603" s="135"/>
      <c r="O603" s="50"/>
      <c r="P603" s="19">
        <v>1</v>
      </c>
      <c r="Q603" s="20">
        <v>0</v>
      </c>
      <c r="R603" s="21">
        <v>0</v>
      </c>
      <c r="S603" s="19">
        <v>1</v>
      </c>
      <c r="T603" s="20">
        <v>0</v>
      </c>
      <c r="U603" s="19"/>
      <c r="V603" s="20"/>
      <c r="W603" s="20"/>
      <c r="X603" s="20"/>
      <c r="Y603" s="20"/>
      <c r="Z603" s="20"/>
      <c r="AA603" s="20"/>
      <c r="AB603" s="49"/>
      <c r="AC603" s="49"/>
      <c r="AD603" s="49"/>
      <c r="AE603" s="49"/>
      <c r="AF603" s="49"/>
      <c r="AG603" s="161">
        <v>1</v>
      </c>
      <c r="AH603" s="168">
        <v>1</v>
      </c>
      <c r="AI603" s="20"/>
      <c r="AJ603" s="168">
        <v>1</v>
      </c>
      <c r="AK603" s="20"/>
      <c r="AL603" s="21"/>
      <c r="AM603" s="19">
        <v>1</v>
      </c>
      <c r="AN603" s="20">
        <v>0</v>
      </c>
      <c r="AO603" s="20">
        <v>0</v>
      </c>
      <c r="AP603" s="20">
        <v>0</v>
      </c>
      <c r="AQ603" s="20">
        <v>2</v>
      </c>
      <c r="AR603" s="20">
        <v>0</v>
      </c>
      <c r="AS603" s="20">
        <v>0</v>
      </c>
      <c r="AT603" s="20">
        <v>0</v>
      </c>
      <c r="AU603" s="20">
        <v>0</v>
      </c>
      <c r="AV603" s="23">
        <v>0</v>
      </c>
      <c r="AW603" s="108">
        <v>1</v>
      </c>
      <c r="AX603" s="108">
        <v>1</v>
      </c>
      <c r="AY603" s="108">
        <v>0</v>
      </c>
      <c r="AZ603" s="108"/>
      <c r="BA603" s="114">
        <v>0</v>
      </c>
      <c r="BB603" s="20">
        <v>0</v>
      </c>
      <c r="BC603" s="113">
        <v>1</v>
      </c>
      <c r="BD603" s="200" t="str">
        <f>VLOOKUP($A603,'[3]allergenen 6nr'!$A$1:$O$1310,3,FALSE)</f>
        <v>-</v>
      </c>
      <c r="BE603" s="201" t="str">
        <f>VLOOKUP($A603,'[3]allergenen 6nr'!$A$1:$O$1310,4,FALSE)</f>
        <v>-</v>
      </c>
      <c r="BF603" s="201" t="str">
        <f>VLOOKUP($A603,'[3]allergenen 6nr'!$A$1:$O$1310,5,FALSE)</f>
        <v>+</v>
      </c>
      <c r="BG603" s="201" t="str">
        <f>VLOOKUP($A603,'[3]allergenen 6nr'!$A$1:$O$1310,6,FALSE)</f>
        <v>X</v>
      </c>
      <c r="BH603" s="201" t="str">
        <f>VLOOKUP($A603,'[3]allergenen 6nr'!$A$1:$O$1310,7,FALSE)</f>
        <v>+</v>
      </c>
      <c r="BI603" s="201" t="str">
        <f>VLOOKUP($A603,'[3]allergenen 6nr'!$A$1:$O$1310,8,FALSE)</f>
        <v>X</v>
      </c>
      <c r="BJ603" s="201" t="str">
        <f>VLOOKUP($A603,'[3]allergenen 6nr'!$A$1:$O$1310,9,FALSE)</f>
        <v>-</v>
      </c>
      <c r="BK603" s="201" t="str">
        <f>VLOOKUP($A603,'[3]allergenen 6nr'!$A$1:$O$1310,10,FALSE)</f>
        <v>X</v>
      </c>
      <c r="BL603" s="201" t="str">
        <f>VLOOKUP($A603,'[3]allergenen 6nr'!$A$1:$O$1310,11,FALSE)</f>
        <v>-</v>
      </c>
      <c r="BM603" s="201" t="str">
        <f>VLOOKUP($A603,'[3]allergenen 6nr'!$A$1:$O$1310,12,FALSE)</f>
        <v>-</v>
      </c>
      <c r="BN603" s="201" t="str">
        <f>VLOOKUP($A603,'[3]allergenen 6nr'!$A$1:$O$1310,13,FALSE)</f>
        <v>+</v>
      </c>
      <c r="BO603" s="201" t="str">
        <f>VLOOKUP($A603,'[3]allergenen 6nr'!$A$1:$O$1310,14,FALSE)</f>
        <v>+</v>
      </c>
      <c r="BP603" s="202" t="str">
        <f>VLOOKUP($A603,'[3]allergenen 6nr'!$A$1:$O$1310,15,FALSE)</f>
        <v>X</v>
      </c>
    </row>
    <row r="604" spans="1:68" x14ac:dyDescent="0.2">
      <c r="A604" s="54">
        <v>66812300</v>
      </c>
      <c r="B604" s="53" t="str">
        <f>VLOOKUP($A604,[1]maaltijden!$A$1:$IV$65536,4,FALSE)</f>
        <v>FITMEALS EW RISOTTO KIP BOSCHAMPIGNON 425G</v>
      </c>
      <c r="C604" s="46" t="str">
        <f>VLOOKUP($A604,[1]maaltijden!$A$1:$IV$65536,7,FALSE)</f>
        <v>NOVATO KRAFT</v>
      </c>
      <c r="D604" s="22" t="str">
        <f>VLOOKUP($A604,[1]maaltijden!$A$1:$IV$65536,10,FALSE)</f>
        <v>H25</v>
      </c>
      <c r="E604" s="22" t="str">
        <f>VLOOKUP($A604,[1]maaltijden!$A$1:$IV$65536,13,FALSE)</f>
        <v>Shrink H25 x 5</v>
      </c>
      <c r="F604" s="20">
        <v>0</v>
      </c>
      <c r="G604" s="20" t="str">
        <f>VLOOKUP($A604,[1]maaltijden!$A$1:$IV$65536,27,FALSE)</f>
        <v>! ! !</v>
      </c>
      <c r="H604" s="22">
        <f>VLOOKUP($A604,[1]maaltijden!$A$1:$IV$65536,21,FALSE)</f>
        <v>7</v>
      </c>
      <c r="I604" s="22">
        <f>VLOOKUP($A604,[1]maaltijden!$A$1:$IV$65536,21,FALSE)</f>
        <v>7</v>
      </c>
      <c r="J604" s="22">
        <f>VLOOKUP($A604,[1]maaltijden!$A$1:$IV$65536,18,FALSE)</f>
        <v>2</v>
      </c>
      <c r="K604" s="22">
        <f>VLOOKUP($A604,[1]maaltijden!$A$1:$IV$65536,17,FALSE)</f>
        <v>2</v>
      </c>
      <c r="L604" s="22">
        <f>VLOOKUP($A604,[1]maaltijden!$A$1:$IV$65536,20,FALSE)</f>
        <v>3500</v>
      </c>
      <c r="M604" s="22">
        <f>VLOOKUP($A604,[1]maaltijden!$A$1:$IV$65536,22,FALSE)</f>
        <v>3500</v>
      </c>
      <c r="N604" s="137"/>
      <c r="O604" s="22" t="s">
        <v>236</v>
      </c>
      <c r="P604" s="19">
        <v>1</v>
      </c>
      <c r="Q604" s="20">
        <v>0</v>
      </c>
      <c r="R604" s="21">
        <v>0</v>
      </c>
      <c r="S604" s="19">
        <v>1</v>
      </c>
      <c r="T604" s="20">
        <v>0</v>
      </c>
      <c r="U604" s="19"/>
      <c r="V604" s="20"/>
      <c r="W604" s="20"/>
      <c r="X604" s="20"/>
      <c r="Y604" s="20"/>
      <c r="Z604" s="20"/>
      <c r="AA604" s="20"/>
      <c r="AB604" s="49"/>
      <c r="AC604" s="49"/>
      <c r="AD604" s="49"/>
      <c r="AE604" s="49"/>
      <c r="AF604" s="49"/>
      <c r="AG604" s="161">
        <v>1</v>
      </c>
      <c r="AH604" s="168">
        <v>1</v>
      </c>
      <c r="AI604" s="20"/>
      <c r="AJ604" s="20"/>
      <c r="AK604" s="20"/>
      <c r="AL604" s="21"/>
      <c r="AM604" s="19">
        <v>0</v>
      </c>
      <c r="AN604" s="20">
        <v>0</v>
      </c>
      <c r="AO604" s="20">
        <v>0</v>
      </c>
      <c r="AP604" s="20">
        <v>1</v>
      </c>
      <c r="AQ604" s="20">
        <v>2</v>
      </c>
      <c r="AR604" s="20">
        <v>0</v>
      </c>
      <c r="AS604" s="20">
        <v>1</v>
      </c>
      <c r="AT604" s="20">
        <v>0</v>
      </c>
      <c r="AU604" s="20">
        <v>0</v>
      </c>
      <c r="AV604" s="23">
        <v>0</v>
      </c>
      <c r="AW604" s="108">
        <v>1</v>
      </c>
      <c r="AX604" s="108">
        <v>1</v>
      </c>
      <c r="AY604" s="108">
        <v>0</v>
      </c>
      <c r="AZ604" s="108"/>
      <c r="BA604" s="114">
        <v>0</v>
      </c>
      <c r="BB604" s="20">
        <v>0</v>
      </c>
      <c r="BC604" s="113">
        <v>1</v>
      </c>
      <c r="BD604" s="200" t="str">
        <f>VLOOKUP($A604,'[3]allergenen 6nr'!$A$1:$O$1310,3,FALSE)</f>
        <v>-</v>
      </c>
      <c r="BE604" s="201" t="str">
        <f>VLOOKUP($A604,'[3]allergenen 6nr'!$A$1:$O$1310,4,FALSE)</f>
        <v>-</v>
      </c>
      <c r="BF604" s="201" t="str">
        <f>VLOOKUP($A604,'[3]allergenen 6nr'!$A$1:$O$1310,5,FALSE)</f>
        <v>X</v>
      </c>
      <c r="BG604" s="201" t="str">
        <f>VLOOKUP($A604,'[3]allergenen 6nr'!$A$1:$O$1310,6,FALSE)</f>
        <v>-</v>
      </c>
      <c r="BH604" s="201" t="str">
        <f>VLOOKUP($A604,'[3]allergenen 6nr'!$A$1:$O$1310,7,FALSE)</f>
        <v>+</v>
      </c>
      <c r="BI604" s="201" t="str">
        <f>VLOOKUP($A604,'[3]allergenen 6nr'!$A$1:$O$1310,8,FALSE)</f>
        <v>X</v>
      </c>
      <c r="BJ604" s="201" t="str">
        <f>VLOOKUP($A604,'[3]allergenen 6nr'!$A$1:$O$1310,9,FALSE)</f>
        <v>-</v>
      </c>
      <c r="BK604" s="201" t="str">
        <f>VLOOKUP($A604,'[3]allergenen 6nr'!$A$1:$O$1310,10,FALSE)</f>
        <v>-</v>
      </c>
      <c r="BL604" s="201" t="str">
        <f>VLOOKUP($A604,'[3]allergenen 6nr'!$A$1:$O$1310,11,FALSE)</f>
        <v>X</v>
      </c>
      <c r="BM604" s="201" t="str">
        <f>VLOOKUP($A604,'[3]allergenen 6nr'!$A$1:$O$1310,12,FALSE)</f>
        <v>-</v>
      </c>
      <c r="BN604" s="201" t="str">
        <f>VLOOKUP($A604,'[3]allergenen 6nr'!$A$1:$O$1310,13,FALSE)</f>
        <v>-</v>
      </c>
      <c r="BO604" s="201" t="str">
        <f>VLOOKUP($A604,'[3]allergenen 6nr'!$A$1:$O$1310,14,FALSE)</f>
        <v>-</v>
      </c>
      <c r="BP604" s="202" t="str">
        <f>VLOOKUP($A604,'[3]allergenen 6nr'!$A$1:$O$1310,15,FALSE)</f>
        <v>-</v>
      </c>
    </row>
    <row r="605" spans="1:68" x14ac:dyDescent="0.2">
      <c r="A605" s="54">
        <v>66812400</v>
      </c>
      <c r="B605" s="53" t="str">
        <f>VLOOKUP($A605,[1]maaltijden!$A$1:$IV$65536,4,FALSE)</f>
        <v>FITMEALS EW KIP SATE BAMI GORENG BROCC HALAL 425G</v>
      </c>
      <c r="C605" s="46" t="str">
        <f>VLOOKUP($A605,[1]maaltijden!$A$1:$IV$65536,7,FALSE)</f>
        <v>NOVATO KRAFT</v>
      </c>
      <c r="D605" s="22" t="str">
        <f>VLOOKUP($A605,[1]maaltijden!$A$1:$IV$65536,10,FALSE)</f>
        <v>H25</v>
      </c>
      <c r="E605" s="22" t="str">
        <f>VLOOKUP($A605,[1]maaltijden!$A$1:$IV$65536,13,FALSE)</f>
        <v>Shrink H25 x 5</v>
      </c>
      <c r="F605" s="20">
        <v>0</v>
      </c>
      <c r="G605" s="20" t="str">
        <f>VLOOKUP($A605,[1]maaltijden!$A$1:$IV$65536,27,FALSE)</f>
        <v>X</v>
      </c>
      <c r="H605" s="22">
        <f>VLOOKUP($A605,[1]maaltijden!$A$1:$IV$65536,21,FALSE)</f>
        <v>7</v>
      </c>
      <c r="I605" s="22">
        <f>VLOOKUP($A605,[1]maaltijden!$A$1:$IV$65536,21,FALSE)</f>
        <v>7</v>
      </c>
      <c r="J605" s="22">
        <f>VLOOKUP($A605,[1]maaltijden!$A$1:$IV$65536,18,FALSE)</f>
        <v>2</v>
      </c>
      <c r="K605" s="22">
        <f>VLOOKUP($A605,[1]maaltijden!$A$1:$IV$65536,17,FALSE)</f>
        <v>3</v>
      </c>
      <c r="L605" s="22">
        <f>VLOOKUP($A605,[1]maaltijden!$A$1:$IV$65536,20,FALSE)</f>
        <v>3500</v>
      </c>
      <c r="M605" s="22">
        <f>VLOOKUP($A605,[1]maaltijden!$A$1:$IV$65536,22,FALSE)</f>
        <v>3500</v>
      </c>
      <c r="N605" s="135"/>
      <c r="O605" s="50"/>
      <c r="P605" s="19">
        <v>1</v>
      </c>
      <c r="Q605" s="20">
        <v>0</v>
      </c>
      <c r="R605" s="21">
        <v>0</v>
      </c>
      <c r="S605" s="19">
        <v>1</v>
      </c>
      <c r="T605" s="20">
        <v>0</v>
      </c>
      <c r="U605" s="19"/>
      <c r="V605" s="20"/>
      <c r="W605" s="20"/>
      <c r="X605" s="20"/>
      <c r="Y605" s="20"/>
      <c r="Z605" s="20"/>
      <c r="AA605" s="20"/>
      <c r="AB605" s="49"/>
      <c r="AC605" s="49"/>
      <c r="AD605" s="49"/>
      <c r="AE605" s="49"/>
      <c r="AF605" s="49"/>
      <c r="AG605" s="161">
        <v>1</v>
      </c>
      <c r="AH605" s="168">
        <v>1</v>
      </c>
      <c r="AI605" s="168">
        <v>1</v>
      </c>
      <c r="AJ605" s="168">
        <v>1</v>
      </c>
      <c r="AK605" s="20"/>
      <c r="AL605" s="21"/>
      <c r="AM605" s="19">
        <v>1</v>
      </c>
      <c r="AN605" s="20">
        <v>0</v>
      </c>
      <c r="AO605" s="20">
        <v>0</v>
      </c>
      <c r="AP605" s="20">
        <v>0</v>
      </c>
      <c r="AQ605" s="20">
        <v>2</v>
      </c>
      <c r="AR605" s="20">
        <v>0</v>
      </c>
      <c r="AS605" s="20">
        <v>1</v>
      </c>
      <c r="AT605" s="20">
        <v>0</v>
      </c>
      <c r="AU605" s="20">
        <v>0</v>
      </c>
      <c r="AV605" s="23">
        <v>0</v>
      </c>
      <c r="AW605" s="108">
        <v>1</v>
      </c>
      <c r="AX605" s="108">
        <v>1</v>
      </c>
      <c r="AY605" s="108">
        <v>0</v>
      </c>
      <c r="AZ605" s="108"/>
      <c r="BA605" s="114">
        <v>0</v>
      </c>
      <c r="BB605" s="20">
        <v>0</v>
      </c>
      <c r="BC605" s="113">
        <v>1</v>
      </c>
      <c r="BD605" s="200" t="str">
        <f>VLOOKUP($A605,'[3]allergenen 6nr'!$A$1:$O$1310,3,FALSE)</f>
        <v>+</v>
      </c>
      <c r="BE605" s="201" t="str">
        <f>VLOOKUP($A605,'[3]allergenen 6nr'!$A$1:$O$1310,4,FALSE)</f>
        <v>X</v>
      </c>
      <c r="BF605" s="201" t="str">
        <f>VLOOKUP($A605,'[3]allergenen 6nr'!$A$1:$O$1310,5,FALSE)</f>
        <v>+</v>
      </c>
      <c r="BG605" s="201" t="str">
        <f>VLOOKUP($A605,'[3]allergenen 6nr'!$A$1:$O$1310,6,FALSE)</f>
        <v>X</v>
      </c>
      <c r="BH605" s="201" t="str">
        <f>VLOOKUP($A605,'[3]allergenen 6nr'!$A$1:$O$1310,7,FALSE)</f>
        <v>-</v>
      </c>
      <c r="BI605" s="201" t="str">
        <f>VLOOKUP($A605,'[3]allergenen 6nr'!$A$1:$O$1310,8,FALSE)</f>
        <v>X</v>
      </c>
      <c r="BJ605" s="201" t="str">
        <f>VLOOKUP($A605,'[3]allergenen 6nr'!$A$1:$O$1310,9,FALSE)</f>
        <v>-</v>
      </c>
      <c r="BK605" s="201" t="str">
        <f>VLOOKUP($A605,'[3]allergenen 6nr'!$A$1:$O$1310,10,FALSE)</f>
        <v>-</v>
      </c>
      <c r="BL605" s="201" t="str">
        <f>VLOOKUP($A605,'[3]allergenen 6nr'!$A$1:$O$1310,11,FALSE)</f>
        <v>+</v>
      </c>
      <c r="BM605" s="201" t="str">
        <f>VLOOKUP($A605,'[3]allergenen 6nr'!$A$1:$O$1310,12,FALSE)</f>
        <v>-</v>
      </c>
      <c r="BN605" s="201" t="str">
        <f>VLOOKUP($A605,'[3]allergenen 6nr'!$A$1:$O$1310,13,FALSE)</f>
        <v>+</v>
      </c>
      <c r="BO605" s="201" t="str">
        <f>VLOOKUP($A605,'[3]allergenen 6nr'!$A$1:$O$1310,14,FALSE)</f>
        <v>-</v>
      </c>
      <c r="BP605" s="202" t="str">
        <f>VLOOKUP($A605,'[3]allergenen 6nr'!$A$1:$O$1310,15,FALSE)</f>
        <v>-</v>
      </c>
    </row>
    <row r="606" spans="1:68" x14ac:dyDescent="0.2">
      <c r="A606" s="54">
        <v>66812500</v>
      </c>
      <c r="B606" s="53" t="str">
        <f>VLOOKUP($A606,[1]maaltijden!$A$1:$IV$65536,4,FALSE)</f>
        <v>FITMEALS EW KEBAB BBQ SAUS GEBAKKEN AARDAP 425G</v>
      </c>
      <c r="C606" s="46" t="str">
        <f>VLOOKUP($A606,[1]maaltijden!$A$1:$IV$65536,7,FALSE)</f>
        <v>NOVATO KRAFT</v>
      </c>
      <c r="D606" s="22" t="str">
        <f>VLOOKUP($A606,[1]maaltijden!$A$1:$IV$65536,10,FALSE)</f>
        <v>H25</v>
      </c>
      <c r="E606" s="22" t="str">
        <f>VLOOKUP($A606,[1]maaltijden!$A$1:$IV$65536,13,FALSE)</f>
        <v>Shrink H25 x 5</v>
      </c>
      <c r="F606" s="20">
        <v>0</v>
      </c>
      <c r="G606" s="20" t="str">
        <f>VLOOKUP($A606,[1]maaltijden!$A$1:$IV$65536,27,FALSE)</f>
        <v>! ! !</v>
      </c>
      <c r="H606" s="22">
        <f>VLOOKUP($A606,[1]maaltijden!$A$1:$IV$65536,21,FALSE)</f>
        <v>7</v>
      </c>
      <c r="I606" s="22">
        <f>VLOOKUP($A606,[1]maaltijden!$A$1:$IV$65536,21,FALSE)</f>
        <v>7</v>
      </c>
      <c r="J606" s="22">
        <f>VLOOKUP($A606,[1]maaltijden!$A$1:$IV$65536,18,FALSE)</f>
        <v>2</v>
      </c>
      <c r="K606" s="22">
        <f>VLOOKUP($A606,[1]maaltijden!$A$1:$IV$65536,17,FALSE)</f>
        <v>2</v>
      </c>
      <c r="L606" s="22">
        <f>VLOOKUP($A606,[1]maaltijden!$A$1:$IV$65536,20,FALSE)</f>
        <v>3500</v>
      </c>
      <c r="M606" s="22">
        <f>VLOOKUP($A606,[1]maaltijden!$A$1:$IV$65536,22,FALSE)</f>
        <v>3500</v>
      </c>
      <c r="N606" s="135"/>
      <c r="O606" s="50"/>
      <c r="P606" s="19">
        <v>1</v>
      </c>
      <c r="Q606" s="20">
        <v>0</v>
      </c>
      <c r="R606" s="21">
        <v>0</v>
      </c>
      <c r="S606" s="19">
        <v>1</v>
      </c>
      <c r="T606" s="20">
        <v>0</v>
      </c>
      <c r="U606" s="19"/>
      <c r="V606" s="20"/>
      <c r="W606" s="20"/>
      <c r="X606" s="20"/>
      <c r="Y606" s="20"/>
      <c r="Z606" s="20"/>
      <c r="AA606" s="20"/>
      <c r="AB606" s="49"/>
      <c r="AC606" s="49"/>
      <c r="AD606" s="49"/>
      <c r="AE606" s="49"/>
      <c r="AF606" s="49"/>
      <c r="AG606" s="19"/>
      <c r="AH606" s="168">
        <v>1</v>
      </c>
      <c r="AI606" s="20"/>
      <c r="AJ606" s="20"/>
      <c r="AK606" s="20"/>
      <c r="AL606" s="21"/>
      <c r="AM606" s="19">
        <v>0</v>
      </c>
      <c r="AN606" s="20">
        <v>0</v>
      </c>
      <c r="AO606" s="20">
        <v>0</v>
      </c>
      <c r="AP606" s="20">
        <v>0</v>
      </c>
      <c r="AQ606" s="20">
        <v>2</v>
      </c>
      <c r="AR606" s="20">
        <v>0</v>
      </c>
      <c r="AS606" s="20">
        <v>1</v>
      </c>
      <c r="AT606" s="20">
        <v>0</v>
      </c>
      <c r="AU606" s="20">
        <v>0</v>
      </c>
      <c r="AV606" s="23">
        <v>0</v>
      </c>
      <c r="AW606" s="108">
        <v>1</v>
      </c>
      <c r="AX606" s="108">
        <v>1</v>
      </c>
      <c r="AY606" s="108">
        <v>0</v>
      </c>
      <c r="AZ606" s="108"/>
      <c r="BA606" s="114">
        <v>0</v>
      </c>
      <c r="BB606" s="20">
        <v>0</v>
      </c>
      <c r="BC606" s="113">
        <v>1</v>
      </c>
      <c r="BD606" s="200" t="str">
        <f>VLOOKUP($A606,'[3]allergenen 6nr'!$A$1:$O$1310,3,FALSE)</f>
        <v>-</v>
      </c>
      <c r="BE606" s="201" t="str">
        <f>VLOOKUP($A606,'[3]allergenen 6nr'!$A$1:$O$1310,4,FALSE)</f>
        <v>-</v>
      </c>
      <c r="BF606" s="201" t="str">
        <f>VLOOKUP($A606,'[3]allergenen 6nr'!$A$1:$O$1310,5,FALSE)</f>
        <v>-</v>
      </c>
      <c r="BG606" s="201" t="str">
        <f>VLOOKUP($A606,'[3]allergenen 6nr'!$A$1:$O$1310,6,FALSE)</f>
        <v>-</v>
      </c>
      <c r="BH606" s="201" t="str">
        <f>VLOOKUP($A606,'[3]allergenen 6nr'!$A$1:$O$1310,7,FALSE)</f>
        <v>-</v>
      </c>
      <c r="BI606" s="201" t="str">
        <f>VLOOKUP($A606,'[3]allergenen 6nr'!$A$1:$O$1310,8,FALSE)</f>
        <v>-</v>
      </c>
      <c r="BJ606" s="201" t="str">
        <f>VLOOKUP($A606,'[3]allergenen 6nr'!$A$1:$O$1310,9,FALSE)</f>
        <v>-</v>
      </c>
      <c r="BK606" s="201" t="str">
        <f>VLOOKUP($A606,'[3]allergenen 6nr'!$A$1:$O$1310,10,FALSE)</f>
        <v>-</v>
      </c>
      <c r="BL606" s="201" t="str">
        <f>VLOOKUP($A606,'[3]allergenen 6nr'!$A$1:$O$1310,11,FALSE)</f>
        <v>+</v>
      </c>
      <c r="BM606" s="201" t="str">
        <f>VLOOKUP($A606,'[3]allergenen 6nr'!$A$1:$O$1310,12,FALSE)</f>
        <v>-</v>
      </c>
      <c r="BN606" s="201" t="str">
        <f>VLOOKUP($A606,'[3]allergenen 6nr'!$A$1:$O$1310,13,FALSE)</f>
        <v>-</v>
      </c>
      <c r="BO606" s="201" t="str">
        <f>VLOOKUP($A606,'[3]allergenen 6nr'!$A$1:$O$1310,14,FALSE)</f>
        <v>-</v>
      </c>
      <c r="BP606" s="202" t="str">
        <f>VLOOKUP($A606,'[3]allergenen 6nr'!$A$1:$O$1310,15,FALSE)</f>
        <v>-</v>
      </c>
    </row>
    <row r="607" spans="1:68" x14ac:dyDescent="0.2">
      <c r="A607" s="126">
        <v>66830000</v>
      </c>
      <c r="B607" s="53" t="str">
        <f>VLOOKUP($A607,[1]maaltijden!$A$1:$IV$65536,4,FALSE)</f>
        <v>FITMEALS EW KIP SATE BAMI GORENG HALAL 425G (MIXED)</v>
      </c>
      <c r="C607" s="46" t="str">
        <f>VLOOKUP($A607,[1]maaltijden!$A$1:$IV$65536,7,FALSE)</f>
        <v>NOVATO KRAFT</v>
      </c>
      <c r="D607" s="22" t="str">
        <f>VLOOKUP($A607,[1]maaltijden!$A$1:$IV$65536,10,FALSE)</f>
        <v>H25</v>
      </c>
      <c r="E607" s="22" t="str">
        <f>VLOOKUP($A607,[1]maaltijden!$A$1:$IV$65536,13,FALSE)</f>
        <v>DOOS H25x16</v>
      </c>
      <c r="F607" s="20">
        <v>1</v>
      </c>
      <c r="G607" s="20" t="str">
        <f>VLOOKUP($A607,[1]maaltijden!$A$1:$IV$65536,27,FALSE)</f>
        <v>X</v>
      </c>
      <c r="H607" s="22">
        <f>VLOOKUP($A607,[1]maaltijden!$A$1:$IV$65536,21,FALSE)</f>
        <v>7</v>
      </c>
      <c r="I607" s="22">
        <f>VLOOKUP($A607,[1]maaltijden!$A$1:$IV$65536,21,FALSE)</f>
        <v>7</v>
      </c>
      <c r="J607" s="22">
        <f>VLOOKUP($A607,[1]maaltijden!$A$1:$IV$65536,18,FALSE)</f>
        <v>2</v>
      </c>
      <c r="K607" s="22">
        <f>VLOOKUP($A607,[1]maaltijden!$A$1:$IV$65536,17,FALSE)</f>
        <v>3</v>
      </c>
      <c r="L607" s="22">
        <f>VLOOKUP($A607,[1]maaltijden!$A$1:$IV$65536,20,FALSE)</f>
        <v>3500</v>
      </c>
      <c r="M607" s="22">
        <f>VLOOKUP($A607,[1]maaltijden!$A$1:$IV$65536,22,FALSE)</f>
        <v>3500</v>
      </c>
      <c r="N607" s="135"/>
      <c r="O607" s="50"/>
      <c r="P607" s="19">
        <v>1</v>
      </c>
      <c r="Q607" s="20">
        <v>0</v>
      </c>
      <c r="R607" s="21">
        <v>0</v>
      </c>
      <c r="S607" s="19">
        <v>1</v>
      </c>
      <c r="T607" s="20">
        <v>0</v>
      </c>
      <c r="U607" s="19">
        <v>1</v>
      </c>
      <c r="V607" s="20">
        <v>1</v>
      </c>
      <c r="W607" s="20">
        <v>1</v>
      </c>
      <c r="X607" s="20">
        <v>1</v>
      </c>
      <c r="Y607" s="20">
        <v>1</v>
      </c>
      <c r="Z607" s="20">
        <v>0</v>
      </c>
      <c r="AA607" s="20">
        <v>0</v>
      </c>
      <c r="AB607" s="49">
        <v>0</v>
      </c>
      <c r="AC607" s="49">
        <v>1</v>
      </c>
      <c r="AD607" s="49">
        <v>1</v>
      </c>
      <c r="AE607" s="49">
        <v>0</v>
      </c>
      <c r="AF607" s="49">
        <v>0</v>
      </c>
      <c r="AG607" s="19">
        <v>1</v>
      </c>
      <c r="AH607" s="20"/>
      <c r="AI607" s="20"/>
      <c r="AJ607" s="20"/>
      <c r="AK607" s="20"/>
      <c r="AL607" s="21"/>
      <c r="AM607" s="19">
        <v>1</v>
      </c>
      <c r="AN607" s="20">
        <v>0</v>
      </c>
      <c r="AO607" s="20">
        <v>0</v>
      </c>
      <c r="AP607" s="20">
        <v>0</v>
      </c>
      <c r="AQ607" s="20">
        <v>2</v>
      </c>
      <c r="AR607" s="20">
        <v>0</v>
      </c>
      <c r="AS607" s="20">
        <v>1</v>
      </c>
      <c r="AT607" s="20">
        <v>0</v>
      </c>
      <c r="AU607" s="20">
        <v>0</v>
      </c>
      <c r="AV607" s="23">
        <v>0</v>
      </c>
      <c r="AW607" s="108">
        <v>1</v>
      </c>
      <c r="AX607" s="108">
        <v>0</v>
      </c>
      <c r="AY607" s="108">
        <v>1</v>
      </c>
      <c r="AZ607" s="108"/>
      <c r="BA607" s="114">
        <v>0</v>
      </c>
      <c r="BB607" s="20">
        <v>0</v>
      </c>
      <c r="BC607" s="113">
        <v>0</v>
      </c>
      <c r="BD607" s="200"/>
      <c r="BE607" s="201"/>
      <c r="BF607" s="201"/>
      <c r="BG607" s="201"/>
      <c r="BH607" s="201"/>
      <c r="BI607" s="201"/>
      <c r="BJ607" s="201"/>
      <c r="BK607" s="201"/>
      <c r="BL607" s="201"/>
      <c r="BM607" s="201"/>
      <c r="BN607" s="201"/>
      <c r="BO607" s="201"/>
      <c r="BP607" s="202"/>
    </row>
    <row r="608" spans="1:68" x14ac:dyDescent="0.2">
      <c r="A608" s="126">
        <v>66830100</v>
      </c>
      <c r="B608" s="53" t="str">
        <f>VLOOKUP($A608,[1]maaltijden!$A$1:$IV$65536,4,FALSE)</f>
        <v>FITMEALS EW MACARONI KAASSAUS KIP 350G (MIXED)</v>
      </c>
      <c r="C608" s="46" t="str">
        <f>VLOOKUP($A608,[1]maaltijden!$A$1:$IV$65536,7,FALSE)</f>
        <v>NOVATO KRAFT</v>
      </c>
      <c r="D608" s="22" t="str">
        <f>VLOOKUP($A608,[1]maaltijden!$A$1:$IV$65536,10,FALSE)</f>
        <v>H25</v>
      </c>
      <c r="E608" s="22" t="str">
        <f>VLOOKUP($A608,[1]maaltijden!$A$1:$IV$65536,13,FALSE)</f>
        <v>DOOS H25x16</v>
      </c>
      <c r="F608" s="20">
        <v>2</v>
      </c>
      <c r="G608" s="20" t="str">
        <f>VLOOKUP($A608,[1]maaltijden!$A$1:$IV$65536,27,FALSE)</f>
        <v>! !</v>
      </c>
      <c r="H608" s="22">
        <f>VLOOKUP($A608,[1]maaltijden!$A$1:$IV$65536,21,FALSE)</f>
        <v>7</v>
      </c>
      <c r="I608" s="22">
        <f>VLOOKUP($A608,[1]maaltijden!$A$1:$IV$65536,21,FALSE)</f>
        <v>7</v>
      </c>
      <c r="J608" s="22">
        <f>VLOOKUP($A608,[1]maaltijden!$A$1:$IV$65536,18,FALSE)</f>
        <v>2</v>
      </c>
      <c r="K608" s="22">
        <f>VLOOKUP($A608,[1]maaltijden!$A$1:$IV$65536,17,FALSE)</f>
        <v>2</v>
      </c>
      <c r="L608" s="22">
        <f>VLOOKUP($A608,[1]maaltijden!$A$1:$IV$65536,20,FALSE)</f>
        <v>3500</v>
      </c>
      <c r="M608" s="22">
        <f>VLOOKUP($A608,[1]maaltijden!$A$1:$IV$65536,22,FALSE)</f>
        <v>3500</v>
      </c>
      <c r="N608" s="135"/>
      <c r="O608" s="50"/>
      <c r="P608" s="19">
        <v>1</v>
      </c>
      <c r="Q608" s="20">
        <v>0</v>
      </c>
      <c r="R608" s="21">
        <v>0</v>
      </c>
      <c r="S608" s="19">
        <v>1</v>
      </c>
      <c r="T608" s="20">
        <v>0</v>
      </c>
      <c r="U608" s="19">
        <v>1</v>
      </c>
      <c r="V608" s="20">
        <v>1</v>
      </c>
      <c r="W608" s="20">
        <v>1</v>
      </c>
      <c r="X608" s="20">
        <v>1</v>
      </c>
      <c r="Y608" s="20">
        <v>1</v>
      </c>
      <c r="Z608" s="20">
        <v>0</v>
      </c>
      <c r="AA608" s="20">
        <v>0</v>
      </c>
      <c r="AB608" s="49">
        <v>0</v>
      </c>
      <c r="AC608" s="49">
        <v>0</v>
      </c>
      <c r="AD608" s="49">
        <v>0</v>
      </c>
      <c r="AE608" s="49">
        <v>0</v>
      </c>
      <c r="AF608" s="49">
        <v>0</v>
      </c>
      <c r="AG608" s="19">
        <v>1</v>
      </c>
      <c r="AH608" s="20"/>
      <c r="AI608" s="20"/>
      <c r="AJ608" s="20"/>
      <c r="AK608" s="20"/>
      <c r="AL608" s="21"/>
      <c r="AM608" s="19">
        <v>1</v>
      </c>
      <c r="AN608" s="20">
        <v>0</v>
      </c>
      <c r="AO608" s="20">
        <v>0</v>
      </c>
      <c r="AP608" s="20">
        <v>0</v>
      </c>
      <c r="AQ608" s="20">
        <v>2</v>
      </c>
      <c r="AR608" s="20">
        <v>0</v>
      </c>
      <c r="AS608" s="20">
        <v>1</v>
      </c>
      <c r="AT608" s="20">
        <v>0</v>
      </c>
      <c r="AU608" s="20">
        <v>0</v>
      </c>
      <c r="AV608" s="23">
        <v>0</v>
      </c>
      <c r="AW608" s="108">
        <v>1</v>
      </c>
      <c r="AX608" s="108">
        <v>0</v>
      </c>
      <c r="AY608" s="108">
        <v>1</v>
      </c>
      <c r="AZ608" s="108"/>
      <c r="BA608" s="114">
        <v>0</v>
      </c>
      <c r="BB608" s="20">
        <v>0</v>
      </c>
      <c r="BC608" s="113">
        <v>0</v>
      </c>
      <c r="BD608" s="200"/>
      <c r="BE608" s="201"/>
      <c r="BF608" s="201"/>
      <c r="BG608" s="201"/>
      <c r="BH608" s="201"/>
      <c r="BI608" s="201"/>
      <c r="BJ608" s="201"/>
      <c r="BK608" s="201"/>
      <c r="BL608" s="201"/>
      <c r="BM608" s="201"/>
      <c r="BN608" s="201"/>
      <c r="BO608" s="201"/>
      <c r="BP608" s="202"/>
    </row>
    <row r="609" spans="1:68" x14ac:dyDescent="0.2">
      <c r="A609" s="54">
        <v>66840000</v>
      </c>
      <c r="B609" s="53" t="str">
        <f>VLOOKUP($A609,[1]maaltijden!$A$1:$IV$65536,4,FALSE)</f>
        <v>ALDI NL KIPFILET CHAMPIGN GEB AARDAP 450G (8X)</v>
      </c>
      <c r="C609" s="46" t="str">
        <f>VLOOKUP($A609,[1]maaltijden!$A$1:$IV$65536,7,FALSE)</f>
        <v>NOVATO KRAFT</v>
      </c>
      <c r="D609" s="22" t="str">
        <f>VLOOKUP($A609,[1]maaltijden!$A$1:$IV$65536,10,FALSE)</f>
        <v>H25</v>
      </c>
      <c r="E609" s="22" t="str">
        <f>VLOOKUP($A609,[1]maaltijden!$A$1:$IV$65536,13,FALSE)</f>
        <v>DOOS H25x16</v>
      </c>
      <c r="F609" s="20">
        <v>3</v>
      </c>
      <c r="G609" s="20">
        <f>VLOOKUP($A609,[1]maaltijden!$A$1:$IV$65536,27,FALSE)</f>
        <v>0</v>
      </c>
      <c r="H609" s="22">
        <f>VLOOKUP($A609,[1]maaltijden!$A$1:$IV$65536,21,FALSE)</f>
        <v>0</v>
      </c>
      <c r="I609" s="22">
        <f>VLOOKUP($A609,[1]maaltijden!$A$1:$IV$65536,21,FALSE)</f>
        <v>0</v>
      </c>
      <c r="J609" s="22">
        <f>VLOOKUP($A609,[1]maaltijden!$A$1:$IV$65536,18,FALSE)</f>
        <v>0</v>
      </c>
      <c r="K609" s="22">
        <f>VLOOKUP($A609,[1]maaltijden!$A$1:$IV$65536,17,FALSE)</f>
        <v>0</v>
      </c>
      <c r="L609" s="22">
        <f>VLOOKUP($A609,[1]maaltijden!$A$1:$IV$65536,20,FALSE)</f>
        <v>0</v>
      </c>
      <c r="M609" s="22">
        <f>VLOOKUP($A609,[1]maaltijden!$A$1:$IV$65536,22,FALSE)</f>
        <v>0</v>
      </c>
      <c r="N609" s="135"/>
      <c r="O609" s="50"/>
      <c r="P609" s="19">
        <v>1</v>
      </c>
      <c r="Q609" s="20">
        <v>0</v>
      </c>
      <c r="R609" s="21">
        <v>0</v>
      </c>
      <c r="S609" s="19">
        <v>1</v>
      </c>
      <c r="T609" s="20">
        <v>0</v>
      </c>
      <c r="U609" s="19">
        <v>1</v>
      </c>
      <c r="V609" s="20">
        <v>1</v>
      </c>
      <c r="W609" s="11">
        <v>1</v>
      </c>
      <c r="X609" s="20">
        <v>1</v>
      </c>
      <c r="Y609" s="20">
        <v>1</v>
      </c>
      <c r="Z609" s="20">
        <v>0</v>
      </c>
      <c r="AA609" s="20">
        <v>0</v>
      </c>
      <c r="AB609" s="49">
        <v>0</v>
      </c>
      <c r="AC609" s="49">
        <v>0</v>
      </c>
      <c r="AD609" s="49">
        <v>0</v>
      </c>
      <c r="AE609" s="49">
        <v>0</v>
      </c>
      <c r="AF609" s="49">
        <v>0</v>
      </c>
      <c r="AG609" s="19">
        <v>0</v>
      </c>
      <c r="AH609" s="20"/>
      <c r="AI609" s="20"/>
      <c r="AJ609" s="20"/>
      <c r="AK609" s="20"/>
      <c r="AL609" s="21"/>
      <c r="AM609" s="19"/>
      <c r="AN609" s="20"/>
      <c r="AO609" s="20"/>
      <c r="AP609" s="20"/>
      <c r="AQ609" s="20"/>
      <c r="AR609" s="20"/>
      <c r="AS609" s="20"/>
      <c r="AT609" s="20"/>
      <c r="AU609" s="20"/>
      <c r="AV609" s="23"/>
      <c r="AW609" s="108">
        <v>1</v>
      </c>
      <c r="AX609" s="108">
        <v>0</v>
      </c>
      <c r="AY609" s="108">
        <v>1</v>
      </c>
      <c r="AZ609" s="108">
        <v>0</v>
      </c>
      <c r="BA609" s="114">
        <v>0</v>
      </c>
      <c r="BB609" s="20">
        <v>0</v>
      </c>
      <c r="BC609" s="113">
        <v>0</v>
      </c>
      <c r="BD609" s="200"/>
      <c r="BE609" s="201"/>
      <c r="BF609" s="201"/>
      <c r="BG609" s="201"/>
      <c r="BH609" s="201"/>
      <c r="BI609" s="201"/>
      <c r="BJ609" s="201"/>
      <c r="BK609" s="201"/>
      <c r="BL609" s="201"/>
      <c r="BM609" s="201"/>
      <c r="BN609" s="201"/>
      <c r="BO609" s="201"/>
      <c r="BP609" s="202"/>
    </row>
    <row r="610" spans="1:68" x14ac:dyDescent="0.2">
      <c r="A610" s="54">
        <v>66840100</v>
      </c>
      <c r="B610" s="53" t="str">
        <f>VLOOKUP($A610,[1]maaltijden!$A$1:$IV$65536,4,FALSE)</f>
        <v>ALDI NL OVENSCHOTEL GEHAKT PREI PUREE 450G (8X)</v>
      </c>
      <c r="C610" s="46" t="str">
        <f>VLOOKUP($A610,[1]maaltijden!$A$1:$IV$65536,7,FALSE)</f>
        <v>NOVATO KRAFT</v>
      </c>
      <c r="D610" s="22" t="str">
        <f>VLOOKUP($A610,[1]maaltijden!$A$1:$IV$65536,10,FALSE)</f>
        <v>H25</v>
      </c>
      <c r="E610" s="22" t="str">
        <f>VLOOKUP($A610,[1]maaltijden!$A$1:$IV$65536,13,FALSE)</f>
        <v>DOOS H25x16</v>
      </c>
      <c r="F610" s="20">
        <v>4</v>
      </c>
      <c r="G610" s="20">
        <f>VLOOKUP($A610,[1]maaltijden!$A$1:$IV$65536,27,FALSE)</f>
        <v>0</v>
      </c>
      <c r="H610" s="22">
        <f>VLOOKUP($A610,[1]maaltijden!$A$1:$IV$65536,21,FALSE)</f>
        <v>0</v>
      </c>
      <c r="I610" s="22">
        <f>VLOOKUP($A610,[1]maaltijden!$A$1:$IV$65536,21,FALSE)</f>
        <v>0</v>
      </c>
      <c r="J610" s="22">
        <f>VLOOKUP($A610,[1]maaltijden!$A$1:$IV$65536,18,FALSE)</f>
        <v>0</v>
      </c>
      <c r="K610" s="22">
        <f>VLOOKUP($A610,[1]maaltijden!$A$1:$IV$65536,17,FALSE)</f>
        <v>0</v>
      </c>
      <c r="L610" s="22">
        <f>VLOOKUP($A610,[1]maaltijden!$A$1:$IV$65536,20,FALSE)</f>
        <v>0</v>
      </c>
      <c r="M610" s="22">
        <f>VLOOKUP($A610,[1]maaltijden!$A$1:$IV$65536,22,FALSE)</f>
        <v>0</v>
      </c>
      <c r="N610" s="135"/>
      <c r="O610" s="50"/>
      <c r="P610" s="19">
        <v>1</v>
      </c>
      <c r="Q610" s="20">
        <v>0</v>
      </c>
      <c r="R610" s="21">
        <v>0</v>
      </c>
      <c r="S610" s="19">
        <v>1</v>
      </c>
      <c r="T610" s="20">
        <v>0</v>
      </c>
      <c r="U610" s="19">
        <v>0</v>
      </c>
      <c r="V610" s="20">
        <v>1</v>
      </c>
      <c r="W610" s="20">
        <v>1</v>
      </c>
      <c r="X610" s="20">
        <v>1</v>
      </c>
      <c r="Y610" s="20">
        <v>1</v>
      </c>
      <c r="Z610" s="20">
        <v>0</v>
      </c>
      <c r="AA610" s="20">
        <v>0</v>
      </c>
      <c r="AB610" s="49">
        <v>0</v>
      </c>
      <c r="AC610" s="49">
        <v>0</v>
      </c>
      <c r="AD610" s="49">
        <v>0</v>
      </c>
      <c r="AE610" s="49">
        <v>1</v>
      </c>
      <c r="AF610" s="49">
        <v>0</v>
      </c>
      <c r="AG610" s="19">
        <v>0</v>
      </c>
      <c r="AH610" s="20"/>
      <c r="AI610" s="20"/>
      <c r="AJ610" s="20"/>
      <c r="AK610" s="20"/>
      <c r="AL610" s="21"/>
      <c r="AM610" s="19"/>
      <c r="AN610" s="20"/>
      <c r="AO610" s="20"/>
      <c r="AP610" s="20"/>
      <c r="AQ610" s="20"/>
      <c r="AR610" s="20"/>
      <c r="AS610" s="20"/>
      <c r="AT610" s="20"/>
      <c r="AU610" s="20"/>
      <c r="AV610" s="23"/>
      <c r="AW610" s="108">
        <v>1</v>
      </c>
      <c r="AX610" s="108">
        <v>0</v>
      </c>
      <c r="AY610" s="108">
        <v>1</v>
      </c>
      <c r="AZ610" s="108">
        <v>0</v>
      </c>
      <c r="BA610" s="114">
        <v>0</v>
      </c>
      <c r="BB610" s="20">
        <v>0</v>
      </c>
      <c r="BC610" s="113">
        <v>0</v>
      </c>
      <c r="BD610" s="200"/>
      <c r="BE610" s="201"/>
      <c r="BF610" s="201"/>
      <c r="BG610" s="201"/>
      <c r="BH610" s="201"/>
      <c r="BI610" s="201"/>
      <c r="BJ610" s="201"/>
      <c r="BK610" s="201"/>
      <c r="BL610" s="201"/>
      <c r="BM610" s="201"/>
      <c r="BN610" s="201"/>
      <c r="BO610" s="201"/>
      <c r="BP610" s="202"/>
    </row>
    <row r="611" spans="1:68" x14ac:dyDescent="0.2">
      <c r="A611" s="54">
        <v>66841000</v>
      </c>
      <c r="B611" s="53" t="str">
        <f>VLOOKUP($A611,[1]maaltijden!$A$1:$IV$65536,4,FALSE)</f>
        <v>ALDI NL EW KIP SATE NOEDEL BROCCOLI 425G (8X)</v>
      </c>
      <c r="C611" s="46" t="str">
        <f>VLOOKUP($A611,[1]maaltijden!$A$1:$IV$65536,7,FALSE)</f>
        <v>NOVATO KRAFT</v>
      </c>
      <c r="D611" s="22" t="str">
        <f>VLOOKUP($A611,[1]maaltijden!$A$1:$IV$65536,10,FALSE)</f>
        <v>H25</v>
      </c>
      <c r="E611" s="22" t="str">
        <f>VLOOKUP($A611,[1]maaltijden!$A$1:$IV$65536,13,FALSE)</f>
        <v>DOOS H25x16</v>
      </c>
      <c r="F611" s="20">
        <v>5</v>
      </c>
      <c r="G611" s="20">
        <f>VLOOKUP($A611,[1]maaltijden!$A$1:$IV$65536,27,FALSE)</f>
        <v>0</v>
      </c>
      <c r="H611" s="22">
        <f>VLOOKUP($A611,[1]maaltijden!$A$1:$IV$65536,21,FALSE)</f>
        <v>0</v>
      </c>
      <c r="I611" s="22">
        <f>VLOOKUP($A611,[1]maaltijden!$A$1:$IV$65536,21,FALSE)</f>
        <v>0</v>
      </c>
      <c r="J611" s="22">
        <f>VLOOKUP($A611,[1]maaltijden!$A$1:$IV$65536,18,FALSE)</f>
        <v>0</v>
      </c>
      <c r="K611" s="22">
        <f>VLOOKUP($A611,[1]maaltijden!$A$1:$IV$65536,17,FALSE)</f>
        <v>0</v>
      </c>
      <c r="L611" s="22">
        <f>VLOOKUP($A611,[1]maaltijden!$A$1:$IV$65536,20,FALSE)</f>
        <v>0</v>
      </c>
      <c r="M611" s="22">
        <f>VLOOKUP($A611,[1]maaltijden!$A$1:$IV$65536,22,FALSE)</f>
        <v>0</v>
      </c>
      <c r="N611" s="135"/>
      <c r="O611" s="50"/>
      <c r="P611" s="19">
        <v>1</v>
      </c>
      <c r="Q611" s="20">
        <v>0</v>
      </c>
      <c r="R611" s="21">
        <v>0</v>
      </c>
      <c r="S611" s="19">
        <v>1</v>
      </c>
      <c r="T611" s="20">
        <v>0</v>
      </c>
      <c r="U611" s="19">
        <v>1</v>
      </c>
      <c r="V611" s="20">
        <v>1</v>
      </c>
      <c r="W611" s="20">
        <v>1</v>
      </c>
      <c r="X611" s="20">
        <v>1</v>
      </c>
      <c r="Y611" s="20">
        <v>1</v>
      </c>
      <c r="Z611" s="20">
        <v>1</v>
      </c>
      <c r="AA611" s="20">
        <v>1</v>
      </c>
      <c r="AB611" s="49">
        <v>1</v>
      </c>
      <c r="AC611" s="49">
        <v>1</v>
      </c>
      <c r="AD611" s="49">
        <v>1</v>
      </c>
      <c r="AE611" s="49">
        <v>0</v>
      </c>
      <c r="AF611" s="49">
        <v>0</v>
      </c>
      <c r="AG611" s="19">
        <v>1</v>
      </c>
      <c r="AH611" s="20"/>
      <c r="AI611" s="20"/>
      <c r="AJ611" s="20"/>
      <c r="AK611" s="20"/>
      <c r="AL611" s="21"/>
      <c r="AM611" s="19">
        <v>1</v>
      </c>
      <c r="AN611" s="20"/>
      <c r="AO611" s="20"/>
      <c r="AP611" s="20"/>
      <c r="AQ611" s="20"/>
      <c r="AR611" s="20"/>
      <c r="AS611" s="20"/>
      <c r="AT611" s="20"/>
      <c r="AU611" s="20"/>
      <c r="AV611" s="23"/>
      <c r="AW611" s="108">
        <v>1</v>
      </c>
      <c r="AX611" s="108">
        <v>0</v>
      </c>
      <c r="AY611" s="108">
        <v>1</v>
      </c>
      <c r="AZ611" s="108">
        <v>0</v>
      </c>
      <c r="BA611" s="114">
        <v>0</v>
      </c>
      <c r="BB611" s="20">
        <v>0</v>
      </c>
      <c r="BC611" s="113">
        <v>0</v>
      </c>
      <c r="BD611" s="200"/>
      <c r="BE611" s="201"/>
      <c r="BF611" s="201"/>
      <c r="BG611" s="201"/>
      <c r="BH611" s="201"/>
      <c r="BI611" s="201"/>
      <c r="BJ611" s="201"/>
      <c r="BK611" s="201"/>
      <c r="BL611" s="201"/>
      <c r="BM611" s="201"/>
      <c r="BN611" s="201"/>
      <c r="BO611" s="201"/>
      <c r="BP611" s="202"/>
    </row>
    <row r="612" spans="1:68" x14ac:dyDescent="0.2">
      <c r="A612" s="54">
        <v>66841100</v>
      </c>
      <c r="B612" s="53" t="str">
        <f>VLOOKUP($A612,[1]maaltijden!$A$1:$IV$65536,4,FALSE)</f>
        <v>ALDI NL EW KIP TERIYAKI PANDAN EDAMAME 425G (8X)</v>
      </c>
      <c r="C612" s="46" t="str">
        <f>VLOOKUP($A612,[1]maaltijden!$A$1:$IV$65536,7,FALSE)</f>
        <v>NOVATO KRAFT</v>
      </c>
      <c r="D612" s="22" t="str">
        <f>VLOOKUP($A612,[1]maaltijden!$A$1:$IV$65536,10,FALSE)</f>
        <v>H25</v>
      </c>
      <c r="E612" s="22" t="str">
        <f>VLOOKUP($A612,[1]maaltijden!$A$1:$IV$65536,13,FALSE)</f>
        <v>DOOS H25x16</v>
      </c>
      <c r="F612" s="20">
        <v>6</v>
      </c>
      <c r="G612" s="20">
        <f>VLOOKUP($A612,[1]maaltijden!$A$1:$IV$65536,27,FALSE)</f>
        <v>0</v>
      </c>
      <c r="H612" s="22">
        <f>VLOOKUP($A612,[1]maaltijden!$A$1:$IV$65536,21,FALSE)</f>
        <v>0</v>
      </c>
      <c r="I612" s="22">
        <f>VLOOKUP($A612,[1]maaltijden!$A$1:$IV$65536,21,FALSE)</f>
        <v>0</v>
      </c>
      <c r="J612" s="22">
        <f>VLOOKUP($A612,[1]maaltijden!$A$1:$IV$65536,18,FALSE)</f>
        <v>0</v>
      </c>
      <c r="K612" s="22">
        <f>VLOOKUP($A612,[1]maaltijden!$A$1:$IV$65536,17,FALSE)</f>
        <v>0</v>
      </c>
      <c r="L612" s="22">
        <f>VLOOKUP($A612,[1]maaltijden!$A$1:$IV$65536,20,FALSE)</f>
        <v>0</v>
      </c>
      <c r="M612" s="22">
        <f>VLOOKUP($A612,[1]maaltijden!$A$1:$IV$65536,22,FALSE)</f>
        <v>0</v>
      </c>
      <c r="N612" s="135"/>
      <c r="O612" s="50"/>
      <c r="P612" s="19">
        <v>1</v>
      </c>
      <c r="Q612" s="20">
        <v>0</v>
      </c>
      <c r="R612" s="21">
        <v>0</v>
      </c>
      <c r="S612" s="19">
        <v>1</v>
      </c>
      <c r="T612" s="20">
        <v>0</v>
      </c>
      <c r="U612" s="19">
        <v>1</v>
      </c>
      <c r="V612" s="20">
        <v>1</v>
      </c>
      <c r="W612" s="20">
        <v>1</v>
      </c>
      <c r="X612" s="20">
        <v>1</v>
      </c>
      <c r="Y612" s="20">
        <v>1</v>
      </c>
      <c r="Z612" s="20">
        <v>0</v>
      </c>
      <c r="AA612" s="20">
        <v>0</v>
      </c>
      <c r="AB612" s="49">
        <v>0</v>
      </c>
      <c r="AC612" s="49">
        <v>0</v>
      </c>
      <c r="AD612" s="49">
        <v>0</v>
      </c>
      <c r="AE612" s="49">
        <v>0</v>
      </c>
      <c r="AF612" s="49">
        <v>0</v>
      </c>
      <c r="AG612" s="19">
        <v>1</v>
      </c>
      <c r="AH612" s="20"/>
      <c r="AI612" s="20"/>
      <c r="AJ612" s="20"/>
      <c r="AK612" s="20"/>
      <c r="AL612" s="21"/>
      <c r="AM612" s="19">
        <v>1</v>
      </c>
      <c r="AN612" s="20"/>
      <c r="AO612" s="20"/>
      <c r="AP612" s="20"/>
      <c r="AQ612" s="20"/>
      <c r="AR612" s="20"/>
      <c r="AS612" s="20"/>
      <c r="AT612" s="20"/>
      <c r="AU612" s="20"/>
      <c r="AV612" s="23"/>
      <c r="AW612" s="108">
        <v>1</v>
      </c>
      <c r="AX612" s="108">
        <v>0</v>
      </c>
      <c r="AY612" s="108">
        <v>1</v>
      </c>
      <c r="AZ612" s="108"/>
      <c r="BA612" s="114">
        <v>0</v>
      </c>
      <c r="BB612" s="20">
        <v>0</v>
      </c>
      <c r="BC612" s="113">
        <v>0</v>
      </c>
      <c r="BD612" s="200"/>
      <c r="BE612" s="201"/>
      <c r="BF612" s="201"/>
      <c r="BG612" s="201"/>
      <c r="BH612" s="201"/>
      <c r="BI612" s="201"/>
      <c r="BJ612" s="201"/>
      <c r="BK612" s="201"/>
      <c r="BL612" s="201"/>
      <c r="BM612" s="201"/>
      <c r="BN612" s="201"/>
      <c r="BO612" s="201"/>
      <c r="BP612" s="202"/>
    </row>
    <row r="613" spans="1:68" x14ac:dyDescent="0.2">
      <c r="A613" s="126">
        <v>66850000</v>
      </c>
      <c r="B613" s="53" t="str">
        <f>VLOOKUP($A613,[1]maaltijden!$A$1:$IV$65536,4,FALSE)</f>
        <v>AH TORTELLONI RICOTTA SPINAZIE TOMAATSAUS 450G</v>
      </c>
      <c r="C613" s="46" t="str">
        <f>VLOOKUP($A613,[1]maaltijden!$A$1:$IV$65536,7,FALSE)</f>
        <v>SOFITRAY KRAFT</v>
      </c>
      <c r="D613" s="22" t="str">
        <f>VLOOKUP($A613,[1]maaltijden!$A$1:$IV$65536,10,FALSE)</f>
        <v>H25</v>
      </c>
      <c r="E613" s="22" t="str">
        <f>VLOOKUP($A613,[1]maaltijden!$A$1:$IV$65536,13,FALSE)</f>
        <v>Shrink H25 x 5</v>
      </c>
      <c r="F613" s="20">
        <v>1</v>
      </c>
      <c r="G613" s="20">
        <f>VLOOKUP($A613,[1]maaltijden!$A$1:$IV$65536,27,FALSE)</f>
        <v>0</v>
      </c>
      <c r="H613" s="22">
        <f>VLOOKUP($A613,[1]maaltijden!$A$1:$IV$65536,21,FALSE)</f>
        <v>0</v>
      </c>
      <c r="I613" s="22">
        <f>VLOOKUP($A613,[1]maaltijden!$A$1:$IV$65536,21,FALSE)</f>
        <v>0</v>
      </c>
      <c r="J613" s="22">
        <f>VLOOKUP($A613,[1]maaltijden!$A$1:$IV$65536,18,FALSE)</f>
        <v>0</v>
      </c>
      <c r="K613" s="22">
        <f>VLOOKUP($A613,[1]maaltijden!$A$1:$IV$65536,17,FALSE)</f>
        <v>0</v>
      </c>
      <c r="L613" s="22">
        <f>VLOOKUP($A613,[1]maaltijden!$A$1:$IV$65536,20,FALSE)</f>
        <v>3500</v>
      </c>
      <c r="M613" s="22">
        <f>VLOOKUP($A613,[1]maaltijden!$A$1:$IV$65536,22,FALSE)</f>
        <v>3500</v>
      </c>
      <c r="N613" s="135"/>
      <c r="O613" s="50"/>
      <c r="P613" s="19">
        <v>1</v>
      </c>
      <c r="Q613" s="20">
        <v>0</v>
      </c>
      <c r="R613" s="21">
        <v>0</v>
      </c>
      <c r="S613" s="19">
        <v>1</v>
      </c>
      <c r="T613" s="20">
        <v>0</v>
      </c>
      <c r="U613" s="19">
        <v>1</v>
      </c>
      <c r="V613" s="20">
        <v>1</v>
      </c>
      <c r="W613" s="20">
        <v>1</v>
      </c>
      <c r="X613" s="20">
        <v>1</v>
      </c>
      <c r="Y613" s="20">
        <v>1</v>
      </c>
      <c r="Z613" s="20">
        <v>0</v>
      </c>
      <c r="AA613" s="20">
        <v>0</v>
      </c>
      <c r="AB613" s="49">
        <v>0</v>
      </c>
      <c r="AC613" s="49">
        <v>0</v>
      </c>
      <c r="AD613" s="49">
        <v>0</v>
      </c>
      <c r="AE613" s="49">
        <v>0</v>
      </c>
      <c r="AF613" s="49">
        <v>0</v>
      </c>
      <c r="AG613" s="19">
        <v>0</v>
      </c>
      <c r="AH613" s="20"/>
      <c r="AI613" s="20"/>
      <c r="AJ613" s="20"/>
      <c r="AK613" s="20"/>
      <c r="AL613" s="21"/>
      <c r="AM613" s="19"/>
      <c r="AN613" s="20"/>
      <c r="AO613" s="20"/>
      <c r="AP613" s="20"/>
      <c r="AQ613" s="20"/>
      <c r="AR613" s="20"/>
      <c r="AS613" s="20"/>
      <c r="AT613" s="20"/>
      <c r="AU613" s="20"/>
      <c r="AV613" s="23">
        <v>0</v>
      </c>
      <c r="AW613" s="108">
        <v>1</v>
      </c>
      <c r="AX613" s="108">
        <v>1</v>
      </c>
      <c r="AY613" s="108">
        <v>0</v>
      </c>
      <c r="AZ613" s="108"/>
      <c r="BA613" s="114">
        <v>0</v>
      </c>
      <c r="BB613" s="20">
        <v>0</v>
      </c>
      <c r="BC613" s="113">
        <v>0</v>
      </c>
      <c r="BD613" s="200"/>
      <c r="BE613" s="201"/>
      <c r="BF613" s="201"/>
      <c r="BG613" s="201"/>
      <c r="BH613" s="201"/>
      <c r="BI613" s="201"/>
      <c r="BJ613" s="201"/>
      <c r="BK613" s="201"/>
      <c r="BL613" s="201"/>
      <c r="BM613" s="201"/>
      <c r="BN613" s="201"/>
      <c r="BO613" s="201"/>
      <c r="BP613" s="202"/>
    </row>
    <row r="614" spans="1:68" x14ac:dyDescent="0.2">
      <c r="A614" s="126">
        <v>66850100</v>
      </c>
      <c r="B614" s="53" t="str">
        <f>VLOOKUP($A614,[1]maaltijden!$A$1:$IV$65536,4,FALSE)</f>
        <v>AH KIP BLK BUTTER MASALA BASMATI UIEN CHUTNEY450G</v>
      </c>
      <c r="C614" s="46" t="str">
        <f>VLOOKUP($A614,[1]maaltijden!$A$1:$IV$65536,7,FALSE)</f>
        <v>SOFITRAY KRAFT</v>
      </c>
      <c r="D614" s="22" t="str">
        <f>VLOOKUP($A614,[1]maaltijden!$A$1:$IV$65536,10,FALSE)</f>
        <v>H25</v>
      </c>
      <c r="E614" s="22" t="str">
        <f>VLOOKUP($A614,[1]maaltijden!$A$1:$IV$65536,13,FALSE)</f>
        <v>Shrink H25 x 5</v>
      </c>
      <c r="F614" s="20">
        <v>2</v>
      </c>
      <c r="G614" s="20">
        <f>VLOOKUP($A614,[1]maaltijden!$A$1:$IV$65536,27,FALSE)</f>
        <v>0</v>
      </c>
      <c r="H614" s="22">
        <f>VLOOKUP($A614,[1]maaltijden!$A$1:$IV$65536,21,FALSE)</f>
        <v>0</v>
      </c>
      <c r="I614" s="22">
        <f>VLOOKUP($A614,[1]maaltijden!$A$1:$IV$65536,21,FALSE)</f>
        <v>0</v>
      </c>
      <c r="J614" s="22">
        <f>VLOOKUP($A614,[1]maaltijden!$A$1:$IV$65536,18,FALSE)</f>
        <v>0</v>
      </c>
      <c r="K614" s="22">
        <f>VLOOKUP($A614,[1]maaltijden!$A$1:$IV$65536,17,FALSE)</f>
        <v>0</v>
      </c>
      <c r="L614" s="22">
        <f>VLOOKUP($A614,[1]maaltijden!$A$1:$IV$65536,20,FALSE)</f>
        <v>3500</v>
      </c>
      <c r="M614" s="22">
        <f>VLOOKUP($A614,[1]maaltijden!$A$1:$IV$65536,22,FALSE)</f>
        <v>3500</v>
      </c>
      <c r="N614" s="135"/>
      <c r="O614" s="50"/>
      <c r="P614" s="19">
        <v>1</v>
      </c>
      <c r="Q614" s="20">
        <v>0</v>
      </c>
      <c r="R614" s="21">
        <v>0</v>
      </c>
      <c r="S614" s="19">
        <v>1</v>
      </c>
      <c r="T614" s="20">
        <v>0</v>
      </c>
      <c r="U614" s="19">
        <v>1</v>
      </c>
      <c r="V614" s="20">
        <v>1</v>
      </c>
      <c r="W614" s="20">
        <v>1</v>
      </c>
      <c r="X614" s="20">
        <v>1</v>
      </c>
      <c r="Y614" s="20">
        <v>1</v>
      </c>
      <c r="Z614" s="20"/>
      <c r="AA614" s="20"/>
      <c r="AB614" s="49">
        <v>0</v>
      </c>
      <c r="AC614" s="49">
        <v>0</v>
      </c>
      <c r="AD614" s="49">
        <v>0</v>
      </c>
      <c r="AE614" s="49">
        <v>0</v>
      </c>
      <c r="AF614" s="49">
        <v>0</v>
      </c>
      <c r="AG614" s="19">
        <v>1</v>
      </c>
      <c r="AH614" s="20"/>
      <c r="AI614" s="20"/>
      <c r="AJ614" s="20"/>
      <c r="AK614" s="20"/>
      <c r="AL614" s="21"/>
      <c r="AM614" s="19">
        <v>1</v>
      </c>
      <c r="AN614" s="20"/>
      <c r="AO614" s="20"/>
      <c r="AP614" s="20"/>
      <c r="AQ614" s="20"/>
      <c r="AR614" s="20"/>
      <c r="AS614" s="20"/>
      <c r="AT614" s="20"/>
      <c r="AU614" s="20"/>
      <c r="AV614" s="23">
        <v>0</v>
      </c>
      <c r="AW614" s="108">
        <v>1</v>
      </c>
      <c r="AX614" s="108">
        <v>1</v>
      </c>
      <c r="AY614" s="108">
        <v>0</v>
      </c>
      <c r="AZ614" s="108"/>
      <c r="BA614" s="114">
        <v>0</v>
      </c>
      <c r="BB614" s="20">
        <v>0</v>
      </c>
      <c r="BC614" s="113">
        <v>0</v>
      </c>
      <c r="BD614" s="200"/>
      <c r="BE614" s="201"/>
      <c r="BF614" s="201"/>
      <c r="BG614" s="201"/>
      <c r="BH614" s="201"/>
      <c r="BI614" s="201"/>
      <c r="BJ614" s="201"/>
      <c r="BK614" s="201"/>
      <c r="BL614" s="201"/>
      <c r="BM614" s="201"/>
      <c r="BN614" s="201"/>
      <c r="BO614" s="201"/>
      <c r="BP614" s="202"/>
    </row>
    <row r="615" spans="1:68" x14ac:dyDescent="0.2">
      <c r="A615" s="126">
        <v>66850200</v>
      </c>
      <c r="B615" s="53" t="str">
        <f>VLOOKUP($A615,[1]maaltijden!$A$1:$IV$65536,4,FALSE)</f>
        <v>AH KIP BLK TERIYAKI KIMCHI PANDAN RIJST SOJAB 450G</v>
      </c>
      <c r="C615" s="46" t="str">
        <f>VLOOKUP($A615,[1]maaltijden!$A$1:$IV$65536,7,FALSE)</f>
        <v>SOFITRAY KRAFT</v>
      </c>
      <c r="D615" s="22" t="str">
        <f>VLOOKUP($A615,[1]maaltijden!$A$1:$IV$65536,10,FALSE)</f>
        <v>H25</v>
      </c>
      <c r="E615" s="22" t="str">
        <f>VLOOKUP($A615,[1]maaltijden!$A$1:$IV$65536,13,FALSE)</f>
        <v>Shrink H25 x 5</v>
      </c>
      <c r="F615" s="20">
        <v>3</v>
      </c>
      <c r="G615" s="20">
        <f>VLOOKUP($A615,[1]maaltijden!$A$1:$IV$65536,27,FALSE)</f>
        <v>0</v>
      </c>
      <c r="H615" s="22">
        <f>VLOOKUP($A615,[1]maaltijden!$A$1:$IV$65536,21,FALSE)</f>
        <v>0</v>
      </c>
      <c r="I615" s="22">
        <f>VLOOKUP($A615,[1]maaltijden!$A$1:$IV$65536,21,FALSE)</f>
        <v>0</v>
      </c>
      <c r="J615" s="22">
        <f>VLOOKUP($A615,[1]maaltijden!$A$1:$IV$65536,18,FALSE)</f>
        <v>0</v>
      </c>
      <c r="K615" s="22">
        <f>VLOOKUP($A615,[1]maaltijden!$A$1:$IV$65536,17,FALSE)</f>
        <v>0</v>
      </c>
      <c r="L615" s="22">
        <f>VLOOKUP($A615,[1]maaltijden!$A$1:$IV$65536,20,FALSE)</f>
        <v>3500</v>
      </c>
      <c r="M615" s="22">
        <f>VLOOKUP($A615,[1]maaltijden!$A$1:$IV$65536,22,FALSE)</f>
        <v>3500</v>
      </c>
      <c r="N615" s="135"/>
      <c r="O615" s="50"/>
      <c r="P615" s="19">
        <v>1</v>
      </c>
      <c r="Q615" s="20">
        <v>0</v>
      </c>
      <c r="R615" s="21">
        <v>0</v>
      </c>
      <c r="S615" s="19">
        <v>1</v>
      </c>
      <c r="T615" s="20">
        <v>0</v>
      </c>
      <c r="U615" s="19">
        <v>1</v>
      </c>
      <c r="V615" s="20">
        <v>1</v>
      </c>
      <c r="W615" s="20">
        <v>1</v>
      </c>
      <c r="X615" s="20">
        <v>1</v>
      </c>
      <c r="Y615" s="20">
        <v>1</v>
      </c>
      <c r="Z615" s="20">
        <v>0</v>
      </c>
      <c r="AA615" s="20">
        <v>0</v>
      </c>
      <c r="AB615" s="49">
        <v>0</v>
      </c>
      <c r="AC615" s="49">
        <v>0</v>
      </c>
      <c r="AD615" s="49">
        <v>0</v>
      </c>
      <c r="AE615" s="49">
        <v>0</v>
      </c>
      <c r="AF615" s="49">
        <v>0</v>
      </c>
      <c r="AG615" s="19">
        <v>1</v>
      </c>
      <c r="AH615" s="20"/>
      <c r="AI615" s="20"/>
      <c r="AJ615" s="20"/>
      <c r="AK615" s="20"/>
      <c r="AL615" s="21"/>
      <c r="AM615" s="19">
        <v>1</v>
      </c>
      <c r="AN615" s="20"/>
      <c r="AO615" s="20"/>
      <c r="AP615" s="20"/>
      <c r="AQ615" s="20"/>
      <c r="AR615" s="20"/>
      <c r="AS615" s="20"/>
      <c r="AT615" s="20"/>
      <c r="AU615" s="20"/>
      <c r="AV615" s="23">
        <v>0</v>
      </c>
      <c r="AW615" s="108">
        <v>1</v>
      </c>
      <c r="AX615" s="108">
        <v>1</v>
      </c>
      <c r="AY615" s="108">
        <v>0</v>
      </c>
      <c r="AZ615" s="108"/>
      <c r="BA615" s="114">
        <v>0</v>
      </c>
      <c r="BB615" s="20">
        <v>0</v>
      </c>
      <c r="BC615" s="113">
        <v>0</v>
      </c>
      <c r="BD615" s="200"/>
      <c r="BE615" s="201"/>
      <c r="BF615" s="201"/>
      <c r="BG615" s="201"/>
      <c r="BH615" s="201"/>
      <c r="BI615" s="201"/>
      <c r="BJ615" s="201"/>
      <c r="BK615" s="201"/>
      <c r="BL615" s="201"/>
      <c r="BM615" s="201"/>
      <c r="BN615" s="201"/>
      <c r="BO615" s="201"/>
      <c r="BP615" s="202"/>
    </row>
    <row r="616" spans="1:68" x14ac:dyDescent="0.2">
      <c r="A616" s="126">
        <v>66850300</v>
      </c>
      <c r="B616" s="53" t="str">
        <f>VLOOKUP($A616,[1]maaltijden!$A$1:$IV$65536,4,FALSE)</f>
        <v>AH KIP BLK TERIYAKI UDON NOEDELS WOKGROENTEN 450G</v>
      </c>
      <c r="C616" s="46" t="str">
        <f>VLOOKUP($A616,[1]maaltijden!$A$1:$IV$65536,7,FALSE)</f>
        <v>SOFITRAY KRAFT</v>
      </c>
      <c r="D616" s="22" t="str">
        <f>VLOOKUP($A616,[1]maaltijden!$A$1:$IV$65536,10,FALSE)</f>
        <v>H25</v>
      </c>
      <c r="E616" s="22" t="str">
        <f>VLOOKUP($A616,[1]maaltijden!$A$1:$IV$65536,13,FALSE)</f>
        <v>Shrink H25 x 5</v>
      </c>
      <c r="F616" s="20">
        <v>4</v>
      </c>
      <c r="G616" s="20">
        <f>VLOOKUP($A616,[1]maaltijden!$A$1:$IV$65536,27,FALSE)</f>
        <v>0</v>
      </c>
      <c r="H616" s="22">
        <f>VLOOKUP($A616,[1]maaltijden!$A$1:$IV$65536,21,FALSE)</f>
        <v>0</v>
      </c>
      <c r="I616" s="22">
        <f>VLOOKUP($A616,[1]maaltijden!$A$1:$IV$65536,21,FALSE)</f>
        <v>0</v>
      </c>
      <c r="J616" s="22">
        <f>VLOOKUP($A616,[1]maaltijden!$A$1:$IV$65536,18,FALSE)</f>
        <v>0</v>
      </c>
      <c r="K616" s="22">
        <f>VLOOKUP($A616,[1]maaltijden!$A$1:$IV$65536,17,FALSE)</f>
        <v>0</v>
      </c>
      <c r="L616" s="22">
        <f>VLOOKUP($A616,[1]maaltijden!$A$1:$IV$65536,20,FALSE)</f>
        <v>3500</v>
      </c>
      <c r="M616" s="22">
        <f>VLOOKUP($A616,[1]maaltijden!$A$1:$IV$65536,22,FALSE)</f>
        <v>3500</v>
      </c>
      <c r="N616" s="135"/>
      <c r="O616" s="50"/>
      <c r="P616" s="19">
        <v>1</v>
      </c>
      <c r="Q616" s="20">
        <v>0</v>
      </c>
      <c r="R616" s="21">
        <v>0</v>
      </c>
      <c r="S616" s="19">
        <v>1</v>
      </c>
      <c r="T616" s="20">
        <v>0</v>
      </c>
      <c r="U616" s="19">
        <v>1</v>
      </c>
      <c r="V616" s="20">
        <v>1</v>
      </c>
      <c r="W616" s="20">
        <v>1</v>
      </c>
      <c r="X616" s="20">
        <v>1</v>
      </c>
      <c r="Y616" s="20">
        <v>1</v>
      </c>
      <c r="Z616" s="20">
        <v>0</v>
      </c>
      <c r="AA616" s="20">
        <v>0</v>
      </c>
      <c r="AB616" s="49">
        <v>0</v>
      </c>
      <c r="AC616" s="49">
        <v>0</v>
      </c>
      <c r="AD616" s="49">
        <v>0</v>
      </c>
      <c r="AE616" s="49">
        <v>0</v>
      </c>
      <c r="AF616" s="49">
        <v>0</v>
      </c>
      <c r="AG616" s="19">
        <v>1</v>
      </c>
      <c r="AH616" s="20"/>
      <c r="AI616" s="20"/>
      <c r="AJ616" s="20"/>
      <c r="AK616" s="20"/>
      <c r="AL616" s="21"/>
      <c r="AM616" s="19">
        <v>1</v>
      </c>
      <c r="AN616" s="20"/>
      <c r="AO616" s="20"/>
      <c r="AP616" s="20"/>
      <c r="AQ616" s="20"/>
      <c r="AR616" s="20"/>
      <c r="AS616" s="20"/>
      <c r="AT616" s="20"/>
      <c r="AU616" s="20"/>
      <c r="AV616" s="23">
        <v>0</v>
      </c>
      <c r="AW616" s="108">
        <v>1</v>
      </c>
      <c r="AX616" s="108">
        <v>1</v>
      </c>
      <c r="AY616" s="108">
        <v>0</v>
      </c>
      <c r="AZ616" s="108"/>
      <c r="BA616" s="114">
        <v>0</v>
      </c>
      <c r="BB616" s="20">
        <v>0</v>
      </c>
      <c r="BC616" s="113">
        <v>0</v>
      </c>
      <c r="BD616" s="200"/>
      <c r="BE616" s="201"/>
      <c r="BF616" s="201"/>
      <c r="BG616" s="201"/>
      <c r="BH616" s="201"/>
      <c r="BI616" s="201"/>
      <c r="BJ616" s="201"/>
      <c r="BK616" s="201"/>
      <c r="BL616" s="201"/>
      <c r="BM616" s="201"/>
      <c r="BN616" s="201"/>
      <c r="BO616" s="201"/>
      <c r="BP616" s="202"/>
    </row>
    <row r="617" spans="1:68" x14ac:dyDescent="0.2">
      <c r="A617" s="126">
        <v>66850400</v>
      </c>
      <c r="B617" s="53" t="str">
        <f>VLOOKUP($A617,[1]maaltijden!$A$1:$IV$65536,4,FALSE)</f>
        <v>AH KIP BLK GRAANMOSTERD GEB AARDAP WORTEL 450G</v>
      </c>
      <c r="C617" s="46" t="str">
        <f>VLOOKUP($A617,[1]maaltijden!$A$1:$IV$65536,7,FALSE)</f>
        <v>SOFITRAY KRAFT</v>
      </c>
      <c r="D617" s="22" t="str">
        <f>VLOOKUP($A617,[1]maaltijden!$A$1:$IV$65536,10,FALSE)</f>
        <v>H25</v>
      </c>
      <c r="E617" s="22" t="str">
        <f>VLOOKUP($A617,[1]maaltijden!$A$1:$IV$65536,13,FALSE)</f>
        <v>Shrink H25 x 5</v>
      </c>
      <c r="F617" s="20">
        <v>5</v>
      </c>
      <c r="G617" s="20">
        <f>VLOOKUP($A617,[1]maaltijden!$A$1:$IV$65536,27,FALSE)</f>
        <v>0</v>
      </c>
      <c r="H617" s="22">
        <f>VLOOKUP($A617,[1]maaltijden!$A$1:$IV$65536,21,FALSE)</f>
        <v>0</v>
      </c>
      <c r="I617" s="22">
        <f>VLOOKUP($A617,[1]maaltijden!$A$1:$IV$65536,21,FALSE)</f>
        <v>0</v>
      </c>
      <c r="J617" s="22">
        <f>VLOOKUP($A617,[1]maaltijden!$A$1:$IV$65536,18,FALSE)</f>
        <v>0</v>
      </c>
      <c r="K617" s="22">
        <f>VLOOKUP($A617,[1]maaltijden!$A$1:$IV$65536,17,FALSE)</f>
        <v>0</v>
      </c>
      <c r="L617" s="22">
        <f>VLOOKUP($A617,[1]maaltijden!$A$1:$IV$65536,20,FALSE)</f>
        <v>3500</v>
      </c>
      <c r="M617" s="22">
        <f>VLOOKUP($A617,[1]maaltijden!$A$1:$IV$65536,22,FALSE)</f>
        <v>3500</v>
      </c>
      <c r="N617" s="135"/>
      <c r="O617" s="50"/>
      <c r="P617" s="19">
        <v>1</v>
      </c>
      <c r="Q617" s="20">
        <v>0</v>
      </c>
      <c r="R617" s="21">
        <v>0</v>
      </c>
      <c r="S617" s="19">
        <v>1</v>
      </c>
      <c r="T617" s="20">
        <v>0</v>
      </c>
      <c r="U617" s="19">
        <v>1</v>
      </c>
      <c r="V617" s="20">
        <v>1</v>
      </c>
      <c r="W617" s="20">
        <v>1</v>
      </c>
      <c r="X617" s="20">
        <v>1</v>
      </c>
      <c r="Y617" s="20">
        <v>1</v>
      </c>
      <c r="Z617" s="20">
        <v>0</v>
      </c>
      <c r="AA617" s="20">
        <v>0</v>
      </c>
      <c r="AB617" s="49">
        <v>0</v>
      </c>
      <c r="AC617" s="49">
        <v>0</v>
      </c>
      <c r="AD617" s="49">
        <v>0</v>
      </c>
      <c r="AE617" s="49">
        <v>0</v>
      </c>
      <c r="AF617" s="49">
        <v>0</v>
      </c>
      <c r="AG617" s="19">
        <v>0</v>
      </c>
      <c r="AH617" s="20"/>
      <c r="AI617" s="20"/>
      <c r="AJ617" s="20"/>
      <c r="AK617" s="20"/>
      <c r="AL617" s="21"/>
      <c r="AM617" s="19">
        <v>0</v>
      </c>
      <c r="AN617" s="20"/>
      <c r="AO617" s="20"/>
      <c r="AP617" s="20"/>
      <c r="AQ617" s="20"/>
      <c r="AR617" s="20"/>
      <c r="AS617" s="20"/>
      <c r="AT617" s="20"/>
      <c r="AU617" s="20"/>
      <c r="AV617" s="23">
        <v>0</v>
      </c>
      <c r="AW617" s="108">
        <v>1</v>
      </c>
      <c r="AX617" s="108">
        <v>1</v>
      </c>
      <c r="AY617" s="108">
        <v>0</v>
      </c>
      <c r="AZ617" s="108"/>
      <c r="BA617" s="114">
        <v>0</v>
      </c>
      <c r="BB617" s="20">
        <v>0</v>
      </c>
      <c r="BC617" s="113">
        <v>0</v>
      </c>
      <c r="BD617" s="200"/>
      <c r="BE617" s="201"/>
      <c r="BF617" s="201"/>
      <c r="BG617" s="201"/>
      <c r="BH617" s="201"/>
      <c r="BI617" s="201"/>
      <c r="BJ617" s="201"/>
      <c r="BK617" s="201"/>
      <c r="BL617" s="201"/>
      <c r="BM617" s="201"/>
      <c r="BN617" s="201"/>
      <c r="BO617" s="201"/>
      <c r="BP617" s="202"/>
    </row>
    <row r="618" spans="1:68" x14ac:dyDescent="0.2">
      <c r="A618" s="126">
        <v>66850500</v>
      </c>
      <c r="B618" s="53" t="str">
        <f>VLOOKUP($A618,[1]maaltijden!$A$1:$IV$65536,4,FALSE)</f>
        <v>AH RENDANG RUND BLK GELE BASMATI BONEN ATJAR 450G</v>
      </c>
      <c r="C618" s="46" t="str">
        <f>VLOOKUP($A618,[1]maaltijden!$A$1:$IV$65536,7,FALSE)</f>
        <v>SOFITRAY KRAFT</v>
      </c>
      <c r="D618" s="22" t="str">
        <f>VLOOKUP($A618,[1]maaltijden!$A$1:$IV$65536,10,FALSE)</f>
        <v>H25</v>
      </c>
      <c r="E618" s="22" t="str">
        <f>VLOOKUP($A618,[1]maaltijden!$A$1:$IV$65536,13,FALSE)</f>
        <v>Shrink H25 x 5</v>
      </c>
      <c r="F618" s="20">
        <v>6</v>
      </c>
      <c r="G618" s="20">
        <f>VLOOKUP($A618,[1]maaltijden!$A$1:$IV$65536,27,FALSE)</f>
        <v>0</v>
      </c>
      <c r="H618" s="22">
        <f>VLOOKUP($A618,[1]maaltijden!$A$1:$IV$65536,21,FALSE)</f>
        <v>0</v>
      </c>
      <c r="I618" s="22">
        <f>VLOOKUP($A618,[1]maaltijden!$A$1:$IV$65536,21,FALSE)</f>
        <v>0</v>
      </c>
      <c r="J618" s="22">
        <f>VLOOKUP($A618,[1]maaltijden!$A$1:$IV$65536,18,FALSE)</f>
        <v>0</v>
      </c>
      <c r="K618" s="22">
        <f>VLOOKUP($A618,[1]maaltijden!$A$1:$IV$65536,17,FALSE)</f>
        <v>0</v>
      </c>
      <c r="L618" s="22">
        <f>VLOOKUP($A618,[1]maaltijden!$A$1:$IV$65536,20,FALSE)</f>
        <v>3500</v>
      </c>
      <c r="M618" s="22">
        <f>VLOOKUP($A618,[1]maaltijden!$A$1:$IV$65536,22,FALSE)</f>
        <v>3500</v>
      </c>
      <c r="N618" s="135"/>
      <c r="O618" s="50"/>
      <c r="P618" s="19">
        <v>1</v>
      </c>
      <c r="Q618" s="20">
        <v>0</v>
      </c>
      <c r="R618" s="21">
        <v>0</v>
      </c>
      <c r="S618" s="19">
        <v>1</v>
      </c>
      <c r="T618" s="20">
        <v>0</v>
      </c>
      <c r="U618" s="19">
        <v>1</v>
      </c>
      <c r="V618" s="20">
        <v>1</v>
      </c>
      <c r="W618" s="20">
        <v>1</v>
      </c>
      <c r="X618" s="20">
        <v>1</v>
      </c>
      <c r="Y618" s="20">
        <v>1</v>
      </c>
      <c r="Z618" s="20">
        <v>0</v>
      </c>
      <c r="AA618" s="20">
        <v>0</v>
      </c>
      <c r="AB618" s="49">
        <v>0</v>
      </c>
      <c r="AC618" s="49">
        <v>0</v>
      </c>
      <c r="AD618" s="49">
        <v>0</v>
      </c>
      <c r="AE618" s="49">
        <v>0</v>
      </c>
      <c r="AF618" s="49">
        <v>0</v>
      </c>
      <c r="AG618" s="19">
        <v>1</v>
      </c>
      <c r="AH618" s="20"/>
      <c r="AI618" s="20"/>
      <c r="AJ618" s="20"/>
      <c r="AK618" s="20"/>
      <c r="AL618" s="21"/>
      <c r="AM618" s="19">
        <v>1</v>
      </c>
      <c r="AN618" s="20"/>
      <c r="AO618" s="20"/>
      <c r="AP618" s="20"/>
      <c r="AQ618" s="20"/>
      <c r="AR618" s="20"/>
      <c r="AS618" s="20"/>
      <c r="AT618" s="20"/>
      <c r="AU618" s="20"/>
      <c r="AV618" s="23">
        <v>0</v>
      </c>
      <c r="AW618" s="108">
        <v>1</v>
      </c>
      <c r="AX618" s="108">
        <v>1</v>
      </c>
      <c r="AY618" s="108">
        <v>0</v>
      </c>
      <c r="AZ618" s="108"/>
      <c r="BA618" s="114">
        <v>0</v>
      </c>
      <c r="BB618" s="20">
        <v>0</v>
      </c>
      <c r="BC618" s="113">
        <v>0</v>
      </c>
      <c r="BD618" s="200"/>
      <c r="BE618" s="201"/>
      <c r="BF618" s="201"/>
      <c r="BG618" s="201"/>
      <c r="BH618" s="201"/>
      <c r="BI618" s="201"/>
      <c r="BJ618" s="201"/>
      <c r="BK618" s="201"/>
      <c r="BL618" s="201"/>
      <c r="BM618" s="201"/>
      <c r="BN618" s="201"/>
      <c r="BO618" s="201"/>
      <c r="BP618" s="202"/>
    </row>
    <row r="619" spans="1:68" x14ac:dyDescent="0.2">
      <c r="A619" s="126">
        <v>66850600</v>
      </c>
      <c r="B619" s="53" t="str">
        <f>VLOOKUP($A619,[1]maaltijden!$A$1:$IV$65536,4,FALSE)</f>
        <v>AH TAGLIATELLE ITALIAANSE RAGU VA RU BLK 450G</v>
      </c>
      <c r="C619" s="46" t="str">
        <f>VLOOKUP($A619,[1]maaltijden!$A$1:$IV$65536,7,FALSE)</f>
        <v>SOFITRAY KRAFT</v>
      </c>
      <c r="D619" s="22" t="str">
        <f>VLOOKUP($A619,[1]maaltijden!$A$1:$IV$65536,10,FALSE)</f>
        <v>H25</v>
      </c>
      <c r="E619" s="22" t="str">
        <f>VLOOKUP($A619,[1]maaltijden!$A$1:$IV$65536,13,FALSE)</f>
        <v>Shrink H25 x 5</v>
      </c>
      <c r="F619" s="20">
        <v>7</v>
      </c>
      <c r="G619" s="20">
        <f>VLOOKUP($A619,[1]maaltijden!$A$1:$IV$65536,27,FALSE)</f>
        <v>0</v>
      </c>
      <c r="H619" s="22">
        <f>VLOOKUP($A619,[1]maaltijden!$A$1:$IV$65536,21,FALSE)</f>
        <v>0</v>
      </c>
      <c r="I619" s="22">
        <f>VLOOKUP($A619,[1]maaltijden!$A$1:$IV$65536,21,FALSE)</f>
        <v>0</v>
      </c>
      <c r="J619" s="22">
        <f>VLOOKUP($A619,[1]maaltijden!$A$1:$IV$65536,18,FALSE)</f>
        <v>0</v>
      </c>
      <c r="K619" s="22">
        <f>VLOOKUP($A619,[1]maaltijden!$A$1:$IV$65536,17,FALSE)</f>
        <v>0</v>
      </c>
      <c r="L619" s="22">
        <f>VLOOKUP($A619,[1]maaltijden!$A$1:$IV$65536,20,FALSE)</f>
        <v>3500</v>
      </c>
      <c r="M619" s="22">
        <f>VLOOKUP($A619,[1]maaltijden!$A$1:$IV$65536,22,FALSE)</f>
        <v>3500</v>
      </c>
      <c r="N619" s="135"/>
      <c r="O619" s="50"/>
      <c r="P619" s="19">
        <v>1</v>
      </c>
      <c r="Q619" s="20">
        <v>0</v>
      </c>
      <c r="R619" s="21">
        <v>0</v>
      </c>
      <c r="S619" s="19">
        <v>1</v>
      </c>
      <c r="T619" s="20">
        <v>0</v>
      </c>
      <c r="U619" s="19">
        <v>1</v>
      </c>
      <c r="V619" s="20">
        <v>1</v>
      </c>
      <c r="W619" s="20">
        <v>1</v>
      </c>
      <c r="X619" s="20">
        <v>1</v>
      </c>
      <c r="Y619" s="20">
        <v>1</v>
      </c>
      <c r="Z619" s="20">
        <v>0</v>
      </c>
      <c r="AA619" s="20">
        <v>0</v>
      </c>
      <c r="AB619" s="49">
        <v>0</v>
      </c>
      <c r="AC619" s="49">
        <v>0</v>
      </c>
      <c r="AD619" s="49">
        <v>0</v>
      </c>
      <c r="AE619" s="49">
        <v>0</v>
      </c>
      <c r="AF619" s="49">
        <v>0</v>
      </c>
      <c r="AG619" s="19">
        <v>1</v>
      </c>
      <c r="AH619" s="20"/>
      <c r="AI619" s="20"/>
      <c r="AJ619" s="20"/>
      <c r="AK619" s="20"/>
      <c r="AL619" s="21"/>
      <c r="AM619" s="19">
        <v>1</v>
      </c>
      <c r="AN619" s="20"/>
      <c r="AO619" s="20"/>
      <c r="AP619" s="20"/>
      <c r="AQ619" s="20"/>
      <c r="AR619" s="20"/>
      <c r="AS619" s="20"/>
      <c r="AT619" s="20"/>
      <c r="AU619" s="20"/>
      <c r="AV619" s="23">
        <v>0</v>
      </c>
      <c r="AW619" s="108">
        <v>1</v>
      </c>
      <c r="AX619" s="108">
        <v>1</v>
      </c>
      <c r="AY619" s="108">
        <v>0</v>
      </c>
      <c r="AZ619" s="108"/>
      <c r="BA619" s="114">
        <v>0</v>
      </c>
      <c r="BB619" s="20">
        <v>0</v>
      </c>
      <c r="BC619" s="113">
        <v>0</v>
      </c>
      <c r="BD619" s="200"/>
      <c r="BE619" s="201"/>
      <c r="BF619" s="201"/>
      <c r="BG619" s="201"/>
      <c r="BH619" s="201"/>
      <c r="BI619" s="201"/>
      <c r="BJ619" s="201"/>
      <c r="BK619" s="201"/>
      <c r="BL619" s="201"/>
      <c r="BM619" s="201"/>
      <c r="BN619" s="201"/>
      <c r="BO619" s="201"/>
      <c r="BP619" s="202"/>
    </row>
    <row r="620" spans="1:68" x14ac:dyDescent="0.2">
      <c r="A620" s="126">
        <v>66850700</v>
      </c>
      <c r="B620" s="53" t="str">
        <f>VLOOKUP($A620,[1]maaltijden!$A$1:$IV$65536,4,FALSE)</f>
        <v>AH GARNALEN ASC THAI PANANG CURRY RIJST 450G</v>
      </c>
      <c r="C620" s="46" t="str">
        <f>VLOOKUP($A620,[1]maaltijden!$A$1:$IV$65536,7,FALSE)</f>
        <v>SOFITRAY KRAFT</v>
      </c>
      <c r="D620" s="22" t="str">
        <f>VLOOKUP($A620,[1]maaltijden!$A$1:$IV$65536,10,FALSE)</f>
        <v>H25</v>
      </c>
      <c r="E620" s="22" t="str">
        <f>VLOOKUP($A620,[1]maaltijden!$A$1:$IV$65536,13,FALSE)</f>
        <v>Shrink H25 x 5</v>
      </c>
      <c r="F620" s="20">
        <v>8</v>
      </c>
      <c r="G620" s="20">
        <f>VLOOKUP($A620,[1]maaltijden!$A$1:$IV$65536,27,FALSE)</f>
        <v>0</v>
      </c>
      <c r="H620" s="22">
        <f>VLOOKUP($A620,[1]maaltijden!$A$1:$IV$65536,21,FALSE)</f>
        <v>0</v>
      </c>
      <c r="I620" s="22">
        <f>VLOOKUP($A620,[1]maaltijden!$A$1:$IV$65536,21,FALSE)</f>
        <v>0</v>
      </c>
      <c r="J620" s="22">
        <f>VLOOKUP($A620,[1]maaltijden!$A$1:$IV$65536,18,FALSE)</f>
        <v>0</v>
      </c>
      <c r="K620" s="22">
        <f>VLOOKUP($A620,[1]maaltijden!$A$1:$IV$65536,17,FALSE)</f>
        <v>0</v>
      </c>
      <c r="L620" s="22">
        <f>VLOOKUP($A620,[1]maaltijden!$A$1:$IV$65536,20,FALSE)</f>
        <v>3500</v>
      </c>
      <c r="M620" s="22">
        <f>VLOOKUP($A620,[1]maaltijden!$A$1:$IV$65536,22,FALSE)</f>
        <v>3500</v>
      </c>
      <c r="N620" s="135"/>
      <c r="O620" s="50"/>
      <c r="P620" s="19">
        <v>1</v>
      </c>
      <c r="Q620" s="20">
        <v>0</v>
      </c>
      <c r="R620" s="21">
        <v>0</v>
      </c>
      <c r="S620" s="19">
        <v>1</v>
      </c>
      <c r="T620" s="20">
        <v>0</v>
      </c>
      <c r="U620" s="19">
        <v>1</v>
      </c>
      <c r="V620" s="20">
        <v>1</v>
      </c>
      <c r="W620" s="20">
        <v>1</v>
      </c>
      <c r="X620" s="20">
        <v>1</v>
      </c>
      <c r="Y620" s="20">
        <v>1</v>
      </c>
      <c r="Z620" s="20">
        <v>0</v>
      </c>
      <c r="AA620" s="20">
        <v>0</v>
      </c>
      <c r="AB620" s="49">
        <v>0</v>
      </c>
      <c r="AC620" s="49">
        <v>0</v>
      </c>
      <c r="AD620" s="49">
        <v>0</v>
      </c>
      <c r="AE620" s="49">
        <v>0</v>
      </c>
      <c r="AF620" s="49">
        <v>0</v>
      </c>
      <c r="AG620" s="19">
        <v>1</v>
      </c>
      <c r="AH620" s="20"/>
      <c r="AI620" s="20"/>
      <c r="AJ620" s="20"/>
      <c r="AK620" s="20"/>
      <c r="AL620" s="21"/>
      <c r="AM620" s="19">
        <v>1</v>
      </c>
      <c r="AN620" s="20"/>
      <c r="AO620" s="20"/>
      <c r="AP620" s="20"/>
      <c r="AQ620" s="20"/>
      <c r="AR620" s="20"/>
      <c r="AS620" s="20"/>
      <c r="AT620" s="20"/>
      <c r="AU620" s="20"/>
      <c r="AV620" s="23">
        <v>0</v>
      </c>
      <c r="AW620" s="108">
        <v>1</v>
      </c>
      <c r="AX620" s="108">
        <v>1</v>
      </c>
      <c r="AY620" s="108">
        <v>0</v>
      </c>
      <c r="AZ620" s="108"/>
      <c r="BA620" s="114">
        <v>0</v>
      </c>
      <c r="BB620" s="20">
        <v>0</v>
      </c>
      <c r="BC620" s="113">
        <v>0</v>
      </c>
      <c r="BD620" s="200"/>
      <c r="BE620" s="201"/>
      <c r="BF620" s="201"/>
      <c r="BG620" s="201"/>
      <c r="BH620" s="201"/>
      <c r="BI620" s="201"/>
      <c r="BJ620" s="201"/>
      <c r="BK620" s="201"/>
      <c r="BL620" s="201"/>
      <c r="BM620" s="201"/>
      <c r="BN620" s="201"/>
      <c r="BO620" s="201"/>
      <c r="BP620" s="202"/>
    </row>
    <row r="621" spans="1:68" x14ac:dyDescent="0.2">
      <c r="A621" s="89">
        <v>66901000</v>
      </c>
      <c r="B621" s="53" t="str">
        <f>VLOOKUP($A621,[1]maaltijden!$A$1:$IV$65536,4,FALSE)</f>
        <v>LIDL FR FRIET CHEDDAR SPEK 280G (MIXED)</v>
      </c>
      <c r="C621" s="46" t="str">
        <f>VLOOKUP($A621,[1]maaltijden!$A$1:$IV$65536,7,FALSE)</f>
        <v>AR 1150-8 white/white</v>
      </c>
      <c r="D621" s="22" t="str">
        <f>VLOOKUP($A621,[1]maaltijden!$A$1:$IV$65536,10,FALSE)</f>
        <v>H9 45mm</v>
      </c>
      <c r="E621" s="22" t="str">
        <f>VLOOKUP($A621,[1]maaltijden!$A$1:$IV$65536,13,FALSE)</f>
        <v>H10X18</v>
      </c>
      <c r="F621" s="20">
        <v>0</v>
      </c>
      <c r="G621" s="20" t="str">
        <f>VLOOKUP($A621,[1]maaltijden!$A$1:$IV$65536,27,FALSE)</f>
        <v>! !</v>
      </c>
      <c r="H621" s="22">
        <f>VLOOKUP($A621,[1]maaltijden!$A$1:$IV$65536,21,FALSE)</f>
        <v>6</v>
      </c>
      <c r="I621" s="22">
        <f>VLOOKUP($A621,[1]maaltijden!$A$1:$IV$65536,21,FALSE)</f>
        <v>6</v>
      </c>
      <c r="J621" s="22">
        <f>VLOOKUP($A621,[1]maaltijden!$A$1:$IV$65536,18,FALSE)</f>
        <v>2</v>
      </c>
      <c r="K621" s="22">
        <f>VLOOKUP($A621,[1]maaltijden!$A$1:$IV$65536,17,FALSE)</f>
        <v>1</v>
      </c>
      <c r="L621" s="22" t="s">
        <v>33</v>
      </c>
      <c r="M621" s="22">
        <f>VLOOKUP($A621,[1]maaltijden!$A$1:$IV$65536,22,FALSE)</f>
        <v>2200</v>
      </c>
      <c r="N621" s="135"/>
      <c r="O621" s="50"/>
      <c r="P621" s="19">
        <v>0</v>
      </c>
      <c r="Q621" s="20">
        <v>1</v>
      </c>
      <c r="R621" s="21">
        <v>0</v>
      </c>
      <c r="S621" s="19">
        <v>0</v>
      </c>
      <c r="T621" s="20">
        <v>1</v>
      </c>
      <c r="U621" s="19">
        <v>1</v>
      </c>
      <c r="V621" s="20">
        <v>1</v>
      </c>
      <c r="W621" s="20">
        <v>1</v>
      </c>
      <c r="X621" s="20">
        <v>1</v>
      </c>
      <c r="Y621" s="20">
        <v>1</v>
      </c>
      <c r="Z621" s="20">
        <v>0</v>
      </c>
      <c r="AA621" s="20">
        <v>0</v>
      </c>
      <c r="AB621" s="49">
        <v>0</v>
      </c>
      <c r="AC621" s="49">
        <v>0</v>
      </c>
      <c r="AD621" s="49">
        <v>0</v>
      </c>
      <c r="AE621" s="49">
        <v>0</v>
      </c>
      <c r="AF621" s="49">
        <v>0</v>
      </c>
      <c r="AG621" s="173">
        <v>0</v>
      </c>
      <c r="AH621" s="182">
        <v>1</v>
      </c>
      <c r="AI621" s="174"/>
      <c r="AJ621" s="174"/>
      <c r="AK621" s="174"/>
      <c r="AL621" s="175"/>
      <c r="AM621" s="19">
        <v>0</v>
      </c>
      <c r="AN621" s="20">
        <v>0</v>
      </c>
      <c r="AO621" s="20">
        <v>0</v>
      </c>
      <c r="AP621" s="20">
        <v>0</v>
      </c>
      <c r="AQ621" s="20">
        <v>1</v>
      </c>
      <c r="AR621" s="20">
        <v>0</v>
      </c>
      <c r="AS621" s="20">
        <v>0</v>
      </c>
      <c r="AT621" s="20">
        <v>1</v>
      </c>
      <c r="AU621" s="20">
        <v>0</v>
      </c>
      <c r="AV621" s="23">
        <v>0</v>
      </c>
      <c r="AW621" s="108">
        <v>1</v>
      </c>
      <c r="AX621" s="108">
        <v>0</v>
      </c>
      <c r="AY621" s="108">
        <v>1</v>
      </c>
      <c r="AZ621" s="108">
        <v>1</v>
      </c>
      <c r="BA621" s="114">
        <v>0</v>
      </c>
      <c r="BB621" s="20">
        <v>0</v>
      </c>
      <c r="BC621" s="113">
        <v>0</v>
      </c>
      <c r="BD621" s="200" t="str">
        <f>VLOOKUP($A621,'[3]allergenen 6nr'!$A$1:$O$1310,3,FALSE)</f>
        <v>-</v>
      </c>
      <c r="BE621" s="201" t="str">
        <f>VLOOKUP($A621,'[3]allergenen 6nr'!$A$1:$O$1310,4,FALSE)</f>
        <v>-</v>
      </c>
      <c r="BF621" s="201" t="str">
        <f>VLOOKUP($A621,'[3]allergenen 6nr'!$A$1:$O$1310,5,FALSE)</f>
        <v>-</v>
      </c>
      <c r="BG621" s="201" t="str">
        <f>VLOOKUP($A621,'[3]allergenen 6nr'!$A$1:$O$1310,6,FALSE)</f>
        <v>-</v>
      </c>
      <c r="BH621" s="201" t="str">
        <f>VLOOKUP($A621,'[3]allergenen 6nr'!$A$1:$O$1310,7,FALSE)</f>
        <v>+</v>
      </c>
      <c r="BI621" s="201" t="str">
        <f>VLOOKUP($A621,'[3]allergenen 6nr'!$A$1:$O$1310,8,FALSE)</f>
        <v>-</v>
      </c>
      <c r="BJ621" s="201" t="str">
        <f>VLOOKUP($A621,'[3]allergenen 6nr'!$A$1:$O$1310,9,FALSE)</f>
        <v>-</v>
      </c>
      <c r="BK621" s="201" t="str">
        <f>VLOOKUP($A621,'[3]allergenen 6nr'!$A$1:$O$1310,10,FALSE)</f>
        <v>-</v>
      </c>
      <c r="BL621" s="201" t="str">
        <f>VLOOKUP($A621,'[3]allergenen 6nr'!$A$1:$O$1310,11,FALSE)</f>
        <v>-</v>
      </c>
      <c r="BM621" s="201" t="str">
        <f>VLOOKUP($A621,'[3]allergenen 6nr'!$A$1:$O$1310,12,FALSE)</f>
        <v>-</v>
      </c>
      <c r="BN621" s="201" t="str">
        <f>VLOOKUP($A621,'[3]allergenen 6nr'!$A$1:$O$1310,13,FALSE)</f>
        <v>-</v>
      </c>
      <c r="BO621" s="201" t="str">
        <f>VLOOKUP($A621,'[3]allergenen 6nr'!$A$1:$O$1310,14,FALSE)</f>
        <v>-</v>
      </c>
      <c r="BP621" s="202" t="str">
        <f>VLOOKUP($A621,'[3]allergenen 6nr'!$A$1:$O$1310,15,FALSE)</f>
        <v>-</v>
      </c>
    </row>
    <row r="622" spans="1:68" x14ac:dyDescent="0.2">
      <c r="A622" s="89">
        <v>66901100</v>
      </c>
      <c r="B622" s="53" t="str">
        <f>VLOOKUP($A622,[1]maaltijden!$A$1:$IV$65536,4,FALSE)</f>
        <v>LIDL FR FRIET CHEDDAR CHILI 280G (MIXED)</v>
      </c>
      <c r="C622" s="46" t="str">
        <f>VLOOKUP($A622,[1]maaltijden!$A$1:$IV$65536,7,FALSE)</f>
        <v>AR 1150-8 white/white</v>
      </c>
      <c r="D622" s="22" t="str">
        <f>VLOOKUP($A622,[1]maaltijden!$A$1:$IV$65536,10,FALSE)</f>
        <v>H9 45mm</v>
      </c>
      <c r="E622" s="22" t="str">
        <f>VLOOKUP($A622,[1]maaltijden!$A$1:$IV$65536,13,FALSE)</f>
        <v>H10X18</v>
      </c>
      <c r="F622" s="20">
        <v>0</v>
      </c>
      <c r="G622" s="20" t="str">
        <f>VLOOKUP($A622,[1]maaltijden!$A$1:$IV$65536,27,FALSE)</f>
        <v>! !</v>
      </c>
      <c r="H622" s="22">
        <f>VLOOKUP($A622,[1]maaltijden!$A$1:$IV$65536,21,FALSE)</f>
        <v>6</v>
      </c>
      <c r="I622" s="22">
        <f>VLOOKUP($A622,[1]maaltijden!$A$1:$IV$65536,21,FALSE)</f>
        <v>6</v>
      </c>
      <c r="J622" s="22">
        <f>VLOOKUP($A622,[1]maaltijden!$A$1:$IV$65536,18,FALSE)</f>
        <v>2</v>
      </c>
      <c r="K622" s="22">
        <f>VLOOKUP($A622,[1]maaltijden!$A$1:$IV$65536,17,FALSE)</f>
        <v>1</v>
      </c>
      <c r="L622" s="22" t="s">
        <v>33</v>
      </c>
      <c r="M622" s="22">
        <f>VLOOKUP($A622,[1]maaltijden!$A$1:$IV$65536,22,FALSE)</f>
        <v>2200</v>
      </c>
      <c r="N622" s="135"/>
      <c r="O622" s="50"/>
      <c r="P622" s="19">
        <v>0</v>
      </c>
      <c r="Q622" s="20">
        <v>1</v>
      </c>
      <c r="R622" s="21">
        <v>0</v>
      </c>
      <c r="S622" s="19">
        <v>0</v>
      </c>
      <c r="T622" s="20">
        <v>1</v>
      </c>
      <c r="U622" s="19">
        <v>1</v>
      </c>
      <c r="V622" s="20">
        <v>1</v>
      </c>
      <c r="W622" s="20">
        <v>1</v>
      </c>
      <c r="X622" s="20">
        <v>1</v>
      </c>
      <c r="Y622" s="20">
        <v>1</v>
      </c>
      <c r="Z622" s="20">
        <v>0</v>
      </c>
      <c r="AA622" s="20">
        <v>0</v>
      </c>
      <c r="AB622" s="49">
        <v>0</v>
      </c>
      <c r="AC622" s="49">
        <v>0</v>
      </c>
      <c r="AD622" s="49">
        <v>0</v>
      </c>
      <c r="AE622" s="49">
        <v>0</v>
      </c>
      <c r="AF622" s="49">
        <v>0</v>
      </c>
      <c r="AG622" s="173">
        <v>0</v>
      </c>
      <c r="AH622" s="182">
        <v>1</v>
      </c>
      <c r="AI622" s="174"/>
      <c r="AJ622" s="174"/>
      <c r="AK622" s="174"/>
      <c r="AL622" s="175"/>
      <c r="AM622" s="19">
        <v>0</v>
      </c>
      <c r="AN622" s="20">
        <v>0</v>
      </c>
      <c r="AO622" s="20">
        <v>0</v>
      </c>
      <c r="AP622" s="20">
        <v>0</v>
      </c>
      <c r="AQ622" s="20">
        <v>1</v>
      </c>
      <c r="AR622" s="20">
        <v>0</v>
      </c>
      <c r="AS622" s="20">
        <v>0</v>
      </c>
      <c r="AT622" s="20">
        <v>1</v>
      </c>
      <c r="AU622" s="20">
        <v>0</v>
      </c>
      <c r="AV622" s="23">
        <v>0</v>
      </c>
      <c r="AW622" s="108">
        <v>1</v>
      </c>
      <c r="AX622" s="108">
        <v>0</v>
      </c>
      <c r="AY622" s="108">
        <v>1</v>
      </c>
      <c r="AZ622" s="108">
        <v>1</v>
      </c>
      <c r="BA622" s="114">
        <v>0</v>
      </c>
      <c r="BB622" s="20">
        <v>0</v>
      </c>
      <c r="BC622" s="113">
        <v>0</v>
      </c>
      <c r="BD622" s="200" t="str">
        <f>VLOOKUP($A622,'[3]allergenen 6nr'!$A$1:$O$1310,3,FALSE)</f>
        <v>-</v>
      </c>
      <c r="BE622" s="201" t="str">
        <f>VLOOKUP($A622,'[3]allergenen 6nr'!$A$1:$O$1310,4,FALSE)</f>
        <v>-</v>
      </c>
      <c r="BF622" s="201" t="str">
        <f>VLOOKUP($A622,'[3]allergenen 6nr'!$A$1:$O$1310,5,FALSE)</f>
        <v>-</v>
      </c>
      <c r="BG622" s="201" t="str">
        <f>VLOOKUP($A622,'[3]allergenen 6nr'!$A$1:$O$1310,6,FALSE)</f>
        <v>-</v>
      </c>
      <c r="BH622" s="201" t="str">
        <f>VLOOKUP($A622,'[3]allergenen 6nr'!$A$1:$O$1310,7,FALSE)</f>
        <v>+</v>
      </c>
      <c r="BI622" s="201" t="str">
        <f>VLOOKUP($A622,'[3]allergenen 6nr'!$A$1:$O$1310,8,FALSE)</f>
        <v>-</v>
      </c>
      <c r="BJ622" s="201" t="str">
        <f>VLOOKUP($A622,'[3]allergenen 6nr'!$A$1:$O$1310,9,FALSE)</f>
        <v>-</v>
      </c>
      <c r="BK622" s="201" t="str">
        <f>VLOOKUP($A622,'[3]allergenen 6nr'!$A$1:$O$1310,10,FALSE)</f>
        <v>-</v>
      </c>
      <c r="BL622" s="201" t="str">
        <f>VLOOKUP($A622,'[3]allergenen 6nr'!$A$1:$O$1310,11,FALSE)</f>
        <v>-</v>
      </c>
      <c r="BM622" s="201" t="str">
        <f>VLOOKUP($A622,'[3]allergenen 6nr'!$A$1:$O$1310,12,FALSE)</f>
        <v>-</v>
      </c>
      <c r="BN622" s="201" t="str">
        <f>VLOOKUP($A622,'[3]allergenen 6nr'!$A$1:$O$1310,13,FALSE)</f>
        <v>-</v>
      </c>
      <c r="BO622" s="201" t="str">
        <f>VLOOKUP($A622,'[3]allergenen 6nr'!$A$1:$O$1310,14,FALSE)</f>
        <v>-</v>
      </c>
      <c r="BP622" s="202" t="str">
        <f>VLOOKUP($A622,'[3]allergenen 6nr'!$A$1:$O$1310,15,FALSE)</f>
        <v>-</v>
      </c>
    </row>
    <row r="623" spans="1:68" x14ac:dyDescent="0.2">
      <c r="A623" s="89">
        <v>66901200</v>
      </c>
      <c r="B623" s="53" t="str">
        <f>VLOOKUP($A623,[1]maaltijden!$A$1:$IV$65536,4,FALSE)</f>
        <v>LIDL FR FRIET BBQ PULLED CHICKEN 280G (MIXED)</v>
      </c>
      <c r="C623" s="46" t="str">
        <f>VLOOKUP($A623,[1]maaltijden!$A$1:$IV$65536,7,FALSE)</f>
        <v>AR 1150-8 white/white</v>
      </c>
      <c r="D623" s="22" t="str">
        <f>VLOOKUP($A623,[1]maaltijden!$A$1:$IV$65536,10,FALSE)</f>
        <v>H9 45mm</v>
      </c>
      <c r="E623" s="22" t="str">
        <f>VLOOKUP($A623,[1]maaltijden!$A$1:$IV$65536,13,FALSE)</f>
        <v>H10X18</v>
      </c>
      <c r="F623" s="20">
        <v>0</v>
      </c>
      <c r="G623" s="20" t="str">
        <f>VLOOKUP($A623,[1]maaltijden!$A$1:$IV$65536,27,FALSE)</f>
        <v>-</v>
      </c>
      <c r="H623" s="22">
        <f>VLOOKUP($A623,[1]maaltijden!$A$1:$IV$65536,21,FALSE)</f>
        <v>6</v>
      </c>
      <c r="I623" s="22">
        <f>VLOOKUP($A623,[1]maaltijden!$A$1:$IV$65536,21,FALSE)</f>
        <v>6</v>
      </c>
      <c r="J623" s="22">
        <f>VLOOKUP($A623,[1]maaltijden!$A$1:$IV$65536,18,FALSE)</f>
        <v>2</v>
      </c>
      <c r="K623" s="22">
        <f>VLOOKUP($A623,[1]maaltijden!$A$1:$IV$65536,17,FALSE)</f>
        <v>1</v>
      </c>
      <c r="L623" s="22" t="s">
        <v>33</v>
      </c>
      <c r="M623" s="22">
        <f>VLOOKUP($A623,[1]maaltijden!$A$1:$IV$65536,22,FALSE)</f>
        <v>2200</v>
      </c>
      <c r="N623" s="135"/>
      <c r="O623" s="50"/>
      <c r="P623" s="19">
        <v>0</v>
      </c>
      <c r="Q623" s="20">
        <v>1</v>
      </c>
      <c r="R623" s="21">
        <v>0</v>
      </c>
      <c r="S623" s="19">
        <v>0</v>
      </c>
      <c r="T623" s="20">
        <v>1</v>
      </c>
      <c r="U623" s="19">
        <v>1</v>
      </c>
      <c r="V623" s="20">
        <v>1</v>
      </c>
      <c r="W623" s="20">
        <v>1</v>
      </c>
      <c r="X623" s="20">
        <v>1</v>
      </c>
      <c r="Y623" s="20">
        <v>1</v>
      </c>
      <c r="Z623" s="20">
        <v>0</v>
      </c>
      <c r="AA623" s="20">
        <v>0</v>
      </c>
      <c r="AB623" s="49">
        <v>0</v>
      </c>
      <c r="AC623" s="49">
        <v>0</v>
      </c>
      <c r="AD623" s="49">
        <v>0</v>
      </c>
      <c r="AE623" s="49">
        <v>1</v>
      </c>
      <c r="AF623" s="49">
        <v>0</v>
      </c>
      <c r="AG623" s="173">
        <v>0</v>
      </c>
      <c r="AH623" s="182">
        <v>1</v>
      </c>
      <c r="AI623" s="174"/>
      <c r="AJ623" s="174"/>
      <c r="AK623" s="174"/>
      <c r="AL623" s="175"/>
      <c r="AM623" s="19">
        <v>0</v>
      </c>
      <c r="AN623" s="20">
        <v>0</v>
      </c>
      <c r="AO623" s="20">
        <v>0</v>
      </c>
      <c r="AP623" s="20">
        <v>0</v>
      </c>
      <c r="AQ623" s="20">
        <v>1</v>
      </c>
      <c r="AR623" s="20">
        <v>0</v>
      </c>
      <c r="AS623" s="20">
        <v>0</v>
      </c>
      <c r="AT623" s="20">
        <v>1</v>
      </c>
      <c r="AU623" s="20">
        <v>0</v>
      </c>
      <c r="AV623" s="23">
        <v>0</v>
      </c>
      <c r="AW623" s="108">
        <v>1</v>
      </c>
      <c r="AX623" s="108">
        <v>0</v>
      </c>
      <c r="AY623" s="108">
        <v>1</v>
      </c>
      <c r="AZ623" s="108">
        <v>1</v>
      </c>
      <c r="BA623" s="114">
        <v>0</v>
      </c>
      <c r="BB623" s="20">
        <v>0</v>
      </c>
      <c r="BC623" s="113">
        <v>0</v>
      </c>
      <c r="BD623" s="200" t="str">
        <f>VLOOKUP($A623,'[3]allergenen 6nr'!$A$1:$O$1310,3,FALSE)</f>
        <v>-</v>
      </c>
      <c r="BE623" s="201" t="str">
        <f>VLOOKUP($A623,'[3]allergenen 6nr'!$A$1:$O$1310,4,FALSE)</f>
        <v>-</v>
      </c>
      <c r="BF623" s="201" t="str">
        <f>VLOOKUP($A623,'[3]allergenen 6nr'!$A$1:$O$1310,5,FALSE)</f>
        <v>-</v>
      </c>
      <c r="BG623" s="201" t="str">
        <f>VLOOKUP($A623,'[3]allergenen 6nr'!$A$1:$O$1310,6,FALSE)</f>
        <v>-</v>
      </c>
      <c r="BH623" s="201" t="str">
        <f>VLOOKUP($A623,'[3]allergenen 6nr'!$A$1:$O$1310,7,FALSE)</f>
        <v>-</v>
      </c>
      <c r="BI623" s="201" t="str">
        <f>VLOOKUP($A623,'[3]allergenen 6nr'!$A$1:$O$1310,8,FALSE)</f>
        <v>-</v>
      </c>
      <c r="BJ623" s="201" t="str">
        <f>VLOOKUP($A623,'[3]allergenen 6nr'!$A$1:$O$1310,9,FALSE)</f>
        <v>-</v>
      </c>
      <c r="BK623" s="201" t="str">
        <f>VLOOKUP($A623,'[3]allergenen 6nr'!$A$1:$O$1310,10,FALSE)</f>
        <v>-</v>
      </c>
      <c r="BL623" s="201" t="str">
        <f>VLOOKUP($A623,'[3]allergenen 6nr'!$A$1:$O$1310,11,FALSE)</f>
        <v>-</v>
      </c>
      <c r="BM623" s="201" t="str">
        <f>VLOOKUP($A623,'[3]allergenen 6nr'!$A$1:$O$1310,12,FALSE)</f>
        <v>-</v>
      </c>
      <c r="BN623" s="201" t="str">
        <f>VLOOKUP($A623,'[3]allergenen 6nr'!$A$1:$O$1310,13,FALSE)</f>
        <v>-</v>
      </c>
      <c r="BO623" s="201" t="str">
        <f>VLOOKUP($A623,'[3]allergenen 6nr'!$A$1:$O$1310,14,FALSE)</f>
        <v>-</v>
      </c>
      <c r="BP623" s="202" t="str">
        <f>VLOOKUP($A623,'[3]allergenen 6nr'!$A$1:$O$1310,15,FALSE)</f>
        <v>-</v>
      </c>
    </row>
    <row r="624" spans="1:68" x14ac:dyDescent="0.2">
      <c r="A624" s="89">
        <v>66901300</v>
      </c>
      <c r="B624" s="53" t="str">
        <f>VLOOKUP($A624,[1]maaltijden!$A$1:$IV$65536,4,FALSE)</f>
        <v>LIDL IE NI CY NL FI FRIET PIRI PIRI 400G</v>
      </c>
      <c r="C624" s="46" t="str">
        <f>VLOOKUP($A624,[1]maaltijden!$A$1:$IV$65536,7,FALSE)</f>
        <v>AR 1150-8 white/white</v>
      </c>
      <c r="D624" s="22" t="str">
        <f>VLOOKUP($A624,[1]maaltijden!$A$1:$IV$65536,10,FALSE)</f>
        <v>H9 45mm</v>
      </c>
      <c r="E624" s="22" t="str">
        <f>VLOOKUP($A624,[1]maaltijden!$A$1:$IV$65536,13,FALSE)</f>
        <v>H10X18</v>
      </c>
      <c r="F624" s="20">
        <v>0</v>
      </c>
      <c r="G624" s="20" t="str">
        <f>VLOOKUP($A624,[1]maaltijden!$A$1:$IV$65536,27,FALSE)</f>
        <v>! ! !</v>
      </c>
      <c r="H624" s="22">
        <f>VLOOKUP($A624,[1]maaltijden!$A$1:$IV$65536,21,FALSE)</f>
        <v>6</v>
      </c>
      <c r="I624" s="22">
        <f>VLOOKUP($A624,[1]maaltijden!$A$1:$IV$65536,21,FALSE)</f>
        <v>6</v>
      </c>
      <c r="J624" s="22">
        <f>VLOOKUP($A624,[1]maaltijden!$A$1:$IV$65536,18,FALSE)</f>
        <v>2</v>
      </c>
      <c r="K624" s="22">
        <f>VLOOKUP($A624,[1]maaltijden!$A$1:$IV$65536,17,FALSE)</f>
        <v>1</v>
      </c>
      <c r="L624" s="22">
        <f>VLOOKUP($A624,[1]maaltijden!$A$1:$IV$65536,20,FALSE)</f>
        <v>2200</v>
      </c>
      <c r="M624" s="22">
        <f>VLOOKUP($A624,[1]maaltijden!$A$1:$IV$65536,22,FALSE)</f>
        <v>2200</v>
      </c>
      <c r="N624" s="135"/>
      <c r="O624" s="50"/>
      <c r="P624" s="19">
        <v>0</v>
      </c>
      <c r="Q624" s="20">
        <v>1</v>
      </c>
      <c r="R624" s="21">
        <v>0</v>
      </c>
      <c r="S624" s="19">
        <v>1</v>
      </c>
      <c r="T624" s="20">
        <v>1</v>
      </c>
      <c r="U624" s="19">
        <v>1</v>
      </c>
      <c r="V624" s="20">
        <v>1</v>
      </c>
      <c r="W624" s="20">
        <v>1</v>
      </c>
      <c r="X624" s="20">
        <v>1</v>
      </c>
      <c r="Y624" s="20">
        <v>1</v>
      </c>
      <c r="Z624" s="20">
        <v>0</v>
      </c>
      <c r="AA624" s="20">
        <v>0</v>
      </c>
      <c r="AB624" s="49">
        <v>0</v>
      </c>
      <c r="AC624" s="49">
        <v>0</v>
      </c>
      <c r="AD624" s="49">
        <v>0</v>
      </c>
      <c r="AE624" s="49">
        <v>0</v>
      </c>
      <c r="AF624" s="49">
        <v>0</v>
      </c>
      <c r="AG624" s="173">
        <v>0</v>
      </c>
      <c r="AH624" s="182">
        <v>1</v>
      </c>
      <c r="AI624" s="174"/>
      <c r="AJ624" s="174"/>
      <c r="AK624" s="174"/>
      <c r="AL624" s="175"/>
      <c r="AM624" s="19">
        <v>0</v>
      </c>
      <c r="AN624" s="20">
        <v>0</v>
      </c>
      <c r="AO624" s="20">
        <v>0</v>
      </c>
      <c r="AP624" s="20">
        <v>0</v>
      </c>
      <c r="AQ624" s="20">
        <v>1</v>
      </c>
      <c r="AR624" s="20">
        <v>0</v>
      </c>
      <c r="AS624" s="20">
        <v>0</v>
      </c>
      <c r="AT624" s="20">
        <v>1</v>
      </c>
      <c r="AU624" s="20">
        <v>0</v>
      </c>
      <c r="AV624" s="23">
        <v>0</v>
      </c>
      <c r="AW624" s="108">
        <v>1</v>
      </c>
      <c r="AX624" s="108">
        <v>0</v>
      </c>
      <c r="AY624" s="108">
        <v>1</v>
      </c>
      <c r="AZ624" s="108">
        <v>1</v>
      </c>
      <c r="BA624" s="114">
        <v>0</v>
      </c>
      <c r="BB624" s="20">
        <v>0</v>
      </c>
      <c r="BC624" s="113">
        <v>0</v>
      </c>
      <c r="BD624" s="200" t="str">
        <f>VLOOKUP($A624,'[3]allergenen 6nr'!$A$1:$O$1310,3,FALSE)</f>
        <v>-</v>
      </c>
      <c r="BE624" s="201" t="str">
        <f>VLOOKUP($A624,'[3]allergenen 6nr'!$A$1:$O$1310,4,FALSE)</f>
        <v>-</v>
      </c>
      <c r="BF624" s="201" t="str">
        <f>VLOOKUP($A624,'[3]allergenen 6nr'!$A$1:$O$1310,5,FALSE)</f>
        <v>-</v>
      </c>
      <c r="BG624" s="201" t="str">
        <f>VLOOKUP($A624,'[3]allergenen 6nr'!$A$1:$O$1310,6,FALSE)</f>
        <v>-</v>
      </c>
      <c r="BH624" s="201" t="str">
        <f>VLOOKUP($A624,'[3]allergenen 6nr'!$A$1:$O$1310,7,FALSE)</f>
        <v>-</v>
      </c>
      <c r="BI624" s="201" t="str">
        <f>VLOOKUP($A624,'[3]allergenen 6nr'!$A$1:$O$1310,8,FALSE)</f>
        <v>-</v>
      </c>
      <c r="BJ624" s="201" t="str">
        <f>VLOOKUP($A624,'[3]allergenen 6nr'!$A$1:$O$1310,9,FALSE)</f>
        <v>-</v>
      </c>
      <c r="BK624" s="201" t="str">
        <f>VLOOKUP($A624,'[3]allergenen 6nr'!$A$1:$O$1310,10,FALSE)</f>
        <v>-</v>
      </c>
      <c r="BL624" s="201" t="str">
        <f>VLOOKUP($A624,'[3]allergenen 6nr'!$A$1:$O$1310,11,FALSE)</f>
        <v>+</v>
      </c>
      <c r="BM624" s="201" t="str">
        <f>VLOOKUP($A624,'[3]allergenen 6nr'!$A$1:$O$1310,12,FALSE)</f>
        <v>-</v>
      </c>
      <c r="BN624" s="201" t="str">
        <f>VLOOKUP($A624,'[3]allergenen 6nr'!$A$1:$O$1310,13,FALSE)</f>
        <v>-</v>
      </c>
      <c r="BO624" s="201" t="str">
        <f>VLOOKUP($A624,'[3]allergenen 6nr'!$A$1:$O$1310,14,FALSE)</f>
        <v>-</v>
      </c>
      <c r="BP624" s="202" t="str">
        <f>VLOOKUP($A624,'[3]allergenen 6nr'!$A$1:$O$1310,15,FALSE)</f>
        <v>-</v>
      </c>
    </row>
    <row r="625" spans="1:68" x14ac:dyDescent="0.2">
      <c r="A625" s="89">
        <v>66901400</v>
      </c>
      <c r="B625" s="53" t="str">
        <f>VLOOKUP($A625,[1]maaltijden!$A$1:$IV$65536,4,FALSE)</f>
        <v>LIDL SK SE CY FRIET CHEESY PEPPER 280G (MIXED)</v>
      </c>
      <c r="C625" s="46" t="str">
        <f>VLOOKUP($A625,[1]maaltijden!$A$1:$IV$65536,7,FALSE)</f>
        <v>AR 1150-8 white/white</v>
      </c>
      <c r="D625" s="22" t="str">
        <f>VLOOKUP($A625,[1]maaltijden!$A$1:$IV$65536,10,FALSE)</f>
        <v>H9 45mm</v>
      </c>
      <c r="E625" s="22" t="str">
        <f>VLOOKUP($A625,[1]maaltijden!$A$1:$IV$65536,13,FALSE)</f>
        <v>H10X18</v>
      </c>
      <c r="F625" s="20">
        <v>0</v>
      </c>
      <c r="G625" s="20" t="str">
        <f>VLOOKUP($A625,[1]maaltijden!$A$1:$IV$65536,27,FALSE)</f>
        <v>! !</v>
      </c>
      <c r="H625" s="22">
        <f>VLOOKUP($A625,[1]maaltijden!$A$1:$IV$65536,21,FALSE)</f>
        <v>6</v>
      </c>
      <c r="I625" s="22">
        <f>VLOOKUP($A625,[1]maaltijden!$A$1:$IV$65536,21,FALSE)</f>
        <v>6</v>
      </c>
      <c r="J625" s="22">
        <f>VLOOKUP($A625,[1]maaltijden!$A$1:$IV$65536,18,FALSE)</f>
        <v>2</v>
      </c>
      <c r="K625" s="22">
        <f>VLOOKUP($A625,[1]maaltijden!$A$1:$IV$65536,17,FALSE)</f>
        <v>1</v>
      </c>
      <c r="L625" s="22" t="s">
        <v>33</v>
      </c>
      <c r="M625" s="22">
        <f>VLOOKUP($A625,[1]maaltijden!$A$1:$IV$65536,22,FALSE)</f>
        <v>2200</v>
      </c>
      <c r="N625" s="135"/>
      <c r="O625" s="50"/>
      <c r="P625" s="19">
        <v>0</v>
      </c>
      <c r="Q625" s="20">
        <v>1</v>
      </c>
      <c r="R625" s="21">
        <v>0</v>
      </c>
      <c r="S625" s="19">
        <v>0</v>
      </c>
      <c r="T625" s="20">
        <v>1</v>
      </c>
      <c r="U625" s="19">
        <v>1</v>
      </c>
      <c r="V625" s="20">
        <v>1</v>
      </c>
      <c r="W625" s="20">
        <v>1</v>
      </c>
      <c r="X625" s="20">
        <v>1</v>
      </c>
      <c r="Y625" s="20">
        <v>1</v>
      </c>
      <c r="Z625" s="20">
        <v>0</v>
      </c>
      <c r="AA625" s="20">
        <v>0</v>
      </c>
      <c r="AB625" s="49">
        <v>0</v>
      </c>
      <c r="AC625" s="49">
        <v>0</v>
      </c>
      <c r="AD625" s="49">
        <v>0</v>
      </c>
      <c r="AE625" s="49">
        <v>0</v>
      </c>
      <c r="AF625" s="49">
        <v>0</v>
      </c>
      <c r="AG625" s="173">
        <v>0</v>
      </c>
      <c r="AH625" s="182">
        <v>1</v>
      </c>
      <c r="AI625" s="174"/>
      <c r="AJ625" s="174"/>
      <c r="AK625" s="174"/>
      <c r="AL625" s="175"/>
      <c r="AM625" s="19">
        <v>0</v>
      </c>
      <c r="AN625" s="20">
        <v>0</v>
      </c>
      <c r="AO625" s="20">
        <v>0</v>
      </c>
      <c r="AP625" s="20">
        <v>0</v>
      </c>
      <c r="AQ625" s="20">
        <v>1</v>
      </c>
      <c r="AR625" s="20">
        <v>0</v>
      </c>
      <c r="AS625" s="20">
        <v>0</v>
      </c>
      <c r="AT625" s="20">
        <v>1</v>
      </c>
      <c r="AU625" s="20">
        <v>0</v>
      </c>
      <c r="AV625" s="23">
        <v>0</v>
      </c>
      <c r="AW625" s="108">
        <v>1</v>
      </c>
      <c r="AX625" s="108">
        <v>0</v>
      </c>
      <c r="AY625" s="108">
        <v>1</v>
      </c>
      <c r="AZ625" s="108">
        <v>1</v>
      </c>
      <c r="BA625" s="114">
        <v>0</v>
      </c>
      <c r="BB625" s="20">
        <v>0</v>
      </c>
      <c r="BC625" s="113">
        <v>0</v>
      </c>
      <c r="BD625" s="200" t="str">
        <f>VLOOKUP($A625,'[3]allergenen 6nr'!$A$1:$O$1310,3,FALSE)</f>
        <v>-</v>
      </c>
      <c r="BE625" s="201" t="str">
        <f>VLOOKUP($A625,'[3]allergenen 6nr'!$A$1:$O$1310,4,FALSE)</f>
        <v>-</v>
      </c>
      <c r="BF625" s="201" t="str">
        <f>VLOOKUP($A625,'[3]allergenen 6nr'!$A$1:$O$1310,5,FALSE)</f>
        <v>-</v>
      </c>
      <c r="BG625" s="201" t="str">
        <f>VLOOKUP($A625,'[3]allergenen 6nr'!$A$1:$O$1310,6,FALSE)</f>
        <v>-</v>
      </c>
      <c r="BH625" s="201" t="str">
        <f>VLOOKUP($A625,'[3]allergenen 6nr'!$A$1:$O$1310,7,FALSE)</f>
        <v>+</v>
      </c>
      <c r="BI625" s="201" t="str">
        <f>VLOOKUP($A625,'[3]allergenen 6nr'!$A$1:$O$1310,8,FALSE)</f>
        <v>-</v>
      </c>
      <c r="BJ625" s="201" t="str">
        <f>VLOOKUP($A625,'[3]allergenen 6nr'!$A$1:$O$1310,9,FALSE)</f>
        <v>-</v>
      </c>
      <c r="BK625" s="201" t="str">
        <f>VLOOKUP($A625,'[3]allergenen 6nr'!$A$1:$O$1310,10,FALSE)</f>
        <v>-</v>
      </c>
      <c r="BL625" s="201" t="str">
        <f>VLOOKUP($A625,'[3]allergenen 6nr'!$A$1:$O$1310,11,FALSE)</f>
        <v>-</v>
      </c>
      <c r="BM625" s="201" t="str">
        <f>VLOOKUP($A625,'[3]allergenen 6nr'!$A$1:$O$1310,12,FALSE)</f>
        <v>-</v>
      </c>
      <c r="BN625" s="201" t="str">
        <f>VLOOKUP($A625,'[3]allergenen 6nr'!$A$1:$O$1310,13,FALSE)</f>
        <v>-</v>
      </c>
      <c r="BO625" s="201" t="str">
        <f>VLOOKUP($A625,'[3]allergenen 6nr'!$A$1:$O$1310,14,FALSE)</f>
        <v>-</v>
      </c>
      <c r="BP625" s="202" t="str">
        <f>VLOOKUP($A625,'[3]allergenen 6nr'!$A$1:$O$1310,15,FALSE)</f>
        <v>-</v>
      </c>
    </row>
    <row r="626" spans="1:68" x14ac:dyDescent="0.2">
      <c r="A626" s="89">
        <v>66901500</v>
      </c>
      <c r="B626" s="53" t="str">
        <f>VLOOKUP($A626,[1]maaltijden!$A$1:$IV$65536,4,FALSE)</f>
        <v>LIDL SK SE CY FRIET ST GALLANER UI SAUS 280G (MIXED)</v>
      </c>
      <c r="C626" s="46" t="str">
        <f>VLOOKUP($A626,[1]maaltijden!$A$1:$IV$65536,7,FALSE)</f>
        <v>AR 1150-8 white/white</v>
      </c>
      <c r="D626" s="22" t="str">
        <f>VLOOKUP($A626,[1]maaltijden!$A$1:$IV$65536,10,FALSE)</f>
        <v>H9 45mm</v>
      </c>
      <c r="E626" s="22" t="str">
        <f>VLOOKUP($A626,[1]maaltijden!$A$1:$IV$65536,13,FALSE)</f>
        <v>H10X18</v>
      </c>
      <c r="F626" s="20">
        <v>0</v>
      </c>
      <c r="G626" s="20" t="str">
        <f>VLOOKUP($A626,[1]maaltijden!$A$1:$IV$65536,27,FALSE)</f>
        <v>! ! !</v>
      </c>
      <c r="H626" s="22">
        <f>VLOOKUP($A626,[1]maaltijden!$A$1:$IV$65536,21,FALSE)</f>
        <v>6</v>
      </c>
      <c r="I626" s="22">
        <f>VLOOKUP($A626,[1]maaltijden!$A$1:$IV$65536,21,FALSE)</f>
        <v>6</v>
      </c>
      <c r="J626" s="22">
        <f>VLOOKUP($A626,[1]maaltijden!$A$1:$IV$65536,18,FALSE)</f>
        <v>2</v>
      </c>
      <c r="K626" s="22">
        <f>VLOOKUP($A626,[1]maaltijden!$A$1:$IV$65536,17,FALSE)</f>
        <v>1</v>
      </c>
      <c r="L626" s="22" t="s">
        <v>33</v>
      </c>
      <c r="M626" s="22">
        <f>VLOOKUP($A626,[1]maaltijden!$A$1:$IV$65536,22,FALSE)</f>
        <v>2200</v>
      </c>
      <c r="N626" s="135"/>
      <c r="O626" s="50"/>
      <c r="P626" s="19">
        <v>0</v>
      </c>
      <c r="Q626" s="20">
        <v>1</v>
      </c>
      <c r="R626" s="21">
        <v>0</v>
      </c>
      <c r="S626" s="19">
        <v>0</v>
      </c>
      <c r="T626" s="20">
        <v>1</v>
      </c>
      <c r="U626" s="19">
        <v>1</v>
      </c>
      <c r="V626" s="20">
        <v>1</v>
      </c>
      <c r="W626" s="20">
        <v>1</v>
      </c>
      <c r="X626" s="20">
        <v>1</v>
      </c>
      <c r="Y626" s="20">
        <v>1</v>
      </c>
      <c r="Z626" s="20">
        <v>0</v>
      </c>
      <c r="AA626" s="20">
        <v>0</v>
      </c>
      <c r="AB626" s="49">
        <v>0</v>
      </c>
      <c r="AC626" s="49">
        <v>0</v>
      </c>
      <c r="AD626" s="49">
        <v>0</v>
      </c>
      <c r="AE626" s="49">
        <v>0</v>
      </c>
      <c r="AF626" s="49">
        <v>0</v>
      </c>
      <c r="AG626" s="173">
        <v>0</v>
      </c>
      <c r="AH626" s="182">
        <v>1</v>
      </c>
      <c r="AI626" s="174"/>
      <c r="AJ626" s="174"/>
      <c r="AK626" s="174"/>
      <c r="AL626" s="175"/>
      <c r="AM626" s="19">
        <v>0</v>
      </c>
      <c r="AN626" s="20">
        <v>0</v>
      </c>
      <c r="AO626" s="20">
        <v>0</v>
      </c>
      <c r="AP626" s="20">
        <v>0</v>
      </c>
      <c r="AQ626" s="20">
        <v>1</v>
      </c>
      <c r="AR626" s="20">
        <v>0</v>
      </c>
      <c r="AS626" s="20">
        <v>0</v>
      </c>
      <c r="AT626" s="20">
        <v>1</v>
      </c>
      <c r="AU626" s="20">
        <v>0</v>
      </c>
      <c r="AV626" s="23">
        <v>0</v>
      </c>
      <c r="AW626" s="108">
        <v>1</v>
      </c>
      <c r="AX626" s="108">
        <v>0</v>
      </c>
      <c r="AY626" s="108">
        <v>1</v>
      </c>
      <c r="AZ626" s="108">
        <v>1</v>
      </c>
      <c r="BA626" s="114">
        <v>0</v>
      </c>
      <c r="BB626" s="20">
        <v>0</v>
      </c>
      <c r="BC626" s="113">
        <v>0</v>
      </c>
      <c r="BD626" s="200" t="str">
        <f>VLOOKUP($A626,'[3]allergenen 6nr'!$A$1:$O$1310,3,FALSE)</f>
        <v>-</v>
      </c>
      <c r="BE626" s="201" t="str">
        <f>VLOOKUP($A626,'[3]allergenen 6nr'!$A$1:$O$1310,4,FALSE)</f>
        <v>-</v>
      </c>
      <c r="BF626" s="201" t="str">
        <f>VLOOKUP($A626,'[3]allergenen 6nr'!$A$1:$O$1310,5,FALSE)</f>
        <v>-</v>
      </c>
      <c r="BG626" s="201" t="str">
        <f>VLOOKUP($A626,'[3]allergenen 6nr'!$A$1:$O$1310,6,FALSE)</f>
        <v>-</v>
      </c>
      <c r="BH626" s="201" t="str">
        <f>VLOOKUP($A626,'[3]allergenen 6nr'!$A$1:$O$1310,7,FALSE)</f>
        <v>+</v>
      </c>
      <c r="BI626" s="201" t="str">
        <f>VLOOKUP($A626,'[3]allergenen 6nr'!$A$1:$O$1310,8,FALSE)</f>
        <v>-</v>
      </c>
      <c r="BJ626" s="201" t="str">
        <f>VLOOKUP($A626,'[3]allergenen 6nr'!$A$1:$O$1310,9,FALSE)</f>
        <v>-</v>
      </c>
      <c r="BK626" s="201" t="str">
        <f>VLOOKUP($A626,'[3]allergenen 6nr'!$A$1:$O$1310,10,FALSE)</f>
        <v>-</v>
      </c>
      <c r="BL626" s="201" t="str">
        <f>VLOOKUP($A626,'[3]allergenen 6nr'!$A$1:$O$1310,11,FALSE)</f>
        <v>+</v>
      </c>
      <c r="BM626" s="201" t="str">
        <f>VLOOKUP($A626,'[3]allergenen 6nr'!$A$1:$O$1310,12,FALSE)</f>
        <v>-</v>
      </c>
      <c r="BN626" s="201" t="str">
        <f>VLOOKUP($A626,'[3]allergenen 6nr'!$A$1:$O$1310,13,FALSE)</f>
        <v>-</v>
      </c>
      <c r="BO626" s="201" t="str">
        <f>VLOOKUP($A626,'[3]allergenen 6nr'!$A$1:$O$1310,14,FALSE)</f>
        <v>-</v>
      </c>
      <c r="BP626" s="202" t="str">
        <f>VLOOKUP($A626,'[3]allergenen 6nr'!$A$1:$O$1310,15,FALSE)</f>
        <v>-</v>
      </c>
    </row>
    <row r="627" spans="1:68" x14ac:dyDescent="0.2">
      <c r="A627" s="89">
        <v>66901600</v>
      </c>
      <c r="B627" s="53" t="str">
        <f>VLOOKUP($A627,[1]maaltijden!$A$1:$IV$65536,4,FALSE)</f>
        <v>LIDL SK SE CY FRIET SPICY COCKTAIL SAUS 280G (MIXED)</v>
      </c>
      <c r="C627" s="46" t="str">
        <f>VLOOKUP($A627,[1]maaltijden!$A$1:$IV$65536,7,FALSE)</f>
        <v>AR 1150-8 white/white</v>
      </c>
      <c r="D627" s="22" t="str">
        <f>VLOOKUP($A627,[1]maaltijden!$A$1:$IV$65536,10,FALSE)</f>
        <v>H9 45mm</v>
      </c>
      <c r="E627" s="22" t="str">
        <f>VLOOKUP($A627,[1]maaltijden!$A$1:$IV$65536,13,FALSE)</f>
        <v>H10X18</v>
      </c>
      <c r="F627" s="20">
        <v>0</v>
      </c>
      <c r="G627" s="20" t="str">
        <f>VLOOKUP($A627,[1]maaltijden!$A$1:$IV$65536,27,FALSE)</f>
        <v>! ! !</v>
      </c>
      <c r="H627" s="22">
        <f>VLOOKUP($A627,[1]maaltijden!$A$1:$IV$65536,21,FALSE)</f>
        <v>6</v>
      </c>
      <c r="I627" s="22">
        <f>VLOOKUP($A627,[1]maaltijden!$A$1:$IV$65536,21,FALSE)</f>
        <v>6</v>
      </c>
      <c r="J627" s="22">
        <f>VLOOKUP($A627,[1]maaltijden!$A$1:$IV$65536,18,FALSE)</f>
        <v>2</v>
      </c>
      <c r="K627" s="22">
        <f>VLOOKUP($A627,[1]maaltijden!$A$1:$IV$65536,17,FALSE)</f>
        <v>1</v>
      </c>
      <c r="L627" s="22" t="s">
        <v>33</v>
      </c>
      <c r="M627" s="22">
        <f>VLOOKUP($A627,[1]maaltijden!$A$1:$IV$65536,22,FALSE)</f>
        <v>2200</v>
      </c>
      <c r="N627" s="135"/>
      <c r="O627" s="50"/>
      <c r="P627" s="19">
        <v>0</v>
      </c>
      <c r="Q627" s="20">
        <v>1</v>
      </c>
      <c r="R627" s="21">
        <v>0</v>
      </c>
      <c r="S627" s="19">
        <v>0</v>
      </c>
      <c r="T627" s="20">
        <v>1</v>
      </c>
      <c r="U627" s="19">
        <v>1</v>
      </c>
      <c r="V627" s="20">
        <v>1</v>
      </c>
      <c r="W627" s="20">
        <v>1</v>
      </c>
      <c r="X627" s="20">
        <v>1</v>
      </c>
      <c r="Y627" s="20">
        <v>1</v>
      </c>
      <c r="Z627" s="20">
        <v>0</v>
      </c>
      <c r="AA627" s="20">
        <v>0</v>
      </c>
      <c r="AB627" s="49">
        <v>0</v>
      </c>
      <c r="AC627" s="49">
        <v>0</v>
      </c>
      <c r="AD627" s="49">
        <v>0</v>
      </c>
      <c r="AE627" s="49">
        <v>0</v>
      </c>
      <c r="AF627" s="49">
        <v>0</v>
      </c>
      <c r="AG627" s="173">
        <v>0</v>
      </c>
      <c r="AH627" s="182">
        <v>1</v>
      </c>
      <c r="AI627" s="174"/>
      <c r="AJ627" s="174"/>
      <c r="AK627" s="174"/>
      <c r="AL627" s="175"/>
      <c r="AM627" s="19">
        <v>0</v>
      </c>
      <c r="AN627" s="20">
        <v>0</v>
      </c>
      <c r="AO627" s="20">
        <v>0</v>
      </c>
      <c r="AP627" s="20">
        <v>0</v>
      </c>
      <c r="AQ627" s="20">
        <v>1</v>
      </c>
      <c r="AR627" s="20">
        <v>0</v>
      </c>
      <c r="AS627" s="20">
        <v>0</v>
      </c>
      <c r="AT627" s="20">
        <v>1</v>
      </c>
      <c r="AU627" s="20">
        <v>0</v>
      </c>
      <c r="AV627" s="23">
        <v>0</v>
      </c>
      <c r="AW627" s="108">
        <v>1</v>
      </c>
      <c r="AX627" s="108">
        <v>0</v>
      </c>
      <c r="AY627" s="108">
        <v>1</v>
      </c>
      <c r="AZ627" s="108">
        <v>1</v>
      </c>
      <c r="BA627" s="114">
        <v>0</v>
      </c>
      <c r="BB627" s="20">
        <v>0</v>
      </c>
      <c r="BC627" s="113">
        <v>0</v>
      </c>
      <c r="BD627" s="200" t="str">
        <f>VLOOKUP($A627,'[3]allergenen 6nr'!$A$1:$O$1310,3,FALSE)</f>
        <v>-</v>
      </c>
      <c r="BE627" s="201" t="str">
        <f>VLOOKUP($A627,'[3]allergenen 6nr'!$A$1:$O$1310,4,FALSE)</f>
        <v>-</v>
      </c>
      <c r="BF627" s="201" t="str">
        <f>VLOOKUP($A627,'[3]allergenen 6nr'!$A$1:$O$1310,5,FALSE)</f>
        <v>X</v>
      </c>
      <c r="BG627" s="201" t="str">
        <f>VLOOKUP($A627,'[3]allergenen 6nr'!$A$1:$O$1310,6,FALSE)</f>
        <v>-</v>
      </c>
      <c r="BH627" s="201" t="str">
        <f>VLOOKUP($A627,'[3]allergenen 6nr'!$A$1:$O$1310,7,FALSE)</f>
        <v>+</v>
      </c>
      <c r="BI627" s="201" t="str">
        <f>VLOOKUP($A627,'[3]allergenen 6nr'!$A$1:$O$1310,8,FALSE)</f>
        <v>+</v>
      </c>
      <c r="BJ627" s="201" t="str">
        <f>VLOOKUP($A627,'[3]allergenen 6nr'!$A$1:$O$1310,9,FALSE)</f>
        <v>-</v>
      </c>
      <c r="BK627" s="201" t="str">
        <f>VLOOKUP($A627,'[3]allergenen 6nr'!$A$1:$O$1310,10,FALSE)</f>
        <v>-</v>
      </c>
      <c r="BL627" s="201" t="str">
        <f>VLOOKUP($A627,'[3]allergenen 6nr'!$A$1:$O$1310,11,FALSE)</f>
        <v>+</v>
      </c>
      <c r="BM627" s="201" t="str">
        <f>VLOOKUP($A627,'[3]allergenen 6nr'!$A$1:$O$1310,12,FALSE)</f>
        <v>-</v>
      </c>
      <c r="BN627" s="201" t="str">
        <f>VLOOKUP($A627,'[3]allergenen 6nr'!$A$1:$O$1310,13,FALSE)</f>
        <v>-</v>
      </c>
      <c r="BO627" s="201" t="str">
        <f>VLOOKUP($A627,'[3]allergenen 6nr'!$A$1:$O$1310,14,FALSE)</f>
        <v>-</v>
      </c>
      <c r="BP627" s="202" t="str">
        <f>VLOOKUP($A627,'[3]allergenen 6nr'!$A$1:$O$1310,15,FALSE)</f>
        <v>-</v>
      </c>
    </row>
    <row r="628" spans="1:68" x14ac:dyDescent="0.2">
      <c r="A628" s="89">
        <v>66901700</v>
      </c>
      <c r="B628" s="53" t="str">
        <f>VLOOKUP($A628,[1]maaltijden!$A$1:$IV$65536,4,FALSE)</f>
        <v>LIDL IE PT CH CZ AT FRIET CHEDDAR SPEK 280G(MIXED)</v>
      </c>
      <c r="C628" s="46" t="str">
        <f>VLOOKUP($A628,[1]maaltijden!$A$1:$IV$65536,7,FALSE)</f>
        <v>AR 1150-8 white/white</v>
      </c>
      <c r="D628" s="22" t="str">
        <f>VLOOKUP($A628,[1]maaltijden!$A$1:$IV$65536,10,FALSE)</f>
        <v>H9 45mm</v>
      </c>
      <c r="E628" s="22" t="str">
        <f>VLOOKUP($A628,[1]maaltijden!$A$1:$IV$65536,13,FALSE)</f>
        <v>H10X18</v>
      </c>
      <c r="F628" s="20">
        <v>0</v>
      </c>
      <c r="G628" s="20" t="str">
        <f>VLOOKUP($A628,[1]maaltijden!$A$1:$IV$65536,27,FALSE)</f>
        <v>! !</v>
      </c>
      <c r="H628" s="22">
        <f>VLOOKUP($A628,[1]maaltijden!$A$1:$IV$65536,21,FALSE)</f>
        <v>6</v>
      </c>
      <c r="I628" s="22">
        <f>VLOOKUP($A628,[1]maaltijden!$A$1:$IV$65536,21,FALSE)</f>
        <v>6</v>
      </c>
      <c r="J628" s="22">
        <f>VLOOKUP($A628,[1]maaltijden!$A$1:$IV$65536,18,FALSE)</f>
        <v>2</v>
      </c>
      <c r="K628" s="22">
        <f>VLOOKUP($A628,[1]maaltijden!$A$1:$IV$65536,17,FALSE)</f>
        <v>1</v>
      </c>
      <c r="L628" s="22" t="s">
        <v>33</v>
      </c>
      <c r="M628" s="22">
        <f>VLOOKUP($A628,[1]maaltijden!$A$1:$IV$65536,22,FALSE)</f>
        <v>2200</v>
      </c>
      <c r="N628" s="135"/>
      <c r="O628" s="50"/>
      <c r="P628" s="19">
        <v>0</v>
      </c>
      <c r="Q628" s="20">
        <v>1</v>
      </c>
      <c r="R628" s="21">
        <v>0</v>
      </c>
      <c r="S628" s="19">
        <v>0</v>
      </c>
      <c r="T628" s="20">
        <v>1</v>
      </c>
      <c r="U628" s="19">
        <v>1</v>
      </c>
      <c r="V628" s="20">
        <v>1</v>
      </c>
      <c r="W628" s="20">
        <v>1</v>
      </c>
      <c r="X628" s="20">
        <v>1</v>
      </c>
      <c r="Y628" s="20">
        <v>1</v>
      </c>
      <c r="Z628" s="20">
        <v>0</v>
      </c>
      <c r="AA628" s="20">
        <v>0</v>
      </c>
      <c r="AB628" s="49">
        <v>0</v>
      </c>
      <c r="AC628" s="49">
        <v>0</v>
      </c>
      <c r="AD628" s="49">
        <v>0</v>
      </c>
      <c r="AE628" s="49">
        <v>0</v>
      </c>
      <c r="AF628" s="49">
        <v>0</v>
      </c>
      <c r="AG628" s="173">
        <v>0</v>
      </c>
      <c r="AH628" s="182">
        <v>1</v>
      </c>
      <c r="AI628" s="174"/>
      <c r="AJ628" s="174"/>
      <c r="AK628" s="174"/>
      <c r="AL628" s="175"/>
      <c r="AM628" s="19">
        <v>0</v>
      </c>
      <c r="AN628" s="20">
        <v>0</v>
      </c>
      <c r="AO628" s="20">
        <v>0</v>
      </c>
      <c r="AP628" s="20">
        <v>0</v>
      </c>
      <c r="AQ628" s="20">
        <v>1</v>
      </c>
      <c r="AR628" s="20">
        <v>0</v>
      </c>
      <c r="AS628" s="20">
        <v>0</v>
      </c>
      <c r="AT628" s="20">
        <v>1</v>
      </c>
      <c r="AU628" s="20">
        <v>0</v>
      </c>
      <c r="AV628" s="23">
        <v>0</v>
      </c>
      <c r="AW628" s="108">
        <v>1</v>
      </c>
      <c r="AX628" s="108">
        <v>0</v>
      </c>
      <c r="AY628" s="108">
        <v>1</v>
      </c>
      <c r="AZ628" s="108">
        <v>1</v>
      </c>
      <c r="BA628" s="114">
        <v>0</v>
      </c>
      <c r="BB628" s="20">
        <v>0</v>
      </c>
      <c r="BC628" s="113">
        <v>0</v>
      </c>
      <c r="BD628" s="200" t="str">
        <f>VLOOKUP($A628,'[3]allergenen 6nr'!$A$1:$O$1310,3,FALSE)</f>
        <v>-</v>
      </c>
      <c r="BE628" s="201" t="str">
        <f>VLOOKUP($A628,'[3]allergenen 6nr'!$A$1:$O$1310,4,FALSE)</f>
        <v>-</v>
      </c>
      <c r="BF628" s="201" t="str">
        <f>VLOOKUP($A628,'[3]allergenen 6nr'!$A$1:$O$1310,5,FALSE)</f>
        <v>-</v>
      </c>
      <c r="BG628" s="201" t="str">
        <f>VLOOKUP($A628,'[3]allergenen 6nr'!$A$1:$O$1310,6,FALSE)</f>
        <v>-</v>
      </c>
      <c r="BH628" s="201" t="str">
        <f>VLOOKUP($A628,'[3]allergenen 6nr'!$A$1:$O$1310,7,FALSE)</f>
        <v>+</v>
      </c>
      <c r="BI628" s="201" t="str">
        <f>VLOOKUP($A628,'[3]allergenen 6nr'!$A$1:$O$1310,8,FALSE)</f>
        <v>-</v>
      </c>
      <c r="BJ628" s="201" t="str">
        <f>VLOOKUP($A628,'[3]allergenen 6nr'!$A$1:$O$1310,9,FALSE)</f>
        <v>-</v>
      </c>
      <c r="BK628" s="201" t="str">
        <f>VLOOKUP($A628,'[3]allergenen 6nr'!$A$1:$O$1310,10,FALSE)</f>
        <v>-</v>
      </c>
      <c r="BL628" s="201" t="str">
        <f>VLOOKUP($A628,'[3]allergenen 6nr'!$A$1:$O$1310,11,FALSE)</f>
        <v>-</v>
      </c>
      <c r="BM628" s="201" t="str">
        <f>VLOOKUP($A628,'[3]allergenen 6nr'!$A$1:$O$1310,12,FALSE)</f>
        <v>-</v>
      </c>
      <c r="BN628" s="201" t="str">
        <f>VLOOKUP($A628,'[3]allergenen 6nr'!$A$1:$O$1310,13,FALSE)</f>
        <v>-</v>
      </c>
      <c r="BO628" s="201" t="str">
        <f>VLOOKUP($A628,'[3]allergenen 6nr'!$A$1:$O$1310,14,FALSE)</f>
        <v>-</v>
      </c>
      <c r="BP628" s="202" t="str">
        <f>VLOOKUP($A628,'[3]allergenen 6nr'!$A$1:$O$1310,15,FALSE)</f>
        <v>-</v>
      </c>
    </row>
    <row r="629" spans="1:68" x14ac:dyDescent="0.2">
      <c r="A629" s="89">
        <v>66901800</v>
      </c>
      <c r="B629" s="53" t="str">
        <f>VLOOKUP($A629,[1]maaltijden!$A$1:$IV$65536,4,FALSE)</f>
        <v>LIDL IE PT CH CZ AT FRIET CHEDDAR CHILI 280G(MIXED</v>
      </c>
      <c r="C629" s="46" t="str">
        <f>VLOOKUP($A629,[1]maaltijden!$A$1:$IV$65536,7,FALSE)</f>
        <v>AR 1150-8 white/white</v>
      </c>
      <c r="D629" s="22" t="str">
        <f>VLOOKUP($A629,[1]maaltijden!$A$1:$IV$65536,10,FALSE)</f>
        <v>H9 45mm</v>
      </c>
      <c r="E629" s="22" t="str">
        <f>VLOOKUP($A629,[1]maaltijden!$A$1:$IV$65536,13,FALSE)</f>
        <v>H10X18</v>
      </c>
      <c r="F629" s="20">
        <v>0</v>
      </c>
      <c r="G629" s="20" t="str">
        <f>VLOOKUP($A629,[1]maaltijden!$A$1:$IV$65536,27,FALSE)</f>
        <v>! !</v>
      </c>
      <c r="H629" s="22">
        <f>VLOOKUP($A629,[1]maaltijden!$A$1:$IV$65536,21,FALSE)</f>
        <v>6</v>
      </c>
      <c r="I629" s="22">
        <f>VLOOKUP($A629,[1]maaltijden!$A$1:$IV$65536,21,FALSE)</f>
        <v>6</v>
      </c>
      <c r="J629" s="22">
        <f>VLOOKUP($A629,[1]maaltijden!$A$1:$IV$65536,18,FALSE)</f>
        <v>2</v>
      </c>
      <c r="K629" s="22">
        <f>VLOOKUP($A629,[1]maaltijden!$A$1:$IV$65536,17,FALSE)</f>
        <v>1</v>
      </c>
      <c r="L629" s="22" t="s">
        <v>33</v>
      </c>
      <c r="M629" s="22">
        <f>VLOOKUP($A629,[1]maaltijden!$A$1:$IV$65536,22,FALSE)</f>
        <v>2200</v>
      </c>
      <c r="N629" s="135"/>
      <c r="O629" s="50"/>
      <c r="P629" s="19">
        <v>0</v>
      </c>
      <c r="Q629" s="20">
        <v>1</v>
      </c>
      <c r="R629" s="21">
        <v>0</v>
      </c>
      <c r="S629" s="19">
        <v>0</v>
      </c>
      <c r="T629" s="20">
        <v>1</v>
      </c>
      <c r="U629" s="19">
        <v>1</v>
      </c>
      <c r="V629" s="20">
        <v>1</v>
      </c>
      <c r="W629" s="20">
        <v>1</v>
      </c>
      <c r="X629" s="20">
        <v>1</v>
      </c>
      <c r="Y629" s="20">
        <v>1</v>
      </c>
      <c r="Z629" s="20">
        <v>0</v>
      </c>
      <c r="AA629" s="20">
        <v>0</v>
      </c>
      <c r="AB629" s="49">
        <v>0</v>
      </c>
      <c r="AC629" s="49">
        <v>0</v>
      </c>
      <c r="AD629" s="49">
        <v>0</v>
      </c>
      <c r="AE629" s="49">
        <v>0</v>
      </c>
      <c r="AF629" s="49">
        <v>0</v>
      </c>
      <c r="AG629" s="173">
        <v>0</v>
      </c>
      <c r="AH629" s="182">
        <v>1</v>
      </c>
      <c r="AI629" s="174"/>
      <c r="AJ629" s="174"/>
      <c r="AK629" s="174"/>
      <c r="AL629" s="175"/>
      <c r="AM629" s="19">
        <v>0</v>
      </c>
      <c r="AN629" s="20">
        <v>0</v>
      </c>
      <c r="AO629" s="20">
        <v>0</v>
      </c>
      <c r="AP629" s="20">
        <v>0</v>
      </c>
      <c r="AQ629" s="20">
        <v>1</v>
      </c>
      <c r="AR629" s="20">
        <v>0</v>
      </c>
      <c r="AS629" s="20">
        <v>0</v>
      </c>
      <c r="AT629" s="20">
        <v>1</v>
      </c>
      <c r="AU629" s="20">
        <v>0</v>
      </c>
      <c r="AV629" s="23">
        <v>0</v>
      </c>
      <c r="AW629" s="108">
        <v>1</v>
      </c>
      <c r="AX629" s="108">
        <v>0</v>
      </c>
      <c r="AY629" s="108">
        <v>1</v>
      </c>
      <c r="AZ629" s="108">
        <v>1</v>
      </c>
      <c r="BA629" s="114">
        <v>0</v>
      </c>
      <c r="BB629" s="20">
        <v>0</v>
      </c>
      <c r="BC629" s="113">
        <v>0</v>
      </c>
      <c r="BD629" s="200" t="str">
        <f>VLOOKUP($A629,'[3]allergenen 6nr'!$A$1:$O$1310,3,FALSE)</f>
        <v>-</v>
      </c>
      <c r="BE629" s="201" t="str">
        <f>VLOOKUP($A629,'[3]allergenen 6nr'!$A$1:$O$1310,4,FALSE)</f>
        <v>-</v>
      </c>
      <c r="BF629" s="201" t="str">
        <f>VLOOKUP($A629,'[3]allergenen 6nr'!$A$1:$O$1310,5,FALSE)</f>
        <v>-</v>
      </c>
      <c r="BG629" s="201" t="str">
        <f>VLOOKUP($A629,'[3]allergenen 6nr'!$A$1:$O$1310,6,FALSE)</f>
        <v>-</v>
      </c>
      <c r="BH629" s="201" t="str">
        <f>VLOOKUP($A629,'[3]allergenen 6nr'!$A$1:$O$1310,7,FALSE)</f>
        <v>+</v>
      </c>
      <c r="BI629" s="201" t="str">
        <f>VLOOKUP($A629,'[3]allergenen 6nr'!$A$1:$O$1310,8,FALSE)</f>
        <v>-</v>
      </c>
      <c r="BJ629" s="201" t="str">
        <f>VLOOKUP($A629,'[3]allergenen 6nr'!$A$1:$O$1310,9,FALSE)</f>
        <v>-</v>
      </c>
      <c r="BK629" s="201" t="str">
        <f>VLOOKUP($A629,'[3]allergenen 6nr'!$A$1:$O$1310,10,FALSE)</f>
        <v>-</v>
      </c>
      <c r="BL629" s="201" t="str">
        <f>VLOOKUP($A629,'[3]allergenen 6nr'!$A$1:$O$1310,11,FALSE)</f>
        <v>-</v>
      </c>
      <c r="BM629" s="201" t="str">
        <f>VLOOKUP($A629,'[3]allergenen 6nr'!$A$1:$O$1310,12,FALSE)</f>
        <v>-</v>
      </c>
      <c r="BN629" s="201" t="str">
        <f>VLOOKUP($A629,'[3]allergenen 6nr'!$A$1:$O$1310,13,FALSE)</f>
        <v>-</v>
      </c>
      <c r="BO629" s="201" t="str">
        <f>VLOOKUP($A629,'[3]allergenen 6nr'!$A$1:$O$1310,14,FALSE)</f>
        <v>-</v>
      </c>
      <c r="BP629" s="202" t="str">
        <f>VLOOKUP($A629,'[3]allergenen 6nr'!$A$1:$O$1310,15,FALSE)</f>
        <v>-</v>
      </c>
    </row>
    <row r="630" spans="1:68" x14ac:dyDescent="0.2">
      <c r="A630" s="89">
        <v>66901900</v>
      </c>
      <c r="B630" s="53" t="str">
        <f>VLOOKUP($A630,[1]maaltijden!$A$1:$IV$65536,4,FALSE)</f>
        <v>LIDL IE PT CH CZ AT FRIET BBQ PULLED CHICK280G(MIXED)</v>
      </c>
      <c r="C630" s="46" t="str">
        <f>VLOOKUP($A630,[1]maaltijden!$A$1:$IV$65536,7,FALSE)</f>
        <v>AR 1150-8 white/white</v>
      </c>
      <c r="D630" s="22" t="str">
        <f>VLOOKUP($A630,[1]maaltijden!$A$1:$IV$65536,10,FALSE)</f>
        <v>H9 45mm</v>
      </c>
      <c r="E630" s="22" t="str">
        <f>VLOOKUP($A630,[1]maaltijden!$A$1:$IV$65536,13,FALSE)</f>
        <v>H10X18</v>
      </c>
      <c r="F630" s="20">
        <v>0</v>
      </c>
      <c r="G630" s="20" t="str">
        <f>VLOOKUP($A630,[1]maaltijden!$A$1:$IV$65536,27,FALSE)</f>
        <v>-</v>
      </c>
      <c r="H630" s="22">
        <f>VLOOKUP($A630,[1]maaltijden!$A$1:$IV$65536,21,FALSE)</f>
        <v>6</v>
      </c>
      <c r="I630" s="22">
        <f>VLOOKUP($A630,[1]maaltijden!$A$1:$IV$65536,21,FALSE)</f>
        <v>6</v>
      </c>
      <c r="J630" s="22">
        <f>VLOOKUP($A630,[1]maaltijden!$A$1:$IV$65536,18,FALSE)</f>
        <v>2</v>
      </c>
      <c r="K630" s="22">
        <f>VLOOKUP($A630,[1]maaltijden!$A$1:$IV$65536,17,FALSE)</f>
        <v>1</v>
      </c>
      <c r="L630" s="22" t="s">
        <v>33</v>
      </c>
      <c r="M630" s="22">
        <f>VLOOKUP($A630,[1]maaltijden!$A$1:$IV$65536,22,FALSE)</f>
        <v>2200</v>
      </c>
      <c r="N630" s="135"/>
      <c r="O630" s="50"/>
      <c r="P630" s="19">
        <v>0</v>
      </c>
      <c r="Q630" s="20">
        <v>1</v>
      </c>
      <c r="R630" s="21">
        <v>0</v>
      </c>
      <c r="S630" s="19">
        <v>0</v>
      </c>
      <c r="T630" s="20">
        <v>1</v>
      </c>
      <c r="U630" s="19">
        <v>1</v>
      </c>
      <c r="V630" s="20">
        <v>1</v>
      </c>
      <c r="W630" s="20">
        <v>1</v>
      </c>
      <c r="X630" s="20">
        <v>1</v>
      </c>
      <c r="Y630" s="20">
        <v>1</v>
      </c>
      <c r="Z630" s="20">
        <v>0</v>
      </c>
      <c r="AA630" s="20">
        <v>0</v>
      </c>
      <c r="AB630" s="49">
        <v>0</v>
      </c>
      <c r="AC630" s="49">
        <v>0</v>
      </c>
      <c r="AD630" s="49">
        <v>0</v>
      </c>
      <c r="AE630" s="49">
        <v>1</v>
      </c>
      <c r="AF630" s="49">
        <v>0</v>
      </c>
      <c r="AG630" s="173">
        <v>0</v>
      </c>
      <c r="AH630" s="182">
        <v>1</v>
      </c>
      <c r="AI630" s="174"/>
      <c r="AJ630" s="174"/>
      <c r="AK630" s="174"/>
      <c r="AL630" s="175"/>
      <c r="AM630" s="19">
        <v>0</v>
      </c>
      <c r="AN630" s="20">
        <v>0</v>
      </c>
      <c r="AO630" s="20">
        <v>0</v>
      </c>
      <c r="AP630" s="20">
        <v>0</v>
      </c>
      <c r="AQ630" s="20">
        <v>1</v>
      </c>
      <c r="AR630" s="20">
        <v>0</v>
      </c>
      <c r="AS630" s="20">
        <v>0</v>
      </c>
      <c r="AT630" s="20">
        <v>1</v>
      </c>
      <c r="AU630" s="20">
        <v>0</v>
      </c>
      <c r="AV630" s="23">
        <v>0</v>
      </c>
      <c r="AW630" s="108">
        <v>1</v>
      </c>
      <c r="AX630" s="108">
        <v>0</v>
      </c>
      <c r="AY630" s="108">
        <v>1</v>
      </c>
      <c r="AZ630" s="108">
        <v>1</v>
      </c>
      <c r="BA630" s="114">
        <v>0</v>
      </c>
      <c r="BB630" s="20">
        <v>0</v>
      </c>
      <c r="BC630" s="113">
        <v>0</v>
      </c>
      <c r="BD630" s="200" t="str">
        <f>VLOOKUP($A630,'[3]allergenen 6nr'!$A$1:$O$1310,3,FALSE)</f>
        <v>-</v>
      </c>
      <c r="BE630" s="201" t="str">
        <f>VLOOKUP($A630,'[3]allergenen 6nr'!$A$1:$O$1310,4,FALSE)</f>
        <v>-</v>
      </c>
      <c r="BF630" s="201" t="str">
        <f>VLOOKUP($A630,'[3]allergenen 6nr'!$A$1:$O$1310,5,FALSE)</f>
        <v>-</v>
      </c>
      <c r="BG630" s="201" t="str">
        <f>VLOOKUP($A630,'[3]allergenen 6nr'!$A$1:$O$1310,6,FALSE)</f>
        <v>-</v>
      </c>
      <c r="BH630" s="201" t="str">
        <f>VLOOKUP($A630,'[3]allergenen 6nr'!$A$1:$O$1310,7,FALSE)</f>
        <v>-</v>
      </c>
      <c r="BI630" s="201" t="str">
        <f>VLOOKUP($A630,'[3]allergenen 6nr'!$A$1:$O$1310,8,FALSE)</f>
        <v>-</v>
      </c>
      <c r="BJ630" s="201" t="str">
        <f>VLOOKUP($A630,'[3]allergenen 6nr'!$A$1:$O$1310,9,FALSE)</f>
        <v>-</v>
      </c>
      <c r="BK630" s="201" t="str">
        <f>VLOOKUP($A630,'[3]allergenen 6nr'!$A$1:$O$1310,10,FALSE)</f>
        <v>-</v>
      </c>
      <c r="BL630" s="201" t="str">
        <f>VLOOKUP($A630,'[3]allergenen 6nr'!$A$1:$O$1310,11,FALSE)</f>
        <v>-</v>
      </c>
      <c r="BM630" s="201" t="str">
        <f>VLOOKUP($A630,'[3]allergenen 6nr'!$A$1:$O$1310,12,FALSE)</f>
        <v>-</v>
      </c>
      <c r="BN630" s="201" t="str">
        <f>VLOOKUP($A630,'[3]allergenen 6nr'!$A$1:$O$1310,13,FALSE)</f>
        <v>-</v>
      </c>
      <c r="BO630" s="201" t="str">
        <f>VLOOKUP($A630,'[3]allergenen 6nr'!$A$1:$O$1310,14,FALSE)</f>
        <v>-</v>
      </c>
      <c r="BP630" s="202" t="str">
        <f>VLOOKUP($A630,'[3]allergenen 6nr'!$A$1:$O$1310,15,FALSE)</f>
        <v>-</v>
      </c>
    </row>
    <row r="631" spans="1:68" x14ac:dyDescent="0.2">
      <c r="A631" s="89">
        <v>67100100</v>
      </c>
      <c r="B631" s="53" t="str">
        <f>VLOOKUP($A631,[1]maaltijden!$A$1:$IV$65536,4,FALSE)</f>
        <v>PICARD BUDDHA BOWL SATE RISOTTO GR MIX V-LABEL350G</v>
      </c>
      <c r="C631" s="46" t="str">
        <f>VLOOKUP($A631,[1]maaltijden!$A$1:$IV$65536,7,FALSE)</f>
        <v>KRAFT ROND</v>
      </c>
      <c r="D631" s="22" t="str">
        <f>VLOOKUP($A631,[1]maaltijden!$A$1:$IV$65536,10,FALSE)</f>
        <v>S16</v>
      </c>
      <c r="E631" s="22" t="str">
        <f>VLOOKUP($A631,[1]maaltijden!$A$1:$IV$65536,13,FALSE)</f>
        <v>H/S16X8</v>
      </c>
      <c r="F631" s="20">
        <v>0</v>
      </c>
      <c r="G631" s="20" t="str">
        <f>VLOOKUP($A631,[1]maaltijden!$A$1:$IV$65536,27,FALSE)</f>
        <v>X</v>
      </c>
      <c r="H631" s="22">
        <f>VLOOKUP($A631,[1]maaltijden!$A$1:$IV$65536,21,FALSE)</f>
        <v>8</v>
      </c>
      <c r="I631" s="22">
        <f>VLOOKUP($A631,[1]maaltijden!$A$1:$IV$65536,21,FALSE)</f>
        <v>8</v>
      </c>
      <c r="J631" s="22">
        <f>VLOOKUP($A631,[1]maaltijden!$A$1:$IV$65536,18,FALSE)</f>
        <v>8</v>
      </c>
      <c r="K631" s="22">
        <f>VLOOKUP($A631,[1]maaltijden!$A$1:$IV$65536,17,FALSE)</f>
        <v>3</v>
      </c>
      <c r="L631" s="22" t="s">
        <v>33</v>
      </c>
      <c r="M631" s="22">
        <f>VLOOKUP($A631,[1]maaltijden!$A$1:$IV$65536,22,FALSE)</f>
        <v>1800</v>
      </c>
      <c r="N631" s="135" t="s">
        <v>377</v>
      </c>
      <c r="O631" s="50"/>
      <c r="P631" s="19">
        <v>0</v>
      </c>
      <c r="Q631" s="20">
        <v>1</v>
      </c>
      <c r="R631" s="21">
        <v>0</v>
      </c>
      <c r="S631" s="19">
        <v>0</v>
      </c>
      <c r="T631" s="20">
        <v>1</v>
      </c>
      <c r="U631" s="19">
        <v>0</v>
      </c>
      <c r="V631" s="20">
        <v>0</v>
      </c>
      <c r="W631" s="20">
        <v>0</v>
      </c>
      <c r="X631" s="20">
        <v>0</v>
      </c>
      <c r="Y631" s="20">
        <v>1</v>
      </c>
      <c r="Z631" s="20">
        <v>0</v>
      </c>
      <c r="AA631" s="11">
        <v>0</v>
      </c>
      <c r="AB631" s="20">
        <v>0</v>
      </c>
      <c r="AC631" s="49">
        <v>1</v>
      </c>
      <c r="AD631" s="49">
        <v>1</v>
      </c>
      <c r="AE631" s="49">
        <v>0</v>
      </c>
      <c r="AF631" s="49">
        <v>0</v>
      </c>
      <c r="AG631" s="184">
        <v>1</v>
      </c>
      <c r="AH631" s="182">
        <v>1</v>
      </c>
      <c r="AI631" s="182">
        <v>1</v>
      </c>
      <c r="AJ631" s="182">
        <v>0</v>
      </c>
      <c r="AK631" s="182">
        <v>0</v>
      </c>
      <c r="AL631" s="183">
        <v>0</v>
      </c>
      <c r="AM631" s="19">
        <v>0</v>
      </c>
      <c r="AN631" s="20">
        <v>0</v>
      </c>
      <c r="AO631" s="20">
        <v>0</v>
      </c>
      <c r="AP631" s="20">
        <v>0</v>
      </c>
      <c r="AQ631" s="20">
        <v>1</v>
      </c>
      <c r="AR631" s="20">
        <v>0</v>
      </c>
      <c r="AS631" s="20">
        <v>0</v>
      </c>
      <c r="AT631" s="20">
        <v>1</v>
      </c>
      <c r="AU631" s="20">
        <v>0</v>
      </c>
      <c r="AV631" s="23">
        <v>0</v>
      </c>
      <c r="AW631" s="108">
        <v>0</v>
      </c>
      <c r="AX631" s="108">
        <v>0</v>
      </c>
      <c r="AY631" s="108">
        <v>0</v>
      </c>
      <c r="AZ631" s="108"/>
      <c r="BA631" s="114">
        <v>1</v>
      </c>
      <c r="BB631" s="20">
        <v>0</v>
      </c>
      <c r="BC631" s="113">
        <v>0</v>
      </c>
      <c r="BD631" s="200" t="str">
        <f>VLOOKUP($A631,'[3]allergenen 6nr'!$A$1:$O$1310,3,FALSE)</f>
        <v>+</v>
      </c>
      <c r="BE631" s="201" t="str">
        <f>VLOOKUP($A631,'[3]allergenen 6nr'!$A$1:$O$1310,4,FALSE)</f>
        <v>-</v>
      </c>
      <c r="BF631" s="201" t="str">
        <f>VLOOKUP($A631,'[3]allergenen 6nr'!$A$1:$O$1310,5,FALSE)</f>
        <v>-</v>
      </c>
      <c r="BG631" s="201" t="str">
        <f>VLOOKUP($A631,'[3]allergenen 6nr'!$A$1:$O$1310,6,FALSE)</f>
        <v>-</v>
      </c>
      <c r="BH631" s="201" t="str">
        <f>VLOOKUP($A631,'[3]allergenen 6nr'!$A$1:$O$1310,7,FALSE)</f>
        <v>-</v>
      </c>
      <c r="BI631" s="201" t="str">
        <f>VLOOKUP($A631,'[3]allergenen 6nr'!$A$1:$O$1310,8,FALSE)</f>
        <v>-</v>
      </c>
      <c r="BJ631" s="201" t="str">
        <f>VLOOKUP($A631,'[3]allergenen 6nr'!$A$1:$O$1310,9,FALSE)</f>
        <v>-</v>
      </c>
      <c r="BK631" s="201" t="str">
        <f>VLOOKUP($A631,'[3]allergenen 6nr'!$A$1:$O$1310,10,FALSE)</f>
        <v>-</v>
      </c>
      <c r="BL631" s="201" t="str">
        <f>VLOOKUP($A631,'[3]allergenen 6nr'!$A$1:$O$1310,11,FALSE)</f>
        <v>-</v>
      </c>
      <c r="BM631" s="201" t="str">
        <f>VLOOKUP($A631,'[3]allergenen 6nr'!$A$1:$O$1310,12,FALSE)</f>
        <v>+</v>
      </c>
      <c r="BN631" s="201" t="str">
        <f>VLOOKUP($A631,'[3]allergenen 6nr'!$A$1:$O$1310,13,FALSE)</f>
        <v>+</v>
      </c>
      <c r="BO631" s="201" t="str">
        <f>VLOOKUP($A631,'[3]allergenen 6nr'!$A$1:$O$1310,14,FALSE)</f>
        <v>-</v>
      </c>
      <c r="BP631" s="202" t="str">
        <f>VLOOKUP($A631,'[3]allergenen 6nr'!$A$1:$O$1310,15,FALSE)</f>
        <v>-</v>
      </c>
    </row>
    <row r="632" spans="1:68" x14ac:dyDescent="0.2">
      <c r="A632" s="89">
        <v>67110100</v>
      </c>
      <c r="B632" s="53" t="str">
        <f>VLOOKUP($A632,[1]maaltijden!$A$1:$IV$65536,4,FALSE)</f>
        <v>LIDL CH SE DK FR LV LT RUND PHO SOEP 400G (MIXED)</v>
      </c>
      <c r="C632" s="46" t="str">
        <f>VLOOKUP($A632,[1]maaltijden!$A$1:$IV$65536,7,FALSE)</f>
        <v>KRAFT ROND</v>
      </c>
      <c r="D632" s="22" t="str">
        <f>VLOOKUP($A632,[1]maaltijden!$A$1:$IV$65536,10,FALSE)</f>
        <v>H16</v>
      </c>
      <c r="E632" s="22" t="str">
        <f>VLOOKUP($A632,[1]maaltijden!$A$1:$IV$65536,13,FALSE)</f>
        <v>H/S16X8</v>
      </c>
      <c r="F632" s="20">
        <v>0</v>
      </c>
      <c r="G632" s="20" t="str">
        <f>VLOOKUP($A632,[1]maaltijden!$A$1:$IV$65536,27,FALSE)</f>
        <v>! ! ! !</v>
      </c>
      <c r="H632" s="22">
        <f>VLOOKUP($A632,[1]maaltijden!$A$1:$IV$65536,21,FALSE)</f>
        <v>5</v>
      </c>
      <c r="I632" s="22">
        <f>VLOOKUP($A632,[1]maaltijden!$A$1:$IV$65536,21,FALSE)</f>
        <v>5</v>
      </c>
      <c r="J632" s="22">
        <f>VLOOKUP($A632,[1]maaltijden!$A$1:$IV$65536,18,FALSE)</f>
        <v>2</v>
      </c>
      <c r="K632" s="22">
        <f>VLOOKUP($A632,[1]maaltijden!$A$1:$IV$65536,17,FALSE)</f>
        <v>3</v>
      </c>
      <c r="L632" s="22">
        <f>VLOOKUP($A632,[1]maaltijden!$A$1:$IV$65536,20,FALSE)</f>
        <v>3000</v>
      </c>
      <c r="M632" s="22">
        <f>VLOOKUP($A632,[1]maaltijden!$A$1:$IV$65536,22,FALSE)</f>
        <v>3000</v>
      </c>
      <c r="N632" s="135" t="s">
        <v>388</v>
      </c>
      <c r="O632" s="50" t="s">
        <v>526</v>
      </c>
      <c r="P632" s="19">
        <v>1</v>
      </c>
      <c r="Q632" s="20">
        <v>0</v>
      </c>
      <c r="R632" s="21">
        <v>0</v>
      </c>
      <c r="S632" s="19">
        <v>1</v>
      </c>
      <c r="T632" s="20">
        <v>0</v>
      </c>
      <c r="U632" s="19">
        <v>0</v>
      </c>
      <c r="V632" s="20">
        <v>1</v>
      </c>
      <c r="W632" s="20">
        <v>1</v>
      </c>
      <c r="X632" s="20">
        <v>1</v>
      </c>
      <c r="Y632" s="20">
        <v>1</v>
      </c>
      <c r="Z632" s="20">
        <v>0</v>
      </c>
      <c r="AA632" s="20">
        <v>0</v>
      </c>
      <c r="AB632" s="49">
        <v>1</v>
      </c>
      <c r="AC632" s="49">
        <v>0</v>
      </c>
      <c r="AD632" s="49">
        <v>0</v>
      </c>
      <c r="AE632" s="49">
        <v>1</v>
      </c>
      <c r="AF632" s="49">
        <v>0</v>
      </c>
      <c r="AG632" s="184">
        <v>1</v>
      </c>
      <c r="AH632" s="182">
        <v>0</v>
      </c>
      <c r="AI632" s="182">
        <v>1</v>
      </c>
      <c r="AJ632" s="182">
        <v>1</v>
      </c>
      <c r="AK632" s="182">
        <v>0</v>
      </c>
      <c r="AL632" s="183">
        <v>1</v>
      </c>
      <c r="AM632" s="19">
        <v>1</v>
      </c>
      <c r="AN632" s="20">
        <v>0</v>
      </c>
      <c r="AO632" s="20">
        <v>0</v>
      </c>
      <c r="AP632" s="20">
        <v>0</v>
      </c>
      <c r="AQ632" s="20">
        <v>2</v>
      </c>
      <c r="AR632" s="20">
        <v>0</v>
      </c>
      <c r="AS632" s="20">
        <v>1</v>
      </c>
      <c r="AT632" s="20">
        <v>0</v>
      </c>
      <c r="AU632" s="20">
        <v>0</v>
      </c>
      <c r="AV632" s="23">
        <v>0</v>
      </c>
      <c r="AW632" s="108">
        <v>1</v>
      </c>
      <c r="AX632" s="108">
        <v>0</v>
      </c>
      <c r="AY632" s="108">
        <v>1</v>
      </c>
      <c r="AZ632" s="108"/>
      <c r="BA632" s="114">
        <v>0</v>
      </c>
      <c r="BB632" s="20">
        <v>0</v>
      </c>
      <c r="BC632" s="113">
        <v>1</v>
      </c>
      <c r="BD632" s="200" t="str">
        <f>VLOOKUP($A632,'[3]allergenen 6nr'!$A$1:$O$1310,3,FALSE)</f>
        <v>-</v>
      </c>
      <c r="BE632" s="201" t="str">
        <f>VLOOKUP($A632,'[3]allergenen 6nr'!$A$1:$O$1310,4,FALSE)</f>
        <v>-</v>
      </c>
      <c r="BF632" s="201" t="str">
        <f>VLOOKUP($A632,'[3]allergenen 6nr'!$A$1:$O$1310,5,FALSE)</f>
        <v>+</v>
      </c>
      <c r="BG632" s="201" t="str">
        <f>VLOOKUP($A632,'[3]allergenen 6nr'!$A$1:$O$1310,6,FALSE)</f>
        <v>-</v>
      </c>
      <c r="BH632" s="201" t="str">
        <f>VLOOKUP($A632,'[3]allergenen 6nr'!$A$1:$O$1310,7,FALSE)</f>
        <v>X</v>
      </c>
      <c r="BI632" s="201" t="str">
        <f>VLOOKUP($A632,'[3]allergenen 6nr'!$A$1:$O$1310,8,FALSE)</f>
        <v>X</v>
      </c>
      <c r="BJ632" s="201" t="str">
        <f>VLOOKUP($A632,'[3]allergenen 6nr'!$A$1:$O$1310,9,FALSE)</f>
        <v>-</v>
      </c>
      <c r="BK632" s="201" t="str">
        <f>VLOOKUP($A632,'[3]allergenen 6nr'!$A$1:$O$1310,10,FALSE)</f>
        <v>-</v>
      </c>
      <c r="BL632" s="201" t="str">
        <f>VLOOKUP($A632,'[3]allergenen 6nr'!$A$1:$O$1310,11,FALSE)</f>
        <v>X</v>
      </c>
      <c r="BM632" s="201" t="str">
        <f>VLOOKUP($A632,'[3]allergenen 6nr'!$A$1:$O$1310,12,FALSE)</f>
        <v>-</v>
      </c>
      <c r="BN632" s="201" t="str">
        <f>VLOOKUP($A632,'[3]allergenen 6nr'!$A$1:$O$1310,13,FALSE)</f>
        <v>X</v>
      </c>
      <c r="BO632" s="201" t="str">
        <f>VLOOKUP($A632,'[3]allergenen 6nr'!$A$1:$O$1310,14,FALSE)</f>
        <v>+</v>
      </c>
      <c r="BP632" s="202" t="str">
        <f>VLOOKUP($A632,'[3]allergenen 6nr'!$A$1:$O$1310,15,FALSE)</f>
        <v>-</v>
      </c>
    </row>
    <row r="633" spans="1:68" x14ac:dyDescent="0.2">
      <c r="A633" s="126">
        <v>67110200</v>
      </c>
      <c r="B633" s="53" t="str">
        <f>VLOOKUP($A633,[1]maaltijden!$A$1:$IV$65536,4,FALSE)</f>
        <v>LIDL CH SE DK FR LV LT KIP TOM KHAI SOEP 400G (MIXED)</v>
      </c>
      <c r="C633" s="46" t="str">
        <f>VLOOKUP($A633,[1]maaltijden!$A$1:$IV$65536,7,FALSE)</f>
        <v>KRAFT ROND</v>
      </c>
      <c r="D633" s="22" t="str">
        <f>VLOOKUP($A633,[1]maaltijden!$A$1:$IV$65536,10,FALSE)</f>
        <v>H16</v>
      </c>
      <c r="E633" s="22" t="str">
        <f>VLOOKUP($A633,[1]maaltijden!$A$1:$IV$65536,13,FALSE)</f>
        <v>H/S16X8</v>
      </c>
      <c r="F633" s="20">
        <v>0</v>
      </c>
      <c r="G633" s="20" t="str">
        <f>VLOOKUP($A633,[1]maaltijden!$A$1:$IV$65536,27,FALSE)</f>
        <v>! ! ! ! !</v>
      </c>
      <c r="H633" s="22">
        <f>VLOOKUP($A633,[1]maaltijden!$A$1:$IV$65536,21,FALSE)</f>
        <v>5</v>
      </c>
      <c r="I633" s="22">
        <f>VLOOKUP($A633,[1]maaltijden!$A$1:$IV$65536,21,FALSE)</f>
        <v>5</v>
      </c>
      <c r="J633" s="22">
        <f>VLOOKUP($A633,[1]maaltijden!$A$1:$IV$65536,18,FALSE)</f>
        <v>2</v>
      </c>
      <c r="K633" s="22">
        <f>VLOOKUP($A633,[1]maaltijden!$A$1:$IV$65536,17,FALSE)</f>
        <v>3</v>
      </c>
      <c r="L633" s="22">
        <f>VLOOKUP($A633,[1]maaltijden!$A$1:$IV$65536,20,FALSE)</f>
        <v>3000</v>
      </c>
      <c r="M633" s="22">
        <f>VLOOKUP($A633,[1]maaltijden!$A$1:$IV$65536,22,FALSE)</f>
        <v>3000</v>
      </c>
      <c r="N633" s="135" t="s">
        <v>388</v>
      </c>
      <c r="O633" s="50" t="s">
        <v>527</v>
      </c>
      <c r="P633" s="19">
        <v>1</v>
      </c>
      <c r="Q633" s="20">
        <v>0</v>
      </c>
      <c r="R633" s="21">
        <v>0</v>
      </c>
      <c r="S633" s="19">
        <v>1</v>
      </c>
      <c r="T633" s="20">
        <v>0</v>
      </c>
      <c r="U633" s="19">
        <v>1</v>
      </c>
      <c r="V633" s="20">
        <v>1</v>
      </c>
      <c r="W633" s="20">
        <v>1</v>
      </c>
      <c r="X633" s="20">
        <v>1</v>
      </c>
      <c r="Y633" s="20">
        <v>1</v>
      </c>
      <c r="Z633" s="20">
        <v>1</v>
      </c>
      <c r="AA633" s="20">
        <v>1</v>
      </c>
      <c r="AB633" s="49">
        <v>0</v>
      </c>
      <c r="AC633" s="49">
        <v>0</v>
      </c>
      <c r="AD633" s="49">
        <v>0</v>
      </c>
      <c r="AE633" s="49">
        <v>0</v>
      </c>
      <c r="AF633" s="49">
        <v>0</v>
      </c>
      <c r="AG633" s="173">
        <v>1</v>
      </c>
      <c r="AH633" s="170"/>
      <c r="AI633" s="170"/>
      <c r="AJ633" s="170"/>
      <c r="AK633" s="170"/>
      <c r="AL633" s="172"/>
      <c r="AM633" s="19">
        <v>1</v>
      </c>
      <c r="AN633" s="20">
        <v>0</v>
      </c>
      <c r="AO633" s="20">
        <v>0</v>
      </c>
      <c r="AP633" s="20">
        <v>0</v>
      </c>
      <c r="AQ633" s="20">
        <v>2</v>
      </c>
      <c r="AR633" s="20">
        <v>0</v>
      </c>
      <c r="AS633" s="20">
        <v>1</v>
      </c>
      <c r="AT633" s="20">
        <v>0</v>
      </c>
      <c r="AU633" s="20">
        <v>0</v>
      </c>
      <c r="AV633" s="23">
        <v>0</v>
      </c>
      <c r="AW633" s="108">
        <v>1</v>
      </c>
      <c r="AX633" s="108">
        <v>0</v>
      </c>
      <c r="AY633" s="108">
        <v>1</v>
      </c>
      <c r="AZ633" s="108"/>
      <c r="BA633" s="114">
        <v>0</v>
      </c>
      <c r="BB633" s="20">
        <v>0</v>
      </c>
      <c r="BC633" s="113">
        <v>1</v>
      </c>
      <c r="BD633" s="200" t="str">
        <f>VLOOKUP($A633,'[3]allergenen 6nr'!$A$1:$O$1310,3,FALSE)</f>
        <v>-</v>
      </c>
      <c r="BE633" s="201" t="str">
        <f>VLOOKUP($A633,'[3]allergenen 6nr'!$A$1:$O$1310,4,FALSE)</f>
        <v>X</v>
      </c>
      <c r="BF633" s="201" t="str">
        <f>VLOOKUP($A633,'[3]allergenen 6nr'!$A$1:$O$1310,5,FALSE)</f>
        <v>+</v>
      </c>
      <c r="BG633" s="201" t="str">
        <f>VLOOKUP($A633,'[3]allergenen 6nr'!$A$1:$O$1310,6,FALSE)</f>
        <v>X</v>
      </c>
      <c r="BH633" s="201" t="str">
        <f>VLOOKUP($A633,'[3]allergenen 6nr'!$A$1:$O$1310,7,FALSE)</f>
        <v>+</v>
      </c>
      <c r="BI633" s="201" t="str">
        <f>VLOOKUP($A633,'[3]allergenen 6nr'!$A$1:$O$1310,8,FALSE)</f>
        <v>X</v>
      </c>
      <c r="BJ633" s="201" t="str">
        <f>VLOOKUP($A633,'[3]allergenen 6nr'!$A$1:$O$1310,9,FALSE)</f>
        <v>-</v>
      </c>
      <c r="BK633" s="201" t="str">
        <f>VLOOKUP($A633,'[3]allergenen 6nr'!$A$1:$O$1310,10,FALSE)</f>
        <v>-</v>
      </c>
      <c r="BL633" s="201" t="str">
        <f>VLOOKUP($A633,'[3]allergenen 6nr'!$A$1:$O$1310,11,FALSE)</f>
        <v>+</v>
      </c>
      <c r="BM633" s="201" t="str">
        <f>VLOOKUP($A633,'[3]allergenen 6nr'!$A$1:$O$1310,12,FALSE)</f>
        <v>+</v>
      </c>
      <c r="BN633" s="201" t="str">
        <f>VLOOKUP($A633,'[3]allergenen 6nr'!$A$1:$O$1310,13,FALSE)</f>
        <v>+</v>
      </c>
      <c r="BO633" s="201" t="str">
        <f>VLOOKUP($A633,'[3]allergenen 6nr'!$A$1:$O$1310,14,FALSE)</f>
        <v>-</v>
      </c>
      <c r="BP633" s="202" t="str">
        <f>VLOOKUP($A633,'[3]allergenen 6nr'!$A$1:$O$1310,15,FALSE)</f>
        <v>-</v>
      </c>
    </row>
    <row r="634" spans="1:68" x14ac:dyDescent="0.2">
      <c r="A634" s="89">
        <v>67110300</v>
      </c>
      <c r="B634" s="53" t="str">
        <f>VLOOKUP($A634,[1]maaltijden!$A$1:$IV$65536,4,FALSE)</f>
        <v>LIDL CH IE NI FR BE RUND PHO SOEP 400G (MIXED)</v>
      </c>
      <c r="C634" s="46" t="str">
        <f>VLOOKUP($A634,[1]maaltijden!$A$1:$IV$65536,7,FALSE)</f>
        <v>KRAFT ROND</v>
      </c>
      <c r="D634" s="22" t="str">
        <f>VLOOKUP($A634,[1]maaltijden!$A$1:$IV$65536,10,FALSE)</f>
        <v>H16</v>
      </c>
      <c r="E634" s="22" t="str">
        <f>VLOOKUP($A634,[1]maaltijden!$A$1:$IV$65536,13,FALSE)</f>
        <v>H/S16X8</v>
      </c>
      <c r="F634" s="20">
        <v>1</v>
      </c>
      <c r="G634" s="20" t="str">
        <f>VLOOKUP($A634,[1]maaltijden!$A$1:$IV$65536,27,FALSE)</f>
        <v>! ! ! !</v>
      </c>
      <c r="H634" s="22">
        <f>VLOOKUP($A634,[1]maaltijden!$A$1:$IV$65536,21,FALSE)</f>
        <v>5</v>
      </c>
      <c r="I634" s="22">
        <f>VLOOKUP($A634,[1]maaltijden!$A$1:$IV$65536,21,FALSE)</f>
        <v>5</v>
      </c>
      <c r="J634" s="22">
        <f>VLOOKUP($A634,[1]maaltijden!$A$1:$IV$65536,18,FALSE)</f>
        <v>2</v>
      </c>
      <c r="K634" s="22">
        <f>VLOOKUP($A634,[1]maaltijden!$A$1:$IV$65536,17,FALSE)</f>
        <v>3</v>
      </c>
      <c r="L634" s="22">
        <f>VLOOKUP($A634,[1]maaltijden!$A$1:$IV$65536,20,FALSE)</f>
        <v>3000</v>
      </c>
      <c r="M634" s="22">
        <f>VLOOKUP($A634,[1]maaltijden!$A$1:$IV$65536,22,FALSE)</f>
        <v>3000</v>
      </c>
      <c r="N634" s="135"/>
      <c r="O634" s="50" t="s">
        <v>528</v>
      </c>
      <c r="P634" s="19">
        <v>1</v>
      </c>
      <c r="Q634" s="20">
        <v>0</v>
      </c>
      <c r="R634" s="21">
        <v>0</v>
      </c>
      <c r="S634" s="19">
        <v>1</v>
      </c>
      <c r="T634" s="20">
        <v>0</v>
      </c>
      <c r="U634" s="19">
        <v>0</v>
      </c>
      <c r="V634" s="20">
        <v>1</v>
      </c>
      <c r="W634" s="20">
        <v>1</v>
      </c>
      <c r="X634" s="20">
        <v>1</v>
      </c>
      <c r="Y634" s="20">
        <v>1</v>
      </c>
      <c r="Z634" s="20">
        <v>0</v>
      </c>
      <c r="AA634" s="20">
        <v>0</v>
      </c>
      <c r="AB634" s="49">
        <v>1</v>
      </c>
      <c r="AC634" s="49">
        <v>0</v>
      </c>
      <c r="AD634" s="49">
        <v>0</v>
      </c>
      <c r="AE634" s="49">
        <v>1</v>
      </c>
      <c r="AF634" s="49">
        <v>0</v>
      </c>
      <c r="AG634" s="184">
        <v>1</v>
      </c>
      <c r="AH634" s="182">
        <v>0</v>
      </c>
      <c r="AI634" s="182">
        <v>1</v>
      </c>
      <c r="AJ634" s="182">
        <v>1</v>
      </c>
      <c r="AK634" s="182">
        <v>0</v>
      </c>
      <c r="AL634" s="183">
        <v>1</v>
      </c>
      <c r="AM634" s="19">
        <v>1</v>
      </c>
      <c r="AN634" s="20">
        <v>0</v>
      </c>
      <c r="AO634" s="20">
        <v>0</v>
      </c>
      <c r="AP634" s="20">
        <v>0</v>
      </c>
      <c r="AQ634" s="20">
        <v>2</v>
      </c>
      <c r="AR634" s="20">
        <v>0</v>
      </c>
      <c r="AS634" s="20">
        <v>1</v>
      </c>
      <c r="AT634" s="20">
        <v>0</v>
      </c>
      <c r="AU634" s="20">
        <v>0</v>
      </c>
      <c r="AV634" s="23">
        <v>0</v>
      </c>
      <c r="AW634" s="108">
        <v>1</v>
      </c>
      <c r="AX634" s="108">
        <v>0</v>
      </c>
      <c r="AY634" s="108">
        <v>1</v>
      </c>
      <c r="AZ634" s="108"/>
      <c r="BA634" s="114">
        <v>0</v>
      </c>
      <c r="BB634" s="20">
        <v>0</v>
      </c>
      <c r="BC634" s="113">
        <v>1</v>
      </c>
      <c r="BD634" s="200"/>
      <c r="BE634" s="201"/>
      <c r="BF634" s="201"/>
      <c r="BG634" s="201"/>
      <c r="BH634" s="201"/>
      <c r="BI634" s="201"/>
      <c r="BJ634" s="201"/>
      <c r="BK634" s="201"/>
      <c r="BL634" s="201"/>
      <c r="BM634" s="201"/>
      <c r="BN634" s="201"/>
      <c r="BO634" s="201"/>
      <c r="BP634" s="202"/>
    </row>
    <row r="635" spans="1:68" x14ac:dyDescent="0.2">
      <c r="A635" s="126">
        <v>67110400</v>
      </c>
      <c r="B635" s="53" t="str">
        <f>VLOOKUP($A635,[1]maaltijden!$A$1:$IV$65536,4,FALSE)</f>
        <v>LIDL CH IE NI FR BE KIP TOM KHAI SOEP 400G (MIXED)</v>
      </c>
      <c r="C635" s="46" t="str">
        <f>VLOOKUP($A635,[1]maaltijden!$A$1:$IV$65536,7,FALSE)</f>
        <v>KRAFT ROND</v>
      </c>
      <c r="D635" s="22" t="str">
        <f>VLOOKUP($A635,[1]maaltijden!$A$1:$IV$65536,10,FALSE)</f>
        <v>H16</v>
      </c>
      <c r="E635" s="22" t="str">
        <f>VLOOKUP($A635,[1]maaltijden!$A$1:$IV$65536,13,FALSE)</f>
        <v>H/S16X8</v>
      </c>
      <c r="F635" s="20">
        <v>2</v>
      </c>
      <c r="G635" s="20" t="str">
        <f>VLOOKUP($A635,[1]maaltijden!$A$1:$IV$65536,27,FALSE)</f>
        <v>! ! ! ! !</v>
      </c>
      <c r="H635" s="22">
        <f>VLOOKUP($A635,[1]maaltijden!$A$1:$IV$65536,21,FALSE)</f>
        <v>5</v>
      </c>
      <c r="I635" s="22">
        <f>VLOOKUP($A635,[1]maaltijden!$A$1:$IV$65536,21,FALSE)</f>
        <v>5</v>
      </c>
      <c r="J635" s="22">
        <f>VLOOKUP($A635,[1]maaltijden!$A$1:$IV$65536,18,FALSE)</f>
        <v>2</v>
      </c>
      <c r="K635" s="22">
        <f>VLOOKUP($A635,[1]maaltijden!$A$1:$IV$65536,17,FALSE)</f>
        <v>3</v>
      </c>
      <c r="L635" s="22">
        <f>VLOOKUP($A635,[1]maaltijden!$A$1:$IV$65536,20,FALSE)</f>
        <v>3000</v>
      </c>
      <c r="M635" s="22">
        <f>VLOOKUP($A635,[1]maaltijden!$A$1:$IV$65536,22,FALSE)</f>
        <v>3000</v>
      </c>
      <c r="N635" s="135"/>
      <c r="O635" s="50" t="s">
        <v>529</v>
      </c>
      <c r="P635" s="19">
        <v>1</v>
      </c>
      <c r="Q635" s="20">
        <v>0</v>
      </c>
      <c r="R635" s="21">
        <v>0</v>
      </c>
      <c r="S635" s="19">
        <v>1</v>
      </c>
      <c r="T635" s="20">
        <v>0</v>
      </c>
      <c r="U635" s="19">
        <v>1</v>
      </c>
      <c r="V635" s="20">
        <v>1</v>
      </c>
      <c r="W635" s="20">
        <v>1</v>
      </c>
      <c r="X635" s="20">
        <v>1</v>
      </c>
      <c r="Y635" s="20">
        <v>1</v>
      </c>
      <c r="Z635" s="20">
        <v>1</v>
      </c>
      <c r="AA635" s="20">
        <v>1</v>
      </c>
      <c r="AB635" s="49">
        <v>0</v>
      </c>
      <c r="AC635" s="49">
        <v>0</v>
      </c>
      <c r="AD635" s="49">
        <v>0</v>
      </c>
      <c r="AE635" s="49">
        <v>0</v>
      </c>
      <c r="AF635" s="49">
        <v>0</v>
      </c>
      <c r="AG635" s="173">
        <v>1</v>
      </c>
      <c r="AH635" s="170"/>
      <c r="AI635" s="170"/>
      <c r="AJ635" s="170"/>
      <c r="AK635" s="170"/>
      <c r="AL635" s="172"/>
      <c r="AM635" s="19">
        <v>1</v>
      </c>
      <c r="AN635" s="20">
        <v>0</v>
      </c>
      <c r="AO635" s="20">
        <v>0</v>
      </c>
      <c r="AP635" s="20">
        <v>0</v>
      </c>
      <c r="AQ635" s="20">
        <v>2</v>
      </c>
      <c r="AR635" s="20">
        <v>0</v>
      </c>
      <c r="AS635" s="20">
        <v>1</v>
      </c>
      <c r="AT635" s="20">
        <v>0</v>
      </c>
      <c r="AU635" s="20">
        <v>0</v>
      </c>
      <c r="AV635" s="23">
        <v>0</v>
      </c>
      <c r="AW635" s="108">
        <v>1</v>
      </c>
      <c r="AX635" s="108">
        <v>0</v>
      </c>
      <c r="AY635" s="108">
        <v>1</v>
      </c>
      <c r="AZ635" s="108"/>
      <c r="BA635" s="114">
        <v>0</v>
      </c>
      <c r="BB635" s="20">
        <v>0</v>
      </c>
      <c r="BC635" s="113">
        <v>1</v>
      </c>
      <c r="BD635" s="200"/>
      <c r="BE635" s="201"/>
      <c r="BF635" s="201"/>
      <c r="BG635" s="201"/>
      <c r="BH635" s="201"/>
      <c r="BI635" s="201"/>
      <c r="BJ635" s="201"/>
      <c r="BK635" s="201"/>
      <c r="BL635" s="201"/>
      <c r="BM635" s="201"/>
      <c r="BN635" s="201"/>
      <c r="BO635" s="201"/>
      <c r="BP635" s="202"/>
    </row>
    <row r="636" spans="1:68" x14ac:dyDescent="0.2">
      <c r="A636" s="89">
        <v>67110500</v>
      </c>
      <c r="B636" s="53" t="str">
        <f>VLOOKUP($A636,[1]maaltijden!$A$1:$IV$65536,4,FALSE)</f>
        <v>LIDL LT LV ES CS RUND PHO SOEP 400G (MIXED)</v>
      </c>
      <c r="C636" s="46" t="str">
        <f>VLOOKUP($A636,[1]maaltijden!$A$1:$IV$65536,7,FALSE)</f>
        <v>KRAFT ROND</v>
      </c>
      <c r="D636" s="22" t="str">
        <f>VLOOKUP($A636,[1]maaltijden!$A$1:$IV$65536,10,FALSE)</f>
        <v>H16</v>
      </c>
      <c r="E636" s="22" t="str">
        <f>VLOOKUP($A636,[1]maaltijden!$A$1:$IV$65536,13,FALSE)</f>
        <v>H/S16X8</v>
      </c>
      <c r="F636" s="20">
        <v>3</v>
      </c>
      <c r="G636" s="20" t="str">
        <f>VLOOKUP($A636,[1]maaltijden!$A$1:$IV$65536,27,FALSE)</f>
        <v>! ! ! !</v>
      </c>
      <c r="H636" s="22">
        <f>VLOOKUP($A636,[1]maaltijden!$A$1:$IV$65536,21,FALSE)</f>
        <v>5</v>
      </c>
      <c r="I636" s="22">
        <f>VLOOKUP($A636,[1]maaltijden!$A$1:$IV$65536,21,FALSE)</f>
        <v>5</v>
      </c>
      <c r="J636" s="22">
        <f>VLOOKUP($A636,[1]maaltijden!$A$1:$IV$65536,18,FALSE)</f>
        <v>2</v>
      </c>
      <c r="K636" s="22">
        <f>VLOOKUP($A636,[1]maaltijden!$A$1:$IV$65536,17,FALSE)</f>
        <v>3</v>
      </c>
      <c r="L636" s="22">
        <f>VLOOKUP($A636,[1]maaltijden!$A$1:$IV$65536,20,FALSE)</f>
        <v>3000</v>
      </c>
      <c r="M636" s="22">
        <f>VLOOKUP($A636,[1]maaltijden!$A$1:$IV$65536,22,FALSE)</f>
        <v>3000</v>
      </c>
      <c r="N636" s="135"/>
      <c r="O636" s="50" t="s">
        <v>530</v>
      </c>
      <c r="P636" s="19">
        <v>1</v>
      </c>
      <c r="Q636" s="20">
        <v>0</v>
      </c>
      <c r="R636" s="21">
        <v>0</v>
      </c>
      <c r="S636" s="19">
        <v>1</v>
      </c>
      <c r="T636" s="20">
        <v>0</v>
      </c>
      <c r="U636" s="19">
        <v>0</v>
      </c>
      <c r="V636" s="20">
        <v>1</v>
      </c>
      <c r="W636" s="20">
        <v>1</v>
      </c>
      <c r="X636" s="20">
        <v>1</v>
      </c>
      <c r="Y636" s="20">
        <v>1</v>
      </c>
      <c r="Z636" s="20">
        <v>0</v>
      </c>
      <c r="AA636" s="20">
        <v>0</v>
      </c>
      <c r="AB636" s="49">
        <v>1</v>
      </c>
      <c r="AC636" s="49">
        <v>0</v>
      </c>
      <c r="AD636" s="49">
        <v>0</v>
      </c>
      <c r="AE636" s="49">
        <v>1</v>
      </c>
      <c r="AF636" s="49">
        <v>0</v>
      </c>
      <c r="AG636" s="184">
        <v>1</v>
      </c>
      <c r="AH636" s="182">
        <v>0</v>
      </c>
      <c r="AI636" s="182">
        <v>1</v>
      </c>
      <c r="AJ636" s="182">
        <v>1</v>
      </c>
      <c r="AK636" s="182">
        <v>0</v>
      </c>
      <c r="AL636" s="183">
        <v>1</v>
      </c>
      <c r="AM636" s="19">
        <v>1</v>
      </c>
      <c r="AN636" s="20">
        <v>0</v>
      </c>
      <c r="AO636" s="20">
        <v>0</v>
      </c>
      <c r="AP636" s="20">
        <v>0</v>
      </c>
      <c r="AQ636" s="20">
        <v>2</v>
      </c>
      <c r="AR636" s="20">
        <v>0</v>
      </c>
      <c r="AS636" s="20">
        <v>1</v>
      </c>
      <c r="AT636" s="20">
        <v>0</v>
      </c>
      <c r="AU636" s="20">
        <v>0</v>
      </c>
      <c r="AV636" s="23">
        <v>0</v>
      </c>
      <c r="AW636" s="108">
        <v>1</v>
      </c>
      <c r="AX636" s="108">
        <v>0</v>
      </c>
      <c r="AY636" s="108">
        <v>1</v>
      </c>
      <c r="AZ636" s="108"/>
      <c r="BA636" s="114">
        <v>0</v>
      </c>
      <c r="BB636" s="20">
        <v>0</v>
      </c>
      <c r="BC636" s="113">
        <v>1</v>
      </c>
      <c r="BD636" s="200"/>
      <c r="BE636" s="201"/>
      <c r="BF636" s="201"/>
      <c r="BG636" s="201"/>
      <c r="BH636" s="201"/>
      <c r="BI636" s="201"/>
      <c r="BJ636" s="201"/>
      <c r="BK636" s="201"/>
      <c r="BL636" s="201"/>
      <c r="BM636" s="201"/>
      <c r="BN636" s="201"/>
      <c r="BO636" s="201"/>
      <c r="BP636" s="202"/>
    </row>
    <row r="637" spans="1:68" x14ac:dyDescent="0.2">
      <c r="A637" s="126">
        <v>67110600</v>
      </c>
      <c r="B637" s="53" t="str">
        <f>VLOOKUP($A637,[1]maaltijden!$A$1:$IV$65536,4,FALSE)</f>
        <v>LIDL LT LV ES CS KIP TOM KHAI SOEP400G (MIXED)</v>
      </c>
      <c r="C637" s="46" t="str">
        <f>VLOOKUP($A637,[1]maaltijden!$A$1:$IV$65536,7,FALSE)</f>
        <v>KRAFT ROND</v>
      </c>
      <c r="D637" s="22" t="str">
        <f>VLOOKUP($A637,[1]maaltijden!$A$1:$IV$65536,10,FALSE)</f>
        <v>H16</v>
      </c>
      <c r="E637" s="22" t="str">
        <f>VLOOKUP($A637,[1]maaltijden!$A$1:$IV$65536,13,FALSE)</f>
        <v>H/S16X8</v>
      </c>
      <c r="F637" s="20">
        <v>4</v>
      </c>
      <c r="G637" s="20" t="str">
        <f>VLOOKUP($A637,[1]maaltijden!$A$1:$IV$65536,27,FALSE)</f>
        <v>! ! ! ! !</v>
      </c>
      <c r="H637" s="22">
        <f>VLOOKUP($A637,[1]maaltijden!$A$1:$IV$65536,21,FALSE)</f>
        <v>5</v>
      </c>
      <c r="I637" s="22">
        <f>VLOOKUP($A637,[1]maaltijden!$A$1:$IV$65536,21,FALSE)</f>
        <v>5</v>
      </c>
      <c r="J637" s="22">
        <f>VLOOKUP($A637,[1]maaltijden!$A$1:$IV$65536,18,FALSE)</f>
        <v>2</v>
      </c>
      <c r="K637" s="22">
        <f>VLOOKUP($A637,[1]maaltijden!$A$1:$IV$65536,17,FALSE)</f>
        <v>3</v>
      </c>
      <c r="L637" s="22">
        <f>VLOOKUP($A637,[1]maaltijden!$A$1:$IV$65536,20,FALSE)</f>
        <v>3000</v>
      </c>
      <c r="M637" s="22">
        <f>VLOOKUP($A637,[1]maaltijden!$A$1:$IV$65536,22,FALSE)</f>
        <v>3000</v>
      </c>
      <c r="N637" s="135"/>
      <c r="O637" s="50" t="s">
        <v>531</v>
      </c>
      <c r="P637" s="19">
        <v>1</v>
      </c>
      <c r="Q637" s="20">
        <v>0</v>
      </c>
      <c r="R637" s="21">
        <v>0</v>
      </c>
      <c r="S637" s="19">
        <v>1</v>
      </c>
      <c r="T637" s="20">
        <v>0</v>
      </c>
      <c r="U637" s="19">
        <v>1</v>
      </c>
      <c r="V637" s="20">
        <v>1</v>
      </c>
      <c r="W637" s="20">
        <v>1</v>
      </c>
      <c r="X637" s="20">
        <v>1</v>
      </c>
      <c r="Y637" s="20">
        <v>1</v>
      </c>
      <c r="Z637" s="20">
        <v>1</v>
      </c>
      <c r="AA637" s="20">
        <v>1</v>
      </c>
      <c r="AB637" s="49">
        <v>0</v>
      </c>
      <c r="AC637" s="49">
        <v>0</v>
      </c>
      <c r="AD637" s="49">
        <v>0</v>
      </c>
      <c r="AE637" s="49">
        <v>0</v>
      </c>
      <c r="AF637" s="49">
        <v>0</v>
      </c>
      <c r="AG637" s="173">
        <v>1</v>
      </c>
      <c r="AH637" s="170"/>
      <c r="AI637" s="170"/>
      <c r="AJ637" s="170"/>
      <c r="AK637" s="170"/>
      <c r="AL637" s="172"/>
      <c r="AM637" s="19">
        <v>1</v>
      </c>
      <c r="AN637" s="20">
        <v>0</v>
      </c>
      <c r="AO637" s="20">
        <v>0</v>
      </c>
      <c r="AP637" s="20">
        <v>0</v>
      </c>
      <c r="AQ637" s="20">
        <v>2</v>
      </c>
      <c r="AR637" s="20">
        <v>0</v>
      </c>
      <c r="AS637" s="20">
        <v>1</v>
      </c>
      <c r="AT637" s="20">
        <v>0</v>
      </c>
      <c r="AU637" s="20">
        <v>0</v>
      </c>
      <c r="AV637" s="23">
        <v>0</v>
      </c>
      <c r="AW637" s="108">
        <v>1</v>
      </c>
      <c r="AX637" s="108">
        <v>0</v>
      </c>
      <c r="AY637" s="108">
        <v>1</v>
      </c>
      <c r="AZ637" s="108"/>
      <c r="BA637" s="114">
        <v>0</v>
      </c>
      <c r="BB637" s="20">
        <v>0</v>
      </c>
      <c r="BC637" s="113">
        <v>1</v>
      </c>
      <c r="BD637" s="200"/>
      <c r="BE637" s="201"/>
      <c r="BF637" s="201"/>
      <c r="BG637" s="201"/>
      <c r="BH637" s="201"/>
      <c r="BI637" s="201"/>
      <c r="BJ637" s="201"/>
      <c r="BK637" s="201"/>
      <c r="BL637" s="201"/>
      <c r="BM637" s="201"/>
      <c r="BN637" s="201"/>
      <c r="BO637" s="201"/>
      <c r="BP637" s="202"/>
    </row>
    <row r="638" spans="1:68" x14ac:dyDescent="0.2">
      <c r="A638" s="126">
        <v>67120100</v>
      </c>
      <c r="B638" s="53" t="str">
        <f>VLOOKUP($A638,[1]maaltijden!$A$1:$IV$65536,4,FALSE)</f>
        <v>GEIA EW KIP CURRY SOUP 370G</v>
      </c>
      <c r="C638" s="46" t="str">
        <f>VLOOKUP($A638,[1]maaltijden!$A$1:$IV$65536,7,FALSE)</f>
        <v>KRAFT ROND</v>
      </c>
      <c r="D638" s="22" t="str">
        <f>VLOOKUP($A638,[1]maaltijden!$A$1:$IV$65536,10,FALSE)</f>
        <v>H16</v>
      </c>
      <c r="E638" s="22" t="str">
        <f>VLOOKUP($A638,[1]maaltijden!$A$1:$IV$65536,13,FALSE)</f>
        <v>H/S16X8</v>
      </c>
      <c r="F638" s="20">
        <v>1</v>
      </c>
      <c r="G638" s="20" t="str">
        <f>VLOOKUP($A638,[1]maaltijden!$A$1:$IV$65536,27,FALSE)</f>
        <v>! !</v>
      </c>
      <c r="H638" s="22">
        <f>VLOOKUP($A638,[1]maaltijden!$A$1:$IV$65536,21,FALSE)</f>
        <v>5</v>
      </c>
      <c r="I638" s="22">
        <f>VLOOKUP($A638,[1]maaltijden!$A$1:$IV$65536,21,FALSE)</f>
        <v>5</v>
      </c>
      <c r="J638" s="22">
        <f>VLOOKUP($A638,[1]maaltijden!$A$1:$IV$65536,18,FALSE)</f>
        <v>2</v>
      </c>
      <c r="K638" s="22">
        <f>VLOOKUP($A638,[1]maaltijden!$A$1:$IV$65536,17,FALSE)</f>
        <v>2</v>
      </c>
      <c r="L638" s="22">
        <f>VLOOKUP($A638,[1]maaltijden!$A$1:$IV$65536,20,FALSE)</f>
        <v>3000</v>
      </c>
      <c r="M638" s="22">
        <f>VLOOKUP($A638,[1]maaltijden!$A$1:$IV$65536,22,FALSE)</f>
        <v>3000</v>
      </c>
      <c r="N638" s="135"/>
      <c r="O638" s="50"/>
      <c r="P638" s="19">
        <v>1</v>
      </c>
      <c r="Q638" s="20">
        <v>2</v>
      </c>
      <c r="R638" s="21">
        <v>0</v>
      </c>
      <c r="S638" s="19">
        <v>1</v>
      </c>
      <c r="T638" s="20">
        <v>1</v>
      </c>
      <c r="U638" s="19">
        <v>0</v>
      </c>
      <c r="V638" s="20">
        <v>1</v>
      </c>
      <c r="W638" s="20">
        <v>1</v>
      </c>
      <c r="X638" s="20">
        <v>1</v>
      </c>
      <c r="Y638" s="20">
        <v>1</v>
      </c>
      <c r="Z638" s="20">
        <v>1</v>
      </c>
      <c r="AA638" s="20">
        <v>0</v>
      </c>
      <c r="AB638" s="49">
        <v>0</v>
      </c>
      <c r="AC638" s="49">
        <v>0</v>
      </c>
      <c r="AD638" s="49">
        <v>0</v>
      </c>
      <c r="AE638" s="49">
        <v>0</v>
      </c>
      <c r="AF638" s="49">
        <v>0</v>
      </c>
      <c r="AG638" s="19">
        <v>0</v>
      </c>
      <c r="AH638" s="20"/>
      <c r="AI638" s="20"/>
      <c r="AJ638" s="20"/>
      <c r="AK638" s="20"/>
      <c r="AL638" s="21"/>
      <c r="AM638" s="19">
        <v>0</v>
      </c>
      <c r="AN638" s="20">
        <f>IFERROR(INDEX([2]lijnopstellingsfiche!$AP$1:$AP$65536,MATCH(A638,[2]lijnopstellingsfiche!$AQ$1:$AQ$65536,0)),"")</f>
        <v>2</v>
      </c>
      <c r="AO638" s="20">
        <v>0</v>
      </c>
      <c r="AP638" s="20">
        <v>0</v>
      </c>
      <c r="AQ638" s="20">
        <v>2</v>
      </c>
      <c r="AR638" s="20">
        <v>0</v>
      </c>
      <c r="AS638" s="20">
        <v>1</v>
      </c>
      <c r="AT638" s="20">
        <v>0</v>
      </c>
      <c r="AU638" s="20">
        <v>0</v>
      </c>
      <c r="AV638" s="23">
        <v>0</v>
      </c>
      <c r="AW638" s="108">
        <v>1</v>
      </c>
      <c r="AX638" s="108">
        <v>0</v>
      </c>
      <c r="AY638" s="108">
        <v>1</v>
      </c>
      <c r="AZ638" s="108"/>
      <c r="BA638" s="114">
        <v>0</v>
      </c>
      <c r="BB638" s="20">
        <v>0</v>
      </c>
      <c r="BC638" s="113">
        <v>0</v>
      </c>
      <c r="BD638" s="200"/>
      <c r="BE638" s="201"/>
      <c r="BF638" s="201"/>
      <c r="BG638" s="201"/>
      <c r="BH638" s="201"/>
      <c r="BI638" s="201"/>
      <c r="BJ638" s="201"/>
      <c r="BK638" s="201"/>
      <c r="BL638" s="201"/>
      <c r="BM638" s="201"/>
      <c r="BN638" s="201"/>
      <c r="BO638" s="201"/>
      <c r="BP638" s="202"/>
    </row>
    <row r="639" spans="1:68" x14ac:dyDescent="0.2">
      <c r="A639" s="126">
        <v>67120200</v>
      </c>
      <c r="B639" s="53" t="str">
        <f>VLOOKUP($A639,[1]maaltijden!$A$1:$IV$65536,4,FALSE)</f>
        <v>GEIA EW KIP RAMEN SOEP 370G</v>
      </c>
      <c r="C639" s="46" t="str">
        <f>VLOOKUP($A639,[1]maaltijden!$A$1:$IV$65536,7,FALSE)</f>
        <v>KRAFT ROND</v>
      </c>
      <c r="D639" s="22" t="str">
        <f>VLOOKUP($A639,[1]maaltijden!$A$1:$IV$65536,10,FALSE)</f>
        <v>H16</v>
      </c>
      <c r="E639" s="22" t="str">
        <f>VLOOKUP($A639,[1]maaltijden!$A$1:$IV$65536,13,FALSE)</f>
        <v>H/S16X8</v>
      </c>
      <c r="F639" s="20">
        <v>2</v>
      </c>
      <c r="G639" s="20" t="str">
        <f>VLOOKUP($A639,[1]maaltijden!$A$1:$IV$65536,27,FALSE)</f>
        <v>! ! ! ! !</v>
      </c>
      <c r="H639" s="22">
        <f>VLOOKUP($A639,[1]maaltijden!$A$1:$IV$65536,21,FALSE)</f>
        <v>5</v>
      </c>
      <c r="I639" s="22">
        <f>VLOOKUP($A639,[1]maaltijden!$A$1:$IV$65536,21,FALSE)</f>
        <v>5</v>
      </c>
      <c r="J639" s="22">
        <f>VLOOKUP($A639,[1]maaltijden!$A$1:$IV$65536,18,FALSE)</f>
        <v>2</v>
      </c>
      <c r="K639" s="22">
        <f>VLOOKUP($A639,[1]maaltijden!$A$1:$IV$65536,17,FALSE)</f>
        <v>2</v>
      </c>
      <c r="L639" s="22">
        <f>VLOOKUP($A639,[1]maaltijden!$A$1:$IV$65536,20,FALSE)</f>
        <v>3000</v>
      </c>
      <c r="M639" s="22">
        <f>VLOOKUP($A639,[1]maaltijden!$A$1:$IV$65536,22,FALSE)</f>
        <v>3000</v>
      </c>
      <c r="N639" s="135"/>
      <c r="O639" s="50"/>
      <c r="P639" s="19">
        <v>1</v>
      </c>
      <c r="Q639" s="20">
        <v>2</v>
      </c>
      <c r="R639" s="21">
        <v>0</v>
      </c>
      <c r="S639" s="19">
        <v>1</v>
      </c>
      <c r="T639" s="20">
        <v>1</v>
      </c>
      <c r="U639" s="19">
        <v>1</v>
      </c>
      <c r="V639" s="20">
        <v>1</v>
      </c>
      <c r="W639" s="20">
        <v>1</v>
      </c>
      <c r="X639" s="20">
        <v>1</v>
      </c>
      <c r="Y639" s="20">
        <v>1</v>
      </c>
      <c r="Z639" s="20">
        <v>0</v>
      </c>
      <c r="AA639" s="20">
        <v>0</v>
      </c>
      <c r="AB639" s="49">
        <v>0</v>
      </c>
      <c r="AC639" s="49">
        <v>0</v>
      </c>
      <c r="AD639" s="49">
        <v>0</v>
      </c>
      <c r="AE639" s="49">
        <v>0</v>
      </c>
      <c r="AF639" s="49">
        <v>0</v>
      </c>
      <c r="AG639" s="19">
        <v>1</v>
      </c>
      <c r="AH639" s="20"/>
      <c r="AI639" s="20"/>
      <c r="AJ639" s="20"/>
      <c r="AK639" s="20"/>
      <c r="AL639" s="21"/>
      <c r="AM639" s="19">
        <v>1</v>
      </c>
      <c r="AN639" s="20">
        <f>IFERROR(INDEX([2]lijnopstellingsfiche!$AP$1:$AP$65536,MATCH(A639,[2]lijnopstellingsfiche!$AQ$1:$AQ$65536,0)),"")</f>
        <v>2</v>
      </c>
      <c r="AO639" s="20">
        <v>0</v>
      </c>
      <c r="AP639" s="20">
        <v>0</v>
      </c>
      <c r="AQ639" s="20">
        <v>2</v>
      </c>
      <c r="AR639" s="20">
        <v>0</v>
      </c>
      <c r="AS639" s="20">
        <v>1</v>
      </c>
      <c r="AT639" s="20">
        <v>0</v>
      </c>
      <c r="AU639" s="20">
        <v>0</v>
      </c>
      <c r="AV639" s="23">
        <v>0</v>
      </c>
      <c r="AW639" s="108">
        <v>1</v>
      </c>
      <c r="AX639" s="108">
        <v>0</v>
      </c>
      <c r="AY639" s="108">
        <v>1</v>
      </c>
      <c r="AZ639" s="108"/>
      <c r="BA639" s="114">
        <v>0</v>
      </c>
      <c r="BB639" s="20">
        <v>0</v>
      </c>
      <c r="BC639" s="113">
        <v>0</v>
      </c>
      <c r="BD639" s="200"/>
      <c r="BE639" s="201"/>
      <c r="BF639" s="201"/>
      <c r="BG639" s="201"/>
      <c r="BH639" s="201"/>
      <c r="BI639" s="201"/>
      <c r="BJ639" s="201"/>
      <c r="BK639" s="201"/>
      <c r="BL639" s="201"/>
      <c r="BM639" s="201"/>
      <c r="BN639" s="201"/>
      <c r="BO639" s="201"/>
      <c r="BP639" s="202"/>
    </row>
    <row r="640" spans="1:68" x14ac:dyDescent="0.2">
      <c r="N640" s="44"/>
    </row>
    <row r="641" spans="14:14" x14ac:dyDescent="0.2">
      <c r="N641" s="44"/>
    </row>
    <row r="642" spans="14:14" x14ac:dyDescent="0.2">
      <c r="N642" s="44"/>
    </row>
    <row r="643" spans="14:14" x14ac:dyDescent="0.2">
      <c r="N643" s="44"/>
    </row>
    <row r="644" spans="14:14" x14ac:dyDescent="0.2">
      <c r="N644" s="44"/>
    </row>
    <row r="645" spans="14:14" x14ac:dyDescent="0.2">
      <c r="N645" s="44"/>
    </row>
    <row r="646" spans="14:14" x14ac:dyDescent="0.2">
      <c r="N646" s="44"/>
    </row>
    <row r="647" spans="14:14" x14ac:dyDescent="0.2">
      <c r="N647" s="44"/>
    </row>
    <row r="648" spans="14:14" x14ac:dyDescent="0.2">
      <c r="N648" s="44"/>
    </row>
    <row r="649" spans="14:14" x14ac:dyDescent="0.2">
      <c r="N649" s="44"/>
    </row>
    <row r="650" spans="14:14" x14ac:dyDescent="0.2">
      <c r="N650" s="44"/>
    </row>
  </sheetData>
  <sortState xmlns:xlrd2="http://schemas.microsoft.com/office/spreadsheetml/2017/richdata2" ref="A3:BS639">
    <sortCondition ref="A3:A639"/>
  </sortState>
  <mergeCells count="8">
    <mergeCell ref="H1:K1"/>
    <mergeCell ref="U1:AF1"/>
    <mergeCell ref="S1:T1"/>
    <mergeCell ref="BD1:BP1"/>
    <mergeCell ref="P1:R1"/>
    <mergeCell ref="AG1:AL1"/>
    <mergeCell ref="AM1:AV1"/>
    <mergeCell ref="AW1:BC1"/>
  </mergeCells>
  <conditionalFormatting sqref="G3:G639">
    <cfRule type="cellIs" dxfId="14" priority="1" operator="equal">
      <formula>"! ! ! ! !"</formula>
    </cfRule>
    <cfRule type="cellIs" dxfId="13" priority="2" operator="equal">
      <formula>"X"</formula>
    </cfRule>
    <cfRule type="cellIs" dxfId="12" priority="3" operator="equal">
      <formula>"! !"</formula>
    </cfRule>
    <cfRule type="cellIs" dxfId="11" priority="5" operator="equal">
      <formula>"! ! !"</formula>
    </cfRule>
    <cfRule type="cellIs" dxfId="10" priority="6" operator="equal">
      <formula>"! ! ! !"</formula>
    </cfRule>
  </conditionalFormatting>
  <pageMargins left="0.25" right="0.25" top="0.75" bottom="0.75" header="0.3" footer="0.3"/>
  <pageSetup paperSize="8" scale="69" fitToHeight="0" orientation="landscape"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3AC5F-040C-410C-B7F2-8350C6E31990}">
  <dimension ref="A2:H21"/>
  <sheetViews>
    <sheetView workbookViewId="0">
      <selection activeCell="E20" sqref="E20"/>
    </sheetView>
  </sheetViews>
  <sheetFormatPr defaultRowHeight="15" x14ac:dyDescent="0.25"/>
  <cols>
    <col min="2" max="2" width="18.28515625" customWidth="1"/>
  </cols>
  <sheetData>
    <row r="2" spans="1:8" x14ac:dyDescent="0.25">
      <c r="A2" t="s">
        <v>518</v>
      </c>
      <c r="B2" s="156">
        <v>66811700</v>
      </c>
      <c r="C2" s="226" t="str">
        <f>VLOOKUP(B$2,'product database'!A$1:BP$2009,2,FALSE)</f>
        <v>FITMEALS EW KIP SATE RIJST HALAL 425G NL FR D</v>
      </c>
      <c r="D2" s="227"/>
      <c r="E2" s="227"/>
      <c r="F2" s="227"/>
      <c r="G2" s="227"/>
      <c r="H2" s="227"/>
    </row>
    <row r="4" spans="1:8" x14ac:dyDescent="0.25">
      <c r="B4" s="2" t="s">
        <v>523</v>
      </c>
      <c r="E4" s="2" t="s">
        <v>524</v>
      </c>
    </row>
    <row r="5" spans="1:8" x14ac:dyDescent="0.25">
      <c r="B5" s="157" t="s">
        <v>355</v>
      </c>
      <c r="C5" s="157">
        <f>VLOOKUP(B$2,'product database'!A$1:BP$2009,33,FALSE)</f>
        <v>1</v>
      </c>
      <c r="E5" s="2">
        <f>C5+C16</f>
        <v>2</v>
      </c>
    </row>
    <row r="6" spans="1:8" x14ac:dyDescent="0.25">
      <c r="B6" s="157" t="s">
        <v>133</v>
      </c>
      <c r="C6" s="157">
        <f>VLOOKUP(B$2,'product database'!A$1:BP$2009,34,FALSE)</f>
        <v>1</v>
      </c>
      <c r="E6" s="2">
        <f t="shared" ref="E6:E10" si="0">C6+C17</f>
        <v>2</v>
      </c>
    </row>
    <row r="7" spans="1:8" x14ac:dyDescent="0.25">
      <c r="B7" s="157" t="s">
        <v>519</v>
      </c>
      <c r="C7" s="157">
        <f>VLOOKUP(B$2,'product database'!A$1:BP$2009,35,FALSE)</f>
        <v>0</v>
      </c>
      <c r="E7" s="2">
        <f t="shared" si="0"/>
        <v>1</v>
      </c>
    </row>
    <row r="8" spans="1:8" x14ac:dyDescent="0.25">
      <c r="B8" s="157" t="s">
        <v>520</v>
      </c>
      <c r="C8" s="157">
        <f>VLOOKUP(B$2,'product database'!A$1:BP$2009,36,FALSE)</f>
        <v>0</v>
      </c>
      <c r="E8" s="2">
        <f t="shared" si="0"/>
        <v>0</v>
      </c>
    </row>
    <row r="9" spans="1:8" x14ac:dyDescent="0.25">
      <c r="B9" s="157" t="s">
        <v>521</v>
      </c>
      <c r="C9" s="157">
        <f>VLOOKUP(B$2,'product database'!A$1:BP$2009,37,FALSE)</f>
        <v>0</v>
      </c>
      <c r="E9" s="2">
        <f t="shared" si="0"/>
        <v>0</v>
      </c>
    </row>
    <row r="10" spans="1:8" x14ac:dyDescent="0.25">
      <c r="B10" s="157" t="s">
        <v>522</v>
      </c>
      <c r="C10" s="157">
        <f>VLOOKUP(B$2,'product database'!A$1:BP$2009,38,FALSE)</f>
        <v>0</v>
      </c>
      <c r="E10" s="2">
        <f t="shared" si="0"/>
        <v>0</v>
      </c>
    </row>
    <row r="13" spans="1:8" x14ac:dyDescent="0.25">
      <c r="A13" t="s">
        <v>518</v>
      </c>
      <c r="B13" s="156">
        <v>67100100</v>
      </c>
      <c r="C13" s="226" t="str">
        <f>VLOOKUP(B$13,'product database'!A$1:BP$2009,2,FALSE)</f>
        <v>PICARD BUDDHA BOWL SATE RISOTTO GR MIX V-LABEL350G</v>
      </c>
      <c r="D13" s="227"/>
      <c r="E13" s="227"/>
      <c r="F13" s="227"/>
      <c r="G13" s="227"/>
      <c r="H13" s="227"/>
    </row>
    <row r="15" spans="1:8" x14ac:dyDescent="0.25">
      <c r="B15" s="2" t="s">
        <v>523</v>
      </c>
    </row>
    <row r="16" spans="1:8" x14ac:dyDescent="0.25">
      <c r="B16" s="157" t="s">
        <v>355</v>
      </c>
      <c r="C16" s="157">
        <f>VLOOKUP(B$13,'product database'!A$1:BP$2009,33,FALSE)</f>
        <v>1</v>
      </c>
    </row>
    <row r="17" spans="2:3" x14ac:dyDescent="0.25">
      <c r="B17" s="157" t="s">
        <v>133</v>
      </c>
      <c r="C17" s="157">
        <f>VLOOKUP(B$13,'product database'!A$1:BP$2009,34,FALSE)</f>
        <v>1</v>
      </c>
    </row>
    <row r="18" spans="2:3" x14ac:dyDescent="0.25">
      <c r="B18" s="157" t="s">
        <v>519</v>
      </c>
      <c r="C18" s="157">
        <f>VLOOKUP(B$13,'product database'!A$1:BP$2009,35,FALSE)</f>
        <v>1</v>
      </c>
    </row>
    <row r="19" spans="2:3" x14ac:dyDescent="0.25">
      <c r="B19" s="157" t="s">
        <v>520</v>
      </c>
      <c r="C19" s="157">
        <f>VLOOKUP(B$13,'product database'!A$1:BP$2009,36,FALSE)</f>
        <v>0</v>
      </c>
    </row>
    <row r="20" spans="2:3" x14ac:dyDescent="0.25">
      <c r="B20" s="157" t="s">
        <v>521</v>
      </c>
      <c r="C20" s="157">
        <f>VLOOKUP(B$13,'product database'!A$1:BP$2009,37,FALSE)</f>
        <v>0</v>
      </c>
    </row>
    <row r="21" spans="2:3" x14ac:dyDescent="0.25">
      <c r="B21" s="157" t="s">
        <v>522</v>
      </c>
      <c r="C21" s="157">
        <f>VLOOKUP(B$13,'product database'!A$1:BP$2009,38,FALSE)</f>
        <v>0</v>
      </c>
    </row>
  </sheetData>
  <mergeCells count="2">
    <mergeCell ref="C2:H2"/>
    <mergeCell ref="C13:H13"/>
  </mergeCells>
  <conditionalFormatting sqref="E5">
    <cfRule type="cellIs" dxfId="9" priority="5" operator="greaterThan">
      <formula>1</formula>
    </cfRule>
  </conditionalFormatting>
  <conditionalFormatting sqref="E6">
    <cfRule type="cellIs" dxfId="8" priority="4" operator="greaterThan">
      <formula>4</formula>
    </cfRule>
  </conditionalFormatting>
  <conditionalFormatting sqref="E7">
    <cfRule type="cellIs" dxfId="7" priority="3" operator="greaterThan">
      <formula>3</formula>
    </cfRule>
  </conditionalFormatting>
  <conditionalFormatting sqref="E8">
    <cfRule type="cellIs" dxfId="6" priority="2" operator="greaterThan">
      <formula>1</formula>
    </cfRule>
  </conditionalFormatting>
  <conditionalFormatting sqref="E10">
    <cfRule type="cellIs" dxfId="5" priority="1" operator="greaterThan">
      <formula>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09D87-3C39-4200-B4DA-86E3AD1B64E6}">
  <sheetPr>
    <pageSetUpPr fitToPage="1"/>
  </sheetPr>
  <dimension ref="A2:U142"/>
  <sheetViews>
    <sheetView topLeftCell="A99" workbookViewId="0">
      <selection activeCell="H107" sqref="H107"/>
    </sheetView>
  </sheetViews>
  <sheetFormatPr defaultRowHeight="15" x14ac:dyDescent="0.25"/>
  <cols>
    <col min="1" max="1" width="4.42578125" customWidth="1"/>
  </cols>
  <sheetData>
    <row r="2" spans="1:21" ht="18.75" x14ac:dyDescent="0.3">
      <c r="A2" s="155" t="s">
        <v>422</v>
      </c>
    </row>
    <row r="3" spans="1:21" ht="15.75" thickBot="1" x14ac:dyDescent="0.3"/>
    <row r="4" spans="1:21" x14ac:dyDescent="0.25">
      <c r="B4" t="s">
        <v>439</v>
      </c>
      <c r="M4" s="142" t="s">
        <v>455</v>
      </c>
      <c r="N4" s="143"/>
      <c r="O4" s="143"/>
      <c r="P4" s="143"/>
      <c r="Q4" s="143"/>
      <c r="R4" s="143"/>
      <c r="S4" s="143"/>
      <c r="T4" s="143"/>
      <c r="U4" s="144"/>
    </row>
    <row r="5" spans="1:21" x14ac:dyDescent="0.25">
      <c r="C5" s="152" t="s">
        <v>440</v>
      </c>
      <c r="M5" s="145"/>
      <c r="U5" s="146"/>
    </row>
    <row r="6" spans="1:21" x14ac:dyDescent="0.25">
      <c r="C6" s="152" t="s">
        <v>450</v>
      </c>
      <c r="E6" s="141" t="s">
        <v>451</v>
      </c>
      <c r="M6" s="145" t="s">
        <v>456</v>
      </c>
      <c r="N6" t="s">
        <v>457</v>
      </c>
      <c r="U6" s="146"/>
    </row>
    <row r="7" spans="1:21" x14ac:dyDescent="0.25">
      <c r="C7" s="152" t="s">
        <v>445</v>
      </c>
      <c r="M7" s="145"/>
      <c r="N7" t="s">
        <v>458</v>
      </c>
      <c r="U7" s="146"/>
    </row>
    <row r="8" spans="1:21" x14ac:dyDescent="0.25">
      <c r="C8" s="189" t="s">
        <v>465</v>
      </c>
      <c r="D8" s="150"/>
      <c r="E8" s="150"/>
      <c r="F8" s="150"/>
      <c r="G8" s="150"/>
      <c r="H8" s="150"/>
      <c r="I8" s="150"/>
      <c r="M8" s="145"/>
      <c r="N8" t="s">
        <v>459</v>
      </c>
      <c r="U8" s="146"/>
    </row>
    <row r="9" spans="1:21" x14ac:dyDescent="0.25">
      <c r="C9" s="152" t="s">
        <v>444</v>
      </c>
      <c r="M9" s="145"/>
      <c r="N9" t="s">
        <v>463</v>
      </c>
      <c r="U9" s="146"/>
    </row>
    <row r="10" spans="1:21" x14ac:dyDescent="0.25">
      <c r="C10" s="152"/>
      <c r="D10" s="152" t="s">
        <v>442</v>
      </c>
      <c r="M10" s="145"/>
      <c r="U10" s="146"/>
    </row>
    <row r="11" spans="1:21" x14ac:dyDescent="0.25">
      <c r="C11" s="152"/>
      <c r="D11" s="152" t="s">
        <v>534</v>
      </c>
      <c r="M11" s="145" t="s">
        <v>466</v>
      </c>
      <c r="N11" t="s">
        <v>460</v>
      </c>
      <c r="U11" s="146"/>
    </row>
    <row r="12" spans="1:21" x14ac:dyDescent="0.25">
      <c r="C12" s="152" t="s">
        <v>447</v>
      </c>
      <c r="M12" s="145"/>
      <c r="N12" t="s">
        <v>464</v>
      </c>
      <c r="U12" s="146"/>
    </row>
    <row r="13" spans="1:21" x14ac:dyDescent="0.25">
      <c r="C13" s="152" t="s">
        <v>441</v>
      </c>
      <c r="I13" t="s">
        <v>423</v>
      </c>
      <c r="M13" s="145"/>
      <c r="N13" t="s">
        <v>461</v>
      </c>
      <c r="U13" s="146"/>
    </row>
    <row r="14" spans="1:21" x14ac:dyDescent="0.25">
      <c r="C14" s="152"/>
      <c r="D14" t="s">
        <v>446</v>
      </c>
      <c r="M14" s="145"/>
      <c r="N14" t="s">
        <v>462</v>
      </c>
      <c r="U14" s="146"/>
    </row>
    <row r="15" spans="1:21" x14ac:dyDescent="0.25">
      <c r="C15" s="152" t="s">
        <v>448</v>
      </c>
      <c r="G15" s="141" t="s">
        <v>449</v>
      </c>
      <c r="M15" s="145"/>
      <c r="U15" s="146"/>
    </row>
    <row r="16" spans="1:21" ht="15.75" thickBot="1" x14ac:dyDescent="0.3">
      <c r="C16" s="152" t="s">
        <v>452</v>
      </c>
      <c r="G16" s="141"/>
      <c r="M16" s="147"/>
      <c r="N16" s="148"/>
      <c r="O16" s="148"/>
      <c r="P16" s="148"/>
      <c r="Q16" s="148"/>
      <c r="R16" s="148"/>
      <c r="S16" s="148"/>
      <c r="T16" s="148"/>
      <c r="U16" s="149"/>
    </row>
    <row r="17" spans="2:10" x14ac:dyDescent="0.25">
      <c r="G17" s="141"/>
    </row>
    <row r="18" spans="2:10" x14ac:dyDescent="0.25">
      <c r="B18" t="s">
        <v>424</v>
      </c>
    </row>
    <row r="19" spans="2:10" x14ac:dyDescent="0.25">
      <c r="C19" s="138">
        <v>46258</v>
      </c>
    </row>
    <row r="20" spans="2:10" x14ac:dyDescent="0.25">
      <c r="D20" s="9">
        <v>63912200</v>
      </c>
      <c r="E20" s="140" t="s">
        <v>429</v>
      </c>
      <c r="J20" s="141" t="s">
        <v>430</v>
      </c>
    </row>
    <row r="21" spans="2:10" x14ac:dyDescent="0.25">
      <c r="D21">
        <v>63906600</v>
      </c>
      <c r="E21" s="140" t="s">
        <v>426</v>
      </c>
      <c r="J21" s="141" t="s">
        <v>427</v>
      </c>
    </row>
    <row r="24" spans="2:10" x14ac:dyDescent="0.25">
      <c r="C24" s="151">
        <v>46261</v>
      </c>
    </row>
    <row r="25" spans="2:10" x14ac:dyDescent="0.25">
      <c r="D25" s="9">
        <v>63250000</v>
      </c>
      <c r="E25" s="139" t="s">
        <v>428</v>
      </c>
      <c r="H25" s="141" t="s">
        <v>431</v>
      </c>
    </row>
    <row r="26" spans="2:10" x14ac:dyDescent="0.25">
      <c r="D26" s="9">
        <v>63902000</v>
      </c>
      <c r="E26" s="139" t="s">
        <v>432</v>
      </c>
      <c r="I26" s="141" t="s">
        <v>434</v>
      </c>
    </row>
    <row r="27" spans="2:10" x14ac:dyDescent="0.25">
      <c r="E27" s="139"/>
      <c r="I27" s="141" t="s">
        <v>435</v>
      </c>
    </row>
    <row r="28" spans="2:10" x14ac:dyDescent="0.25">
      <c r="B28" t="s">
        <v>425</v>
      </c>
    </row>
    <row r="29" spans="2:10" x14ac:dyDescent="0.25">
      <c r="C29" s="138">
        <v>46266</v>
      </c>
    </row>
    <row r="30" spans="2:10" x14ac:dyDescent="0.25">
      <c r="D30">
        <v>64255100</v>
      </c>
      <c r="E30" s="139" t="s">
        <v>436</v>
      </c>
      <c r="I30" s="141" t="s">
        <v>433</v>
      </c>
    </row>
    <row r="31" spans="2:10" x14ac:dyDescent="0.25">
      <c r="E31" s="139"/>
    </row>
    <row r="33" spans="1:11" x14ac:dyDescent="0.25">
      <c r="C33" s="138">
        <v>46268</v>
      </c>
    </row>
    <row r="34" spans="1:11" x14ac:dyDescent="0.25">
      <c r="D34">
        <v>63140000</v>
      </c>
      <c r="E34" s="139" t="s">
        <v>437</v>
      </c>
      <c r="H34" s="141" t="s">
        <v>438</v>
      </c>
    </row>
    <row r="35" spans="1:11" x14ac:dyDescent="0.25">
      <c r="D35" s="139"/>
    </row>
    <row r="36" spans="1:11" x14ac:dyDescent="0.25">
      <c r="C36" s="138">
        <v>46269</v>
      </c>
    </row>
    <row r="37" spans="1:11" x14ac:dyDescent="0.25">
      <c r="D37">
        <v>65130200</v>
      </c>
      <c r="E37" s="139" t="s">
        <v>453</v>
      </c>
      <c r="G37" s="141" t="s">
        <v>454</v>
      </c>
    </row>
    <row r="38" spans="1:11" x14ac:dyDescent="0.25">
      <c r="E38" s="139"/>
    </row>
    <row r="39" spans="1:11" ht="18.75" x14ac:dyDescent="0.3">
      <c r="A39" s="155" t="s">
        <v>467</v>
      </c>
    </row>
    <row r="41" spans="1:11" x14ac:dyDescent="0.25">
      <c r="B41" t="s">
        <v>439</v>
      </c>
    </row>
    <row r="42" spans="1:11" x14ac:dyDescent="0.25">
      <c r="C42" t="s">
        <v>490</v>
      </c>
      <c r="F42" s="152" t="s">
        <v>494</v>
      </c>
      <c r="K42" s="141" t="s">
        <v>493</v>
      </c>
    </row>
    <row r="43" spans="1:11" x14ac:dyDescent="0.25">
      <c r="F43" s="152" t="s">
        <v>483</v>
      </c>
      <c r="H43" s="141" t="s">
        <v>478</v>
      </c>
    </row>
    <row r="44" spans="1:11" x14ac:dyDescent="0.25">
      <c r="F44" s="152" t="s">
        <v>492</v>
      </c>
      <c r="H44" s="141"/>
      <c r="K44" s="141" t="s">
        <v>491</v>
      </c>
    </row>
    <row r="45" spans="1:11" x14ac:dyDescent="0.25">
      <c r="C45" t="s">
        <v>469</v>
      </c>
      <c r="I45" s="141" t="s">
        <v>484</v>
      </c>
    </row>
    <row r="46" spans="1:11" x14ac:dyDescent="0.25">
      <c r="C46" t="s">
        <v>447</v>
      </c>
      <c r="H46" s="141" t="s">
        <v>482</v>
      </c>
    </row>
    <row r="47" spans="1:11" x14ac:dyDescent="0.25">
      <c r="C47" t="s">
        <v>441</v>
      </c>
    </row>
    <row r="48" spans="1:11" x14ac:dyDescent="0.25">
      <c r="C48" t="s">
        <v>517</v>
      </c>
    </row>
    <row r="49" spans="3:11" x14ac:dyDescent="0.25">
      <c r="C49" t="s">
        <v>470</v>
      </c>
      <c r="F49" s="141" t="s">
        <v>479</v>
      </c>
    </row>
    <row r="50" spans="3:11" x14ac:dyDescent="0.25">
      <c r="D50" t="s">
        <v>445</v>
      </c>
    </row>
    <row r="51" spans="3:11" x14ac:dyDescent="0.25">
      <c r="D51" t="s">
        <v>481</v>
      </c>
    </row>
    <row r="52" spans="3:11" x14ac:dyDescent="0.25">
      <c r="D52" t="s">
        <v>444</v>
      </c>
    </row>
    <row r="53" spans="3:11" x14ac:dyDescent="0.25">
      <c r="E53" t="s">
        <v>442</v>
      </c>
    </row>
    <row r="54" spans="3:11" x14ac:dyDescent="0.25">
      <c r="E54" t="s">
        <v>443</v>
      </c>
    </row>
    <row r="55" spans="3:11" x14ac:dyDescent="0.25">
      <c r="D55" t="s">
        <v>477</v>
      </c>
    </row>
    <row r="56" spans="3:11" x14ac:dyDescent="0.25">
      <c r="D56" t="s">
        <v>480</v>
      </c>
    </row>
    <row r="57" spans="3:11" x14ac:dyDescent="0.25">
      <c r="D57" t="s">
        <v>504</v>
      </c>
    </row>
    <row r="59" spans="3:11" x14ac:dyDescent="0.25">
      <c r="C59" s="153" t="s">
        <v>475</v>
      </c>
      <c r="D59" t="s">
        <v>473</v>
      </c>
      <c r="F59" t="s">
        <v>476</v>
      </c>
      <c r="K59" s="141" t="s">
        <v>508</v>
      </c>
    </row>
    <row r="60" spans="3:11" x14ac:dyDescent="0.25">
      <c r="C60" s="138">
        <v>46265</v>
      </c>
      <c r="D60">
        <v>61642500</v>
      </c>
      <c r="E60" t="s">
        <v>485</v>
      </c>
      <c r="F60" s="141"/>
      <c r="K60" s="141" t="s">
        <v>486</v>
      </c>
    </row>
    <row r="61" spans="3:11" x14ac:dyDescent="0.25">
      <c r="C61" s="138"/>
    </row>
    <row r="62" spans="3:11" x14ac:dyDescent="0.25">
      <c r="C62" s="138">
        <v>46266</v>
      </c>
      <c r="D62" t="s">
        <v>503</v>
      </c>
      <c r="F62" s="141"/>
      <c r="G62" s="141" t="s">
        <v>502</v>
      </c>
    </row>
    <row r="63" spans="3:11" x14ac:dyDescent="0.25">
      <c r="C63" s="138"/>
      <c r="D63" t="s">
        <v>487</v>
      </c>
      <c r="F63" s="141"/>
    </row>
    <row r="64" spans="3:11" x14ac:dyDescent="0.25">
      <c r="C64" s="138"/>
      <c r="F64" s="141"/>
    </row>
    <row r="65" spans="3:11" x14ac:dyDescent="0.25">
      <c r="C65" s="138">
        <v>46268</v>
      </c>
      <c r="D65" t="s">
        <v>515</v>
      </c>
      <c r="F65" s="141"/>
      <c r="H65" s="141" t="s">
        <v>502</v>
      </c>
    </row>
    <row r="66" spans="3:11" x14ac:dyDescent="0.25">
      <c r="C66" s="138"/>
      <c r="D66" t="s">
        <v>488</v>
      </c>
      <c r="F66" s="141"/>
    </row>
    <row r="67" spans="3:11" x14ac:dyDescent="0.25">
      <c r="C67" s="138"/>
      <c r="F67" s="141"/>
    </row>
    <row r="68" spans="3:11" x14ac:dyDescent="0.25">
      <c r="C68" s="138">
        <v>46269</v>
      </c>
      <c r="D68" t="s">
        <v>488</v>
      </c>
    </row>
    <row r="71" spans="3:11" x14ac:dyDescent="0.25">
      <c r="C71" s="154" t="s">
        <v>472</v>
      </c>
      <c r="D71" t="s">
        <v>473</v>
      </c>
      <c r="F71" t="s">
        <v>474</v>
      </c>
      <c r="K71" s="141" t="s">
        <v>508</v>
      </c>
    </row>
    <row r="73" spans="3:11" x14ac:dyDescent="0.25">
      <c r="C73" s="138">
        <v>46273</v>
      </c>
      <c r="D73" t="s">
        <v>488</v>
      </c>
    </row>
    <row r="74" spans="3:11" x14ac:dyDescent="0.25">
      <c r="C74" s="138"/>
      <c r="D74" t="s">
        <v>505</v>
      </c>
      <c r="G74" s="141" t="s">
        <v>502</v>
      </c>
    </row>
    <row r="75" spans="3:11" x14ac:dyDescent="0.25">
      <c r="C75" s="138"/>
      <c r="G75" s="141"/>
    </row>
    <row r="76" spans="3:11" x14ac:dyDescent="0.25">
      <c r="C76" s="138">
        <v>46275</v>
      </c>
      <c r="D76" t="s">
        <v>489</v>
      </c>
      <c r="G76" t="s">
        <v>471</v>
      </c>
      <c r="H76" s="141" t="s">
        <v>511</v>
      </c>
    </row>
    <row r="78" spans="3:11" x14ac:dyDescent="0.25">
      <c r="C78" s="138">
        <v>46276</v>
      </c>
      <c r="D78" t="s">
        <v>495</v>
      </c>
    </row>
    <row r="81" spans="1:13" x14ac:dyDescent="0.25">
      <c r="C81" s="153" t="s">
        <v>496</v>
      </c>
      <c r="D81" t="s">
        <v>497</v>
      </c>
      <c r="F81" t="s">
        <v>498</v>
      </c>
      <c r="M81" s="141" t="s">
        <v>508</v>
      </c>
    </row>
    <row r="83" spans="1:13" x14ac:dyDescent="0.25">
      <c r="C83" s="138">
        <v>46279</v>
      </c>
      <c r="D83" t="s">
        <v>499</v>
      </c>
    </row>
    <row r="84" spans="1:13" x14ac:dyDescent="0.25">
      <c r="D84" t="s">
        <v>500</v>
      </c>
    </row>
    <row r="86" spans="1:13" x14ac:dyDescent="0.25">
      <c r="C86" s="138">
        <v>46280</v>
      </c>
      <c r="D86" t="s">
        <v>501</v>
      </c>
      <c r="G86" s="141" t="s">
        <v>502</v>
      </c>
    </row>
    <row r="88" spans="1:13" x14ac:dyDescent="0.25">
      <c r="K88" s="141"/>
    </row>
    <row r="90" spans="1:13" x14ac:dyDescent="0.25">
      <c r="C90" s="153" t="s">
        <v>509</v>
      </c>
      <c r="D90" t="s">
        <v>497</v>
      </c>
      <c r="F90" t="s">
        <v>510</v>
      </c>
      <c r="M90" s="141" t="s">
        <v>508</v>
      </c>
    </row>
    <row r="92" spans="1:13" x14ac:dyDescent="0.25">
      <c r="A92" s="138"/>
      <c r="C92" s="138">
        <v>46286</v>
      </c>
      <c r="D92" t="s">
        <v>516</v>
      </c>
    </row>
    <row r="93" spans="1:13" x14ac:dyDescent="0.25">
      <c r="A93" s="138"/>
      <c r="C93" s="138"/>
    </row>
    <row r="94" spans="1:13" x14ac:dyDescent="0.25">
      <c r="C94" s="138">
        <v>46289</v>
      </c>
      <c r="D94" t="s">
        <v>512</v>
      </c>
      <c r="G94" t="s">
        <v>514</v>
      </c>
    </row>
    <row r="95" spans="1:13" x14ac:dyDescent="0.25">
      <c r="D95" t="s">
        <v>513</v>
      </c>
    </row>
    <row r="98" spans="1:20" x14ac:dyDescent="0.25">
      <c r="C98" s="153" t="s">
        <v>506</v>
      </c>
      <c r="D98" t="s">
        <v>497</v>
      </c>
      <c r="F98" t="s">
        <v>507</v>
      </c>
      <c r="L98" s="141" t="s">
        <v>508</v>
      </c>
    </row>
    <row r="102" spans="1:20" ht="18.75" x14ac:dyDescent="0.3">
      <c r="A102" s="155" t="s">
        <v>548</v>
      </c>
    </row>
    <row r="103" spans="1:20" ht="18.75" x14ac:dyDescent="0.3">
      <c r="A103" s="155"/>
    </row>
    <row r="104" spans="1:20" x14ac:dyDescent="0.25">
      <c r="C104" s="193" t="s">
        <v>555</v>
      </c>
    </row>
    <row r="105" spans="1:20" x14ac:dyDescent="0.25">
      <c r="C105" t="s">
        <v>469</v>
      </c>
      <c r="I105" s="141" t="s">
        <v>484</v>
      </c>
    </row>
    <row r="106" spans="1:20" x14ac:dyDescent="0.25">
      <c r="C106" t="s">
        <v>517</v>
      </c>
    </row>
    <row r="107" spans="1:20" x14ac:dyDescent="0.25">
      <c r="C107" t="s">
        <v>447</v>
      </c>
      <c r="H107" s="141" t="s">
        <v>482</v>
      </c>
      <c r="T107" s="194" t="s">
        <v>536</v>
      </c>
    </row>
    <row r="108" spans="1:20" x14ac:dyDescent="0.25">
      <c r="C108" s="190" t="s">
        <v>470</v>
      </c>
      <c r="D108" s="190"/>
      <c r="E108" s="190"/>
      <c r="F108" s="141" t="s">
        <v>479</v>
      </c>
      <c r="I108" s="191" t="s">
        <v>536</v>
      </c>
    </row>
    <row r="109" spans="1:20" x14ac:dyDescent="0.25">
      <c r="C109" s="152" t="s">
        <v>542</v>
      </c>
      <c r="D109" s="190"/>
      <c r="E109" s="190"/>
      <c r="F109" s="141"/>
      <c r="I109" s="191"/>
    </row>
    <row r="110" spans="1:20" x14ac:dyDescent="0.25">
      <c r="C110" s="152" t="s">
        <v>549</v>
      </c>
      <c r="D110" s="190"/>
      <c r="E110" s="190"/>
      <c r="F110" s="141"/>
      <c r="I110" s="191"/>
    </row>
    <row r="111" spans="1:20" x14ac:dyDescent="0.25">
      <c r="C111" s="152" t="s">
        <v>550</v>
      </c>
      <c r="D111" s="190"/>
      <c r="E111" s="190"/>
      <c r="F111" s="141"/>
      <c r="I111" s="191"/>
    </row>
    <row r="112" spans="1:20" x14ac:dyDescent="0.25">
      <c r="C112" s="152" t="s">
        <v>551</v>
      </c>
      <c r="D112" s="190"/>
      <c r="E112" s="190"/>
      <c r="F112" s="141"/>
      <c r="I112" s="191"/>
    </row>
    <row r="113" spans="3:9" x14ac:dyDescent="0.25">
      <c r="C113" s="152"/>
      <c r="D113" s="190"/>
      <c r="E113" s="190"/>
      <c r="F113" s="141"/>
      <c r="I113" s="191"/>
    </row>
    <row r="114" spans="3:9" x14ac:dyDescent="0.25">
      <c r="C114" s="153" t="s">
        <v>506</v>
      </c>
      <c r="D114" t="s">
        <v>497</v>
      </c>
      <c r="F114" t="s">
        <v>535</v>
      </c>
    </row>
    <row r="116" spans="3:9" x14ac:dyDescent="0.25">
      <c r="C116" s="138">
        <v>46293</v>
      </c>
      <c r="D116" t="s">
        <v>537</v>
      </c>
      <c r="E116" t="s">
        <v>538</v>
      </c>
      <c r="I116" t="s">
        <v>539</v>
      </c>
    </row>
    <row r="117" spans="3:9" x14ac:dyDescent="0.25">
      <c r="C117" s="138">
        <v>46293</v>
      </c>
      <c r="D117" t="s">
        <v>544</v>
      </c>
      <c r="G117" t="s">
        <v>552</v>
      </c>
    </row>
    <row r="118" spans="3:9" x14ac:dyDescent="0.25">
      <c r="C118" s="138">
        <v>46293</v>
      </c>
      <c r="D118" t="s">
        <v>553</v>
      </c>
    </row>
    <row r="119" spans="3:9" x14ac:dyDescent="0.25">
      <c r="C119" s="138"/>
    </row>
    <row r="120" spans="3:9" x14ac:dyDescent="0.25">
      <c r="C120" s="138"/>
    </row>
    <row r="121" spans="3:9" x14ac:dyDescent="0.25">
      <c r="C121" s="138"/>
    </row>
    <row r="122" spans="3:9" x14ac:dyDescent="0.25">
      <c r="C122" s="138"/>
    </row>
    <row r="123" spans="3:9" x14ac:dyDescent="0.25">
      <c r="C123" s="138"/>
    </row>
    <row r="124" spans="3:9" x14ac:dyDescent="0.25">
      <c r="C124" s="138"/>
    </row>
    <row r="125" spans="3:9" x14ac:dyDescent="0.25">
      <c r="C125" s="138"/>
    </row>
    <row r="126" spans="3:9" x14ac:dyDescent="0.25">
      <c r="C126" s="138"/>
    </row>
    <row r="127" spans="3:9" x14ac:dyDescent="0.25">
      <c r="C127" s="138"/>
    </row>
    <row r="128" spans="3:9" x14ac:dyDescent="0.25">
      <c r="C128" s="138"/>
    </row>
    <row r="129" spans="3:9" x14ac:dyDescent="0.25">
      <c r="C129" s="138"/>
    </row>
    <row r="130" spans="3:9" x14ac:dyDescent="0.25">
      <c r="C130" s="138"/>
    </row>
    <row r="131" spans="3:9" x14ac:dyDescent="0.25">
      <c r="C131" s="138"/>
    </row>
    <row r="132" spans="3:9" x14ac:dyDescent="0.25">
      <c r="C132" s="138"/>
    </row>
    <row r="134" spans="3:9" x14ac:dyDescent="0.25">
      <c r="C134" s="138">
        <v>46294</v>
      </c>
      <c r="D134" t="s">
        <v>554</v>
      </c>
    </row>
    <row r="135" spans="3:9" x14ac:dyDescent="0.25">
      <c r="C135" s="138">
        <v>46294</v>
      </c>
      <c r="D135" t="s">
        <v>540</v>
      </c>
      <c r="E135" t="s">
        <v>453</v>
      </c>
      <c r="G135" t="s">
        <v>541</v>
      </c>
    </row>
    <row r="138" spans="3:9" x14ac:dyDescent="0.25">
      <c r="C138" s="138">
        <v>46295</v>
      </c>
      <c r="D138" t="s">
        <v>556</v>
      </c>
      <c r="E138" t="s">
        <v>557</v>
      </c>
      <c r="I138" t="s">
        <v>558</v>
      </c>
    </row>
    <row r="139" spans="3:9" x14ac:dyDescent="0.25">
      <c r="C139" s="138">
        <v>46295</v>
      </c>
      <c r="D139" t="s">
        <v>560</v>
      </c>
    </row>
    <row r="142" spans="3:9" x14ac:dyDescent="0.25">
      <c r="C142" s="138">
        <v>46297</v>
      </c>
      <c r="D142" t="s">
        <v>559</v>
      </c>
    </row>
  </sheetData>
  <pageMargins left="0.25" right="0.25" top="0.75" bottom="0.75" header="0.3" footer="0.3"/>
  <pageSetup paperSize="8" fitToHeight="0" orientation="landscape" verticalDpi="0"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3F3CF-5F30-47EC-B5AE-BC4E01B26B6F}">
  <dimension ref="A1:M141"/>
  <sheetViews>
    <sheetView topLeftCell="A7" zoomScale="80" zoomScaleNormal="80" workbookViewId="0">
      <selection activeCell="B35" sqref="B35"/>
    </sheetView>
  </sheetViews>
  <sheetFormatPr defaultRowHeight="15" x14ac:dyDescent="0.25"/>
  <cols>
    <col min="1" max="1" width="14.140625" customWidth="1"/>
    <col min="2" max="2" width="31.42578125" style="73" customWidth="1"/>
    <col min="3" max="3" width="58.7109375" style="71" customWidth="1"/>
    <col min="4" max="4" width="98.140625" style="71" customWidth="1"/>
    <col min="7" max="7" width="20.42578125" customWidth="1"/>
    <col min="8" max="11" width="5.7109375" customWidth="1"/>
  </cols>
  <sheetData>
    <row r="1" spans="1:13" ht="6.75" customHeight="1" thickBot="1" x14ac:dyDescent="0.3">
      <c r="A1" s="11"/>
      <c r="B1" s="72"/>
      <c r="C1" s="70"/>
      <c r="D1" s="70"/>
      <c r="E1" s="11"/>
      <c r="F1" s="11"/>
      <c r="G1" s="11"/>
      <c r="H1" s="11"/>
      <c r="I1" s="11"/>
      <c r="J1" s="11"/>
      <c r="K1" s="11"/>
      <c r="L1" s="11"/>
      <c r="M1" s="43"/>
    </row>
    <row r="2" spans="1:13" ht="33" customHeight="1" thickBot="1" x14ac:dyDescent="0.3">
      <c r="A2" s="11"/>
      <c r="B2" s="72"/>
      <c r="C2" s="70"/>
      <c r="D2" s="74" t="s">
        <v>269</v>
      </c>
      <c r="E2" s="11"/>
      <c r="F2" s="11"/>
      <c r="G2" s="11"/>
      <c r="H2" s="11"/>
      <c r="I2" s="11"/>
      <c r="J2" s="11"/>
      <c r="K2" s="11"/>
      <c r="L2" s="11"/>
      <c r="M2" s="43"/>
    </row>
    <row r="3" spans="1:13" s="32" customFormat="1" ht="18" customHeight="1" x14ac:dyDescent="0.25">
      <c r="A3" s="233" t="s">
        <v>295</v>
      </c>
      <c r="B3" s="75" t="s">
        <v>270</v>
      </c>
      <c r="C3" s="75" t="s">
        <v>255</v>
      </c>
      <c r="D3" s="76" t="s">
        <v>256</v>
      </c>
      <c r="E3" s="12"/>
      <c r="F3" s="12"/>
      <c r="G3" s="12"/>
      <c r="H3" s="12"/>
      <c r="I3" s="12"/>
      <c r="J3" s="12"/>
      <c r="K3" s="12"/>
      <c r="L3" s="12"/>
      <c r="M3" s="12"/>
    </row>
    <row r="4" spans="1:13" s="32" customFormat="1" ht="18" customHeight="1" x14ac:dyDescent="0.25">
      <c r="A4" s="234"/>
      <c r="B4" s="77" t="s">
        <v>254</v>
      </c>
      <c r="C4" s="77" t="s">
        <v>257</v>
      </c>
      <c r="D4" s="77" t="s">
        <v>258</v>
      </c>
      <c r="E4" s="100" t="s">
        <v>356</v>
      </c>
      <c r="F4" s="12"/>
      <c r="G4" s="12"/>
      <c r="H4" s="12"/>
      <c r="I4" s="12"/>
      <c r="J4" s="12"/>
      <c r="K4" s="12"/>
      <c r="L4" s="12"/>
      <c r="M4" s="12"/>
    </row>
    <row r="5" spans="1:13" s="32" customFormat="1" ht="18" customHeight="1" x14ac:dyDescent="0.25">
      <c r="A5" s="234"/>
      <c r="B5" s="77" t="s">
        <v>259</v>
      </c>
      <c r="C5" s="77" t="s">
        <v>260</v>
      </c>
      <c r="D5" s="77"/>
      <c r="E5" s="12"/>
      <c r="F5" s="12"/>
      <c r="G5" s="12"/>
      <c r="H5" s="12"/>
      <c r="I5" s="12"/>
      <c r="J5" s="12"/>
      <c r="K5" s="12"/>
      <c r="L5" s="12"/>
      <c r="M5" s="12"/>
    </row>
    <row r="6" spans="1:13" s="32" customFormat="1" ht="18" customHeight="1" x14ac:dyDescent="0.25">
      <c r="A6" s="234"/>
      <c r="B6" s="77" t="s">
        <v>261</v>
      </c>
      <c r="C6" s="77" t="s">
        <v>262</v>
      </c>
      <c r="D6" s="77" t="s">
        <v>158</v>
      </c>
      <c r="E6" s="12"/>
      <c r="F6" s="12"/>
      <c r="G6" s="12"/>
      <c r="H6" s="12"/>
      <c r="I6" s="12"/>
      <c r="J6" s="12"/>
      <c r="K6" s="12"/>
      <c r="L6" s="12"/>
      <c r="M6" s="12"/>
    </row>
    <row r="7" spans="1:13" s="32" customFormat="1" ht="18" customHeight="1" x14ac:dyDescent="0.25">
      <c r="A7" s="234"/>
      <c r="B7" s="77" t="s">
        <v>263</v>
      </c>
      <c r="C7" s="77" t="s">
        <v>286</v>
      </c>
      <c r="D7" s="77"/>
      <c r="E7" s="12"/>
      <c r="F7" s="12"/>
      <c r="G7" s="12"/>
      <c r="H7" s="12"/>
      <c r="I7" s="12"/>
      <c r="J7" s="12"/>
      <c r="K7" s="12"/>
      <c r="L7" s="12"/>
      <c r="M7" s="12"/>
    </row>
    <row r="8" spans="1:13" s="32" customFormat="1" ht="18" customHeight="1" x14ac:dyDescent="0.25">
      <c r="A8" s="234"/>
      <c r="B8" s="77" t="s">
        <v>265</v>
      </c>
      <c r="C8" s="77" t="s">
        <v>142</v>
      </c>
      <c r="D8" s="77" t="s">
        <v>268</v>
      </c>
      <c r="E8" s="12"/>
      <c r="F8" s="12"/>
      <c r="G8" s="12"/>
      <c r="H8" s="12"/>
      <c r="I8" s="12"/>
      <c r="J8" s="12"/>
      <c r="K8" s="12"/>
      <c r="L8" s="12"/>
      <c r="M8" s="12"/>
    </row>
    <row r="9" spans="1:13" s="32" customFormat="1" ht="18" customHeight="1" x14ac:dyDescent="0.25">
      <c r="A9" s="234"/>
      <c r="B9" s="77" t="s">
        <v>266</v>
      </c>
      <c r="C9" s="78" t="s">
        <v>278</v>
      </c>
      <c r="D9" s="77" t="s">
        <v>267</v>
      </c>
      <c r="E9" s="99" t="s">
        <v>357</v>
      </c>
      <c r="F9" s="12"/>
      <c r="G9" s="12"/>
      <c r="H9" s="12"/>
      <c r="I9" s="12"/>
      <c r="J9" s="12"/>
      <c r="K9" s="12"/>
      <c r="L9" s="12"/>
      <c r="M9" s="12"/>
    </row>
    <row r="10" spans="1:13" s="32" customFormat="1" ht="18" customHeight="1" x14ac:dyDescent="0.25">
      <c r="A10" s="234"/>
      <c r="B10" s="77" t="s">
        <v>271</v>
      </c>
      <c r="C10" s="77" t="s">
        <v>272</v>
      </c>
      <c r="D10" s="79" t="s">
        <v>281</v>
      </c>
      <c r="E10" s="12"/>
      <c r="F10" s="12"/>
      <c r="G10" s="12"/>
      <c r="H10" s="12"/>
      <c r="I10" s="12"/>
      <c r="J10" s="12"/>
      <c r="K10" s="12"/>
      <c r="L10" s="12"/>
      <c r="M10" s="12"/>
    </row>
    <row r="11" spans="1:13" s="32" customFormat="1" ht="18" customHeight="1" x14ac:dyDescent="0.25">
      <c r="A11" s="234"/>
      <c r="B11" s="77" t="s">
        <v>275</v>
      </c>
      <c r="C11" s="77" t="s">
        <v>287</v>
      </c>
      <c r="D11" s="77"/>
      <c r="E11" s="12"/>
      <c r="F11" s="12"/>
      <c r="G11" s="12"/>
      <c r="H11" s="12"/>
      <c r="I11" s="12"/>
      <c r="J11" s="12"/>
      <c r="K11" s="12"/>
      <c r="L11" s="80"/>
      <c r="M11" s="12"/>
    </row>
    <row r="12" spans="1:13" s="32" customFormat="1" ht="18" customHeight="1" x14ac:dyDescent="0.25">
      <c r="A12" s="234"/>
      <c r="B12" s="77" t="s">
        <v>276</v>
      </c>
      <c r="C12" s="77" t="s">
        <v>288</v>
      </c>
      <c r="D12" s="77"/>
      <c r="E12" s="12"/>
      <c r="F12" s="12"/>
      <c r="G12" s="12"/>
      <c r="H12" s="12"/>
      <c r="I12" s="12"/>
      <c r="J12" s="12"/>
      <c r="K12" s="12"/>
      <c r="L12" s="80"/>
      <c r="M12" s="12"/>
    </row>
    <row r="13" spans="1:13" s="32" customFormat="1" ht="18" customHeight="1" x14ac:dyDescent="0.25">
      <c r="A13" s="234"/>
      <c r="B13" s="77" t="s">
        <v>51</v>
      </c>
      <c r="C13" s="77" t="s">
        <v>277</v>
      </c>
      <c r="D13" s="77"/>
      <c r="E13" s="12"/>
      <c r="F13" s="12"/>
      <c r="G13" s="12"/>
      <c r="H13" s="12"/>
      <c r="I13" s="12"/>
      <c r="J13" s="12"/>
      <c r="K13" s="12"/>
      <c r="L13" s="12"/>
      <c r="M13" s="12"/>
    </row>
    <row r="14" spans="1:13" s="32" customFormat="1" ht="18" customHeight="1" x14ac:dyDescent="0.25">
      <c r="A14" s="234"/>
      <c r="B14" s="77" t="s">
        <v>56</v>
      </c>
      <c r="C14" s="77" t="s">
        <v>279</v>
      </c>
      <c r="D14" s="77"/>
      <c r="E14" s="12"/>
      <c r="F14" s="12"/>
      <c r="G14" s="12"/>
      <c r="H14" s="12"/>
      <c r="I14" s="12"/>
      <c r="J14" s="12"/>
      <c r="K14" s="12"/>
      <c r="L14" s="12"/>
      <c r="M14" s="12"/>
    </row>
    <row r="15" spans="1:13" s="32" customFormat="1" ht="18" customHeight="1" x14ac:dyDescent="0.25">
      <c r="A15" s="234"/>
      <c r="B15" s="77" t="s">
        <v>128</v>
      </c>
      <c r="C15" s="77" t="s">
        <v>291</v>
      </c>
      <c r="D15" s="77" t="s">
        <v>280</v>
      </c>
      <c r="E15" s="64"/>
      <c r="F15" s="64"/>
      <c r="G15" s="64"/>
      <c r="H15" s="228" t="s">
        <v>248</v>
      </c>
      <c r="I15" s="228" t="s">
        <v>252</v>
      </c>
      <c r="J15" s="228" t="s">
        <v>251</v>
      </c>
      <c r="K15" s="229" t="s">
        <v>253</v>
      </c>
      <c r="L15" s="64"/>
      <c r="M15" s="12"/>
    </row>
    <row r="16" spans="1:13" s="32" customFormat="1" ht="18" customHeight="1" x14ac:dyDescent="0.25">
      <c r="A16" s="234"/>
      <c r="B16" s="77" t="s">
        <v>129</v>
      </c>
      <c r="C16" s="77" t="s">
        <v>290</v>
      </c>
      <c r="D16" s="77" t="s">
        <v>280</v>
      </c>
      <c r="E16" s="64"/>
      <c r="F16" s="64"/>
      <c r="G16" s="64"/>
      <c r="H16" s="228"/>
      <c r="I16" s="228"/>
      <c r="J16" s="228"/>
      <c r="K16" s="228"/>
    </row>
    <row r="17" spans="1:11" s="32" customFormat="1" ht="18" customHeight="1" x14ac:dyDescent="0.25">
      <c r="A17" s="234"/>
      <c r="B17" s="77" t="s">
        <v>282</v>
      </c>
      <c r="C17" s="77" t="s">
        <v>283</v>
      </c>
      <c r="D17" s="77" t="s">
        <v>358</v>
      </c>
      <c r="E17" s="64" t="s">
        <v>375</v>
      </c>
      <c r="F17" s="64"/>
      <c r="G17" s="64"/>
      <c r="H17" s="228"/>
      <c r="I17" s="228"/>
      <c r="J17" s="228"/>
      <c r="K17" s="228"/>
    </row>
    <row r="18" spans="1:11" s="32" customFormat="1" ht="18" customHeight="1" thickBot="1" x14ac:dyDescent="0.3">
      <c r="A18" s="235"/>
      <c r="B18" s="81" t="s">
        <v>284</v>
      </c>
      <c r="C18" s="81" t="s">
        <v>289</v>
      </c>
      <c r="D18" s="81" t="s">
        <v>393</v>
      </c>
      <c r="E18" s="101" t="s">
        <v>359</v>
      </c>
      <c r="F18" s="64"/>
      <c r="G18" s="64"/>
      <c r="H18" s="228"/>
      <c r="I18" s="228"/>
      <c r="J18" s="228"/>
      <c r="K18" s="228"/>
    </row>
    <row r="19" spans="1:11" s="32" customFormat="1" ht="20.100000000000001" customHeight="1" thickBot="1" x14ac:dyDescent="0.3">
      <c r="A19" s="84" t="s">
        <v>318</v>
      </c>
      <c r="B19" s="82" t="s">
        <v>140</v>
      </c>
      <c r="C19" s="82" t="s">
        <v>292</v>
      </c>
      <c r="D19" s="82" t="s">
        <v>294</v>
      </c>
      <c r="H19" s="228"/>
      <c r="I19" s="228"/>
      <c r="J19" s="228"/>
      <c r="K19" s="228"/>
    </row>
    <row r="20" spans="1:11" s="32" customFormat="1" ht="20.100000000000001" customHeight="1" thickBot="1" x14ac:dyDescent="0.3">
      <c r="A20" s="84" t="s">
        <v>285</v>
      </c>
      <c r="B20" s="82" t="s">
        <v>285</v>
      </c>
      <c r="C20" s="82" t="s">
        <v>293</v>
      </c>
      <c r="D20" s="82" t="s">
        <v>378</v>
      </c>
      <c r="H20" s="228"/>
      <c r="I20" s="228"/>
      <c r="J20" s="228"/>
      <c r="K20" s="228"/>
    </row>
    <row r="21" spans="1:11" s="32" customFormat="1" ht="18" customHeight="1" x14ac:dyDescent="0.25">
      <c r="A21" s="233" t="s">
        <v>125</v>
      </c>
      <c r="B21" s="75" t="s">
        <v>138</v>
      </c>
      <c r="C21" s="75" t="s">
        <v>305</v>
      </c>
      <c r="D21" s="75" t="s">
        <v>300</v>
      </c>
      <c r="G21" s="31" t="s">
        <v>341</v>
      </c>
      <c r="H21" s="31">
        <v>0</v>
      </c>
      <c r="I21" s="31">
        <v>1</v>
      </c>
      <c r="J21" s="31">
        <v>0</v>
      </c>
      <c r="K21" s="31">
        <v>1</v>
      </c>
    </row>
    <row r="22" spans="1:11" s="32" customFormat="1" ht="18" customHeight="1" x14ac:dyDescent="0.25">
      <c r="A22" s="236"/>
      <c r="B22" s="77" t="s">
        <v>139</v>
      </c>
      <c r="C22" s="77" t="s">
        <v>305</v>
      </c>
      <c r="D22" s="77" t="s">
        <v>301</v>
      </c>
      <c r="G22" s="31" t="s">
        <v>249</v>
      </c>
      <c r="H22" s="31">
        <v>0</v>
      </c>
      <c r="I22" s="31">
        <v>0</v>
      </c>
      <c r="J22" s="31">
        <v>0</v>
      </c>
      <c r="K22" s="31">
        <v>1</v>
      </c>
    </row>
    <row r="23" spans="1:11" s="32" customFormat="1" ht="18" customHeight="1" x14ac:dyDescent="0.25">
      <c r="A23" s="236"/>
      <c r="B23" s="77" t="s">
        <v>137</v>
      </c>
      <c r="C23" s="77" t="s">
        <v>305</v>
      </c>
      <c r="D23" s="77" t="s">
        <v>302</v>
      </c>
      <c r="G23" s="31" t="s">
        <v>250</v>
      </c>
      <c r="H23" s="31">
        <v>0</v>
      </c>
      <c r="I23" s="31">
        <v>0</v>
      </c>
      <c r="J23" s="31">
        <v>1</v>
      </c>
      <c r="K23" s="31">
        <v>0</v>
      </c>
    </row>
    <row r="24" spans="1:11" s="32" customFormat="1" ht="18" customHeight="1" x14ac:dyDescent="0.25">
      <c r="A24" s="236"/>
      <c r="B24" s="77" t="s">
        <v>144</v>
      </c>
      <c r="C24" s="77" t="s">
        <v>305</v>
      </c>
      <c r="D24" s="77" t="s">
        <v>303</v>
      </c>
      <c r="G24" s="31" t="s">
        <v>342</v>
      </c>
      <c r="H24" s="31">
        <v>0</v>
      </c>
      <c r="I24" s="31">
        <v>0</v>
      </c>
      <c r="J24" s="31">
        <v>0</v>
      </c>
      <c r="K24" s="31">
        <v>1</v>
      </c>
    </row>
    <row r="25" spans="1:11" s="32" customFormat="1" ht="18" customHeight="1" x14ac:dyDescent="0.25">
      <c r="A25" s="236"/>
      <c r="B25" s="77" t="s">
        <v>145</v>
      </c>
      <c r="C25" s="77" t="s">
        <v>305</v>
      </c>
      <c r="D25" s="77" t="s">
        <v>304</v>
      </c>
      <c r="G25" s="31" t="s">
        <v>343</v>
      </c>
      <c r="H25" s="31">
        <v>1</v>
      </c>
      <c r="I25" s="31">
        <v>0</v>
      </c>
      <c r="J25" s="31">
        <v>0</v>
      </c>
      <c r="K25" s="31">
        <v>1</v>
      </c>
    </row>
    <row r="26" spans="1:11" s="32" customFormat="1" ht="18" customHeight="1" x14ac:dyDescent="0.25">
      <c r="A26" s="236"/>
      <c r="B26" s="77" t="s">
        <v>130</v>
      </c>
      <c r="C26" s="77" t="s">
        <v>306</v>
      </c>
      <c r="D26" s="77" t="s">
        <v>347</v>
      </c>
    </row>
    <row r="27" spans="1:11" s="32" customFormat="1" ht="18" customHeight="1" x14ac:dyDescent="0.25">
      <c r="A27" s="236"/>
      <c r="B27" s="77" t="s">
        <v>143</v>
      </c>
      <c r="C27" s="77" t="s">
        <v>307</v>
      </c>
      <c r="D27" s="77" t="s">
        <v>348</v>
      </c>
      <c r="E27" s="29" t="s">
        <v>360</v>
      </c>
    </row>
    <row r="28" spans="1:11" s="32" customFormat="1" ht="18" customHeight="1" x14ac:dyDescent="0.25">
      <c r="A28" s="236"/>
      <c r="B28" s="77" t="s">
        <v>296</v>
      </c>
      <c r="C28" s="77" t="s">
        <v>310</v>
      </c>
      <c r="D28" s="77" t="s">
        <v>308</v>
      </c>
    </row>
    <row r="29" spans="1:11" s="32" customFormat="1" ht="18" customHeight="1" x14ac:dyDescent="0.25">
      <c r="A29" s="236"/>
      <c r="B29" s="77" t="s">
        <v>297</v>
      </c>
      <c r="C29" s="77" t="s">
        <v>311</v>
      </c>
      <c r="D29" s="77" t="s">
        <v>309</v>
      </c>
    </row>
    <row r="30" spans="1:11" s="32" customFormat="1" ht="18" customHeight="1" x14ac:dyDescent="0.25">
      <c r="A30" s="236"/>
      <c r="B30" s="77" t="s">
        <v>298</v>
      </c>
      <c r="C30" s="77" t="s">
        <v>312</v>
      </c>
      <c r="D30" s="77" t="s">
        <v>308</v>
      </c>
    </row>
    <row r="31" spans="1:11" s="32" customFormat="1" ht="18" customHeight="1" thickBot="1" x14ac:dyDescent="0.3">
      <c r="A31" s="237"/>
      <c r="B31" s="81" t="s">
        <v>299</v>
      </c>
      <c r="C31" s="81" t="s">
        <v>313</v>
      </c>
      <c r="D31" s="81" t="s">
        <v>309</v>
      </c>
    </row>
    <row r="32" spans="1:11" s="32" customFormat="1" ht="18" customHeight="1" x14ac:dyDescent="0.25">
      <c r="A32" s="238" t="s">
        <v>56</v>
      </c>
      <c r="B32" s="75" t="s">
        <v>412</v>
      </c>
      <c r="C32" s="75" t="s">
        <v>319</v>
      </c>
      <c r="D32" s="75" t="s">
        <v>320</v>
      </c>
    </row>
    <row r="33" spans="1:4" s="32" customFormat="1" ht="18" customHeight="1" x14ac:dyDescent="0.25">
      <c r="A33" s="239"/>
      <c r="B33" s="77" t="s">
        <v>133</v>
      </c>
      <c r="C33" s="77" t="s">
        <v>328</v>
      </c>
      <c r="D33" s="77" t="s">
        <v>337</v>
      </c>
    </row>
    <row r="34" spans="1:4" s="32" customFormat="1" ht="18" customHeight="1" x14ac:dyDescent="0.25">
      <c r="A34" s="239"/>
      <c r="B34" s="77" t="s">
        <v>134</v>
      </c>
      <c r="C34" s="77" t="s">
        <v>329</v>
      </c>
      <c r="D34" s="77" t="s">
        <v>337</v>
      </c>
    </row>
    <row r="35" spans="1:4" s="32" customFormat="1" ht="18" customHeight="1" x14ac:dyDescent="0.25">
      <c r="A35" s="239"/>
      <c r="B35" s="77" t="s">
        <v>314</v>
      </c>
      <c r="C35" s="77" t="s">
        <v>330</v>
      </c>
      <c r="D35" s="77" t="s">
        <v>320</v>
      </c>
    </row>
    <row r="36" spans="1:4" s="32" customFormat="1" ht="18" customHeight="1" x14ac:dyDescent="0.25">
      <c r="A36" s="239"/>
      <c r="B36" s="77" t="s">
        <v>410</v>
      </c>
      <c r="C36" s="77" t="s">
        <v>326</v>
      </c>
      <c r="D36" s="77" t="s">
        <v>320</v>
      </c>
    </row>
    <row r="37" spans="1:4" s="32" customFormat="1" ht="18" customHeight="1" thickBot="1" x14ac:dyDescent="0.3">
      <c r="A37" s="240"/>
      <c r="B37" s="81" t="s">
        <v>411</v>
      </c>
      <c r="C37" s="81" t="s">
        <v>326</v>
      </c>
      <c r="D37" s="81" t="s">
        <v>320</v>
      </c>
    </row>
    <row r="38" spans="1:4" s="32" customFormat="1" ht="18" customHeight="1" x14ac:dyDescent="0.25">
      <c r="A38" s="233" t="s">
        <v>57</v>
      </c>
      <c r="B38" s="75" t="s">
        <v>403</v>
      </c>
      <c r="C38" s="75" t="s">
        <v>332</v>
      </c>
      <c r="D38" s="75" t="s">
        <v>320</v>
      </c>
    </row>
    <row r="39" spans="1:4" s="32" customFormat="1" ht="18" customHeight="1" x14ac:dyDescent="0.25">
      <c r="A39" s="236"/>
      <c r="B39" s="77" t="s">
        <v>404</v>
      </c>
      <c r="C39" s="77" t="s">
        <v>332</v>
      </c>
      <c r="D39" s="77" t="s">
        <v>320</v>
      </c>
    </row>
    <row r="40" spans="1:4" s="32" customFormat="1" ht="18" customHeight="1" x14ac:dyDescent="0.25">
      <c r="A40" s="236"/>
      <c r="B40" s="77" t="s">
        <v>405</v>
      </c>
      <c r="C40" s="77" t="s">
        <v>333</v>
      </c>
      <c r="D40" s="77" t="s">
        <v>320</v>
      </c>
    </row>
    <row r="41" spans="1:4" s="32" customFormat="1" ht="18" customHeight="1" x14ac:dyDescent="0.25">
      <c r="A41" s="236"/>
      <c r="B41" s="77" t="s">
        <v>331</v>
      </c>
      <c r="C41" s="77" t="s">
        <v>334</v>
      </c>
      <c r="D41" s="77" t="s">
        <v>337</v>
      </c>
    </row>
    <row r="42" spans="1:4" s="32" customFormat="1" ht="18" customHeight="1" x14ac:dyDescent="0.25">
      <c r="A42" s="236"/>
      <c r="B42" s="77" t="s">
        <v>338</v>
      </c>
      <c r="C42" s="77" t="s">
        <v>335</v>
      </c>
      <c r="D42" s="77" t="s">
        <v>337</v>
      </c>
    </row>
    <row r="43" spans="1:4" s="32" customFormat="1" ht="18" customHeight="1" x14ac:dyDescent="0.25">
      <c r="A43" s="236"/>
      <c r="B43" s="77" t="s">
        <v>406</v>
      </c>
      <c r="C43" s="77" t="s">
        <v>339</v>
      </c>
      <c r="D43" s="77" t="s">
        <v>320</v>
      </c>
    </row>
    <row r="44" spans="1:4" s="32" customFormat="1" ht="18" customHeight="1" x14ac:dyDescent="0.25">
      <c r="A44" s="236"/>
      <c r="B44" s="77" t="s">
        <v>407</v>
      </c>
      <c r="C44" s="77" t="s">
        <v>340</v>
      </c>
      <c r="D44" s="77" t="s">
        <v>320</v>
      </c>
    </row>
    <row r="45" spans="1:4" s="32" customFormat="1" ht="18" customHeight="1" x14ac:dyDescent="0.25">
      <c r="A45" s="236"/>
      <c r="B45" s="77" t="s">
        <v>408</v>
      </c>
      <c r="C45" s="77" t="s">
        <v>336</v>
      </c>
      <c r="D45" s="77" t="s">
        <v>320</v>
      </c>
    </row>
    <row r="46" spans="1:4" s="32" customFormat="1" ht="18" customHeight="1" thickBot="1" x14ac:dyDescent="0.3">
      <c r="A46" s="237"/>
      <c r="B46" s="81" t="s">
        <v>409</v>
      </c>
      <c r="C46" s="81" t="s">
        <v>334</v>
      </c>
      <c r="D46" s="81" t="s">
        <v>320</v>
      </c>
    </row>
    <row r="47" spans="1:4" s="32" customFormat="1" ht="18" customHeight="1" x14ac:dyDescent="0.25">
      <c r="A47" s="230" t="s">
        <v>345</v>
      </c>
      <c r="B47" s="75" t="s">
        <v>135</v>
      </c>
      <c r="C47" s="75"/>
      <c r="D47" s="85" t="s">
        <v>346</v>
      </c>
    </row>
    <row r="48" spans="1:4" s="32" customFormat="1" ht="18" customHeight="1" x14ac:dyDescent="0.25">
      <c r="A48" s="231"/>
      <c r="B48" s="77" t="s">
        <v>237</v>
      </c>
      <c r="C48" s="77"/>
      <c r="D48" s="86" t="s">
        <v>346</v>
      </c>
    </row>
    <row r="49" spans="1:4" s="32" customFormat="1" ht="18" customHeight="1" x14ac:dyDescent="0.25">
      <c r="A49" s="231"/>
      <c r="B49" s="77" t="s">
        <v>238</v>
      </c>
      <c r="C49" s="77"/>
      <c r="D49" s="86" t="s">
        <v>346</v>
      </c>
    </row>
    <row r="50" spans="1:4" s="32" customFormat="1" ht="18" customHeight="1" x14ac:dyDescent="0.25">
      <c r="A50" s="231"/>
      <c r="B50" s="77" t="s">
        <v>344</v>
      </c>
      <c r="C50" s="77"/>
      <c r="D50" s="86" t="s">
        <v>346</v>
      </c>
    </row>
    <row r="51" spans="1:4" s="32" customFormat="1" ht="18" customHeight="1" x14ac:dyDescent="0.25">
      <c r="A51" s="231"/>
      <c r="B51" s="77" t="s">
        <v>240</v>
      </c>
      <c r="C51" s="77"/>
      <c r="D51" s="86" t="s">
        <v>346</v>
      </c>
    </row>
    <row r="52" spans="1:4" s="32" customFormat="1" ht="18" customHeight="1" x14ac:dyDescent="0.25">
      <c r="A52" s="231"/>
      <c r="B52" s="77" t="s">
        <v>241</v>
      </c>
      <c r="C52" s="77"/>
      <c r="D52" s="86" t="s">
        <v>346</v>
      </c>
    </row>
    <row r="53" spans="1:4" s="32" customFormat="1" ht="18" customHeight="1" x14ac:dyDescent="0.25">
      <c r="A53" s="231"/>
      <c r="B53" s="77" t="s">
        <v>242</v>
      </c>
      <c r="C53" s="77"/>
      <c r="D53" s="86" t="s">
        <v>346</v>
      </c>
    </row>
    <row r="54" spans="1:4" s="32" customFormat="1" ht="18" customHeight="1" x14ac:dyDescent="0.25">
      <c r="A54" s="231"/>
      <c r="B54" s="77" t="s">
        <v>136</v>
      </c>
      <c r="C54" s="77"/>
      <c r="D54" s="86" t="s">
        <v>346</v>
      </c>
    </row>
    <row r="55" spans="1:4" s="32" customFormat="1" ht="18" customHeight="1" x14ac:dyDescent="0.25">
      <c r="A55" s="231"/>
      <c r="B55" s="77" t="s">
        <v>243</v>
      </c>
      <c r="C55" s="77"/>
      <c r="D55" s="86" t="s">
        <v>346</v>
      </c>
    </row>
    <row r="56" spans="1:4" s="32" customFormat="1" ht="18" customHeight="1" x14ac:dyDescent="0.25">
      <c r="A56" s="231"/>
      <c r="B56" s="77" t="s">
        <v>244</v>
      </c>
      <c r="C56" s="77"/>
      <c r="D56" s="86" t="s">
        <v>346</v>
      </c>
    </row>
    <row r="57" spans="1:4" s="32" customFormat="1" ht="18" customHeight="1" x14ac:dyDescent="0.25">
      <c r="A57" s="231"/>
      <c r="B57" s="77" t="s">
        <v>245</v>
      </c>
      <c r="C57" s="77"/>
      <c r="D57" s="86" t="s">
        <v>346</v>
      </c>
    </row>
    <row r="58" spans="1:4" s="32" customFormat="1" ht="18" customHeight="1" x14ac:dyDescent="0.25">
      <c r="A58" s="231"/>
      <c r="B58" s="77" t="s">
        <v>246</v>
      </c>
      <c r="C58" s="77"/>
      <c r="D58" s="86" t="s">
        <v>346</v>
      </c>
    </row>
    <row r="59" spans="1:4" s="32" customFormat="1" ht="18" customHeight="1" thickBot="1" x14ac:dyDescent="0.3">
      <c r="A59" s="232"/>
      <c r="B59" s="81" t="s">
        <v>247</v>
      </c>
      <c r="C59" s="81"/>
      <c r="D59" s="87" t="s">
        <v>346</v>
      </c>
    </row>
    <row r="60" spans="1:4" s="32" customFormat="1" ht="18" customHeight="1" x14ac:dyDescent="0.25">
      <c r="B60" s="64"/>
      <c r="C60" s="64"/>
      <c r="D60" s="64"/>
    </row>
    <row r="61" spans="1:4" s="32" customFormat="1" ht="18" customHeight="1" x14ac:dyDescent="0.25">
      <c r="B61" s="64"/>
      <c r="C61" s="64"/>
      <c r="D61" s="64"/>
    </row>
    <row r="62" spans="1:4" s="32" customFormat="1" ht="18" customHeight="1" x14ac:dyDescent="0.25">
      <c r="B62" s="64"/>
      <c r="C62" s="64"/>
      <c r="D62" s="64"/>
    </row>
    <row r="63" spans="1:4" s="32" customFormat="1" ht="18" customHeight="1" x14ac:dyDescent="0.25">
      <c r="B63" s="83"/>
      <c r="C63" s="64"/>
      <c r="D63" s="64"/>
    </row>
    <row r="64" spans="1:4" s="32" customFormat="1" ht="18" customHeight="1" x14ac:dyDescent="0.25">
      <c r="B64" s="83"/>
      <c r="C64" s="64"/>
      <c r="D64" s="64"/>
    </row>
    <row r="65" spans="2:4" s="32" customFormat="1" ht="18" customHeight="1" x14ac:dyDescent="0.25">
      <c r="B65" s="83"/>
      <c r="C65" s="64"/>
      <c r="D65" s="64"/>
    </row>
    <row r="66" spans="2:4" s="32" customFormat="1" ht="18" customHeight="1" x14ac:dyDescent="0.25">
      <c r="B66" s="83"/>
      <c r="C66" s="64"/>
      <c r="D66" s="64"/>
    </row>
    <row r="67" spans="2:4" s="32" customFormat="1" ht="18" customHeight="1" x14ac:dyDescent="0.25">
      <c r="B67" s="83"/>
      <c r="C67" s="64"/>
      <c r="D67" s="64"/>
    </row>
    <row r="68" spans="2:4" s="32" customFormat="1" ht="18" customHeight="1" x14ac:dyDescent="0.25">
      <c r="B68" s="83"/>
      <c r="C68" s="64"/>
      <c r="D68" s="64"/>
    </row>
    <row r="69" spans="2:4" s="32" customFormat="1" ht="18" customHeight="1" x14ac:dyDescent="0.25">
      <c r="B69" s="83"/>
      <c r="C69" s="64"/>
      <c r="D69" s="64"/>
    </row>
    <row r="70" spans="2:4" s="32" customFormat="1" ht="18" customHeight="1" x14ac:dyDescent="0.25">
      <c r="B70" s="83"/>
      <c r="C70" s="64"/>
      <c r="D70" s="64"/>
    </row>
    <row r="71" spans="2:4" s="32" customFormat="1" ht="18" customHeight="1" x14ac:dyDescent="0.25">
      <c r="B71" s="83"/>
      <c r="C71" s="64"/>
      <c r="D71" s="64"/>
    </row>
    <row r="72" spans="2:4" s="32" customFormat="1" ht="18" customHeight="1" x14ac:dyDescent="0.25">
      <c r="B72" s="83"/>
      <c r="C72" s="64"/>
      <c r="D72" s="64"/>
    </row>
    <row r="73" spans="2:4" s="32" customFormat="1" ht="18" customHeight="1" x14ac:dyDescent="0.25">
      <c r="B73" s="83"/>
      <c r="C73" s="64"/>
      <c r="D73" s="64"/>
    </row>
    <row r="74" spans="2:4" s="32" customFormat="1" ht="18" customHeight="1" x14ac:dyDescent="0.25">
      <c r="B74" s="33"/>
      <c r="C74" s="64"/>
      <c r="D74" s="64"/>
    </row>
    <row r="75" spans="2:4" s="32" customFormat="1" ht="18" customHeight="1" x14ac:dyDescent="0.25">
      <c r="B75" s="33"/>
      <c r="C75" s="64"/>
      <c r="D75" s="64"/>
    </row>
    <row r="76" spans="2:4" s="32" customFormat="1" ht="18" customHeight="1" x14ac:dyDescent="0.25">
      <c r="B76" s="33"/>
      <c r="C76" s="64"/>
      <c r="D76" s="64"/>
    </row>
    <row r="77" spans="2:4" s="32" customFormat="1" ht="18" customHeight="1" x14ac:dyDescent="0.25">
      <c r="B77" s="33"/>
      <c r="C77" s="64"/>
      <c r="D77" s="64"/>
    </row>
    <row r="78" spans="2:4" s="32" customFormat="1" ht="18" customHeight="1" x14ac:dyDescent="0.25">
      <c r="B78" s="33"/>
      <c r="C78" s="64"/>
      <c r="D78" s="64"/>
    </row>
    <row r="79" spans="2:4" s="32" customFormat="1" ht="18" customHeight="1" x14ac:dyDescent="0.25">
      <c r="B79" s="33"/>
      <c r="C79" s="64"/>
      <c r="D79" s="64"/>
    </row>
    <row r="80" spans="2:4" s="32" customFormat="1" ht="18" customHeight="1" x14ac:dyDescent="0.25">
      <c r="B80" s="33"/>
      <c r="C80" s="64"/>
      <c r="D80" s="64"/>
    </row>
    <row r="81" spans="2:4" s="32" customFormat="1" ht="18" customHeight="1" x14ac:dyDescent="0.25">
      <c r="B81" s="33"/>
      <c r="C81" s="64"/>
      <c r="D81" s="64"/>
    </row>
    <row r="82" spans="2:4" s="32" customFormat="1" ht="18" customHeight="1" x14ac:dyDescent="0.25">
      <c r="B82" s="33"/>
      <c r="C82" s="64"/>
      <c r="D82" s="64"/>
    </row>
    <row r="83" spans="2:4" s="32" customFormat="1" ht="18" customHeight="1" x14ac:dyDescent="0.25">
      <c r="B83" s="33"/>
      <c r="C83" s="64"/>
      <c r="D83" s="64"/>
    </row>
    <row r="84" spans="2:4" s="32" customFormat="1" ht="18" customHeight="1" x14ac:dyDescent="0.25">
      <c r="B84" s="33"/>
      <c r="C84" s="64"/>
      <c r="D84" s="64"/>
    </row>
    <row r="85" spans="2:4" s="32" customFormat="1" ht="18" customHeight="1" x14ac:dyDescent="0.25">
      <c r="B85" s="33"/>
      <c r="C85" s="64"/>
      <c r="D85" s="64"/>
    </row>
    <row r="86" spans="2:4" s="32" customFormat="1" ht="18" customHeight="1" x14ac:dyDescent="0.25">
      <c r="B86" s="33"/>
      <c r="C86" s="64"/>
      <c r="D86" s="64"/>
    </row>
    <row r="87" spans="2:4" s="32" customFormat="1" ht="18" customHeight="1" x14ac:dyDescent="0.25">
      <c r="B87" s="33"/>
      <c r="C87" s="64"/>
      <c r="D87" s="64"/>
    </row>
    <row r="88" spans="2:4" s="32" customFormat="1" ht="18" customHeight="1" x14ac:dyDescent="0.25">
      <c r="B88" s="33"/>
      <c r="C88" s="64"/>
      <c r="D88" s="64"/>
    </row>
    <row r="89" spans="2:4" s="32" customFormat="1" ht="18" customHeight="1" x14ac:dyDescent="0.25">
      <c r="B89" s="33"/>
      <c r="C89" s="64"/>
      <c r="D89" s="64"/>
    </row>
    <row r="90" spans="2:4" s="32" customFormat="1" ht="18" customHeight="1" x14ac:dyDescent="0.25">
      <c r="B90" s="33"/>
      <c r="C90" s="64"/>
      <c r="D90" s="64"/>
    </row>
    <row r="91" spans="2:4" s="32" customFormat="1" ht="18" customHeight="1" x14ac:dyDescent="0.25">
      <c r="B91" s="33"/>
      <c r="C91" s="64"/>
      <c r="D91" s="64"/>
    </row>
    <row r="92" spans="2:4" s="32" customFormat="1" ht="18" customHeight="1" x14ac:dyDescent="0.25">
      <c r="B92" s="33"/>
      <c r="C92" s="64"/>
      <c r="D92" s="64"/>
    </row>
    <row r="93" spans="2:4" s="32" customFormat="1" ht="18" customHeight="1" x14ac:dyDescent="0.25">
      <c r="B93" s="33"/>
      <c r="C93" s="64"/>
      <c r="D93" s="64"/>
    </row>
    <row r="94" spans="2:4" s="32" customFormat="1" ht="18" customHeight="1" x14ac:dyDescent="0.25">
      <c r="B94" s="33"/>
      <c r="C94" s="64"/>
      <c r="D94" s="64"/>
    </row>
    <row r="95" spans="2:4" s="32" customFormat="1" ht="18" customHeight="1" x14ac:dyDescent="0.25">
      <c r="B95" s="33"/>
      <c r="C95" s="64"/>
      <c r="D95" s="64"/>
    </row>
    <row r="96" spans="2:4" s="32" customFormat="1" ht="18" customHeight="1" x14ac:dyDescent="0.25">
      <c r="B96" s="33"/>
      <c r="C96" s="64"/>
      <c r="D96" s="64"/>
    </row>
    <row r="97" spans="2:4" s="32" customFormat="1" ht="18" customHeight="1" x14ac:dyDescent="0.25">
      <c r="B97" s="33"/>
      <c r="C97" s="64"/>
      <c r="D97" s="64"/>
    </row>
    <row r="98" spans="2:4" s="32" customFormat="1" ht="18" customHeight="1" x14ac:dyDescent="0.25">
      <c r="B98" s="33"/>
      <c r="C98" s="64"/>
      <c r="D98" s="64"/>
    </row>
    <row r="99" spans="2:4" s="32" customFormat="1" ht="18" customHeight="1" x14ac:dyDescent="0.25">
      <c r="B99" s="33"/>
      <c r="C99" s="64"/>
      <c r="D99" s="64"/>
    </row>
    <row r="100" spans="2:4" s="32" customFormat="1" ht="18" customHeight="1" x14ac:dyDescent="0.25">
      <c r="B100" s="33"/>
      <c r="C100" s="64"/>
      <c r="D100" s="64"/>
    </row>
    <row r="101" spans="2:4" x14ac:dyDescent="0.25">
      <c r="B101" s="69"/>
      <c r="C101" s="68"/>
      <c r="D101" s="68"/>
    </row>
    <row r="102" spans="2:4" x14ac:dyDescent="0.25">
      <c r="B102" s="69"/>
      <c r="C102" s="68"/>
      <c r="D102" s="68"/>
    </row>
    <row r="103" spans="2:4" x14ac:dyDescent="0.25">
      <c r="B103" s="69"/>
      <c r="C103" s="68"/>
      <c r="D103" s="68"/>
    </row>
    <row r="104" spans="2:4" x14ac:dyDescent="0.25">
      <c r="B104" s="69"/>
      <c r="C104" s="68"/>
      <c r="D104" s="68"/>
    </row>
    <row r="105" spans="2:4" x14ac:dyDescent="0.25">
      <c r="B105" s="69"/>
      <c r="C105" s="68"/>
      <c r="D105" s="68"/>
    </row>
    <row r="106" spans="2:4" x14ac:dyDescent="0.25">
      <c r="B106" s="69"/>
      <c r="C106" s="68"/>
      <c r="D106" s="68"/>
    </row>
    <row r="107" spans="2:4" x14ac:dyDescent="0.25">
      <c r="B107" s="69"/>
      <c r="C107" s="68"/>
      <c r="D107" s="68"/>
    </row>
    <row r="108" spans="2:4" x14ac:dyDescent="0.25">
      <c r="B108" s="69"/>
      <c r="C108" s="68"/>
      <c r="D108" s="68"/>
    </row>
    <row r="109" spans="2:4" x14ac:dyDescent="0.25">
      <c r="B109" s="69"/>
      <c r="C109" s="68"/>
      <c r="D109" s="68"/>
    </row>
    <row r="110" spans="2:4" x14ac:dyDescent="0.25">
      <c r="B110" s="69"/>
      <c r="C110" s="68"/>
      <c r="D110" s="68"/>
    </row>
    <row r="111" spans="2:4" x14ac:dyDescent="0.25">
      <c r="B111" s="69"/>
      <c r="C111" s="68"/>
      <c r="D111" s="68"/>
    </row>
    <row r="112" spans="2:4" x14ac:dyDescent="0.25">
      <c r="B112" s="69"/>
      <c r="C112" s="68"/>
      <c r="D112" s="68"/>
    </row>
    <row r="113" spans="2:4" x14ac:dyDescent="0.25">
      <c r="B113" s="69"/>
      <c r="C113" s="68"/>
      <c r="D113" s="68"/>
    </row>
    <row r="114" spans="2:4" x14ac:dyDescent="0.25">
      <c r="B114" s="69"/>
      <c r="C114" s="68"/>
      <c r="D114" s="68"/>
    </row>
    <row r="115" spans="2:4" x14ac:dyDescent="0.25">
      <c r="B115" s="69"/>
      <c r="C115" s="68"/>
      <c r="D115" s="68"/>
    </row>
    <row r="116" spans="2:4" x14ac:dyDescent="0.25">
      <c r="B116" s="69"/>
      <c r="C116" s="68"/>
      <c r="D116" s="68"/>
    </row>
    <row r="117" spans="2:4" x14ac:dyDescent="0.25">
      <c r="B117" s="69"/>
      <c r="C117" s="68"/>
      <c r="D117" s="68"/>
    </row>
    <row r="118" spans="2:4" x14ac:dyDescent="0.25">
      <c r="B118" s="69"/>
      <c r="C118" s="68"/>
      <c r="D118" s="68"/>
    </row>
    <row r="119" spans="2:4" x14ac:dyDescent="0.25">
      <c r="B119" s="69"/>
      <c r="C119" s="68"/>
      <c r="D119" s="68"/>
    </row>
    <row r="120" spans="2:4" x14ac:dyDescent="0.25">
      <c r="B120" s="69"/>
      <c r="C120" s="68"/>
      <c r="D120" s="68"/>
    </row>
    <row r="121" spans="2:4" x14ac:dyDescent="0.25">
      <c r="B121" s="69"/>
      <c r="C121" s="68"/>
      <c r="D121" s="68"/>
    </row>
    <row r="122" spans="2:4" x14ac:dyDescent="0.25">
      <c r="B122" s="69"/>
      <c r="C122" s="68"/>
      <c r="D122" s="68"/>
    </row>
    <row r="123" spans="2:4" x14ac:dyDescent="0.25">
      <c r="B123" s="69"/>
      <c r="C123" s="68"/>
      <c r="D123" s="68"/>
    </row>
    <row r="124" spans="2:4" x14ac:dyDescent="0.25">
      <c r="B124" s="69"/>
      <c r="C124" s="68"/>
      <c r="D124" s="68"/>
    </row>
    <row r="125" spans="2:4" x14ac:dyDescent="0.25">
      <c r="B125" s="69"/>
      <c r="C125" s="68"/>
      <c r="D125" s="68"/>
    </row>
    <row r="126" spans="2:4" x14ac:dyDescent="0.25">
      <c r="B126" s="69"/>
      <c r="C126" s="68"/>
      <c r="D126" s="68"/>
    </row>
    <row r="127" spans="2:4" x14ac:dyDescent="0.25">
      <c r="B127" s="69"/>
      <c r="C127" s="68"/>
      <c r="D127" s="68"/>
    </row>
    <row r="128" spans="2:4" x14ac:dyDescent="0.25">
      <c r="B128" s="69"/>
      <c r="C128" s="68"/>
      <c r="D128" s="68"/>
    </row>
    <row r="129" spans="2:4" x14ac:dyDescent="0.25">
      <c r="B129" s="69"/>
      <c r="C129" s="68"/>
      <c r="D129" s="68"/>
    </row>
    <row r="130" spans="2:4" x14ac:dyDescent="0.25">
      <c r="B130" s="69"/>
      <c r="C130" s="68"/>
      <c r="D130" s="68"/>
    </row>
    <row r="131" spans="2:4" x14ac:dyDescent="0.25">
      <c r="B131" s="69"/>
      <c r="C131" s="68"/>
      <c r="D131" s="68"/>
    </row>
    <row r="132" spans="2:4" x14ac:dyDescent="0.25">
      <c r="B132" s="69"/>
      <c r="C132" s="68"/>
      <c r="D132" s="68"/>
    </row>
    <row r="133" spans="2:4" x14ac:dyDescent="0.25">
      <c r="B133" s="69"/>
      <c r="C133" s="68"/>
      <c r="D133" s="68"/>
    </row>
    <row r="134" spans="2:4" x14ac:dyDescent="0.25">
      <c r="B134" s="69"/>
      <c r="C134" s="68"/>
      <c r="D134" s="68"/>
    </row>
    <row r="135" spans="2:4" x14ac:dyDescent="0.25">
      <c r="B135" s="69"/>
      <c r="C135" s="68"/>
      <c r="D135" s="68"/>
    </row>
    <row r="136" spans="2:4" x14ac:dyDescent="0.25">
      <c r="C136" s="70"/>
      <c r="D136" s="70"/>
    </row>
    <row r="137" spans="2:4" x14ac:dyDescent="0.25">
      <c r="C137" s="70"/>
      <c r="D137" s="70"/>
    </row>
    <row r="138" spans="2:4" x14ac:dyDescent="0.25">
      <c r="C138" s="70"/>
      <c r="D138" s="70"/>
    </row>
    <row r="139" spans="2:4" x14ac:dyDescent="0.25">
      <c r="C139" s="70"/>
      <c r="D139" s="70"/>
    </row>
    <row r="140" spans="2:4" x14ac:dyDescent="0.25">
      <c r="C140" s="70"/>
      <c r="D140" s="70"/>
    </row>
    <row r="141" spans="2:4" x14ac:dyDescent="0.25">
      <c r="C141" s="70"/>
      <c r="D141" s="70"/>
    </row>
  </sheetData>
  <mergeCells count="9">
    <mergeCell ref="J15:J20"/>
    <mergeCell ref="K15:K20"/>
    <mergeCell ref="A47:A59"/>
    <mergeCell ref="A3:A18"/>
    <mergeCell ref="A21:A31"/>
    <mergeCell ref="A32:A37"/>
    <mergeCell ref="A38:A46"/>
    <mergeCell ref="H15:H20"/>
    <mergeCell ref="I15:I20"/>
  </mergeCells>
  <phoneticPr fontId="22"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07729-29D0-4A13-B0D4-204701687BB2}">
  <sheetPr>
    <pageSetUpPr fitToPage="1"/>
  </sheetPr>
  <dimension ref="A1:BR6"/>
  <sheetViews>
    <sheetView zoomScale="145" zoomScaleNormal="145" workbookViewId="0">
      <pane xSplit="9315" ySplit="3270" topLeftCell="O3"/>
      <selection activeCell="B2" sqref="B2"/>
      <selection pane="topRight" activeCell="P1" sqref="P1:BB1048576"/>
      <selection pane="bottomLeft" activeCell="B15" sqref="B15"/>
      <selection pane="bottomRight" activeCell="AD8" sqref="AD8"/>
    </sheetView>
  </sheetViews>
  <sheetFormatPr defaultColWidth="9.140625" defaultRowHeight="11.25" x14ac:dyDescent="0.2"/>
  <cols>
    <col min="1" max="1" width="9.5703125" style="11" customWidth="1"/>
    <col min="2" max="2" width="47.7109375" style="44" customWidth="1"/>
    <col min="3" max="3" width="12.140625" style="44" customWidth="1"/>
    <col min="4" max="4" width="11.7109375" style="11" customWidth="1"/>
    <col min="5" max="5" width="16.5703125" style="11" customWidth="1"/>
    <col min="6" max="6" width="3.7109375" style="11" customWidth="1"/>
    <col min="7" max="7" width="6.140625" style="11" customWidth="1"/>
    <col min="8" max="11" width="3.7109375" style="11" customWidth="1"/>
    <col min="12" max="13" width="5.7109375" style="11" customWidth="1"/>
    <col min="14" max="14" width="30.140625" style="11" bestFit="1" customWidth="1"/>
    <col min="15" max="15" width="16.28515625" style="11" bestFit="1" customWidth="1"/>
    <col min="16" max="46" width="2.28515625" style="11" customWidth="1"/>
    <col min="47" max="47" width="2.28515625" style="25" customWidth="1"/>
    <col min="48" max="51" width="2.28515625" style="11" customWidth="1"/>
    <col min="52" max="52" width="2.28515625" style="25" customWidth="1"/>
    <col min="53" max="53" width="2.28515625" style="117" customWidth="1"/>
    <col min="54" max="54" width="2.28515625" style="116" customWidth="1"/>
    <col min="55" max="67" width="3.7109375" style="12" customWidth="1"/>
    <col min="68" max="16384" width="9.140625" style="11"/>
  </cols>
  <sheetData>
    <row r="1" spans="1:70" ht="18" customHeight="1" thickBot="1" x14ac:dyDescent="0.25">
      <c r="A1" s="97" t="s">
        <v>141</v>
      </c>
      <c r="B1" s="98"/>
      <c r="C1" s="98"/>
      <c r="D1" s="98"/>
      <c r="E1" s="98"/>
      <c r="F1" s="98"/>
      <c r="G1" s="98"/>
      <c r="H1" s="207" t="s">
        <v>353</v>
      </c>
      <c r="I1" s="208"/>
      <c r="J1" s="208"/>
      <c r="K1" s="209"/>
      <c r="L1" s="98"/>
      <c r="M1" s="98"/>
      <c r="N1" s="98"/>
      <c r="O1" s="98"/>
      <c r="P1" s="207" t="s">
        <v>140</v>
      </c>
      <c r="Q1" s="215"/>
      <c r="R1" s="216"/>
      <c r="S1" s="207" t="s">
        <v>127</v>
      </c>
      <c r="T1" s="208"/>
      <c r="U1" s="207" t="s">
        <v>125</v>
      </c>
      <c r="V1" s="210"/>
      <c r="W1" s="210"/>
      <c r="X1" s="210"/>
      <c r="Y1" s="210"/>
      <c r="Z1" s="210"/>
      <c r="AA1" s="210"/>
      <c r="AB1" s="210"/>
      <c r="AC1" s="210"/>
      <c r="AD1" s="210"/>
      <c r="AE1" s="210"/>
      <c r="AF1" s="211"/>
      <c r="AG1" s="207" t="s">
        <v>221</v>
      </c>
      <c r="AH1" s="215"/>
      <c r="AI1" s="215"/>
      <c r="AJ1" s="215"/>
      <c r="AK1" s="215"/>
      <c r="AL1" s="216"/>
      <c r="AM1" s="207" t="s">
        <v>222</v>
      </c>
      <c r="AN1" s="210"/>
      <c r="AO1" s="210"/>
      <c r="AP1" s="210"/>
      <c r="AQ1" s="210"/>
      <c r="AR1" s="210"/>
      <c r="AS1" s="210"/>
      <c r="AT1" s="210"/>
      <c r="AU1" s="210"/>
      <c r="AV1" s="211"/>
      <c r="AW1" s="241" t="s">
        <v>51</v>
      </c>
      <c r="AX1" s="242"/>
      <c r="AY1" s="242"/>
      <c r="AZ1" s="242"/>
      <c r="BA1" s="243"/>
      <c r="BB1" s="244"/>
      <c r="BC1" s="207" t="s">
        <v>374</v>
      </c>
      <c r="BD1" s="215"/>
      <c r="BE1" s="215"/>
      <c r="BF1" s="215"/>
      <c r="BG1" s="215"/>
      <c r="BH1" s="215"/>
      <c r="BI1" s="215"/>
      <c r="BJ1" s="215"/>
      <c r="BK1" s="215"/>
      <c r="BL1" s="215"/>
      <c r="BM1" s="215"/>
      <c r="BN1" s="215"/>
      <c r="BO1" s="216"/>
    </row>
    <row r="2" spans="1:70" ht="80.25" customHeight="1" thickBot="1" x14ac:dyDescent="0.25">
      <c r="A2" s="95" t="s">
        <v>352</v>
      </c>
      <c r="B2" s="94" t="s">
        <v>254</v>
      </c>
      <c r="C2" s="93" t="s">
        <v>124</v>
      </c>
      <c r="D2" s="66" t="s">
        <v>132</v>
      </c>
      <c r="E2" s="67" t="s">
        <v>264</v>
      </c>
      <c r="F2" s="65" t="s">
        <v>142</v>
      </c>
      <c r="G2" s="65" t="s">
        <v>126</v>
      </c>
      <c r="H2" s="65" t="s">
        <v>273</v>
      </c>
      <c r="I2" s="65" t="s">
        <v>274</v>
      </c>
      <c r="J2" s="65" t="s">
        <v>51</v>
      </c>
      <c r="K2" s="65" t="s">
        <v>56</v>
      </c>
      <c r="L2" s="14" t="s">
        <v>128</v>
      </c>
      <c r="M2" s="14" t="s">
        <v>129</v>
      </c>
      <c r="N2" s="90" t="s">
        <v>269</v>
      </c>
      <c r="O2" s="90" t="s">
        <v>234</v>
      </c>
      <c r="P2" s="13" t="s">
        <v>123</v>
      </c>
      <c r="Q2" s="14" t="s">
        <v>12</v>
      </c>
      <c r="R2" s="15" t="s">
        <v>14</v>
      </c>
      <c r="S2" s="13" t="s">
        <v>123</v>
      </c>
      <c r="T2" s="14" t="s">
        <v>12</v>
      </c>
      <c r="U2" s="13" t="s">
        <v>138</v>
      </c>
      <c r="V2" s="14" t="s">
        <v>139</v>
      </c>
      <c r="W2" s="14" t="s">
        <v>137</v>
      </c>
      <c r="X2" s="14" t="s">
        <v>144</v>
      </c>
      <c r="Y2" s="14" t="s">
        <v>145</v>
      </c>
      <c r="Z2" s="14" t="s">
        <v>130</v>
      </c>
      <c r="AA2" s="14" t="s">
        <v>143</v>
      </c>
      <c r="AB2" s="47" t="s">
        <v>248</v>
      </c>
      <c r="AC2" s="47" t="s">
        <v>252</v>
      </c>
      <c r="AD2" s="47" t="s">
        <v>251</v>
      </c>
      <c r="AE2" s="47" t="s">
        <v>253</v>
      </c>
      <c r="AF2" s="15" t="s">
        <v>232</v>
      </c>
      <c r="AG2" s="63" t="s">
        <v>355</v>
      </c>
      <c r="AH2" s="14" t="s">
        <v>133</v>
      </c>
      <c r="AI2" s="14" t="s">
        <v>134</v>
      </c>
      <c r="AJ2" s="14" t="s">
        <v>354</v>
      </c>
      <c r="AK2" s="14" t="s">
        <v>315</v>
      </c>
      <c r="AL2" s="15" t="s">
        <v>316</v>
      </c>
      <c r="AM2" s="13" t="s">
        <v>227</v>
      </c>
      <c r="AN2" s="65" t="s">
        <v>413</v>
      </c>
      <c r="AO2" s="14" t="s">
        <v>226</v>
      </c>
      <c r="AP2" s="14" t="s">
        <v>228</v>
      </c>
      <c r="AQ2" s="14" t="s">
        <v>414</v>
      </c>
      <c r="AR2" s="14" t="s">
        <v>231</v>
      </c>
      <c r="AS2" s="14" t="s">
        <v>349</v>
      </c>
      <c r="AT2" s="14" t="s">
        <v>350</v>
      </c>
      <c r="AU2" s="14" t="s">
        <v>402</v>
      </c>
      <c r="AV2" s="60" t="s">
        <v>225</v>
      </c>
      <c r="AW2" s="109" t="s">
        <v>389</v>
      </c>
      <c r="AX2" s="60" t="s">
        <v>390</v>
      </c>
      <c r="AY2" s="60" t="s">
        <v>391</v>
      </c>
      <c r="AZ2" s="63" t="s">
        <v>392</v>
      </c>
      <c r="BA2" s="14" t="s">
        <v>394</v>
      </c>
      <c r="BB2" s="15" t="s">
        <v>396</v>
      </c>
      <c r="BC2" s="110" t="s">
        <v>135</v>
      </c>
      <c r="BD2" s="61" t="s">
        <v>237</v>
      </c>
      <c r="BE2" s="61" t="s">
        <v>238</v>
      </c>
      <c r="BF2" s="61" t="s">
        <v>239</v>
      </c>
      <c r="BG2" s="61" t="s">
        <v>240</v>
      </c>
      <c r="BH2" s="61" t="s">
        <v>241</v>
      </c>
      <c r="BI2" s="61" t="s">
        <v>242</v>
      </c>
      <c r="BJ2" s="61" t="s">
        <v>136</v>
      </c>
      <c r="BK2" s="61" t="s">
        <v>243</v>
      </c>
      <c r="BL2" s="61" t="s">
        <v>244</v>
      </c>
      <c r="BM2" s="61" t="s">
        <v>245</v>
      </c>
      <c r="BN2" s="61" t="s">
        <v>246</v>
      </c>
      <c r="BO2" s="62" t="s">
        <v>247</v>
      </c>
      <c r="BR2" s="42"/>
    </row>
    <row r="3" spans="1:70" x14ac:dyDescent="0.2">
      <c r="A3" s="107">
        <v>64240200</v>
      </c>
      <c r="B3" s="53" t="str">
        <f>VLOOKUP($A3,[1]maaltijden!$A$1:$IV$65536,4,FALSE)</f>
        <v>REBL EATS VEGAN INDISCHE CURRY SATE RIJST 350G</v>
      </c>
      <c r="C3" s="46" t="str">
        <f>VLOOKUP($A3,[1]maaltijden!$A$1:$IV$65536,7,FALSE)</f>
        <v>UK-59</v>
      </c>
      <c r="D3" s="22" t="str">
        <f>VLOOKUP($A3,[1]maaltijden!$A$1:$IV$65536,10,FALSE)</f>
        <v>H22</v>
      </c>
      <c r="E3" s="22" t="str">
        <f>VLOOKUP($A3,[1]maaltijden!$A$1:$IV$65536,13,FALSE)</f>
        <v>Shrink H22 X 6</v>
      </c>
      <c r="F3" s="20">
        <f>IF($D3="Bedrukte folie 470x300",1,0)</f>
        <v>0</v>
      </c>
      <c r="G3" s="20" t="str">
        <f>VLOOKUP($A3,[1]maaltijden!$A$1:$IV$65536,27,FALSE)</f>
        <v>X</v>
      </c>
      <c r="H3" s="22">
        <f>VLOOKUP($A3,[1]maaltijden!$A$1:$IV$65536,21,FALSE)</f>
        <v>3</v>
      </c>
      <c r="I3" s="22">
        <f>VLOOKUP($A3,[1]maaltijden!$A$1:$IV$65536,21,FALSE)</f>
        <v>3</v>
      </c>
      <c r="J3" s="22">
        <f>VLOOKUP($A3,[1]maaltijden!$A$1:$IV$65536,18,FALSE)</f>
        <v>2</v>
      </c>
      <c r="K3" s="22">
        <f>VLOOKUP($A3,[1]maaltijden!$A$1:$IV$65536,17,FALSE)</f>
        <v>2</v>
      </c>
      <c r="L3" s="22">
        <f>VLOOKUP($A3,[1]maaltijden!$A$1:$IV$65536,20,FALSE)</f>
        <v>3000</v>
      </c>
      <c r="M3" s="22">
        <f>VLOOKUP($A3,[1]maaltijden!$A$1:$IV$65536,22,FALSE)</f>
        <v>0</v>
      </c>
      <c r="N3" s="50"/>
      <c r="O3" s="50"/>
      <c r="P3" s="19"/>
      <c r="Q3" s="20"/>
      <c r="R3" s="21"/>
      <c r="S3" s="19"/>
      <c r="T3" s="20"/>
      <c r="U3" s="19"/>
      <c r="V3" s="20"/>
      <c r="W3" s="20"/>
      <c r="X3" s="20"/>
      <c r="Y3" s="20"/>
      <c r="Z3" s="20"/>
      <c r="AA3" s="20"/>
      <c r="AB3" s="49"/>
      <c r="AC3" s="49"/>
      <c r="AD3" s="49"/>
      <c r="AE3" s="49"/>
      <c r="AF3" s="49"/>
      <c r="AG3" s="19">
        <v>1</v>
      </c>
      <c r="AH3" s="20">
        <v>1</v>
      </c>
      <c r="AI3" s="20">
        <v>0</v>
      </c>
      <c r="AJ3" s="20">
        <v>0</v>
      </c>
      <c r="AK3" s="20">
        <v>0</v>
      </c>
      <c r="AL3" s="21">
        <v>0</v>
      </c>
      <c r="AM3" s="19"/>
      <c r="AN3" s="20">
        <f>IFERROR(INDEX([2]lijnopstellingsfiche!$AP$1:$AP$65536,MATCH(A3,[2]lijnopstellingsfiche!$AQ$1:$AQ$65536,0)),"")</f>
        <v>1</v>
      </c>
      <c r="AO3" s="20"/>
      <c r="AP3" s="20"/>
      <c r="AQ3" s="20"/>
      <c r="AR3" s="20"/>
      <c r="AS3" s="20"/>
      <c r="AT3" s="20"/>
      <c r="AU3" s="20"/>
      <c r="AV3" s="23"/>
      <c r="AW3" s="108"/>
      <c r="AX3" s="108"/>
      <c r="AY3" s="108"/>
      <c r="AZ3" s="114"/>
      <c r="BA3" s="20"/>
      <c r="BB3" s="113"/>
      <c r="BC3" s="115" t="str">
        <f>VLOOKUP($A3,'[3]allergenen 6nr'!$A$1:$O$1310,3,FALSE)</f>
        <v>+</v>
      </c>
      <c r="BD3" s="57" t="str">
        <f>VLOOKUP($A3,'[3]allergenen 6nr'!$A$1:$O$1310,4,FALSE)</f>
        <v>-</v>
      </c>
      <c r="BE3" s="57" t="str">
        <f>VLOOKUP($A3,'[3]allergenen 6nr'!$A$1:$O$1310,5,FALSE)</f>
        <v>+</v>
      </c>
      <c r="BF3" s="57" t="str">
        <f>VLOOKUP($A3,'[3]allergenen 6nr'!$A$1:$O$1310,6,FALSE)</f>
        <v>-</v>
      </c>
      <c r="BG3" s="57" t="str">
        <f>VLOOKUP($A3,'[3]allergenen 6nr'!$A$1:$O$1310,7,FALSE)</f>
        <v>-</v>
      </c>
      <c r="BH3" s="57" t="str">
        <f>VLOOKUP($A3,'[3]allergenen 6nr'!$A$1:$O$1310,8,FALSE)</f>
        <v>-</v>
      </c>
      <c r="BI3" s="57" t="str">
        <f>VLOOKUP($A3,'[3]allergenen 6nr'!$A$1:$O$1310,9,FALSE)</f>
        <v>-</v>
      </c>
      <c r="BJ3" s="57" t="str">
        <f>VLOOKUP($A3,'[3]allergenen 6nr'!$A$1:$O$1310,10,FALSE)</f>
        <v>-</v>
      </c>
      <c r="BK3" s="57" t="str">
        <f>VLOOKUP($A3,'[3]allergenen 6nr'!$A$1:$O$1310,11,FALSE)</f>
        <v>-</v>
      </c>
      <c r="BL3" s="57" t="str">
        <f>VLOOKUP($A3,'[3]allergenen 6nr'!$A$1:$O$1310,12,FALSE)</f>
        <v>-</v>
      </c>
      <c r="BM3" s="57" t="str">
        <f>VLOOKUP($A3,'[3]allergenen 6nr'!$A$1:$O$1310,13,FALSE)</f>
        <v>+</v>
      </c>
      <c r="BN3" s="57" t="str">
        <f>VLOOKUP($A3,'[3]allergenen 6nr'!$A$1:$O$1310,14,FALSE)</f>
        <v>-</v>
      </c>
      <c r="BO3" s="58" t="str">
        <f>VLOOKUP($A3,'[3]allergenen 6nr'!$A$1:$O$1310,15,FALSE)</f>
        <v>-</v>
      </c>
    </row>
    <row r="4" spans="1:70" x14ac:dyDescent="0.2">
      <c r="A4" s="107">
        <v>64240300</v>
      </c>
      <c r="B4" s="53" t="str">
        <f>VLOOKUP($A4,[1]maaltijden!$A$1:$IV$65536,4,FALSE)</f>
        <v>REBL EATS VEGAN SPAGHETTI BOLOGNAISE 350G</v>
      </c>
      <c r="C4" s="46" t="str">
        <f>VLOOKUP($A4,[1]maaltijden!$A$1:$IV$65536,7,FALSE)</f>
        <v>UK-59</v>
      </c>
      <c r="D4" s="22" t="str">
        <f>VLOOKUP($A4,[1]maaltijden!$A$1:$IV$65536,10,FALSE)</f>
        <v>H22</v>
      </c>
      <c r="E4" s="22" t="str">
        <f>VLOOKUP($A4,[1]maaltijden!$A$1:$IV$65536,13,FALSE)</f>
        <v>Shrink H22 X 6</v>
      </c>
      <c r="F4" s="20">
        <f>IF($D4="Bedrukte folie 470x300",1,0)</f>
        <v>0</v>
      </c>
      <c r="G4" s="20" t="str">
        <f>VLOOKUP($A4,[1]maaltijden!$A$1:$IV$65536,27,FALSE)</f>
        <v>! ! !</v>
      </c>
      <c r="H4" s="22">
        <f>VLOOKUP($A4,[1]maaltijden!$A$1:$IV$65536,21,FALSE)</f>
        <v>4</v>
      </c>
      <c r="I4" s="22">
        <f>VLOOKUP($A4,[1]maaltijden!$A$1:$IV$65536,21,FALSE)</f>
        <v>4</v>
      </c>
      <c r="J4" s="22">
        <f>VLOOKUP($A4,[1]maaltijden!$A$1:$IV$65536,18,FALSE)</f>
        <v>2</v>
      </c>
      <c r="K4" s="22">
        <f>VLOOKUP($A4,[1]maaltijden!$A$1:$IV$65536,17,FALSE)</f>
        <v>2</v>
      </c>
      <c r="L4" s="22">
        <f>VLOOKUP($A4,[1]maaltijden!$A$1:$IV$65536,20,FALSE)</f>
        <v>3200</v>
      </c>
      <c r="M4" s="22">
        <f>VLOOKUP($A4,[1]maaltijden!$A$1:$IV$65536,22,FALSE)</f>
        <v>0</v>
      </c>
      <c r="N4" s="50"/>
      <c r="O4" s="50"/>
      <c r="P4" s="19"/>
      <c r="Q4" s="20"/>
      <c r="R4" s="21"/>
      <c r="S4" s="19"/>
      <c r="T4" s="20"/>
      <c r="U4" s="19"/>
      <c r="V4" s="20"/>
      <c r="W4" s="20"/>
      <c r="X4" s="20"/>
      <c r="Y4" s="20"/>
      <c r="Z4" s="20"/>
      <c r="AA4" s="20"/>
      <c r="AB4" s="49"/>
      <c r="AC4" s="49"/>
      <c r="AD4" s="49"/>
      <c r="AE4" s="49"/>
      <c r="AF4" s="49"/>
      <c r="AG4" s="19">
        <v>1</v>
      </c>
      <c r="AH4" s="20">
        <v>1</v>
      </c>
      <c r="AI4" s="20">
        <v>0</v>
      </c>
      <c r="AJ4" s="20">
        <v>0</v>
      </c>
      <c r="AK4" s="20">
        <v>0</v>
      </c>
      <c r="AL4" s="21">
        <v>0</v>
      </c>
      <c r="AM4" s="19"/>
      <c r="AN4" s="20" t="str">
        <f>IFERROR(INDEX([2]lijnopstellingsfiche!$AP$1:$AP$65536,MATCH(A4,[2]lijnopstellingsfiche!$AQ$1:$AQ$65536,0)),"")</f>
        <v>-</v>
      </c>
      <c r="AO4" s="20"/>
      <c r="AP4" s="20"/>
      <c r="AQ4" s="20"/>
      <c r="AR4" s="20"/>
      <c r="AS4" s="20"/>
      <c r="AT4" s="20"/>
      <c r="AU4" s="20"/>
      <c r="AV4" s="23"/>
      <c r="AW4" s="108"/>
      <c r="AX4" s="108"/>
      <c r="AY4" s="108"/>
      <c r="AZ4" s="114"/>
      <c r="BA4" s="20"/>
      <c r="BB4" s="113"/>
      <c r="BC4" s="115" t="str">
        <f>VLOOKUP($A4,'[3]allergenen 6nr'!$A$1:$O$1310,3,FALSE)</f>
        <v>-</v>
      </c>
      <c r="BD4" s="57" t="str">
        <f>VLOOKUP($A4,'[3]allergenen 6nr'!$A$1:$O$1310,4,FALSE)</f>
        <v>X</v>
      </c>
      <c r="BE4" s="57" t="str">
        <f>VLOOKUP($A4,'[3]allergenen 6nr'!$A$1:$O$1310,5,FALSE)</f>
        <v>+</v>
      </c>
      <c r="BF4" s="57" t="str">
        <f>VLOOKUP($A4,'[3]allergenen 6nr'!$A$1:$O$1310,6,FALSE)</f>
        <v>X</v>
      </c>
      <c r="BG4" s="57" t="str">
        <f>VLOOKUP($A4,'[3]allergenen 6nr'!$A$1:$O$1310,7,FALSE)</f>
        <v>X</v>
      </c>
      <c r="BH4" s="57" t="str">
        <f>VLOOKUP($A4,'[3]allergenen 6nr'!$A$1:$O$1310,8,FALSE)</f>
        <v>X</v>
      </c>
      <c r="BI4" s="57" t="str">
        <f>VLOOKUP($A4,'[3]allergenen 6nr'!$A$1:$O$1310,9,FALSE)</f>
        <v>-</v>
      </c>
      <c r="BJ4" s="57" t="str">
        <f>VLOOKUP($A4,'[3]allergenen 6nr'!$A$1:$O$1310,10,FALSE)</f>
        <v>X</v>
      </c>
      <c r="BK4" s="57" t="str">
        <f>VLOOKUP($A4,'[3]allergenen 6nr'!$A$1:$O$1310,11,FALSE)</f>
        <v>+</v>
      </c>
      <c r="BL4" s="57" t="str">
        <f>VLOOKUP($A4,'[3]allergenen 6nr'!$A$1:$O$1310,12,FALSE)</f>
        <v>-</v>
      </c>
      <c r="BM4" s="57" t="str">
        <f>VLOOKUP($A4,'[3]allergenen 6nr'!$A$1:$O$1310,13,FALSE)</f>
        <v>+</v>
      </c>
      <c r="BN4" s="57" t="str">
        <f>VLOOKUP($A4,'[3]allergenen 6nr'!$A$1:$O$1310,14,FALSE)</f>
        <v>X</v>
      </c>
      <c r="BO4" s="58" t="str">
        <f>VLOOKUP($A4,'[3]allergenen 6nr'!$A$1:$O$1310,15,FALSE)</f>
        <v>-</v>
      </c>
    </row>
    <row r="5" spans="1:70" x14ac:dyDescent="0.2">
      <c r="A5" s="107">
        <v>64410100</v>
      </c>
      <c r="B5" s="53" t="str">
        <f>VLOOKUP($A5,[1]maaltijden!$A$1:$IV$65536,4,FALSE)</f>
        <v>FITMEALS DUO EW KIP LINGUINE TERIYAKI HALAL 2X400G</v>
      </c>
      <c r="C5" s="46" t="str">
        <f>VLOOKUP($A5,[1]maaltijden!$A$1:$IV$65536,7,FALSE)</f>
        <v>UK-59</v>
      </c>
      <c r="D5" s="22" t="str">
        <f>VLOOKUP($A5,[1]maaltijden!$A$1:$IV$65536,10,FALSE)</f>
        <v>H44</v>
      </c>
      <c r="E5" s="22" t="str">
        <f>VLOOKUP($A5,[1]maaltijden!$A$1:$IV$65536,13,FALSE)</f>
        <v>H44X4</v>
      </c>
      <c r="F5" s="20">
        <f>IF($D5="Bedrukte folie 470x300",1,0)</f>
        <v>0</v>
      </c>
      <c r="G5" s="20" t="str">
        <f>VLOOKUP($A5,[1]maaltijden!$A$1:$IV$65536,27,FALSE)</f>
        <v>! ! ! ! !</v>
      </c>
      <c r="H5" s="22">
        <f>VLOOKUP($A5,[1]maaltijden!$A$1:$IV$65536,21,FALSE)</f>
        <v>7</v>
      </c>
      <c r="I5" s="22">
        <f>VLOOKUP($A5,[1]maaltijden!$A$1:$IV$65536,21,FALSE)</f>
        <v>7</v>
      </c>
      <c r="J5" s="22">
        <f>VLOOKUP($A5,[1]maaltijden!$A$1:$IV$65536,18,FALSE)</f>
        <v>5</v>
      </c>
      <c r="K5" s="22">
        <f>VLOOKUP($A5,[1]maaltijden!$A$1:$IV$65536,17,FALSE)</f>
        <v>2</v>
      </c>
      <c r="L5" s="22">
        <f>VLOOKUP($A5,[1]maaltijden!$A$1:$IV$65536,20,FALSE)</f>
        <v>1750</v>
      </c>
      <c r="M5" s="22">
        <f>VLOOKUP($A5,[1]maaltijden!$A$1:$IV$65536,22,FALSE)</f>
        <v>1750</v>
      </c>
      <c r="N5" s="135"/>
      <c r="O5" s="50"/>
      <c r="P5" s="19"/>
      <c r="Q5" s="20"/>
      <c r="R5" s="21"/>
      <c r="S5" s="19"/>
      <c r="T5" s="20"/>
      <c r="U5" s="19"/>
      <c r="V5" s="20"/>
      <c r="W5" s="20"/>
      <c r="X5" s="20"/>
      <c r="Y5" s="20"/>
      <c r="Z5" s="20"/>
      <c r="AA5" s="20"/>
      <c r="AB5" s="49"/>
      <c r="AC5" s="49"/>
      <c r="AD5" s="49"/>
      <c r="AE5" s="49"/>
      <c r="AF5" s="49"/>
      <c r="AG5" s="19">
        <v>1</v>
      </c>
      <c r="AH5" s="20">
        <v>1</v>
      </c>
      <c r="AI5" s="20">
        <v>0</v>
      </c>
      <c r="AJ5" s="20">
        <v>0</v>
      </c>
      <c r="AK5" s="20">
        <v>0</v>
      </c>
      <c r="AL5" s="21">
        <v>0</v>
      </c>
      <c r="AM5" s="19"/>
      <c r="AN5" s="20" t="str">
        <f>IFERROR(INDEX([2]lijnopstellingsfiche!$AP$1:$AP$65536,MATCH(A5,[2]lijnopstellingsfiche!$AQ$1:$AQ$65536,0)),"")</f>
        <v>-</v>
      </c>
      <c r="AO5" s="20"/>
      <c r="AP5" s="20"/>
      <c r="AQ5" s="20"/>
      <c r="AR5" s="20"/>
      <c r="AS5" s="20"/>
      <c r="AT5" s="20"/>
      <c r="AU5" s="20"/>
      <c r="AV5" s="23"/>
      <c r="AW5" s="108"/>
      <c r="AX5" s="108"/>
      <c r="AY5" s="108"/>
      <c r="AZ5" s="114"/>
      <c r="BA5" s="20"/>
      <c r="BB5" s="113"/>
      <c r="BC5" s="115" t="str">
        <f>VLOOKUP($A5,'[3]allergenen 6nr'!$A$1:$O$1310,3,FALSE)</f>
        <v>-</v>
      </c>
      <c r="BD5" s="57" t="str">
        <f>VLOOKUP($A5,'[3]allergenen 6nr'!$A$1:$O$1310,4,FALSE)</f>
        <v>X</v>
      </c>
      <c r="BE5" s="57" t="str">
        <f>VLOOKUP($A5,'[3]allergenen 6nr'!$A$1:$O$1310,5,FALSE)</f>
        <v>+</v>
      </c>
      <c r="BF5" s="57" t="str">
        <f>VLOOKUP($A5,'[3]allergenen 6nr'!$A$1:$O$1310,6,FALSE)</f>
        <v>X</v>
      </c>
      <c r="BG5" s="57" t="str">
        <f>VLOOKUP($A5,'[3]allergenen 6nr'!$A$1:$O$1310,7,FALSE)</f>
        <v>-</v>
      </c>
      <c r="BH5" s="57" t="str">
        <f>VLOOKUP($A5,'[3]allergenen 6nr'!$A$1:$O$1310,8,FALSE)</f>
        <v>X</v>
      </c>
      <c r="BI5" s="57" t="str">
        <f>VLOOKUP($A5,'[3]allergenen 6nr'!$A$1:$O$1310,9,FALSE)</f>
        <v>-</v>
      </c>
      <c r="BJ5" s="57" t="str">
        <f>VLOOKUP($A5,'[3]allergenen 6nr'!$A$1:$O$1310,10,FALSE)</f>
        <v>-</v>
      </c>
      <c r="BK5" s="57" t="str">
        <f>VLOOKUP($A5,'[3]allergenen 6nr'!$A$1:$O$1310,11,FALSE)</f>
        <v>-</v>
      </c>
      <c r="BL5" s="57" t="str">
        <f>VLOOKUP($A5,'[3]allergenen 6nr'!$A$1:$O$1310,12,FALSE)</f>
        <v>+</v>
      </c>
      <c r="BM5" s="57" t="str">
        <f>VLOOKUP($A5,'[3]allergenen 6nr'!$A$1:$O$1310,13,FALSE)</f>
        <v>+</v>
      </c>
      <c r="BN5" s="57" t="str">
        <f>VLOOKUP($A5,'[3]allergenen 6nr'!$A$1:$O$1310,14,FALSE)</f>
        <v>-</v>
      </c>
      <c r="BO5" s="58" t="str">
        <f>VLOOKUP($A5,'[3]allergenen 6nr'!$A$1:$O$1310,15,FALSE)</f>
        <v>-</v>
      </c>
    </row>
    <row r="6" spans="1:70" x14ac:dyDescent="0.2">
      <c r="A6" s="107">
        <v>64410200</v>
      </c>
      <c r="B6" s="53" t="str">
        <f>VLOOKUP($A6,[1]maaltijden!$A$1:$IV$65536,4,FALSE)</f>
        <v>FITMEALS DUO EW KIP PASTA HALAL 2X400G</v>
      </c>
      <c r="C6" s="46" t="str">
        <f>VLOOKUP($A6,[1]maaltijden!$A$1:$IV$65536,7,FALSE)</f>
        <v>UK-59</v>
      </c>
      <c r="D6" s="22" t="str">
        <f>VLOOKUP($A6,[1]maaltijden!$A$1:$IV$65536,10,FALSE)</f>
        <v>H44</v>
      </c>
      <c r="E6" s="22" t="str">
        <f>VLOOKUP($A6,[1]maaltijden!$A$1:$IV$65536,13,FALSE)</f>
        <v>H44X4</v>
      </c>
      <c r="F6" s="20">
        <f>IF($D6="Bedrukte folie 470x300",1,0)</f>
        <v>0</v>
      </c>
      <c r="G6" s="20" t="str">
        <f>VLOOKUP($A6,[1]maaltijden!$A$1:$IV$65536,27,FALSE)</f>
        <v>! !</v>
      </c>
      <c r="H6" s="22">
        <f>VLOOKUP($A6,[1]maaltijden!$A$1:$IV$65536,21,FALSE)</f>
        <v>7</v>
      </c>
      <c r="I6" s="22">
        <f>VLOOKUP($A6,[1]maaltijden!$A$1:$IV$65536,21,FALSE)</f>
        <v>7</v>
      </c>
      <c r="J6" s="22">
        <f>VLOOKUP($A6,[1]maaltijden!$A$1:$IV$65536,18,FALSE)</f>
        <v>5</v>
      </c>
      <c r="K6" s="22">
        <f>VLOOKUP($A6,[1]maaltijden!$A$1:$IV$65536,17,FALSE)</f>
        <v>2</v>
      </c>
      <c r="L6" s="22">
        <f>VLOOKUP($A6,[1]maaltijden!$A$1:$IV$65536,20,FALSE)</f>
        <v>1750</v>
      </c>
      <c r="M6" s="22">
        <f>VLOOKUP($A6,[1]maaltijden!$A$1:$IV$65536,22,FALSE)</f>
        <v>1750</v>
      </c>
      <c r="N6" s="135"/>
      <c r="O6" s="50"/>
      <c r="P6" s="19"/>
      <c r="Q6" s="20"/>
      <c r="R6" s="21"/>
      <c r="S6" s="19"/>
      <c r="T6" s="20"/>
      <c r="U6" s="19"/>
      <c r="V6" s="20"/>
      <c r="W6" s="20"/>
      <c r="X6" s="20"/>
      <c r="Y6" s="20"/>
      <c r="Z6" s="20"/>
      <c r="AA6" s="20"/>
      <c r="AB6" s="49"/>
      <c r="AC6" s="49"/>
      <c r="AD6" s="49"/>
      <c r="AE6" s="49"/>
      <c r="AF6" s="49"/>
      <c r="AG6" s="19">
        <v>1</v>
      </c>
      <c r="AH6" s="20">
        <v>1</v>
      </c>
      <c r="AI6" s="20">
        <v>0</v>
      </c>
      <c r="AJ6" s="20">
        <v>0</v>
      </c>
      <c r="AK6" s="20">
        <v>0</v>
      </c>
      <c r="AL6" s="21">
        <v>0</v>
      </c>
      <c r="AM6" s="19"/>
      <c r="AN6" s="20">
        <f>IFERROR(INDEX([2]lijnopstellingsfiche!$AP$1:$AP$65536,MATCH(A6,[2]lijnopstellingsfiche!$AQ$1:$AQ$65536,0)),"")</f>
        <v>1</v>
      </c>
      <c r="AO6" s="20"/>
      <c r="AP6" s="20"/>
      <c r="AQ6" s="20"/>
      <c r="AR6" s="20"/>
      <c r="AS6" s="20"/>
      <c r="AT6" s="20"/>
      <c r="AU6" s="20"/>
      <c r="AV6" s="23"/>
      <c r="AW6" s="108"/>
      <c r="AX6" s="108"/>
      <c r="AY6" s="108"/>
      <c r="AZ6" s="114"/>
      <c r="BA6" s="20"/>
      <c r="BB6" s="113"/>
      <c r="BC6" s="115" t="str">
        <f>VLOOKUP($A6,'[3]allergenen 6nr'!$A$1:$O$1310,3,FALSE)</f>
        <v>X</v>
      </c>
      <c r="BD6" s="57" t="str">
        <f>VLOOKUP($A6,'[3]allergenen 6nr'!$A$1:$O$1310,4,FALSE)</f>
        <v>X</v>
      </c>
      <c r="BE6" s="57" t="str">
        <f>VLOOKUP($A6,'[3]allergenen 6nr'!$A$1:$O$1310,5,FALSE)</f>
        <v>+</v>
      </c>
      <c r="BF6" s="57" t="str">
        <f>VLOOKUP($A6,'[3]allergenen 6nr'!$A$1:$O$1310,6,FALSE)</f>
        <v>X</v>
      </c>
      <c r="BG6" s="57" t="str">
        <f>VLOOKUP($A6,'[3]allergenen 6nr'!$A$1:$O$1310,7,FALSE)</f>
        <v>+</v>
      </c>
      <c r="BH6" s="57" t="str">
        <f>VLOOKUP($A6,'[3]allergenen 6nr'!$A$1:$O$1310,8,FALSE)</f>
        <v>X</v>
      </c>
      <c r="BI6" s="57" t="str">
        <f>VLOOKUP($A6,'[3]allergenen 6nr'!$A$1:$O$1310,9,FALSE)</f>
        <v>X</v>
      </c>
      <c r="BJ6" s="57" t="str">
        <f>VLOOKUP($A6,'[3]allergenen 6nr'!$A$1:$O$1310,10,FALSE)</f>
        <v>X</v>
      </c>
      <c r="BK6" s="57" t="str">
        <f>VLOOKUP($A6,'[3]allergenen 6nr'!$A$1:$O$1310,11,FALSE)</f>
        <v>X</v>
      </c>
      <c r="BL6" s="57" t="str">
        <f>VLOOKUP($A6,'[3]allergenen 6nr'!$A$1:$O$1310,12,FALSE)</f>
        <v>X</v>
      </c>
      <c r="BM6" s="57" t="str">
        <f>VLOOKUP($A6,'[3]allergenen 6nr'!$A$1:$O$1310,13,FALSE)</f>
        <v>X</v>
      </c>
      <c r="BN6" s="57" t="str">
        <f>VLOOKUP($A6,'[3]allergenen 6nr'!$A$1:$O$1310,14,FALSE)</f>
        <v>X</v>
      </c>
      <c r="BO6" s="58" t="str">
        <f>VLOOKUP($A6,'[3]allergenen 6nr'!$A$1:$O$1310,15,FALSE)</f>
        <v>X</v>
      </c>
    </row>
  </sheetData>
  <mergeCells count="8">
    <mergeCell ref="AW1:BB1"/>
    <mergeCell ref="BC1:BO1"/>
    <mergeCell ref="H1:K1"/>
    <mergeCell ref="P1:R1"/>
    <mergeCell ref="S1:T1"/>
    <mergeCell ref="U1:AF1"/>
    <mergeCell ref="AG1:AL1"/>
    <mergeCell ref="AM1:AV1"/>
  </mergeCells>
  <conditionalFormatting sqref="G3:G6">
    <cfRule type="cellIs" dxfId="4" priority="1" operator="equal">
      <formula>"! ! ! ! !"</formula>
    </cfRule>
    <cfRule type="cellIs" dxfId="3" priority="2" operator="equal">
      <formula>"X"</formula>
    </cfRule>
    <cfRule type="cellIs" dxfId="2" priority="3" operator="equal">
      <formula>"! !"</formula>
    </cfRule>
    <cfRule type="cellIs" dxfId="1" priority="4" operator="equal">
      <formula>"! ! !"</formula>
    </cfRule>
    <cfRule type="cellIs" dxfId="0" priority="5" operator="equal">
      <formula>"! ! ! !"</formula>
    </cfRule>
  </conditionalFormatting>
  <pageMargins left="0.25" right="0.25" top="0.75" bottom="0.75" header="0.3" footer="0.3"/>
  <pageSetup paperSize="8" scale="59" fitToHeight="0" orientation="landscape" verticalDpi="0"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10</vt:i4>
      </vt:variant>
    </vt:vector>
  </HeadingPairs>
  <TitlesOfParts>
    <vt:vector size="10" baseType="lpstr">
      <vt:lpstr>machines assemblage</vt:lpstr>
      <vt:lpstr>formaat delen mondini</vt:lpstr>
      <vt:lpstr>machines keuken</vt:lpstr>
      <vt:lpstr>bottle necks</vt:lpstr>
      <vt:lpstr>planning decision tree</vt:lpstr>
      <vt:lpstr>product database</vt:lpstr>
      <vt:lpstr>vergelijker</vt:lpstr>
      <vt:lpstr>opmerkingen voorstel planning</vt:lpstr>
      <vt:lpstr>legende database</vt:lpstr>
      <vt:lpstr>product database (gestopt)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Yvan Debaillie</dc:creator>
  <cp:lastModifiedBy>Yvan Debaillie</cp:lastModifiedBy>
  <cp:lastPrinted>2026-10-09T13:19:47Z</cp:lastPrinted>
  <dcterms:created xsi:type="dcterms:W3CDTF">2024-09-23T14:55:46Z</dcterms:created>
  <dcterms:modified xsi:type="dcterms:W3CDTF">2026-10-21T14:46:14Z</dcterms:modified>
</cp:coreProperties>
</file>